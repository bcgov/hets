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Equipment.csv!$A$1:$AT$205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H4" i="52" l="1"/>
  <c r="H5" i="52" s="1"/>
  <c r="H6" i="52" s="1"/>
  <c r="H7" i="52" s="1"/>
  <c r="H8" i="52" s="1"/>
  <c r="H9" i="52" s="1"/>
  <c r="H10" i="52" s="1"/>
  <c r="H11" i="52" s="1"/>
  <c r="H12" i="52" s="1"/>
  <c r="H13" i="52" s="1"/>
  <c r="H14" i="52" s="1"/>
  <c r="H15" i="52" s="1"/>
  <c r="H16" i="52" s="1"/>
  <c r="H17" i="52" s="1"/>
  <c r="H18" i="52" s="1"/>
  <c r="H19" i="52" s="1"/>
  <c r="H20" i="52" s="1"/>
  <c r="H21" i="52" s="1"/>
  <c r="H22" i="52" s="1"/>
  <c r="H23" i="52" s="1"/>
  <c r="H24" i="52" s="1"/>
  <c r="H25" i="52" s="1"/>
  <c r="H26" i="52" s="1"/>
  <c r="H27" i="52" s="1"/>
  <c r="H28" i="52" s="1"/>
  <c r="H29" i="52" s="1"/>
  <c r="H30" i="52" s="1"/>
  <c r="H31" i="52" s="1"/>
  <c r="H32" i="52" s="1"/>
  <c r="H33" i="52" s="1"/>
  <c r="H34" i="52" s="1"/>
  <c r="H35" i="52" s="1"/>
  <c r="H36" i="52" s="1"/>
  <c r="H37" i="52" s="1"/>
  <c r="H38" i="52" s="1"/>
  <c r="H39" i="52" s="1"/>
  <c r="H40" i="52" s="1"/>
  <c r="H41" i="52" s="1"/>
  <c r="H42" i="52" s="1"/>
  <c r="H43" i="52" s="1"/>
  <c r="H44" i="52" s="1"/>
  <c r="H45" i="52" s="1"/>
  <c r="H46" i="52" s="1"/>
  <c r="H47" i="52" s="1"/>
  <c r="H48" i="52" s="1"/>
  <c r="H49" i="52" s="1"/>
  <c r="H50" i="52" s="1"/>
  <c r="H51" i="52" s="1"/>
  <c r="H52" i="52" s="1"/>
  <c r="H53" i="52" s="1"/>
  <c r="H54" i="52" s="1"/>
  <c r="H3" i="52"/>
  <c r="G4" i="43" l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3" i="43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59" i="45"/>
  <c r="D260" i="45"/>
  <c r="D261" i="45"/>
  <c r="D262" i="45"/>
  <c r="D263" i="45"/>
  <c r="D264" i="45"/>
  <c r="D265" i="45"/>
  <c r="D266" i="45"/>
  <c r="D267" i="45"/>
  <c r="D268" i="45"/>
  <c r="D269" i="45"/>
  <c r="D270" i="45"/>
  <c r="D271" i="45"/>
  <c r="D272" i="45"/>
  <c r="D273" i="45"/>
  <c r="D274" i="45"/>
  <c r="D275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D295" i="45"/>
  <c r="D296" i="45"/>
  <c r="D297" i="45"/>
  <c r="D298" i="45"/>
  <c r="D299" i="45"/>
  <c r="D300" i="45"/>
  <c r="D301" i="45"/>
  <c r="D302" i="45"/>
  <c r="D303" i="45"/>
  <c r="D304" i="45"/>
  <c r="D305" i="45"/>
  <c r="D306" i="45"/>
  <c r="D307" i="45"/>
  <c r="D308" i="45"/>
  <c r="D309" i="45"/>
  <c r="D310" i="45"/>
  <c r="D311" i="45"/>
  <c r="D312" i="45"/>
  <c r="D313" i="45"/>
  <c r="D314" i="45"/>
  <c r="D315" i="45"/>
  <c r="D316" i="45"/>
  <c r="D317" i="45"/>
  <c r="D318" i="45"/>
  <c r="D319" i="45"/>
  <c r="D320" i="45"/>
  <c r="D321" i="45"/>
  <c r="D322" i="45"/>
  <c r="D323" i="45"/>
  <c r="D324" i="45"/>
  <c r="D325" i="45"/>
  <c r="D2" i="45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2" i="25"/>
  <c r="C3" i="43" l="1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K77" i="40"/>
  <c r="K78" i="40"/>
  <c r="K58" i="40"/>
  <c r="K59" i="40"/>
  <c r="K7" i="40"/>
  <c r="K8" i="40"/>
  <c r="K9" i="40"/>
  <c r="K10" i="40"/>
  <c r="K11" i="40"/>
  <c r="K32" i="40"/>
  <c r="K33" i="40"/>
  <c r="K34" i="40"/>
  <c r="K35" i="40"/>
  <c r="K36" i="40"/>
  <c r="K37" i="40"/>
  <c r="K38" i="40"/>
  <c r="K39" i="40"/>
  <c r="K40" i="40"/>
  <c r="K61" i="40"/>
  <c r="K20" i="40"/>
  <c r="K21" i="40"/>
  <c r="K22" i="40"/>
  <c r="K28" i="40"/>
  <c r="K29" i="40"/>
  <c r="K30" i="40"/>
  <c r="K31" i="40"/>
  <c r="K74" i="40"/>
  <c r="K75" i="40"/>
  <c r="K17" i="40"/>
  <c r="K18" i="40"/>
  <c r="K19" i="40"/>
  <c r="K72" i="40"/>
  <c r="K73" i="40"/>
  <c r="K50" i="40"/>
  <c r="K60" i="40"/>
  <c r="K81" i="40"/>
  <c r="K82" i="40"/>
  <c r="K12" i="40"/>
  <c r="K13" i="40"/>
  <c r="K14" i="40"/>
  <c r="K15" i="40"/>
  <c r="K68" i="40"/>
  <c r="K69" i="40"/>
  <c r="K70" i="40"/>
  <c r="K71" i="40"/>
  <c r="K43" i="40"/>
  <c r="K44" i="40"/>
  <c r="K45" i="40"/>
  <c r="K46" i="40"/>
  <c r="K47" i="40"/>
  <c r="K48" i="40"/>
  <c r="K49" i="40"/>
  <c r="K62" i="40"/>
  <c r="K63" i="40"/>
  <c r="K64" i="40"/>
  <c r="K41" i="40"/>
  <c r="K42" i="40"/>
  <c r="K79" i="40"/>
  <c r="K80" i="40"/>
  <c r="K54" i="40"/>
  <c r="K55" i="40"/>
  <c r="K56" i="40"/>
  <c r="K57" i="40"/>
  <c r="K2" i="40"/>
  <c r="K3" i="40"/>
  <c r="K4" i="40"/>
  <c r="K5" i="40"/>
  <c r="K6" i="40"/>
  <c r="K23" i="40"/>
  <c r="K24" i="40"/>
  <c r="K25" i="40"/>
  <c r="K26" i="40"/>
  <c r="K27" i="40"/>
  <c r="K65" i="40"/>
  <c r="K66" i="40"/>
  <c r="K67" i="40"/>
  <c r="K83" i="40"/>
  <c r="K84" i="40"/>
  <c r="K85" i="40"/>
  <c r="K86" i="40"/>
  <c r="K16" i="40"/>
  <c r="K51" i="40"/>
  <c r="K52" i="40"/>
  <c r="K53" i="40"/>
  <c r="K87" i="40"/>
  <c r="K88" i="40"/>
  <c r="K76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J3" i="48" s="1"/>
  <c r="F4" i="48"/>
  <c r="J4" i="48" s="1"/>
  <c r="F5" i="48"/>
  <c r="J5" i="48" s="1"/>
  <c r="F6" i="48"/>
  <c r="J6" i="48" s="1"/>
  <c r="F7" i="48"/>
  <c r="J7" i="48" s="1"/>
  <c r="F8" i="48"/>
  <c r="J8" i="48" s="1"/>
  <c r="F9" i="48"/>
  <c r="J9" i="48" s="1"/>
  <c r="F10" i="48"/>
  <c r="J10" i="48" s="1"/>
  <c r="F11" i="48"/>
  <c r="J11" i="48" s="1"/>
  <c r="F12" i="48"/>
  <c r="J12" i="48" s="1"/>
  <c r="F13" i="48"/>
  <c r="J13" i="48" s="1"/>
  <c r="F14" i="48"/>
  <c r="J14" i="48" s="1"/>
  <c r="F15" i="48"/>
  <c r="J15" i="48" s="1"/>
  <c r="F16" i="48"/>
  <c r="J16" i="48" s="1"/>
  <c r="F17" i="48"/>
  <c r="J17" i="48" s="1"/>
  <c r="F18" i="48"/>
  <c r="J18" i="48" s="1"/>
  <c r="F19" i="48"/>
  <c r="J19" i="48" s="1"/>
  <c r="F20" i="48"/>
  <c r="J20" i="48" s="1"/>
  <c r="F21" i="48"/>
  <c r="J21" i="48" s="1"/>
  <c r="F22" i="48"/>
  <c r="J22" i="48" s="1"/>
  <c r="F23" i="48"/>
  <c r="J23" i="48" s="1"/>
  <c r="F24" i="48"/>
  <c r="J24" i="48" s="1"/>
  <c r="F25" i="48"/>
  <c r="J25" i="48" s="1"/>
  <c r="F26" i="48"/>
  <c r="J26" i="48" s="1"/>
  <c r="F27" i="48"/>
  <c r="J27" i="48" s="1"/>
  <c r="F28" i="48"/>
  <c r="J28" i="48" s="1"/>
  <c r="F29" i="48"/>
  <c r="J29" i="48" s="1"/>
  <c r="F30" i="48"/>
  <c r="J30" i="48" s="1"/>
  <c r="F31" i="48"/>
  <c r="J31" i="48" s="1"/>
  <c r="F32" i="48"/>
  <c r="J32" i="48" s="1"/>
  <c r="F33" i="48"/>
  <c r="J33" i="48" s="1"/>
  <c r="F34" i="48"/>
  <c r="J34" i="48" s="1"/>
  <c r="F35" i="48"/>
  <c r="J35" i="48" s="1"/>
  <c r="F36" i="48"/>
  <c r="J36" i="48" s="1"/>
  <c r="F37" i="48"/>
  <c r="J37" i="48" s="1"/>
  <c r="F38" i="48"/>
  <c r="J38" i="48" s="1"/>
  <c r="F39" i="48"/>
  <c r="J39" i="48" s="1"/>
  <c r="F40" i="48"/>
  <c r="J40" i="48" s="1"/>
  <c r="F41" i="48"/>
  <c r="J41" i="48" s="1"/>
  <c r="F42" i="48"/>
  <c r="J42" i="48" s="1"/>
  <c r="F43" i="48"/>
  <c r="J43" i="48" s="1"/>
  <c r="F44" i="48"/>
  <c r="J44" i="48" s="1"/>
  <c r="F45" i="48"/>
  <c r="J45" i="48" s="1"/>
  <c r="F46" i="48"/>
  <c r="J46" i="48" s="1"/>
  <c r="F47" i="48"/>
  <c r="J47" i="48" s="1"/>
  <c r="F48" i="48"/>
  <c r="J48" i="48" s="1"/>
  <c r="F49" i="48"/>
  <c r="J49" i="48" s="1"/>
  <c r="F50" i="48"/>
  <c r="J50" i="48" s="1"/>
  <c r="F51" i="48"/>
  <c r="J51" i="48" s="1"/>
  <c r="F52" i="48"/>
  <c r="J52" i="48" s="1"/>
  <c r="F53" i="48"/>
  <c r="J53" i="48" s="1"/>
  <c r="F54" i="48"/>
  <c r="J54" i="48" s="1"/>
  <c r="F55" i="48"/>
  <c r="J55" i="48" s="1"/>
  <c r="F56" i="48"/>
  <c r="J56" i="48" s="1"/>
  <c r="F57" i="48"/>
  <c r="J57" i="48" s="1"/>
  <c r="F58" i="48"/>
  <c r="J58" i="48" s="1"/>
  <c r="F59" i="48"/>
  <c r="J59" i="48" s="1"/>
  <c r="F60" i="48"/>
  <c r="J60" i="48" s="1"/>
  <c r="F61" i="48"/>
  <c r="J61" i="48" s="1"/>
  <c r="F62" i="48"/>
  <c r="J62" i="48" s="1"/>
  <c r="F63" i="48"/>
  <c r="J63" i="48" s="1"/>
  <c r="F64" i="48"/>
  <c r="J64" i="48" s="1"/>
  <c r="F65" i="48"/>
  <c r="J65" i="48" s="1"/>
  <c r="F66" i="48"/>
  <c r="J66" i="48" s="1"/>
  <c r="F67" i="48"/>
  <c r="J67" i="48" s="1"/>
  <c r="F68" i="48"/>
  <c r="J68" i="48" s="1"/>
  <c r="F69" i="48"/>
  <c r="J69" i="48" s="1"/>
  <c r="F70" i="48"/>
  <c r="J70" i="48" s="1"/>
  <c r="F71" i="48"/>
  <c r="J71" i="48" s="1"/>
  <c r="F72" i="48"/>
  <c r="J72" i="48" s="1"/>
  <c r="F73" i="48"/>
  <c r="J73" i="48" s="1"/>
  <c r="F74" i="48"/>
  <c r="J74" i="48" s="1"/>
  <c r="F75" i="48"/>
  <c r="J75" i="48" s="1"/>
  <c r="F76" i="48"/>
  <c r="J76" i="48" s="1"/>
  <c r="F77" i="48"/>
  <c r="J77" i="48" s="1"/>
  <c r="F78" i="48"/>
  <c r="J78" i="48" s="1"/>
  <c r="F2" i="48"/>
  <c r="J2" i="48" s="1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L8" i="27"/>
  <c r="M8" i="27" s="1"/>
  <c r="L14" i="27"/>
  <c r="L15" i="27" s="1"/>
  <c r="L16" i="27" s="1"/>
  <c r="L17" i="27" s="1"/>
  <c r="M17" i="27" s="1"/>
  <c r="L20" i="27"/>
  <c r="M20" i="27" s="1"/>
  <c r="L27" i="27"/>
  <c r="L32" i="27"/>
  <c r="L34" i="27"/>
  <c r="L35" i="27" s="1"/>
  <c r="M35" i="27" s="1"/>
  <c r="L36" i="27"/>
  <c r="M36" i="27" s="1"/>
  <c r="L37" i="27"/>
  <c r="M37" i="27" s="1"/>
  <c r="L38" i="27"/>
  <c r="M38" i="27" s="1"/>
  <c r="L39" i="27"/>
  <c r="M39" i="27" s="1"/>
  <c r="L40" i="27"/>
  <c r="M40" i="27" s="1"/>
  <c r="L41" i="27"/>
  <c r="L43" i="27"/>
  <c r="M43" i="27" s="1"/>
  <c r="L44" i="27"/>
  <c r="M44" i="27" s="1"/>
  <c r="L45" i="27"/>
  <c r="L49" i="27"/>
  <c r="M49" i="27" s="1"/>
  <c r="L50" i="27"/>
  <c r="L51" i="27" s="1"/>
  <c r="M51" i="27" s="1"/>
  <c r="L52" i="27"/>
  <c r="L54" i="27"/>
  <c r="L55" i="27" s="1"/>
  <c r="M55" i="27" s="1"/>
  <c r="L56" i="27"/>
  <c r="M56" i="27" s="1"/>
  <c r="L58" i="27"/>
  <c r="M58" i="27" s="1"/>
  <c r="L59" i="27"/>
  <c r="M59" i="27" s="1"/>
  <c r="L61" i="27"/>
  <c r="M61" i="27" s="1"/>
  <c r="L62" i="27"/>
  <c r="M62" i="27" s="1"/>
  <c r="L63" i="27"/>
  <c r="M63" i="27" s="1"/>
  <c r="L64" i="27"/>
  <c r="M64" i="27" s="1"/>
  <c r="L65" i="27"/>
  <c r="M65" i="27" s="1"/>
  <c r="L66" i="27"/>
  <c r="L67" i="27" s="1"/>
  <c r="L68" i="27" s="1"/>
  <c r="L69" i="27" s="1"/>
  <c r="M69" i="27" s="1"/>
  <c r="L70" i="27"/>
  <c r="M70" i="27" s="1"/>
  <c r="L71" i="27"/>
  <c r="M71" i="27" s="1"/>
  <c r="L73" i="27"/>
  <c r="M73" i="27" s="1"/>
  <c r="L75" i="27"/>
  <c r="M75" i="27" s="1"/>
  <c r="L77" i="27"/>
  <c r="M77" i="27" s="1"/>
  <c r="L79" i="27"/>
  <c r="M79" i="27" s="1"/>
  <c r="L81" i="27"/>
  <c r="M81" i="27" s="1"/>
  <c r="L82" i="27"/>
  <c r="L83" i="27" s="1"/>
  <c r="L84" i="27" s="1"/>
  <c r="M84" i="27" s="1"/>
  <c r="L85" i="27"/>
  <c r="M85" i="27" s="1"/>
  <c r="L86" i="27"/>
  <c r="M86" i="27" s="1"/>
  <c r="L87" i="27"/>
  <c r="M87" i="27" s="1"/>
  <c r="L88" i="27"/>
  <c r="M88" i="27" s="1"/>
  <c r="L90" i="27"/>
  <c r="L93" i="27"/>
  <c r="M93" i="27" s="1"/>
  <c r="L94" i="27"/>
  <c r="L95" i="27" s="1"/>
  <c r="L96" i="27" s="1"/>
  <c r="M96" i="27" s="1"/>
  <c r="L97" i="27"/>
  <c r="M97" i="27" s="1"/>
  <c r="L98" i="27"/>
  <c r="M98" i="27" s="1"/>
  <c r="L99" i="27"/>
  <c r="M99" i="27" s="1"/>
  <c r="L101" i="27"/>
  <c r="M101" i="27" s="1"/>
  <c r="L102" i="27"/>
  <c r="L105" i="27"/>
  <c r="M105" i="27" s="1"/>
  <c r="L106" i="27"/>
  <c r="L107" i="27" s="1"/>
  <c r="M107" i="27" s="1"/>
  <c r="L108" i="27"/>
  <c r="M108" i="27" s="1"/>
  <c r="L110" i="27"/>
  <c r="M110" i="27" s="1"/>
  <c r="L111" i="27"/>
  <c r="M111" i="27" s="1"/>
  <c r="L114" i="27"/>
  <c r="M114" i="27" s="1"/>
  <c r="L115" i="27"/>
  <c r="M115" i="27" s="1"/>
  <c r="L116" i="27"/>
  <c r="M116" i="27" s="1"/>
  <c r="L120" i="27"/>
  <c r="M120" i="27" s="1"/>
  <c r="L123" i="27"/>
  <c r="M123" i="27" s="1"/>
  <c r="L125" i="27"/>
  <c r="M125" i="27" s="1"/>
  <c r="L126" i="27"/>
  <c r="M126" i="27" s="1"/>
  <c r="L127" i="27"/>
  <c r="M127" i="27" s="1"/>
  <c r="L131" i="27"/>
  <c r="M131" i="27" s="1"/>
  <c r="L133" i="27"/>
  <c r="M133" i="27" s="1"/>
  <c r="L135" i="27"/>
  <c r="M135" i="27" s="1"/>
  <c r="L137" i="27"/>
  <c r="M137" i="27" s="1"/>
  <c r="L138" i="27"/>
  <c r="M138" i="27" s="1"/>
  <c r="L139" i="27"/>
  <c r="M139" i="27" s="1"/>
  <c r="L140" i="27"/>
  <c r="M140" i="27" s="1"/>
  <c r="L144" i="27"/>
  <c r="M144" i="27" s="1"/>
  <c r="L145" i="27"/>
  <c r="M145" i="27" s="1"/>
  <c r="L146" i="27"/>
  <c r="M146" i="27" s="1"/>
  <c r="L147" i="27"/>
  <c r="M147" i="27" s="1"/>
  <c r="L148" i="27"/>
  <c r="M148" i="27" s="1"/>
  <c r="L149" i="27"/>
  <c r="M149" i="27" s="1"/>
  <c r="L150" i="27"/>
  <c r="M150" i="27" s="1"/>
  <c r="L151" i="27"/>
  <c r="M151" i="27" s="1"/>
  <c r="L152" i="27"/>
  <c r="M152" i="27" s="1"/>
  <c r="L153" i="27"/>
  <c r="M153" i="27" s="1"/>
  <c r="L154" i="27"/>
  <c r="M154" i="27" s="1"/>
  <c r="L155" i="27"/>
  <c r="M155" i="27" s="1"/>
  <c r="L156" i="27"/>
  <c r="M156" i="27" s="1"/>
  <c r="L157" i="27"/>
  <c r="M157" i="27" s="1"/>
  <c r="L158" i="27"/>
  <c r="M158" i="27" s="1"/>
  <c r="L159" i="27"/>
  <c r="M159" i="27" s="1"/>
  <c r="L160" i="27"/>
  <c r="M160" i="27" s="1"/>
  <c r="L161" i="27"/>
  <c r="M161" i="27" s="1"/>
  <c r="L162" i="27"/>
  <c r="M162" i="27" s="1"/>
  <c r="L163" i="27"/>
  <c r="M163" i="27" s="1"/>
  <c r="L164" i="27"/>
  <c r="L165" i="27" s="1"/>
  <c r="L167" i="27"/>
  <c r="M167" i="27" s="1"/>
  <c r="L168" i="27"/>
  <c r="L169" i="27" s="1"/>
  <c r="M169" i="27" s="1"/>
  <c r="L170" i="27"/>
  <c r="M170" i="27" s="1"/>
  <c r="L171" i="27"/>
  <c r="M171" i="27" s="1"/>
  <c r="L172" i="27"/>
  <c r="M172" i="27" s="1"/>
  <c r="L173" i="27"/>
  <c r="M173" i="27" s="1"/>
  <c r="L174" i="27"/>
  <c r="L175" i="27" s="1"/>
  <c r="L176" i="27" s="1"/>
  <c r="L177" i="27" s="1"/>
  <c r="M177" i="27" s="1"/>
  <c r="L178" i="27"/>
  <c r="L179" i="27" s="1"/>
  <c r="M179" i="27" s="1"/>
  <c r="L180" i="27"/>
  <c r="M180" i="27" s="1"/>
  <c r="L181" i="27"/>
  <c r="M181" i="27" s="1"/>
  <c r="L183" i="27"/>
  <c r="M183" i="27" s="1"/>
  <c r="L184" i="27"/>
  <c r="L185" i="27" s="1"/>
  <c r="L200" i="27"/>
  <c r="M200" i="27" s="1"/>
  <c r="L201" i="27"/>
  <c r="M201" i="27" s="1"/>
  <c r="L202" i="27"/>
  <c r="M202" i="27" s="1"/>
  <c r="L203" i="27"/>
  <c r="M203" i="27" s="1"/>
  <c r="L204" i="27"/>
  <c r="M204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F181" i="27" s="1"/>
  <c r="J181" i="27" s="1"/>
  <c r="E182" i="27"/>
  <c r="E183" i="27"/>
  <c r="E184" i="27"/>
  <c r="F184" i="27" s="1"/>
  <c r="J184" i="27" s="1"/>
  <c r="E185" i="27"/>
  <c r="E186" i="27"/>
  <c r="E187" i="27"/>
  <c r="E188" i="27"/>
  <c r="F188" i="27" s="1"/>
  <c r="J188" i="27" s="1"/>
  <c r="E189" i="27"/>
  <c r="F189" i="27" s="1"/>
  <c r="J189" i="27" s="1"/>
  <c r="E190" i="27"/>
  <c r="E191" i="27"/>
  <c r="E192" i="27"/>
  <c r="F192" i="27" s="1"/>
  <c r="J192" i="27" s="1"/>
  <c r="E193" i="27"/>
  <c r="F193" i="27" s="1"/>
  <c r="J193" i="27" s="1"/>
  <c r="E194" i="27"/>
  <c r="E195" i="27"/>
  <c r="E196" i="27"/>
  <c r="F196" i="27" s="1"/>
  <c r="J196" i="27" s="1"/>
  <c r="E197" i="27"/>
  <c r="F197" i="27" s="1"/>
  <c r="J197" i="27" s="1"/>
  <c r="E198" i="27"/>
  <c r="E19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80" i="27"/>
  <c r="F180" i="27" s="1"/>
  <c r="J180" i="27" s="1"/>
  <c r="J77" i="40"/>
  <c r="J78" i="40"/>
  <c r="J58" i="40"/>
  <c r="J59" i="40"/>
  <c r="J7" i="40"/>
  <c r="J8" i="40"/>
  <c r="J9" i="40"/>
  <c r="J10" i="40"/>
  <c r="J11" i="40"/>
  <c r="J32" i="40"/>
  <c r="J33" i="40"/>
  <c r="J34" i="40"/>
  <c r="J35" i="40"/>
  <c r="J36" i="40"/>
  <c r="J37" i="40"/>
  <c r="J38" i="40"/>
  <c r="J39" i="40"/>
  <c r="J40" i="40"/>
  <c r="J61" i="40"/>
  <c r="J20" i="40"/>
  <c r="J21" i="40"/>
  <c r="J22" i="40"/>
  <c r="J28" i="40"/>
  <c r="J29" i="40"/>
  <c r="J30" i="40"/>
  <c r="J31" i="40"/>
  <c r="J74" i="40"/>
  <c r="J75" i="40"/>
  <c r="J17" i="40"/>
  <c r="J18" i="40"/>
  <c r="J19" i="40"/>
  <c r="J72" i="40"/>
  <c r="J73" i="40"/>
  <c r="J50" i="40"/>
  <c r="J60" i="40"/>
  <c r="J81" i="40"/>
  <c r="J82" i="40"/>
  <c r="J12" i="40"/>
  <c r="J13" i="40"/>
  <c r="J14" i="40"/>
  <c r="J15" i="40"/>
  <c r="J68" i="40"/>
  <c r="J69" i="40"/>
  <c r="J70" i="40"/>
  <c r="J71" i="40"/>
  <c r="J43" i="40"/>
  <c r="J44" i="40"/>
  <c r="J45" i="40"/>
  <c r="J46" i="40"/>
  <c r="J47" i="40"/>
  <c r="J48" i="40"/>
  <c r="J49" i="40"/>
  <c r="J62" i="40"/>
  <c r="J63" i="40"/>
  <c r="J64" i="40"/>
  <c r="J41" i="40"/>
  <c r="J42" i="40"/>
  <c r="J79" i="40"/>
  <c r="J80" i="40"/>
  <c r="J54" i="40"/>
  <c r="J55" i="40"/>
  <c r="J56" i="40"/>
  <c r="J57" i="40"/>
  <c r="J2" i="40"/>
  <c r="J3" i="40"/>
  <c r="J4" i="40"/>
  <c r="J5" i="40"/>
  <c r="J6" i="40"/>
  <c r="J23" i="40"/>
  <c r="J24" i="40"/>
  <c r="J25" i="40"/>
  <c r="J26" i="40"/>
  <c r="J27" i="40"/>
  <c r="J65" i="40"/>
  <c r="J66" i="40"/>
  <c r="J67" i="40"/>
  <c r="J83" i="40"/>
  <c r="J84" i="40"/>
  <c r="J85" i="40"/>
  <c r="J86" i="40"/>
  <c r="J16" i="40"/>
  <c r="J51" i="40"/>
  <c r="J52" i="40"/>
  <c r="J53" i="40"/>
  <c r="J87" i="40"/>
  <c r="J88" i="40"/>
  <c r="J76" i="40"/>
  <c r="I2" i="2" s="1"/>
  <c r="G194" i="27" l="1"/>
  <c r="F194" i="27"/>
  <c r="J194" i="27" s="1"/>
  <c r="G190" i="27"/>
  <c r="F190" i="27"/>
  <c r="J190" i="27" s="1"/>
  <c r="G186" i="27"/>
  <c r="F186" i="27"/>
  <c r="J186" i="27" s="1"/>
  <c r="G182" i="27"/>
  <c r="F182" i="27"/>
  <c r="J182" i="27" s="1"/>
  <c r="G198" i="27"/>
  <c r="F198" i="27"/>
  <c r="J198" i="27" s="1"/>
  <c r="G185" i="27"/>
  <c r="F185" i="27"/>
  <c r="J185" i="27" s="1"/>
  <c r="G199" i="27"/>
  <c r="F199" i="27"/>
  <c r="J199" i="27" s="1"/>
  <c r="G195" i="27"/>
  <c r="F195" i="27"/>
  <c r="J195" i="27" s="1"/>
  <c r="G191" i="27"/>
  <c r="F191" i="27"/>
  <c r="J191" i="27" s="1"/>
  <c r="G187" i="27"/>
  <c r="F187" i="27"/>
  <c r="J187" i="27" s="1"/>
  <c r="G183" i="27"/>
  <c r="F183" i="27"/>
  <c r="J183" i="27" s="1"/>
  <c r="B6" i="53"/>
  <c r="K6" i="53" s="1"/>
  <c r="AJ137" i="27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I121" i="27"/>
  <c r="AI117" i="27"/>
  <c r="AI113" i="27"/>
  <c r="AI109" i="27"/>
  <c r="AI105" i="27"/>
  <c r="AI101" i="27"/>
  <c r="AI97" i="27"/>
  <c r="AI93" i="27"/>
  <c r="AI89" i="27"/>
  <c r="AI85" i="27"/>
  <c r="AI81" i="27"/>
  <c r="AI77" i="27"/>
  <c r="AI73" i="27"/>
  <c r="AI69" i="27"/>
  <c r="AI65" i="27"/>
  <c r="AI61" i="27"/>
  <c r="AI57" i="27"/>
  <c r="AI53" i="27"/>
  <c r="AI49" i="27"/>
  <c r="AI45" i="27"/>
  <c r="AI41" i="27"/>
  <c r="AI37" i="27"/>
  <c r="AI33" i="27"/>
  <c r="AI29" i="27"/>
  <c r="AI25" i="27"/>
  <c r="AI21" i="27"/>
  <c r="AI17" i="27"/>
  <c r="AI13" i="27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L18" i="27"/>
  <c r="M18" i="27" s="1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L100" i="27"/>
  <c r="M100" i="27" s="1"/>
  <c r="L21" i="27"/>
  <c r="M21" i="27" s="1"/>
  <c r="L9" i="27"/>
  <c r="M9" i="27" s="1"/>
  <c r="L74" i="27"/>
  <c r="M74" i="27" s="1"/>
  <c r="L10" i="27"/>
  <c r="L3" i="27"/>
  <c r="M3" i="27" s="1"/>
  <c r="M14" i="27"/>
  <c r="L117" i="27"/>
  <c r="M117" i="27" s="1"/>
  <c r="L78" i="27"/>
  <c r="M78" i="27" s="1"/>
  <c r="L182" i="27"/>
  <c r="M182" i="27" s="1"/>
  <c r="L141" i="27"/>
  <c r="M141" i="27" s="1"/>
  <c r="L121" i="27"/>
  <c r="M121" i="27" s="1"/>
  <c r="L109" i="27"/>
  <c r="M109" i="27" s="1"/>
  <c r="L57" i="27"/>
  <c r="M57" i="27" s="1"/>
  <c r="M168" i="27"/>
  <c r="L80" i="27"/>
  <c r="M80" i="27" s="1"/>
  <c r="L76" i="27"/>
  <c r="M76" i="27" s="1"/>
  <c r="L72" i="27"/>
  <c r="M72" i="27" s="1"/>
  <c r="M185" i="27"/>
  <c r="L186" i="27"/>
  <c r="M165" i="27"/>
  <c r="L166" i="27"/>
  <c r="M166" i="27" s="1"/>
  <c r="L142" i="27"/>
  <c r="L143" i="27" s="1"/>
  <c r="M143" i="27" s="1"/>
  <c r="L134" i="27"/>
  <c r="M134" i="27" s="1"/>
  <c r="L112" i="27"/>
  <c r="L89" i="27"/>
  <c r="M89" i="27" s="1"/>
  <c r="L60" i="27"/>
  <c r="M60" i="27" s="1"/>
  <c r="M184" i="27"/>
  <c r="M174" i="27"/>
  <c r="M164" i="27"/>
  <c r="M94" i="27"/>
  <c r="L136" i="27"/>
  <c r="M136" i="27" s="1"/>
  <c r="L132" i="27"/>
  <c r="M132" i="27" s="1"/>
  <c r="L128" i="27"/>
  <c r="L124" i="27"/>
  <c r="M124" i="27" s="1"/>
  <c r="M106" i="27"/>
  <c r="M82" i="27"/>
  <c r="M68" i="27"/>
  <c r="M54" i="27"/>
  <c r="M34" i="27"/>
  <c r="M66" i="27"/>
  <c r="M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E178" i="27"/>
  <c r="F178" i="27" s="1"/>
  <c r="J178" i="27" s="1"/>
  <c r="E174" i="27"/>
  <c r="E170" i="27"/>
  <c r="E166" i="27"/>
  <c r="E162" i="27"/>
  <c r="F162" i="27" s="1"/>
  <c r="J162" i="27" s="1"/>
  <c r="E158" i="27"/>
  <c r="E154" i="27"/>
  <c r="E150" i="27"/>
  <c r="E146" i="27"/>
  <c r="F146" i="27" s="1"/>
  <c r="J146" i="27" s="1"/>
  <c r="E142" i="27"/>
  <c r="E138" i="27"/>
  <c r="F138" i="27" s="1"/>
  <c r="J138" i="27" s="1"/>
  <c r="E134" i="27"/>
  <c r="E130" i="27"/>
  <c r="F130" i="27" s="1"/>
  <c r="J130" i="27" s="1"/>
  <c r="E126" i="27"/>
  <c r="F126" i="27" s="1"/>
  <c r="J126" i="27" s="1"/>
  <c r="E122" i="27"/>
  <c r="F122" i="27" s="1"/>
  <c r="J122" i="27" s="1"/>
  <c r="E118" i="27"/>
  <c r="E114" i="27"/>
  <c r="E110" i="27"/>
  <c r="F110" i="27" s="1"/>
  <c r="J110" i="27" s="1"/>
  <c r="E106" i="27"/>
  <c r="F106" i="27" s="1"/>
  <c r="J106" i="27" s="1"/>
  <c r="E102" i="27"/>
  <c r="E98" i="27"/>
  <c r="E94" i="27"/>
  <c r="F94" i="27" s="1"/>
  <c r="J94" i="27" s="1"/>
  <c r="E90" i="27"/>
  <c r="F90" i="27" s="1"/>
  <c r="J90" i="27" s="1"/>
  <c r="E86" i="27"/>
  <c r="F86" i="27" s="1"/>
  <c r="J86" i="27" s="1"/>
  <c r="E82" i="27"/>
  <c r="F82" i="27" s="1"/>
  <c r="J82" i="27" s="1"/>
  <c r="E78" i="27"/>
  <c r="F78" i="27" s="1"/>
  <c r="J78" i="27" s="1"/>
  <c r="E74" i="27"/>
  <c r="F74" i="27" s="1"/>
  <c r="J74" i="27" s="1"/>
  <c r="E70" i="27"/>
  <c r="E66" i="27"/>
  <c r="F66" i="27" s="1"/>
  <c r="J66" i="27" s="1"/>
  <c r="E62" i="27"/>
  <c r="E58" i="27"/>
  <c r="E54" i="27"/>
  <c r="F54" i="27" s="1"/>
  <c r="J54" i="27" s="1"/>
  <c r="E50" i="27"/>
  <c r="F50" i="27" s="1"/>
  <c r="J50" i="27" s="1"/>
  <c r="E46" i="27"/>
  <c r="F46" i="27" s="1"/>
  <c r="J46" i="27" s="1"/>
  <c r="E42" i="27"/>
  <c r="F42" i="27" s="1"/>
  <c r="J42" i="27" s="1"/>
  <c r="E38" i="27"/>
  <c r="E34" i="27"/>
  <c r="F34" i="27" s="1"/>
  <c r="J34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F201" i="27" s="1"/>
  <c r="J201" i="27" s="1"/>
  <c r="G197" i="27"/>
  <c r="G193" i="27"/>
  <c r="G189" i="27"/>
  <c r="G181" i="27"/>
  <c r="E177" i="27"/>
  <c r="F177" i="27" s="1"/>
  <c r="J177" i="27" s="1"/>
  <c r="E173" i="27"/>
  <c r="F173" i="27" s="1"/>
  <c r="J173" i="27" s="1"/>
  <c r="E169" i="27"/>
  <c r="F169" i="27" s="1"/>
  <c r="J169" i="27" s="1"/>
  <c r="E165" i="27"/>
  <c r="F165" i="27" s="1"/>
  <c r="J165" i="27" s="1"/>
  <c r="E161" i="27"/>
  <c r="F161" i="27" s="1"/>
  <c r="J161" i="27" s="1"/>
  <c r="E157" i="27"/>
  <c r="F157" i="27" s="1"/>
  <c r="J157" i="27" s="1"/>
  <c r="E153" i="27"/>
  <c r="F153" i="27" s="1"/>
  <c r="J153" i="27" s="1"/>
  <c r="E149" i="27"/>
  <c r="F149" i="27" s="1"/>
  <c r="J149" i="27" s="1"/>
  <c r="E145" i="27"/>
  <c r="F145" i="27" s="1"/>
  <c r="J145" i="27" s="1"/>
  <c r="E141" i="27"/>
  <c r="F141" i="27" s="1"/>
  <c r="J141" i="27" s="1"/>
  <c r="E137" i="27"/>
  <c r="F137" i="27" s="1"/>
  <c r="J137" i="27" s="1"/>
  <c r="E133" i="27"/>
  <c r="F133" i="27" s="1"/>
  <c r="J133" i="27" s="1"/>
  <c r="E129" i="27"/>
  <c r="F129" i="27" s="1"/>
  <c r="J129" i="27" s="1"/>
  <c r="E125" i="27"/>
  <c r="F125" i="27" s="1"/>
  <c r="J125" i="27" s="1"/>
  <c r="E121" i="27"/>
  <c r="F121" i="27" s="1"/>
  <c r="J121" i="27" s="1"/>
  <c r="E117" i="27"/>
  <c r="F117" i="27" s="1"/>
  <c r="J117" i="27" s="1"/>
  <c r="E113" i="27"/>
  <c r="F113" i="27" s="1"/>
  <c r="J113" i="27" s="1"/>
  <c r="E109" i="27"/>
  <c r="F109" i="27" s="1"/>
  <c r="J109" i="27" s="1"/>
  <c r="E105" i="27"/>
  <c r="F105" i="27" s="1"/>
  <c r="J105" i="27" s="1"/>
  <c r="E101" i="27"/>
  <c r="F101" i="27" s="1"/>
  <c r="J101" i="27" s="1"/>
  <c r="E97" i="27"/>
  <c r="F97" i="27" s="1"/>
  <c r="J97" i="27" s="1"/>
  <c r="E93" i="27"/>
  <c r="F93" i="27" s="1"/>
  <c r="J93" i="27" s="1"/>
  <c r="E89" i="27"/>
  <c r="F89" i="27" s="1"/>
  <c r="J89" i="27" s="1"/>
  <c r="E85" i="27"/>
  <c r="F85" i="27" s="1"/>
  <c r="J85" i="27" s="1"/>
  <c r="E81" i="27"/>
  <c r="F81" i="27" s="1"/>
  <c r="J81" i="27" s="1"/>
  <c r="E77" i="27"/>
  <c r="F77" i="27" s="1"/>
  <c r="J77" i="27" s="1"/>
  <c r="E73" i="27"/>
  <c r="F73" i="27" s="1"/>
  <c r="J73" i="27" s="1"/>
  <c r="E69" i="27"/>
  <c r="F69" i="27" s="1"/>
  <c r="J69" i="27" s="1"/>
  <c r="E65" i="27"/>
  <c r="F65" i="27" s="1"/>
  <c r="J65" i="27" s="1"/>
  <c r="E61" i="27"/>
  <c r="F61" i="27" s="1"/>
  <c r="J61" i="27" s="1"/>
  <c r="E57" i="27"/>
  <c r="F57" i="27" s="1"/>
  <c r="J57" i="27" s="1"/>
  <c r="E53" i="27"/>
  <c r="F53" i="27" s="1"/>
  <c r="J53" i="27" s="1"/>
  <c r="E49" i="27"/>
  <c r="F49" i="27" s="1"/>
  <c r="J49" i="27" s="1"/>
  <c r="E45" i="27"/>
  <c r="F45" i="27" s="1"/>
  <c r="J45" i="27" s="1"/>
  <c r="E41" i="27"/>
  <c r="F41" i="27" s="1"/>
  <c r="J41" i="27" s="1"/>
  <c r="E37" i="27"/>
  <c r="F37" i="27" s="1"/>
  <c r="J37" i="27" s="1"/>
  <c r="E33" i="27"/>
  <c r="F33" i="27" s="1"/>
  <c r="J33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200" i="27"/>
  <c r="G196" i="27"/>
  <c r="G192" i="27"/>
  <c r="G188" i="27"/>
  <c r="G184" i="27"/>
  <c r="E176" i="27"/>
  <c r="F176" i="27" s="1"/>
  <c r="J176" i="27" s="1"/>
  <c r="E172" i="27"/>
  <c r="F172" i="27" s="1"/>
  <c r="J172" i="27" s="1"/>
  <c r="E168" i="27"/>
  <c r="F168" i="27" s="1"/>
  <c r="J168" i="27" s="1"/>
  <c r="E164" i="27"/>
  <c r="F164" i="27" s="1"/>
  <c r="J164" i="27" s="1"/>
  <c r="E160" i="27"/>
  <c r="F160" i="27" s="1"/>
  <c r="J160" i="27" s="1"/>
  <c r="E156" i="27"/>
  <c r="F156" i="27" s="1"/>
  <c r="J156" i="27" s="1"/>
  <c r="E152" i="27"/>
  <c r="F152" i="27" s="1"/>
  <c r="J152" i="27" s="1"/>
  <c r="E148" i="27"/>
  <c r="F148" i="27" s="1"/>
  <c r="J148" i="27" s="1"/>
  <c r="E144" i="27"/>
  <c r="F144" i="27" s="1"/>
  <c r="J144" i="27" s="1"/>
  <c r="E140" i="27"/>
  <c r="F140" i="27" s="1"/>
  <c r="J140" i="27" s="1"/>
  <c r="E136" i="27"/>
  <c r="F136" i="27" s="1"/>
  <c r="J136" i="27" s="1"/>
  <c r="E132" i="27"/>
  <c r="F132" i="27" s="1"/>
  <c r="J132" i="27" s="1"/>
  <c r="E128" i="27"/>
  <c r="F128" i="27" s="1"/>
  <c r="J128" i="27" s="1"/>
  <c r="E124" i="27"/>
  <c r="F124" i="27" s="1"/>
  <c r="J124" i="27" s="1"/>
  <c r="E120" i="27"/>
  <c r="F120" i="27" s="1"/>
  <c r="J120" i="27" s="1"/>
  <c r="E116" i="27"/>
  <c r="F116" i="27" s="1"/>
  <c r="J116" i="27" s="1"/>
  <c r="E112" i="27"/>
  <c r="F112" i="27" s="1"/>
  <c r="J112" i="27" s="1"/>
  <c r="E108" i="27"/>
  <c r="F108" i="27" s="1"/>
  <c r="J108" i="27" s="1"/>
  <c r="E104" i="27"/>
  <c r="F104" i="27" s="1"/>
  <c r="J104" i="27" s="1"/>
  <c r="E100" i="27"/>
  <c r="F100" i="27" s="1"/>
  <c r="J100" i="27" s="1"/>
  <c r="E96" i="27"/>
  <c r="F96" i="27" s="1"/>
  <c r="J96" i="27" s="1"/>
  <c r="E92" i="27"/>
  <c r="F92" i="27" s="1"/>
  <c r="J92" i="27" s="1"/>
  <c r="E88" i="27"/>
  <c r="F88" i="27" s="1"/>
  <c r="J88" i="27" s="1"/>
  <c r="E84" i="27"/>
  <c r="F84" i="27" s="1"/>
  <c r="J84" i="27" s="1"/>
  <c r="E80" i="27"/>
  <c r="F80" i="27" s="1"/>
  <c r="J80" i="27" s="1"/>
  <c r="E76" i="27"/>
  <c r="E72" i="27"/>
  <c r="F72" i="27" s="1"/>
  <c r="J72" i="27" s="1"/>
  <c r="E68" i="27"/>
  <c r="F68" i="27" s="1"/>
  <c r="J68" i="27" s="1"/>
  <c r="E64" i="27"/>
  <c r="F64" i="27" s="1"/>
  <c r="J64" i="27" s="1"/>
  <c r="E60" i="27"/>
  <c r="E56" i="27"/>
  <c r="F56" i="27" s="1"/>
  <c r="J56" i="27" s="1"/>
  <c r="E52" i="27"/>
  <c r="F52" i="27" s="1"/>
  <c r="J52" i="27" s="1"/>
  <c r="E48" i="27"/>
  <c r="F48" i="27" s="1"/>
  <c r="J48" i="27" s="1"/>
  <c r="E44" i="27"/>
  <c r="F44" i="27" s="1"/>
  <c r="J44" i="27" s="1"/>
  <c r="E40" i="27"/>
  <c r="F40" i="27" s="1"/>
  <c r="J40" i="27" s="1"/>
  <c r="E36" i="27"/>
  <c r="F36" i="27" s="1"/>
  <c r="J36" i="27" s="1"/>
  <c r="E32" i="27"/>
  <c r="F32" i="27" s="1"/>
  <c r="J32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E179" i="27"/>
  <c r="E175" i="27"/>
  <c r="F175" i="27" s="1"/>
  <c r="J175" i="27" s="1"/>
  <c r="E171" i="27"/>
  <c r="F171" i="27" s="1"/>
  <c r="J171" i="27" s="1"/>
  <c r="E167" i="27"/>
  <c r="E163" i="27"/>
  <c r="E159" i="27"/>
  <c r="E155" i="27"/>
  <c r="F155" i="27" s="1"/>
  <c r="J155" i="27" s="1"/>
  <c r="E151" i="27"/>
  <c r="E147" i="27"/>
  <c r="E143" i="27"/>
  <c r="F143" i="27" s="1"/>
  <c r="J143" i="27" s="1"/>
  <c r="E139" i="27"/>
  <c r="F139" i="27" s="1"/>
  <c r="J139" i="27" s="1"/>
  <c r="E135" i="27"/>
  <c r="E131" i="27"/>
  <c r="F131" i="27" s="1"/>
  <c r="J131" i="27" s="1"/>
  <c r="E127" i="27"/>
  <c r="E123" i="27"/>
  <c r="F123" i="27" s="1"/>
  <c r="J123" i="27" s="1"/>
  <c r="E119" i="27"/>
  <c r="E115" i="27"/>
  <c r="F115" i="27" s="1"/>
  <c r="J115" i="27" s="1"/>
  <c r="E111" i="27"/>
  <c r="E107" i="27"/>
  <c r="F107" i="27" s="1"/>
  <c r="J107" i="27" s="1"/>
  <c r="E103" i="27"/>
  <c r="E99" i="27"/>
  <c r="F99" i="27" s="1"/>
  <c r="J99" i="27" s="1"/>
  <c r="E95" i="27"/>
  <c r="E91" i="27"/>
  <c r="F91" i="27" s="1"/>
  <c r="J91" i="27" s="1"/>
  <c r="E87" i="27"/>
  <c r="E83" i="27"/>
  <c r="F83" i="27" s="1"/>
  <c r="J83" i="27" s="1"/>
  <c r="E79" i="27"/>
  <c r="F79" i="27" s="1"/>
  <c r="J79" i="27" s="1"/>
  <c r="E75" i="27"/>
  <c r="F75" i="27" s="1"/>
  <c r="J75" i="27" s="1"/>
  <c r="E71" i="27"/>
  <c r="E67" i="27"/>
  <c r="F67" i="27" s="1"/>
  <c r="J67" i="27" s="1"/>
  <c r="E63" i="27"/>
  <c r="E59" i="27"/>
  <c r="F59" i="27" s="1"/>
  <c r="J59" i="27" s="1"/>
  <c r="E55" i="27"/>
  <c r="E51" i="27"/>
  <c r="F51" i="27" s="1"/>
  <c r="J51" i="27" s="1"/>
  <c r="E47" i="27"/>
  <c r="F47" i="27" s="1"/>
  <c r="J47" i="27" s="1"/>
  <c r="E43" i="27"/>
  <c r="F43" i="27" s="1"/>
  <c r="J43" i="27" s="1"/>
  <c r="E39" i="27"/>
  <c r="E35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M178" i="27"/>
  <c r="L46" i="27"/>
  <c r="M45" i="27"/>
  <c r="M142" i="27"/>
  <c r="L42" i="27"/>
  <c r="M42" i="27" s="1"/>
  <c r="M41" i="27"/>
  <c r="L53" i="27"/>
  <c r="M53" i="27" s="1"/>
  <c r="M52" i="27"/>
  <c r="M27" i="27"/>
  <c r="L28" i="27"/>
  <c r="L19" i="27"/>
  <c r="M19" i="27" s="1"/>
  <c r="L118" i="27"/>
  <c r="L103" i="27"/>
  <c r="M102" i="27"/>
  <c r="L91" i="27"/>
  <c r="M90" i="27"/>
  <c r="L33" i="27"/>
  <c r="M33" i="27" s="1"/>
  <c r="M32" i="27"/>
  <c r="M176" i="27"/>
  <c r="M16" i="27"/>
  <c r="M175" i="27"/>
  <c r="M95" i="27"/>
  <c r="M83" i="27"/>
  <c r="M67" i="27"/>
  <c r="M15" i="27"/>
  <c r="G2" i="27"/>
  <c r="G97" i="27"/>
  <c r="G180" i="27"/>
  <c r="G126" i="27"/>
  <c r="G14" i="27"/>
  <c r="G157" i="27"/>
  <c r="G141" i="27"/>
  <c r="G109" i="27"/>
  <c r="G93" i="27"/>
  <c r="G77" i="27"/>
  <c r="G61" i="27"/>
  <c r="G29" i="27"/>
  <c r="G13" i="27"/>
  <c r="G110" i="27"/>
  <c r="G86" i="27"/>
  <c r="G78" i="27"/>
  <c r="G54" i="27"/>
  <c r="G30" i="27"/>
  <c r="G160" i="27"/>
  <c r="G144" i="27"/>
  <c r="G120" i="27"/>
  <c r="G112" i="27"/>
  <c r="G96" i="27"/>
  <c r="G88" i="27"/>
  <c r="G80" i="27"/>
  <c r="G64" i="27"/>
  <c r="G40" i="27"/>
  <c r="G32" i="27"/>
  <c r="G16" i="27"/>
  <c r="G176" i="27"/>
  <c r="G9" i="27"/>
  <c r="G94" i="27"/>
  <c r="G46" i="27"/>
  <c r="G131" i="27"/>
  <c r="G123" i="27"/>
  <c r="G115" i="27"/>
  <c r="G99" i="27"/>
  <c r="G91" i="27"/>
  <c r="G83" i="27"/>
  <c r="G43" i="27"/>
  <c r="G19" i="27"/>
  <c r="G173" i="27"/>
  <c r="G53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AG144" i="27" l="1"/>
  <c r="G117" i="27"/>
  <c r="G75" i="27"/>
  <c r="G107" i="27"/>
  <c r="G139" i="27"/>
  <c r="G72" i="27"/>
  <c r="G104" i="27"/>
  <c r="G162" i="27"/>
  <c r="G39" i="27"/>
  <c r="F39" i="27"/>
  <c r="J39" i="27" s="1"/>
  <c r="G71" i="27"/>
  <c r="F71" i="27"/>
  <c r="J71" i="27" s="1"/>
  <c r="G119" i="27"/>
  <c r="F119" i="27"/>
  <c r="J119" i="27" s="1"/>
  <c r="G203" i="27"/>
  <c r="F203" i="27"/>
  <c r="J203" i="27" s="1"/>
  <c r="G200" i="27"/>
  <c r="F200" i="27"/>
  <c r="J200" i="27" s="1"/>
  <c r="G18" i="27"/>
  <c r="F18" i="27"/>
  <c r="J18" i="27" s="1"/>
  <c r="G98" i="27"/>
  <c r="F98" i="27"/>
  <c r="J98" i="27" s="1"/>
  <c r="G114" i="27"/>
  <c r="F114" i="27"/>
  <c r="J114" i="27" s="1"/>
  <c r="G178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38" i="27"/>
  <c r="F38" i="27"/>
  <c r="J38" i="27" s="1"/>
  <c r="G70" i="27"/>
  <c r="F70" i="27"/>
  <c r="J70" i="27" s="1"/>
  <c r="G102" i="27"/>
  <c r="F102" i="27"/>
  <c r="J102" i="27" s="1"/>
  <c r="G118" i="27"/>
  <c r="F118" i="27"/>
  <c r="J118" i="27" s="1"/>
  <c r="G134" i="27"/>
  <c r="F134" i="27"/>
  <c r="J134" i="27" s="1"/>
  <c r="G150" i="27"/>
  <c r="F150" i="27"/>
  <c r="J150" i="27" s="1"/>
  <c r="G166" i="27"/>
  <c r="F166" i="27"/>
  <c r="J166" i="27" s="1"/>
  <c r="G202" i="27"/>
  <c r="F202" i="27"/>
  <c r="J202" i="27" s="1"/>
  <c r="G7" i="27"/>
  <c r="F7" i="27"/>
  <c r="J7" i="27" s="1"/>
  <c r="G23" i="27"/>
  <c r="F23" i="27"/>
  <c r="J23" i="27" s="1"/>
  <c r="G87" i="27"/>
  <c r="F87" i="27"/>
  <c r="J87" i="27" s="1"/>
  <c r="G135" i="27"/>
  <c r="F135" i="27"/>
  <c r="J135" i="27" s="1"/>
  <c r="G167" i="27"/>
  <c r="F167" i="27"/>
  <c r="J167" i="27" s="1"/>
  <c r="G63" i="27"/>
  <c r="F63" i="27"/>
  <c r="J63" i="27" s="1"/>
  <c r="G95" i="27"/>
  <c r="F95" i="27"/>
  <c r="J95" i="27" s="1"/>
  <c r="G159" i="27"/>
  <c r="F159" i="27"/>
  <c r="J159" i="27" s="1"/>
  <c r="G28" i="27"/>
  <c r="F28" i="27"/>
  <c r="J28" i="27" s="1"/>
  <c r="G60" i="27"/>
  <c r="F60" i="27"/>
  <c r="J60" i="27" s="1"/>
  <c r="G76" i="27"/>
  <c r="F76" i="27"/>
  <c r="J76" i="27" s="1"/>
  <c r="G58" i="27"/>
  <c r="F58" i="27"/>
  <c r="J58" i="27" s="1"/>
  <c r="G55" i="27"/>
  <c r="F55" i="27"/>
  <c r="J55" i="27" s="1"/>
  <c r="G103" i="27"/>
  <c r="F103" i="27"/>
  <c r="J103" i="27" s="1"/>
  <c r="G151" i="27"/>
  <c r="F151" i="27"/>
  <c r="J151" i="27" s="1"/>
  <c r="L4" i="27"/>
  <c r="M4" i="27" s="1"/>
  <c r="G31" i="27"/>
  <c r="F31" i="27"/>
  <c r="J31" i="27" s="1"/>
  <c r="G111" i="27"/>
  <c r="F111" i="27"/>
  <c r="J111" i="27" s="1"/>
  <c r="G127" i="27"/>
  <c r="F127" i="27"/>
  <c r="J127" i="27" s="1"/>
  <c r="G154" i="27"/>
  <c r="F154" i="27"/>
  <c r="J154" i="27" s="1"/>
  <c r="G170" i="27"/>
  <c r="F170" i="27"/>
  <c r="J170" i="27" s="1"/>
  <c r="G153" i="27"/>
  <c r="G146" i="27"/>
  <c r="G49" i="27"/>
  <c r="G35" i="27"/>
  <c r="F35" i="27"/>
  <c r="J35" i="27" s="1"/>
  <c r="G147" i="27"/>
  <c r="F147" i="27"/>
  <c r="J147" i="27" s="1"/>
  <c r="G163" i="27"/>
  <c r="F163" i="27"/>
  <c r="J163" i="27" s="1"/>
  <c r="G179" i="27"/>
  <c r="F179" i="27"/>
  <c r="J179" i="27" s="1"/>
  <c r="G62" i="27"/>
  <c r="F62" i="27"/>
  <c r="J62" i="27" s="1"/>
  <c r="G142" i="27"/>
  <c r="F142" i="27"/>
  <c r="J142" i="27" s="1"/>
  <c r="G158" i="27"/>
  <c r="F158" i="27"/>
  <c r="J158" i="27" s="1"/>
  <c r="G174" i="27"/>
  <c r="F174" i="27"/>
  <c r="J174" i="27" s="1"/>
  <c r="AG13" i="27"/>
  <c r="AG29" i="27"/>
  <c r="AG45" i="27"/>
  <c r="AG61" i="27"/>
  <c r="AG77" i="27"/>
  <c r="AG93" i="27"/>
  <c r="AG109" i="27"/>
  <c r="AG125" i="27"/>
  <c r="B7" i="53"/>
  <c r="K7" i="53" s="1"/>
  <c r="AG14" i="27"/>
  <c r="AG78" i="27"/>
  <c r="AG12" i="27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G69" i="27"/>
  <c r="G133" i="27"/>
  <c r="G11" i="27"/>
  <c r="G27" i="27"/>
  <c r="G171" i="27"/>
  <c r="G168" i="27"/>
  <c r="G21" i="27"/>
  <c r="G85" i="27"/>
  <c r="G149" i="27"/>
  <c r="G59" i="27"/>
  <c r="G155" i="27"/>
  <c r="G56" i="27"/>
  <c r="G136" i="27"/>
  <c r="G152" i="27"/>
  <c r="G37" i="27"/>
  <c r="G101" i="27"/>
  <c r="G165" i="27"/>
  <c r="G5" i="27"/>
  <c r="G25" i="27"/>
  <c r="G12" i="27"/>
  <c r="G10" i="27"/>
  <c r="G26" i="27"/>
  <c r="G74" i="27"/>
  <c r="G73" i="27"/>
  <c r="G156" i="27"/>
  <c r="G105" i="27"/>
  <c r="G108" i="27"/>
  <c r="G169" i="27"/>
  <c r="G175" i="27"/>
  <c r="G172" i="27"/>
  <c r="G143" i="27"/>
  <c r="G137" i="27"/>
  <c r="G140" i="27"/>
  <c r="G138" i="27"/>
  <c r="G124" i="27"/>
  <c r="G121" i="27"/>
  <c r="G128" i="27"/>
  <c r="G122" i="27"/>
  <c r="G125" i="27"/>
  <c r="G106" i="27"/>
  <c r="G92" i="27"/>
  <c r="G90" i="27"/>
  <c r="G89" i="27"/>
  <c r="G67" i="27"/>
  <c r="G57" i="27"/>
  <c r="G51" i="27"/>
  <c r="G41" i="27"/>
  <c r="G44" i="27"/>
  <c r="G42" i="27"/>
  <c r="M28" i="27"/>
  <c r="L29" i="27"/>
  <c r="L22" i="27"/>
  <c r="M10" i="27"/>
  <c r="L11" i="27"/>
  <c r="G3" i="27"/>
  <c r="L122" i="27"/>
  <c r="M122" i="27" s="1"/>
  <c r="G48" i="27"/>
  <c r="G45" i="27"/>
  <c r="M112" i="27"/>
  <c r="L113" i="27"/>
  <c r="M113" i="27" s="1"/>
  <c r="L187" i="27"/>
  <c r="M186" i="27"/>
  <c r="M128" i="27"/>
  <c r="L129" i="27"/>
  <c r="G34" i="27"/>
  <c r="G82" i="27"/>
  <c r="G130" i="27"/>
  <c r="G20" i="27"/>
  <c r="G36" i="27"/>
  <c r="G52" i="27"/>
  <c r="G68" i="27"/>
  <c r="G84" i="27"/>
  <c r="G100" i="27"/>
  <c r="G116" i="27"/>
  <c r="G132" i="27"/>
  <c r="G148" i="27"/>
  <c r="G164" i="27"/>
  <c r="G66" i="27"/>
  <c r="G50" i="27"/>
  <c r="G65" i="27"/>
  <c r="G161" i="27"/>
  <c r="G4" i="27"/>
  <c r="G129" i="27"/>
  <c r="G113" i="27"/>
  <c r="G145" i="27"/>
  <c r="G17" i="27"/>
  <c r="G177" i="27"/>
  <c r="G33" i="27"/>
  <c r="G81" i="27"/>
  <c r="G204" i="27"/>
  <c r="G201" i="27"/>
  <c r="G15" i="27"/>
  <c r="G47" i="27"/>
  <c r="G79" i="27"/>
  <c r="L104" i="27"/>
  <c r="M104" i="27" s="1"/>
  <c r="M103" i="27"/>
  <c r="L47" i="27"/>
  <c r="M46" i="27"/>
  <c r="L92" i="27"/>
  <c r="M92" i="27" s="1"/>
  <c r="M91" i="27"/>
  <c r="L119" i="27"/>
  <c r="M119" i="27" s="1"/>
  <c r="M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L5" i="27" l="1"/>
  <c r="B8" i="53"/>
  <c r="K8" i="53" s="1"/>
  <c r="M29" i="27"/>
  <c r="L30" i="27"/>
  <c r="M22" i="27"/>
  <c r="L23" i="27"/>
  <c r="M11" i="27"/>
  <c r="L12" i="27"/>
  <c r="L188" i="27"/>
  <c r="M187" i="27"/>
  <c r="M129" i="27"/>
  <c r="L130" i="27"/>
  <c r="M130" i="27" s="1"/>
  <c r="L6" i="27"/>
  <c r="M5" i="27"/>
  <c r="L48" i="27"/>
  <c r="M48" i="27" s="1"/>
  <c r="M47" i="27"/>
  <c r="D152" i="43"/>
  <c r="Q152" i="43"/>
  <c r="D140" i="43"/>
  <c r="Q140" i="43"/>
  <c r="D128" i="43"/>
  <c r="Q128" i="43"/>
  <c r="D116" i="43"/>
  <c r="Q116" i="43"/>
  <c r="D104" i="43"/>
  <c r="Q104" i="43"/>
  <c r="D92" i="43"/>
  <c r="Q92" i="43"/>
  <c r="D80" i="43"/>
  <c r="Q80" i="43"/>
  <c r="D68" i="43"/>
  <c r="Q68" i="43"/>
  <c r="D52" i="43"/>
  <c r="Q52" i="43"/>
  <c r="D48" i="43"/>
  <c r="Q48" i="43"/>
  <c r="D32" i="43"/>
  <c r="Q32" i="43"/>
  <c r="D24" i="43"/>
  <c r="Q24" i="43"/>
  <c r="D12" i="43"/>
  <c r="Q12" i="43"/>
  <c r="D8" i="43"/>
  <c r="Q8" i="43"/>
  <c r="D155" i="43"/>
  <c r="Q155" i="43"/>
  <c r="D151" i="43"/>
  <c r="Q151" i="43"/>
  <c r="D147" i="43"/>
  <c r="Q147" i="43"/>
  <c r="D143" i="43"/>
  <c r="Q143" i="43"/>
  <c r="D139" i="43"/>
  <c r="Q139" i="43"/>
  <c r="D135" i="43"/>
  <c r="Q135" i="43"/>
  <c r="D131" i="43"/>
  <c r="Q131" i="43"/>
  <c r="D127" i="43"/>
  <c r="Q127" i="43"/>
  <c r="D123" i="43"/>
  <c r="Q123" i="43"/>
  <c r="D119" i="43"/>
  <c r="Q119" i="43"/>
  <c r="D115" i="43"/>
  <c r="Q115" i="43"/>
  <c r="D111" i="43"/>
  <c r="Q111" i="43"/>
  <c r="D107" i="43"/>
  <c r="Q107" i="43"/>
  <c r="D103" i="43"/>
  <c r="Q103" i="43"/>
  <c r="D99" i="43"/>
  <c r="Q99" i="43"/>
  <c r="D95" i="43"/>
  <c r="Q95" i="43"/>
  <c r="D91" i="43"/>
  <c r="Q91" i="43"/>
  <c r="D87" i="43"/>
  <c r="Q87" i="43"/>
  <c r="D83" i="43"/>
  <c r="Q83" i="43"/>
  <c r="D79" i="43"/>
  <c r="Q79" i="43"/>
  <c r="D75" i="43"/>
  <c r="Q75" i="43"/>
  <c r="D71" i="43"/>
  <c r="Q71" i="43"/>
  <c r="D67" i="43"/>
  <c r="Q67" i="43"/>
  <c r="D63" i="43"/>
  <c r="Q63" i="43"/>
  <c r="D59" i="43"/>
  <c r="Q59" i="43"/>
  <c r="D55" i="43"/>
  <c r="Q55" i="43"/>
  <c r="D51" i="43"/>
  <c r="Q51" i="43"/>
  <c r="D47" i="43"/>
  <c r="Q47" i="43"/>
  <c r="D43" i="43"/>
  <c r="Q43" i="43"/>
  <c r="D39" i="43"/>
  <c r="Q39" i="43"/>
  <c r="D35" i="43"/>
  <c r="Q35" i="43"/>
  <c r="D31" i="43"/>
  <c r="Q31" i="43"/>
  <c r="D27" i="43"/>
  <c r="Q27" i="43"/>
  <c r="D23" i="43"/>
  <c r="Q23" i="43"/>
  <c r="D19" i="43"/>
  <c r="Q19" i="43"/>
  <c r="D15" i="43"/>
  <c r="Q15" i="43"/>
  <c r="D11" i="43"/>
  <c r="Q11" i="43"/>
  <c r="D7" i="43"/>
  <c r="Q7" i="43"/>
  <c r="D3" i="43"/>
  <c r="Q3" i="43"/>
  <c r="D144" i="43"/>
  <c r="Q144" i="43"/>
  <c r="D132" i="43"/>
  <c r="Q132" i="43"/>
  <c r="D120" i="43"/>
  <c r="Q120" i="43"/>
  <c r="D108" i="43"/>
  <c r="Q108" i="43"/>
  <c r="D96" i="43"/>
  <c r="Q96" i="43"/>
  <c r="D84" i="43"/>
  <c r="Q84" i="43"/>
  <c r="D72" i="43"/>
  <c r="Q72" i="43"/>
  <c r="D60" i="43"/>
  <c r="Q60" i="43"/>
  <c r="D40" i="43"/>
  <c r="Q40" i="43"/>
  <c r="D20" i="43"/>
  <c r="Q20" i="43"/>
  <c r="D154" i="43"/>
  <c r="Q154" i="43"/>
  <c r="D150" i="43"/>
  <c r="Q150" i="43"/>
  <c r="D146" i="43"/>
  <c r="Q146" i="43"/>
  <c r="D142" i="43"/>
  <c r="Q142" i="43"/>
  <c r="D138" i="43"/>
  <c r="Q138" i="43"/>
  <c r="D134" i="43"/>
  <c r="Q134" i="43"/>
  <c r="D130" i="43"/>
  <c r="Q130" i="43"/>
  <c r="D126" i="43"/>
  <c r="Q126" i="43"/>
  <c r="D122" i="43"/>
  <c r="Q122" i="43"/>
  <c r="D118" i="43"/>
  <c r="Q118" i="43"/>
  <c r="D114" i="43"/>
  <c r="Q114" i="43"/>
  <c r="D110" i="43"/>
  <c r="Q110" i="43"/>
  <c r="D106" i="43"/>
  <c r="Q106" i="43"/>
  <c r="D102" i="43"/>
  <c r="Q102" i="43"/>
  <c r="D98" i="43"/>
  <c r="Q98" i="43"/>
  <c r="D94" i="43"/>
  <c r="Q94" i="43"/>
  <c r="D90" i="43"/>
  <c r="Q90" i="43"/>
  <c r="D86" i="43"/>
  <c r="Q86" i="43"/>
  <c r="D82" i="43"/>
  <c r="Q82" i="43"/>
  <c r="D78" i="43"/>
  <c r="Q78" i="43"/>
  <c r="D74" i="43"/>
  <c r="Q74" i="43"/>
  <c r="D70" i="43"/>
  <c r="Q70" i="43"/>
  <c r="D66" i="43"/>
  <c r="Q66" i="43"/>
  <c r="D62" i="43"/>
  <c r="Q62" i="43"/>
  <c r="D58" i="43"/>
  <c r="Q58" i="43"/>
  <c r="D54" i="43"/>
  <c r="Q54" i="43"/>
  <c r="D50" i="43"/>
  <c r="Q50" i="43"/>
  <c r="D46" i="43"/>
  <c r="Q46" i="43"/>
  <c r="D42" i="43"/>
  <c r="Q42" i="43"/>
  <c r="D38" i="43"/>
  <c r="Q38" i="43"/>
  <c r="D34" i="43"/>
  <c r="Q34" i="43"/>
  <c r="D30" i="43"/>
  <c r="Q30" i="43"/>
  <c r="D26" i="43"/>
  <c r="Q26" i="43"/>
  <c r="D22" i="43"/>
  <c r="Q22" i="43"/>
  <c r="D18" i="43"/>
  <c r="Q18" i="43"/>
  <c r="D14" i="43"/>
  <c r="Q14" i="43"/>
  <c r="D10" i="43"/>
  <c r="Q10" i="43"/>
  <c r="D6" i="43"/>
  <c r="Q6" i="43"/>
  <c r="D148" i="43"/>
  <c r="Q148" i="43"/>
  <c r="D136" i="43"/>
  <c r="Q136" i="43"/>
  <c r="D124" i="43"/>
  <c r="Q124" i="43"/>
  <c r="D112" i="43"/>
  <c r="Q112" i="43"/>
  <c r="D100" i="43"/>
  <c r="Q100" i="43"/>
  <c r="D88" i="43"/>
  <c r="Q88" i="43"/>
  <c r="D76" i="43"/>
  <c r="Q76" i="43"/>
  <c r="D64" i="43"/>
  <c r="Q64" i="43"/>
  <c r="D56" i="43"/>
  <c r="Q56" i="43"/>
  <c r="D44" i="43"/>
  <c r="Q44" i="43"/>
  <c r="D36" i="43"/>
  <c r="Q36" i="43"/>
  <c r="D28" i="43"/>
  <c r="Q28" i="43"/>
  <c r="D16" i="43"/>
  <c r="Q16" i="43"/>
  <c r="D4" i="43"/>
  <c r="Q4" i="43"/>
  <c r="D153" i="43"/>
  <c r="Q153" i="43"/>
  <c r="D149" i="43"/>
  <c r="Q149" i="43"/>
  <c r="D145" i="43"/>
  <c r="Q145" i="43"/>
  <c r="D141" i="43"/>
  <c r="Q141" i="43"/>
  <c r="D137" i="43"/>
  <c r="Q137" i="43"/>
  <c r="D133" i="43"/>
  <c r="Q133" i="43"/>
  <c r="D129" i="43"/>
  <c r="Q129" i="43"/>
  <c r="D125" i="43"/>
  <c r="Q125" i="43"/>
  <c r="D121" i="43"/>
  <c r="Q121" i="43"/>
  <c r="D117" i="43"/>
  <c r="Q117" i="43"/>
  <c r="D113" i="43"/>
  <c r="Q113" i="43"/>
  <c r="D109" i="43"/>
  <c r="Q109" i="43"/>
  <c r="D105" i="43"/>
  <c r="Q105" i="43"/>
  <c r="D101" i="43"/>
  <c r="Q101" i="43"/>
  <c r="D97" i="43"/>
  <c r="Q97" i="43"/>
  <c r="D93" i="43"/>
  <c r="Q93" i="43"/>
  <c r="D89" i="43"/>
  <c r="Q89" i="43"/>
  <c r="D85" i="43"/>
  <c r="Q85" i="43"/>
  <c r="D81" i="43"/>
  <c r="Q81" i="43"/>
  <c r="D77" i="43"/>
  <c r="Q77" i="43"/>
  <c r="D73" i="43"/>
  <c r="Q73" i="43"/>
  <c r="D69" i="43"/>
  <c r="Q69" i="43"/>
  <c r="D65" i="43"/>
  <c r="Q65" i="43"/>
  <c r="D61" i="43"/>
  <c r="Q61" i="43"/>
  <c r="D57" i="43"/>
  <c r="Q57" i="43"/>
  <c r="D53" i="43"/>
  <c r="Q53" i="43"/>
  <c r="D49" i="43"/>
  <c r="Q49" i="43"/>
  <c r="D45" i="43"/>
  <c r="Q45" i="43"/>
  <c r="D41" i="43"/>
  <c r="Q41" i="43"/>
  <c r="D37" i="43"/>
  <c r="Q37" i="43"/>
  <c r="D33" i="43"/>
  <c r="Q33" i="43"/>
  <c r="D29" i="43"/>
  <c r="Q29" i="43"/>
  <c r="D25" i="43"/>
  <c r="Q25" i="43"/>
  <c r="D21" i="43"/>
  <c r="Q21" i="43"/>
  <c r="D17" i="43"/>
  <c r="Q17" i="43"/>
  <c r="D13" i="43"/>
  <c r="Q13" i="43"/>
  <c r="D9" i="43"/>
  <c r="Q9" i="43"/>
  <c r="D5" i="43"/>
  <c r="Q5" i="43"/>
  <c r="D2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L31" i="27" l="1"/>
  <c r="M31" i="27" s="1"/>
  <c r="M30" i="27"/>
  <c r="M23" i="27"/>
  <c r="L24" i="27"/>
  <c r="M12" i="27"/>
  <c r="L13" i="27"/>
  <c r="M13" i="27" s="1"/>
  <c r="M6" i="27"/>
  <c r="L7" i="27"/>
  <c r="M7" i="27" s="1"/>
  <c r="L189" i="27"/>
  <c r="M188" i="27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24" i="27" l="1"/>
  <c r="L25" i="27"/>
  <c r="L190" i="27"/>
  <c r="M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25" i="27" l="1"/>
  <c r="L26" i="27"/>
  <c r="M26" i="27" s="1"/>
  <c r="L191" i="27"/>
  <c r="M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192" i="27" l="1"/>
  <c r="M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L193" i="27" l="1"/>
  <c r="M192" i="27"/>
  <c r="D114" i="51"/>
  <c r="Q2" i="2"/>
  <c r="L194" i="27" l="1"/>
  <c r="M193" i="27"/>
  <c r="D115" i="51"/>
  <c r="L195" i="27" l="1"/>
  <c r="M194" i="27"/>
  <c r="D116" i="51"/>
  <c r="L196" i="27" l="1"/>
  <c r="M195" i="27"/>
  <c r="D117" i="51"/>
  <c r="L197" i="27" l="1"/>
  <c r="M196" i="27"/>
  <c r="D118" i="51"/>
  <c r="L198" i="27" l="1"/>
  <c r="M197" i="27"/>
  <c r="D119" i="51"/>
  <c r="H2" i="43"/>
  <c r="H3" i="43" s="1"/>
  <c r="H4" i="43" s="1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E155" i="43"/>
  <c r="E130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87" i="43"/>
  <c r="E17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99" i="27" l="1"/>
  <c r="M199" i="27" s="1"/>
  <c r="M198" i="27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D123" i="51" l="1"/>
  <c r="D2" i="48"/>
  <c r="D3" i="48" l="1"/>
  <c r="D4" i="48"/>
  <c r="D124" i="51"/>
  <c r="L11" i="46"/>
  <c r="L10" i="46"/>
  <c r="L9" i="46"/>
  <c r="L8" i="46"/>
  <c r="L7" i="46"/>
  <c r="L6" i="46"/>
  <c r="L5" i="46"/>
  <c r="L4" i="46"/>
  <c r="L3" i="46"/>
  <c r="L2" i="46"/>
  <c r="E2" i="42"/>
  <c r="E5" i="42"/>
  <c r="E1" i="42"/>
  <c r="E3" i="42"/>
  <c r="E4" i="42"/>
  <c r="D5" i="48" l="1"/>
  <c r="D125" i="51"/>
  <c r="G3" i="48"/>
  <c r="D6" i="48" l="1"/>
  <c r="D126" i="51"/>
  <c r="G2" i="48"/>
  <c r="G4" i="48"/>
  <c r="G7" i="48" l="1"/>
  <c r="G5" i="48"/>
  <c r="G6" i="48"/>
  <c r="D7" i="48"/>
  <c r="D127" i="51"/>
  <c r="D8" i="48" l="1"/>
  <c r="D128" i="51"/>
  <c r="D9" i="48" l="1"/>
  <c r="G8" i="48"/>
  <c r="D129" i="51"/>
  <c r="J16" i="2"/>
  <c r="J15" i="2"/>
  <c r="J12" i="2"/>
  <c r="J11" i="2"/>
  <c r="J8" i="2"/>
  <c r="J7" i="2"/>
  <c r="J4" i="2"/>
  <c r="J3" i="2"/>
  <c r="C3" i="2"/>
  <c r="D10" i="48" l="1"/>
  <c r="G9" i="48"/>
  <c r="D130" i="51"/>
  <c r="C4" i="2"/>
  <c r="J5" i="2"/>
  <c r="J9" i="2"/>
  <c r="J13" i="2"/>
  <c r="J6" i="2"/>
  <c r="J10" i="2"/>
  <c r="J14" i="2"/>
  <c r="D11" i="48" l="1"/>
  <c r="G10" i="48"/>
  <c r="D131" i="51"/>
  <c r="C5" i="2"/>
  <c r="D12" i="48" l="1"/>
  <c r="G11" i="48"/>
  <c r="D132" i="51"/>
  <c r="C6" i="2"/>
  <c r="D13" i="48" l="1"/>
  <c r="G12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C8" i="2"/>
  <c r="A3" i="9"/>
  <c r="D15" i="48" l="1"/>
  <c r="G14" i="48"/>
  <c r="D135" i="51"/>
  <c r="C9" i="2"/>
  <c r="A4" i="9"/>
  <c r="A5" i="9" s="1"/>
  <c r="G15" i="48" l="1"/>
  <c r="D16" i="48"/>
  <c r="D136" i="51"/>
  <c r="C10" i="2"/>
  <c r="A6" i="9"/>
  <c r="D17" i="48" l="1"/>
  <c r="G16" i="48"/>
  <c r="D137" i="51"/>
  <c r="C11" i="2"/>
  <c r="A7" i="9"/>
  <c r="D18" i="48" l="1"/>
  <c r="G17" i="48"/>
  <c r="D138" i="51"/>
  <c r="C12" i="2"/>
  <c r="A8" i="9"/>
  <c r="D19" i="48" l="1"/>
  <c r="G18" i="48"/>
  <c r="D139" i="51"/>
  <c r="C13" i="2"/>
  <c r="A9" i="9"/>
  <c r="G19" i="48" l="1"/>
  <c r="D20" i="48"/>
  <c r="C14" i="2"/>
  <c r="A10" i="9"/>
  <c r="G20" i="48" l="1"/>
  <c r="D21" i="48"/>
  <c r="C15" i="2"/>
  <c r="A11" i="9"/>
  <c r="D22" i="48" l="1"/>
  <c r="G21" i="48"/>
  <c r="C16" i="2"/>
  <c r="A12" i="9"/>
  <c r="G22" i="48" l="1"/>
  <c r="D23" i="48"/>
  <c r="C17" i="2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G25" i="48" l="1"/>
  <c r="D26" i="48"/>
  <c r="C20" i="2"/>
  <c r="D27" i="48" l="1"/>
  <c r="G26" i="48"/>
  <c r="C21" i="2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G31" i="48" l="1"/>
  <c r="D32" i="48"/>
  <c r="C26" i="2"/>
  <c r="D33" i="48" l="1"/>
  <c r="G32" i="48"/>
  <c r="C27" i="2"/>
  <c r="D34" i="48" l="1"/>
  <c r="G33" i="48"/>
  <c r="C28" i="2"/>
  <c r="G34" i="48" l="1"/>
  <c r="D35" i="48"/>
  <c r="C29" i="2"/>
  <c r="D36" i="48" l="1"/>
  <c r="G35" i="48"/>
  <c r="C30" i="2"/>
  <c r="D37" i="48" l="1"/>
  <c r="G36" i="48"/>
  <c r="C31" i="2"/>
  <c r="G37" i="48" l="1"/>
  <c r="D38" i="48"/>
  <c r="C32" i="2"/>
  <c r="G38" i="48" l="1"/>
  <c r="D39" i="48"/>
  <c r="C33" i="2"/>
  <c r="G39" i="48" l="1"/>
  <c r="D40" i="48"/>
  <c r="C34" i="2"/>
  <c r="G40" i="48" l="1"/>
  <c r="D41" i="48"/>
  <c r="C35" i="2"/>
  <c r="D42" i="48" l="1"/>
  <c r="G41" i="48"/>
  <c r="C36" i="2"/>
  <c r="D43" i="48" l="1"/>
  <c r="G42" i="48"/>
  <c r="C37" i="2"/>
  <c r="G43" i="48" l="1"/>
  <c r="D44" i="48"/>
  <c r="C38" i="2"/>
  <c r="G44" i="48" l="1"/>
  <c r="D45" i="48"/>
  <c r="C39" i="2"/>
  <c r="D46" i="48" l="1"/>
  <c r="G45" i="48"/>
  <c r="C40" i="2"/>
  <c r="D47" i="48" l="1"/>
  <c r="G46" i="48"/>
  <c r="C41" i="2"/>
  <c r="G47" i="48" l="1"/>
  <c r="D48" i="48"/>
  <c r="C42" i="2"/>
  <c r="D49" i="48" l="1"/>
  <c r="G48" i="48"/>
  <c r="C43" i="2"/>
  <c r="G49" i="48" l="1"/>
  <c r="D50" i="48"/>
  <c r="C44" i="2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D55" i="48" l="1"/>
  <c r="G54" i="48"/>
  <c r="C49" i="2"/>
  <c r="D56" i="48" l="1"/>
  <c r="G55" i="48"/>
  <c r="C50" i="2"/>
  <c r="G56" i="48" l="1"/>
  <c r="D57" i="48"/>
  <c r="C51" i="2"/>
  <c r="G57" i="48" l="1"/>
  <c r="D58" i="48"/>
  <c r="C52" i="2"/>
  <c r="D59" i="48" l="1"/>
  <c r="G58" i="48"/>
  <c r="C53" i="2"/>
  <c r="D60" i="48" l="1"/>
  <c r="G59" i="48"/>
  <c r="C54" i="2"/>
  <c r="G60" i="48" l="1"/>
  <c r="D61" i="48"/>
  <c r="C55" i="2"/>
  <c r="D62" i="48" l="1"/>
  <c r="G61" i="48"/>
  <c r="C56" i="2"/>
  <c r="D63" i="48" l="1"/>
  <c r="G62" i="48"/>
  <c r="C57" i="2"/>
  <c r="D64" i="48" l="1"/>
  <c r="G63" i="48"/>
  <c r="C58" i="2"/>
  <c r="G64" i="48" l="1"/>
  <c r="D65" i="48"/>
  <c r="C59" i="2"/>
  <c r="G65" i="48" l="1"/>
  <c r="D66" i="48"/>
  <c r="C60" i="2"/>
  <c r="G66" i="48" l="1"/>
  <c r="D67" i="48"/>
  <c r="C61" i="2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D72" i="48" l="1"/>
  <c r="G71" i="48"/>
  <c r="C66" i="2"/>
  <c r="G72" i="48" l="1"/>
  <c r="D73" i="48"/>
  <c r="C67" i="2"/>
  <c r="G73" i="48" l="1"/>
  <c r="D74" i="48"/>
  <c r="C68" i="2"/>
  <c r="D75" i="48" l="1"/>
  <c r="G74" i="48"/>
  <c r="C69" i="2"/>
  <c r="D76" i="48" l="1"/>
  <c r="G75" i="48"/>
  <c r="C70" i="2"/>
  <c r="G76" i="48" l="1"/>
  <c r="D77" i="48"/>
  <c r="C71" i="2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33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110" i="27"/>
  <c r="K9" i="27"/>
  <c r="K137" i="27"/>
  <c r="K128" i="27"/>
  <c r="K132" i="27"/>
  <c r="K130" i="27"/>
  <c r="K125" i="27"/>
  <c r="K115" i="27"/>
  <c r="K134" i="27"/>
  <c r="K135" i="27"/>
  <c r="K129" i="27"/>
  <c r="K131" i="27"/>
  <c r="K136" i="27"/>
  <c r="K127" i="27"/>
  <c r="K124" i="27"/>
  <c r="K126" i="27"/>
  <c r="K138" i="27"/>
  <c r="K62" i="27"/>
  <c r="K121" i="27"/>
  <c r="K122" i="27"/>
  <c r="K116" i="27"/>
  <c r="K114" i="27"/>
  <c r="K111" i="27"/>
  <c r="K109" i="27"/>
  <c r="K113" i="27"/>
  <c r="K117" i="27"/>
  <c r="K123" i="27"/>
  <c r="K120" i="27"/>
  <c r="K112" i="27"/>
  <c r="K119" i="27"/>
  <c r="K58" i="27"/>
  <c r="K118" i="27"/>
  <c r="K55" i="27"/>
  <c r="K63" i="27"/>
  <c r="K60" i="27"/>
  <c r="K51" i="27"/>
  <c r="K80" i="27"/>
  <c r="K189" i="27"/>
  <c r="K194" i="27"/>
  <c r="K157" i="27"/>
  <c r="K75" i="27"/>
  <c r="K68" i="27"/>
  <c r="K164" i="27"/>
  <c r="K85" i="27"/>
  <c r="K148" i="27"/>
  <c r="K88" i="27"/>
  <c r="K177" i="27"/>
  <c r="K146" i="27"/>
  <c r="K59" i="27"/>
  <c r="K139" i="27"/>
  <c r="K34" i="27"/>
  <c r="K101" i="27"/>
  <c r="K64" i="27"/>
  <c r="K153" i="27"/>
  <c r="K45" i="27"/>
  <c r="K104" i="27"/>
  <c r="K52" i="27"/>
  <c r="K56" i="27"/>
  <c r="K43" i="27"/>
  <c r="K50" i="27"/>
  <c r="K178" i="27"/>
  <c r="K180" i="27"/>
  <c r="K161" i="27"/>
  <c r="K145" i="27"/>
  <c r="K140" i="27"/>
  <c r="K108" i="27"/>
  <c r="K91" i="27"/>
  <c r="K97" i="27"/>
  <c r="K165" i="27"/>
  <c r="K44" i="27"/>
  <c r="K162" i="27"/>
  <c r="K46" i="27"/>
  <c r="K77" i="27"/>
  <c r="K143" i="27"/>
  <c r="K37" i="27"/>
  <c r="K172" i="27"/>
  <c r="K40" i="27"/>
  <c r="K155" i="27"/>
  <c r="K49" i="27"/>
  <c r="K152" i="27"/>
  <c r="K82" i="27"/>
  <c r="K169" i="27"/>
  <c r="K106" i="27"/>
  <c r="K67" i="27"/>
  <c r="K156" i="27"/>
  <c r="K41" i="27"/>
  <c r="K42" i="27"/>
  <c r="K173" i="27"/>
  <c r="K72" i="27"/>
  <c r="K168" i="27"/>
  <c r="K107" i="27"/>
  <c r="K33" i="27"/>
  <c r="K74" i="27"/>
  <c r="K89" i="27"/>
  <c r="K73" i="27"/>
  <c r="K54" i="27"/>
  <c r="K149" i="27"/>
  <c r="K66" i="27"/>
  <c r="K90" i="27"/>
  <c r="K61" i="27"/>
  <c r="K53" i="27"/>
  <c r="K84" i="27"/>
  <c r="K141" i="27"/>
  <c r="K36" i="27"/>
  <c r="K69" i="27"/>
  <c r="K57" i="27"/>
  <c r="K92" i="27"/>
  <c r="K86" i="27"/>
  <c r="K65" i="27"/>
  <c r="K175" i="27"/>
  <c r="K93" i="27"/>
  <c r="K176" i="27"/>
  <c r="K48" i="27"/>
  <c r="K100" i="27"/>
  <c r="K105" i="27"/>
  <c r="K171" i="27"/>
  <c r="K98" i="27"/>
  <c r="K144" i="27"/>
  <c r="K200" i="27"/>
  <c r="K154" i="27"/>
  <c r="K187" i="27"/>
  <c r="K163" i="27"/>
  <c r="K182" i="27"/>
  <c r="K196" i="27"/>
  <c r="K99" i="27"/>
  <c r="K47" i="27"/>
  <c r="K94" i="27"/>
  <c r="K31" i="27"/>
  <c r="K78" i="27"/>
  <c r="K190" i="27"/>
  <c r="K193" i="27"/>
  <c r="K191" i="27"/>
  <c r="K185" i="27"/>
  <c r="K38" i="27"/>
  <c r="K170" i="27"/>
  <c r="K96" i="27"/>
  <c r="K151" i="27"/>
  <c r="K103" i="27"/>
  <c r="K95" i="27"/>
  <c r="K159" i="27"/>
  <c r="K202" i="27"/>
  <c r="K192" i="27"/>
  <c r="K198" i="27"/>
  <c r="K183" i="27"/>
  <c r="K195" i="27"/>
  <c r="K204" i="27"/>
  <c r="K188" i="27"/>
  <c r="K39" i="27"/>
  <c r="K142" i="27"/>
  <c r="K184" i="27"/>
  <c r="K79" i="27"/>
  <c r="K102" i="27"/>
  <c r="K186" i="27"/>
  <c r="K87" i="27"/>
  <c r="K81" i="27"/>
  <c r="K158" i="27"/>
  <c r="K150" i="27"/>
  <c r="K76" i="27"/>
  <c r="K167" i="27"/>
  <c r="K166" i="27"/>
  <c r="K32" i="27"/>
  <c r="K174" i="27"/>
  <c r="K160" i="27"/>
  <c r="K83" i="27"/>
  <c r="K199" i="27"/>
  <c r="K203" i="27"/>
  <c r="K35" i="27"/>
  <c r="K71" i="27"/>
  <c r="K147" i="27"/>
  <c r="K197" i="27"/>
  <c r="K179" i="27"/>
  <c r="K70" i="27"/>
  <c r="K181" i="27"/>
  <c r="K201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<sst xmlns="http://schemas.openxmlformats.org/spreadsheetml/2006/main" count="21441" uniqueCount="7893">
  <si>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</si>
  <si>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</si>
  <si>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</si>
  <si>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</si>
  <si>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</si>
  <si>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</si>
  <si>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</si>
  <si>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</si>
  <si>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</si>
  <si>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</si>
  <si>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</si>
  <si>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</si>
  <si>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</si>
  <si>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</si>
  <si>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</si>
  <si>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</si>
  <si>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</si>
  <si>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</si>
  <si>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</si>
  <si>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</si>
  <si>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</si>
  <si>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</si>
  <si>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</si>
  <si>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</si>
  <si>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</si>
  <si>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</si>
  <si>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</si>
  <si>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</si>
  <si>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</si>
  <si>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</si>
  <si>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</si>
  <si>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</si>
  <si>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</si>
  <si>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</si>
  <si>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</si>
  <si>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</si>
  <si>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</si>
  <si>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</si>
  <si>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</si>
  <si>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</si>
  <si>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</si>
  <si>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</si>
  <si>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</si>
  <si>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</si>
  <si>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</si>
  <si>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</si>
  <si>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</si>
  <si>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</si>
  <si>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</si>
  <si>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</si>
  <si>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</si>
  <si>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</si>
  <si>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</si>
  <si>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</si>
  <si>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</si>
  <si>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</si>
  <si>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</si>
  <si>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</si>
  <si>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</si>
  <si>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</si>
  <si>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</si>
  <si>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</si>
  <si>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</si>
  <si>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</si>
  <si>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</si>
  <si>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</si>
  <si>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</si>
  <si>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</si>
  <si>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</si>
  <si>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</si>
  <si>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</si>
  <si>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</si>
  <si>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</si>
  <si>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</si>
  <si>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</si>
  <si>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</si>
  <si>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</si>
  <si>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</si>
  <si>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</si>
  <si>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</si>
  <si>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</si>
  <si>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</si>
  <si>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</si>
  <si>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</si>
  <si>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</si>
  <si>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</si>
  <si>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</si>
  <si>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</si>
  <si>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</si>
  <si>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</si>
  <si>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</si>
  <si>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</si>
  <si>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</si>
  <si>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</si>
  <si>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</si>
  <si>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</si>
  <si>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</si>
  <si>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</si>
  <si>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</si>
  <si>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</si>
  <si>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</si>
  <si>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</si>
  <si>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</si>
  <si>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</si>
  <si>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</si>
  <si>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</si>
  <si>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</si>
  <si>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</si>
  <si>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</si>
  <si>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</si>
  <si>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</si>
  <si>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</si>
  <si>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</si>
  <si>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</si>
  <si>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</si>
  <si>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</si>
  <si>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</si>
  <si>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</si>
  <si>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</si>
  <si>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</si>
  <si>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</si>
  <si>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</si>
  <si>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</si>
  <si>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</si>
  <si>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</si>
  <si>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</si>
  <si>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</si>
  <si>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</si>
  <si>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</si>
  <si>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</si>
  <si>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</si>
  <si>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</si>
  <si>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</si>
  <si>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</si>
  <si>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</si>
  <si>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</si>
  <si>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</si>
  <si>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</si>
  <si>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</si>
  <si>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</si>
  <si>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</si>
  <si>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</si>
  <si>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</si>
  <si>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</si>
  <si>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</si>
  <si>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</si>
  <si>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</si>
  <si>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</si>
  <si>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</si>
  <si>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</si>
  <si>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</si>
  <si>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</si>
  <si>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</si>
  <si>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</si>
  <si>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</si>
  <si>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</si>
  <si>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</si>
  <si>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</si>
  <si>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</si>
  <si>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</si>
  <si>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</si>
  <si>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</si>
  <si>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</si>
  <si>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</si>
  <si>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</si>
  <si>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</si>
  <si>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</si>
  <si>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</si>
  <si>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</si>
  <si>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</si>
  <si>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</si>
  <si>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</si>
  <si>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</si>
  <si>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</si>
  <si>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</si>
  <si>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</si>
  <si>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</si>
  <si>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</si>
  <si>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</si>
  <si>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</si>
  <si>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</si>
  <si>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</si>
  <si>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</si>
  <si>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</si>
  <si>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</si>
  <si>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</si>
  <si>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</si>
  <si>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</si>
  <si>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</si>
  <si>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</si>
  <si>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</si>
  <si>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</si>
  <si>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</si>
  <si>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</si>
  <si>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</si>
  <si>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</si>
  <si>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</si>
  <si>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</si>
  <si>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</si>
  <si>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</si>
  <si>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</si>
  <si>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</si>
  <si>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</si>
  <si>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</si>
  <si>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</si>
  <si>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</si>
  <si>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</si>
  <si>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</si>
  <si>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</si>
  <si>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</si>
  <si>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</si>
  <si>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</si>
  <si>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</si>
  <si>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</si>
  <si>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</si>
  <si>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</si>
  <si>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</si>
  <si>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</si>
  <si>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</si>
  <si>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</si>
  <si>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</si>
  <si>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</si>
  <si>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</si>
  <si>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</si>
  <si>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</si>
  <si>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</si>
  <si>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</si>
  <si>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</si>
  <si>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</si>
  <si>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</si>
  <si>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</si>
  <si>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</si>
  <si>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</si>
  <si>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</si>
  <si>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</si>
  <si>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</si>
  <si>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</si>
  <si>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</si>
  <si>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</si>
  <si>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</si>
  <si>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</si>
  <si>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</si>
  <si>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</si>
  <si>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</si>
  <si>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</si>
  <si>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</si>
  <si>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</si>
  <si>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</si>
  <si>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</si>
  <si>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</si>
  <si>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</si>
  <si>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</si>
  <si>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</si>
  <si>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</si>
  <si>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</si>
  <si>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</si>
  <si>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</si>
  <si>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</si>
  <si>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</si>
  <si>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</si>
  <si>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</si>
  <si>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</si>
  <si>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</si>
  <si>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</si>
  <si>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</si>
  <si>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</si>
  <si>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</si>
  <si>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</si>
  <si>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</si>
  <si>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</si>
  <si>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</si>
  <si>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</si>
  <si>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</si>
  <si>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</si>
  <si>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</si>
  <si>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</si>
  <si>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</si>
  <si>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</si>
  <si>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</si>
  <si>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</si>
  <si>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</si>
  <si>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</si>
  <si>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</si>
  <si>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</si>
  <si>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</si>
  <si>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</si>
  <si>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</si>
  <si>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</si>
  <si>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</si>
  <si>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</si>
  <si>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</si>
  <si>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</si>
  <si>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</si>
  <si>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</si>
  <si>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</si>
  <si>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</si>
  <si>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</si>
  <si>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</si>
  <si>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</si>
  <si>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</si>
  <si>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</si>
  <si>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</si>
  <si>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</si>
  <si>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</si>
  <si>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</si>
  <si>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</si>
  <si>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</si>
  <si>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</si>
  <si>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</si>
  <si>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</si>
  <si>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</si>
  <si>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</si>
  <si>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</si>
  <si>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</si>
  <si>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</si>
  <si>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</si>
  <si>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</si>
  <si>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</si>
  <si>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</si>
  <si>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</si>
  <si>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</si>
  <si>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</si>
  <si>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</si>
  <si>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</si>
  <si>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</si>
  <si>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</si>
  <si>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</si>
  <si>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</si>
  <si>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</si>
  <si>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</si>
  <si>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</si>
  <si>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</si>
  <si>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</si>
  <si>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</si>
  <si>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</si>
  <si>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</si>
  <si>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</si>
  <si>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</si>
  <si>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</si>
  <si>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</si>
  <si>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</si>
  <si>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</si>
  <si>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</si>
  <si>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</si>
  <si>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</si>
  <si>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</si>
  <si>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</si>
  <si>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</si>
  <si>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</si>
  <si>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</si>
  <si>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</si>
  <si>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</si>
  <si>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</si>
  <si>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</si>
  <si>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</si>
  <si>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</si>
  <si>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</si>
  <si>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</si>
  <si>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</si>
  <si>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</si>
  <si>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</si>
  <si>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</si>
  <si>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</si>
  <si>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</si>
  <si>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</si>
  <si>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</si>
  <si>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</si>
  <si>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</si>
  <si>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</si>
  <si>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</si>
  <si>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</si>
  <si>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</si>
  <si>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</si>
  <si>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</si>
  <si>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</si>
  <si>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</si>
  <si>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</si>
  <si>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</si>
  <si>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</si>
  <si>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</si>
  <si>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</si>
  <si>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</si>
  <si>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</si>
  <si>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</si>
  <si>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</si>
  <si>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</si>
  <si>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</si>
  <si>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</si>
  <si>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</si>
  <si>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</si>
  <si>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</si>
  <si>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</si>
  <si>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</si>
  <si>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</si>
  <si>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</si>
  <si>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</si>
  <si>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</si>
  <si>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</si>
  <si>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</si>
  <si>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</si>
  <si>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</si>
  <si>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</si>
  <si>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</si>
  <si>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</si>
  <si>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</si>
  <si>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</si>
  <si>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</si>
  <si>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</si>
  <si>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</si>
  <si>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</si>
  <si>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</si>
  <si>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</si>
  <si>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</si>
  <si>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</si>
  <si>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</si>
  <si>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</si>
  <si>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</si>
  <si>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</si>
  <si>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</si>
  <si>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</si>
  <si>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</si>
  <si>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</si>
  <si>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</si>
  <si>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</si>
  <si>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</si>
  <si>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</si>
  <si>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</si>
  <si>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</si>
  <si>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</si>
  <si>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</si>
  <si>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</si>
  <si>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</si>
  <si>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</si>
  <si>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</si>
  <si>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</si>
  <si>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</si>
  <si>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</si>
  <si>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</si>
  <si>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</si>
  <si>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</si>
  <si>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</si>
  <si>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</si>
  <si>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</si>
  <si>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</si>
  <si>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</si>
  <si>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</si>
  <si>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</si>
  <si>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</si>
  <si>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</si>
  <si>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</si>
  <si>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</si>
  <si>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</si>
  <si>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</si>
  <si>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</si>
  <si>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</si>
  <si>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</si>
  <si>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</si>
  <si>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</si>
  <si>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</si>
  <si>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</si>
  <si>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</si>
  <si>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</si>
  <si>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</si>
  <si>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</si>
  <si>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</si>
  <si>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</si>
  <si>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</si>
  <si>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</si>
  <si>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</si>
  <si>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</si>
  <si>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</si>
  <si>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</si>
  <si>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</si>
  <si>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</si>
  <si>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</si>
  <si>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</si>
  <si>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</si>
  <si>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</si>
  <si>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</si>
  <si>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</si>
  <si>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</si>
  <si>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</si>
  <si>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</si>
  <si>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</si>
  <si>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</si>
  <si>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</si>
  <si>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</si>
  <si>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</si>
  <si>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</si>
  <si>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</si>
  <si>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</si>
  <si>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</si>
  <si>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</si>
  <si>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</si>
  <si>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</si>
  <si>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</si>
  <si>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</si>
  <si>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</si>
  <si>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</si>
  <si>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</si>
  <si>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</si>
  <si>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</si>
  <si>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</si>
  <si>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</si>
  <si>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</si>
  <si>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</si>
  <si>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</si>
  <si>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</si>
  <si>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</si>
  <si>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</si>
  <si>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</si>
  <si>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</si>
  <si>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</si>
  <si>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</si>
  <si>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</si>
  <si>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</si>
  <si>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</si>
  <si>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</si>
  <si>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</si>
  <si>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</si>
  <si>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</si>
  <si>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</si>
  <si>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</si>
  <si>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</si>
  <si>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</si>
  <si>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</si>
  <si>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</si>
  <si>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</si>
  <si>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</si>
  <si>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</si>
  <si>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</si>
  <si>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</si>
  <si>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</si>
  <si>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</si>
  <si>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</si>
  <si>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</si>
  <si>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</si>
  <si>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</si>
  <si>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</si>
  <si>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</si>
  <si>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</si>
  <si>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</si>
  <si>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</si>
  <si>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</si>
  <si>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</si>
  <si>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</si>
  <si>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</si>
  <si>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</si>
  <si>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</si>
  <si>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</si>
  <si>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</si>
  <si>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</si>
  <si>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</si>
  <si>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</si>
  <si>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</si>
  <si>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</si>
  <si>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</si>
  <si>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</si>
  <si>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</si>
  <si>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</si>
  <si>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</si>
  <si>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</si>
  <si>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</si>
  <si>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</si>
  <si>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</si>
  <si>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</si>
  <si>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</si>
  <si>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</si>
  <si>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</si>
  <si>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</si>
  <si>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</si>
  <si>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</si>
  <si>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</si>
  <si>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</si>
  <si>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</si>
  <si>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</si>
  <si>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</si>
  <si>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</si>
  <si>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</si>
  <si>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</si>
  <si>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</si>
  <si>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</si>
  <si>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</si>
  <si>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</si>
  <si>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</si>
  <si>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</si>
  <si>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</si>
  <si>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</si>
  <si>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</si>
  <si>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</si>
  <si>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</si>
  <si>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</si>
  <si>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</si>
  <si>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</si>
  <si>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</si>
  <si>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</si>
  <si>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</si>
  <si>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</si>
  <si>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</si>
  <si>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</si>
  <si>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</si>
  <si>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</si>
  <si>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</si>
  <si>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</si>
  <si>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</si>
  <si>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</si>
  <si>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</si>
  <si>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</si>
  <si>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</si>
  <si>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</si>
  <si>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</si>
  <si>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</si>
  <si>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</si>
  <si>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</si>
  <si>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</si>
  <si>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</si>
  <si>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</si>
  <si>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</si>
  <si>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</si>
  <si>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</si>
  <si>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</si>
  <si>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</si>
  <si>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</si>
  <si>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</si>
  <si>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</si>
  <si>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</si>
  <si>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</si>
  <si>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</si>
  <si>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</si>
  <si>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</si>
  <si>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</si>
  <si>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</si>
  <si>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</si>
  <si>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</si>
  <si>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</si>
  <si>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</si>
  <si>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</si>
  <si>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</si>
  <si>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</si>
  <si>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</si>
  <si>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</si>
  <si>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</si>
  <si>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</si>
  <si>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</si>
  <si>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</si>
  <si>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</si>
  <si>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</si>
  <si>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</si>
  <si>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</si>
  <si>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</si>
  <si>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</si>
  <si>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</si>
  <si>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</si>
  <si>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</si>
  <si>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</si>
  <si>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</si>
  <si>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</si>
  <si>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</si>
  <si>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</si>
  <si>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</si>
  <si>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</si>
  <si>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</si>
  <si>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</si>
  <si>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</si>
  <si>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</si>
  <si>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</si>
  <si>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</si>
  <si>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</si>
  <si>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</si>
  <si>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</si>
  <si>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</si>
  <si>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</si>
  <si>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</si>
  <si>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</si>
  <si>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</si>
  <si>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</si>
  <si>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</si>
  <si>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</si>
  <si>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</si>
  <si>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</si>
  <si>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</si>
  <si>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</si>
  <si>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</si>
  <si>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</si>
  <si>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</si>
  <si>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</si>
  <si>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</si>
  <si>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</si>
  <si>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</si>
  <si>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</si>
  <si>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</si>
  <si>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</si>
  <si>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</si>
  <si>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</si>
  <si>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</si>
  <si>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</si>
  <si>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</si>
  <si>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</si>
  <si>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</si>
  <si>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</si>
  <si>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</si>
  <si>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</si>
  <si>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</si>
  <si>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</si>
  <si>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</si>
  <si>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</si>
  <si>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</si>
  <si>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</si>
  <si>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</si>
  <si>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</si>
  <si>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</si>
  <si>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</si>
  <si>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</si>
  <si>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</si>
  <si>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</si>
  <si>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</si>
  <si>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</si>
  <si>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</si>
  <si>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</si>
  <si>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</si>
  <si>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</si>
  <si>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</si>
  <si>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</si>
  <si>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</si>
  <si>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</si>
  <si>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</si>
  <si>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</si>
  <si>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</si>
  <si>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</si>
  <si>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</si>
  <si>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</si>
  <si>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</si>
  <si>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</si>
  <si>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</si>
  <si>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</si>
  <si>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</si>
  <si>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</si>
  <si>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</si>
  <si>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</si>
  <si>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</si>
  <si>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</si>
  <si>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</si>
  <si>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</si>
  <si>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</si>
  <si>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</si>
  <si>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</si>
  <si>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</si>
  <si>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</si>
  <si>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</si>
  <si>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</si>
  <si>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</si>
  <si>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</si>
  <si>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</si>
  <si>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</si>
  <si>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</si>
  <si>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</si>
  <si>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</si>
  <si>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</si>
  <si>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</si>
  <si>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</si>
  <si>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</si>
  <si>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</si>
  <si>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</si>
  <si>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</si>
  <si>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</si>
  <si>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</si>
  <si>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</si>
  <si>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</si>
  <si>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</si>
  <si>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</si>
  <si>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</si>
  <si>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</si>
  <si>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</si>
  <si>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</si>
  <si>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</si>
  <si>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</si>
  <si>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</si>
  <si>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</si>
  <si>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</si>
  <si>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</si>
  <si>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</si>
  <si>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</si>
  <si>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</si>
  <si>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</si>
  <si>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</si>
  <si>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</si>
  <si>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</si>
  <si>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</si>
  <si>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</si>
  <si>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</si>
  <si>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</si>
  <si>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</si>
  <si>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</si>
  <si>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</si>
  <si>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</si>
  <si>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</si>
  <si>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</si>
  <si>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</si>
  <si>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</si>
  <si>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</si>
  <si>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</si>
  <si>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</si>
  <si>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</si>
  <si>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</si>
  <si>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</si>
  <si>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</si>
  <si>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</si>
  <si>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</si>
  <si>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</si>
  <si>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</si>
  <si>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</si>
  <si>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</si>
  <si>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</si>
  <si>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</si>
  <si>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</si>
  <si>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</si>
  <si>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</si>
  <si>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</si>
  <si>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</si>
  <si>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</si>
  <si>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</si>
  <si>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</si>
  <si>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</si>
  <si>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</si>
  <si>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</si>
  <si>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</si>
  <si>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</si>
  <si>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</si>
  <si>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</si>
  <si>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</si>
  <si>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</si>
  <si>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</si>
  <si>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</si>
  <si>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</si>
  <si>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</si>
  <si>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</si>
  <si>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</si>
  <si>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</si>
  <si>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</si>
  <si>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</si>
  <si>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</si>
  <si>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</si>
  <si>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</si>
  <si>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</si>
  <si>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</si>
  <si>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</si>
  <si>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</si>
  <si>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</si>
  <si>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</si>
  <si>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</si>
  <si>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</si>
  <si>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</si>
  <si>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</si>
  <si>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</si>
  <si>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</si>
  <si>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</si>
  <si>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</si>
  <si>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</si>
  <si>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</si>
  <si>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</si>
  <si>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</si>
  <si>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</si>
  <si>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</si>
  <si>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</si>
  <si>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</si>
  <si>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</si>
  <si>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</si>
  <si>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</si>
  <si>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</si>
  <si>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</si>
  <si>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</si>
  <si>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</si>
  <si>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</si>
  <si>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</si>
  <si>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</si>
  <si>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</si>
  <si>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</si>
  <si>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</si>
  <si>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</si>
  <si>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</si>
  <si>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</si>
  <si>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</si>
  <si>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</si>
  <si>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</si>
  <si>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</si>
  <si>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</si>
  <si>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</si>
  <si>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</si>
  <si>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</si>
  <si>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</si>
  <si>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</si>
  <si>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</si>
  <si>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</si>
  <si>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</si>
  <si>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</si>
  <si>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</si>
  <si>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</si>
  <si>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</si>
  <si>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</si>
  <si>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</si>
  <si>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</si>
  <si>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</si>
  <si>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</si>
  <si>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</si>
  <si>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</si>
  <si>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</si>
  <si>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</si>
  <si>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</si>
  <si>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</si>
  <si>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</si>
  <si>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</si>
  <si>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</si>
  <si>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</si>
  <si>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</si>
  <si>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</si>
  <si>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</si>
  <si>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</si>
  <si>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</si>
  <si>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</si>
  <si>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</si>
  <si>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</si>
  <si>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</si>
  <si>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</si>
  <si>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</si>
  <si>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</si>
  <si>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</si>
  <si>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</si>
  <si>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</si>
  <si>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</si>
  <si>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</si>
  <si>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</si>
  <si>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</si>
  <si>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</si>
  <si>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</si>
  <si>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</si>
  <si>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</si>
  <si>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</si>
  <si>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</si>
  <si>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</si>
  <si>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</si>
  <si>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</si>
  <si>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</si>
  <si>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</si>
  <si>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</si>
  <si>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</si>
  <si>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</si>
  <si>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</si>
  <si>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</si>
  <si>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</si>
  <si>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</si>
  <si>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</si>
  <si>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</si>
  <si>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</si>
  <si>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</si>
  <si>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</si>
  <si>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</si>
  <si>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</si>
  <si>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</si>
  <si>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</si>
  <si>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</si>
  <si>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</si>
  <si>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</si>
  <si>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</si>
  <si>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</si>
  <si>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</si>
  <si>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</si>
  <si>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</si>
  <si>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</si>
  <si>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</si>
  <si>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</si>
  <si>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</si>
  <si>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</si>
  <si>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</si>
  <si>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</si>
  <si>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</si>
  <si>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</si>
  <si>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</si>
  <si>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</si>
  <si>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</si>
  <si>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</si>
  <si>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</si>
  <si>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</si>
  <si>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</si>
  <si>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</si>
  <si>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</si>
  <si>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</si>
  <si>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</si>
  <si>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</si>
  <si>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</si>
  <si>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</si>
  <si>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</si>
  <si>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</si>
  <si>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</si>
  <si>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</si>
  <si>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</si>
  <si>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</si>
  <si>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</si>
  <si>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</si>
  <si>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</si>
  <si>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</si>
  <si>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</si>
  <si>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</si>
  <si>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</si>
  <si>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</si>
  <si>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</si>
  <si>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</si>
  <si>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</si>
  <si>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</si>
  <si>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</si>
  <si>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</si>
  <si>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</si>
  <si>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</si>
  <si>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</si>
  <si>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</si>
  <si>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</si>
  <si>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</si>
  <si>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</si>
  <si>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</si>
  <si>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</si>
  <si>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</si>
  <si>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</si>
  <si>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</si>
  <si>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</si>
  <si>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</si>
  <si>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</si>
  <si>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</si>
  <si>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</si>
  <si>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</si>
  <si>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</si>
  <si>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</si>
  <si>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</si>
  <si>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</si>
  <si>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</si>
  <si>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</si>
  <si>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</si>
  <si>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</si>
  <si>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</si>
  <si>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</si>
  <si>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</si>
  <si>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</si>
  <si>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</si>
  <si>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</si>
  <si>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</si>
  <si>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</si>
  <si>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</si>
  <si>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</si>
  <si>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</si>
  <si>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</si>
  <si>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</si>
  <si>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</si>
  <si>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</si>
  <si>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</si>
  <si>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</si>
  <si>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</si>
  <si>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</si>
  <si>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</si>
  <si>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</si>
  <si>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</si>
  <si>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</si>
  <si>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</si>
  <si>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</si>
  <si>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</si>
  <si>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</si>
  <si>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</si>
  <si>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</si>
  <si>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</si>
  <si>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</si>
  <si>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</si>
  <si>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</si>
  <si>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</si>
  <si>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</si>
  <si>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</si>
  <si>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</si>
  <si>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</si>
  <si>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</si>
  <si>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</si>
  <si>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</si>
  <si>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</si>
  <si>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</si>
  <si>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</si>
  <si>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</si>
  <si>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</si>
  <si>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</si>
  <si>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</si>
  <si>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</si>
  <si>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</si>
  <si>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</si>
  <si>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</si>
  <si>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</si>
  <si>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</si>
  <si>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</si>
  <si>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</si>
  <si>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</si>
  <si>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</si>
  <si>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</si>
  <si>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</si>
  <si>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</si>
  <si>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</si>
  <si>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</si>
  <si>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</si>
  <si>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</si>
  <si>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</si>
  <si>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</si>
  <si>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</si>
  <si>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</si>
  <si>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</si>
  <si>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</si>
  <si>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</si>
  <si>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</si>
  <si>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</si>
  <si>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</si>
  <si>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</si>
  <si>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</si>
  <si>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</si>
  <si>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</si>
  <si>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</si>
  <si>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</si>
  <si>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</si>
  <si>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</si>
  <si>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</si>
  <si>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</si>
  <si>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</si>
  <si>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</si>
  <si>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</si>
  <si>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</si>
  <si>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</si>
  <si>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</si>
  <si>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</si>
  <si>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</si>
  <si>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</si>
  <si>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</si>
  <si>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</si>
  <si>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</si>
  <si>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</si>
  <si>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</si>
  <si>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</si>
  <si>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</si>
  <si>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</si>
  <si>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</si>
  <si>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</si>
  <si>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</si>
  <si>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</si>
  <si>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</si>
  <si>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</si>
  <si>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</si>
  <si>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</si>
  <si>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</si>
  <si>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</si>
  <si>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</si>
  <si>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</si>
  <si>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</si>
  <si>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</si>
  <si>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</si>
  <si>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</si>
  <si>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</si>
  <si>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</si>
  <si>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</si>
  <si>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</si>
  <si>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</si>
  <si>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</si>
  <si>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</si>
  <si>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</si>
  <si>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</si>
  <si>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</si>
  <si>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</si>
  <si>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</si>
  <si>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</si>
  <si>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</si>
  <si>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</si>
  <si>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</si>
  <si>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</si>
  <si>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</si>
  <si>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</si>
  <si>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</si>
  <si>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</si>
  <si>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</si>
  <si>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</si>
  <si>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</si>
  <si>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</si>
  <si>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</si>
  <si>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</si>
  <si>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</si>
  <si>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</si>
  <si>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</si>
  <si>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</si>
  <si>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</si>
  <si>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</si>
  <si>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</si>
  <si>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</si>
  <si>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</si>
  <si>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</si>
  <si>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</si>
  <si>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</si>
  <si>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</si>
  <si>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</si>
  <si>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</si>
  <si>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</si>
  <si>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</si>
  <si>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</si>
  <si>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</si>
  <si>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</si>
  <si>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</si>
  <si>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</si>
  <si>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</si>
  <si>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</si>
  <si>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</si>
  <si>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</si>
  <si>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</si>
  <si>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</si>
  <si>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</si>
  <si>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</si>
  <si>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</si>
  <si>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</si>
  <si>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</si>
  <si>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</si>
  <si>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</si>
  <si>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</si>
  <si>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</si>
  <si>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</si>
  <si>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</si>
  <si>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</si>
  <si>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</si>
  <si>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</si>
  <si>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</si>
  <si>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</si>
  <si>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</si>
  <si>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</si>
  <si>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</si>
  <si>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</si>
  <si>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</si>
  <si>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</si>
  <si>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</si>
  <si>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</si>
  <si>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</si>
  <si>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</si>
  <si>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</si>
  <si>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</si>
  <si>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</si>
  <si>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</si>
  <si>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</si>
  <si>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</si>
  <si>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</si>
  <si>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</si>
  <si>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</si>
  <si>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</si>
  <si>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</si>
  <si>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</si>
  <si>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</si>
  <si>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</si>
  <si>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</si>
  <si>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</si>
  <si>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</si>
  <si>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</si>
  <si>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</si>
  <si>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</si>
  <si>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</si>
  <si>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</si>
  <si>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</si>
  <si>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</si>
  <si>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</si>
  <si>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</si>
  <si>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</si>
  <si>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</si>
  <si>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</si>
  <si>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</si>
  <si>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</si>
  <si>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</si>
  <si>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</si>
  <si>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</si>
  <si>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</si>
  <si>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</si>
  <si>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</si>
  <si>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</si>
  <si>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</si>
  <si>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</si>
  <si>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</si>
  <si>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</si>
  <si>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</si>
  <si>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</si>
  <si>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</si>
  <si>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</si>
  <si>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</si>
  <si>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</si>
  <si>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</si>
  <si>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</si>
  <si>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</si>
  <si>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</si>
  <si>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</si>
  <si>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</si>
  <si>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</si>
  <si>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</si>
  <si>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</si>
  <si>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</si>
  <si>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</si>
  <si>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</si>
  <si>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</si>
  <si>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</si>
  <si>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</si>
  <si>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</si>
  <si>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</si>
  <si>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</si>
  <si>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</si>
  <si>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</si>
  <si>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</si>
  <si>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</si>
  <si>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</si>
  <si>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</si>
  <si>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</si>
  <si>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</si>
  <si>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</si>
  <si>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</si>
  <si>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</si>
  <si>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</si>
  <si>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</si>
  <si>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</si>
  <si>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</si>
  <si>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</si>
  <si>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</si>
  <si>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</si>
  <si>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</si>
  <si>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</si>
  <si>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</si>
  <si>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</si>
  <si>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</si>
  <si>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</si>
  <si>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</si>
  <si>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</si>
  <si>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</si>
  <si>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</si>
  <si>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</si>
  <si>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</si>
  <si>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</si>
  <si>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</si>
  <si>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</si>
  <si>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</si>
  <si>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</si>
  <si>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</si>
  <si>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</si>
  <si>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</si>
  <si>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</si>
  <si>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</si>
  <si>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</si>
  <si>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</si>
  <si>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</si>
  <si>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</si>
  <si>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</si>
  <si>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</si>
  <si>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</si>
  <si>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</si>
  <si>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</si>
  <si>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</si>
  <si>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</si>
  <si>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</si>
  <si>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</si>
  <si>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</si>
  <si>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</si>
  <si>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</si>
  <si>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</si>
  <si>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</si>
  <si>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</si>
  <si>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</si>
  <si>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</si>
  <si>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</si>
  <si>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</si>
  <si>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</si>
  <si>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</si>
  <si>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</si>
  <si>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</si>
  <si>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</si>
  <si>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</si>
  <si>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</si>
  <si>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</si>
  <si>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</si>
  <si>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</si>
  <si>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</si>
  <si>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</si>
  <si>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</si>
  <si>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</si>
  <si>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</si>
  <si>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</si>
  <si>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</si>
  <si>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</si>
  <si>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</si>
  <si>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</si>
  <si>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</si>
  <si>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</si>
  <si>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</si>
  <si>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</si>
  <si>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</si>
  <si>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</si>
  <si>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</si>
  <si>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</si>
  <si>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</si>
  <si>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</si>
  <si>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</si>
  <si>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</si>
  <si>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</si>
  <si>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</si>
  <si>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</si>
  <si>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</si>
  <si>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</si>
  <si>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</si>
  <si>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</si>
  <si>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</si>
  <si>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</si>
  <si>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</si>
  <si>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</si>
  <si>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</si>
  <si>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</si>
  <si>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</si>
  <si>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</si>
  <si>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</si>
  <si>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</si>
  <si>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</si>
  <si>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</si>
  <si>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</si>
  <si>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</si>
  <si>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</si>
  <si>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</si>
  <si>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</si>
  <si>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</si>
  <si>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</si>
  <si>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</si>
  <si>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</si>
  <si>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</si>
  <si>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</si>
  <si>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</si>
  <si>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</si>
  <si>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</si>
  <si>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</si>
  <si>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</si>
  <si>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</si>
  <si>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</si>
  <si>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</si>
  <si>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</si>
  <si>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</si>
  <si>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</si>
  <si>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</si>
  <si>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</si>
  <si>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</si>
  <si>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</si>
  <si>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</si>
  <si>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</si>
  <si>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</si>
  <si>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</si>
  <si>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</si>
  <si>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</si>
  <si>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</si>
  <si>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</si>
  <si>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</si>
  <si>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</si>
  <si>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</si>
  <si>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</si>
  <si>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</si>
  <si>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</si>
  <si>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</si>
  <si>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</si>
  <si>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</si>
  <si>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</si>
  <si>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</si>
  <si>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</si>
  <si>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</si>
  <si>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</si>
  <si>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</si>
  <si>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</si>
  <si>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</si>
  <si>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</si>
  <si>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</si>
  <si>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</si>
  <si>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</si>
  <si>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</si>
  <si>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</si>
  <si>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</si>
  <si>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</si>
  <si>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</si>
  <si>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</si>
  <si>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</si>
  <si>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</si>
  <si>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</si>
  <si>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</si>
  <si>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</si>
  <si>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</si>
  <si>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</si>
  <si>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</si>
  <si>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</si>
  <si>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</si>
  <si>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</si>
  <si>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</si>
  <si>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</si>
  <si>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</si>
  <si>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</si>
  <si>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</si>
  <si>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</si>
  <si>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</si>
  <si>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</si>
  <si>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</si>
  <si>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</si>
  <si>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</si>
  <si>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</si>
  <si>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</si>
  <si>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</si>
  <si>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</si>
  <si>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</si>
  <si>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</si>
  <si>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</si>
  <si>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</si>
  <si>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</si>
  <si>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</si>
  <si>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</si>
  <si>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</si>
  <si>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</si>
  <si>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</si>
  <si>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</si>
  <si>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</si>
  <si>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</si>
  <si>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</si>
  <si>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</si>
  <si>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</si>
  <si>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</si>
  <si>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</si>
  <si>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</si>
  <si>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</si>
  <si>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</si>
  <si>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</si>
  <si>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</si>
  <si>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</si>
  <si>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</si>
  <si>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</si>
  <si>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</si>
  <si>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</si>
  <si>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</si>
  <si>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</si>
  <si>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</si>
  <si>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</si>
  <si>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</si>
  <si>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</si>
  <si>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</si>
  <si>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</si>
  <si>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</si>
  <si>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</si>
  <si>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</si>
  <si>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</si>
  <si>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</si>
  <si>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</si>
  <si>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</si>
  <si>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</si>
  <si>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</si>
  <si>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</si>
  <si>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</si>
  <si>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</si>
  <si>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</si>
  <si>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</si>
  <si>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</si>
  <si>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</si>
  <si>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</si>
  <si>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</si>
  <si>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</si>
  <si>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</si>
  <si>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</si>
  <si>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</si>
  <si>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</si>
  <si>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</si>
  <si>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</si>
  <si>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</si>
  <si>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</si>
  <si>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</si>
  <si>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</si>
  <si>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</si>
  <si>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</si>
  <si>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</si>
  <si>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</si>
  <si>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</si>
  <si>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</si>
  <si>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</si>
  <si>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</si>
  <si>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</si>
  <si>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</si>
  <si>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</si>
  <si>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</si>
  <si>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</si>
  <si>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</si>
  <si>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</si>
  <si>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</si>
  <si>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</si>
  <si>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</si>
  <si>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</si>
  <si>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</si>
  <si>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</si>
  <si>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</si>
  <si>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</si>
  <si>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</si>
  <si>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</si>
  <si>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</si>
  <si>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</si>
  <si>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</si>
  <si>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</si>
  <si>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</si>
  <si>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</si>
  <si>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</si>
  <si>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</si>
  <si>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</si>
  <si>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</si>
  <si>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</si>
  <si>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</si>
  <si>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</si>
  <si>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</si>
  <si>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</si>
  <si>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</si>
  <si>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</si>
  <si>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</si>
  <si>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</si>
  <si>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</si>
  <si>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</si>
  <si>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</si>
  <si>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</si>
  <si>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</si>
  <si>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</si>
  <si>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</si>
  <si>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</si>
  <si>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</si>
  <si>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</si>
  <si>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</si>
  <si>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</si>
  <si>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</si>
  <si>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</si>
  <si>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</si>
  <si>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</si>
  <si>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</si>
  <si>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</si>
  <si>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</si>
  <si>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</si>
  <si>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</si>
  <si>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</si>
  <si>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</si>
  <si>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</si>
  <si>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</si>
  <si>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</si>
  <si>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</si>
  <si>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</si>
  <si>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</si>
  <si>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</si>
  <si>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</si>
  <si>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</si>
  <si>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</si>
  <si>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</si>
  <si>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</si>
  <si>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</si>
  <si>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</si>
  <si>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</si>
  <si>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</si>
  <si>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</si>
  <si>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</si>
  <si>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</si>
  <si>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</si>
  <si>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</si>
  <si>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</si>
  <si>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</si>
  <si>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</si>
  <si>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</si>
  <si>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</si>
  <si>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</si>
  <si>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</si>
  <si>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</si>
  <si>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</si>
  <si>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</si>
  <si>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</si>
  <si>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</si>
  <si>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</si>
  <si>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</si>
  <si>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</si>
  <si>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</si>
  <si>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</si>
  <si>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</si>
  <si>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</si>
  <si>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</si>
  <si>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</si>
  <si>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</si>
  <si>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</si>
  <si>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</si>
  <si>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</si>
  <si>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</si>
  <si>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</si>
  <si>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</si>
  <si>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</si>
  <si>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</si>
  <si>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</si>
  <si>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</si>
  <si>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</si>
  <si>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</si>
  <si>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</si>
  <si>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</si>
  <si>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</si>
  <si>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</si>
  <si>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</si>
  <si>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</si>
  <si>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</si>
  <si>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</si>
  <si>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</si>
  <si>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</si>
  <si>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</si>
  <si>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</si>
  <si>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</si>
  <si>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</si>
  <si>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</si>
  <si>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</si>
  <si>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</si>
  <si>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</si>
  <si>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</si>
  <si>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</si>
  <si>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</si>
  <si>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</si>
  <si>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</si>
  <si>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</si>
  <si>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</si>
  <si>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</si>
  <si>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</si>
  <si>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</si>
  <si>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</si>
  <si>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</si>
  <si>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</si>
  <si>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</si>
  <si>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</si>
  <si>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</si>
  <si>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</si>
  <si>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</si>
  <si>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</si>
  <si>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</si>
  <si>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</si>
  <si>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</si>
  <si>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</si>
  <si>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</si>
  <si>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</si>
  <si>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</si>
  <si>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</si>
  <si>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</si>
  <si>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</si>
  <si>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</si>
  <si>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</si>
  <si>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</si>
  <si>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</si>
  <si>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</si>
  <si>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</si>
  <si>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</si>
  <si>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</si>
  <si>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</si>
  <si>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</si>
  <si>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</si>
  <si>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</si>
  <si>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</si>
  <si>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</si>
  <si>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</si>
  <si>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</si>
  <si>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</si>
  <si>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</si>
  <si>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</si>
  <si>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</si>
  <si>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</si>
  <si>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</si>
  <si>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</si>
  <si>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</si>
  <si>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</si>
  <si>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</si>
  <si>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</si>
  <si>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</si>
  <si>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</si>
  <si>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</si>
  <si>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</si>
  <si>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</si>
  <si>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</si>
  <si>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</si>
  <si>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</si>
  <si>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</si>
  <si>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</si>
  <si>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</si>
  <si>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</si>
  <si>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</si>
  <si>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</si>
  <si>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</si>
  <si>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</si>
  <si>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</si>
  <si>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</si>
  <si>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</si>
  <si>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</si>
  <si>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</si>
  <si>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</si>
  <si>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</si>
  <si>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</si>
  <si>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</si>
  <si>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</si>
  <si>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</si>
  <si>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</si>
  <si>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</si>
  <si>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</si>
  <si>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</si>
  <si>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</si>
  <si>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</si>
  <si>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</si>
  <si>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</si>
  <si>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</si>
  <si>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</si>
  <si>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</si>
  <si>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</si>
  <si>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</si>
  <si>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</si>
  <si>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</si>
  <si>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</si>
  <si>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</si>
  <si>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</si>
  <si>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</si>
  <si>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</si>
  <si>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</si>
  <si>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</si>
  <si>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</si>
  <si>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</si>
  <si>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</si>
  <si>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</si>
  <si>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</si>
  <si>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</si>
  <si>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</si>
  <si>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</si>
  <si>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</si>
  <si>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</si>
  <si>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</si>
  <si>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</si>
  <si>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</si>
  <si>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</si>
  <si>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</si>
  <si>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</si>
  <si>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</si>
  <si>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</si>
  <si>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</si>
  <si>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</si>
  <si>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</si>
  <si>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</si>
  <si>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</si>
  <si>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</si>
  <si>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</si>
  <si>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</si>
  <si>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</si>
  <si>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</si>
  <si>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</si>
  <si>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</si>
  <si>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</si>
  <si>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</si>
  <si>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</si>
  <si>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</si>
  <si>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</si>
  <si>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</si>
  <si>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</si>
  <si>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</si>
  <si>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</si>
  <si>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</si>
  <si>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</si>
  <si>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</si>
  <si>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</si>
  <si>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</si>
  <si>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</si>
  <si>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</si>
  <si>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</si>
  <si>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</si>
  <si>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</si>
  <si>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</si>
  <si>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</si>
  <si>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</si>
  <si>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</si>
  <si>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</si>
  <si>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</si>
  <si>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</si>
  <si>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</si>
  <si>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</si>
  <si>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</si>
  <si>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</si>
  <si>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</si>
  <si>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</si>
  <si>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</si>
  <si>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</si>
  <si>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</si>
  <si>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</si>
  <si>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</si>
  <si>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</si>
  <si>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</si>
  <si>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</si>
  <si>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</si>
  <si>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</si>
  <si>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</si>
  <si>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</si>
  <si>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</si>
  <si>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</si>
  <si>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</si>
  <si>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</si>
  <si>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</si>
  <si>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</si>
  <si>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</si>
  <si>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</si>
  <si>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</si>
  <si>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</si>
  <si>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</si>
  <si>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</si>
  <si>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</si>
  <si>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</si>
  <si>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</si>
  <si>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</si>
  <si>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</si>
  <si>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</si>
  <si>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</si>
  <si>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</si>
  <si>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</si>
  <si>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</si>
  <si>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</si>
  <si>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</si>
  <si>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</si>
  <si>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</si>
  <si>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</si>
  <si>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</si>
  <si>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</si>
  <si>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</si>
  <si>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</si>
  <si>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</si>
  <si>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</si>
  <si>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</si>
  <si>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</si>
  <si>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</si>
  <si>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</si>
  <si>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</si>
  <si>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</si>
  <si>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</si>
  <si>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</si>
  <si>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</si>
  <si>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</si>
  <si>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</si>
  <si>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</si>
  <si>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</si>
  <si>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</si>
  <si>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</si>
  <si>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</si>
  <si>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</si>
  <si>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</si>
  <si>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</si>
  <si>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</si>
  <si>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</si>
  <si>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</si>
  <si>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</si>
  <si>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</si>
  <si>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</si>
  <si>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</si>
  <si>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</si>
  <si>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</si>
  <si>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</si>
  <si>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</si>
  <si>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</si>
  <si>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</si>
  <si>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</si>
  <si>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</si>
  <si>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</si>
  <si>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</si>
  <si>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</si>
  <si>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</si>
  <si>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</si>
  <si>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</si>
  <si>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</si>
  <si>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</si>
  <si>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</si>
  <si>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</si>
  <si>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</si>
  <si>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</si>
  <si>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</si>
  <si>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</si>
  <si>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</si>
  <si>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</si>
  <si>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</si>
  <si>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</si>
  <si>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</si>
  <si>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</si>
  <si>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</si>
  <si>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</si>
  <si>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</si>
  <si>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</si>
  <si>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</si>
  <si>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</si>
  <si>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</si>
  <si>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</si>
  <si>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</si>
  <si>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</si>
  <si>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</si>
  <si>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</si>
  <si>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</si>
  <si>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</si>
  <si>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</si>
  <si>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</si>
  <si>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</si>
  <si>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</si>
  <si>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</si>
  <si>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</si>
  <si>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</si>
  <si>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</si>
  <si>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</si>
  <si>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</si>
  <si>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</si>
  <si>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</si>
  <si>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</si>
  <si>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</si>
  <si>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</si>
  <si>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</si>
  <si>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</si>
  <si>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</si>
  <si>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</si>
  <si>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</si>
  <si>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</si>
  <si>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</si>
  <si>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</si>
  <si>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</si>
  <si>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</si>
  <si>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</si>
  <si>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</si>
  <si>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</si>
  <si>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</si>
  <si>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</si>
  <si>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</si>
  <si>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</si>
  <si>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</si>
  <si>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</si>
  <si>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</si>
  <si>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</si>
  <si>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</si>
  <si>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</si>
  <si>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</si>
  <si>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</si>
  <si>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</si>
  <si>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</si>
  <si>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</si>
  <si>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</si>
  <si>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</si>
  <si>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</si>
  <si>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</si>
  <si>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</si>
  <si>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</si>
  <si>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</si>
  <si>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</si>
  <si>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</si>
  <si>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</si>
  <si>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</si>
  <si>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</si>
  <si>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</si>
  <si>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</si>
  <si>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</si>
  <si>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</si>
  <si>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</si>
  <si>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</si>
  <si>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</si>
  <si>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</si>
  <si>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</si>
  <si>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</si>
  <si>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</si>
  <si>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</si>
  <si>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</si>
  <si>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</si>
  <si>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</si>
  <si>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</si>
  <si>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</si>
  <si>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</si>
  <si>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</si>
  <si>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</si>
  <si>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</si>
  <si>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</si>
  <si>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</si>
  <si>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</si>
  <si>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</si>
  <si>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</si>
  <si>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</si>
  <si>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</si>
  <si>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</si>
  <si>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</si>
  <si>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</si>
  <si>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</si>
  <si>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</si>
  <si>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</si>
  <si>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</si>
  <si>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</si>
  <si>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</si>
  <si>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</si>
  <si>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</si>
  <si>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</si>
  <si>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</si>
  <si>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</si>
  <si>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</si>
  <si>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</si>
  <si>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</si>
  <si>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</si>
  <si>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</si>
  <si>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</si>
  <si>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</si>
  <si>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</si>
  <si>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</si>
  <si>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</si>
  <si>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</si>
  <si>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</si>
  <si>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</si>
  <si>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</si>
  <si>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</si>
  <si>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</si>
  <si>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</si>
  <si>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</si>
  <si>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</si>
  <si>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</si>
  <si>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</si>
  <si>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</si>
  <si>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</si>
  <si>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</si>
  <si>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</si>
  <si>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</si>
  <si>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</si>
  <si>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</si>
  <si>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</si>
  <si>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</si>
  <si>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</si>
  <si>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</si>
  <si>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</si>
  <si>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</si>
  <si>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</si>
  <si>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</si>
  <si>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</si>
  <si>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</si>
  <si>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</si>
  <si>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</si>
  <si>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</si>
  <si>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</si>
  <si>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</si>
  <si>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</si>
  <si>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</si>
  <si>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</si>
  <si>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</si>
  <si>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</si>
  <si>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</si>
  <si>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</si>
  <si>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</si>
  <si>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</si>
  <si>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</si>
  <si>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</si>
  <si>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</si>
  <si>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</si>
  <si>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</si>
  <si>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</si>
  <si>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</si>
  <si>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</si>
  <si>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</si>
  <si>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</si>
  <si>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</si>
  <si>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</si>
  <si>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</si>
  <si>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</si>
  <si>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</si>
  <si>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</si>
  <si>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</si>
  <si>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</si>
  <si>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</si>
  <si>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</si>
  <si>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</si>
  <si>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</si>
  <si>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</si>
  <si>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</si>
  <si>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</si>
  <si>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</si>
  <si>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</si>
  <si>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</si>
  <si>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</si>
  <si>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</si>
  <si>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</si>
  <si>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</si>
  <si>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</si>
  <si>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</si>
  <si>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</si>
  <si>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</si>
  <si>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</si>
  <si>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</si>
  <si>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</si>
  <si>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</si>
  <si>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</si>
  <si>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</si>
  <si>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</si>
  <si>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</si>
  <si>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</si>
  <si>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</si>
  <si>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</si>
  <si>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</si>
  <si>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</si>
  <si>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</si>
  <si>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</si>
  <si>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</si>
  <si>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</si>
  <si>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</si>
  <si>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</si>
  <si>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</si>
  <si>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</si>
  <si>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</si>
  <si>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</si>
  <si>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</si>
  <si>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</si>
  <si>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</si>
  <si>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</si>
  <si>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</si>
  <si>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</si>
  <si>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</si>
  <si>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</si>
  <si>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</si>
  <si>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</si>
  <si>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</si>
  <si>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</si>
  <si>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</si>
  <si>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</si>
  <si>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</si>
  <si>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</si>
  <si>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</si>
  <si>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</si>
  <si>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</si>
  <si>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</si>
  <si>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</si>
  <si>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</si>
  <si>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</si>
  <si>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</si>
  <si>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</si>
  <si>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</si>
  <si>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</si>
  <si>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</si>
  <si>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</si>
  <si>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</si>
  <si>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</si>
  <si>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</si>
  <si>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</si>
  <si>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</si>
  <si>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</si>
  <si>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</si>
  <si>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</si>
  <si>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</si>
  <si>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</si>
  <si>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</si>
  <si>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</si>
  <si>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</si>
  <si>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</si>
  <si>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</si>
  <si>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</si>
  <si>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</si>
  <si>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</si>
  <si>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</si>
  <si>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</si>
  <si>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</si>
  <si>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</si>
  <si>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</si>
  <si>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</si>
  <si>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</si>
  <si>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</si>
  <si>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</si>
  <si>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</si>
  <si>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</si>
  <si>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</si>
  <si>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</si>
  <si>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</si>
  <si>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</si>
  <si>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</si>
  <si>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</si>
  <si>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</si>
  <si>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</si>
  <si>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</si>
  <si>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</si>
  <si>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</si>
  <si>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</si>
  <si>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</si>
  <si>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</si>
  <si>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</si>
  <si>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</si>
  <si>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</si>
  <si>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</si>
  <si>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</si>
  <si>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</si>
  <si>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</si>
  <si>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</si>
  <si>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</si>
  <si>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</si>
  <si>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</si>
  <si>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</si>
  <si>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</si>
  <si>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</si>
  <si>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</si>
  <si>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</si>
  <si>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</si>
  <si>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</si>
  <si>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</si>
  <si>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</si>
  <si>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</si>
  <si>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</si>
  <si>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</si>
  <si>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</si>
  <si>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</si>
  <si>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</si>
  <si>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</si>
  <si>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</si>
  <si>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</si>
  <si>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</si>
  <si>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</si>
  <si>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</si>
  <si>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</si>
  <si>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</si>
  <si>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</si>
  <si>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</si>
  <si>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</si>
  <si>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</si>
  <si>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</si>
  <si>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</si>
  <si>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</si>
  <si>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</si>
  <si>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</si>
  <si>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</si>
  <si>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</si>
  <si>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</si>
  <si>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</si>
  <si>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</si>
  <si>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</si>
  <si>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</si>
  <si>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</si>
  <si>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</si>
  <si>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</si>
  <si>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</si>
  <si>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</si>
  <si>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</si>
  <si>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</si>
  <si>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</si>
  <si>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</si>
  <si>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</si>
  <si>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</si>
  <si>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</si>
  <si>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</si>
  <si>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</si>
  <si>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</si>
  <si>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</si>
  <si>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</si>
  <si>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</si>
  <si>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</si>
  <si>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</si>
  <si>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</si>
  <si>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</si>
  <si>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</si>
  <si>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</si>
  <si>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</si>
  <si>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</si>
  <si>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</si>
  <si>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</si>
  <si>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</si>
  <si>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</si>
  <si>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</si>
  <si>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</si>
  <si>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</si>
  <si>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</si>
  <si>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</si>
  <si>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</si>
  <si>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</si>
  <si>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</si>
  <si>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</si>
  <si>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</si>
  <si>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</si>
  <si>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</si>
  <si>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</si>
  <si>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</si>
  <si>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</si>
  <si>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</si>
  <si>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</si>
  <si>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</si>
  <si>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</si>
  <si>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</si>
  <si>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</si>
  <si>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</si>
  <si>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</si>
  <si>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</si>
  <si>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</si>
  <si>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</si>
  <si>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</si>
  <si>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</si>
  <si>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</si>
  <si>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</si>
  <si>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</si>
  <si>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</si>
  <si>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</si>
  <si>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</si>
  <si>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</si>
  <si>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</si>
  <si>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</si>
  <si>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</si>
  <si>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</si>
  <si>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</si>
  <si>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</si>
  <si>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</si>
  <si>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</si>
  <si>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</si>
  <si>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</si>
  <si>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</si>
  <si>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</si>
  <si>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</si>
  <si>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</si>
  <si>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</si>
  <si>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</si>
  <si>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</si>
  <si>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</si>
  <si>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</si>
  <si>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</si>
  <si>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</si>
  <si>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</si>
  <si>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</si>
  <si>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</si>
  <si>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</si>
  <si>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</si>
  <si>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</si>
  <si>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</si>
  <si>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</si>
  <si>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</si>
  <si>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</si>
  <si>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</si>
  <si>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</si>
  <si>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</si>
  <si>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</si>
  <si>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</si>
  <si>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</si>
  <si>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</si>
  <si>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</si>
  <si>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</si>
  <si>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</si>
  <si>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</si>
  <si>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</si>
  <si>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</si>
  <si>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</si>
  <si>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</si>
  <si>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</si>
  <si>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</si>
  <si>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</si>
  <si>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</si>
  <si>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</si>
  <si>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</si>
  <si>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</si>
  <si>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</si>
  <si>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</si>
  <si>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</si>
  <si>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</si>
  <si>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</si>
  <si>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</si>
  <si>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</si>
  <si>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</si>
  <si>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</si>
  <si>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</si>
  <si>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</si>
  <si>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</si>
  <si>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</si>
  <si>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</si>
  <si>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</si>
  <si>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</si>
  <si>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</si>
  <si>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</si>
  <si>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</si>
  <si>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</si>
  <si>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</si>
  <si>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</si>
  <si>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</si>
  <si>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</si>
  <si>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</si>
  <si>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</si>
  <si>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</si>
  <si>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</si>
  <si>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</si>
  <si>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</si>
  <si>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</si>
  <si>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</si>
  <si>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</si>
  <si>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</si>
  <si>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</si>
  <si>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</si>
  <si>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</si>
  <si>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</si>
  <si>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</si>
  <si>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</si>
  <si>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</si>
  <si>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</si>
  <si>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</si>
  <si>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</si>
  <si>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</si>
  <si>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</si>
  <si>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</si>
  <si>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</si>
  <si>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</si>
  <si>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</si>
  <si>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</si>
  <si>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</si>
  <si>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</si>
  <si>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</si>
  <si>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</si>
  <si>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</si>
  <si>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</si>
  <si>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</si>
  <si>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</si>
  <si>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</si>
  <si>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</si>
  <si>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</si>
  <si>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</si>
  <si>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</si>
  <si>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</si>
  <si>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</si>
  <si>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</si>
  <si>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</si>
  <si>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</si>
  <si>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</si>
  <si>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</si>
  <si>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</si>
  <si>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</si>
  <si>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</si>
  <si>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</si>
  <si>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</si>
  <si>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</si>
  <si>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</si>
  <si>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</si>
  <si>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</si>
  <si>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</si>
  <si>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</si>
  <si>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</si>
  <si>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</si>
  <si>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</si>
  <si>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</si>
  <si>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</si>
  <si>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</si>
  <si>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</si>
  <si>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</si>
  <si>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</si>
  <si>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</si>
  <si>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</si>
  <si>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</si>
  <si>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</si>
  <si>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</si>
  <si>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</si>
  <si>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</si>
  <si>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</si>
  <si>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</si>
  <si>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</si>
  <si>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</si>
  <si>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</si>
  <si>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</si>
  <si>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</si>
  <si>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</si>
  <si>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</si>
  <si>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</si>
  <si>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</si>
  <si>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</si>
  <si>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</si>
  <si>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</si>
  <si>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</si>
  <si>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</si>
  <si>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</si>
  <si>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</si>
  <si>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</si>
  <si>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</si>
  <si>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</si>
  <si>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</si>
  <si>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</si>
  <si>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</si>
  <si>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</si>
  <si>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</si>
  <si>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</si>
  <si>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</si>
  <si>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</si>
  <si>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</si>
  <si>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</si>
  <si>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</si>
  <si>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</si>
  <si>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</si>
  <si>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</si>
  <si>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</si>
  <si>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</si>
  <si>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</si>
  <si>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</si>
  <si>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</si>
  <si>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</si>
  <si>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</si>
  <si>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</si>
  <si>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</si>
  <si>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</si>
  <si>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</si>
  <si>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</si>
  <si>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</si>
  <si>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</si>
  <si>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</si>
  <si>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</si>
  <si>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</si>
  <si>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</si>
  <si>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</si>
  <si>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</si>
  <si>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</si>
  <si>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</si>
  <si>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</si>
  <si>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</si>
  <si>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</si>
  <si>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</si>
  <si>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</si>
  <si>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</si>
  <si>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</si>
  <si>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</si>
  <si>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</si>
  <si>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</si>
  <si>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</si>
  <si>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</si>
  <si>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</si>
  <si>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</si>
  <si>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</si>
  <si>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</si>
  <si>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</si>
  <si>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</si>
  <si>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</si>
  <si>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</si>
  <si>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</si>
  <si>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</si>
  <si>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</si>
  <si>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</si>
  <si>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</si>
  <si>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</si>
  <si>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</si>
  <si>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</si>
  <si>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</si>
  <si>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</si>
  <si>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</si>
  <si>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</si>
  <si>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</si>
  <si>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</si>
  <si>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</si>
  <si>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</si>
  <si>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</si>
  <si>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</si>
  <si>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</si>
  <si>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</si>
  <si>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</si>
  <si>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</si>
  <si>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</si>
  <si>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</si>
  <si>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</si>
  <si>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</si>
  <si>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</si>
  <si>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</si>
  <si>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</si>
  <si>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</si>
  <si>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</si>
  <si>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</si>
  <si>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</si>
  <si>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</si>
  <si>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</si>
  <si>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</si>
  <si>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</si>
  <si>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</si>
  <si>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</si>
  <si>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</si>
  <si>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</si>
  <si>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</si>
  <si>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</si>
  <si>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</si>
  <si>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</si>
  <si>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</si>
  <si>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</si>
  <si>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</si>
  <si>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</si>
  <si>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</si>
  <si>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</si>
  <si>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</si>
  <si>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</si>
  <si>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</si>
  <si>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</si>
  <si>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</si>
  <si>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</si>
  <si>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</si>
  <si>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</si>
  <si>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</si>
  <si>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</si>
  <si>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</si>
  <si>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</si>
  <si>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</si>
  <si>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</si>
  <si>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</si>
  <si>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</si>
  <si>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</si>
  <si>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</si>
  <si>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</si>
  <si>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</si>
  <si>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</si>
  <si>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</si>
  <si>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</si>
  <si>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</si>
  <si>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</si>
  <si>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</si>
  <si>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</si>
  <si>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</si>
  <si>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</si>
  <si>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</si>
  <si>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</si>
  <si>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</si>
  <si>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</si>
  <si>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</si>
  <si>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</si>
  <si>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</si>
  <si>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</si>
  <si>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</si>
  <si>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</si>
  <si>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</si>
  <si>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</si>
  <si>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</si>
  <si>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</si>
  <si>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</si>
  <si>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</si>
  <si>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</si>
  <si>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</si>
  <si>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</si>
  <si>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</si>
  <si>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</si>
  <si>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</si>
  <si>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</si>
  <si>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</si>
  <si>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</si>
  <si>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</si>
  <si>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</si>
  <si>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</si>
  <si>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</si>
  <si>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</si>
  <si>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</si>
  <si>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</si>
  <si>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</si>
  <si>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</si>
  <si>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</si>
  <si>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</si>
  <si>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</si>
  <si>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</si>
  <si>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</si>
  <si>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</si>
  <si>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</si>
  <si>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</si>
  <si>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</si>
  <si>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</si>
  <si>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</si>
  <si>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</si>
  <si>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</si>
  <si>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</si>
  <si>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</si>
  <si>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</si>
  <si>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</si>
  <si>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</si>
  <si>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</si>
  <si>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</si>
  <si>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</si>
  <si>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</si>
  <si>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</si>
  <si>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</si>
  <si>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</si>
  <si>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</si>
  <si>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</si>
  <si>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</si>
  <si>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</si>
  <si>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</si>
  <si>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</si>
  <si>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</si>
  <si>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</si>
  <si>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</si>
  <si>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</si>
  <si>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</si>
  <si>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</si>
  <si>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</si>
  <si>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</si>
  <si>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</si>
  <si>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</si>
  <si>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</si>
  <si>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</si>
  <si>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</si>
  <si>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</si>
  <si>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</si>
  <si>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</si>
  <si>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</si>
  <si>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</si>
  <si>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</si>
  <si>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</si>
  <si>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</si>
  <si>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</si>
  <si>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</si>
  <si>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</si>
  <si>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</si>
  <si>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</si>
  <si>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</si>
  <si>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</si>
  <si>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</si>
  <si>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</si>
  <si>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</si>
  <si>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</si>
  <si>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</si>
  <si>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</si>
  <si>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</si>
  <si>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</si>
  <si>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</si>
  <si>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</si>
  <si>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</si>
  <si>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</si>
  <si>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</si>
  <si>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</si>
  <si>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</si>
  <si>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</si>
  <si>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</si>
  <si>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</si>
  <si>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</si>
  <si>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</si>
  <si>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</si>
  <si>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</si>
  <si>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</si>
  <si>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</si>
  <si>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</si>
  <si>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</si>
  <si>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</si>
  <si>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</si>
  <si>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</si>
  <si>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</si>
  <si>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</si>
  <si>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</si>
  <si>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</si>
  <si>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</si>
  <si>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</si>
  <si>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</si>
  <si>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</si>
  <si>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</si>
  <si>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</si>
  <si>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</si>
  <si>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</si>
  <si>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</si>
  <si>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</si>
  <si>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</si>
  <si>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</si>
  <si>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</si>
  <si>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</si>
  <si>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</si>
  <si>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</si>
  <si>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</si>
  <si>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</si>
  <si>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</si>
  <si>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</si>
  <si>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</si>
  <si>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</si>
  <si>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</si>
  <si>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</si>
  <si>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</si>
  <si>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</si>
  <si>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</si>
  <si>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</si>
  <si>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</si>
  <si>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</si>
  <si>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</si>
  <si>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</si>
  <si>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</si>
  <si>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</si>
  <si>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</si>
  <si>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</si>
  <si>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</si>
  <si>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</si>
  <si>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</si>
  <si>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</si>
  <si>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</si>
  <si>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</si>
  <si>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</si>
  <si>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</si>
  <si>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</si>
  <si>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</si>
  <si>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</si>
  <si>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</si>
  <si>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</si>
  <si>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</si>
  <si>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</si>
  <si>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</si>
  <si>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</si>
  <si>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</si>
  <si>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</si>
  <si>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</si>
  <si>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</si>
  <si>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</si>
  <si>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</si>
  <si>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</si>
  <si>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</si>
  <si>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</si>
  <si>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</si>
  <si>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</si>
  <si>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</si>
  <si>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</si>
  <si>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</si>
  <si>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</si>
  <si>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</si>
  <si>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</si>
  <si>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</si>
  <si>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</si>
  <si>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</si>
  <si>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</si>
  <si>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</si>
  <si>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</si>
  <si>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</si>
  <si>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</si>
  <si>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</si>
  <si>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</si>
  <si>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</si>
  <si>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</si>
  <si>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</si>
  <si>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</si>
  <si>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</si>
  <si>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</si>
  <si>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</si>
  <si>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</si>
  <si>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</si>
  <si>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</si>
  <si>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</si>
  <si>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</si>
  <si>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</si>
  <si>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</si>
  <si>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</si>
  <si>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</si>
  <si>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</si>
  <si>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</si>
  <si>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</si>
  <si>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</si>
  <si>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</si>
  <si>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</si>
  <si>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</si>
  <si>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</si>
  <si>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</si>
  <si>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</si>
  <si>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</si>
  <si>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</si>
  <si>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</si>
  <si>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</si>
  <si>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</si>
  <si>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</si>
  <si>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</si>
  <si>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</si>
  <si>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</si>
  <si>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</si>
  <si>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</si>
  <si>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</si>
  <si>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</si>
  <si>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</si>
  <si>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</si>
  <si>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</si>
  <si>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</si>
  <si>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</si>
  <si>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</si>
  <si>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</si>
  <si>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</si>
  <si>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</si>
  <si>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</si>
  <si>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</si>
  <si>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</si>
  <si>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</si>
  <si>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</si>
  <si>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</si>
  <si>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</si>
  <si>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</si>
  <si>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</si>
  <si>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</si>
  <si>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</si>
  <si>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</si>
  <si>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</si>
  <si>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</si>
  <si>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</si>
  <si>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</si>
  <si>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</si>
  <si>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</si>
  <si>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</si>
  <si>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</si>
  <si>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</si>
  <si>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</si>
  <si>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</si>
  <si>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</si>
  <si>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</si>
  <si>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</si>
  <si>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</si>
  <si>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</si>
  <si>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</si>
  <si>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</si>
  <si>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</si>
  <si>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</si>
  <si>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</si>
  <si>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</si>
  <si>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</si>
  <si>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</si>
  <si>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</si>
  <si>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</si>
  <si>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</si>
  <si>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</si>
  <si>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</si>
  <si>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</si>
  <si>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</si>
  <si>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</si>
  <si>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</si>
  <si>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</si>
  <si>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</si>
  <si>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</si>
  <si>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</si>
  <si>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</si>
  <si>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</si>
  <si>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</si>
  <si>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</si>
  <si>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</si>
  <si>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</si>
  <si>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</si>
  <si>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</si>
  <si>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</si>
  <si>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</si>
  <si>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</si>
  <si>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</si>
  <si>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</si>
  <si>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</si>
  <si>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</si>
  <si>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</si>
  <si>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</si>
  <si>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</si>
  <si>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</si>
  <si>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</si>
  <si>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</si>
  <si>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</si>
  <si>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</si>
  <si>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</si>
  <si>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</si>
  <si>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</si>
  <si>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</si>
  <si>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</si>
  <si>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</si>
  <si>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</si>
  <si>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</si>
  <si>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</si>
  <si>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</si>
  <si>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</si>
  <si>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</si>
  <si>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</si>
  <si>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</si>
  <si>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</si>
  <si>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</si>
  <si>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</si>
  <si>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</si>
  <si>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</si>
  <si>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</si>
  <si>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</si>
  <si>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</si>
  <si>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</si>
  <si>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</si>
  <si>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</si>
  <si>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</si>
  <si>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</si>
  <si>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</si>
  <si>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</si>
  <si>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</si>
  <si>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</si>
  <si>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</si>
  <si>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</si>
  <si>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</si>
  <si>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</si>
  <si>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</si>
  <si>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</si>
  <si>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</si>
  <si>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</si>
  <si>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</si>
  <si>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</si>
  <si>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</si>
  <si>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</si>
  <si>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</si>
  <si>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</si>
  <si>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</si>
  <si>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</si>
  <si>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</si>
  <si>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</si>
  <si>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</si>
  <si>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</si>
  <si>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</si>
  <si>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</si>
  <si>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</si>
  <si>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</si>
  <si>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</si>
  <si>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</si>
  <si>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</si>
  <si>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</si>
  <si>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</si>
  <si>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</si>
  <si>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</si>
  <si>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</si>
  <si>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</si>
  <si>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</si>
  <si>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</si>
  <si>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</si>
  <si>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</si>
  <si>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</si>
  <si>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</si>
  <si>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</si>
  <si>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</si>
  <si>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</si>
  <si>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</si>
  <si>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</si>
  <si>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</si>
  <si>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</si>
  <si>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</si>
  <si>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</si>
  <si>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</si>
  <si>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</si>
  <si>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</si>
  <si>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</si>
  <si>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</si>
  <si>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</si>
  <si>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</si>
  <si>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</si>
  <si>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</si>
  <si>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</si>
  <si>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</si>
  <si>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</si>
  <si>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</si>
  <si>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</si>
  <si>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</si>
  <si>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</si>
  <si>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</si>
  <si>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</si>
  <si>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</si>
  <si>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</si>
  <si>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</si>
  <si>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</si>
  <si>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</si>
  <si>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</si>
  <si>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</si>
  <si>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</si>
  <si>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</si>
  <si>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</si>
  <si>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</si>
  <si>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</si>
  <si>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</si>
  <si>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</si>
  <si>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</si>
  <si>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</si>
  <si>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</si>
  <si>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</si>
  <si>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</si>
  <si>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</si>
  <si>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</si>
  <si>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</si>
  <si>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</si>
  <si>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</si>
  <si>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</si>
  <si>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</si>
  <si>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</si>
  <si>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</si>
  <si>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</si>
  <si>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</si>
  <si>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</si>
  <si>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</si>
  <si>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</si>
  <si>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</si>
  <si>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</si>
  <si>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</si>
  <si>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</si>
  <si>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</si>
  <si>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</si>
  <si>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</si>
  <si>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</si>
  <si>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</si>
  <si>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</si>
  <si>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</si>
  <si>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</si>
  <si>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</si>
  <si>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</si>
  <si>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</si>
  <si>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</si>
  <si>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</si>
  <si>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</si>
  <si>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</si>
  <si>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</si>
  <si>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</si>
  <si>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</si>
  <si>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</si>
  <si>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</si>
  <si>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</si>
  <si>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</si>
  <si>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</si>
  <si>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</si>
  <si>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</si>
  <si>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</si>
  <si>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</si>
  <si>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</si>
  <si>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</si>
  <si>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</si>
  <si>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</si>
  <si>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</si>
  <si>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</si>
  <si>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</si>
  <si>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</si>
  <si>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</si>
  <si>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</si>
  <si>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</si>
  <si>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</si>
  <si>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</si>
  <si>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</si>
  <si>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</si>
  <si>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</si>
  <si>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</si>
  <si>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</si>
  <si>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</si>
  <si>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</si>
  <si>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</si>
  <si>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</si>
  <si>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</si>
  <si>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</si>
  <si>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</si>
  <si>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</si>
  <si>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</si>
  <si>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</si>
  <si>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</si>
  <si>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</si>
  <si>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</si>
  <si>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</si>
  <si>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</si>
  <si>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</si>
  <si>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</si>
  <si>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</si>
  <si>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</si>
  <si>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</si>
  <si>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</si>
  <si>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</si>
  <si>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</si>
  <si>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</si>
  <si>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</si>
  <si>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</si>
  <si>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</si>
  <si>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</si>
  <si>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</si>
  <si>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</si>
  <si>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</si>
  <si>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</si>
  <si>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</si>
  <si>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</si>
  <si>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</si>
  <si>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</si>
  <si>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</si>
  <si>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</si>
  <si>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</si>
  <si>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</si>
  <si>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</si>
  <si>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</si>
  <si>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</si>
  <si>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</si>
  <si>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</si>
  <si>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</si>
  <si>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</si>
  <si>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</si>
  <si>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</si>
  <si>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</si>
  <si>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</si>
  <si>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</si>
  <si>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</si>
  <si>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</si>
  <si>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</si>
  <si>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</si>
  <si>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</si>
  <si>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</si>
  <si>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</si>
  <si>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</si>
  <si>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</si>
  <si>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</si>
  <si>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</si>
  <si>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</si>
  <si>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</si>
  <si>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</si>
  <si>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</si>
  <si>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</si>
  <si>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</si>
  <si>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</si>
  <si>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</si>
  <si>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</si>
  <si>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</si>
  <si>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</si>
  <si>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</si>
  <si>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</si>
  <si>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</si>
  <si>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</si>
  <si>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</si>
  <si>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</si>
  <si>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</si>
  <si>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</si>
  <si>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</si>
  <si>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</si>
  <si>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</si>
  <si>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</si>
  <si>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</si>
  <si>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</si>
  <si>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</si>
  <si>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</si>
  <si>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</si>
  <si>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</si>
  <si>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</si>
  <si>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</si>
  <si>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</si>
  <si>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</si>
  <si>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</si>
  <si>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</si>
  <si>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</si>
  <si>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</si>
  <si>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</si>
  <si>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</si>
  <si>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</si>
  <si>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</si>
  <si>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</si>
  <si>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</si>
  <si>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</si>
  <si>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</si>
  <si>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</si>
  <si>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</si>
  <si>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</si>
  <si>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</si>
  <si>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</si>
  <si>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</si>
  <si>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</si>
  <si>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</si>
  <si>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</si>
  <si>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</si>
  <si>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</si>
  <si>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</si>
  <si>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</si>
  <si>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</si>
  <si>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</si>
  <si>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</si>
  <si>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</si>
  <si>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</si>
  <si>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</si>
  <si>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</si>
  <si>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</si>
  <si>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</si>
  <si>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</si>
  <si>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</si>
  <si>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</si>
  <si>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</si>
  <si>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</si>
  <si>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</si>
  <si>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</si>
  <si>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</si>
  <si>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</si>
  <si>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</si>
  <si>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</si>
  <si>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</si>
  <si>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</si>
  <si>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</si>
  <si>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</si>
  <si>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</si>
  <si>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</si>
  <si>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</si>
  <si>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</si>
  <si>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</si>
  <si>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</si>
  <si>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</si>
  <si>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</si>
  <si>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</si>
  <si>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</si>
  <si>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</si>
  <si>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</si>
  <si>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</si>
  <si>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</si>
  <si>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</si>
  <si>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</si>
  <si>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</si>
  <si>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</si>
  <si>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</si>
  <si>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</si>
  <si>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</si>
  <si>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</si>
  <si>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</si>
  <si>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</si>
  <si>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</si>
  <si>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</si>
  <si>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</si>
  <si>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</si>
  <si>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</si>
  <si>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</si>
  <si>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</si>
  <si>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</si>
  <si>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</si>
  <si>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</si>
  <si>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</si>
  <si>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</si>
  <si>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</si>
  <si>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</si>
  <si>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</si>
  <si>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</si>
  <si>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</si>
  <si>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</si>
  <si>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</si>
  <si>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</si>
  <si>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</si>
  <si>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</si>
  <si>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</si>
  <si>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</si>
  <si>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</si>
  <si>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</si>
  <si>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</si>
  <si>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</si>
  <si>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</si>
  <si>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</si>
  <si>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</si>
  <si>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</si>
  <si>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</si>
  <si>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</si>
  <si>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</si>
  <si>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</si>
  <si>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</si>
  <si>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</si>
  <si>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</si>
  <si>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</si>
  <si>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</si>
  <si>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</si>
  <si>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</si>
  <si>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</si>
  <si>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</si>
  <si>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</si>
  <si>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</si>
  <si>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</si>
  <si>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</si>
  <si>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</si>
  <si>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</si>
  <si>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</si>
  <si>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</si>
  <si>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</si>
  <si>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</si>
  <si>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</si>
  <si>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</si>
  <si>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</si>
  <si>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</si>
  <si>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</si>
  <si>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</si>
  <si>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</si>
  <si>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</si>
  <si>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</si>
  <si>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</si>
  <si>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</si>
  <si>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</si>
  <si>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</si>
  <si>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</si>
  <si>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</si>
  <si>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</si>
  <si>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</si>
  <si>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</si>
  <si>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</si>
  <si>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</si>
  <si>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</si>
  <si>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</si>
  <si>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</si>
  <si>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</si>
  <si>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</si>
  <si>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</si>
  <si>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</si>
  <si>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</si>
  <si>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</si>
  <si>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</si>
  <si>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</si>
  <si>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</si>
  <si>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</si>
  <si>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</si>
  <si>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</si>
  <si>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</si>
  <si>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</si>
  <si>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</si>
  <si>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</si>
  <si>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</si>
  <si>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</si>
  <si>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</si>
  <si>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</si>
  <si>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</si>
  <si>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</si>
  <si>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</si>
  <si>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</si>
  <si>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</si>
  <si>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</si>
  <si>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</si>
  <si>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</si>
  <si>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</si>
  <si>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</si>
  <si>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</si>
  <si>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</si>
  <si>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</si>
  <si>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</si>
  <si>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</si>
  <si>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</si>
  <si>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</si>
  <si>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</si>
  <si>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</si>
  <si>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</si>
  <si>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</si>
  <si>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</si>
  <si>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</si>
  <si>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</si>
  <si>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</si>
  <si>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</si>
  <si>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</si>
  <si>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</si>
  <si>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</si>
  <si>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</si>
  <si>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</si>
  <si>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</si>
  <si>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</si>
  <si>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</si>
  <si>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</si>
  <si>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</si>
  <si>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</si>
  <si>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</si>
  <si>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</si>
  <si>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</si>
  <si>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</si>
  <si>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</si>
  <si>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</si>
  <si>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</si>
  <si>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</si>
  <si>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</si>
  <si>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</si>
  <si>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</si>
  <si>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</si>
  <si>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</si>
  <si>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</si>
  <si>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</si>
  <si>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</si>
  <si>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</si>
  <si>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</si>
  <si>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</si>
  <si>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</si>
  <si>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</si>
  <si>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</si>
  <si>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</si>
  <si>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</si>
  <si>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</si>
  <si>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</si>
  <si>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</si>
  <si>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</si>
  <si>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</si>
  <si>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</si>
  <si>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</si>
  <si>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</si>
  <si>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</si>
  <si>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</si>
  <si>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</si>
  <si>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</si>
  <si>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</si>
  <si>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</si>
  <si>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</si>
  <si>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</si>
  <si>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</si>
  <si>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</si>
  <si>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</si>
  <si>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</si>
  <si>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</si>
  <si>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</si>
  <si>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</si>
  <si>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</si>
  <si>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</si>
  <si>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</si>
  <si>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</si>
  <si>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</si>
  <si>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</si>
  <si>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</si>
  <si>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</si>
  <si>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</si>
  <si>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</si>
  <si>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</si>
  <si>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</si>
  <si>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</si>
  <si>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</si>
  <si>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</si>
  <si>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</si>
  <si>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</si>
  <si>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</si>
  <si>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</si>
  <si>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</si>
  <si>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</si>
  <si>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</si>
  <si>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</si>
  <si>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</si>
  <si>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</si>
  <si>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</si>
  <si>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</si>
  <si>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</si>
  <si>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</si>
  <si>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</si>
  <si>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</si>
  <si>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</si>
  <si>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</si>
  <si>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</si>
  <si>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</si>
  <si>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</si>
  <si>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</si>
  <si>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</si>
  <si>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</si>
  <si>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</si>
  <si>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</si>
  <si>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</si>
  <si>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</si>
  <si>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</si>
  <si>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</si>
  <si>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</si>
  <si>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</si>
  <si>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</si>
  <si>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</si>
  <si>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</si>
  <si>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</si>
  <si>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</si>
  <si>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</si>
  <si>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</si>
  <si>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</si>
  <si>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</si>
  <si>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</si>
  <si>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</si>
  <si>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</si>
  <si>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</si>
  <si>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</si>
  <si>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</si>
  <si>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</si>
  <si>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</si>
  <si>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</si>
  <si>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</si>
  <si>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</si>
  <si>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</si>
  <si>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</si>
  <si>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</si>
  <si>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</si>
  <si>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</si>
  <si>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</si>
  <si>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</si>
  <si>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</si>
  <si>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</si>
  <si>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</si>
  <si>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</si>
  <si>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</si>
  <si>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</si>
  <si>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</si>
  <si>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</si>
  <si>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</si>
  <si>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</si>
  <si>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</si>
  <si>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</si>
  <si>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</si>
  <si>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</si>
  <si>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</si>
  <si>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</si>
  <si>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</si>
  <si>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</si>
  <si>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</si>
  <si>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</si>
  <si>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</si>
  <si>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</si>
  <si>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</si>
  <si>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</si>
  <si>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</si>
  <si>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</si>
  <si>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</si>
  <si>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</si>
  <si>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</si>
  <si>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</si>
  <si>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</si>
  <si>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</si>
  <si>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</si>
  <si>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</si>
  <si>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</si>
  <si>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</si>
  <si>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</si>
  <si>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</si>
  <si>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</si>
  <si>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</si>
  <si>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</si>
  <si>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</si>
  <si>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</si>
  <si>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</si>
  <si>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</si>
  <si>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</si>
  <si>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</si>
  <si>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</si>
  <si>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</si>
  <si>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</si>
  <si>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</si>
  <si>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</si>
  <si>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</si>
  <si>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</si>
  <si>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</si>
  <si>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</si>
  <si>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</si>
  <si>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</si>
  <si>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</si>
  <si>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</si>
  <si>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</si>
  <si>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</si>
  <si>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</si>
  <si>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</si>
  <si>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</si>
  <si>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</si>
  <si>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</si>
  <si>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</si>
  <si>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</si>
  <si>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</si>
  <si>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</si>
  <si>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</si>
  <si>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</si>
  <si>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</si>
  <si>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</si>
  <si>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</si>
  <si>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</si>
  <si>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</si>
  <si>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</si>
  <si>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</si>
  <si>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</si>
  <si>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</si>
  <si>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</si>
  <si>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</si>
  <si>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</si>
  <si>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</si>
  <si>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</si>
  <si>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</si>
  <si>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</si>
  <si>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</si>
  <si>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</si>
  <si>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</si>
  <si>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</si>
  <si>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</si>
  <si>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</si>
  <si>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</si>
  <si>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</si>
  <si>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</si>
  <si>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</si>
  <si>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</si>
  <si>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</si>
  <si>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</si>
  <si>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</si>
  <si>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</si>
  <si>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</si>
  <si>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</si>
  <si>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</si>
  <si>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</si>
  <si>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</si>
  <si>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</si>
  <si>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</si>
  <si>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</si>
  <si>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</si>
  <si>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</si>
  <si>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</si>
  <si>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</si>
  <si>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</si>
  <si>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</si>
  <si>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</si>
  <si>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</si>
  <si>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</si>
  <si>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</si>
  <si>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</si>
  <si>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</si>
  <si>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</si>
  <si>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</si>
  <si>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</si>
  <si>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</si>
  <si>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</si>
  <si>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</si>
  <si>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</si>
  <si>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</si>
  <si>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</si>
  <si>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</si>
  <si>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</si>
  <si>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</si>
  <si>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</si>
  <si>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</si>
  <si>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</si>
  <si>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</si>
  <si>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</si>
  <si>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</si>
  <si>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</si>
  <si>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</si>
  <si>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</si>
  <si>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</si>
  <si>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</si>
  <si>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</si>
  <si>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</si>
  <si>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</si>
  <si>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</si>
  <si>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</si>
  <si>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</si>
  <si>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</si>
  <si>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</si>
  <si>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</si>
  <si>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</si>
  <si>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</si>
  <si>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</si>
  <si>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</si>
  <si>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</si>
  <si>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</si>
  <si>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</si>
  <si>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</si>
  <si>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</si>
  <si>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</si>
  <si>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</si>
  <si>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</si>
  <si>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</si>
  <si>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</si>
  <si>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</si>
  <si>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</si>
  <si>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</si>
  <si>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</si>
  <si>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</si>
  <si>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</si>
  <si>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</si>
  <si>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</si>
  <si>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</si>
  <si>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</si>
  <si>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</si>
  <si>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</si>
  <si>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</si>
  <si>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</si>
  <si>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</si>
  <si>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</si>
  <si>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</si>
  <si>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</si>
  <si>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</si>
  <si>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</si>
  <si>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</si>
  <si>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</si>
  <si>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</si>
  <si>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</si>
  <si>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</si>
  <si>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</si>
  <si>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</si>
  <si>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</si>
  <si>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</si>
  <si>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</si>
  <si>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</si>
  <si>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</si>
  <si>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</si>
  <si>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</si>
  <si>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</si>
  <si>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</si>
  <si>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</si>
  <si>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</si>
  <si>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</si>
  <si>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</si>
  <si>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</si>
  <si>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</si>
  <si>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</si>
  <si>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</si>
  <si>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</si>
  <si>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</si>
  <si>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</si>
  <si>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</si>
  <si>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</si>
  <si>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</si>
  <si>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</si>
  <si>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</si>
  <si>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</si>
  <si>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</si>
  <si>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</si>
  <si>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</si>
  <si>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</si>
  <si>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</si>
  <si>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</si>
  <si>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</si>
  <si>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</si>
  <si>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</si>
  <si>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</si>
  <si>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</si>
  <si>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</si>
  <si>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</si>
  <si>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</si>
  <si>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</si>
  <si>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</si>
  <si>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</si>
  <si>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</si>
  <si>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</si>
  <si>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</si>
  <si>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</si>
  <si>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</si>
  <si>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</si>
  <si>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</si>
  <si>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</si>
  <si>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</si>
  <si>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</si>
  <si>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</si>
  <si>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</si>
  <si>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</si>
  <si>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</si>
  <si>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</si>
  <si>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</si>
  <si>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</si>
  <si>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</si>
  <si>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</si>
  <si>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</si>
  <si>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</si>
  <si>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</si>
  <si>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</si>
  <si>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</si>
  <si>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</si>
  <si>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</si>
  <si>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</si>
  <si>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</si>
  <si>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</si>
  <si>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</si>
  <si>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</si>
  <si>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</si>
  <si>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</si>
  <si>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</si>
  <si>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</si>
  <si>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</si>
  <si>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</si>
  <si>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</si>
  <si>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</si>
  <si>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</si>
  <si>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</si>
  <si>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</si>
  <si>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</si>
  <si>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</si>
  <si>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</si>
  <si>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</si>
  <si>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</si>
  <si>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</si>
  <si>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</si>
  <si>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</si>
  <si>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</si>
  <si>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</si>
  <si>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</si>
  <si>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</si>
  <si>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</si>
  <si>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</si>
  <si>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</si>
  <si>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</si>
  <si>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</si>
  <si>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</si>
  <si>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</si>
  <si>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</si>
  <si>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</si>
  <si>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</si>
  <si>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</si>
  <si>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</si>
  <si>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</si>
  <si>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</si>
  <si>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</si>
  <si>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</si>
  <si>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</si>
  <si>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</si>
  <si>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</si>
  <si>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</si>
  <si>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</si>
  <si>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</si>
  <si>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</si>
  <si>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</si>
  <si>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</si>
  <si>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</si>
  <si>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</si>
  <si>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</si>
  <si>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</si>
  <si>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</si>
  <si>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</si>
  <si>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</si>
  <si>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</si>
  <si>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</si>
  <si>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</si>
  <si>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</si>
  <si>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</si>
  <si>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</si>
  <si>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</si>
  <si>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</si>
  <si>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</si>
  <si>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</si>
  <si>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</si>
  <si>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</si>
  <si>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</si>
  <si>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</si>
  <si>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</si>
  <si>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</si>
  <si>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</si>
  <si>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</si>
  <si>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</si>
  <si>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</si>
  <si>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</si>
  <si>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</si>
  <si>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</si>
  <si>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</si>
  <si>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</si>
  <si>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</si>
  <si>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</si>
  <si>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</si>
  <si>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</si>
  <si>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</si>
  <si>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</si>
  <si>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</si>
  <si>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</si>
  <si>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</si>
  <si>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</si>
  <si>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</si>
  <si>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</si>
  <si>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</si>
  <si>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</si>
  <si>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</si>
  <si>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</si>
  <si>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</si>
  <si>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</si>
  <si>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</si>
  <si>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</si>
  <si>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</si>
  <si>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</si>
  <si>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</si>
  <si>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</si>
  <si>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</si>
  <si>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</si>
  <si>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</si>
  <si>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</si>
  <si>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</si>
  <si>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</si>
  <si>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</si>
  <si>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</si>
  <si>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</si>
  <si>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</si>
  <si>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</si>
  <si>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</si>
  <si>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</si>
  <si>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</si>
  <si>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</si>
  <si>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</si>
  <si>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</si>
  <si>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</si>
  <si>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</si>
  <si>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</si>
  <si>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</si>
  <si>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</si>
  <si>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</si>
  <si>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</si>
  <si>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</si>
  <si>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</si>
  <si>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</si>
  <si>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</si>
  <si>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</si>
  <si>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</si>
  <si>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</si>
  <si>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</si>
  <si>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</si>
  <si>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</si>
  <si>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</si>
  <si>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</si>
  <si>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</si>
  <si>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</si>
  <si>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</si>
  <si>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</si>
  <si>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</si>
  <si>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</si>
  <si>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</si>
  <si>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</si>
  <si>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</si>
  <si>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</si>
  <si>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</si>
  <si>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</si>
  <si>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</si>
  <si>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</si>
  <si>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</si>
  <si>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</si>
  <si>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</si>
  <si>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</si>
  <si>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</si>
  <si>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</si>
  <si>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</si>
  <si>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</si>
  <si>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</si>
  <si>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</si>
  <si>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</si>
  <si>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</si>
  <si>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</si>
  <si>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</si>
  <si>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</si>
  <si>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</si>
  <si>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</si>
  <si>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</si>
  <si>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</si>
  <si>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</si>
  <si>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</si>
  <si>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</si>
  <si>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</si>
  <si>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</si>
  <si>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</si>
  <si>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</si>
  <si>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</si>
  <si>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</si>
  <si>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</si>
  <si>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</si>
  <si>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</si>
  <si>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</si>
  <si>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</si>
  <si>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</si>
  <si>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</si>
  <si>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</si>
  <si>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</si>
  <si>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</si>
  <si>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</si>
  <si>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</si>
  <si>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</si>
  <si>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</si>
  <si>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</si>
  <si>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</si>
  <si>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</si>
  <si>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</si>
  <si>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</si>
  <si>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</si>
  <si>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</si>
  <si>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</si>
  <si>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</si>
  <si>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</si>
  <si>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</si>
  <si>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</si>
  <si>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</si>
  <si>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</si>
  <si>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</si>
  <si>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</si>
  <si>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</si>
  <si>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</si>
  <si>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</si>
  <si>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</si>
  <si>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</si>
  <si>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</si>
  <si>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</si>
  <si>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</si>
  <si>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</si>
  <si>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</si>
  <si>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</si>
  <si>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</si>
  <si>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</si>
  <si>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</si>
  <si>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</si>
  <si>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</si>
  <si>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</si>
  <si>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</si>
  <si>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</si>
  <si>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</si>
  <si>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</si>
  <si>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</si>
  <si>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</si>
  <si>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</si>
  <si>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</si>
  <si>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</si>
  <si>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</si>
  <si>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</si>
  <si>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</si>
  <si>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</si>
  <si>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</si>
  <si>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</si>
  <si>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</si>
  <si>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</si>
  <si>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</si>
  <si>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</si>
  <si>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</si>
  <si>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</si>
  <si>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</si>
  <si>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</si>
  <si>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</si>
  <si>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</si>
  <si>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</si>
  <si>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</si>
  <si>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</si>
  <si>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</si>
  <si>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</si>
  <si>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</si>
  <si>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</si>
  <si>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</si>
  <si>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</si>
  <si>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</si>
  <si>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</si>
  <si>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</si>
  <si>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</si>
  <si>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</si>
  <si>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</si>
  <si>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</si>
  <si>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</si>
  <si>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</si>
  <si>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</si>
  <si>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</si>
  <si>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</si>
  <si>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</si>
  <si>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</si>
  <si>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</si>
  <si>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</si>
  <si>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</si>
  <si>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</si>
  <si>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</si>
  <si>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</si>
  <si>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</si>
  <si>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</si>
  <si>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</si>
  <si>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</si>
  <si>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</si>
  <si>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</si>
  <si>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</si>
  <si>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</si>
  <si>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</si>
  <si>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</si>
  <si>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</si>
  <si>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</si>
  <si>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</si>
  <si>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</si>
  <si>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</si>
  <si>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</si>
  <si>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</si>
  <si>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</si>
  <si>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</si>
  <si>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</si>
  <si>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</si>
  <si>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</si>
  <si>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</si>
  <si>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</si>
  <si>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</si>
  <si>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</si>
  <si>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</si>
  <si>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</si>
  <si>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</si>
  <si>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</si>
  <si>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</si>
  <si>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</si>
  <si>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</si>
  <si>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</si>
  <si>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</si>
  <si>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</si>
  <si>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</si>
  <si>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</si>
  <si>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</si>
  <si>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</si>
  <si>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</si>
  <si>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</si>
  <si>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</si>
  <si>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</si>
  <si>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</si>
  <si>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</si>
  <si>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</si>
  <si>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</si>
  <si>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</si>
  <si>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</si>
  <si>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</si>
  <si>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</si>
  <si>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</si>
  <si>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</si>
  <si>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</si>
  <si>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</si>
  <si>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</si>
  <si>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</si>
  <si>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</si>
  <si>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</si>
  <si>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</si>
  <si>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</si>
  <si>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</si>
  <si>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</si>
  <si>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</si>
  <si>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</si>
  <si>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</si>
  <si>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</si>
  <si>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</si>
  <si>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</si>
  <si>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</si>
  <si>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</si>
  <si>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</si>
  <si>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</si>
  <si>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</si>
  <si>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</si>
  <si>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</si>
  <si>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</si>
  <si>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</si>
  <si>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</si>
  <si>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</si>
  <si>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</si>
  <si>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</si>
  <si>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</si>
  <si>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</si>
  <si>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</si>
  <si>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</si>
  <si>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</si>
  <si>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</si>
  <si>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</si>
  <si>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</si>
  <si>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</si>
  <si>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</si>
  <si>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</si>
  <si>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</si>
  <si>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</si>
  <si>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</si>
  <si>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</si>
  <si>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</si>
  <si>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</si>
  <si>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</si>
  <si>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</si>
  <si>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</si>
  <si>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</si>
  <si>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</si>
  <si>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</si>
  <si>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</si>
  <si>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</si>
  <si>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</si>
  <si>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</si>
  <si>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</si>
  <si>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</si>
  <si>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</si>
  <si>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</si>
  <si>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</si>
  <si>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</si>
  <si>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</si>
  <si>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</si>
  <si>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</si>
  <si>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</si>
  <si>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</si>
  <si>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</si>
  <si>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</si>
  <si>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</si>
  <si>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</si>
  <si>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</si>
  <si>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</si>
  <si>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</si>
  <si>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</si>
  <si>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</si>
  <si>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</si>
  <si>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</si>
  <si>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</si>
  <si>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</si>
  <si>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</si>
  <si>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</si>
  <si>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</si>
  <si>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</si>
  <si>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</si>
  <si>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</si>
  <si>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</si>
  <si>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</si>
  <si>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</si>
  <si>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</si>
  <si>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</si>
  <si>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</si>
  <si>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</si>
  <si>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</si>
  <si>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</si>
  <si>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</si>
  <si>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</si>
  <si>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</si>
  <si>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</si>
  <si>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</si>
  <si>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</si>
  <si>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</si>
  <si>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</si>
  <si>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</si>
  <si>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</si>
  <si>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</si>
  <si>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</si>
  <si>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</si>
  <si>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</si>
  <si>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</si>
  <si>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</si>
  <si>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</si>
  <si>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</si>
  <si>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</si>
  <si>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</si>
  <si>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</si>
  <si>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</si>
  <si>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</si>
  <si>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</si>
  <si>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</si>
  <si>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</si>
  <si>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</si>
  <si>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</si>
  <si>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</si>
  <si>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</si>
  <si>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</si>
  <si>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</si>
  <si>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</si>
  <si>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</si>
  <si>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</si>
  <si>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</si>
  <si>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</si>
  <si>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</si>
  <si>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</si>
  <si>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</si>
  <si>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</si>
  <si>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</si>
  <si>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</si>
  <si>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</si>
  <si>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</si>
  <si>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</si>
  <si>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</si>
  <si>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</si>
  <si>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</si>
  <si>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</si>
  <si>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</si>
  <si>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</si>
  <si>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</si>
  <si>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</si>
  <si>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</si>
  <si>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</si>
  <si>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</si>
  <si>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</si>
  <si>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</si>
  <si>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</si>
  <si>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</si>
  <si>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</si>
  <si>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</si>
  <si>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</si>
  <si>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</si>
  <si>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</si>
  <si>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</si>
  <si>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</si>
  <si>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</si>
  <si>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</si>
  <si>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</si>
  <si>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</si>
  <si>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</si>
  <si>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</si>
  <si>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</si>
  <si>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</si>
  <si>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</si>
  <si>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</si>
  <si>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</si>
  <si>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</si>
  <si>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</si>
  <si>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</si>
  <si>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</si>
  <si>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</si>
  <si>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</si>
  <si>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</si>
  <si>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</si>
  <si>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</si>
  <si>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</si>
  <si>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</si>
  <si>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</si>
  <si>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</si>
  <si>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</si>
  <si>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</si>
  <si>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</si>
  <si>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</si>
  <si>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</si>
  <si>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</si>
  <si>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</si>
  <si>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</si>
  <si>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</si>
  <si>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</si>
  <si>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</si>
  <si>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</si>
  <si>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</si>
  <si>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</si>
  <si>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</si>
  <si>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</si>
  <si>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</si>
  <si>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</si>
  <si>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</si>
  <si>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</si>
  <si>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</si>
  <si>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</si>
  <si>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</si>
  <si>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</si>
  <si>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</si>
  <si>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</si>
  <si>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</si>
  <si>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</si>
  <si>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</si>
  <si>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</si>
  <si>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</si>
  <si>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</si>
  <si>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</si>
  <si>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</si>
  <si>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</si>
  <si>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</si>
  <si>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</si>
  <si>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</si>
  <si>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</si>
  <si>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</si>
  <si>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</si>
  <si>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</si>
  <si>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</si>
  <si>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</si>
  <si>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</si>
  <si>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</si>
  <si>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</si>
  <si>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</si>
  <si>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</si>
  <si>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</si>
  <si>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</si>
  <si>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</si>
  <si>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</si>
  <si>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</si>
  <si>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</si>
  <si>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</si>
  <si>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</si>
  <si>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</si>
  <si>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</si>
  <si>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</si>
  <si>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</si>
  <si>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</si>
  <si>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</si>
  <si>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</si>
  <si>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</si>
  <si>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</si>
  <si>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</si>
  <si>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</si>
  <si>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</si>
  <si>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</si>
  <si>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</si>
  <si>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</si>
  <si>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</si>
  <si>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</si>
  <si>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</si>
  <si>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</si>
  <si>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</si>
  <si>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</si>
  <si>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</si>
  <si>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</si>
  <si>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</si>
  <si>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</si>
  <si>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</si>
  <si>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</si>
  <si>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</si>
  <si>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</si>
  <si>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</si>
  <si>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</si>
  <si>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</si>
  <si>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</si>
  <si>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</si>
  <si>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</si>
  <si>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</si>
  <si>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</si>
  <si>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</si>
  <si>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</si>
  <si>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</si>
  <si>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</si>
  <si>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</si>
  <si>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</si>
  <si>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</si>
  <si>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</si>
  <si>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</si>
  <si>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</si>
  <si>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</si>
  <si>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</si>
  <si>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</si>
  <si>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</si>
  <si>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</si>
  <si>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</si>
  <si>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</si>
  <si>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</si>
  <si>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</si>
  <si>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</si>
  <si>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</si>
  <si>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</si>
  <si>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</si>
  <si>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</si>
  <si>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</si>
  <si>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</si>
  <si>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</si>
  <si>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</si>
  <si>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</si>
  <si>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</si>
  <si>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</si>
  <si>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</si>
  <si>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</si>
  <si>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</si>
  <si>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</si>
  <si>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</si>
  <si>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</si>
  <si>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</si>
  <si>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</si>
  <si>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</si>
  <si>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</si>
  <si>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</si>
  <si>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</si>
  <si>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</si>
  <si>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</si>
  <si>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</si>
  <si>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</si>
  <si>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</si>
  <si>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</si>
  <si>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</si>
  <si>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</si>
  <si>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</si>
  <si>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</si>
  <si>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</si>
  <si>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</si>
  <si>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</si>
  <si>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</si>
  <si>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</si>
  <si>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</si>
  <si>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</si>
  <si>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</si>
  <si>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</si>
  <si>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</si>
  <si>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</si>
  <si>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</si>
  <si>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</si>
  <si>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</si>
  <si>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</si>
  <si>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</si>
  <si>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</si>
  <si>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</si>
  <si>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</si>
  <si>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</si>
  <si>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</si>
  <si>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</si>
  <si>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</si>
  <si>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</si>
  <si>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</si>
  <si>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</si>
  <si>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</si>
  <si>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</si>
  <si>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</si>
  <si>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</si>
  <si>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</si>
  <si>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</si>
  <si>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</si>
  <si>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</si>
  <si>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</si>
  <si>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</si>
  <si>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</si>
  <si>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</si>
  <si>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</si>
  <si>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</si>
  <si>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</si>
  <si>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</si>
  <si>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</si>
  <si>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</si>
  <si>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</si>
  <si>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</si>
  <si>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</si>
  <si>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</si>
  <si>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</si>
  <si>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</si>
  <si>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</si>
  <si>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</si>
  <si>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</si>
  <si>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</si>
  <si>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</si>
  <si>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</si>
  <si>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</si>
  <si>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</si>
  <si>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</si>
  <si>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</si>
  <si>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</si>
  <si>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</si>
  <si>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</si>
  <si>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</si>
  <si>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</si>
  <si>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</si>
  <si>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</si>
  <si>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</si>
  <si>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</si>
  <si>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</si>
  <si>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</si>
  <si>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</si>
  <si>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</si>
  <si>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</si>
  <si>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</si>
  <si>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</si>
  <si>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</si>
  <si>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</si>
  <si>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</si>
  <si>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</si>
  <si>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</si>
  <si>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</si>
  <si>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</si>
  <si>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</si>
  <si>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</si>
  <si>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</si>
  <si>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</si>
  <si>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</si>
  <si>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</si>
  <si>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</si>
  <si>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</si>
  <si>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</si>
  <si>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</si>
  <si>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</si>
  <si>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</si>
  <si>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</si>
  <si>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</si>
  <si>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</si>
  <si>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</si>
  <si>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</si>
  <si>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</si>
  <si>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</si>
  <si>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</si>
  <si>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</si>
  <si>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</si>
  <si>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</si>
  <si>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</si>
  <si>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</si>
  <si>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</si>
  <si>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</si>
  <si>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</si>
  <si>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</si>
  <si>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</si>
  <si>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</si>
  <si>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</si>
  <si>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</si>
  <si>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</si>
  <si>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</si>
  <si>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</si>
  <si>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</si>
  <si>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</si>
  <si>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</si>
  <si>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</si>
  <si>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</si>
  <si>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</si>
  <si>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</si>
  <si>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</si>
  <si>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</si>
  <si>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</si>
  <si>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</si>
  <si>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</si>
  <si>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</si>
  <si>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</si>
  <si>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</si>
  <si>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</si>
  <si>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</si>
  <si>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</si>
  <si>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</si>
  <si>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</si>
  <si>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</si>
  <si>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</si>
  <si>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</si>
  <si>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</si>
  <si>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</si>
  <si>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</si>
  <si>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</si>
  <si>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</si>
  <si>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</si>
  <si>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</si>
  <si>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</si>
  <si>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</si>
  <si>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</si>
  <si>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</si>
  <si>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</si>
  <si>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</si>
  <si>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</si>
  <si>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</si>
  <si>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</si>
  <si>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</si>
  <si>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</si>
  <si>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</si>
  <si>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</si>
  <si>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</si>
  <si>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</si>
  <si>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</si>
  <si>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</si>
  <si>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</si>
  <si>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</si>
  <si>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</si>
  <si>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</si>
  <si>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</si>
  <si>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</si>
  <si>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</si>
  <si>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</si>
  <si>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</si>
  <si>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</si>
  <si>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</si>
  <si>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</si>
  <si>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</si>
  <si>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</si>
  <si>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</si>
  <si>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</si>
  <si>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</si>
  <si>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</si>
  <si>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</si>
  <si>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</si>
  <si>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</si>
  <si>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</si>
  <si>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</si>
  <si>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</si>
  <si>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</si>
  <si>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</si>
  <si>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</si>
  <si>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</si>
  <si>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</si>
  <si>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</si>
  <si>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</si>
  <si>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</si>
  <si>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</si>
  <si>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</si>
  <si>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</si>
  <si>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</si>
  <si>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</si>
  <si>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</si>
  <si>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</si>
  <si>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</si>
  <si>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</si>
  <si>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</si>
  <si>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</si>
  <si>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</si>
  <si>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</si>
  <si>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</si>
  <si>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</si>
  <si>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</si>
  <si>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</si>
  <si>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</si>
  <si>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</si>
  <si>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</si>
  <si>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</si>
  <si>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</si>
  <si>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</si>
  <si>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</si>
  <si>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</si>
  <si>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</si>
  <si>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</si>
  <si>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</si>
  <si>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</si>
  <si>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</si>
  <si>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</si>
  <si>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</si>
  <si>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</si>
  <si>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</si>
  <si>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</si>
  <si>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</si>
  <si>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</si>
  <si>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</si>
  <si>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</si>
  <si>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</si>
  <si>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</si>
  <si>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</si>
  <si>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</si>
  <si>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</si>
  <si>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</si>
  <si>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</si>
  <si>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</si>
  <si>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</si>
  <si>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</si>
  <si>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</si>
  <si>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</si>
  <si>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</si>
  <si>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</si>
  <si>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</si>
  <si>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</si>
  <si>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</si>
  <si>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</si>
  <si>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</si>
  <si>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</si>
  <si>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</si>
  <si>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</si>
  <si>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</si>
  <si>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</si>
  <si>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</si>
  <si>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</si>
  <si>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</si>
  <si>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</si>
  <si>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</si>
  <si>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</si>
  <si>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</si>
  <si>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</si>
  <si>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</si>
  <si>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</si>
  <si>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</si>
  <si>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</si>
  <si>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</si>
  <si>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</si>
  <si>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</si>
  <si>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</si>
  <si>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</si>
  <si>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</si>
  <si>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</si>
  <si>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</si>
  <si>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</si>
  <si>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</si>
  <si>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</si>
  <si>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</si>
  <si>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</si>
  <si>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</si>
  <si>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</si>
  <si>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</si>
  <si>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</si>
  <si>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</si>
  <si>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</si>
  <si>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</si>
  <si>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</si>
  <si>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</si>
  <si>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</si>
  <si>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</si>
  <si>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</si>
  <si>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</si>
  <si>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</si>
  <si>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</si>
  <si>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</si>
  <si>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</si>
  <si>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</si>
  <si>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</si>
  <si>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</si>
  <si>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</si>
  <si>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</si>
  <si>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</si>
  <si>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</si>
  <si>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</si>
  <si>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</si>
  <si>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</si>
  <si>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</si>
  <si>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</si>
  <si>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</si>
  <si>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</si>
  <si>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</si>
  <si>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</si>
  <si>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</si>
  <si>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</si>
  <si>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</si>
  <si>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</si>
  <si>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</si>
  <si>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</si>
  <si>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</si>
  <si>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</si>
  <si>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</si>
  <si>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</si>
  <si>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</si>
  <si>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</si>
  <si>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</si>
  <si>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</si>
  <si>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</si>
  <si>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</si>
  <si>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</si>
  <si>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</si>
  <si>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</si>
  <si>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</si>
  <si>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</si>
  <si>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</si>
  <si>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</si>
  <si>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</si>
  <si>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</si>
  <si>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</si>
  <si>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</si>
  <si>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</si>
  <si>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</si>
  <si>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</si>
  <si>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</si>
  <si>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</si>
  <si>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</si>
  <si>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</si>
  <si>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</si>
  <si>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</si>
  <si>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</si>
  <si>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</si>
  <si>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</si>
  <si>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</si>
  <si>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</si>
  <si>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</si>
  <si>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</si>
  <si>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</si>
  <si>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</si>
  <si>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</si>
  <si>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</si>
  <si>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</si>
  <si>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</si>
  <si>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</si>
  <si>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</si>
  <si>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</si>
  <si>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</si>
  <si>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</si>
  <si>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</si>
  <si>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</si>
  <si>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</si>
  <si>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</si>
  <si>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</si>
  <si>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</si>
  <si>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</si>
  <si>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</si>
  <si>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</si>
  <si>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</si>
  <si>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</si>
  <si>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</si>
  <si>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</si>
  <si>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</si>
  <si>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</si>
  <si>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</si>
  <si>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</si>
  <si>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</si>
  <si>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</si>
  <si>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</si>
  <si>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</si>
  <si>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</si>
  <si>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</si>
  <si>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</si>
  <si>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</si>
  <si>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</si>
  <si>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</si>
  <si>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</si>
  <si>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</si>
  <si>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</si>
  <si>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</si>
  <si>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</si>
  <si>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</si>
  <si>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</si>
  <si>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</si>
  <si>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</si>
  <si>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</si>
  <si>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</si>
  <si>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</si>
  <si>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</si>
  <si>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</si>
  <si>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</si>
  <si>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</si>
  <si>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</si>
  <si>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</si>
  <si>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</si>
  <si>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</si>
  <si>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</si>
  <si>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</si>
  <si>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</si>
  <si>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</si>
  <si>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</si>
  <si>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</si>
  <si>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</si>
  <si>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</si>
  <si>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</si>
  <si>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</si>
  <si>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</si>
  <si>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</si>
  <si>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</si>
  <si>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</si>
  <si>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</si>
  <si>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</si>
  <si>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</si>
  <si>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</si>
  <si>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</si>
  <si>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</si>
  <si>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</si>
  <si>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</si>
  <si>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</si>
  <si>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</si>
  <si>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</si>
  <si>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</si>
  <si>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</si>
  <si>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</si>
  <si>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</si>
  <si>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</si>
  <si>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</si>
  <si>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</si>
  <si>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</si>
  <si>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</si>
  <si>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</si>
  <si>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</si>
  <si>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</si>
  <si>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</si>
  <si>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</si>
  <si>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</si>
  <si>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</si>
  <si>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</si>
  <si>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</si>
  <si>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</si>
  <si>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</si>
  <si>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</si>
  <si>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</si>
  <si>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</si>
  <si>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</si>
  <si>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</si>
  <si>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</si>
  <si>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</si>
  <si>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</si>
  <si>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</si>
  <si>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</si>
  <si>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</si>
  <si>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</si>
  <si>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</si>
  <si>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</si>
  <si>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</si>
  <si>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</si>
  <si>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</si>
  <si>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</si>
  <si>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</si>
  <si>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</si>
  <si>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</si>
  <si>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</si>
  <si>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</si>
  <si>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</si>
  <si>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</si>
  <si>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</si>
  <si>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</si>
  <si>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</si>
  <si>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</si>
  <si>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</si>
  <si>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</si>
  <si>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</si>
  <si>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</si>
  <si>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</si>
  <si>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</si>
  <si>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</si>
  <si>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</si>
  <si>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</si>
  <si>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</si>
  <si>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</si>
  <si>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</si>
  <si>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</si>
  <si>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</si>
  <si>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</si>
  <si>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</si>
  <si>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</si>
  <si>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</si>
  <si>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</si>
  <si>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</si>
  <si>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</si>
  <si>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</si>
  <si>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</si>
  <si>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</si>
  <si>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</si>
  <si>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</si>
  <si>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</si>
  <si>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</si>
  <si>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</si>
  <si>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</si>
  <si>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</si>
  <si>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</si>
  <si>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</si>
  <si>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</si>
  <si>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</si>
  <si>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</si>
  <si>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</si>
  <si>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</si>
  <si>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</si>
  <si>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</si>
  <si>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</si>
  <si>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</si>
  <si>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</si>
  <si>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</si>
  <si>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</si>
  <si>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</si>
  <si>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</si>
  <si>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</si>
  <si>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</si>
  <si>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</si>
  <si>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</si>
  <si>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</si>
  <si>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</si>
  <si>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</si>
  <si>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</si>
  <si>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</si>
  <si>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</si>
  <si>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</si>
  <si>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</si>
  <si>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</si>
  <si>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</si>
  <si>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</si>
  <si>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</si>
  <si>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</si>
  <si>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</si>
  <si>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</si>
  <si>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</si>
  <si>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</si>
  <si>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</si>
  <si>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</si>
  <si>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</si>
  <si>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</si>
  <si>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</si>
  <si>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</si>
  <si>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</si>
  <si>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</si>
  <si>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</si>
  <si>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</si>
  <si>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</si>
  <si>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</si>
  <si>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</si>
  <si>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</si>
  <si>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</si>
  <si>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</si>
  <si>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</si>
  <si>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</si>
  <si>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</si>
  <si>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</si>
  <si>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</si>
  <si>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</si>
  <si>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</si>
  <si>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</si>
  <si>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</si>
  <si>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</si>
  <si>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</si>
  <si>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</si>
  <si>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</si>
  <si>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</si>
  <si>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</si>
  <si>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</si>
  <si>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</si>
  <si>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</si>
  <si>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</si>
  <si>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</si>
  <si>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</si>
  <si>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</si>
  <si>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</si>
  <si>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</si>
  <si>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</si>
  <si>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</si>
  <si>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</si>
  <si>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</si>
  <si>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</si>
  <si>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</si>
  <si>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</si>
  <si>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</si>
  <si>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</si>
  <si>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</si>
  <si>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</si>
  <si>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</si>
  <si>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</si>
  <si>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</si>
  <si>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</si>
  <si>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</si>
  <si>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</si>
  <si>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</si>
  <si>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</si>
  <si>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</si>
  <si>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</si>
  <si>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</si>
  <si>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</si>
  <si>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</si>
  <si>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</si>
  <si>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</si>
  <si>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</si>
  <si>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</si>
  <si>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</si>
  <si>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</si>
  <si>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</si>
  <si>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</si>
  <si>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</si>
  <si>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</si>
  <si>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</si>
  <si>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</si>
  <si>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</si>
  <si>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</si>
  <si>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</si>
  <si>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</si>
  <si>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</si>
  <si>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</si>
  <si>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</si>
  <si>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</si>
  <si>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</si>
  <si>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</si>
  <si>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</si>
  <si>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</si>
  <si>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</si>
  <si>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</si>
  <si>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</si>
  <si>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</si>
  <si>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</si>
  <si>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</si>
  <si>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</si>
  <si>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</si>
  <si>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</si>
  <si>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</si>
  <si>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</si>
  <si>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</si>
  <si>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</si>
  <si>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</si>
  <si>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</si>
  <si>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</si>
  <si>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</si>
  <si>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</si>
  <si>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</si>
  <si>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</si>
  <si>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</si>
  <si>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</si>
  <si>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</si>
  <si>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</si>
  <si>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</si>
  <si>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</si>
  <si>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</si>
  <si>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</si>
  <si>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</si>
  <si>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</si>
  <si>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</si>
  <si>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</si>
  <si>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</si>
  <si>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</si>
  <si>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</si>
  <si>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</si>
  <si>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</si>
  <si>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</si>
  <si>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</si>
  <si>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</si>
  <si>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</si>
  <si>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</si>
  <si>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</si>
  <si>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</si>
  <si>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</si>
  <si>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</si>
  <si>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</si>
  <si>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</si>
  <si>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</si>
  <si>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</si>
  <si>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</si>
  <si>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</si>
  <si>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</si>
  <si>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</si>
  <si>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</si>
  <si>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</si>
  <si>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</si>
  <si>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</si>
  <si>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</si>
  <si>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</si>
  <si>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</si>
  <si>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</si>
  <si>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</si>
  <si>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</si>
  <si>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</si>
  <si>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</si>
  <si>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</si>
  <si>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</si>
  <si>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</si>
  <si>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</si>
  <si>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</si>
  <si>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</si>
  <si>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</si>
  <si>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</si>
  <si>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</si>
  <si>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</si>
  <si>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</si>
  <si>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</si>
  <si>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</si>
  <si>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</si>
  <si>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</si>
  <si>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</si>
  <si>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</si>
  <si>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</si>
  <si>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</si>
  <si>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</si>
  <si>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</si>
  <si>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</si>
  <si>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</si>
  <si>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</si>
  <si>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</si>
  <si>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</si>
  <si>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</si>
  <si>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</si>
  <si>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</si>
  <si>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</si>
  <si>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</si>
  <si>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</si>
  <si>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</si>
  <si>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</si>
  <si>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</si>
  <si>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</si>
  <si>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</si>
  <si>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</si>
  <si>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</si>
  <si>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</si>
  <si>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</si>
  <si>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</si>
  <si>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</si>
  <si>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</si>
  <si>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</si>
  <si>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</si>
  <si>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</si>
  <si>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</si>
  <si>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</si>
  <si>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</si>
  <si>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</si>
  <si>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</si>
  <si>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</si>
  <si>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</si>
  <si>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</si>
  <si>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</si>
  <si>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</si>
  <si>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</si>
  <si>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</si>
  <si>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</si>
  <si>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</si>
  <si>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</si>
  <si>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</si>
  <si>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</si>
  <si>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</si>
  <si>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</si>
  <si>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</si>
  <si>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</si>
  <si>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</si>
  <si>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</si>
  <si>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</si>
  <si>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</si>
  <si>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</si>
  <si>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</si>
  <si>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</si>
  <si>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</si>
  <si>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</si>
  <si>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</si>
  <si>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</si>
  <si>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</si>
  <si>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</si>
  <si>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</si>
  <si>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</si>
  <si>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</si>
  <si>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</si>
  <si>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</si>
  <si>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</si>
  <si>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</si>
  <si>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</si>
  <si>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</si>
  <si>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</si>
  <si>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</si>
  <si>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</si>
  <si>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</si>
  <si>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</si>
  <si>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</si>
  <si>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</si>
  <si>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</si>
  <si>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</si>
  <si>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</si>
  <si>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</si>
  <si>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</si>
  <si>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</si>
  <si>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</si>
  <si>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</si>
  <si>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</si>
  <si>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</si>
  <si>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</si>
  <si>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</si>
  <si>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</si>
  <si>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</si>
  <si>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</si>
  <si>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</si>
  <si>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</si>
  <si>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</si>
  <si>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</si>
  <si>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</si>
  <si>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</si>
  <si>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</si>
  <si>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</si>
  <si>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</si>
  <si>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</si>
  <si>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</si>
  <si>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</si>
  <si>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</si>
  <si>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</si>
  <si>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</si>
  <si>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</si>
  <si>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</si>
  <si>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</si>
  <si>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</si>
  <si>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</si>
  <si>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</si>
  <si>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</si>
  <si>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</si>
  <si>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</si>
  <si>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</si>
  <si>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</si>
  <si>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</si>
  <si>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</si>
  <si>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</si>
  <si>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</si>
  <si>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</si>
  <si>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</si>
  <si>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</si>
  <si>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</si>
  <si>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</si>
  <si>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</si>
  <si>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</si>
  <si>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</si>
  <si>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</si>
  <si>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</si>
  <si>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</si>
  <si>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</si>
  <si>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</si>
  <si>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</si>
  <si>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</si>
  <si>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</si>
  <si>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</si>
  <si>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</si>
  <si>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</si>
  <si>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</si>
  <si>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</si>
  <si>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</si>
  <si>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</si>
  <si>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</si>
  <si>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</si>
  <si>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</si>
  <si>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</si>
  <si>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</si>
  <si>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</si>
  <si>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</si>
  <si>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</si>
  <si>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</si>
  <si>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</si>
  <si>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</si>
  <si>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</si>
  <si>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</si>
  <si>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</si>
  <si>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</si>
  <si>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</si>
  <si>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</si>
  <si>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</si>
  <si>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</si>
  <si>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</si>
  <si>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</si>
  <si>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</si>
  <si>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</si>
  <si>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</si>
  <si>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</si>
  <si>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</si>
  <si>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</si>
  <si>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</si>
  <si>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</si>
  <si>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</si>
  <si>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</si>
  <si>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</si>
  <si>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</si>
  <si>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</si>
  <si>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</si>
  <si>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</si>
  <si>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</si>
  <si>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</si>
  <si>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</si>
  <si>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</si>
  <si>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</si>
  <si>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</si>
  <si>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</si>
  <si>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</si>
  <si>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</si>
  <si>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</si>
  <si>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</si>
  <si>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</si>
  <si>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</si>
  <si>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</si>
  <si>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</si>
  <si>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</si>
  <si>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</si>
  <si>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</si>
  <si>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</si>
  <si>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</si>
  <si>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</si>
  <si>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</si>
  <si>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</si>
  <si>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</si>
  <si>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</si>
  <si>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</si>
  <si>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</si>
  <si>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</si>
  <si>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</si>
  <si>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</si>
  <si>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</si>
  <si>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</si>
  <si>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</si>
  <si>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</si>
  <si>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</si>
  <si>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</si>
  <si>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</si>
  <si>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</si>
  <si>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</si>
  <si>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</si>
  <si>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</si>
  <si>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</si>
  <si>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</si>
  <si>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</si>
  <si>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</si>
  <si>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</si>
  <si>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</si>
  <si>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</si>
  <si>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</si>
  <si>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</si>
  <si>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</si>
  <si>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</si>
  <si>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</si>
  <si>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</si>
  <si>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</si>
  <si>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</si>
  <si>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</si>
  <si>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</si>
  <si>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</si>
  <si>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</si>
  <si>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</si>
  <si>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</si>
  <si>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</si>
  <si>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</si>
  <si>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</si>
  <si>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</si>
  <si>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</si>
  <si>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</si>
  <si>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</si>
  <si>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</si>
  <si>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</si>
  <si>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</si>
  <si>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</si>
  <si>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</si>
  <si>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</si>
  <si>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</si>
  <si>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</si>
  <si>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</si>
  <si>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</si>
  <si>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</si>
  <si>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</si>
  <si>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</si>
  <si>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</si>
  <si>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</si>
  <si>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</si>
  <si>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</si>
  <si>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</si>
  <si>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</si>
  <si>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</si>
  <si>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</si>
  <si>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</si>
  <si>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</si>
  <si>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</si>
  <si>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</si>
  <si>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</si>
  <si>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</si>
  <si>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</si>
  <si>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</si>
  <si>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</si>
  <si>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</si>
  <si>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</si>
  <si>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</si>
  <si>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</si>
  <si>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</si>
  <si>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</si>
  <si>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</si>
  <si>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</si>
  <si>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</si>
  <si>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</si>
  <si>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</si>
  <si>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</si>
  <si>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</si>
  <si>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</si>
  <si>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</si>
  <si>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</si>
  <si>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</si>
  <si>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</si>
  <si>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</si>
  <si>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</si>
  <si>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</si>
  <si>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</si>
  <si>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</si>
  <si>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</si>
  <si>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</si>
  <si>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</si>
  <si>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</si>
  <si>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</si>
  <si>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</si>
  <si>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</si>
  <si>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</si>
  <si>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</si>
  <si>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</si>
  <si>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</si>
  <si>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</si>
  <si>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</si>
  <si>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</si>
  <si>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</si>
  <si>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</si>
  <si>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</si>
  <si>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</si>
  <si>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</si>
  <si>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</si>
  <si>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</si>
  <si>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</si>
  <si>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</si>
  <si>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</si>
  <si>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</si>
  <si>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</si>
  <si>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</si>
  <si>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</si>
  <si>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</si>
  <si>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</si>
  <si>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</si>
  <si>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</si>
  <si>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</si>
  <si>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</si>
  <si>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</si>
  <si>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</si>
  <si>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</si>
  <si>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</si>
  <si>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</si>
  <si>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</si>
  <si>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</si>
  <si>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</si>
  <si>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</si>
  <si>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</si>
  <si>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</si>
  <si>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</si>
  <si>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</si>
  <si>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</si>
  <si>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</si>
  <si>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</si>
  <si>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</si>
  <si>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</si>
  <si>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</si>
  <si>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</si>
  <si>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</si>
  <si>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</si>
  <si>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</si>
  <si>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</si>
  <si>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</si>
  <si>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</si>
  <si>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</si>
  <si>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</si>
  <si>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</si>
  <si>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</si>
  <si>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</si>
  <si>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</si>
  <si>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</si>
  <si>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</si>
  <si>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</si>
  <si>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</si>
  <si>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</si>
  <si>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</si>
  <si>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</si>
  <si>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</si>
  <si>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</si>
  <si>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</si>
  <si>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</si>
  <si>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</si>
  <si>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</si>
  <si>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</si>
  <si>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</si>
  <si>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</si>
  <si>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</si>
  <si>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</si>
  <si>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</si>
  <si>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</si>
  <si>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</si>
  <si>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</si>
  <si>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</si>
  <si>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</si>
  <si>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</si>
  <si>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</si>
  <si>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</si>
  <si>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</si>
  <si>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</si>
  <si>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</si>
  <si>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</si>
  <si>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</si>
  <si>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</si>
  <si>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</si>
  <si>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</si>
  <si>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</si>
  <si>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</si>
  <si>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</si>
  <si>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</si>
  <si>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</si>
  <si>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</si>
  <si>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</si>
  <si>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</si>
  <si>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</si>
  <si>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</si>
  <si>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</si>
  <si>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</si>
  <si>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</si>
  <si>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</si>
  <si>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</si>
  <si>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</si>
  <si>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</si>
  <si>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</si>
  <si>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</si>
  <si>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</si>
  <si>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</si>
  <si>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</si>
  <si>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</si>
  <si>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</si>
  <si>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</si>
  <si>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</si>
  <si>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</si>
  <si>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</si>
  <si>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</si>
  <si>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</si>
  <si>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</si>
  <si>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</si>
  <si>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</si>
  <si>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</si>
  <si>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</si>
  <si>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</si>
  <si>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</si>
  <si>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</si>
  <si>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</si>
  <si>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</si>
  <si>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</si>
  <si>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</si>
  <si>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</si>
  <si>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</si>
  <si>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</si>
  <si>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</si>
  <si>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</si>
  <si>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</si>
  <si>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</si>
  <si>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</si>
  <si>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</si>
  <si>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</si>
  <si>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</si>
  <si>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</si>
  <si>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</si>
  <si>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</si>
  <si>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</si>
  <si>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</si>
  <si>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</si>
  <si>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</si>
  <si>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</si>
  <si>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</si>
  <si>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</si>
  <si>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</si>
  <si>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</si>
  <si>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</si>
  <si>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</si>
  <si>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</si>
  <si>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</si>
  <si>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</si>
  <si>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</si>
  <si>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</si>
  <si>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</si>
  <si>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</si>
  <si>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</si>
  <si>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</si>
  <si>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</si>
  <si>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</si>
  <si>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</si>
  <si>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</si>
  <si>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</si>
  <si>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</si>
  <si>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</si>
  <si>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</si>
  <si>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</si>
  <si>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</si>
  <si>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</si>
  <si>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</si>
  <si>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</si>
  <si>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</si>
  <si>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</si>
  <si>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</si>
  <si>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</si>
  <si>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</si>
  <si>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</si>
  <si>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</si>
  <si>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</si>
  <si>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</si>
  <si>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</si>
  <si>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</si>
  <si>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</si>
  <si>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</si>
  <si>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</si>
  <si>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</si>
  <si>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</si>
  <si>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</si>
  <si>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</si>
  <si>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</si>
  <si>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</si>
  <si>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</si>
  <si>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</si>
  <si>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</si>
  <si>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</si>
  <si>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</si>
  <si>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</si>
  <si>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</si>
  <si>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</si>
  <si>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</si>
  <si>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</si>
  <si>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</si>
  <si>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</si>
  <si>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</si>
  <si>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</si>
  <si>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</si>
  <si>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</si>
  <si>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</si>
  <si>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</si>
  <si>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</si>
  <si>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</si>
  <si>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</si>
  <si>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</si>
  <si>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</si>
  <si>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</si>
  <si>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</si>
  <si>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</si>
  <si>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</si>
  <si>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</si>
  <si>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</si>
  <si>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</si>
  <si>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</si>
  <si>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</si>
  <si>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</si>
  <si>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</si>
  <si>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</si>
  <si>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</si>
  <si>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</si>
  <si>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</si>
  <si>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</si>
  <si>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</si>
  <si>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</si>
  <si>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</si>
  <si>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</si>
  <si>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</si>
  <si>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</si>
  <si>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</si>
  <si>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</si>
  <si>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</si>
  <si>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</si>
  <si>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</si>
  <si>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</si>
  <si>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</si>
  <si>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</si>
  <si>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</si>
  <si>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</si>
  <si>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</si>
  <si>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</si>
  <si>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</si>
  <si>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</si>
  <si>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</si>
  <si>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</si>
  <si>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</si>
  <si>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</si>
  <si>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</si>
  <si>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</si>
  <si>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</si>
  <si>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</si>
  <si>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</si>
  <si>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</si>
  <si>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</si>
  <si>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</si>
  <si>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</si>
  <si>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</si>
  <si>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</si>
  <si>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</si>
  <si>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</si>
  <si>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</si>
  <si>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</si>
  <si>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</si>
  <si>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</si>
  <si>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</si>
  <si>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</si>
  <si>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</si>
  <si>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</si>
  <si>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</si>
  <si>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</si>
  <si>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</si>
  <si>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</si>
  <si>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</si>
  <si>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</si>
  <si>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</si>
  <si>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</si>
  <si>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</si>
  <si>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</si>
  <si>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</si>
  <si>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</si>
  <si>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</si>
  <si>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</si>
  <si>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</si>
  <si>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</si>
  <si>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</si>
  <si>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</si>
  <si>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</si>
  <si>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</si>
  <si>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</si>
  <si>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</si>
  <si>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</si>
  <si>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</si>
  <si>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</si>
  <si>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</si>
  <si>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</si>
  <si>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</si>
  <si>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</si>
  <si>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</si>
  <si>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</si>
  <si>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</si>
  <si>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</si>
  <si>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</si>
  <si>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</si>
  <si>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</si>
  <si>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</si>
  <si>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</si>
  <si>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</si>
  <si>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</si>
  <si>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</si>
  <si>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</si>
  <si>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</si>
  <si>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</si>
  <si>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</si>
  <si>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</si>
  <si>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</si>
  <si>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</si>
  <si>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</si>
  <si>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</si>
  <si>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</si>
  <si>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</si>
  <si>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</si>
  <si>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</si>
  <si>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</si>
  <si>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</si>
  <si>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</si>
  <si>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</si>
  <si>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</si>
  <si>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</si>
  <si>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</si>
  <si>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</si>
  <si>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</si>
  <si>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</si>
  <si>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</si>
  <si>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</si>
  <si>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</si>
  <si>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</si>
  <si>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</si>
  <si>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</si>
  <si>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</si>
  <si>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</si>
  <si>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</si>
  <si>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</si>
  <si>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</si>
  <si>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</si>
  <si>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</si>
  <si>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</si>
  <si>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</si>
  <si>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</si>
  <si>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</si>
  <si>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</si>
  <si>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</si>
  <si>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</si>
  <si>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</si>
  <si>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</si>
  <si>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</si>
  <si>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</si>
  <si>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</si>
  <si>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</si>
  <si>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</si>
  <si>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</si>
  <si>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</si>
  <si>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</si>
  <si>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</si>
  <si>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</si>
  <si>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</si>
  <si>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</si>
  <si>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</si>
  <si>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</si>
  <si>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</si>
  <si>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</si>
  <si>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</si>
  <si>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</si>
  <si>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</si>
  <si>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</si>
  <si>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</si>
  <si>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</si>
  <si>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</si>
  <si>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</si>
  <si>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</si>
  <si>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</si>
  <si>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</si>
  <si>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</si>
  <si>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</si>
  <si>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</si>
  <si>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</si>
  <si>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</si>
  <si>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</si>
  <si>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</si>
  <si>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</si>
  <si>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</si>
  <si>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</si>
  <si>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</si>
  <si>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</si>
  <si>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</si>
  <si>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</si>
  <si>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</si>
  <si>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</si>
  <si>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</si>
  <si>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</si>
  <si>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</si>
  <si>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</si>
  <si>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</si>
  <si>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</si>
  <si>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</si>
  <si>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</si>
  <si>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</si>
  <si>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</si>
  <si>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</si>
  <si>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</si>
  <si>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</si>
  <si>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</si>
  <si>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</si>
  <si>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</si>
  <si>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</si>
  <si>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</si>
  <si>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</si>
  <si>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</si>
  <si>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</si>
  <si>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</si>
  <si>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</si>
  <si>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</si>
  <si>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</si>
  <si>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</si>
  <si>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</si>
  <si>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</si>
  <si>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</si>
  <si>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</si>
  <si>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</si>
  <si>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</si>
  <si>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</si>
  <si>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</si>
  <si>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</si>
  <si>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</si>
  <si>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</si>
  <si>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</si>
  <si>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</si>
  <si>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</si>
  <si>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</si>
  <si>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</si>
  <si>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</si>
  <si>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</si>
  <si>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</si>
  <si>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</si>
  <si>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</si>
  <si>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</si>
  <si>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</si>
  <si>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</si>
  <si>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</si>
  <si>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</si>
  <si>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</si>
  <si>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</si>
  <si>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</si>
  <si>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</si>
  <si>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</si>
  <si>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</si>
  <si>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</si>
  <si>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</si>
  <si>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</si>
  <si>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</si>
  <si>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</si>
  <si>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</si>
  <si>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</si>
  <si>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</si>
  <si>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</si>
  <si>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</si>
  <si>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</si>
  <si>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</si>
  <si>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</si>
  <si>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</si>
  <si>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</si>
  <si>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</si>
  <si>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</si>
  <si>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</si>
  <si>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</si>
  <si>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</si>
  <si>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</si>
  <si>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</si>
  <si>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</si>
  <si>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</si>
  <si>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</si>
  <si>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</si>
  <si>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</si>
  <si>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</si>
  <si>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</si>
  <si>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</si>
  <si>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</si>
  <si>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</si>
  <si>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</si>
  <si>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</si>
  <si>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</si>
  <si>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</si>
  <si>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</si>
  <si>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</si>
  <si>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</si>
  <si>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</si>
  <si>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</si>
  <si>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</si>
  <si>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</si>
  <si>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</si>
  <si>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</si>
  <si>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</si>
  <si>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</si>
  <si>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</si>
  <si>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</si>
  <si>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</si>
  <si>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</si>
  <si>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</si>
  <si>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</si>
  <si>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</si>
  <si>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</si>
  <si>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</si>
  <si>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</si>
  <si>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</si>
  <si>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</si>
  <si>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</si>
  <si>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</si>
  <si>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</si>
  <si>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</si>
  <si>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</si>
  <si>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</si>
  <si>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</si>
  <si>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</si>
  <si>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</si>
  <si>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</si>
  <si>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</si>
  <si>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</si>
  <si>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</si>
  <si>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</si>
  <si>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</si>
  <si>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</si>
  <si>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</si>
  <si>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</si>
  <si>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</si>
  <si>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</si>
  <si>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</si>
  <si>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</si>
  <si>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</si>
  <si>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</si>
  <si>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</si>
  <si>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</si>
  <si>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</si>
  <si>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</si>
  <si>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</si>
  <si>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</si>
  <si>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</si>
  <si>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</si>
  <si>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</si>
  <si>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</si>
  <si>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</si>
  <si>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</si>
  <si>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</si>
  <si>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</si>
  <si>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</si>
  <si>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</si>
  <si>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</si>
  <si>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</si>
  <si>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</si>
  <si>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</si>
  <si>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</si>
  <si>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</si>
  <si>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</si>
  <si>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</si>
  <si>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</si>
  <si>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</si>
  <si>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</si>
  <si>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</si>
  <si>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</si>
  <si>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</si>
  <si>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</si>
  <si>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</si>
  <si>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</si>
  <si>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</si>
  <si>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</si>
  <si>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</si>
  <si>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</si>
  <si>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</si>
  <si>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</si>
  <si>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</si>
  <si>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</si>
  <si>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</si>
  <si>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</si>
  <si>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</si>
  <si>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</si>
  <si>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</si>
  <si>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</si>
  <si>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</si>
  <si>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</si>
  <si>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</si>
  <si>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</si>
  <si>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</si>
  <si>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</si>
  <si>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</si>
  <si>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</si>
  <si>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</si>
  <si>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</si>
  <si>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</si>
  <si>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</si>
  <si>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</si>
  <si>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</si>
  <si>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</si>
  <si>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</si>
  <si>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</si>
  <si>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</si>
  <si>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</si>
  <si>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</si>
  <si>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</si>
  <si>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</si>
  <si>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</si>
  <si>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</si>
  <si>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</si>
  <si>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</si>
  <si>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</si>
  <si>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</si>
  <si>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</si>
  <si>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</si>
  <si>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</si>
  <si>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</si>
  <si>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</si>
  <si>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</si>
  <si>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</si>
  <si>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</si>
  <si>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</si>
  <si>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</si>
  <si>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</si>
  <si>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</si>
  <si>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</si>
  <si>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</si>
  <si>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</si>
  <si>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</si>
  <si>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</si>
  <si>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</si>
  <si>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</si>
  <si>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</si>
  <si>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</si>
  <si>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</si>
  <si>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</si>
  <si>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</si>
  <si>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</si>
  <si>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</si>
  <si>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</si>
  <si>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</si>
  <si>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</si>
  <si>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</si>
  <si>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</si>
  <si>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</si>
  <si>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</si>
  <si>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</si>
  <si>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</si>
  <si>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</si>
  <si>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</si>
  <si>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</si>
  <si>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</si>
  <si>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</si>
  <si>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</si>
  <si>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</si>
  <si>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</si>
  <si>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</si>
  <si>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</si>
  <si>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</si>
  <si>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</si>
  <si>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</si>
  <si>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</si>
  <si>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</si>
  <si>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</si>
  <si>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</si>
  <si>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</si>
  <si>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</si>
  <si>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</si>
  <si>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</si>
  <si>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</si>
  <si>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</si>
  <si>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</si>
  <si>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</si>
  <si>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</si>
  <si>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</si>
  <si>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</si>
  <si>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</si>
  <si>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</si>
  <si>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</si>
  <si>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</si>
  <si>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</si>
  <si>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</si>
  <si>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</si>
  <si>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</si>
  <si>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</si>
  <si>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</si>
  <si>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</si>
  <si>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</si>
  <si>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</si>
  <si>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</si>
  <si>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</si>
  <si>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</si>
  <si>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</si>
  <si>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</si>
  <si>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</si>
  <si>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</si>
  <si>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</si>
  <si>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</si>
  <si>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</si>
  <si>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</si>
  <si>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</si>
  <si>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</si>
  <si>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</si>
  <si>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</si>
  <si>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</si>
  <si>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</si>
  <si>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</si>
  <si>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</si>
  <si>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</si>
  <si>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</si>
  <si>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</si>
  <si>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</si>
  <si>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</si>
  <si>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</si>
  <si>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</si>
  <si>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</si>
  <si>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</si>
  <si>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</si>
  <si>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</si>
  <si>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</si>
  <si>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</si>
  <si>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</si>
  <si>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</si>
  <si>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</si>
  <si>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</si>
  <si>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</si>
  <si>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</si>
  <si>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</si>
  <si>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</si>
  <si>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</si>
  <si>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</si>
  <si>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</si>
  <si>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</si>
  <si>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</si>
  <si>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</si>
  <si>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</si>
  <si>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</si>
  <si>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</si>
  <si>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</si>
  <si>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</si>
  <si>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</si>
  <si>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</si>
  <si>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</si>
  <si>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</si>
  <si>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</si>
  <si>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</si>
  <si>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</si>
  <si>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</si>
  <si>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</si>
  <si>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</si>
  <si>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</si>
  <si>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</si>
  <si>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</si>
  <si>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</si>
  <si>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</si>
  <si>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</si>
  <si>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</si>
  <si>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</si>
  <si>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</si>
  <si>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</si>
  <si>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</si>
  <si>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</si>
  <si>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</si>
  <si>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</si>
  <si>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</si>
  <si>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</si>
  <si>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</si>
  <si>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</si>
  <si>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</si>
  <si>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</si>
  <si>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</si>
  <si>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</si>
  <si>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</si>
  <si>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</si>
  <si>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</si>
  <si>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</si>
  <si>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</si>
  <si>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</si>
  <si>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</si>
  <si>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</si>
  <si>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</si>
  <si>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</si>
  <si>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</si>
  <si>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</si>
  <si>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</si>
  <si>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</si>
  <si>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</si>
  <si>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</si>
  <si>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</si>
  <si>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</si>
  <si>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</si>
  <si>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</si>
  <si>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</si>
  <si>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</si>
  <si>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</si>
  <si>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</si>
  <si>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</si>
  <si>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</si>
  <si>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</si>
  <si>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</si>
  <si>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</si>
  <si>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</si>
  <si>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</si>
  <si>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</si>
  <si>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</si>
  <si>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</si>
  <si>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</si>
  <si>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</si>
  <si>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</si>
  <si>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</si>
  <si>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</si>
  <si>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</si>
  <si>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</si>
  <si>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</si>
  <si>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</si>
  <si>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</si>
  <si>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</si>
  <si>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</si>
  <si>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</si>
  <si>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</si>
  <si>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</si>
  <si>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</si>
  <si>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</si>
  <si>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</si>
  <si>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</si>
  <si>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</si>
  <si>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</si>
  <si>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</si>
  <si>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</si>
  <si>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</si>
  <si>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</si>
  <si>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</si>
  <si>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</si>
  <si>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</si>
  <si>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</si>
  <si>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</si>
  <si>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</si>
  <si>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</si>
  <si>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</si>
  <si>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</si>
  <si>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</si>
  <si>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</si>
  <si>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</si>
  <si>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</si>
  <si>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</si>
  <si>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</si>
  <si>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</si>
  <si>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</si>
  <si>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</si>
  <si>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</si>
  <si>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</si>
  <si>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</si>
  <si>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</si>
  <si>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</si>
  <si>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</si>
  <si>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</si>
  <si>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</si>
  <si>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</si>
  <si>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</si>
  <si>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</si>
  <si>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</si>
  <si>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</si>
  <si>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</si>
  <si>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</si>
  <si>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</si>
  <si>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</si>
  <si>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</si>
  <si>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</si>
  <si>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</si>
  <si>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</si>
  <si>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</si>
  <si>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</si>
  <si>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</si>
  <si>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</si>
  <si>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</si>
  <si>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</si>
  <si>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</si>
  <si>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</si>
  <si>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</si>
  <si>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</si>
  <si>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</si>
  <si>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</si>
  <si>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</si>
  <si>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</si>
  <si>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</si>
  <si>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</si>
  <si>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</si>
  <si>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</si>
  <si>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</si>
  <si>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</si>
  <si>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</si>
  <si>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</si>
  <si>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</si>
  <si>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</si>
  <si>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</si>
  <si>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</si>
  <si>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</si>
  <si>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</si>
  <si>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</si>
  <si>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</si>
  <si>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</si>
  <si>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</si>
  <si>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</si>
  <si>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</si>
  <si>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</si>
  <si>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</si>
  <si>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</si>
  <si>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</si>
  <si>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</si>
  <si>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</si>
  <si>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</si>
  <si>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</si>
  <si>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</si>
  <si>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</si>
  <si>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</si>
  <si>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</si>
  <si>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</si>
  <si>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</si>
  <si>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</si>
  <si>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</si>
  <si>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</si>
  <si>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</si>
  <si>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</si>
  <si>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</si>
  <si>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</si>
  <si>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</si>
  <si>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</si>
  <si>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</si>
  <si>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</si>
  <si>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</si>
  <si>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</si>
  <si>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</si>
  <si>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</si>
  <si>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</si>
  <si>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</si>
  <si>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</si>
  <si>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</si>
  <si>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</si>
  <si>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</si>
  <si>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</si>
  <si>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</si>
  <si>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</si>
  <si>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</si>
  <si>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</si>
  <si>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</si>
  <si>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</si>
  <si>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</si>
  <si>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</si>
  <si>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</si>
  <si>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</si>
  <si>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</si>
  <si>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</si>
  <si>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</si>
  <si>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</si>
  <si>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</si>
  <si>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</si>
  <si>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</si>
  <si>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</si>
  <si>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</si>
  <si>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</si>
  <si>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</si>
  <si>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</si>
  <si>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</si>
  <si>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</si>
  <si>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</si>
  <si>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</si>
  <si>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</si>
  <si>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</si>
  <si>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</si>
  <si>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</si>
  <si>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</si>
  <si>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</si>
  <si>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</si>
  <si>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</si>
  <si>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</si>
  <si>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</si>
  <si>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</si>
  <si>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</si>
  <si>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</si>
  <si>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</si>
  <si>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</si>
  <si>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</si>
  <si>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</si>
  <si>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</si>
  <si>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</si>
  <si>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</si>
  <si>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</si>
  <si>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</si>
  <si>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</si>
  <si>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</si>
  <si>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</si>
  <si>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</si>
  <si>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</si>
  <si>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</si>
  <si>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</si>
  <si>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</si>
  <si>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</si>
  <si>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</si>
  <si>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</si>
  <si>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</si>
  <si>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</si>
  <si>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</si>
  <si>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</si>
  <si>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</si>
  <si>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</si>
  <si>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</si>
  <si>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</si>
  <si>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</si>
  <si>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</si>
  <si>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</si>
  <si>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</si>
  <si>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</si>
  <si>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</si>
  <si>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</si>
  <si>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</si>
  <si>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</si>
  <si>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</si>
  <si>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</si>
  <si>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</si>
  <si>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</si>
  <si>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</si>
  <si>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</si>
  <si>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</si>
  <si>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</si>
  <si>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</si>
  <si>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</si>
  <si>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</si>
  <si>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</si>
  <si>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</si>
  <si>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</si>
  <si>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</si>
  <si>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</si>
  <si>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</si>
  <si>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</si>
  <si>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</si>
  <si>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</si>
  <si>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</si>
  <si>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</si>
  <si>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</si>
  <si>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</si>
  <si>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</si>
  <si>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</si>
  <si>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</si>
  <si>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</si>
  <si>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</si>
  <si>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</si>
  <si>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</si>
  <si>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</si>
  <si>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</si>
  <si>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</si>
  <si>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</si>
  <si>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</si>
  <si>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</si>
  <si>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</si>
  <si>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</si>
  <si>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</si>
  <si>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</si>
  <si>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</si>
  <si>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</si>
  <si>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</si>
  <si>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</si>
  <si>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</si>
  <si>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</si>
  <si>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</si>
  <si>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</si>
  <si>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</si>
  <si>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</si>
  <si>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</si>
  <si>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</si>
  <si>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</si>
  <si>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</si>
  <si>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</si>
  <si>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</si>
  <si>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</si>
  <si>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</si>
  <si>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</si>
  <si>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</si>
  <si>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</si>
  <si>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</si>
  <si>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</si>
  <si>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</si>
  <si>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</si>
  <si>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</si>
  <si>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</si>
  <si>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</si>
  <si>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</si>
  <si>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</si>
  <si>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</si>
  <si>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</si>
  <si>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</si>
  <si>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</si>
  <si>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</si>
  <si>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</si>
  <si>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</si>
  <si>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</si>
  <si>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</si>
  <si>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</si>
  <si>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</si>
  <si>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</si>
  <si>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</si>
  <si>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</si>
  <si>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</si>
  <si>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</si>
  <si>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</si>
  <si>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</si>
  <si>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</si>
  <si>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</si>
  <si>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</si>
  <si>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</si>
  <si>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</si>
  <si>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</si>
  <si>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</si>
  <si>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</si>
  <si>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</si>
  <si>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</si>
  <si>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</si>
  <si>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</si>
  <si>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</si>
  <si>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</si>
  <si>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</si>
  <si>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</si>
  <si>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</si>
  <si>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</si>
  <si>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</si>
  <si>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</si>
  <si>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</si>
  <si>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</si>
  <si>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</si>
  <si>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</si>
  <si>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</si>
  <si>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</si>
  <si>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</si>
  <si>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</si>
  <si>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</si>
  <si>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</si>
  <si>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</si>
  <si>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</si>
  <si>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</si>
  <si>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</si>
  <si>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</si>
  <si>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</si>
  <si>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</si>
  <si>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</si>
  <si>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</si>
  <si>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</si>
  <si>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</si>
  <si>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</si>
  <si>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</si>
  <si>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</si>
  <si>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</si>
  <si>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</si>
  <si>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</si>
  <si>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</si>
  <si>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</si>
  <si>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</si>
  <si>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</si>
  <si>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</si>
  <si>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</si>
  <si>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</si>
  <si>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</si>
  <si>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</si>
  <si>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</si>
  <si>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</si>
  <si>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</si>
  <si>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</si>
  <si>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</si>
  <si>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</si>
  <si>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</si>
  <si>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</si>
  <si>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</si>
  <si>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</si>
  <si>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</si>
  <si>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</si>
  <si>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</si>
  <si>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</si>
  <si>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</si>
  <si>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</si>
  <si>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</si>
  <si>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</si>
  <si>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</si>
  <si>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</si>
  <si>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</si>
  <si>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</si>
  <si>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</si>
  <si>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</si>
  <si>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</si>
  <si>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</si>
  <si>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</si>
  <si>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</si>
  <si>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</si>
  <si>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</si>
  <si>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</si>
  <si>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</si>
  <si>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</si>
  <si>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</si>
  <si>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</si>
  <si>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</si>
  <si>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</si>
  <si>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</si>
  <si>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</si>
  <si>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</si>
  <si>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</si>
  <si>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</si>
  <si>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</si>
  <si>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</si>
  <si>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</si>
  <si>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</si>
  <si>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</si>
  <si>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</si>
  <si>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</si>
  <si>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</si>
  <si>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</si>
  <si>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</si>
  <si>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</si>
  <si>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</si>
  <si>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</si>
  <si>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</si>
  <si>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</si>
  <si>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</si>
  <si>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</si>
  <si>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</si>
  <si>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</si>
  <si>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</si>
  <si>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</si>
  <si>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</si>
  <si>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</si>
  <si>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</si>
  <si>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</si>
  <si>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</si>
  <si>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</si>
  <si>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</si>
  <si>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</si>
  <si>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</si>
  <si>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</si>
  <si>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</si>
  <si>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</si>
  <si>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</si>
  <si>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</si>
  <si>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</si>
  <si>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</si>
  <si>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</si>
  <si>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</si>
  <si>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</si>
  <si>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</si>
  <si>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</si>
  <si>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</si>
  <si>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</si>
  <si>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</si>
  <si>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</si>
  <si>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</si>
  <si>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</si>
  <si>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</si>
  <si>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</si>
  <si>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</si>
  <si>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</si>
  <si>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</si>
  <si>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</si>
  <si>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</si>
  <si>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</si>
  <si>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</si>
  <si>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</si>
  <si>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</si>
  <si>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</si>
  <si>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</si>
  <si>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</si>
  <si>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</si>
  <si>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</si>
  <si>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</si>
  <si>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</si>
  <si>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</si>
  <si>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</si>
  <si>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</si>
  <si>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</si>
  <si>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</si>
  <si>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</si>
  <si>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</si>
  <si>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</si>
  <si>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</si>
  <si>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</si>
  <si>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</si>
  <si>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</si>
  <si>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</si>
  <si>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</si>
  <si>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</si>
  <si>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</si>
  <si>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</si>
  <si>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</si>
  <si>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</si>
  <si>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</si>
  <si>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</si>
  <si>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</si>
  <si>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</si>
  <si>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</si>
  <si>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</si>
  <si>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</si>
  <si>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</si>
  <si>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</si>
  <si>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</si>
  <si>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</si>
  <si>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</si>
  <si>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</si>
  <si>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</si>
  <si>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</si>
  <si>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</si>
  <si>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</si>
  <si>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</si>
  <si>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</si>
  <si>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</si>
  <si>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</si>
  <si>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</si>
  <si>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</si>
  <si>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</si>
  <si>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</si>
  <si>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</si>
  <si>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</si>
  <si>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</si>
  <si>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</si>
  <si>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</si>
  <si>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</si>
  <si>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</si>
  <si>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</si>
  <si>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</si>
  <si>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</si>
  <si>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</si>
  <si>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</si>
  <si>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</si>
  <si>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</si>
  <si>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</si>
  <si>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</si>
  <si>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</si>
  <si>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</si>
  <si>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</si>
  <si>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</si>
  <si>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</si>
  <si>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</si>
  <si>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</si>
  <si>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</si>
  <si>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</si>
  <si>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</si>
  <si>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</si>
  <si>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</si>
  <si>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</si>
  <si>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</si>
  <si>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</si>
  <si>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</si>
  <si>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</si>
  <si>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</si>
  <si>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</si>
  <si>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</si>
  <si>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</si>
  <si>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</si>
  <si>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</si>
  <si>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</si>
  <si>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</si>
  <si>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</si>
  <si>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</si>
  <si>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</si>
  <si>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</si>
  <si>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</si>
  <si>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</si>
  <si>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</si>
  <si>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</si>
  <si>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</si>
  <si>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</si>
  <si>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</si>
  <si>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</si>
  <si>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</si>
  <si>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</si>
  <si>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</si>
  <si>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</si>
  <si>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</si>
  <si>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</si>
  <si>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</si>
  <si>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</si>
  <si>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</si>
  <si>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</si>
  <si>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</si>
  <si>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</si>
  <si>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</si>
  <si>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</si>
  <si>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</si>
  <si>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</si>
  <si>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</si>
  <si>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</si>
  <si>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</si>
  <si>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</si>
  <si>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</si>
  <si>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</si>
  <si>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</si>
  <si>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</si>
  <si>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</si>
  <si>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</si>
  <si>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</si>
  <si>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</si>
  <si>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</si>
  <si>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</si>
  <si>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</si>
  <si>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</si>
  <si>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</si>
  <si>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</si>
  <si>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</si>
  <si>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</si>
  <si>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</si>
  <si>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</si>
  <si>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</si>
  <si>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</si>
  <si>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</si>
  <si>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</si>
  <si>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</si>
  <si>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</si>
  <si>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</si>
  <si>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</si>
  <si>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</si>
  <si>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</si>
  <si>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</si>
  <si>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</si>
  <si>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</si>
  <si>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</si>
  <si>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</si>
  <si>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</si>
  <si>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</si>
  <si>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</si>
  <si>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</si>
  <si>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</si>
  <si>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</si>
  <si>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</si>
  <si>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</si>
  <si>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</si>
  <si>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</si>
  <si>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</si>
  <si>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</si>
  <si>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</si>
  <si>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</si>
  <si>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</si>
  <si>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</si>
  <si>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</si>
  <si>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</si>
  <si>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</si>
  <si>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</si>
  <si>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</si>
  <si>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</si>
  <si>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</si>
  <si>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</si>
  <si>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</si>
  <si>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</si>
  <si>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</si>
  <si>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</si>
  <si>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</si>
  <si>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</si>
  <si>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</si>
  <si>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</si>
  <si>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</si>
  <si>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</si>
  <si>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</si>
  <si>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</si>
  <si>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</si>
  <si>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</si>
  <si>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</si>
  <si>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</si>
  <si>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</si>
  <si>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</si>
  <si>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</si>
  <si>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</si>
  <si>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</si>
  <si>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</si>
  <si>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</si>
  <si>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</si>
  <si>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</si>
  <si>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</si>
  <si>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</si>
  <si>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</si>
  <si>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</si>
  <si>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</si>
  <si>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</si>
  <si>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</si>
  <si>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</si>
  <si>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</si>
  <si>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</si>
  <si>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</si>
  <si>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</si>
  <si>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</si>
  <si>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</si>
  <si>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</si>
  <si>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</si>
  <si>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</si>
  <si>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</si>
  <si>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</si>
  <si>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</si>
  <si>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</si>
  <si>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</si>
  <si>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</si>
  <si>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</si>
  <si>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</si>
  <si>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</si>
  <si>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</si>
  <si>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</si>
  <si>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</si>
  <si>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</si>
  <si>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</si>
  <si>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</si>
  <si>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</si>
  <si>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</si>
  <si>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</si>
  <si>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</si>
  <si>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</si>
  <si>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</si>
  <si>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</si>
  <si>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</si>
  <si>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</si>
  <si>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</si>
  <si>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</si>
  <si>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</si>
  <si>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</si>
  <si>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</si>
  <si>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</si>
  <si>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</si>
  <si>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</si>
  <si>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</si>
  <si>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</si>
  <si>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</si>
  <si>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</si>
  <si>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</si>
  <si>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</si>
  <si>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</si>
  <si>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</si>
  <si>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</si>
  <si>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</si>
  <si>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</si>
  <si>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</si>
  <si>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</si>
  <si>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</si>
  <si>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</si>
  <si>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</si>
  <si>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</si>
  <si>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</si>
  <si>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</si>
  <si>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</si>
  <si>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</si>
  <si>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</si>
  <si>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</si>
  <si>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</si>
  <si>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</si>
  <si>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</si>
  <si>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</si>
  <si>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</si>
  <si>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</si>
  <si>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</si>
  <si>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</si>
  <si>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</si>
  <si>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</si>
  <si>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</si>
  <si>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</si>
  <si>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</si>
  <si>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</si>
  <si>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</si>
  <si>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</si>
  <si>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</si>
  <si>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</si>
  <si>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</si>
  <si>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</si>
  <si>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</si>
  <si>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</si>
  <si>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</si>
  <si>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</si>
  <si>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</si>
  <si>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</si>
  <si>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</si>
  <si>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</si>
  <si>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</si>
  <si>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</si>
  <si>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</si>
  <si>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</si>
  <si>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</si>
  <si>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</si>
  <si>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</si>
  <si>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</si>
  <si>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</si>
  <si>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</si>
  <si>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</si>
  <si>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</si>
  <si>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</si>
  <si>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</si>
  <si>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</si>
  <si>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</si>
  <si>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</si>
  <si>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</si>
  <si>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</si>
  <si>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</si>
  <si>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</si>
  <si>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</si>
  <si>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</si>
  <si>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</si>
  <si>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</si>
  <si>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</si>
  <si>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</si>
  <si>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</si>
  <si>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</si>
  <si>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</si>
  <si>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</si>
  <si>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</si>
  <si>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</si>
  <si>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</si>
  <si>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</si>
  <si>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</si>
  <si>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</si>
  <si>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</si>
  <si>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</si>
  <si>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</si>
  <si>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</si>
  <si>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</si>
  <si>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</si>
  <si>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</si>
  <si>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</si>
  <si>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</si>
  <si>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</si>
  <si>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</si>
  <si>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</si>
  <si>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</si>
  <si>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</si>
  <si>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</si>
  <si>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</si>
  <si>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</si>
  <si>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</si>
  <si>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</si>
  <si>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</si>
  <si>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</si>
  <si>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</si>
  <si>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</si>
  <si>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</si>
  <si>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</si>
  <si>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</si>
  <si>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</si>
  <si>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</si>
  <si>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</si>
  <si>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</si>
  <si>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</si>
  <si>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</si>
  <si>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</si>
  <si>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</si>
  <si>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</si>
  <si>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</si>
  <si>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</si>
  <si>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</si>
  <si>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</si>
  <si>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</si>
  <si>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</si>
  <si>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</si>
  <si>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</si>
  <si>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</si>
  <si>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</si>
  <si>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</si>
  <si>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</si>
  <si>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</si>
  <si>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</si>
  <si>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</si>
  <si>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</si>
  <si>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</si>
  <si>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</si>
  <si>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</si>
  <si>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</si>
  <si>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</si>
  <si>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</si>
  <si>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</si>
  <si>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</si>
  <si>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</si>
  <si>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</si>
  <si>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</si>
  <si>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</si>
  <si>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</si>
  <si>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</si>
  <si>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</si>
  <si>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</si>
  <si>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</si>
  <si>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</si>
  <si>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</si>
  <si>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</si>
  <si>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</si>
  <si>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</si>
  <si>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</si>
  <si>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</si>
  <si>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</si>
  <si>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</si>
  <si>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</si>
  <si>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</si>
  <si>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</si>
  <si>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</si>
  <si>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</si>
  <si>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</si>
  <si>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</si>
  <si>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</si>
  <si>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</si>
  <si>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</si>
  <si>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</si>
  <si>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</si>
  <si>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</si>
  <si>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</si>
  <si>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</si>
  <si>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</si>
  <si>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</si>
  <si>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</si>
  <si>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</si>
  <si>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</si>
  <si>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</si>
  <si>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</si>
  <si>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</si>
  <si>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</si>
  <si>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</si>
  <si>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</si>
  <si>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</si>
  <si>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</si>
  <si>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</si>
  <si>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</si>
  <si>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</si>
  <si>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</si>
  <si>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</si>
  <si>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</si>
  <si>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</si>
  <si>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</si>
  <si>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</si>
  <si>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</si>
  <si>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</si>
  <si>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</si>
  <si>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</si>
  <si>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</si>
  <si>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</si>
  <si>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</si>
  <si>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</si>
  <si>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</si>
  <si>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</si>
  <si>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</si>
  <si>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</si>
  <si>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</si>
  <si>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</si>
  <si>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</si>
  <si>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</si>
  <si>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</si>
  <si>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</si>
  <si>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</si>
  <si>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</si>
  <si>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</si>
  <si>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</si>
  <si>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</si>
  <si>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</si>
  <si>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</si>
  <si>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</si>
  <si>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</si>
  <si>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</si>
  <si>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</si>
  <si>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</si>
  <si>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</si>
  <si>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</si>
  <si>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</si>
  <si>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</si>
  <si>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</si>
  <si>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</si>
  <si>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</si>
  <si>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</si>
  <si>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</si>
  <si>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</si>
  <si>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</si>
  <si>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</si>
  <si>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</si>
  <si>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</si>
  <si>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</si>
  <si>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</si>
  <si>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</si>
  <si>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</si>
  <si>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</si>
  <si>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</si>
  <si>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</si>
  <si>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</si>
  <si>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</si>
  <si>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</si>
  <si>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</si>
  <si>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</si>
  <si>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</si>
  <si>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</si>
  <si>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</si>
  <si>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</si>
  <si>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</si>
  <si>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</si>
  <si>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</si>
  <si>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</si>
  <si>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</si>
  <si>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</si>
  <si>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</si>
  <si>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</si>
  <si>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</si>
  <si>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</si>
  <si>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</si>
  <si>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</si>
  <si>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</si>
  <si>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</si>
  <si>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</si>
  <si>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</si>
  <si>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</si>
  <si>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</si>
  <si>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</si>
  <si>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</si>
  <si>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</si>
  <si>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</si>
  <si>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</si>
  <si>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</si>
  <si>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</si>
  <si>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</si>
  <si>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</si>
  <si>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</si>
  <si>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</si>
  <si>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</si>
  <si>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</si>
  <si>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</si>
  <si>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</si>
  <si>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</si>
  <si>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</si>
  <si>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</si>
  <si>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</si>
  <si>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</si>
  <si>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</si>
  <si>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</si>
  <si>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</si>
  <si>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</si>
  <si>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</si>
  <si>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</si>
  <si>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</si>
  <si>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</si>
  <si>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</si>
  <si>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</si>
  <si>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</si>
  <si>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</si>
  <si>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</si>
  <si>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</si>
  <si>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</si>
  <si>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</si>
  <si>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</si>
  <si>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</si>
  <si>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</si>
  <si>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</si>
  <si>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</si>
  <si>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</si>
  <si>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</si>
  <si>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</si>
  <si>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</si>
  <si>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</si>
  <si>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</si>
  <si>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</si>
  <si>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</si>
  <si>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</si>
  <si>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</si>
  <si>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</si>
  <si>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</si>
  <si>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</si>
  <si>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</si>
  <si>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</si>
  <si>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</si>
  <si>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</si>
  <si>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</si>
  <si>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</si>
  <si>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</si>
  <si>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</si>
  <si>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</si>
  <si>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</si>
  <si>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</si>
  <si>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</si>
  <si>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</si>
  <si>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</si>
  <si>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</si>
  <si>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</si>
  <si>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</si>
  <si>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</si>
  <si>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</si>
  <si>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</si>
  <si>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</si>
  <si>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</si>
  <si>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</si>
  <si>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</si>
  <si>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</si>
  <si>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</si>
  <si>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</si>
  <si>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</si>
  <si>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</si>
  <si>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</si>
  <si>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</si>
  <si>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</si>
  <si>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</si>
  <si>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</si>
  <si>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</si>
  <si>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</si>
  <si>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</si>
  <si>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</si>
  <si>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</si>
  <si>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</si>
  <si>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</si>
  <si>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</si>
  <si>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</si>
  <si>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</si>
  <si>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</si>
  <si>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</si>
  <si>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</si>
  <si>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</si>
  <si>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</si>
  <si>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</si>
  <si>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</si>
  <si>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</si>
  <si>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</si>
  <si>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</si>
  <si>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</si>
  <si>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</si>
  <si>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</si>
  <si>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</si>
  <si>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</si>
  <si>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</si>
  <si>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</si>
  <si>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</si>
  <si>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</si>
  <si>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</si>
  <si>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</si>
  <si>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</si>
  <si>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</si>
  <si>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</si>
  <si>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</si>
  <si>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</si>
  <si>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</si>
  <si>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</si>
  <si>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</si>
  <si>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</si>
  <si>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</si>
  <si>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</si>
  <si>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</si>
  <si>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</si>
  <si>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</si>
  <si>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</si>
  <si>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</si>
  <si>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</si>
  <si>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</si>
  <si>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</si>
  <si>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</si>
  <si>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</si>
  <si>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</si>
  <si>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</si>
  <si>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</si>
  <si>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</si>
  <si>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</si>
  <si>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</si>
  <si>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</si>
  <si>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</si>
  <si>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</si>
  <si>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</si>
  <si>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</si>
  <si>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</si>
  <si>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</si>
  <si>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</si>
  <si>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</si>
  <si>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</si>
  <si>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</si>
  <si>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</si>
  <si>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</si>
  <si>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</si>
  <si>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</si>
  <si>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</si>
  <si>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</si>
  <si>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</si>
  <si>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</si>
  <si>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</si>
  <si>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</si>
  <si>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</si>
  <si>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</si>
  <si>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</si>
  <si>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</si>
  <si>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</si>
  <si>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</si>
  <si>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</si>
  <si>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</si>
  <si>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</si>
  <si>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</si>
  <si>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</si>
  <si>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</si>
  <si>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</si>
  <si>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</si>
  <si>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</si>
  <si>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</si>
  <si>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</si>
  <si>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</si>
  <si>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</si>
  <si>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</si>
  <si>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</si>
  <si>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</si>
  <si>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</si>
  <si>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</si>
  <si>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</si>
  <si>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</si>
  <si>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</si>
  <si>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</si>
  <si>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</si>
  <si>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</si>
  <si>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</si>
  <si>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</si>
  <si>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</si>
  <si>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</si>
  <si>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</si>
  <si>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</si>
  <si>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</si>
  <si>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</si>
  <si>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</si>
  <si>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</si>
  <si>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</si>
  <si>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</si>
  <si>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</si>
  <si>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</si>
  <si>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</si>
  <si>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</si>
  <si>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</si>
  <si>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</si>
  <si>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</si>
  <si>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</si>
  <si>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</si>
  <si>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</si>
  <si>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</si>
  <si>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</si>
  <si>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</si>
  <si>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</si>
  <si>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</si>
  <si>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</si>
  <si>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</si>
  <si>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</si>
  <si>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</si>
  <si>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</si>
  <si>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</si>
  <si>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</si>
  <si>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</si>
  <si>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</si>
  <si>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</si>
  <si>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</si>
  <si>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</si>
  <si>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</si>
  <si>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</si>
  <si>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</si>
  <si>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</si>
  <si>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</si>
  <si>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</si>
  <si>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</si>
  <si>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</si>
  <si>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</si>
  <si>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</si>
  <si>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</si>
  <si>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</si>
  <si>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</si>
  <si>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</si>
  <si>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</si>
  <si>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</si>
  <si>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</si>
  <si>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</si>
  <si>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</si>
  <si>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</si>
  <si>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</si>
  <si>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</si>
  <si>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</si>
  <si>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</si>
  <si>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</si>
  <si>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</si>
  <si>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</si>
  <si>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</si>
  <si>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</si>
  <si>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</si>
  <si>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</si>
  <si>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</si>
  <si>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</si>
  <si>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</si>
  <si>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</si>
  <si>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</si>
  <si>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</si>
  <si>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</si>
  <si>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</si>
  <si>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</si>
  <si>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</si>
  <si>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</si>
  <si>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</si>
  <si>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</si>
  <si>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</si>
  <si>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</si>
  <si>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</si>
  <si>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</si>
  <si>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</si>
  <si>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</si>
  <si>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</si>
  <si>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</si>
  <si>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</si>
  <si>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</si>
  <si>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</si>
  <si>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</si>
  <si>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</si>
  <si>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</si>
  <si>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</si>
  <si>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</si>
  <si>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</si>
  <si>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</si>
  <si>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</si>
  <si>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</si>
  <si>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</si>
  <si>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</si>
  <si>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</si>
  <si>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</si>
  <si>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</si>
  <si>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</si>
  <si>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</si>
  <si>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</si>
  <si>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</si>
  <si>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</si>
  <si>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</si>
  <si>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</si>
  <si>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</si>
  <si>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</si>
  <si>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</si>
  <si>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</si>
  <si>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</si>
  <si>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</si>
  <si>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</si>
  <si>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</si>
  <si>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</si>
  <si>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</si>
  <si>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</si>
  <si>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</si>
  <si>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</si>
  <si>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</si>
  <si>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</si>
  <si>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</si>
  <si>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</si>
  <si>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</si>
  <si>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</si>
  <si>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</si>
  <si>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</si>
  <si>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</si>
  <si>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</si>
  <si>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</si>
  <si>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</si>
  <si>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</si>
  <si>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</si>
  <si>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</si>
  <si>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</si>
  <si>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</si>
  <si>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</si>
  <si>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</si>
  <si>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</si>
  <si>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</si>
  <si>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</si>
  <si>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</si>
  <si>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</si>
  <si>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</si>
  <si>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</si>
  <si>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</si>
  <si>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</si>
  <si>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</si>
  <si>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</si>
  <si>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</si>
  <si>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</si>
  <si>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</si>
  <si>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</si>
  <si>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</si>
  <si>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</si>
  <si>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</si>
  <si>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</si>
  <si>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</si>
  <si>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</si>
  <si>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</si>
  <si>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</si>
  <si>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</si>
  <si>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</si>
  <si>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</si>
  <si>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</si>
  <si>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</si>
  <si>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</si>
  <si>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</si>
  <si>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</si>
  <si>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</si>
  <si>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</si>
  <si>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</si>
  <si>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</si>
  <si>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</si>
  <si>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</si>
  <si>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</si>
  <si>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</si>
  <si>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</si>
  <si>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</si>
  <si>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</si>
  <si>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</si>
  <si>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</si>
  <si>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</si>
  <si>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</si>
  <si>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</si>
  <si>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</si>
  <si>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</si>
  <si>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</si>
  <si>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</si>
  <si>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</si>
  <si>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</si>
  <si>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</si>
  <si>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</si>
  <si>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</si>
  <si>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</si>
  <si>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</si>
  <si>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</si>
  <si>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</si>
  <si>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</si>
  <si>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</si>
  <si>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</si>
  <si>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</si>
  <si>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</si>
  <si>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</si>
  <si>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</si>
  <si>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</si>
  <si>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</si>
  <si>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</si>
  <si>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</si>
  <si>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</si>
  <si>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</si>
  <si>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</si>
  <si>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</si>
  <si>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</si>
  <si>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</si>
  <si>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</si>
  <si>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</si>
  <si>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</si>
  <si>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</si>
  <si>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</si>
  <si>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</si>
  <si>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</si>
  <si>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</si>
  <si>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</si>
  <si>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</si>
  <si>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</si>
  <si>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</si>
  <si>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</si>
  <si>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</si>
  <si>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</si>
  <si>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</si>
  <si>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</si>
  <si>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</si>
  <si>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</si>
  <si>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</si>
  <si>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</si>
  <si>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</si>
  <si>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</si>
  <si>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</si>
  <si>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</si>
  <si>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</si>
  <si>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</si>
  <si>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</si>
  <si>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</si>
  <si>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</si>
  <si>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</si>
  <si>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</si>
  <si>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</si>
  <si>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</si>
  <si>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</si>
  <si>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</si>
  <si>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</si>
  <si>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</si>
  <si>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</si>
  <si>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</si>
  <si>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</si>
  <si>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</si>
  <si>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</si>
  <si>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districtID</t>
  </si>
  <si>
    <t>!districtAgain</t>
  </si>
  <si>
    <t>!districtID1</t>
  </si>
  <si>
    <t>!serviceAreaID</t>
  </si>
  <si>
    <t>localAreaNumber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</si>
</sst>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tabSelected="1"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7768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2013-08-23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VLOOKUP(H2,LocalAreas.csv!I:J,2,FALSE)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10436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732107</v>
      </c>
      <c r="Q2" t="str">
        <f ca="1">TEXT(TODAY()+RANDBETWEEN(-10,350),"YYYY-MM-DD")</f>
        <v>2018-02-27</v>
      </c>
      <c r="R2" t="str">
        <f ca="1">TEXT(TODAY()+RANDBETWEEN(-10,350),"YYYY-MM-DD")</f>
        <v>2017-11-08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2015-12-20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VLOOKUP(H3,LocalAreas.csv!I:J,2,FALSE)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19670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732011</v>
      </c>
      <c r="Q3" t="str">
        <f t="shared" ref="Q3:R66" ca="1" si="11">TEXT(TODAY()+RANDBETWEEN(-10,350),"YYYY-MM-DD")</f>
        <v>2017-09-24</v>
      </c>
      <c r="R3" t="str">
        <f t="shared" ca="1" si="11"/>
        <v>2017-05-18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2004-02-15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VLOOKUP(H4,LocalAreas.csv!I:J,2,FALSE)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17187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732159</v>
      </c>
      <c r="Q4" t="str">
        <f t="shared" ca="1" si="11"/>
        <v>2017-03-30</v>
      </c>
      <c r="R4" t="str">
        <f t="shared" ca="1" si="11"/>
        <v>2017-08-13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2011-08-03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VLOOKUP(H5,LocalAreas.csv!I:J,2,FALSE)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14324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732042</v>
      </c>
      <c r="Q5" t="str">
        <f t="shared" ca="1" si="11"/>
        <v>2017-10-20</v>
      </c>
      <c r="R5" t="str">
        <f t="shared" ca="1" si="11"/>
        <v>2018-02-16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2004-08-05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VLOOKUP(H6,LocalAreas.csv!I:J,2,FALSE)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13781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732071</v>
      </c>
      <c r="Q6" t="str">
        <f t="shared" ca="1" si="11"/>
        <v>2017-11-11</v>
      </c>
      <c r="R6" t="str">
        <f t="shared" ca="1" si="11"/>
        <v>2017-11-20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2014-07-09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VLOOKUP(H7,LocalAreas.csv!I:J,2,FALSE)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11380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732051</v>
      </c>
      <c r="Q7" t="str">
        <f t="shared" ca="1" si="11"/>
        <v>2017-03-23</v>
      </c>
      <c r="R7" t="str">
        <f t="shared" ca="1" si="11"/>
        <v>2017-06-06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2005-09-09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VLOOKUP(H8,LocalAreas.csv!I:J,2,FALSE)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12119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732121</v>
      </c>
      <c r="Q8" t="str">
        <f t="shared" ca="1" si="11"/>
        <v>2017-07-18</v>
      </c>
      <c r="R8" t="str">
        <f t="shared" ca="1" si="11"/>
        <v>2017-07-07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2013-08-18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VLOOKUP(H9,LocalAreas.csv!I:J,2,FALSE)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13758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732192</v>
      </c>
      <c r="Q9" t="str">
        <f t="shared" ca="1" si="11"/>
        <v>2017-12-03</v>
      </c>
      <c r="R9" t="str">
        <f t="shared" ca="1" si="11"/>
        <v>2017-12-17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2014-03-30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VLOOKUP(H10,LocalAreas.csv!I:J,2,FALSE)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10430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732129</v>
      </c>
      <c r="Q10" t="str">
        <f t="shared" ca="1" si="11"/>
        <v>2017-12-11</v>
      </c>
      <c r="R10" t="str">
        <f t="shared" ca="1" si="11"/>
        <v>2017-07-14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2015-02-27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VLOOKUP(H11,LocalAreas.csv!I:J,2,FALSE)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17189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732002</v>
      </c>
      <c r="Q11" t="str">
        <f t="shared" ca="1" si="11"/>
        <v>2017-04-17</v>
      </c>
      <c r="R11" t="str">
        <f t="shared" ca="1" si="11"/>
        <v>2017-07-29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2004-07-14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VLOOKUP(H12,LocalAreas.csv!I:J,2,FALSE)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17730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732059</v>
      </c>
      <c r="Q12" t="str">
        <f t="shared" ca="1" si="11"/>
        <v>2017-05-27</v>
      </c>
      <c r="R12" t="str">
        <f t="shared" ca="1" si="11"/>
        <v>2017-06-17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2003-08-18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VLOOKUP(H13,LocalAreas.csv!I:J,2,FALSE)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10520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732136</v>
      </c>
      <c r="Q13" t="str">
        <f t="shared" ca="1" si="11"/>
        <v>2017-06-25</v>
      </c>
      <c r="R13" t="str">
        <f ca="1">TEXT(TODAY()+RANDBETWEEN(-10,350),"YYYY-MM-DD")</f>
        <v>2017-05-21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2016-12-10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2011-08-23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VLOOKUP(H14,LocalAreas.csv!I:J,2,FALSE)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13747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732013</v>
      </c>
      <c r="Q14" t="str">
        <f t="shared" ca="1" si="11"/>
        <v>2017-12-02</v>
      </c>
      <c r="R14" t="str">
        <f t="shared" ca="1" si="11"/>
        <v>2017-09-09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2016-02-09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VLOOKUP(H15,LocalAreas.csv!I:J,2,FALSE)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19046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732051</v>
      </c>
      <c r="Q15" t="str">
        <f t="shared" ca="1" si="11"/>
        <v>2017-03-19</v>
      </c>
      <c r="R15" t="str">
        <f t="shared" ca="1" si="11"/>
        <v>2017-06-03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2010-07-01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VLOOKUP(H16,LocalAreas.csv!I:J,2,FALSE)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16165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732074</v>
      </c>
      <c r="Q16" t="str">
        <f t="shared" ca="1" si="11"/>
        <v>2017-07-28</v>
      </c>
      <c r="R16" t="str">
        <f t="shared" ca="1" si="11"/>
        <v>2017-09-10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2010-02-27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VLOOKUP(H17,LocalAreas.csv!I:J,2,FALSE)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18879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732078</v>
      </c>
      <c r="Q17" t="str">
        <f t="shared" ca="1" si="11"/>
        <v>2017-11-19</v>
      </c>
      <c r="R17" t="str">
        <f t="shared" ca="1" si="11"/>
        <v>2017-11-16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2014-09-27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VLOOKUP(H18,LocalAreas.csv!I:J,2,FALSE)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10602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732040</v>
      </c>
      <c r="Q18" t="str">
        <f t="shared" ca="1" si="11"/>
        <v>2017-05-12</v>
      </c>
      <c r="R18" t="str">
        <f t="shared" ca="1" si="11"/>
        <v>2017-04-22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2003-11-08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VLOOKUP(H19,LocalAreas.csv!I:J,2,FALSE)</f>
        <v>Smithers/Telkwa</v>
      </c>
      <c r="J19" t="str">
        <f t="shared" si="1"/>
        <v>rg:{'id':'200000'}</v>
      </c>
      <c r="K19" t="s">
        <v>7616</v>
      </c>
      <c r="M19">
        <f t="shared" ca="1" si="7"/>
        <v>13912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732078</v>
      </c>
      <c r="Q19" t="str">
        <f t="shared" ca="1" si="11"/>
        <v>2017-08-27</v>
      </c>
      <c r="R19" t="str">
        <f t="shared" ca="1" si="11"/>
        <v>2018-03-01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2013-10-23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VLOOKUP(H20,LocalAreas.csv!I:J,2,FALSE)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17687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732178</v>
      </c>
      <c r="Q20" t="str">
        <f t="shared" ca="1" si="11"/>
        <v>2017-08-20</v>
      </c>
      <c r="R20" t="str">
        <f t="shared" ca="1" si="11"/>
        <v>2017-12-22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2013-05-02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VLOOKUP(H21,LocalAreas.csv!I:J,2,FALSE)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16017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732018</v>
      </c>
      <c r="Q21" t="str">
        <f t="shared" ca="1" si="11"/>
        <v>2017-09-02</v>
      </c>
      <c r="R21" t="str">
        <f t="shared" ca="1" si="11"/>
        <v>2017-12-11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2015-08-13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VLOOKUP(H22,LocalAreas.csv!I:J,2,FALSE)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10558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732056</v>
      </c>
      <c r="Q22" t="str">
        <f t="shared" ca="1" si="11"/>
        <v>2018-02-15</v>
      </c>
      <c r="R22" t="str">
        <f t="shared" ca="1" si="11"/>
        <v>2018-01-18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2005-05-30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VLOOKUP(H23,LocalAreas.csv!I:J,2,FALSE)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19341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732154</v>
      </c>
      <c r="Q23" t="str">
        <f t="shared" ca="1" si="11"/>
        <v>2017-07-13</v>
      </c>
      <c r="R23" t="str">
        <f t="shared" ca="1" si="11"/>
        <v>2017-04-09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2005-05-06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VLOOKUP(H24,LocalAreas.csv!I:J,2,FALSE)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13078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732089</v>
      </c>
      <c r="Q24" t="str">
        <f t="shared" ca="1" si="11"/>
        <v>2017-04-24</v>
      </c>
      <c r="R24" t="str">
        <f t="shared" ca="1" si="11"/>
        <v>2017-12-02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2005-12-13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VLOOKUP(H25,LocalAreas.csv!I:J,2,FALSE)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10724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732033</v>
      </c>
      <c r="Q25" t="str">
        <f t="shared" ca="1" si="11"/>
        <v>2017-03-23</v>
      </c>
      <c r="R25" t="str">
        <f t="shared" ca="1" si="11"/>
        <v>2017-09-25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2016-03-23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VLOOKUP(H26,LocalAreas.csv!I:J,2,FALSE)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17696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732059</v>
      </c>
      <c r="Q26" t="str">
        <f t="shared" ca="1" si="11"/>
        <v>2018-01-25</v>
      </c>
      <c r="R26" t="str">
        <f t="shared" ca="1" si="11"/>
        <v>2017-06-21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2015-04-05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VLOOKUP(H27,LocalAreas.csv!I:J,2,FALSE)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13173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732028</v>
      </c>
      <c r="Q27" t="str">
        <f t="shared" ca="1" si="11"/>
        <v>2017-11-20</v>
      </c>
      <c r="R27" t="str">
        <f t="shared" ca="1" si="11"/>
        <v>2017-09-21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2016-07-13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VLOOKUP(H28,LocalAreas.csv!I:J,2,FALSE)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16353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732024</v>
      </c>
      <c r="Q28" t="str">
        <f t="shared" ca="1" si="11"/>
        <v>2018-01-30</v>
      </c>
      <c r="R28" t="str">
        <f t="shared" ca="1" si="11"/>
        <v>2018-03-07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2015-12-28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VLOOKUP(H29,LocalAreas.csv!I:J,2,FALSE)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11830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732010</v>
      </c>
      <c r="Q29" t="str">
        <f t="shared" ca="1" si="11"/>
        <v>2017-08-25</v>
      </c>
      <c r="R29" t="str">
        <f t="shared" ca="1" si="11"/>
        <v>2017-05-07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2005-05-08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VLOOKUP(H30,LocalAreas.csv!I:J,2,FALSE)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19682</v>
      </c>
      <c r="N30" t="str">
        <f t="shared" ca="1" si="8"/>
        <v>rg:True</v>
      </c>
      <c r="O30" t="str">
        <f t="shared" ca="1" si="9"/>
        <v>rg:True</v>
      </c>
      <c r="P30">
        <f t="shared" ca="1" si="10"/>
        <v>732000</v>
      </c>
      <c r="Q30" t="str">
        <f t="shared" ca="1" si="11"/>
        <v>2017-10-19</v>
      </c>
      <c r="R30" t="str">
        <f t="shared" ca="1" si="11"/>
        <v>2017-10-12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2010-10-04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VLOOKUP(H31,LocalAreas.csv!I:J,2,FALSE)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12182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732001</v>
      </c>
      <c r="Q31" t="str">
        <f t="shared" ca="1" si="11"/>
        <v>2018-02-01</v>
      </c>
      <c r="R31" t="str">
        <f t="shared" ca="1" si="11"/>
        <v>2017-03-20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2014-03-10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VLOOKUP(H32,LocalAreas.csv!I:J,2,FALSE)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19957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732090</v>
      </c>
      <c r="Q32" t="str">
        <f t="shared" ca="1" si="11"/>
        <v>2017-06-24</v>
      </c>
      <c r="R32" t="str">
        <f t="shared" ca="1" si="11"/>
        <v>2017-05-21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2006-11-22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VLOOKUP(H33,LocalAreas.csv!I:J,2,FALSE)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10925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732163</v>
      </c>
      <c r="Q33" t="str">
        <f t="shared" ca="1" si="11"/>
        <v>2017-11-01</v>
      </c>
      <c r="R33" t="str">
        <f t="shared" ca="1" si="11"/>
        <v>2017-05-15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2013-02-26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VLOOKUP(H34,LocalAreas.csv!I:J,2,FALSE)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17871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732173</v>
      </c>
      <c r="Q34" t="str">
        <f t="shared" ca="1" si="11"/>
        <v>2017-08-31</v>
      </c>
      <c r="R34" t="str">
        <f t="shared" ca="1" si="11"/>
        <v>2018-02-27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2003-09-18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VLOOKUP(H35,LocalAreas.csv!I:J,2,FALSE)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13958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732040</v>
      </c>
      <c r="Q35" t="str">
        <f t="shared" ca="1" si="11"/>
        <v>2017-08-18</v>
      </c>
      <c r="R35" t="str">
        <f t="shared" ca="1" si="11"/>
        <v>2018-02-20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2012-05-28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VLOOKUP(H36,LocalAreas.csv!I:J,2,FALSE)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19738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732103</v>
      </c>
      <c r="Q36" t="str">
        <f t="shared" ca="1" si="11"/>
        <v>2018-01-10</v>
      </c>
      <c r="R36" t="str">
        <f t="shared" ca="1" si="11"/>
        <v>2017-08-22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2003-11-17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VLOOKUP(H37,LocalAreas.csv!I:J,2,FALSE)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19245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732122</v>
      </c>
      <c r="Q37" t="str">
        <f t="shared" ca="1" si="11"/>
        <v>2017-12-20</v>
      </c>
      <c r="R37" t="str">
        <f t="shared" ca="1" si="11"/>
        <v>2018-03-04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2006-07-10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VLOOKUP(H38,LocalAreas.csv!I:J,2,FALSE)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12769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732158</v>
      </c>
      <c r="Q38" t="str">
        <f t="shared" ca="1" si="11"/>
        <v>2018-03-08</v>
      </c>
      <c r="R38" t="str">
        <f t="shared" ca="1" si="11"/>
        <v>2017-04-29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2008-09-17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VLOOKUP(H39,LocalAreas.csv!I:J,2,FALSE)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16842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732088</v>
      </c>
      <c r="Q39" t="str">
        <f t="shared" ca="1" si="11"/>
        <v>2017-10-30</v>
      </c>
      <c r="R39" t="str">
        <f t="shared" ca="1" si="11"/>
        <v>2017-03-19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2008-10-11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VLOOKUP(H40,LocalAreas.csv!I:J,2,FALSE)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18044</v>
      </c>
      <c r="N40" t="str">
        <f t="shared" ca="1" si="8"/>
        <v>rg:True</v>
      </c>
      <c r="O40" t="str">
        <f t="shared" ca="1" si="9"/>
        <v>rg:True</v>
      </c>
      <c r="P40">
        <f t="shared" ca="1" si="10"/>
        <v>732110</v>
      </c>
      <c r="Q40" t="str">
        <f t="shared" ca="1" si="11"/>
        <v>2017-08-29</v>
      </c>
      <c r="R40" t="str">
        <f t="shared" ca="1" si="11"/>
        <v>2017-04-04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2011-02-22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VLOOKUP(H41,LocalAreas.csv!I:J,2,FALSE)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18760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732153</v>
      </c>
      <c r="Q41" t="str">
        <f t="shared" ca="1" si="11"/>
        <v>2017-09-27</v>
      </c>
      <c r="R41" t="str">
        <f t="shared" ca="1" si="11"/>
        <v>2018-01-08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2006-01-02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VLOOKUP(H42,LocalAreas.csv!I:J,2,FALSE)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19451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732175</v>
      </c>
      <c r="Q42" t="str">
        <f t="shared" ca="1" si="11"/>
        <v>2017-08-31</v>
      </c>
      <c r="R42" t="str">
        <f t="shared" ca="1" si="11"/>
        <v>2017-11-02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2014-05-10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VLOOKUP(H43,LocalAreas.csv!I:J,2,FALSE)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14895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732161</v>
      </c>
      <c r="Q43" t="str">
        <f t="shared" ca="1" si="11"/>
        <v>2017-09-08</v>
      </c>
      <c r="R43" t="str">
        <f t="shared" ca="1" si="11"/>
        <v>2017-09-25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2013-07-01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VLOOKUP(H44,LocalAreas.csv!I:J,2,FALSE)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16312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732100</v>
      </c>
      <c r="Q44" t="str">
        <f t="shared" ca="1" si="11"/>
        <v>2017-06-09</v>
      </c>
      <c r="R44" t="str">
        <f t="shared" ca="1" si="11"/>
        <v>2017-06-26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2003-09-09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VLOOKUP(H45,LocalAreas.csv!I:J,2,FALSE)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18735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732134</v>
      </c>
      <c r="Q45" t="str">
        <f t="shared" ca="1" si="11"/>
        <v>2017-09-09</v>
      </c>
      <c r="R45" t="str">
        <f t="shared" ca="1" si="11"/>
        <v>2018-01-07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2014-03-04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VLOOKUP(H46,LocalAreas.csv!I:J,2,FALSE)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10326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732104</v>
      </c>
      <c r="Q46" t="str">
        <f t="shared" ca="1" si="11"/>
        <v>2017-03-22</v>
      </c>
      <c r="R46" t="str">
        <f t="shared" ca="1" si="11"/>
        <v>2017-06-19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2011-08-12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VLOOKUP(H47,LocalAreas.csv!I:J,2,FALSE)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19564</v>
      </c>
      <c r="N47" t="str">
        <f t="shared" ca="1" si="8"/>
        <v>rg:True</v>
      </c>
      <c r="O47" t="str">
        <f t="shared" ca="1" si="9"/>
        <v>rg:True</v>
      </c>
      <c r="P47">
        <f t="shared" ca="1" si="10"/>
        <v>732058</v>
      </c>
      <c r="Q47" t="str">
        <f t="shared" ca="1" si="11"/>
        <v>2017-06-01</v>
      </c>
      <c r="R47" t="str">
        <f t="shared" ca="1" si="11"/>
        <v>2017-06-03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2004-07-24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VLOOKUP(H48,LocalAreas.csv!I:J,2,FALSE)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16120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732098</v>
      </c>
      <c r="Q48" t="str">
        <f t="shared" ca="1" si="11"/>
        <v>2018-01-27</v>
      </c>
      <c r="R48" t="str">
        <f t="shared" ca="1" si="11"/>
        <v>2017-10-17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2009-06-12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VLOOKUP(H49,LocalAreas.csv!I:J,2,FALSE)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16321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732141</v>
      </c>
      <c r="Q49" t="str">
        <f t="shared" ca="1" si="11"/>
        <v>2018-02-07</v>
      </c>
      <c r="R49" t="str">
        <f t="shared" ca="1" si="11"/>
        <v>2017-05-07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2012-10-05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VLOOKUP(H50,LocalAreas.csv!I:J,2,FALSE)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12290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732016</v>
      </c>
      <c r="Q50" t="str">
        <f t="shared" ca="1" si="11"/>
        <v>2017-03-30</v>
      </c>
      <c r="R50" t="str">
        <f t="shared" ca="1" si="11"/>
        <v>2017-04-23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2004-08-26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VLOOKUP(H51,LocalAreas.csv!I:J,2,FALSE)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11686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732028</v>
      </c>
      <c r="Q51" t="str">
        <f t="shared" ca="1" si="11"/>
        <v>2017-06-06</v>
      </c>
      <c r="R51" t="str">
        <f t="shared" ca="1" si="11"/>
        <v>2018-02-11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2010-08-02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VLOOKUP(H52,LocalAreas.csv!I:J,2,FALSE)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18706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732104</v>
      </c>
      <c r="Q52" t="str">
        <f t="shared" ca="1" si="11"/>
        <v>2017-04-25</v>
      </c>
      <c r="R52" t="str">
        <f t="shared" ca="1" si="11"/>
        <v>2017-09-23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2009-10-21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VLOOKUP(H53,LocalAreas.csv!I:J,2,FALSE)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16760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732137</v>
      </c>
      <c r="Q53" t="str">
        <f t="shared" ca="1" si="11"/>
        <v>2017-06-05</v>
      </c>
      <c r="R53" t="str">
        <f t="shared" ca="1" si="11"/>
        <v>2017-12-29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2012-03-26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VLOOKUP(H54,LocalAreas.csv!I:J,2,FALSE)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18948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732100</v>
      </c>
      <c r="Q54" t="str">
        <f t="shared" ca="1" si="11"/>
        <v>2018-02-23</v>
      </c>
      <c r="R54" t="str">
        <f t="shared" ca="1" si="11"/>
        <v>2017-09-09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2012-04-30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VLOOKUP(H55,LocalAreas.csv!I:J,2,FALSE)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10936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732134</v>
      </c>
      <c r="Q55" t="str">
        <f t="shared" ca="1" si="11"/>
        <v>2017-07-08</v>
      </c>
      <c r="R55" t="str">
        <f t="shared" ca="1" si="11"/>
        <v>2017-05-27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2016-02-17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VLOOKUP(H56,LocalAreas.csv!I:J,2,FALSE)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19874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732161</v>
      </c>
      <c r="Q56" t="str">
        <f t="shared" ca="1" si="11"/>
        <v>2017-11-07</v>
      </c>
      <c r="R56" t="str">
        <f t="shared" ca="1" si="11"/>
        <v>2017-10-29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2014-09-20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VLOOKUP(H57,LocalAreas.csv!I:J,2,FALSE)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17213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732025</v>
      </c>
      <c r="Q57" t="str">
        <f t="shared" ca="1" si="11"/>
        <v>2017-07-29</v>
      </c>
      <c r="R57" t="str">
        <f t="shared" ca="1" si="11"/>
        <v>2017-05-19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2012-08-05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VLOOKUP(H58,LocalAreas.csv!I:J,2,FALSE)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13884</v>
      </c>
      <c r="N58" t="str">
        <f t="shared" ca="1" si="8"/>
        <v>rg:True</v>
      </c>
      <c r="O58" t="str">
        <f t="shared" ca="1" si="9"/>
        <v>rg:True</v>
      </c>
      <c r="P58">
        <f t="shared" ca="1" si="10"/>
        <v>732134</v>
      </c>
      <c r="Q58" t="str">
        <f t="shared" ca="1" si="11"/>
        <v>2017-05-25</v>
      </c>
      <c r="R58" t="str">
        <f t="shared" ca="1" si="11"/>
        <v>2017-11-27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2015-09-09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VLOOKUP(H59,LocalAreas.csv!I:J,2,FALSE)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19162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732104</v>
      </c>
      <c r="Q59" t="str">
        <f t="shared" ca="1" si="11"/>
        <v>2018-02-19</v>
      </c>
      <c r="R59" t="str">
        <f t="shared" ca="1" si="11"/>
        <v>2017-11-15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2003-11-23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VLOOKUP(H60,LocalAreas.csv!I:J,2,FALSE)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10497</v>
      </c>
      <c r="N60" t="str">
        <f t="shared" ca="1" si="8"/>
        <v>rg:True</v>
      </c>
      <c r="O60" t="str">
        <f t="shared" ca="1" si="9"/>
        <v>rg:True</v>
      </c>
      <c r="P60">
        <f t="shared" ca="1" si="10"/>
        <v>732035</v>
      </c>
      <c r="Q60" t="str">
        <f t="shared" ca="1" si="11"/>
        <v>2017-08-06</v>
      </c>
      <c r="R60" t="str">
        <f t="shared" ca="1" si="11"/>
        <v>2017-04-20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2006-11-15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VLOOKUP(H61,LocalAreas.csv!I:J,2,FALSE)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11981</v>
      </c>
      <c r="N61" t="str">
        <f t="shared" ca="1" si="8"/>
        <v>rg:True</v>
      </c>
      <c r="O61" t="str">
        <f t="shared" ca="1" si="9"/>
        <v>rg:True</v>
      </c>
      <c r="P61">
        <f t="shared" ca="1" si="10"/>
        <v>732002</v>
      </c>
      <c r="Q61" t="str">
        <f t="shared" ca="1" si="11"/>
        <v>2017-09-22</v>
      </c>
      <c r="R61" t="str">
        <f t="shared" ca="1" si="11"/>
        <v>2017-10-16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2007-12-06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VLOOKUP(H62,LocalAreas.csv!I:J,2,FALSE)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16043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732062</v>
      </c>
      <c r="Q62" t="str">
        <f t="shared" ca="1" si="11"/>
        <v>2018-01-22</v>
      </c>
      <c r="R62" t="str">
        <f t="shared" ca="1" si="11"/>
        <v>2018-01-14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2010-07-27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VLOOKUP(H63,LocalAreas.csv!I:J,2,FALSE)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16048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732014</v>
      </c>
      <c r="Q63" t="str">
        <f t="shared" ca="1" si="11"/>
        <v>2017-12-20</v>
      </c>
      <c r="R63" t="str">
        <f t="shared" ca="1" si="11"/>
        <v>2017-12-17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2014-03-18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VLOOKUP(H64,LocalAreas.csv!I:J,2,FALSE)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17727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732079</v>
      </c>
      <c r="Q64" t="str">
        <f t="shared" ca="1" si="11"/>
        <v>2018-03-03</v>
      </c>
      <c r="R64" t="str">
        <f t="shared" ca="1" si="11"/>
        <v>2018-02-02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2007-04-01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VLOOKUP(H65,LocalAreas.csv!I:J,2,FALSE)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15054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732199</v>
      </c>
      <c r="Q65" t="str">
        <f t="shared" ca="1" si="11"/>
        <v>2017-07-20</v>
      </c>
      <c r="R65" t="str">
        <f t="shared" ca="1" si="11"/>
        <v>2017-07-16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2016-09-05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2014-07-04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VLOOKUP(H66,LocalAreas.csv!I:J,2,FALSE)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11196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732072</v>
      </c>
      <c r="Q66" t="str">
        <f t="shared" ca="1" si="11"/>
        <v>2017-08-23</v>
      </c>
      <c r="R66" t="str">
        <f t="shared" ca="1" si="11"/>
        <v>2017-03-24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2005-03-17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VLOOKUP(H67,LocalAreas.csv!I:J,2,FALSE)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11589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732016</v>
      </c>
      <c r="Q67" t="str">
        <f t="shared" ref="Q67:R109" ca="1" si="25">TEXT(TODAY()+RANDBETWEEN(-10,350),"YYYY-MM-DD")</f>
        <v>2017-08-31</v>
      </c>
      <c r="R67" t="str">
        <f t="shared" ca="1" si="25"/>
        <v>2017-05-19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2008-12-10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VLOOKUP(H68,LocalAreas.csv!I:J,2,FALSE)</f>
        <v>Cariboo</v>
      </c>
      <c r="J68" t="str">
        <f t="shared" si="15"/>
        <v>rg:{'id':'200003'}</v>
      </c>
      <c r="K68" t="s">
        <v>7615</v>
      </c>
      <c r="M68">
        <f t="shared" ca="1" si="21"/>
        <v>19142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732016</v>
      </c>
      <c r="Q68" t="str">
        <f t="shared" ca="1" si="25"/>
        <v>2017-07-29</v>
      </c>
      <c r="R68" t="str">
        <f t="shared" ca="1" si="25"/>
        <v>2017-07-12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2009-08-31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VLOOKUP(H69,LocalAreas.csv!I:J,2,FALSE)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19337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732016</v>
      </c>
      <c r="Q69" t="str">
        <f t="shared" ca="1" si="25"/>
        <v>2017-10-10</v>
      </c>
      <c r="R69" t="str">
        <f t="shared" ca="1" si="25"/>
        <v>2018-03-09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2008-12-07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VLOOKUP(H70,LocalAreas.csv!I:J,2,FALSE)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11185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732014</v>
      </c>
      <c r="Q70" t="str">
        <f t="shared" ca="1" si="25"/>
        <v>2017-12-17</v>
      </c>
      <c r="R70" t="str">
        <f t="shared" ca="1" si="25"/>
        <v>2018-03-13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2009-06-02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VLOOKUP(H71,LocalAreas.csv!I:J,2,FALSE)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14682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732118</v>
      </c>
      <c r="Q71" t="str">
        <f t="shared" ca="1" si="25"/>
        <v>2017-09-03</v>
      </c>
      <c r="R71" t="str">
        <f t="shared" ca="1" si="25"/>
        <v>2017-12-10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2004-08-08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VLOOKUP(H72,LocalAreas.csv!I:J,2,FALSE)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10297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732020</v>
      </c>
      <c r="Q72" t="str">
        <f t="shared" ca="1" si="25"/>
        <v>2018-01-08</v>
      </c>
      <c r="R72" t="str">
        <f t="shared" ca="1" si="25"/>
        <v>2017-11-28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2005-05-01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VLOOKUP(H73,LocalAreas.csv!I:J,2,FALSE)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10738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732059</v>
      </c>
      <c r="Q73" t="str">
        <f t="shared" ca="1" si="25"/>
        <v>2017-05-22</v>
      </c>
      <c r="R73" t="str">
        <f t="shared" ca="1" si="25"/>
        <v>2017-08-16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2012-06-03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VLOOKUP(H74,LocalAreas.csv!I:J,2,FALSE)</f>
        <v>Cariboo</v>
      </c>
      <c r="J74" t="str">
        <f t="shared" si="15"/>
        <v>rg:{'id':'200003'}</v>
      </c>
      <c r="K74" t="s">
        <v>7614</v>
      </c>
      <c r="M74">
        <f t="shared" ca="1" si="21"/>
        <v>18294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732128</v>
      </c>
      <c r="Q74" t="str">
        <f t="shared" ca="1" si="25"/>
        <v>2018-02-20</v>
      </c>
      <c r="R74" t="str">
        <f t="shared" ca="1" si="25"/>
        <v>2017-10-23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2009-08-22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VLOOKUP(H75,LocalAreas.csv!I:J,2,FALSE)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12947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732116</v>
      </c>
      <c r="Q75" t="str">
        <f t="shared" ca="1" si="25"/>
        <v>2017-09-02</v>
      </c>
      <c r="R75" t="str">
        <f t="shared" ca="1" si="25"/>
        <v>2018-03-13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2016-08-13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VLOOKUP(H76,LocalAreas.csv!I:J,2,FALSE)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14505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732101</v>
      </c>
      <c r="Q76" t="str">
        <f t="shared" ca="1" si="25"/>
        <v>2017-09-08</v>
      </c>
      <c r="R76" t="str">
        <f t="shared" ca="1" si="25"/>
        <v>2017-12-21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2016-08-03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2004-12-11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VLOOKUP(H77,LocalAreas.csv!I:J,2,FALSE)</f>
        <v>Cariboo</v>
      </c>
      <c r="J77" t="str">
        <f t="shared" si="15"/>
        <v>rg:{'id':'200003'}</v>
      </c>
      <c r="K77" t="s">
        <v>7613</v>
      </c>
      <c r="M77">
        <f t="shared" ca="1" si="21"/>
        <v>19246</v>
      </c>
      <c r="N77" t="str">
        <f t="shared" ca="1" si="22"/>
        <v>rg:True</v>
      </c>
      <c r="O77" t="str">
        <f t="shared" ca="1" si="23"/>
        <v>rg:True</v>
      </c>
      <c r="P77">
        <f t="shared" ca="1" si="24"/>
        <v>732151</v>
      </c>
      <c r="Q77" t="str">
        <f t="shared" ca="1" si="25"/>
        <v>2017-06-05</v>
      </c>
      <c r="R77" t="str">
        <f t="shared" ca="1" si="25"/>
        <v>2017-11-09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2008-11-11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VLOOKUP(H78,LocalAreas.csv!I:J,2,FALSE)</f>
        <v>Cariboo</v>
      </c>
      <c r="J78" t="str">
        <f t="shared" si="15"/>
        <v>rg:{'id':'200003'}</v>
      </c>
      <c r="K78" t="s">
        <v>7612</v>
      </c>
      <c r="M78">
        <f t="shared" ca="1" si="21"/>
        <v>12703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732093</v>
      </c>
      <c r="Q78" t="str">
        <f t="shared" ca="1" si="25"/>
        <v>2018-03-08</v>
      </c>
      <c r="R78" t="str">
        <f t="shared" ca="1" si="25"/>
        <v>2018-03-05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2010-02-06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VLOOKUP(H79,LocalAreas.csv!I:J,2,FALSE)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19389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732007</v>
      </c>
      <c r="Q79" t="str">
        <f t="shared" ca="1" si="25"/>
        <v>2017-04-03</v>
      </c>
      <c r="R79" t="str">
        <f t="shared" ca="1" si="25"/>
        <v>2017-06-06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2004-05-04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VLOOKUP(H80,LocalAreas.csv!I:J,2,FALSE)</f>
        <v>Chilcotin</v>
      </c>
      <c r="J80" t="str">
        <f t="shared" si="15"/>
        <v>rg:{'id':'200004'}</v>
      </c>
      <c r="K80" t="s">
        <v>7611</v>
      </c>
      <c r="M80">
        <f t="shared" ca="1" si="21"/>
        <v>11499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732200</v>
      </c>
      <c r="Q80" t="str">
        <f t="shared" ca="1" si="25"/>
        <v>2017-05-30</v>
      </c>
      <c r="R80" t="str">
        <f t="shared" ca="1" si="25"/>
        <v>2017-05-02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2015-12-23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VLOOKUP(H81,LocalAreas.csv!I:J,2,FALSE)</f>
        <v>Chilcotin</v>
      </c>
      <c r="J81" t="str">
        <f t="shared" si="15"/>
        <v>rg:{'id':'200004'}</v>
      </c>
      <c r="K81" t="s">
        <v>7610</v>
      </c>
      <c r="L81" t="s">
        <v>6662</v>
      </c>
      <c r="M81">
        <f t="shared" ca="1" si="21"/>
        <v>15535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732109</v>
      </c>
      <c r="Q81" t="str">
        <f t="shared" ca="1" si="25"/>
        <v>2017-12-30</v>
      </c>
      <c r="R81" t="str">
        <f t="shared" ca="1" si="25"/>
        <v>2017-04-13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2006-07-25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VLOOKUP(H82,LocalAreas.csv!I:J,2,FALSE)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19362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732072</v>
      </c>
      <c r="Q82" t="str">
        <f t="shared" ca="1" si="25"/>
        <v>2017-09-09</v>
      </c>
      <c r="R82" t="str">
        <f t="shared" ca="1" si="25"/>
        <v>2018-02-13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2016-06-04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VLOOKUP(H83,LocalAreas.csv!I:J,2,FALSE)</f>
        <v>Chilcotin</v>
      </c>
      <c r="J83" t="str">
        <f t="shared" si="15"/>
        <v>rg:{'id':'200004'}</v>
      </c>
      <c r="K83" t="s">
        <v>7609</v>
      </c>
      <c r="M83">
        <f t="shared" ca="1" si="21"/>
        <v>16701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732165</v>
      </c>
      <c r="Q83" t="str">
        <f t="shared" ca="1" si="25"/>
        <v>2017-06-23</v>
      </c>
      <c r="R83" t="str">
        <f t="shared" ca="1" si="25"/>
        <v>2017-09-06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2010-12-14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VLOOKUP(H84,LocalAreas.csv!I:J,2,FALSE)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17298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732032</v>
      </c>
      <c r="Q84" t="str">
        <f t="shared" ca="1" si="25"/>
        <v>2017-11-03</v>
      </c>
      <c r="R84" t="str">
        <f t="shared" ca="1" si="25"/>
        <v>2017-07-01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2011-03-23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VLOOKUP(H85,LocalAreas.csv!I:J,2,FALSE)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17725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732015</v>
      </c>
      <c r="Q85" t="str">
        <f t="shared" ca="1" si="25"/>
        <v>2017-04-16</v>
      </c>
      <c r="R85" t="str">
        <f t="shared" ca="1" si="25"/>
        <v>2017-06-29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2016-06-25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2008-11-10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VLOOKUP(H86,LocalAreas.csv!I:J,2,FALSE)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10894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732059</v>
      </c>
      <c r="Q86" t="str">
        <f t="shared" ca="1" si="25"/>
        <v>2017-09-28</v>
      </c>
      <c r="R86" t="str">
        <f t="shared" ca="1" si="25"/>
        <v>2017-04-20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2016-07-02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VLOOKUP(H87,LocalAreas.csv!I:J,2,FALSE)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17802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732140</v>
      </c>
      <c r="Q87" t="str">
        <f t="shared" ca="1" si="25"/>
        <v>2017-07-13</v>
      </c>
      <c r="R87" t="str">
        <f t="shared" ca="1" si="25"/>
        <v>2017-08-08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2016-05-24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2016-02-23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VLOOKUP(H88,LocalAreas.csv!I:J,2,FALSE)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16316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732105</v>
      </c>
      <c r="Q88" t="str">
        <f t="shared" ca="1" si="25"/>
        <v>2017-03-29</v>
      </c>
      <c r="R88" t="str">
        <f t="shared" ca="1" si="25"/>
        <v>2017-07-25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2011-06-02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VLOOKUP(H89,LocalAreas.csv!I:J,2,FALSE)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10916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732135</v>
      </c>
      <c r="Q89" t="str">
        <f t="shared" ca="1" si="25"/>
        <v>2017-10-01</v>
      </c>
      <c r="R89" t="str">
        <f t="shared" ca="1" si="25"/>
        <v>2017-04-24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2012-12-13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VLOOKUP(H90,LocalAreas.csv!I:J,2,FALSE)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14513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732060</v>
      </c>
      <c r="Q90" t="str">
        <f t="shared" ca="1" si="25"/>
        <v>2017-11-12</v>
      </c>
      <c r="R90" t="str">
        <f t="shared" ca="1" si="25"/>
        <v>2018-03-01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2016-08-24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VLOOKUP(H91,LocalAreas.csv!I:J,2,FALSE)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12799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732023</v>
      </c>
      <c r="Q91" t="str">
        <f t="shared" ca="1" si="25"/>
        <v>2017-06-01</v>
      </c>
      <c r="R91" t="str">
        <f t="shared" ca="1" si="25"/>
        <v>2018-02-09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2011-04-21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VLOOKUP(H92,LocalAreas.csv!I:J,2,FALSE)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11026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732109</v>
      </c>
      <c r="Q92" t="str">
        <f t="shared" ca="1" si="25"/>
        <v>2017-10-30</v>
      </c>
      <c r="R92" t="str">
        <f t="shared" ca="1" si="25"/>
        <v>2018-01-26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2014-07-14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VLOOKUP(H93,LocalAreas.csv!I:J,2,FALSE)</f>
        <v>Chilcotin</v>
      </c>
      <c r="J93" t="str">
        <f t="shared" si="15"/>
        <v>rg:{'id':'200004'}</v>
      </c>
      <c r="K93" t="s">
        <v>7608</v>
      </c>
      <c r="M93">
        <f t="shared" ca="1" si="21"/>
        <v>11577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732116</v>
      </c>
      <c r="Q93" t="str">
        <f t="shared" ca="1" si="25"/>
        <v>2018-03-04</v>
      </c>
      <c r="R93" t="str">
        <f t="shared" ca="1" si="25"/>
        <v>2017-06-23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2014-11-03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VLOOKUP(H94,LocalAreas.csv!I:J,2,FALSE)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13000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732132</v>
      </c>
      <c r="Q94" t="str">
        <f t="shared" ca="1" si="25"/>
        <v>2017-10-29</v>
      </c>
      <c r="R94" t="str">
        <f t="shared" ca="1" si="25"/>
        <v>2017-10-24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2008-07-14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VLOOKUP(H95,LocalAreas.csv!I:J,2,FALSE)</f>
        <v>Chilcotin</v>
      </c>
      <c r="J95" t="str">
        <f t="shared" si="15"/>
        <v>rg:{'id':'200004'}</v>
      </c>
      <c r="K95" t="s">
        <v>7607</v>
      </c>
      <c r="M95">
        <f t="shared" ca="1" si="21"/>
        <v>10536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732159</v>
      </c>
      <c r="Q95" t="str">
        <f t="shared" ca="1" si="25"/>
        <v>2017-09-04</v>
      </c>
      <c r="R95" t="str">
        <f t="shared" ca="1" si="25"/>
        <v>2017-09-26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2006-02-10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VLOOKUP(H96,LocalAreas.csv!I:J,2,FALSE)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14684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732031</v>
      </c>
      <c r="Q96" t="str">
        <f t="shared" ca="1" si="25"/>
        <v>2017-11-21</v>
      </c>
      <c r="R96" t="str">
        <f t="shared" ca="1" si="25"/>
        <v>2018-01-13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2010-06-03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VLOOKUP(H97,LocalAreas.csv!I:J,2,FALSE)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14761</v>
      </c>
      <c r="N97" t="str">
        <f t="shared" ca="1" si="22"/>
        <v>rg:True</v>
      </c>
      <c r="O97" t="str">
        <f t="shared" ca="1" si="23"/>
        <v>rg:True</v>
      </c>
      <c r="P97">
        <f t="shared" ca="1" si="24"/>
        <v>732178</v>
      </c>
      <c r="Q97" t="str">
        <f t="shared" ca="1" si="25"/>
        <v>2017-12-09</v>
      </c>
      <c r="R97" t="str">
        <f t="shared" ca="1" si="25"/>
        <v>2017-12-01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2009-07-29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VLOOKUP(H98,LocalAreas.csv!I:J,2,FALSE)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15177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732097</v>
      </c>
      <c r="Q98" t="str">
        <f t="shared" ca="1" si="25"/>
        <v>2017-09-25</v>
      </c>
      <c r="R98" t="str">
        <f t="shared" ca="1" si="25"/>
        <v>2017-07-17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2006-09-02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VLOOKUP(H99,LocalAreas.csv!I:J,2,FALSE)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17145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732013</v>
      </c>
      <c r="Q99" t="str">
        <f t="shared" ca="1" si="25"/>
        <v>2017-12-11</v>
      </c>
      <c r="R99" t="str">
        <f t="shared" ca="1" si="25"/>
        <v>2017-07-03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2008-06-24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VLOOKUP(H100,LocalAreas.csv!I:J,2,FALSE)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12895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732118</v>
      </c>
      <c r="Q100" t="str">
        <f t="shared" ca="1" si="25"/>
        <v>2017-07-30</v>
      </c>
      <c r="R100" t="str">
        <f t="shared" ca="1" si="25"/>
        <v>2017-11-19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2012-09-18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VLOOKUP(H101,LocalAreas.csv!I:J,2,FALSE)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11693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732200</v>
      </c>
      <c r="Q101" t="str">
        <f t="shared" ca="1" si="25"/>
        <v>2018-01-20</v>
      </c>
      <c r="R101" t="str">
        <f t="shared" ca="1" si="25"/>
        <v>2018-03-03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2016-06-29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VLOOKUP(H102,LocalAreas.csv!I:J,2,FALSE)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14567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732148</v>
      </c>
      <c r="Q102" t="str">
        <f t="shared" ca="1" si="25"/>
        <v>2017-09-28</v>
      </c>
      <c r="R102" t="str">
        <f t="shared" ca="1" si="25"/>
        <v>2017-12-10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2011-03-08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VLOOKUP(H103,LocalAreas.csv!I:J,2,FALSE)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12056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732093</v>
      </c>
      <c r="Q103" t="str">
        <f t="shared" ca="1" si="25"/>
        <v>2017-04-06</v>
      </c>
      <c r="R103" t="str">
        <f t="shared" ca="1" si="25"/>
        <v>2017-07-08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2006-04-07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VLOOKUP(H104,LocalAreas.csv!I:J,2,FALSE)</f>
        <v>Nanaimo/Ladysmith/Lantzville</v>
      </c>
      <c r="J104" t="str">
        <f t="shared" si="26"/>
        <v>rg:{'id':'200005'}</v>
      </c>
      <c r="K104" t="s">
        <v>7603</v>
      </c>
      <c r="M104">
        <f t="shared" ca="1" si="21"/>
        <v>11066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732029</v>
      </c>
      <c r="Q104" t="str">
        <f t="shared" ca="1" si="25"/>
        <v>2017-05-02</v>
      </c>
      <c r="R104" t="str">
        <f t="shared" ca="1" si="25"/>
        <v>2017-09-22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2012-02-08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VLOOKUP(H105,LocalAreas.csv!I:J,2,FALSE)</f>
        <v>Nanaimo/Ladysmith/Lantzville</v>
      </c>
      <c r="J105" t="str">
        <f t="shared" si="26"/>
        <v>rg:{'id':'200005'}</v>
      </c>
      <c r="K105" t="s">
        <v>7604</v>
      </c>
      <c r="M105">
        <f t="shared" ca="1" si="21"/>
        <v>13091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732076</v>
      </c>
      <c r="Q105" t="str">
        <f t="shared" ca="1" si="25"/>
        <v>2017-08-17</v>
      </c>
      <c r="R105" t="str">
        <f t="shared" ca="1" si="25"/>
        <v>2017-06-16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2009-07-13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VLOOKUP(H106,LocalAreas.csv!I:J,2,FALSE)</f>
        <v>Nanaimo/Ladysmith/Lantzville</v>
      </c>
      <c r="J106" t="str">
        <f t="shared" si="26"/>
        <v>rg:{'id':'200005'}</v>
      </c>
      <c r="K106" t="s">
        <v>7605</v>
      </c>
      <c r="M106">
        <f t="shared" ca="1" si="21"/>
        <v>14943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732197</v>
      </c>
      <c r="Q106" t="str">
        <f t="shared" ca="1" si="25"/>
        <v>2017-05-28</v>
      </c>
      <c r="R106" t="str">
        <f t="shared" ca="1" si="25"/>
        <v>2018-02-03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2015-08-16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VLOOKUP(H107,LocalAreas.csv!I:J,2,FALSE)</f>
        <v>Nanaimo/Ladysmith/Lantzville</v>
      </c>
      <c r="J107" t="str">
        <f t="shared" si="26"/>
        <v>rg:{'id':'200005'}</v>
      </c>
      <c r="K107" t="s">
        <v>7606</v>
      </c>
      <c r="M107">
        <f t="shared" ca="1" si="21"/>
        <v>18931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732096</v>
      </c>
      <c r="Q107" t="str">
        <f t="shared" ca="1" si="25"/>
        <v>2017-08-20</v>
      </c>
      <c r="R107" t="str">
        <f t="shared" ca="1" si="25"/>
        <v>2017-10-13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2006-12-28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VLOOKUP(H108,LocalAreas.csv!I:J,2,FALSE)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16753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732182</v>
      </c>
      <c r="Q108" t="str">
        <f t="shared" ca="1" si="25"/>
        <v>2017-07-11</v>
      </c>
      <c r="R108" t="str">
        <f t="shared" ca="1" si="25"/>
        <v>2017-09-19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2006-01-13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VLOOKUP(H109,LocalAreas.csv!I:J,2,FALSE)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15577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732095</v>
      </c>
      <c r="Q109" t="str">
        <f t="shared" ca="1" si="25"/>
        <v>2017-08-12</v>
      </c>
      <c r="R109" t="str">
        <f t="shared" ca="1" si="25"/>
        <v>2017-12-06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7871</v>
      </c>
      <c r="G1" t="s">
        <v>5634</v>
      </c>
      <c r="H1" t="s">
        <v>5635</v>
      </c>
      <c r="I1" t="s">
        <v>5329</v>
      </c>
      <c r="J1" t="s">
        <v>7879</v>
      </c>
      <c r="K1" t="s">
        <v>7882</v>
      </c>
      <c r="L1" t="s">
        <v>7770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  <c r="AT1" t="s">
        <v>6878</v>
      </c>
    </row>
    <row r="2" spans="1:46" x14ac:dyDescent="0.3">
      <c r="A2" t="s">
        <v>5630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VLOOKUP(VLOOKUP(E2,LocalAreas.csv!I:K,3,FALSE),ServiceAreas.csv!F:J,5,FALSE)</f>
        <v>200009</v>
      </c>
      <c r="G2" t="str">
        <f>"rg:{'id': '"&amp;E2&amp;"'}"</f>
        <v>rg:{'id': '200000'}</v>
      </c>
      <c r="H2" t="s">
        <v>7644</v>
      </c>
      <c r="I2" t="s">
        <v>5536</v>
      </c>
      <c r="J2">
        <f>VLOOKUP(I2&amp;"-"&amp;F2,DistrictEquipmentTypes.csv!J:K,2,FALSE)</f>
        <v>200000</v>
      </c>
      <c r="K2" t="str">
        <f>"rg:{'id': '"&amp;J2&amp;"'}"</f>
        <v>rg:{'id': '200000'}</v>
      </c>
      <c r="L2">
        <f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7058</v>
      </c>
      <c r="X2" t="s">
        <v>76</v>
      </c>
      <c r="Y2" t="s">
        <v>76</v>
      </c>
      <c r="Z2" t="s">
        <v>76</v>
      </c>
      <c r="AA2" t="s">
        <v>7405</v>
      </c>
      <c r="AB2" t="s">
        <v>7256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t="shared" ref="AG2:AG65" ca="1" si="0">IF(I2="Dump Truck",60,30)*AH2+(AVERAGE(AI2:AK2))</f>
        <v>486.25</v>
      </c>
      <c r="AH2" s="4">
        <f>YEARFRAC(DATE("2016","4","1"),T2)</f>
        <v>11.819444444444445</v>
      </c>
      <c r="AI2">
        <f ca="1">IF(AH2&lt;1,0,RANDBETWEEN(0,200))</f>
        <v>106</v>
      </c>
      <c r="AJ2">
        <f ca="1">IF(AH2&lt;2,0,RANDBETWEEN(0,200))</f>
        <v>149</v>
      </c>
      <c r="AK2">
        <f ca="1">IF(AH2&lt;3,0,RANDBETWEEN(0,200))</f>
        <v>140</v>
      </c>
      <c r="AL2" t="s">
        <v>5689</v>
      </c>
      <c r="AM2" t="s">
        <v>6883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  <c r="AT2" t="s">
        <v>6510</v>
      </c>
    </row>
    <row r="3" spans="1:46" x14ac:dyDescent="0.3">
      <c r="A3" t="s">
        <v>5630</v>
      </c>
      <c r="B3">
        <f t="shared" ref="B3:B66" si="1">IF(ISNUMBER(B2),B2+1,200000)</f>
        <v>200001</v>
      </c>
      <c r="C3">
        <v>200000</v>
      </c>
      <c r="D3" t="str">
        <f t="shared" ref="D3:D66" si="2">"rg:{'id': '"&amp;C3&amp;"'}"</f>
        <v>rg:{'id': '200000'}</v>
      </c>
      <c r="E3">
        <f>VLOOKUP(C3,Owners.csv!C:J,6,FALSE)</f>
        <v>200000</v>
      </c>
      <c r="F3" t="str">
        <f>VLOOKUP(VLOOKUP(E3,LocalAreas.csv!I:K,3,FALSE),ServiceAreas.csv!F:J,5,FALSE)</f>
        <v>200009</v>
      </c>
      <c r="G3" t="str">
        <f t="shared" ref="G3:G66" si="3">"rg:{'id': '"&amp;E3&amp;"'}"</f>
        <v>rg:{'id': '200000'}</v>
      </c>
      <c r="H3" t="s">
        <v>7645</v>
      </c>
      <c r="I3" t="s">
        <v>5637</v>
      </c>
      <c r="J3">
        <f>VLOOKUP(I3&amp;"-"&amp;F3,DistrictEquipmentTypes.csv!J:K,2,FALSE)</f>
        <v>200001</v>
      </c>
      <c r="K3" t="str">
        <f t="shared" ref="K3:K66" si="4">"rg:{'id': '"&amp;J3&amp;"'}"</f>
        <v>rg:{'id': '200001'}</v>
      </c>
      <c r="L3">
        <f t="shared" ref="L3:L66" si="5">IF(C3=C2,L2+1,1)</f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ref="U3:U66" ca="1" si="6">IF(RANDBETWEEN(1,10)&gt;1,"rg:False","rg:True")</f>
        <v>rg:False</v>
      </c>
      <c r="V3" t="str">
        <f t="shared" ref="V3:V66" ca="1" si="7">IF(U3="rg:True","This equipment should be archived","rg:None")</f>
        <v>rg:None</v>
      </c>
      <c r="W3" t="s">
        <v>7059</v>
      </c>
      <c r="X3" t="s">
        <v>76</v>
      </c>
      <c r="Y3" t="s">
        <v>76</v>
      </c>
      <c r="Z3" t="s">
        <v>76</v>
      </c>
      <c r="AA3" t="s">
        <v>7406</v>
      </c>
      <c r="AB3" t="s">
        <v>7257</v>
      </c>
      <c r="AC3">
        <v>0</v>
      </c>
      <c r="AD3" t="str">
        <f t="shared" ref="AD3:AD66" ca="1" si="8">IF(RANDBETWEEN(1,20)&gt;1,"rg:False","rg:True")</f>
        <v>rg:True</v>
      </c>
      <c r="AE3" t="str">
        <f t="shared" ref="AE3:AE66" ca="1" si="9">IF(AD3="rg:True","Seniority overridden to test things","rg:None")</f>
        <v>Seniority overridden to test things</v>
      </c>
      <c r="AF3" s="1">
        <v>42480</v>
      </c>
      <c r="AG3" s="4">
        <f t="shared" ca="1" si="0"/>
        <v>143.41666666666666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109</v>
      </c>
      <c r="AJ3">
        <f t="shared" ref="AJ3:AJ66" ca="1" si="12">IF(AH3&lt;2,0,RANDBETWEEN(0,200))</f>
        <v>67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  <c r="AT3" t="s">
        <v>6510</v>
      </c>
    </row>
    <row r="4" spans="1:46" x14ac:dyDescent="0.3">
      <c r="A4" t="s">
        <v>5630</v>
      </c>
      <c r="B4">
        <f t="shared" si="1"/>
        <v>200002</v>
      </c>
      <c r="C4">
        <v>200000</v>
      </c>
      <c r="D4" t="str">
        <f t="shared" si="2"/>
        <v>rg:{'id': '200000'}</v>
      </c>
      <c r="E4">
        <f>VLOOKUP(C4,Owners.csv!C:J,6,FALSE)</f>
        <v>200000</v>
      </c>
      <c r="F4" t="str">
        <f>VLOOKUP(VLOOKUP(E4,LocalAreas.csv!I:K,3,FALSE),ServiceAreas.csv!F:J,5,FALSE)</f>
        <v>200009</v>
      </c>
      <c r="G4" t="str">
        <f t="shared" si="3"/>
        <v>rg:{'id': '200000'}</v>
      </c>
      <c r="H4" t="s">
        <v>7646</v>
      </c>
      <c r="I4" t="s">
        <v>5640</v>
      </c>
      <c r="J4">
        <f>VLOOKUP(I4&amp;"-"&amp;F4,DistrictEquipmentTypes.csv!J:K,2,FALSE)</f>
        <v>200002</v>
      </c>
      <c r="K4" t="str">
        <f t="shared" si="4"/>
        <v>rg:{'id': '200002'}</v>
      </c>
      <c r="L4">
        <f t="shared" si="5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6"/>
        <v>rg:False</v>
      </c>
      <c r="V4" t="str">
        <f t="shared" ca="1" si="7"/>
        <v>rg:None</v>
      </c>
      <c r="W4" t="s">
        <v>7060</v>
      </c>
      <c r="X4" t="s">
        <v>76</v>
      </c>
      <c r="Y4" t="s">
        <v>76</v>
      </c>
      <c r="Z4" t="s">
        <v>76</v>
      </c>
      <c r="AA4" t="s">
        <v>7407</v>
      </c>
      <c r="AB4" t="s">
        <v>7258</v>
      </c>
      <c r="AC4">
        <v>0</v>
      </c>
      <c r="AD4" t="str">
        <f t="shared" ca="1" si="8"/>
        <v>rg:False</v>
      </c>
      <c r="AE4" t="str">
        <f t="shared" ca="1" si="9"/>
        <v>rg:None</v>
      </c>
      <c r="AF4" s="1">
        <v>42467</v>
      </c>
      <c r="AG4" s="4">
        <f t="shared" ca="1" si="0"/>
        <v>113.5</v>
      </c>
      <c r="AH4" s="4">
        <f t="shared" si="10"/>
        <v>1.8277777777777777</v>
      </c>
      <c r="AI4">
        <f t="shared" ca="1" si="11"/>
        <v>176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  <c r="AT4" t="s">
        <v>6510</v>
      </c>
    </row>
    <row r="5" spans="1:46" x14ac:dyDescent="0.3">
      <c r="A5" t="s">
        <v>5630</v>
      </c>
      <c r="B5">
        <f t="shared" si="1"/>
        <v>200003</v>
      </c>
      <c r="C5">
        <v>200000</v>
      </c>
      <c r="D5" t="str">
        <f t="shared" si="2"/>
        <v>rg:{'id': '200000'}</v>
      </c>
      <c r="E5">
        <f>VLOOKUP(C5,Owners.csv!C:J,6,FALSE)</f>
        <v>200000</v>
      </c>
      <c r="F5" t="str">
        <f>VLOOKUP(VLOOKUP(E5,LocalAreas.csv!I:K,3,FALSE),ServiceAreas.csv!F:J,5,FALSE)</f>
        <v>200009</v>
      </c>
      <c r="G5" t="str">
        <f t="shared" si="3"/>
        <v>rg:{'id': '200000'}</v>
      </c>
      <c r="H5" t="s">
        <v>7647</v>
      </c>
      <c r="I5" t="s">
        <v>5641</v>
      </c>
      <c r="J5">
        <f>VLOOKUP(I5&amp;"-"&amp;F5,DistrictEquipmentTypes.csv!J:K,2,FALSE)</f>
        <v>200003</v>
      </c>
      <c r="K5" t="str">
        <f t="shared" si="4"/>
        <v>rg:{'id': '200003'}</v>
      </c>
      <c r="L5">
        <f t="shared" si="5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6"/>
        <v>rg:False</v>
      </c>
      <c r="V5" t="str">
        <f t="shared" ca="1" si="7"/>
        <v>rg:None</v>
      </c>
      <c r="W5" t="s">
        <v>7061</v>
      </c>
      <c r="X5" t="s">
        <v>76</v>
      </c>
      <c r="Y5" t="s">
        <v>76</v>
      </c>
      <c r="Z5" t="s">
        <v>76</v>
      </c>
      <c r="AA5" t="s">
        <v>7408</v>
      </c>
      <c r="AB5" t="s">
        <v>7259</v>
      </c>
      <c r="AC5">
        <v>0</v>
      </c>
      <c r="AD5" t="str">
        <f t="shared" ca="1" si="8"/>
        <v>rg:False</v>
      </c>
      <c r="AE5" t="str">
        <f t="shared" ca="1" si="9"/>
        <v>rg:None</v>
      </c>
      <c r="AF5" s="1">
        <v>42480</v>
      </c>
      <c r="AG5" s="4">
        <f t="shared" ca="1" si="0"/>
        <v>454.25</v>
      </c>
      <c r="AH5" s="4">
        <f t="shared" si="10"/>
        <v>11.375</v>
      </c>
      <c r="AI5">
        <f t="shared" ca="1" si="11"/>
        <v>115</v>
      </c>
      <c r="AJ5">
        <f t="shared" ca="1" si="12"/>
        <v>113</v>
      </c>
      <c r="AK5">
        <f t="shared" ca="1" si="13"/>
        <v>111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  <c r="AT5" t="s">
        <v>6510</v>
      </c>
    </row>
    <row r="6" spans="1:46" x14ac:dyDescent="0.3">
      <c r="A6" t="s">
        <v>5630</v>
      </c>
      <c r="B6">
        <f t="shared" si="1"/>
        <v>200004</v>
      </c>
      <c r="C6">
        <v>200000</v>
      </c>
      <c r="D6" t="str">
        <f t="shared" si="2"/>
        <v>rg:{'id': '200000'}</v>
      </c>
      <c r="E6">
        <f>VLOOKUP(C6,Owners.csv!C:J,6,FALSE)</f>
        <v>200000</v>
      </c>
      <c r="F6" t="str">
        <f>VLOOKUP(VLOOKUP(E6,LocalAreas.csv!I:K,3,FALSE),ServiceAreas.csv!F:J,5,FALSE)</f>
        <v>200009</v>
      </c>
      <c r="G6" t="str">
        <f t="shared" si="3"/>
        <v>rg:{'id': '200000'}</v>
      </c>
      <c r="H6" t="s">
        <v>7648</v>
      </c>
      <c r="I6" t="s">
        <v>5642</v>
      </c>
      <c r="J6">
        <f>VLOOKUP(I6&amp;"-"&amp;F6,DistrictEquipmentTypes.csv!J:K,2,FALSE)</f>
        <v>200004</v>
      </c>
      <c r="K6" t="str">
        <f t="shared" si="4"/>
        <v>rg:{'id': '200004'}</v>
      </c>
      <c r="L6">
        <f t="shared" si="5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6"/>
        <v>rg:False</v>
      </c>
      <c r="V6" t="str">
        <f t="shared" ca="1" si="7"/>
        <v>rg:None</v>
      </c>
      <c r="W6" t="s">
        <v>7062</v>
      </c>
      <c r="X6" t="s">
        <v>76</v>
      </c>
      <c r="Y6" t="s">
        <v>76</v>
      </c>
      <c r="Z6" t="s">
        <v>76</v>
      </c>
      <c r="AA6" t="s">
        <v>7409</v>
      </c>
      <c r="AB6" t="s">
        <v>7260</v>
      </c>
      <c r="AC6">
        <v>0</v>
      </c>
      <c r="AD6" t="str">
        <f t="shared" ca="1" si="8"/>
        <v>rg:False</v>
      </c>
      <c r="AE6" t="str">
        <f t="shared" ca="1" si="9"/>
        <v>rg:None</v>
      </c>
      <c r="AF6" s="1">
        <v>42461</v>
      </c>
      <c r="AG6" s="4">
        <f t="shared" ca="1" si="0"/>
        <v>402.25</v>
      </c>
      <c r="AH6" s="4">
        <f t="shared" si="10"/>
        <v>10.108333333333333</v>
      </c>
      <c r="AI6">
        <f t="shared" ca="1" si="11"/>
        <v>124</v>
      </c>
      <c r="AJ6">
        <f t="shared" ca="1" si="12"/>
        <v>35</v>
      </c>
      <c r="AK6">
        <f t="shared" ca="1" si="13"/>
        <v>138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  <c r="AT6" t="s">
        <v>6510</v>
      </c>
    </row>
    <row r="7" spans="1:46" x14ac:dyDescent="0.3">
      <c r="A7" t="s">
        <v>5630</v>
      </c>
      <c r="B7">
        <f t="shared" si="1"/>
        <v>200005</v>
      </c>
      <c r="C7">
        <v>200000</v>
      </c>
      <c r="D7" t="str">
        <f t="shared" si="2"/>
        <v>rg:{'id': '200000'}</v>
      </c>
      <c r="E7">
        <f>VLOOKUP(C7,Owners.csv!C:J,6,FALSE)</f>
        <v>200000</v>
      </c>
      <c r="F7" t="str">
        <f>VLOOKUP(VLOOKUP(E7,LocalAreas.csv!I:K,3,FALSE),ServiceAreas.csv!F:J,5,FALSE)</f>
        <v>200009</v>
      </c>
      <c r="G7" t="str">
        <f t="shared" si="3"/>
        <v>rg:{'id': '200000'}</v>
      </c>
      <c r="H7" t="s">
        <v>7649</v>
      </c>
      <c r="I7" t="s">
        <v>5643</v>
      </c>
      <c r="J7">
        <f>VLOOKUP(I7&amp;"-"&amp;F7,DistrictEquipmentTypes.csv!J:K,2,FALSE)</f>
        <v>200005</v>
      </c>
      <c r="K7" t="str">
        <f t="shared" si="4"/>
        <v>rg:{'id': '200005'}</v>
      </c>
      <c r="L7">
        <f t="shared" si="5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6"/>
        <v>rg:False</v>
      </c>
      <c r="V7" t="str">
        <f t="shared" ca="1" si="7"/>
        <v>rg:None</v>
      </c>
      <c r="W7" t="s">
        <v>7063</v>
      </c>
      <c r="X7" t="s">
        <v>76</v>
      </c>
      <c r="Y7" t="s">
        <v>76</v>
      </c>
      <c r="Z7" t="s">
        <v>76</v>
      </c>
      <c r="AA7" t="s">
        <v>7410</v>
      </c>
      <c r="AB7" t="s">
        <v>7261</v>
      </c>
      <c r="AC7">
        <v>0</v>
      </c>
      <c r="AD7" t="str">
        <f t="shared" ca="1" si="8"/>
        <v>rg:False</v>
      </c>
      <c r="AE7" t="str">
        <f t="shared" ca="1" si="9"/>
        <v>rg:None</v>
      </c>
      <c r="AF7" s="1">
        <v>42480</v>
      </c>
      <c r="AG7" s="4">
        <f t="shared" ca="1" si="0"/>
        <v>65.5</v>
      </c>
      <c r="AH7" s="4">
        <f t="shared" si="10"/>
        <v>1.7055555555555555</v>
      </c>
      <c r="AI7">
        <f t="shared" ca="1" si="11"/>
        <v>43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  <c r="AT7" t="s">
        <v>6510</v>
      </c>
    </row>
    <row r="8" spans="1:46" x14ac:dyDescent="0.3">
      <c r="A8" t="s">
        <v>5630</v>
      </c>
      <c r="B8">
        <f t="shared" si="1"/>
        <v>200006</v>
      </c>
      <c r="C8">
        <v>200001</v>
      </c>
      <c r="D8" t="str">
        <f t="shared" si="2"/>
        <v>rg:{'id': '200001'}</v>
      </c>
      <c r="E8">
        <f>VLOOKUP(C8,Owners.csv!C:J,6,FALSE)</f>
        <v>200000</v>
      </c>
      <c r="F8" t="str">
        <f>VLOOKUP(VLOOKUP(E8,LocalAreas.csv!I:K,3,FALSE),ServiceAreas.csv!F:J,5,FALSE)</f>
        <v>200009</v>
      </c>
      <c r="G8" t="str">
        <f t="shared" si="3"/>
        <v>rg:{'id': '200000'}</v>
      </c>
      <c r="H8" t="s">
        <v>7650</v>
      </c>
      <c r="I8" t="s">
        <v>5536</v>
      </c>
      <c r="J8">
        <f>VLOOKUP(I8&amp;"-"&amp;F8,DistrictEquipmentTypes.csv!J:K,2,FALSE)</f>
        <v>200000</v>
      </c>
      <c r="K8" t="str">
        <f t="shared" si="4"/>
        <v>rg:{'id': '200000'}</v>
      </c>
      <c r="L8">
        <f t="shared" si="5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6"/>
        <v>rg:False</v>
      </c>
      <c r="V8" t="str">
        <f t="shared" ca="1" si="7"/>
        <v>rg:None</v>
      </c>
      <c r="W8" t="s">
        <v>7064</v>
      </c>
      <c r="X8" t="s">
        <v>76</v>
      </c>
      <c r="Y8" t="s">
        <v>76</v>
      </c>
      <c r="Z8" t="s">
        <v>76</v>
      </c>
      <c r="AA8" t="s">
        <v>7411</v>
      </c>
      <c r="AB8" t="s">
        <v>7262</v>
      </c>
      <c r="AC8">
        <v>0</v>
      </c>
      <c r="AD8" t="str">
        <f t="shared" ca="1" si="8"/>
        <v>rg:False</v>
      </c>
      <c r="AE8" t="str">
        <f t="shared" ca="1" si="9"/>
        <v>rg:None</v>
      </c>
      <c r="AF8" s="1">
        <v>42461</v>
      </c>
      <c r="AG8" s="4">
        <f t="shared" ca="1" si="0"/>
        <v>324.16666666666669</v>
      </c>
      <c r="AH8" s="4">
        <f t="shared" si="10"/>
        <v>9.65</v>
      </c>
      <c r="AI8">
        <f t="shared" ca="1" si="11"/>
        <v>32</v>
      </c>
      <c r="AJ8">
        <f t="shared" ca="1" si="12"/>
        <v>72</v>
      </c>
      <c r="AK8">
        <f t="shared" ca="1" si="13"/>
        <v>0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  <c r="AT8" t="s">
        <v>6510</v>
      </c>
    </row>
    <row r="9" spans="1:46" x14ac:dyDescent="0.3">
      <c r="A9" t="s">
        <v>5630</v>
      </c>
      <c r="B9">
        <f t="shared" si="1"/>
        <v>200007</v>
      </c>
      <c r="C9">
        <v>200001</v>
      </c>
      <c r="D9" t="str">
        <f t="shared" si="2"/>
        <v>rg:{'id': '200001'}</v>
      </c>
      <c r="E9">
        <f>VLOOKUP(C9,Owners.csv!C:J,6,FALSE)</f>
        <v>200000</v>
      </c>
      <c r="F9" t="str">
        <f>VLOOKUP(VLOOKUP(E9,LocalAreas.csv!I:K,3,FALSE),ServiceAreas.csv!F:J,5,FALSE)</f>
        <v>200009</v>
      </c>
      <c r="G9" t="str">
        <f t="shared" si="3"/>
        <v>rg:{'id': '200000'}</v>
      </c>
      <c r="H9" t="s">
        <v>7651</v>
      </c>
      <c r="I9" t="s">
        <v>5651</v>
      </c>
      <c r="J9">
        <f>VLOOKUP(I9&amp;"-"&amp;F9,DistrictEquipmentTypes.csv!J:K,2,FALSE)</f>
        <v>200006</v>
      </c>
      <c r="K9" t="str">
        <f t="shared" si="4"/>
        <v>rg:{'id': '200006'}</v>
      </c>
      <c r="L9">
        <f t="shared" si="5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6"/>
        <v>rg:False</v>
      </c>
      <c r="V9" t="str">
        <f t="shared" ca="1" si="7"/>
        <v>rg:None</v>
      </c>
      <c r="W9" t="s">
        <v>7065</v>
      </c>
      <c r="X9" t="s">
        <v>76</v>
      </c>
      <c r="Y9" t="s">
        <v>76</v>
      </c>
      <c r="Z9" t="s">
        <v>76</v>
      </c>
      <c r="AA9" t="s">
        <v>7412</v>
      </c>
      <c r="AB9" t="s">
        <v>7263</v>
      </c>
      <c r="AC9">
        <v>0</v>
      </c>
      <c r="AD9" t="str">
        <f t="shared" ca="1" si="8"/>
        <v>rg:False</v>
      </c>
      <c r="AE9" t="str">
        <f t="shared" ca="1" si="9"/>
        <v>rg:None</v>
      </c>
      <c r="AF9" s="1">
        <v>42481</v>
      </c>
      <c r="AG9" s="4">
        <f t="shared" ca="1" si="0"/>
        <v>588</v>
      </c>
      <c r="AH9" s="4">
        <f t="shared" si="10"/>
        <v>8.9277777777777771</v>
      </c>
      <c r="AI9">
        <f t="shared" ca="1" si="11"/>
        <v>4</v>
      </c>
      <c r="AJ9">
        <f t="shared" ca="1" si="12"/>
        <v>14</v>
      </c>
      <c r="AK9">
        <f t="shared" ca="1" si="13"/>
        <v>139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  <c r="AT9" t="s">
        <v>6510</v>
      </c>
    </row>
    <row r="10" spans="1:46" x14ac:dyDescent="0.3">
      <c r="A10" t="s">
        <v>5630</v>
      </c>
      <c r="B10">
        <f t="shared" si="1"/>
        <v>200008</v>
      </c>
      <c r="C10">
        <v>200001</v>
      </c>
      <c r="D10" t="str">
        <f t="shared" si="2"/>
        <v>rg:{'id': '200001'}</v>
      </c>
      <c r="E10">
        <f>VLOOKUP(C10,Owners.csv!C:J,6,FALSE)</f>
        <v>200000</v>
      </c>
      <c r="F10" t="str">
        <f>VLOOKUP(VLOOKUP(E10,LocalAreas.csv!I:K,3,FALSE),ServiceAreas.csv!F:J,5,FALSE)</f>
        <v>200009</v>
      </c>
      <c r="G10" t="str">
        <f t="shared" si="3"/>
        <v>rg:{'id': '200000'}</v>
      </c>
      <c r="H10" t="s">
        <v>7652</v>
      </c>
      <c r="I10" t="s">
        <v>5640</v>
      </c>
      <c r="J10">
        <f>VLOOKUP(I10&amp;"-"&amp;F10,DistrictEquipmentTypes.csv!J:K,2,FALSE)</f>
        <v>200002</v>
      </c>
      <c r="K10" t="str">
        <f t="shared" si="4"/>
        <v>rg:{'id': '200002'}</v>
      </c>
      <c r="L10">
        <f t="shared" si="5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6"/>
        <v>rg:False</v>
      </c>
      <c r="V10" t="str">
        <f t="shared" ca="1" si="7"/>
        <v>rg:None</v>
      </c>
      <c r="W10" t="s">
        <v>7066</v>
      </c>
      <c r="X10" t="s">
        <v>76</v>
      </c>
      <c r="Y10" t="s">
        <v>76</v>
      </c>
      <c r="Z10" t="s">
        <v>76</v>
      </c>
      <c r="AA10" t="s">
        <v>7413</v>
      </c>
      <c r="AB10" t="s">
        <v>7264</v>
      </c>
      <c r="AC10">
        <v>0</v>
      </c>
      <c r="AD10" t="str">
        <f t="shared" ca="1" si="8"/>
        <v>rg:False</v>
      </c>
      <c r="AE10" t="str">
        <f t="shared" ca="1" si="9"/>
        <v>rg:None</v>
      </c>
      <c r="AF10" s="1">
        <v>42467</v>
      </c>
      <c r="AG10" s="4">
        <f t="shared" ca="1" si="0"/>
        <v>438.75</v>
      </c>
      <c r="AH10" s="4">
        <f t="shared" si="10"/>
        <v>10.33611111111111</v>
      </c>
      <c r="AI10">
        <f t="shared" ca="1" si="11"/>
        <v>181</v>
      </c>
      <c r="AJ10">
        <f t="shared" ca="1" si="12"/>
        <v>106</v>
      </c>
      <c r="AK10">
        <f t="shared" ca="1" si="13"/>
        <v>99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  <c r="AT10" t="s">
        <v>6510</v>
      </c>
    </row>
    <row r="11" spans="1:46" x14ac:dyDescent="0.3">
      <c r="A11" t="s">
        <v>5630</v>
      </c>
      <c r="B11">
        <f t="shared" si="1"/>
        <v>200009</v>
      </c>
      <c r="C11">
        <v>200001</v>
      </c>
      <c r="D11" t="str">
        <f t="shared" si="2"/>
        <v>rg:{'id': '200001'}</v>
      </c>
      <c r="E11">
        <f>VLOOKUP(C11,Owners.csv!C:J,6,FALSE)</f>
        <v>200000</v>
      </c>
      <c r="F11" t="str">
        <f>VLOOKUP(VLOOKUP(E11,LocalAreas.csv!I:K,3,FALSE),ServiceAreas.csv!F:J,5,FALSE)</f>
        <v>200009</v>
      </c>
      <c r="G11" t="str">
        <f t="shared" si="3"/>
        <v>rg:{'id': '200000'}</v>
      </c>
      <c r="H11" t="s">
        <v>7653</v>
      </c>
      <c r="I11" t="s">
        <v>5641</v>
      </c>
      <c r="J11">
        <f>VLOOKUP(I11&amp;"-"&amp;F11,DistrictEquipmentTypes.csv!J:K,2,FALSE)</f>
        <v>200003</v>
      </c>
      <c r="K11" t="str">
        <f t="shared" si="4"/>
        <v>rg:{'id': '200003'}</v>
      </c>
      <c r="L11">
        <f t="shared" si="5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6"/>
        <v>rg:False</v>
      </c>
      <c r="V11" t="str">
        <f t="shared" ca="1" si="7"/>
        <v>rg:None</v>
      </c>
      <c r="W11" t="s">
        <v>7067</v>
      </c>
      <c r="X11" t="s">
        <v>76</v>
      </c>
      <c r="Y11" t="s">
        <v>76</v>
      </c>
      <c r="Z11" t="s">
        <v>76</v>
      </c>
      <c r="AA11" t="s">
        <v>7414</v>
      </c>
      <c r="AB11" t="s">
        <v>7265</v>
      </c>
      <c r="AC11">
        <v>0</v>
      </c>
      <c r="AD11" t="str">
        <f t="shared" ca="1" si="8"/>
        <v>rg:False</v>
      </c>
      <c r="AE11" t="str">
        <f t="shared" ca="1" si="9"/>
        <v>rg:None</v>
      </c>
      <c r="AF11" s="1">
        <v>42470</v>
      </c>
      <c r="AG11" s="4">
        <f t="shared" ca="1" si="0"/>
        <v>235.16666666666669</v>
      </c>
      <c r="AH11" s="4">
        <f t="shared" si="10"/>
        <v>3.9388888888888891</v>
      </c>
      <c r="AI11">
        <f t="shared" ca="1" si="11"/>
        <v>84</v>
      </c>
      <c r="AJ11">
        <f t="shared" ca="1" si="12"/>
        <v>111</v>
      </c>
      <c r="AK11">
        <f t="shared" ca="1" si="13"/>
        <v>156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  <c r="AT11" t="s">
        <v>6510</v>
      </c>
    </row>
    <row r="12" spans="1:46" x14ac:dyDescent="0.3">
      <c r="A12" t="s">
        <v>5630</v>
      </c>
      <c r="B12">
        <f t="shared" si="1"/>
        <v>200010</v>
      </c>
      <c r="C12">
        <v>200001</v>
      </c>
      <c r="D12" t="str">
        <f t="shared" si="2"/>
        <v>rg:{'id': '200001'}</v>
      </c>
      <c r="E12">
        <f>VLOOKUP(C12,Owners.csv!C:J,6,FALSE)</f>
        <v>200000</v>
      </c>
      <c r="F12" t="str">
        <f>VLOOKUP(VLOOKUP(E12,LocalAreas.csv!I:K,3,FALSE),ServiceAreas.csv!F:J,5,FALSE)</f>
        <v>200009</v>
      </c>
      <c r="G12" t="str">
        <f t="shared" si="3"/>
        <v>rg:{'id': '200000'}</v>
      </c>
      <c r="H12" t="s">
        <v>7654</v>
      </c>
      <c r="I12" t="s">
        <v>5642</v>
      </c>
      <c r="J12">
        <f>VLOOKUP(I12&amp;"-"&amp;F12,DistrictEquipmentTypes.csv!J:K,2,FALSE)</f>
        <v>200004</v>
      </c>
      <c r="K12" t="str">
        <f t="shared" si="4"/>
        <v>rg:{'id': '200004'}</v>
      </c>
      <c r="L12">
        <f t="shared" si="5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6"/>
        <v>rg:False</v>
      </c>
      <c r="V12" t="str">
        <f t="shared" ca="1" si="7"/>
        <v>rg:None</v>
      </c>
      <c r="W12" t="s">
        <v>7068</v>
      </c>
      <c r="X12" t="s">
        <v>76</v>
      </c>
      <c r="Y12" t="s">
        <v>76</v>
      </c>
      <c r="Z12" t="s">
        <v>76</v>
      </c>
      <c r="AA12" t="s">
        <v>7415</v>
      </c>
      <c r="AB12" t="s">
        <v>7266</v>
      </c>
      <c r="AC12">
        <v>0</v>
      </c>
      <c r="AD12" t="str">
        <f t="shared" ca="1" si="8"/>
        <v>rg:False</v>
      </c>
      <c r="AE12" t="str">
        <f t="shared" ca="1" si="9"/>
        <v>rg:None</v>
      </c>
      <c r="AF12" s="1">
        <v>42461</v>
      </c>
      <c r="AG12" s="4">
        <f t="shared" ca="1" si="0"/>
        <v>396.5</v>
      </c>
      <c r="AH12" s="4">
        <f t="shared" si="10"/>
        <v>9.25</v>
      </c>
      <c r="AI12">
        <f t="shared" ca="1" si="11"/>
        <v>124</v>
      </c>
      <c r="AJ12">
        <f t="shared" ca="1" si="12"/>
        <v>96</v>
      </c>
      <c r="AK12">
        <f t="shared" ca="1" si="13"/>
        <v>137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  <c r="AT12" t="s">
        <v>6510</v>
      </c>
    </row>
    <row r="13" spans="1:46" x14ac:dyDescent="0.3">
      <c r="A13" t="s">
        <v>5630</v>
      </c>
      <c r="B13">
        <f t="shared" si="1"/>
        <v>200011</v>
      </c>
      <c r="C13">
        <v>200001</v>
      </c>
      <c r="D13" t="str">
        <f t="shared" si="2"/>
        <v>rg:{'id': '200001'}</v>
      </c>
      <c r="E13">
        <f>VLOOKUP(C13,Owners.csv!C:J,6,FALSE)</f>
        <v>200000</v>
      </c>
      <c r="F13" t="str">
        <f>VLOOKUP(VLOOKUP(E13,LocalAreas.csv!I:K,3,FALSE),ServiceAreas.csv!F:J,5,FALSE)</f>
        <v>200009</v>
      </c>
      <c r="G13" t="str">
        <f t="shared" si="3"/>
        <v>rg:{'id': '200000'}</v>
      </c>
      <c r="H13" t="s">
        <v>7652</v>
      </c>
      <c r="I13" t="s">
        <v>5643</v>
      </c>
      <c r="J13">
        <f>VLOOKUP(I13&amp;"-"&amp;F13,DistrictEquipmentTypes.csv!J:K,2,FALSE)</f>
        <v>200005</v>
      </c>
      <c r="K13" t="str">
        <f t="shared" si="4"/>
        <v>rg:{'id': '200005'}</v>
      </c>
      <c r="L13">
        <f t="shared" si="5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6"/>
        <v>rg:False</v>
      </c>
      <c r="V13" t="str">
        <f t="shared" ca="1" si="7"/>
        <v>rg:None</v>
      </c>
      <c r="W13" t="s">
        <v>7069</v>
      </c>
      <c r="X13" t="s">
        <v>76</v>
      </c>
      <c r="Y13" t="s">
        <v>76</v>
      </c>
      <c r="Z13" t="s">
        <v>76</v>
      </c>
      <c r="AA13" t="s">
        <v>7416</v>
      </c>
      <c r="AB13" t="s">
        <v>7267</v>
      </c>
      <c r="AC13">
        <v>0</v>
      </c>
      <c r="AD13" t="str">
        <f t="shared" ca="1" si="8"/>
        <v>rg:False</v>
      </c>
      <c r="AE13" t="str">
        <f t="shared" ca="1" si="9"/>
        <v>rg:None</v>
      </c>
      <c r="AF13" s="1">
        <v>42461</v>
      </c>
      <c r="AG13" s="4">
        <f t="shared" ca="1" si="0"/>
        <v>311.58333333333337</v>
      </c>
      <c r="AH13" s="4">
        <f t="shared" si="10"/>
        <v>8.1972222222222229</v>
      </c>
      <c r="AI13">
        <f t="shared" ca="1" si="11"/>
        <v>44</v>
      </c>
      <c r="AJ13">
        <f t="shared" ca="1" si="12"/>
        <v>142</v>
      </c>
      <c r="AK13">
        <f t="shared" ca="1" si="13"/>
        <v>11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  <c r="AT13" t="s">
        <v>6510</v>
      </c>
    </row>
    <row r="14" spans="1:46" x14ac:dyDescent="0.3">
      <c r="A14" t="s">
        <v>5630</v>
      </c>
      <c r="B14">
        <f t="shared" si="1"/>
        <v>200012</v>
      </c>
      <c r="C14">
        <v>200002</v>
      </c>
      <c r="D14" t="str">
        <f t="shared" si="2"/>
        <v>rg:{'id': '200002'}</v>
      </c>
      <c r="E14">
        <f>VLOOKUP(C14,Owners.csv!C:J,6,FALSE)</f>
        <v>200000</v>
      </c>
      <c r="F14" t="str">
        <f>VLOOKUP(VLOOKUP(E14,LocalAreas.csv!I:K,3,FALSE),ServiceAreas.csv!F:J,5,FALSE)</f>
        <v>200009</v>
      </c>
      <c r="G14" t="str">
        <f t="shared" si="3"/>
        <v>rg:{'id': '200000'}</v>
      </c>
      <c r="H14" t="s">
        <v>7655</v>
      </c>
      <c r="I14" t="s">
        <v>5536</v>
      </c>
      <c r="J14">
        <f>VLOOKUP(I14&amp;"-"&amp;F14,DistrictEquipmentTypes.csv!J:K,2,FALSE)</f>
        <v>200000</v>
      </c>
      <c r="K14" t="str">
        <f t="shared" si="4"/>
        <v>rg:{'id': '200000'}</v>
      </c>
      <c r="L14">
        <f t="shared" si="5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6"/>
        <v>rg:False</v>
      </c>
      <c r="V14" t="str">
        <f t="shared" ca="1" si="7"/>
        <v>rg:None</v>
      </c>
      <c r="W14" t="s">
        <v>7070</v>
      </c>
      <c r="X14" t="s">
        <v>76</v>
      </c>
      <c r="Y14" t="s">
        <v>76</v>
      </c>
      <c r="Z14" t="s">
        <v>76</v>
      </c>
      <c r="AA14" t="s">
        <v>7417</v>
      </c>
      <c r="AB14" t="s">
        <v>7268</v>
      </c>
      <c r="AC14">
        <v>0</v>
      </c>
      <c r="AD14" t="str">
        <f t="shared" ca="1" si="8"/>
        <v>rg:False</v>
      </c>
      <c r="AE14" t="str">
        <f t="shared" ca="1" si="9"/>
        <v>rg:None</v>
      </c>
      <c r="AF14" s="1">
        <v>42480</v>
      </c>
      <c r="AG14" s="4">
        <f t="shared" ca="1" si="0"/>
        <v>281.5</v>
      </c>
      <c r="AH14" s="4">
        <f t="shared" si="10"/>
        <v>7.4722222222222223</v>
      </c>
      <c r="AI14">
        <f t="shared" ca="1" si="11"/>
        <v>36</v>
      </c>
      <c r="AJ14">
        <f t="shared" ca="1" si="12"/>
        <v>111</v>
      </c>
      <c r="AK14">
        <f t="shared" ca="1" si="13"/>
        <v>25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  <c r="AT14" t="s">
        <v>6510</v>
      </c>
    </row>
    <row r="15" spans="1:46" x14ac:dyDescent="0.3">
      <c r="A15" t="s">
        <v>5630</v>
      </c>
      <c r="B15">
        <f t="shared" si="1"/>
        <v>200013</v>
      </c>
      <c r="C15">
        <v>200002</v>
      </c>
      <c r="D15" t="str">
        <f t="shared" si="2"/>
        <v>rg:{'id': '200002'}</v>
      </c>
      <c r="E15">
        <f>VLOOKUP(C15,Owners.csv!C:J,6,FALSE)</f>
        <v>200000</v>
      </c>
      <c r="F15" t="str">
        <f>VLOOKUP(VLOOKUP(E15,LocalAreas.csv!I:K,3,FALSE),ServiceAreas.csv!F:J,5,FALSE)</f>
        <v>200009</v>
      </c>
      <c r="G15" t="str">
        <f t="shared" si="3"/>
        <v>rg:{'id': '200000'}</v>
      </c>
      <c r="H15" t="s">
        <v>7656</v>
      </c>
      <c r="I15" t="s">
        <v>5637</v>
      </c>
      <c r="J15">
        <f>VLOOKUP(I15&amp;"-"&amp;F15,DistrictEquipmentTypes.csv!J:K,2,FALSE)</f>
        <v>200001</v>
      </c>
      <c r="K15" t="str">
        <f t="shared" si="4"/>
        <v>rg:{'id': '200001'}</v>
      </c>
      <c r="L15">
        <f t="shared" si="5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6"/>
        <v>rg:False</v>
      </c>
      <c r="V15" t="str">
        <f t="shared" ca="1" si="7"/>
        <v>rg:None</v>
      </c>
      <c r="W15" t="s">
        <v>7071</v>
      </c>
      <c r="X15" t="s">
        <v>76</v>
      </c>
      <c r="Y15" t="s">
        <v>76</v>
      </c>
      <c r="Z15" t="s">
        <v>76</v>
      </c>
      <c r="AA15" t="s">
        <v>7418</v>
      </c>
      <c r="AB15" t="s">
        <v>7269</v>
      </c>
      <c r="AC15">
        <v>0</v>
      </c>
      <c r="AD15" t="str">
        <f t="shared" ca="1" si="8"/>
        <v>rg:False</v>
      </c>
      <c r="AE15" t="str">
        <f t="shared" ca="1" si="9"/>
        <v>rg:None</v>
      </c>
      <c r="AF15" s="1">
        <v>42481</v>
      </c>
      <c r="AG15" s="4">
        <f t="shared" ca="1" si="0"/>
        <v>244.91666666666669</v>
      </c>
      <c r="AH15" s="4">
        <f t="shared" si="10"/>
        <v>4.9083333333333332</v>
      </c>
      <c r="AI15">
        <f t="shared" ca="1" si="11"/>
        <v>8</v>
      </c>
      <c r="AJ15">
        <f t="shared" ca="1" si="12"/>
        <v>162</v>
      </c>
      <c r="AK15">
        <f t="shared" ca="1" si="13"/>
        <v>123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  <c r="AT15" t="s">
        <v>6510</v>
      </c>
    </row>
    <row r="16" spans="1:46" x14ac:dyDescent="0.3">
      <c r="A16" t="s">
        <v>5630</v>
      </c>
      <c r="B16">
        <f t="shared" si="1"/>
        <v>200014</v>
      </c>
      <c r="C16">
        <v>200002</v>
      </c>
      <c r="D16" t="str">
        <f t="shared" si="2"/>
        <v>rg:{'id': '200002'}</v>
      </c>
      <c r="E16">
        <f>VLOOKUP(C16,Owners.csv!C:J,6,FALSE)</f>
        <v>200000</v>
      </c>
      <c r="F16" t="str">
        <f>VLOOKUP(VLOOKUP(E16,LocalAreas.csv!I:K,3,FALSE),ServiceAreas.csv!F:J,5,FALSE)</f>
        <v>200009</v>
      </c>
      <c r="G16" t="str">
        <f t="shared" si="3"/>
        <v>rg:{'id': '200000'}</v>
      </c>
      <c r="H16" t="s">
        <v>7657</v>
      </c>
      <c r="I16" t="s">
        <v>5640</v>
      </c>
      <c r="J16">
        <f>VLOOKUP(I16&amp;"-"&amp;F16,DistrictEquipmentTypes.csv!J:K,2,FALSE)</f>
        <v>200002</v>
      </c>
      <c r="K16" t="str">
        <f t="shared" si="4"/>
        <v>rg:{'id': '200002'}</v>
      </c>
      <c r="L16">
        <f t="shared" si="5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6"/>
        <v>rg:False</v>
      </c>
      <c r="V16" t="str">
        <f t="shared" ca="1" si="7"/>
        <v>rg:None</v>
      </c>
      <c r="W16" t="s">
        <v>7072</v>
      </c>
      <c r="X16" t="s">
        <v>76</v>
      </c>
      <c r="Y16" t="s">
        <v>76</v>
      </c>
      <c r="Z16" t="s">
        <v>76</v>
      </c>
      <c r="AA16" t="s">
        <v>7419</v>
      </c>
      <c r="AB16" t="s">
        <v>7259</v>
      </c>
      <c r="AC16">
        <v>0</v>
      </c>
      <c r="AD16" t="str">
        <f t="shared" ca="1" si="8"/>
        <v>rg:False</v>
      </c>
      <c r="AE16" t="str">
        <f t="shared" ca="1" si="9"/>
        <v>rg:None</v>
      </c>
      <c r="AF16" s="1">
        <v>42461</v>
      </c>
      <c r="AG16" s="4">
        <f t="shared" ca="1" si="0"/>
        <v>157.66666666666669</v>
      </c>
      <c r="AH16" s="4">
        <f t="shared" si="10"/>
        <v>2.7555555555555555</v>
      </c>
      <c r="AI16">
        <f t="shared" ca="1" si="11"/>
        <v>125</v>
      </c>
      <c r="AJ16">
        <f t="shared" ca="1" si="12"/>
        <v>100</v>
      </c>
      <c r="AK16">
        <f t="shared" ca="1" si="13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  <c r="AT16" t="s">
        <v>6510</v>
      </c>
    </row>
    <row r="17" spans="1:46" x14ac:dyDescent="0.3">
      <c r="A17" t="s">
        <v>5630</v>
      </c>
      <c r="B17">
        <f t="shared" si="1"/>
        <v>200015</v>
      </c>
      <c r="C17">
        <v>200002</v>
      </c>
      <c r="D17" t="str">
        <f t="shared" si="2"/>
        <v>rg:{'id': '200002'}</v>
      </c>
      <c r="E17">
        <f>VLOOKUP(C17,Owners.csv!C:J,6,FALSE)</f>
        <v>200000</v>
      </c>
      <c r="F17" t="str">
        <f>VLOOKUP(VLOOKUP(E17,LocalAreas.csv!I:K,3,FALSE),ServiceAreas.csv!F:J,5,FALSE)</f>
        <v>200009</v>
      </c>
      <c r="G17" t="str">
        <f t="shared" si="3"/>
        <v>rg:{'id': '200000'}</v>
      </c>
      <c r="H17" t="s">
        <v>7658</v>
      </c>
      <c r="I17" t="s">
        <v>5641</v>
      </c>
      <c r="J17">
        <f>VLOOKUP(I17&amp;"-"&amp;F17,DistrictEquipmentTypes.csv!J:K,2,FALSE)</f>
        <v>200003</v>
      </c>
      <c r="K17" t="str">
        <f t="shared" si="4"/>
        <v>rg:{'id': '200003'}</v>
      </c>
      <c r="L17">
        <f t="shared" si="5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6"/>
        <v>rg:False</v>
      </c>
      <c r="V17" t="str">
        <f t="shared" ca="1" si="7"/>
        <v>rg:None</v>
      </c>
      <c r="W17" t="s">
        <v>7073</v>
      </c>
      <c r="X17" t="s">
        <v>76</v>
      </c>
      <c r="Y17" t="s">
        <v>76</v>
      </c>
      <c r="Z17" t="s">
        <v>76</v>
      </c>
      <c r="AA17" t="s">
        <v>7420</v>
      </c>
      <c r="AB17" t="s">
        <v>7270</v>
      </c>
      <c r="AC17">
        <v>0</v>
      </c>
      <c r="AD17" t="str">
        <f t="shared" ca="1" si="8"/>
        <v>rg:True</v>
      </c>
      <c r="AE17" t="str">
        <f t="shared" ca="1" si="9"/>
        <v>Seniority overridden to test things</v>
      </c>
      <c r="AF17" s="1">
        <v>42470</v>
      </c>
      <c r="AG17" s="4">
        <f t="shared" ca="1" si="0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  <c r="AT17" t="s">
        <v>6510</v>
      </c>
    </row>
    <row r="18" spans="1:46" x14ac:dyDescent="0.3">
      <c r="A18" t="s">
        <v>5630</v>
      </c>
      <c r="B18">
        <f t="shared" si="1"/>
        <v>200016</v>
      </c>
      <c r="C18">
        <v>200002</v>
      </c>
      <c r="D18" t="str">
        <f t="shared" si="2"/>
        <v>rg:{'id': '200002'}</v>
      </c>
      <c r="E18">
        <f>VLOOKUP(C18,Owners.csv!C:J,6,FALSE)</f>
        <v>200000</v>
      </c>
      <c r="F18" t="str">
        <f>VLOOKUP(VLOOKUP(E18,LocalAreas.csv!I:K,3,FALSE),ServiceAreas.csv!F:J,5,FALSE)</f>
        <v>200009</v>
      </c>
      <c r="G18" t="str">
        <f t="shared" si="3"/>
        <v>rg:{'id': '200000'}</v>
      </c>
      <c r="H18" t="s">
        <v>7659</v>
      </c>
      <c r="I18" t="s">
        <v>5642</v>
      </c>
      <c r="J18">
        <f>VLOOKUP(I18&amp;"-"&amp;F18,DistrictEquipmentTypes.csv!J:K,2,FALSE)</f>
        <v>200004</v>
      </c>
      <c r="K18" t="str">
        <f t="shared" si="4"/>
        <v>rg:{'id': '200004'}</v>
      </c>
      <c r="L18">
        <f t="shared" si="5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6"/>
        <v>rg:False</v>
      </c>
      <c r="V18" t="str">
        <f t="shared" ca="1" si="7"/>
        <v>rg:None</v>
      </c>
      <c r="W18" t="s">
        <v>7074</v>
      </c>
      <c r="X18" t="s">
        <v>76</v>
      </c>
      <c r="Y18" t="s">
        <v>76</v>
      </c>
      <c r="Z18" t="s">
        <v>76</v>
      </c>
      <c r="AA18" t="s">
        <v>7421</v>
      </c>
      <c r="AB18" t="s">
        <v>7271</v>
      </c>
      <c r="AC18">
        <v>0</v>
      </c>
      <c r="AD18" t="str">
        <f t="shared" ca="1" si="8"/>
        <v>rg:False</v>
      </c>
      <c r="AE18" t="str">
        <f t="shared" ca="1" si="9"/>
        <v>rg:None</v>
      </c>
      <c r="AF18" s="1">
        <v>42481</v>
      </c>
      <c r="AG18" s="4">
        <f t="shared" ca="1" si="0"/>
        <v>351.08333333333337</v>
      </c>
      <c r="AH18" s="4">
        <f t="shared" si="10"/>
        <v>9.4472222222222229</v>
      </c>
      <c r="AI18">
        <f t="shared" ca="1" si="11"/>
        <v>173</v>
      </c>
      <c r="AJ18">
        <f t="shared" ca="1" si="12"/>
        <v>13</v>
      </c>
      <c r="AK18">
        <f t="shared" ca="1" si="13"/>
        <v>17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  <c r="AT18" t="s">
        <v>6510</v>
      </c>
    </row>
    <row r="19" spans="1:46" x14ac:dyDescent="0.3">
      <c r="A19" t="s">
        <v>5630</v>
      </c>
      <c r="B19">
        <f t="shared" si="1"/>
        <v>200017</v>
      </c>
      <c r="C19">
        <v>200002</v>
      </c>
      <c r="D19" t="str">
        <f t="shared" si="2"/>
        <v>rg:{'id': '200002'}</v>
      </c>
      <c r="E19">
        <f>VLOOKUP(C19,Owners.csv!C:J,6,FALSE)</f>
        <v>200000</v>
      </c>
      <c r="F19" t="str">
        <f>VLOOKUP(VLOOKUP(E19,LocalAreas.csv!I:K,3,FALSE),ServiceAreas.csv!F:J,5,FALSE)</f>
        <v>200009</v>
      </c>
      <c r="G19" t="str">
        <f t="shared" si="3"/>
        <v>rg:{'id': '200000'}</v>
      </c>
      <c r="H19" t="s">
        <v>7660</v>
      </c>
      <c r="I19" t="s">
        <v>5643</v>
      </c>
      <c r="J19">
        <f>VLOOKUP(I19&amp;"-"&amp;F19,DistrictEquipmentTypes.csv!J:K,2,FALSE)</f>
        <v>200005</v>
      </c>
      <c r="K19" t="str">
        <f t="shared" si="4"/>
        <v>rg:{'id': '200005'}</v>
      </c>
      <c r="L19">
        <f t="shared" si="5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6"/>
        <v>rg:False</v>
      </c>
      <c r="V19" t="str">
        <f t="shared" ca="1" si="7"/>
        <v>rg:None</v>
      </c>
      <c r="W19" t="s">
        <v>7075</v>
      </c>
      <c r="X19" t="s">
        <v>76</v>
      </c>
      <c r="Y19" t="s">
        <v>76</v>
      </c>
      <c r="Z19" t="s">
        <v>76</v>
      </c>
      <c r="AA19" t="s">
        <v>7422</v>
      </c>
      <c r="AB19" t="s">
        <v>7272</v>
      </c>
      <c r="AC19">
        <v>0</v>
      </c>
      <c r="AD19" t="str">
        <f t="shared" ca="1" si="8"/>
        <v>rg:False</v>
      </c>
      <c r="AE19" t="str">
        <f t="shared" ca="1" si="9"/>
        <v>rg:None</v>
      </c>
      <c r="AF19" s="1">
        <v>42461</v>
      </c>
      <c r="AG19" s="4">
        <f t="shared" ca="1" si="0"/>
        <v>476.25000000000006</v>
      </c>
      <c r="AH19" s="4">
        <f t="shared" si="10"/>
        <v>12.252777777777778</v>
      </c>
      <c r="AI19">
        <f t="shared" ca="1" si="11"/>
        <v>22</v>
      </c>
      <c r="AJ19">
        <f t="shared" ca="1" si="12"/>
        <v>180</v>
      </c>
      <c r="AK19">
        <f t="shared" ca="1" si="13"/>
        <v>124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  <c r="AT19" t="s">
        <v>6510</v>
      </c>
    </row>
    <row r="20" spans="1:46" x14ac:dyDescent="0.3">
      <c r="A20" t="s">
        <v>5630</v>
      </c>
      <c r="B20">
        <f t="shared" si="1"/>
        <v>200018</v>
      </c>
      <c r="C20">
        <v>200003</v>
      </c>
      <c r="D20" t="str">
        <f t="shared" si="2"/>
        <v>rg:{'id': '200003'}</v>
      </c>
      <c r="E20">
        <f>VLOOKUP(C20,Owners.csv!C:J,6,FALSE)</f>
        <v>200000</v>
      </c>
      <c r="F20" t="str">
        <f>VLOOKUP(VLOOKUP(E20,LocalAreas.csv!I:K,3,FALSE),ServiceAreas.csv!F:J,5,FALSE)</f>
        <v>200009</v>
      </c>
      <c r="G20" t="str">
        <f t="shared" si="3"/>
        <v>rg:{'id': '200000'}</v>
      </c>
      <c r="H20" t="s">
        <v>7661</v>
      </c>
      <c r="I20" t="s">
        <v>5536</v>
      </c>
      <c r="J20">
        <f>VLOOKUP(I20&amp;"-"&amp;F20,DistrictEquipmentTypes.csv!J:K,2,FALSE)</f>
        <v>200000</v>
      </c>
      <c r="K20" t="str">
        <f t="shared" si="4"/>
        <v>rg:{'id': '200000'}</v>
      </c>
      <c r="L20">
        <f t="shared" si="5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6"/>
        <v>rg:False</v>
      </c>
      <c r="V20" t="str">
        <f t="shared" ca="1" si="7"/>
        <v>rg:None</v>
      </c>
      <c r="W20" t="s">
        <v>7076</v>
      </c>
      <c r="X20" t="s">
        <v>76</v>
      </c>
      <c r="Y20" t="s">
        <v>76</v>
      </c>
      <c r="Z20" t="s">
        <v>76</v>
      </c>
      <c r="AA20" t="s">
        <v>7423</v>
      </c>
      <c r="AB20" t="s">
        <v>7273</v>
      </c>
      <c r="AC20">
        <v>0</v>
      </c>
      <c r="AD20" t="str">
        <f t="shared" ca="1" si="8"/>
        <v>rg:False</v>
      </c>
      <c r="AE20" t="str">
        <f t="shared" ca="1" si="9"/>
        <v>rg:None</v>
      </c>
      <c r="AF20" s="1">
        <v>42481</v>
      </c>
      <c r="AG20" s="4">
        <f t="shared" ca="1" si="0"/>
        <v>416.08333333333331</v>
      </c>
      <c r="AH20" s="4">
        <f t="shared" si="10"/>
        <v>9.7361111111111107</v>
      </c>
      <c r="AI20">
        <f t="shared" ca="1" si="11"/>
        <v>160</v>
      </c>
      <c r="AJ20">
        <f t="shared" ca="1" si="12"/>
        <v>87</v>
      </c>
      <c r="AK20">
        <f t="shared" ca="1" si="13"/>
        <v>125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  <c r="AT20" t="s">
        <v>6510</v>
      </c>
    </row>
    <row r="21" spans="1:46" x14ac:dyDescent="0.3">
      <c r="A21" t="s">
        <v>5630</v>
      </c>
      <c r="B21">
        <f t="shared" si="1"/>
        <v>200019</v>
      </c>
      <c r="C21">
        <v>200003</v>
      </c>
      <c r="D21" t="str">
        <f t="shared" si="2"/>
        <v>rg:{'id': '200003'}</v>
      </c>
      <c r="E21">
        <f>VLOOKUP(C21,Owners.csv!C:J,6,FALSE)</f>
        <v>200000</v>
      </c>
      <c r="F21" t="str">
        <f>VLOOKUP(VLOOKUP(E21,LocalAreas.csv!I:K,3,FALSE),ServiceAreas.csv!F:J,5,FALSE)</f>
        <v>200009</v>
      </c>
      <c r="G21" t="str">
        <f t="shared" si="3"/>
        <v>rg:{'id': '200000'}</v>
      </c>
      <c r="H21" t="s">
        <v>7662</v>
      </c>
      <c r="I21" t="s">
        <v>5637</v>
      </c>
      <c r="J21">
        <f>VLOOKUP(I21&amp;"-"&amp;F21,DistrictEquipmentTypes.csv!J:K,2,FALSE)</f>
        <v>200001</v>
      </c>
      <c r="K21" t="str">
        <f t="shared" si="4"/>
        <v>rg:{'id': '200001'}</v>
      </c>
      <c r="L21">
        <f t="shared" si="5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6"/>
        <v>rg:False</v>
      </c>
      <c r="V21" t="str">
        <f t="shared" ca="1" si="7"/>
        <v>rg:None</v>
      </c>
      <c r="W21" t="s">
        <v>7077</v>
      </c>
      <c r="X21" t="s">
        <v>76</v>
      </c>
      <c r="Y21" t="s">
        <v>76</v>
      </c>
      <c r="Z21" t="s">
        <v>76</v>
      </c>
      <c r="AA21" t="s">
        <v>7424</v>
      </c>
      <c r="AB21" t="s">
        <v>7274</v>
      </c>
      <c r="AC21">
        <v>0</v>
      </c>
      <c r="AD21" t="str">
        <f t="shared" ca="1" si="8"/>
        <v>rg:False</v>
      </c>
      <c r="AE21" t="str">
        <f t="shared" ca="1" si="9"/>
        <v>rg:None</v>
      </c>
      <c r="AF21" s="1">
        <v>42461</v>
      </c>
      <c r="AG21" s="4">
        <f t="shared" ca="1" si="0"/>
        <v>311.16666666666669</v>
      </c>
      <c r="AH21" s="4">
        <f t="shared" si="10"/>
        <v>7.427777777777778</v>
      </c>
      <c r="AI21">
        <f t="shared" ca="1" si="11"/>
        <v>31</v>
      </c>
      <c r="AJ21">
        <f t="shared" ca="1" si="12"/>
        <v>151</v>
      </c>
      <c r="AK21">
        <f t="shared" ca="1" si="13"/>
        <v>83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  <c r="AT21" t="s">
        <v>6510</v>
      </c>
    </row>
    <row r="22" spans="1:46" x14ac:dyDescent="0.3">
      <c r="A22" t="s">
        <v>5630</v>
      </c>
      <c r="B22">
        <f t="shared" si="1"/>
        <v>200020</v>
      </c>
      <c r="C22">
        <v>200003</v>
      </c>
      <c r="D22" t="str">
        <f t="shared" si="2"/>
        <v>rg:{'id': '200003'}</v>
      </c>
      <c r="E22">
        <f>VLOOKUP(C22,Owners.csv!C:J,6,FALSE)</f>
        <v>200000</v>
      </c>
      <c r="F22" t="str">
        <f>VLOOKUP(VLOOKUP(E22,LocalAreas.csv!I:K,3,FALSE),ServiceAreas.csv!F:J,5,FALSE)</f>
        <v>200009</v>
      </c>
      <c r="G22" t="str">
        <f t="shared" si="3"/>
        <v>rg:{'id': '200000'}</v>
      </c>
      <c r="H22" t="s">
        <v>7663</v>
      </c>
      <c r="I22" t="s">
        <v>5640</v>
      </c>
      <c r="J22">
        <f>VLOOKUP(I22&amp;"-"&amp;F22,DistrictEquipmentTypes.csv!J:K,2,FALSE)</f>
        <v>200002</v>
      </c>
      <c r="K22" t="str">
        <f t="shared" si="4"/>
        <v>rg:{'id': '200002'}</v>
      </c>
      <c r="L22">
        <f t="shared" si="5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6"/>
        <v>rg:False</v>
      </c>
      <c r="V22" t="str">
        <f t="shared" ca="1" si="7"/>
        <v>rg:None</v>
      </c>
      <c r="W22" t="s">
        <v>7078</v>
      </c>
      <c r="X22" t="s">
        <v>76</v>
      </c>
      <c r="Y22" t="s">
        <v>76</v>
      </c>
      <c r="Z22" t="s">
        <v>76</v>
      </c>
      <c r="AA22" t="s">
        <v>7425</v>
      </c>
      <c r="AB22" t="s">
        <v>7275</v>
      </c>
      <c r="AC22">
        <v>0</v>
      </c>
      <c r="AD22" t="str">
        <f t="shared" ca="1" si="8"/>
        <v>rg:False</v>
      </c>
      <c r="AE22" t="str">
        <f t="shared" ca="1" si="9"/>
        <v>rg:None</v>
      </c>
      <c r="AF22" s="1">
        <v>42467</v>
      </c>
      <c r="AG22" s="4">
        <f t="shared" ca="1" si="0"/>
        <v>294.75</v>
      </c>
      <c r="AH22" s="4">
        <f t="shared" si="10"/>
        <v>6.5694444444444446</v>
      </c>
      <c r="AI22">
        <f t="shared" ca="1" si="11"/>
        <v>120</v>
      </c>
      <c r="AJ22">
        <f t="shared" ca="1" si="12"/>
        <v>99</v>
      </c>
      <c r="AK22">
        <f t="shared" ca="1" si="13"/>
        <v>74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  <c r="AT22" t="s">
        <v>6510</v>
      </c>
    </row>
    <row r="23" spans="1:46" x14ac:dyDescent="0.3">
      <c r="A23" t="s">
        <v>5630</v>
      </c>
      <c r="B23">
        <f t="shared" si="1"/>
        <v>200021</v>
      </c>
      <c r="C23">
        <v>200003</v>
      </c>
      <c r="D23" t="str">
        <f t="shared" si="2"/>
        <v>rg:{'id': '200003'}</v>
      </c>
      <c r="E23">
        <f>VLOOKUP(C23,Owners.csv!C:J,6,FALSE)</f>
        <v>200000</v>
      </c>
      <c r="F23" t="str">
        <f>VLOOKUP(VLOOKUP(E23,LocalAreas.csv!I:K,3,FALSE),ServiceAreas.csv!F:J,5,FALSE)</f>
        <v>200009</v>
      </c>
      <c r="G23" t="str">
        <f t="shared" si="3"/>
        <v>rg:{'id': '200000'}</v>
      </c>
      <c r="H23" t="s">
        <v>7664</v>
      </c>
      <c r="I23" t="s">
        <v>5536</v>
      </c>
      <c r="J23">
        <f>VLOOKUP(I23&amp;"-"&amp;F23,DistrictEquipmentTypes.csv!J:K,2,FALSE)</f>
        <v>200000</v>
      </c>
      <c r="K23" t="str">
        <f t="shared" si="4"/>
        <v>rg:{'id': '200000'}</v>
      </c>
      <c r="L23">
        <f t="shared" si="5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6"/>
        <v>rg:False</v>
      </c>
      <c r="V23" t="str">
        <f t="shared" ca="1" si="7"/>
        <v>rg:None</v>
      </c>
      <c r="W23" t="s">
        <v>7079</v>
      </c>
      <c r="X23" t="s">
        <v>76</v>
      </c>
      <c r="Y23" t="s">
        <v>76</v>
      </c>
      <c r="Z23" t="s">
        <v>76</v>
      </c>
      <c r="AA23" t="s">
        <v>7426</v>
      </c>
      <c r="AB23" t="s">
        <v>7276</v>
      </c>
      <c r="AC23">
        <v>0</v>
      </c>
      <c r="AD23" t="str">
        <f t="shared" ca="1" si="8"/>
        <v>rg:False</v>
      </c>
      <c r="AE23" t="str">
        <f t="shared" ca="1" si="9"/>
        <v>rg:None</v>
      </c>
      <c r="AF23" s="1">
        <v>42481</v>
      </c>
      <c r="AG23" s="4">
        <f t="shared" ca="1" si="0"/>
        <v>126</v>
      </c>
      <c r="AH23" s="4">
        <f t="shared" si="10"/>
        <v>2.7333333333333334</v>
      </c>
      <c r="AI23">
        <f t="shared" ca="1" si="11"/>
        <v>66</v>
      </c>
      <c r="AJ23">
        <f t="shared" ca="1" si="12"/>
        <v>66</v>
      </c>
      <c r="AK23">
        <f t="shared" ca="1" si="13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  <c r="AT23" t="s">
        <v>6510</v>
      </c>
    </row>
    <row r="24" spans="1:46" x14ac:dyDescent="0.3">
      <c r="A24" t="s">
        <v>5630</v>
      </c>
      <c r="B24">
        <f t="shared" si="1"/>
        <v>200022</v>
      </c>
      <c r="C24">
        <v>200003</v>
      </c>
      <c r="D24" t="str">
        <f t="shared" si="2"/>
        <v>rg:{'id': '200003'}</v>
      </c>
      <c r="E24">
        <f>VLOOKUP(C24,Owners.csv!C:J,6,FALSE)</f>
        <v>200000</v>
      </c>
      <c r="F24" t="str">
        <f>VLOOKUP(VLOOKUP(E24,LocalAreas.csv!I:K,3,FALSE),ServiceAreas.csv!F:J,5,FALSE)</f>
        <v>200009</v>
      </c>
      <c r="G24" t="str">
        <f t="shared" si="3"/>
        <v>rg:{'id': '200000'}</v>
      </c>
      <c r="H24" t="s">
        <v>7665</v>
      </c>
      <c r="I24" t="s">
        <v>5637</v>
      </c>
      <c r="J24">
        <f>VLOOKUP(I24&amp;"-"&amp;F24,DistrictEquipmentTypes.csv!J:K,2,FALSE)</f>
        <v>200001</v>
      </c>
      <c r="K24" t="str">
        <f t="shared" si="4"/>
        <v>rg:{'id': '200001'}</v>
      </c>
      <c r="L24">
        <f t="shared" si="5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6"/>
        <v>rg:False</v>
      </c>
      <c r="V24" t="str">
        <f t="shared" ca="1" si="7"/>
        <v>rg:None</v>
      </c>
      <c r="W24" t="s">
        <v>7080</v>
      </c>
      <c r="X24" t="s">
        <v>76</v>
      </c>
      <c r="Y24" t="s">
        <v>76</v>
      </c>
      <c r="Z24" t="s">
        <v>76</v>
      </c>
      <c r="AA24" t="s">
        <v>7427</v>
      </c>
      <c r="AB24" t="s">
        <v>7277</v>
      </c>
      <c r="AC24">
        <v>0</v>
      </c>
      <c r="AD24" t="str">
        <f t="shared" ca="1" si="8"/>
        <v>rg:False</v>
      </c>
      <c r="AE24" t="str">
        <f t="shared" ca="1" si="9"/>
        <v>rg:None</v>
      </c>
      <c r="AF24" s="1">
        <v>42461</v>
      </c>
      <c r="AG24" s="4">
        <f t="shared" ca="1" si="0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  <c r="AT24" t="s">
        <v>6510</v>
      </c>
    </row>
    <row r="25" spans="1:46" x14ac:dyDescent="0.3">
      <c r="A25" t="s">
        <v>5630</v>
      </c>
      <c r="B25">
        <f t="shared" si="1"/>
        <v>200023</v>
      </c>
      <c r="C25">
        <v>200003</v>
      </c>
      <c r="D25" t="str">
        <f t="shared" si="2"/>
        <v>rg:{'id': '200003'}</v>
      </c>
      <c r="E25">
        <f>VLOOKUP(C25,Owners.csv!C:J,6,FALSE)</f>
        <v>200000</v>
      </c>
      <c r="F25" t="str">
        <f>VLOOKUP(VLOOKUP(E25,LocalAreas.csv!I:K,3,FALSE),ServiceAreas.csv!F:J,5,FALSE)</f>
        <v>200009</v>
      </c>
      <c r="G25" t="str">
        <f t="shared" si="3"/>
        <v>rg:{'id': '200000'}</v>
      </c>
      <c r="H25" t="s">
        <v>7666</v>
      </c>
      <c r="I25" t="s">
        <v>5640</v>
      </c>
      <c r="J25">
        <f>VLOOKUP(I25&amp;"-"&amp;F25,DistrictEquipmentTypes.csv!J:K,2,FALSE)</f>
        <v>200002</v>
      </c>
      <c r="K25" t="str">
        <f t="shared" si="4"/>
        <v>rg:{'id': '200002'}</v>
      </c>
      <c r="L25">
        <f t="shared" si="5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6"/>
        <v>rg:True</v>
      </c>
      <c r="V25" t="str">
        <f t="shared" ca="1" si="7"/>
        <v>This equipment should be archived</v>
      </c>
      <c r="W25" t="s">
        <v>7081</v>
      </c>
      <c r="X25" t="s">
        <v>76</v>
      </c>
      <c r="Y25" t="s">
        <v>76</v>
      </c>
      <c r="Z25" t="s">
        <v>76</v>
      </c>
      <c r="AA25" t="s">
        <v>7428</v>
      </c>
      <c r="AB25" t="s">
        <v>7278</v>
      </c>
      <c r="AC25">
        <v>0</v>
      </c>
      <c r="AD25" t="str">
        <f t="shared" ca="1" si="8"/>
        <v>rg:False</v>
      </c>
      <c r="AE25" t="str">
        <f t="shared" ca="1" si="9"/>
        <v>rg:None</v>
      </c>
      <c r="AF25" s="1">
        <v>42461</v>
      </c>
      <c r="AG25" s="4">
        <f t="shared" ca="1" si="0"/>
        <v>268.83333333333331</v>
      </c>
      <c r="AH25" s="4">
        <f t="shared" si="10"/>
        <v>6.5166666666666666</v>
      </c>
      <c r="AI25">
        <f t="shared" ca="1" si="11"/>
        <v>60</v>
      </c>
      <c r="AJ25">
        <f t="shared" ca="1" si="12"/>
        <v>135</v>
      </c>
      <c r="AK25">
        <f t="shared" ca="1" si="13"/>
        <v>25</v>
      </c>
      <c r="AL25" t="s">
        <v>5689</v>
      </c>
      <c r="AM25" t="s">
        <v>6884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  <c r="AT25" t="s">
        <v>6510</v>
      </c>
    </row>
    <row r="26" spans="1:46" x14ac:dyDescent="0.3">
      <c r="A26" t="s">
        <v>5630</v>
      </c>
      <c r="B26">
        <f t="shared" si="1"/>
        <v>200024</v>
      </c>
      <c r="C26">
        <v>200003</v>
      </c>
      <c r="D26" t="str">
        <f t="shared" si="2"/>
        <v>rg:{'id': '200003'}</v>
      </c>
      <c r="E26">
        <f>VLOOKUP(C26,Owners.csv!C:J,6,FALSE)</f>
        <v>200000</v>
      </c>
      <c r="F26" t="str">
        <f>VLOOKUP(VLOOKUP(E26,LocalAreas.csv!I:K,3,FALSE),ServiceAreas.csv!F:J,5,FALSE)</f>
        <v>200009</v>
      </c>
      <c r="G26" t="str">
        <f t="shared" si="3"/>
        <v>rg:{'id': '200000'}</v>
      </c>
      <c r="H26" t="s">
        <v>7667</v>
      </c>
      <c r="I26" t="s">
        <v>5641</v>
      </c>
      <c r="J26">
        <f>VLOOKUP(I26&amp;"-"&amp;F26,DistrictEquipmentTypes.csv!J:K,2,FALSE)</f>
        <v>200003</v>
      </c>
      <c r="K26" t="str">
        <f t="shared" si="4"/>
        <v>rg:{'id': '200003'}</v>
      </c>
      <c r="L26">
        <f t="shared" si="5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6"/>
        <v>rg:True</v>
      </c>
      <c r="V26" t="str">
        <f t="shared" ca="1" si="7"/>
        <v>This equipment should be archived</v>
      </c>
      <c r="W26" t="s">
        <v>7082</v>
      </c>
      <c r="X26" t="s">
        <v>76</v>
      </c>
      <c r="Y26" t="s">
        <v>76</v>
      </c>
      <c r="Z26" t="s">
        <v>76</v>
      </c>
      <c r="AA26" t="s">
        <v>7429</v>
      </c>
      <c r="AB26" t="s">
        <v>7279</v>
      </c>
      <c r="AC26">
        <v>0</v>
      </c>
      <c r="AD26" t="str">
        <f t="shared" ca="1" si="8"/>
        <v>rg:True</v>
      </c>
      <c r="AE26" t="str">
        <f t="shared" ca="1" si="9"/>
        <v>Seniority overridden to test things</v>
      </c>
      <c r="AF26" s="1">
        <v>42470</v>
      </c>
      <c r="AG26" s="4">
        <f t="shared" ca="1" si="0"/>
        <v>424.41666666666663</v>
      </c>
      <c r="AH26" s="4">
        <f t="shared" si="10"/>
        <v>9.2138888888888886</v>
      </c>
      <c r="AI26">
        <f t="shared" ca="1" si="11"/>
        <v>185</v>
      </c>
      <c r="AJ26">
        <f t="shared" ca="1" si="12"/>
        <v>146</v>
      </c>
      <c r="AK26">
        <f t="shared" ca="1" si="13"/>
        <v>113</v>
      </c>
      <c r="AL26" t="s">
        <v>5689</v>
      </c>
      <c r="AM26" t="s">
        <v>6885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  <c r="AT26" t="s">
        <v>6510</v>
      </c>
    </row>
    <row r="27" spans="1:46" x14ac:dyDescent="0.3">
      <c r="A27" t="s">
        <v>5630</v>
      </c>
      <c r="B27">
        <f t="shared" si="1"/>
        <v>200025</v>
      </c>
      <c r="C27">
        <v>200004</v>
      </c>
      <c r="D27" t="str">
        <f t="shared" si="2"/>
        <v>rg:{'id': '200004'}</v>
      </c>
      <c r="E27">
        <f>VLOOKUP(C27,Owners.csv!C:J,6,FALSE)</f>
        <v>200000</v>
      </c>
      <c r="F27" t="str">
        <f>VLOOKUP(VLOOKUP(E27,LocalAreas.csv!I:K,3,FALSE),ServiceAreas.csv!F:J,5,FALSE)</f>
        <v>200009</v>
      </c>
      <c r="G27" t="str">
        <f t="shared" si="3"/>
        <v>rg:{'id': '200000'}</v>
      </c>
      <c r="H27" t="s">
        <v>7668</v>
      </c>
      <c r="I27" t="s">
        <v>5642</v>
      </c>
      <c r="J27">
        <f>VLOOKUP(I27&amp;"-"&amp;F27,DistrictEquipmentTypes.csv!J:K,2,FALSE)</f>
        <v>200004</v>
      </c>
      <c r="K27" t="str">
        <f t="shared" si="4"/>
        <v>rg:{'id': '200004'}</v>
      </c>
      <c r="L27">
        <f t="shared" si="5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6"/>
        <v>rg:False</v>
      </c>
      <c r="V27" t="str">
        <f t="shared" ca="1" si="7"/>
        <v>rg:None</v>
      </c>
      <c r="W27" t="s">
        <v>7083</v>
      </c>
      <c r="X27" t="s">
        <v>76</v>
      </c>
      <c r="Y27" t="s">
        <v>76</v>
      </c>
      <c r="Z27" t="s">
        <v>76</v>
      </c>
      <c r="AA27" t="s">
        <v>7430</v>
      </c>
      <c r="AB27" t="s">
        <v>7280</v>
      </c>
      <c r="AC27">
        <v>0</v>
      </c>
      <c r="AD27" t="str">
        <f t="shared" ca="1" si="8"/>
        <v>rg:False</v>
      </c>
      <c r="AE27" t="str">
        <f t="shared" ca="1" si="9"/>
        <v>rg:None</v>
      </c>
      <c r="AF27" s="1">
        <v>42461</v>
      </c>
      <c r="AG27" s="4">
        <f t="shared" ca="1" si="0"/>
        <v>468.33333333333337</v>
      </c>
      <c r="AH27" s="4">
        <f t="shared" si="10"/>
        <v>11.988888888888889</v>
      </c>
      <c r="AI27">
        <f t="shared" ca="1" si="11"/>
        <v>191</v>
      </c>
      <c r="AJ27">
        <f t="shared" ca="1" si="12"/>
        <v>15</v>
      </c>
      <c r="AK27">
        <f t="shared" ca="1" si="13"/>
        <v>120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  <c r="AT27" t="s">
        <v>6510</v>
      </c>
    </row>
    <row r="28" spans="1:46" x14ac:dyDescent="0.3">
      <c r="A28" t="s">
        <v>5630</v>
      </c>
      <c r="B28">
        <f t="shared" si="1"/>
        <v>200026</v>
      </c>
      <c r="C28">
        <v>200004</v>
      </c>
      <c r="D28" t="str">
        <f t="shared" si="2"/>
        <v>rg:{'id': '200004'}</v>
      </c>
      <c r="E28">
        <f>VLOOKUP(C28,Owners.csv!C:J,6,FALSE)</f>
        <v>200000</v>
      </c>
      <c r="F28" t="str">
        <f>VLOOKUP(VLOOKUP(E28,LocalAreas.csv!I:K,3,FALSE),ServiceAreas.csv!F:J,5,FALSE)</f>
        <v>200009</v>
      </c>
      <c r="G28" t="str">
        <f t="shared" si="3"/>
        <v>rg:{'id': '200000'}</v>
      </c>
      <c r="H28" t="s">
        <v>7669</v>
      </c>
      <c r="I28" t="s">
        <v>5643</v>
      </c>
      <c r="J28">
        <f>VLOOKUP(I28&amp;"-"&amp;F28,DistrictEquipmentTypes.csv!J:K,2,FALSE)</f>
        <v>200005</v>
      </c>
      <c r="K28" t="str">
        <f t="shared" si="4"/>
        <v>rg:{'id': '200005'}</v>
      </c>
      <c r="L28">
        <f t="shared" si="5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6"/>
        <v>rg:False</v>
      </c>
      <c r="V28" t="str">
        <f t="shared" ca="1" si="7"/>
        <v>rg:None</v>
      </c>
      <c r="W28" t="s">
        <v>7084</v>
      </c>
      <c r="X28" t="s">
        <v>76</v>
      </c>
      <c r="Y28" t="s">
        <v>76</v>
      </c>
      <c r="Z28" t="s">
        <v>76</v>
      </c>
      <c r="AA28" t="s">
        <v>7431</v>
      </c>
      <c r="AB28" t="s">
        <v>7281</v>
      </c>
      <c r="AC28">
        <v>0</v>
      </c>
      <c r="AD28" t="str">
        <f t="shared" ca="1" si="8"/>
        <v>rg:False</v>
      </c>
      <c r="AE28" t="str">
        <f t="shared" ca="1" si="9"/>
        <v>rg:None</v>
      </c>
      <c r="AF28" s="1">
        <v>42480</v>
      </c>
      <c r="AG28" s="4">
        <f t="shared" ca="1" si="0"/>
        <v>166.41666666666666</v>
      </c>
      <c r="AH28" s="4">
        <f t="shared" si="10"/>
        <v>2.1694444444444443</v>
      </c>
      <c r="AI28">
        <f t="shared" ca="1" si="11"/>
        <v>171</v>
      </c>
      <c r="AJ28">
        <f t="shared" ca="1" si="12"/>
        <v>133</v>
      </c>
      <c r="AK28">
        <f t="shared" ca="1" si="13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  <c r="AT28" t="s">
        <v>6510</v>
      </c>
    </row>
    <row r="29" spans="1:46" x14ac:dyDescent="0.3">
      <c r="A29" t="s">
        <v>5630</v>
      </c>
      <c r="B29">
        <f t="shared" si="1"/>
        <v>200027</v>
      </c>
      <c r="C29">
        <v>200004</v>
      </c>
      <c r="D29" t="str">
        <f t="shared" si="2"/>
        <v>rg:{'id': '200004'}</v>
      </c>
      <c r="E29">
        <f>VLOOKUP(C29,Owners.csv!C:J,6,FALSE)</f>
        <v>200000</v>
      </c>
      <c r="F29" t="str">
        <f>VLOOKUP(VLOOKUP(E29,LocalAreas.csv!I:K,3,FALSE),ServiceAreas.csv!F:J,5,FALSE)</f>
        <v>200009</v>
      </c>
      <c r="G29" t="str">
        <f t="shared" si="3"/>
        <v>rg:{'id': '200000'}</v>
      </c>
      <c r="H29" t="s">
        <v>7670</v>
      </c>
      <c r="I29" t="s">
        <v>5640</v>
      </c>
      <c r="J29">
        <f>VLOOKUP(I29&amp;"-"&amp;F29,DistrictEquipmentTypes.csv!J:K,2,FALSE)</f>
        <v>200002</v>
      </c>
      <c r="K29" t="str">
        <f t="shared" si="4"/>
        <v>rg:{'id': '200002'}</v>
      </c>
      <c r="L29">
        <f t="shared" si="5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6"/>
        <v>rg:False</v>
      </c>
      <c r="V29" t="str">
        <f t="shared" ca="1" si="7"/>
        <v>rg:None</v>
      </c>
      <c r="W29" t="s">
        <v>7085</v>
      </c>
      <c r="X29" t="s">
        <v>76</v>
      </c>
      <c r="Y29" t="s">
        <v>76</v>
      </c>
      <c r="Z29" t="s">
        <v>76</v>
      </c>
      <c r="AA29" t="s">
        <v>7432</v>
      </c>
      <c r="AB29" t="s">
        <v>7282</v>
      </c>
      <c r="AC29">
        <v>0</v>
      </c>
      <c r="AD29" t="str">
        <f t="shared" ca="1" si="8"/>
        <v>rg:False</v>
      </c>
      <c r="AE29" t="str">
        <f t="shared" ca="1" si="9"/>
        <v>rg:None</v>
      </c>
      <c r="AF29" s="1">
        <v>42461</v>
      </c>
      <c r="AG29" s="4">
        <f t="shared" ca="1" si="0"/>
        <v>403.25</v>
      </c>
      <c r="AH29" s="4">
        <f t="shared" si="10"/>
        <v>11.408333333333333</v>
      </c>
      <c r="AI29">
        <f t="shared" ca="1" si="11"/>
        <v>18</v>
      </c>
      <c r="AJ29">
        <f t="shared" ca="1" si="12"/>
        <v>77</v>
      </c>
      <c r="AK29">
        <f t="shared" ca="1" si="13"/>
        <v>88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  <c r="AT29" t="s">
        <v>6510</v>
      </c>
    </row>
    <row r="30" spans="1:46" x14ac:dyDescent="0.3">
      <c r="A30" t="s">
        <v>5630</v>
      </c>
      <c r="B30">
        <f t="shared" si="1"/>
        <v>200028</v>
      </c>
      <c r="C30">
        <v>200004</v>
      </c>
      <c r="D30" t="str">
        <f t="shared" si="2"/>
        <v>rg:{'id': '200004'}</v>
      </c>
      <c r="E30">
        <f>VLOOKUP(C30,Owners.csv!C:J,6,FALSE)</f>
        <v>200000</v>
      </c>
      <c r="F30" t="str">
        <f>VLOOKUP(VLOOKUP(E30,LocalAreas.csv!I:K,3,FALSE),ServiceAreas.csv!F:J,5,FALSE)</f>
        <v>200009</v>
      </c>
      <c r="G30" t="str">
        <f t="shared" si="3"/>
        <v>rg:{'id': '200000'}</v>
      </c>
      <c r="H30" t="s">
        <v>7671</v>
      </c>
      <c r="I30" t="s">
        <v>5641</v>
      </c>
      <c r="J30">
        <f>VLOOKUP(I30&amp;"-"&amp;F30,DistrictEquipmentTypes.csv!J:K,2,FALSE)</f>
        <v>200003</v>
      </c>
      <c r="K30" t="str">
        <f t="shared" si="4"/>
        <v>rg:{'id': '200003'}</v>
      </c>
      <c r="L30">
        <f t="shared" si="5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6"/>
        <v>rg:False</v>
      </c>
      <c r="V30" t="str">
        <f t="shared" ca="1" si="7"/>
        <v>rg:None</v>
      </c>
      <c r="W30" t="s">
        <v>7086</v>
      </c>
      <c r="X30" t="s">
        <v>76</v>
      </c>
      <c r="Y30" t="s">
        <v>76</v>
      </c>
      <c r="Z30" t="s">
        <v>76</v>
      </c>
      <c r="AA30" t="s">
        <v>7433</v>
      </c>
      <c r="AB30" t="s">
        <v>7283</v>
      </c>
      <c r="AC30">
        <v>0</v>
      </c>
      <c r="AD30" t="str">
        <f t="shared" ca="1" si="8"/>
        <v>rg:False</v>
      </c>
      <c r="AE30" t="str">
        <f t="shared" ca="1" si="9"/>
        <v>rg:None</v>
      </c>
      <c r="AF30" s="1">
        <v>42470</v>
      </c>
      <c r="AG30" s="4">
        <f t="shared" ca="1" si="0"/>
        <v>373.08333333333337</v>
      </c>
      <c r="AH30" s="4">
        <f t="shared" si="10"/>
        <v>10.613888888888889</v>
      </c>
      <c r="AI30">
        <f t="shared" ca="1" si="11"/>
        <v>134</v>
      </c>
      <c r="AJ30">
        <f t="shared" ca="1" si="12"/>
        <v>14</v>
      </c>
      <c r="AK30">
        <f t="shared" ca="1" si="13"/>
        <v>16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  <c r="AT30" t="s">
        <v>6510</v>
      </c>
    </row>
    <row r="31" spans="1:46" x14ac:dyDescent="0.3">
      <c r="A31" t="s">
        <v>5630</v>
      </c>
      <c r="B31">
        <f t="shared" si="1"/>
        <v>200029</v>
      </c>
      <c r="C31">
        <v>200018</v>
      </c>
      <c r="D31" t="str">
        <f t="shared" si="2"/>
        <v>rg:{'id': '200018'}</v>
      </c>
      <c r="E31">
        <f>VLOOKUP(C31,Owners.csv!C:J,6,FALSE)</f>
        <v>200001</v>
      </c>
      <c r="F31" t="str">
        <f>VLOOKUP(VLOOKUP(E31,LocalAreas.csv!I:K,3,FALSE),ServiceAreas.csv!F:J,5,FALSE)</f>
        <v>200009</v>
      </c>
      <c r="G31" t="str">
        <f t="shared" si="3"/>
        <v>rg:{'id': '200001'}</v>
      </c>
      <c r="H31" t="s">
        <v>7672</v>
      </c>
      <c r="I31" t="s">
        <v>5642</v>
      </c>
      <c r="J31">
        <f>VLOOKUP(I31&amp;"-"&amp;F31,DistrictEquipmentTypes.csv!J:K,2,FALSE)</f>
        <v>200004</v>
      </c>
      <c r="K31" t="str">
        <f t="shared" si="4"/>
        <v>rg:{'id': '200004'}</v>
      </c>
      <c r="L31">
        <f t="shared" si="5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6"/>
        <v>rg:False</v>
      </c>
      <c r="V31" t="str">
        <f t="shared" ca="1" si="7"/>
        <v>rg:None</v>
      </c>
      <c r="W31" t="s">
        <v>7087</v>
      </c>
      <c r="X31" t="s">
        <v>76</v>
      </c>
      <c r="Y31" t="s">
        <v>76</v>
      </c>
      <c r="Z31" t="s">
        <v>76</v>
      </c>
      <c r="AA31" t="s">
        <v>7434</v>
      </c>
      <c r="AB31" t="s">
        <v>7284</v>
      </c>
      <c r="AC31">
        <v>0</v>
      </c>
      <c r="AD31" t="str">
        <f t="shared" ca="1" si="8"/>
        <v>rg:False</v>
      </c>
      <c r="AE31" t="str">
        <f t="shared" ca="1" si="9"/>
        <v>rg:None</v>
      </c>
      <c r="AF31" s="1">
        <v>42480</v>
      </c>
      <c r="AG31" s="4">
        <f t="shared" ca="1" si="0"/>
        <v>54.416666666666664</v>
      </c>
      <c r="AH31" s="4">
        <f t="shared" si="10"/>
        <v>1.2472222222222222</v>
      </c>
      <c r="AI31">
        <f t="shared" ca="1" si="11"/>
        <v>51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  <c r="AT31" t="s">
        <v>6510</v>
      </c>
    </row>
    <row r="32" spans="1:46" x14ac:dyDescent="0.3">
      <c r="A32" t="s">
        <v>5630</v>
      </c>
      <c r="B32">
        <f t="shared" si="1"/>
        <v>200030</v>
      </c>
      <c r="C32">
        <v>200019</v>
      </c>
      <c r="D32" t="str">
        <f t="shared" si="2"/>
        <v>rg:{'id': '200019'}</v>
      </c>
      <c r="E32">
        <f>VLOOKUP(C32,Owners.csv!C:J,6,FALSE)</f>
        <v>200001</v>
      </c>
      <c r="F32" t="str">
        <f>VLOOKUP(VLOOKUP(E32,LocalAreas.csv!I:K,3,FALSE),ServiceAreas.csv!F:J,5,FALSE)</f>
        <v>200009</v>
      </c>
      <c r="G32" t="str">
        <f t="shared" si="3"/>
        <v>rg:{'id': '200001'}</v>
      </c>
      <c r="H32" t="s">
        <v>7673</v>
      </c>
      <c r="I32" t="s">
        <v>5642</v>
      </c>
      <c r="J32">
        <f>VLOOKUP(I32&amp;"-"&amp;F32,DistrictEquipmentTypes.csv!J:K,2,FALSE)</f>
        <v>200004</v>
      </c>
      <c r="K32" t="str">
        <f t="shared" si="4"/>
        <v>rg:{'id': '200004'}</v>
      </c>
      <c r="L32">
        <f t="shared" si="5"/>
        <v>1</v>
      </c>
      <c r="M32" t="str">
        <f>VLOOKUP(C32,Owners.csv!C:K,9,FALSE)&amp;TEXT(Equipment.csv!L32,"0000")</f>
        <v>COCO0001</v>
      </c>
      <c r="N32" t="s">
        <v>5401</v>
      </c>
      <c r="O32" t="s">
        <v>6689</v>
      </c>
      <c r="P32">
        <v>2006</v>
      </c>
      <c r="Q32">
        <v>31</v>
      </c>
      <c r="R32" t="s">
        <v>6663</v>
      </c>
      <c r="S32" s="1">
        <v>40610</v>
      </c>
      <c r="T32" s="1">
        <v>40614</v>
      </c>
      <c r="U32" t="str">
        <f t="shared" ca="1" si="6"/>
        <v>rg:False</v>
      </c>
      <c r="V32" t="str">
        <f t="shared" ca="1" si="7"/>
        <v>rg:None</v>
      </c>
      <c r="W32" t="s">
        <v>7088</v>
      </c>
      <c r="X32" t="s">
        <v>76</v>
      </c>
      <c r="Y32" t="s">
        <v>76</v>
      </c>
      <c r="Z32" t="s">
        <v>76</v>
      </c>
      <c r="AA32" t="s">
        <v>7435</v>
      </c>
      <c r="AB32" t="s">
        <v>7285</v>
      </c>
      <c r="AC32">
        <v>0</v>
      </c>
      <c r="AD32" t="str">
        <f t="shared" ca="1" si="8"/>
        <v>rg:False</v>
      </c>
      <c r="AE32" t="str">
        <f t="shared" ca="1" si="9"/>
        <v>rg:None</v>
      </c>
      <c r="AF32" s="1">
        <v>42481</v>
      </c>
      <c r="AG32" s="4">
        <f t="shared" ca="1" si="0"/>
        <v>269.91666666666669</v>
      </c>
      <c r="AH32" s="4">
        <f t="shared" si="10"/>
        <v>5.052777777777778</v>
      </c>
      <c r="AI32">
        <f t="shared" ca="1" si="11"/>
        <v>167</v>
      </c>
      <c r="AJ32">
        <f t="shared" ca="1" si="12"/>
        <v>177</v>
      </c>
      <c r="AK32">
        <f t="shared" ca="1" si="13"/>
        <v>11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  <c r="AT32" t="s">
        <v>6510</v>
      </c>
    </row>
    <row r="33" spans="1:46" x14ac:dyDescent="0.3">
      <c r="A33" t="s">
        <v>5630</v>
      </c>
      <c r="B33">
        <f t="shared" si="1"/>
        <v>200031</v>
      </c>
      <c r="C33">
        <v>200020</v>
      </c>
      <c r="D33" t="str">
        <f t="shared" si="2"/>
        <v>rg:{'id': '200020'}</v>
      </c>
      <c r="E33">
        <f>VLOOKUP(C33,Owners.csv!C:J,6,FALSE)</f>
        <v>200001</v>
      </c>
      <c r="F33" t="str">
        <f>VLOOKUP(VLOOKUP(E33,LocalAreas.csv!I:K,3,FALSE),ServiceAreas.csv!F:J,5,FALSE)</f>
        <v>200009</v>
      </c>
      <c r="G33" t="str">
        <f t="shared" si="3"/>
        <v>rg:{'id': '200001'}</v>
      </c>
      <c r="H33" t="s">
        <v>7674</v>
      </c>
      <c r="I33" t="s">
        <v>5642</v>
      </c>
      <c r="J33">
        <f>VLOOKUP(I33&amp;"-"&amp;F33,DistrictEquipmentTypes.csv!J:K,2,FALSE)</f>
        <v>200004</v>
      </c>
      <c r="K33" t="str">
        <f t="shared" si="4"/>
        <v>rg:{'id': '200004'}</v>
      </c>
      <c r="L33">
        <f t="shared" si="5"/>
        <v>1</v>
      </c>
      <c r="M33" t="str">
        <f>VLOOKUP(C33,Owners.csv!C:K,9,FALSE)&amp;TEXT(Equipment.csv!L33,"0000")</f>
        <v>DAVE0001</v>
      </c>
      <c r="N33" t="s">
        <v>5401</v>
      </c>
      <c r="O33" t="s">
        <v>6690</v>
      </c>
      <c r="P33">
        <v>2012</v>
      </c>
      <c r="Q33">
        <v>32</v>
      </c>
      <c r="R33" t="s">
        <v>6663</v>
      </c>
      <c r="S33" s="1">
        <v>39561</v>
      </c>
      <c r="T33" s="1">
        <v>39585</v>
      </c>
      <c r="U33" t="str">
        <f t="shared" ca="1" si="6"/>
        <v>rg:False</v>
      </c>
      <c r="V33" t="str">
        <f t="shared" ca="1" si="7"/>
        <v>rg:None</v>
      </c>
      <c r="W33" t="s">
        <v>7089</v>
      </c>
      <c r="X33" t="s">
        <v>76</v>
      </c>
      <c r="Y33" t="s">
        <v>76</v>
      </c>
      <c r="Z33" t="s">
        <v>76</v>
      </c>
      <c r="AA33" t="s">
        <v>7436</v>
      </c>
      <c r="AB33" t="s">
        <v>7286</v>
      </c>
      <c r="AC33">
        <v>0</v>
      </c>
      <c r="AD33" t="str">
        <f t="shared" ca="1" si="8"/>
        <v>rg:False</v>
      </c>
      <c r="AE33" t="str">
        <f t="shared" ca="1" si="9"/>
        <v>rg:None</v>
      </c>
      <c r="AF33" s="1">
        <v>42480</v>
      </c>
      <c r="AG33" s="4">
        <f t="shared" ca="1" si="0"/>
        <v>335.83333333333331</v>
      </c>
      <c r="AH33" s="4">
        <f t="shared" si="10"/>
        <v>7.8722222222222218</v>
      </c>
      <c r="AI33">
        <f t="shared" ca="1" si="11"/>
        <v>62</v>
      </c>
      <c r="AJ33">
        <f t="shared" ca="1" si="12"/>
        <v>37</v>
      </c>
      <c r="AK33">
        <f t="shared" ca="1" si="13"/>
        <v>200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  <c r="AT33" t="s">
        <v>6510</v>
      </c>
    </row>
    <row r="34" spans="1:46" x14ac:dyDescent="0.3">
      <c r="A34" t="s">
        <v>5630</v>
      </c>
      <c r="B34">
        <f t="shared" si="1"/>
        <v>200032</v>
      </c>
      <c r="C34">
        <v>200021</v>
      </c>
      <c r="D34" t="str">
        <f t="shared" si="2"/>
        <v>rg:{'id': '200021'}</v>
      </c>
      <c r="E34">
        <f>VLOOKUP(C34,Owners.csv!C:J,6,FALSE)</f>
        <v>200001</v>
      </c>
      <c r="F34" t="str">
        <f>VLOOKUP(VLOOKUP(E34,LocalAreas.csv!I:K,3,FALSE),ServiceAreas.csv!F:J,5,FALSE)</f>
        <v>200009</v>
      </c>
      <c r="G34" t="str">
        <f t="shared" si="3"/>
        <v>rg:{'id': '200001'}</v>
      </c>
      <c r="H34" t="s">
        <v>7270</v>
      </c>
      <c r="I34" t="s">
        <v>5642</v>
      </c>
      <c r="J34">
        <f>VLOOKUP(I34&amp;"-"&amp;F34,DistrictEquipmentTypes.csv!J:K,2,FALSE)</f>
        <v>200004</v>
      </c>
      <c r="K34" t="str">
        <f t="shared" si="4"/>
        <v>rg:{'id': '200004'}</v>
      </c>
      <c r="L34">
        <f t="shared" si="5"/>
        <v>1</v>
      </c>
      <c r="M34" t="str">
        <f>VLOOKUP(C34,Owners.csv!C:K,9,FALSE)&amp;TEXT(Equipment.csv!L34,"0000")</f>
        <v>DESM0001</v>
      </c>
      <c r="N34" t="s">
        <v>5401</v>
      </c>
      <c r="O34" t="s">
        <v>6691</v>
      </c>
      <c r="P34">
        <v>1976</v>
      </c>
      <c r="Q34">
        <v>33</v>
      </c>
      <c r="R34" t="s">
        <v>6663</v>
      </c>
      <c r="S34" s="1">
        <v>40328</v>
      </c>
      <c r="T34" s="1">
        <v>40359</v>
      </c>
      <c r="U34" t="str">
        <f t="shared" ca="1" si="6"/>
        <v>rg:False</v>
      </c>
      <c r="V34" t="str">
        <f t="shared" ca="1" si="7"/>
        <v>rg:None</v>
      </c>
      <c r="W34" t="s">
        <v>7090</v>
      </c>
      <c r="X34" t="s">
        <v>76</v>
      </c>
      <c r="Y34" t="s">
        <v>76</v>
      </c>
      <c r="Z34" t="s">
        <v>76</v>
      </c>
      <c r="AA34" t="s">
        <v>7437</v>
      </c>
      <c r="AB34" t="s">
        <v>7287</v>
      </c>
      <c r="AC34">
        <v>0</v>
      </c>
      <c r="AD34" t="str">
        <f t="shared" ca="1" si="8"/>
        <v>rg:False</v>
      </c>
      <c r="AE34" t="str">
        <f t="shared" ca="1" si="9"/>
        <v>rg:None</v>
      </c>
      <c r="AF34" s="1">
        <v>42461</v>
      </c>
      <c r="AG34" s="4">
        <f t="shared" ca="1" si="0"/>
        <v>267.91666666666669</v>
      </c>
      <c r="AH34" s="4">
        <f t="shared" si="10"/>
        <v>5.7527777777777782</v>
      </c>
      <c r="AI34">
        <f t="shared" ca="1" si="11"/>
        <v>164</v>
      </c>
      <c r="AJ34">
        <f t="shared" ca="1" si="12"/>
        <v>64</v>
      </c>
      <c r="AK34">
        <f t="shared" ca="1" si="13"/>
        <v>58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  <c r="AT34" t="s">
        <v>6510</v>
      </c>
    </row>
    <row r="35" spans="1:46" x14ac:dyDescent="0.3">
      <c r="A35" t="s">
        <v>5630</v>
      </c>
      <c r="B35">
        <f t="shared" si="1"/>
        <v>200033</v>
      </c>
      <c r="C35">
        <v>200022</v>
      </c>
      <c r="D35" t="str">
        <f t="shared" si="2"/>
        <v>rg:{'id': '200022'}</v>
      </c>
      <c r="E35">
        <f>VLOOKUP(C35,Owners.csv!C:J,6,FALSE)</f>
        <v>200001</v>
      </c>
      <c r="F35" t="str">
        <f>VLOOKUP(VLOOKUP(E35,LocalAreas.csv!I:K,3,FALSE),ServiceAreas.csv!F:J,5,FALSE)</f>
        <v>200009</v>
      </c>
      <c r="G35" t="str">
        <f t="shared" si="3"/>
        <v>rg:{'id': '200001'}</v>
      </c>
      <c r="H35" t="s">
        <v>7653</v>
      </c>
      <c r="I35" t="s">
        <v>5642</v>
      </c>
      <c r="J35">
        <f>VLOOKUP(I35&amp;"-"&amp;F35,DistrictEquipmentTypes.csv!J:K,2,FALSE)</f>
        <v>200004</v>
      </c>
      <c r="K35" t="str">
        <f t="shared" si="4"/>
        <v>rg:{'id': '200004'}</v>
      </c>
      <c r="L35">
        <f t="shared" si="5"/>
        <v>1</v>
      </c>
      <c r="M35" t="str">
        <f>VLOOKUP(C35,Owners.csv!C:K,9,FALSE)&amp;TEXT(Equipment.csv!L35,"0000")</f>
        <v>DEST0001</v>
      </c>
      <c r="N35" t="s">
        <v>5401</v>
      </c>
      <c r="O35" t="s">
        <v>6692</v>
      </c>
      <c r="P35">
        <v>1985</v>
      </c>
      <c r="Q35">
        <v>34</v>
      </c>
      <c r="R35" t="s">
        <v>6663</v>
      </c>
      <c r="S35" s="1">
        <v>40025</v>
      </c>
      <c r="T35" s="1">
        <v>40036</v>
      </c>
      <c r="U35" t="str">
        <f t="shared" ca="1" si="6"/>
        <v>rg:False</v>
      </c>
      <c r="V35" t="str">
        <f t="shared" ca="1" si="7"/>
        <v>rg:None</v>
      </c>
      <c r="W35" t="s">
        <v>7091</v>
      </c>
      <c r="X35" t="s">
        <v>76</v>
      </c>
      <c r="Y35" t="s">
        <v>76</v>
      </c>
      <c r="Z35" t="s">
        <v>76</v>
      </c>
      <c r="AA35" t="s">
        <v>7438</v>
      </c>
      <c r="AB35" t="s">
        <v>7288</v>
      </c>
      <c r="AC35">
        <v>0</v>
      </c>
      <c r="AD35" t="str">
        <f t="shared" ca="1" si="8"/>
        <v>rg:False</v>
      </c>
      <c r="AE35" t="str">
        <f t="shared" ca="1" si="9"/>
        <v>rg:None</v>
      </c>
      <c r="AF35" s="1">
        <v>42461</v>
      </c>
      <c r="AG35" s="4">
        <f t="shared" ca="1" si="0"/>
        <v>276.83333333333337</v>
      </c>
      <c r="AH35" s="4">
        <f t="shared" si="10"/>
        <v>6.6388888888888893</v>
      </c>
      <c r="AI35">
        <f t="shared" ca="1" si="11"/>
        <v>26</v>
      </c>
      <c r="AJ35">
        <f t="shared" ca="1" si="12"/>
        <v>111</v>
      </c>
      <c r="AK35">
        <f t="shared" ca="1" si="13"/>
        <v>96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  <c r="AT35" t="s">
        <v>6510</v>
      </c>
    </row>
    <row r="36" spans="1:46" x14ac:dyDescent="0.3">
      <c r="A36" t="s">
        <v>5630</v>
      </c>
      <c r="B36">
        <f t="shared" si="1"/>
        <v>200034</v>
      </c>
      <c r="C36">
        <v>200023</v>
      </c>
      <c r="D36" t="str">
        <f t="shared" si="2"/>
        <v>rg:{'id': '200023'}</v>
      </c>
      <c r="E36">
        <f>VLOOKUP(C36,Owners.csv!C:J,6,FALSE)</f>
        <v>200001</v>
      </c>
      <c r="F36" t="str">
        <f>VLOOKUP(VLOOKUP(E36,LocalAreas.csv!I:K,3,FALSE),ServiceAreas.csv!F:J,5,FALSE)</f>
        <v>200009</v>
      </c>
      <c r="G36" t="str">
        <f t="shared" si="3"/>
        <v>rg:{'id': '200001'}</v>
      </c>
      <c r="H36" t="s">
        <v>7675</v>
      </c>
      <c r="I36" t="s">
        <v>5642</v>
      </c>
      <c r="J36">
        <f>VLOOKUP(I36&amp;"-"&amp;F36,DistrictEquipmentTypes.csv!J:K,2,FALSE)</f>
        <v>200004</v>
      </c>
      <c r="K36" t="str">
        <f t="shared" si="4"/>
        <v>rg:{'id': '200004'}</v>
      </c>
      <c r="L36">
        <f t="shared" si="5"/>
        <v>1</v>
      </c>
      <c r="M36" t="str">
        <f>VLOOKUP(C36,Owners.csv!C:K,9,FALSE)&amp;TEXT(Equipment.csv!L36,"0000")</f>
        <v>EART0001</v>
      </c>
      <c r="N36" t="s">
        <v>5401</v>
      </c>
      <c r="O36" t="s">
        <v>6693</v>
      </c>
      <c r="P36">
        <v>1983</v>
      </c>
      <c r="Q36">
        <v>35</v>
      </c>
      <c r="R36" t="s">
        <v>6663</v>
      </c>
      <c r="S36" s="1">
        <v>40222</v>
      </c>
      <c r="T36" s="1">
        <v>40251</v>
      </c>
      <c r="U36" t="str">
        <f t="shared" ca="1" si="6"/>
        <v>rg:False</v>
      </c>
      <c r="V36" t="str">
        <f t="shared" ca="1" si="7"/>
        <v>rg:None</v>
      </c>
      <c r="W36" t="s">
        <v>7092</v>
      </c>
      <c r="X36" t="s">
        <v>76</v>
      </c>
      <c r="Y36" t="s">
        <v>76</v>
      </c>
      <c r="Z36" t="s">
        <v>76</v>
      </c>
      <c r="AA36" t="s">
        <v>7439</v>
      </c>
      <c r="AB36" t="s">
        <v>7289</v>
      </c>
      <c r="AC36">
        <v>0</v>
      </c>
      <c r="AD36" t="str">
        <f t="shared" ca="1" si="8"/>
        <v>rg:False</v>
      </c>
      <c r="AE36" t="str">
        <f t="shared" ca="1" si="9"/>
        <v>rg:None</v>
      </c>
      <c r="AF36" s="1">
        <v>42480</v>
      </c>
      <c r="AG36" s="4">
        <f t="shared" ca="1" si="0"/>
        <v>239.08333333333334</v>
      </c>
      <c r="AH36" s="4">
        <f t="shared" si="10"/>
        <v>6.0472222222222225</v>
      </c>
      <c r="AI36">
        <f t="shared" ca="1" si="11"/>
        <v>84</v>
      </c>
      <c r="AJ36">
        <f t="shared" ca="1" si="12"/>
        <v>46</v>
      </c>
      <c r="AK36">
        <f t="shared" ca="1" si="13"/>
        <v>43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  <c r="AT36" t="s">
        <v>6510</v>
      </c>
    </row>
    <row r="37" spans="1:46" x14ac:dyDescent="0.3">
      <c r="A37" t="s">
        <v>5630</v>
      </c>
      <c r="B37">
        <f t="shared" si="1"/>
        <v>200035</v>
      </c>
      <c r="C37">
        <v>200024</v>
      </c>
      <c r="D37" t="str">
        <f t="shared" si="2"/>
        <v>rg:{'id': '200024'}</v>
      </c>
      <c r="E37">
        <f>VLOOKUP(C37,Owners.csv!C:J,6,FALSE)</f>
        <v>200001</v>
      </c>
      <c r="F37" t="str">
        <f>VLOOKUP(VLOOKUP(E37,LocalAreas.csv!I:K,3,FALSE),ServiceAreas.csv!F:J,5,FALSE)</f>
        <v>200009</v>
      </c>
      <c r="G37" t="str">
        <f t="shared" si="3"/>
        <v>rg:{'id': '200001'}</v>
      </c>
      <c r="H37" t="s">
        <v>7649</v>
      </c>
      <c r="I37" t="s">
        <v>5642</v>
      </c>
      <c r="J37">
        <f>VLOOKUP(I37&amp;"-"&amp;F37,DistrictEquipmentTypes.csv!J:K,2,FALSE)</f>
        <v>200004</v>
      </c>
      <c r="K37" t="str">
        <f t="shared" si="4"/>
        <v>rg:{'id': '200004'}</v>
      </c>
      <c r="L37">
        <f t="shared" si="5"/>
        <v>1</v>
      </c>
      <c r="M37" t="str">
        <f>VLOOKUP(C37,Owners.csv!C:K,9,FALSE)&amp;TEXT(Equipment.csv!L37,"0000")</f>
        <v>EDWA0001</v>
      </c>
      <c r="N37" t="s">
        <v>5401</v>
      </c>
      <c r="O37" t="s">
        <v>6694</v>
      </c>
      <c r="P37">
        <v>1998</v>
      </c>
      <c r="Q37">
        <v>36</v>
      </c>
      <c r="R37" t="s">
        <v>6664</v>
      </c>
      <c r="S37" s="1">
        <v>39443</v>
      </c>
      <c r="T37" s="1">
        <v>39458</v>
      </c>
      <c r="U37" t="str">
        <f t="shared" ca="1" si="6"/>
        <v>rg:False</v>
      </c>
      <c r="V37" t="str">
        <f t="shared" ca="1" si="7"/>
        <v>rg:None</v>
      </c>
      <c r="W37" t="s">
        <v>7093</v>
      </c>
      <c r="X37" t="s">
        <v>76</v>
      </c>
      <c r="Y37" t="s">
        <v>76</v>
      </c>
      <c r="Z37" t="s">
        <v>76</v>
      </c>
      <c r="AA37" t="s">
        <v>7440</v>
      </c>
      <c r="AB37" t="s">
        <v>7290</v>
      </c>
      <c r="AC37">
        <v>0</v>
      </c>
      <c r="AD37" t="str">
        <f t="shared" ca="1" si="8"/>
        <v>rg:False</v>
      </c>
      <c r="AE37" t="str">
        <f t="shared" ca="1" si="9"/>
        <v>rg:None</v>
      </c>
      <c r="AF37" s="1">
        <v>42480</v>
      </c>
      <c r="AG37" s="4">
        <f t="shared" ca="1" si="0"/>
        <v>338.99999999999994</v>
      </c>
      <c r="AH37" s="4">
        <f t="shared" si="10"/>
        <v>8.2222222222222214</v>
      </c>
      <c r="AI37">
        <f t="shared" ca="1" si="11"/>
        <v>46</v>
      </c>
      <c r="AJ37">
        <f t="shared" ca="1" si="12"/>
        <v>64</v>
      </c>
      <c r="AK37">
        <f t="shared" ca="1" si="13"/>
        <v>167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  <c r="AT37" t="s">
        <v>6510</v>
      </c>
    </row>
    <row r="38" spans="1:46" x14ac:dyDescent="0.3">
      <c r="A38" t="s">
        <v>5630</v>
      </c>
      <c r="B38">
        <f t="shared" si="1"/>
        <v>200036</v>
      </c>
      <c r="C38">
        <v>200025</v>
      </c>
      <c r="D38" t="str">
        <f t="shared" si="2"/>
        <v>rg:{'id': '200025'}</v>
      </c>
      <c r="E38">
        <f>VLOOKUP(C38,Owners.csv!C:J,6,FALSE)</f>
        <v>200001</v>
      </c>
      <c r="F38" t="str">
        <f>VLOOKUP(VLOOKUP(E38,LocalAreas.csv!I:K,3,FALSE),ServiceAreas.csv!F:J,5,FALSE)</f>
        <v>200009</v>
      </c>
      <c r="G38" t="str">
        <f t="shared" si="3"/>
        <v>rg:{'id': '200001'}</v>
      </c>
      <c r="H38" t="s">
        <v>7676</v>
      </c>
      <c r="I38" t="s">
        <v>5642</v>
      </c>
      <c r="J38">
        <f>VLOOKUP(I38&amp;"-"&amp;F38,DistrictEquipmentTypes.csv!J:K,2,FALSE)</f>
        <v>200004</v>
      </c>
      <c r="K38" t="str">
        <f t="shared" si="4"/>
        <v>rg:{'id': '200004'}</v>
      </c>
      <c r="L38">
        <f t="shared" si="5"/>
        <v>1</v>
      </c>
      <c r="M38" t="str">
        <f>VLOOKUP(C38,Owners.csv!C:K,9,FALSE)&amp;TEXT(Equipment.csv!L38,"0000")</f>
        <v>ENVI0001</v>
      </c>
      <c r="N38" t="s">
        <v>5401</v>
      </c>
      <c r="O38" t="s">
        <v>6695</v>
      </c>
      <c r="P38">
        <v>1987</v>
      </c>
      <c r="Q38">
        <v>37</v>
      </c>
      <c r="R38" t="s">
        <v>6663</v>
      </c>
      <c r="S38" s="1">
        <v>41219</v>
      </c>
      <c r="T38" s="1">
        <v>41236</v>
      </c>
      <c r="U38" t="str">
        <f t="shared" ca="1" si="6"/>
        <v>rg:False</v>
      </c>
      <c r="V38" t="str">
        <f t="shared" ca="1" si="7"/>
        <v>rg:None</v>
      </c>
      <c r="W38" t="s">
        <v>7094</v>
      </c>
      <c r="X38" t="s">
        <v>76</v>
      </c>
      <c r="Y38" t="s">
        <v>76</v>
      </c>
      <c r="Z38" t="s">
        <v>76</v>
      </c>
      <c r="AA38" t="s">
        <v>7441</v>
      </c>
      <c r="AB38" t="s">
        <v>7291</v>
      </c>
      <c r="AC38">
        <v>0</v>
      </c>
      <c r="AD38" t="str">
        <f t="shared" ca="1" si="8"/>
        <v>rg:False</v>
      </c>
      <c r="AE38" t="str">
        <f t="shared" ca="1" si="9"/>
        <v>rg:None</v>
      </c>
      <c r="AF38" s="1">
        <v>42481</v>
      </c>
      <c r="AG38" s="4">
        <f t="shared" ca="1" si="0"/>
        <v>223.66666666666669</v>
      </c>
      <c r="AH38" s="4">
        <f t="shared" si="10"/>
        <v>3.3555555555555556</v>
      </c>
      <c r="AI38">
        <f t="shared" ca="1" si="11"/>
        <v>129</v>
      </c>
      <c r="AJ38">
        <f t="shared" ca="1" si="12"/>
        <v>74</v>
      </c>
      <c r="AK38">
        <f t="shared" ca="1" si="13"/>
        <v>166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  <c r="AT38" t="s">
        <v>6510</v>
      </c>
    </row>
    <row r="39" spans="1:46" x14ac:dyDescent="0.3">
      <c r="A39" t="s">
        <v>5630</v>
      </c>
      <c r="B39">
        <f t="shared" si="1"/>
        <v>200037</v>
      </c>
      <c r="C39">
        <v>200026</v>
      </c>
      <c r="D39" t="str">
        <f t="shared" si="2"/>
        <v>rg:{'id': '200026'}</v>
      </c>
      <c r="E39">
        <f>VLOOKUP(C39,Owners.csv!C:J,6,FALSE)</f>
        <v>200001</v>
      </c>
      <c r="F39" t="str">
        <f>VLOOKUP(VLOOKUP(E39,LocalAreas.csv!I:K,3,FALSE),ServiceAreas.csv!F:J,5,FALSE)</f>
        <v>200009</v>
      </c>
      <c r="G39" t="str">
        <f t="shared" si="3"/>
        <v>rg:{'id': '200001'}</v>
      </c>
      <c r="H39" t="s">
        <v>7677</v>
      </c>
      <c r="I39" t="s">
        <v>5642</v>
      </c>
      <c r="J39">
        <f>VLOOKUP(I39&amp;"-"&amp;F39,DistrictEquipmentTypes.csv!J:K,2,FALSE)</f>
        <v>200004</v>
      </c>
      <c r="K39" t="str">
        <f t="shared" si="4"/>
        <v>rg:{'id': '200004'}</v>
      </c>
      <c r="L39">
        <f t="shared" si="5"/>
        <v>1</v>
      </c>
      <c r="M39" t="str">
        <f>VLOOKUP(C39,Owners.csv!C:K,9,FALSE)&amp;TEXT(Equipment.csv!L39,"0000")</f>
        <v>FAMI0001</v>
      </c>
      <c r="N39" t="s">
        <v>5401</v>
      </c>
      <c r="O39" t="s">
        <v>6696</v>
      </c>
      <c r="P39">
        <v>2005</v>
      </c>
      <c r="Q39">
        <v>38</v>
      </c>
      <c r="R39" t="s">
        <v>6663</v>
      </c>
      <c r="S39" s="1">
        <v>42519</v>
      </c>
      <c r="T39" s="1">
        <v>42538</v>
      </c>
      <c r="U39" t="str">
        <f t="shared" ca="1" si="6"/>
        <v>rg:True</v>
      </c>
      <c r="V39" t="str">
        <f t="shared" ca="1" si="7"/>
        <v>This equipment should be archived</v>
      </c>
      <c r="W39" t="s">
        <v>7095</v>
      </c>
      <c r="X39" t="s">
        <v>76</v>
      </c>
      <c r="Y39" t="s">
        <v>76</v>
      </c>
      <c r="Z39" t="s">
        <v>76</v>
      </c>
      <c r="AA39" t="s">
        <v>7442</v>
      </c>
      <c r="AB39" t="s">
        <v>7292</v>
      </c>
      <c r="AC39">
        <v>0</v>
      </c>
      <c r="AD39" t="str">
        <f t="shared" ca="1" si="8"/>
        <v>rg:False</v>
      </c>
      <c r="AE39" t="str">
        <f t="shared" ca="1" si="9"/>
        <v>rg:None</v>
      </c>
      <c r="AF39" s="1">
        <v>42480</v>
      </c>
      <c r="AG39" s="4">
        <f t="shared" ca="1" si="0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  <c r="AT39" t="s">
        <v>6510</v>
      </c>
    </row>
    <row r="40" spans="1:46" x14ac:dyDescent="0.3">
      <c r="A40" t="s">
        <v>5630</v>
      </c>
      <c r="B40">
        <f t="shared" si="1"/>
        <v>200038</v>
      </c>
      <c r="C40">
        <v>200027</v>
      </c>
      <c r="D40" t="str">
        <f t="shared" si="2"/>
        <v>rg:{'id': '200027'}</v>
      </c>
      <c r="E40">
        <f>VLOOKUP(C40,Owners.csv!C:J,6,FALSE)</f>
        <v>200001</v>
      </c>
      <c r="F40" t="str">
        <f>VLOOKUP(VLOOKUP(E40,LocalAreas.csv!I:K,3,FALSE),ServiceAreas.csv!F:J,5,FALSE)</f>
        <v>200009</v>
      </c>
      <c r="G40" t="str">
        <f t="shared" si="3"/>
        <v>rg:{'id': '200001'}</v>
      </c>
      <c r="H40" t="s">
        <v>7678</v>
      </c>
      <c r="I40" t="s">
        <v>5642</v>
      </c>
      <c r="J40">
        <f>VLOOKUP(I40&amp;"-"&amp;F40,DistrictEquipmentTypes.csv!J:K,2,FALSE)</f>
        <v>200004</v>
      </c>
      <c r="K40" t="str">
        <f t="shared" si="4"/>
        <v>rg:{'id': '200004'}</v>
      </c>
      <c r="L40">
        <f t="shared" si="5"/>
        <v>1</v>
      </c>
      <c r="M40" t="str">
        <f>VLOOKUP(C40,Owners.csv!C:K,9,FALSE)&amp;TEXT(Equipment.csv!L40,"0000")</f>
        <v>FIRS0001</v>
      </c>
      <c r="N40" t="s">
        <v>5401</v>
      </c>
      <c r="O40" t="s">
        <v>6697</v>
      </c>
      <c r="P40">
        <v>1984</v>
      </c>
      <c r="Q40">
        <v>39</v>
      </c>
      <c r="R40" t="s">
        <v>6663</v>
      </c>
      <c r="S40" s="1">
        <v>41019</v>
      </c>
      <c r="T40" s="1">
        <v>41022</v>
      </c>
      <c r="U40" t="str">
        <f t="shared" ca="1" si="6"/>
        <v>rg:False</v>
      </c>
      <c r="V40" t="str">
        <f t="shared" ca="1" si="7"/>
        <v>rg:None</v>
      </c>
      <c r="W40" t="s">
        <v>7096</v>
      </c>
      <c r="X40" t="s">
        <v>76</v>
      </c>
      <c r="Y40" t="s">
        <v>76</v>
      </c>
      <c r="Z40" t="s">
        <v>76</v>
      </c>
      <c r="AA40" t="s">
        <v>7443</v>
      </c>
      <c r="AB40" t="s">
        <v>7293</v>
      </c>
      <c r="AC40">
        <v>0</v>
      </c>
      <c r="AD40" t="str">
        <f t="shared" ca="1" si="8"/>
        <v>rg:False</v>
      </c>
      <c r="AE40" t="str">
        <f t="shared" ca="1" si="9"/>
        <v>rg:None</v>
      </c>
      <c r="AF40" s="1">
        <v>42461</v>
      </c>
      <c r="AG40" s="4">
        <f t="shared" ca="1" si="0"/>
        <v>185.5</v>
      </c>
      <c r="AH40" s="4">
        <f t="shared" si="10"/>
        <v>3.9388888888888891</v>
      </c>
      <c r="AI40">
        <f t="shared" ca="1" si="11"/>
        <v>8</v>
      </c>
      <c r="AJ40">
        <f t="shared" ca="1" si="12"/>
        <v>42</v>
      </c>
      <c r="AK40">
        <f t="shared" ca="1" si="13"/>
        <v>152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  <c r="AT40" t="s">
        <v>6510</v>
      </c>
    </row>
    <row r="41" spans="1:46" x14ac:dyDescent="0.3">
      <c r="A41" t="s">
        <v>5630</v>
      </c>
      <c r="B41">
        <f t="shared" si="1"/>
        <v>200039</v>
      </c>
      <c r="C41">
        <v>200018</v>
      </c>
      <c r="D41" t="str">
        <f t="shared" si="2"/>
        <v>rg:{'id': '200018'}</v>
      </c>
      <c r="E41">
        <f>VLOOKUP(C41,Owners.csv!C:J,6,FALSE)</f>
        <v>200001</v>
      </c>
      <c r="F41" t="str">
        <f>VLOOKUP(VLOOKUP(E41,LocalAreas.csv!I:K,3,FALSE),ServiceAreas.csv!F:J,5,FALSE)</f>
        <v>200009</v>
      </c>
      <c r="G41" t="str">
        <f t="shared" si="3"/>
        <v>rg:{'id': '200001'}</v>
      </c>
      <c r="H41" t="s">
        <v>7665</v>
      </c>
      <c r="I41" t="s">
        <v>5642</v>
      </c>
      <c r="J41">
        <f>VLOOKUP(I41&amp;"-"&amp;F41,DistrictEquipmentTypes.csv!J:K,2,FALSE)</f>
        <v>200004</v>
      </c>
      <c r="K41" t="str">
        <f t="shared" si="4"/>
        <v>rg:{'id': '200004'}</v>
      </c>
      <c r="L41">
        <f t="shared" si="5"/>
        <v>1</v>
      </c>
      <c r="M41" t="str">
        <f>VLOOKUP(C41,Owners.csv!C:K,9,FALSE)&amp;TEXT(Equipment.csv!L41,"0000")</f>
        <v>CIRC0001</v>
      </c>
      <c r="N41" t="s">
        <v>5401</v>
      </c>
      <c r="O41" t="s">
        <v>6698</v>
      </c>
      <c r="P41">
        <v>2005</v>
      </c>
      <c r="Q41">
        <v>40</v>
      </c>
      <c r="R41" t="s">
        <v>6663</v>
      </c>
      <c r="S41" s="1">
        <v>41229</v>
      </c>
      <c r="T41" s="1">
        <v>41236</v>
      </c>
      <c r="U41" t="str">
        <f t="shared" ca="1" si="6"/>
        <v>rg:False</v>
      </c>
      <c r="V41" t="str">
        <f t="shared" ca="1" si="7"/>
        <v>rg:None</v>
      </c>
      <c r="W41" t="s">
        <v>7097</v>
      </c>
      <c r="X41" t="s">
        <v>76</v>
      </c>
      <c r="Y41" t="s">
        <v>76</v>
      </c>
      <c r="Z41" t="s">
        <v>76</v>
      </c>
      <c r="AA41" t="s">
        <v>7444</v>
      </c>
      <c r="AB41" t="s">
        <v>7294</v>
      </c>
      <c r="AC41">
        <v>0</v>
      </c>
      <c r="AD41" t="str">
        <f t="shared" ca="1" si="8"/>
        <v>rg:False</v>
      </c>
      <c r="AE41" t="str">
        <f t="shared" ca="1" si="9"/>
        <v>rg:None</v>
      </c>
      <c r="AF41" s="1">
        <v>42461</v>
      </c>
      <c r="AG41" s="4">
        <f t="shared" ca="1" si="0"/>
        <v>194</v>
      </c>
      <c r="AH41" s="4">
        <f t="shared" si="10"/>
        <v>3.3555555555555556</v>
      </c>
      <c r="AI41">
        <f t="shared" ca="1" si="11"/>
        <v>153</v>
      </c>
      <c r="AJ41">
        <f t="shared" ca="1" si="12"/>
        <v>24</v>
      </c>
      <c r="AK41">
        <f t="shared" ca="1" si="13"/>
        <v>103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  <c r="AT41" t="s">
        <v>6510</v>
      </c>
    </row>
    <row r="42" spans="1:46" x14ac:dyDescent="0.3">
      <c r="A42" t="s">
        <v>5630</v>
      </c>
      <c r="B42">
        <f t="shared" si="1"/>
        <v>200040</v>
      </c>
      <c r="C42">
        <v>200019</v>
      </c>
      <c r="D42" t="str">
        <f t="shared" si="2"/>
        <v>rg:{'id': '200019'}</v>
      </c>
      <c r="E42">
        <f>VLOOKUP(C42,Owners.csv!C:J,6,FALSE)</f>
        <v>200001</v>
      </c>
      <c r="F42" t="str">
        <f>VLOOKUP(VLOOKUP(E42,LocalAreas.csv!I:K,3,FALSE),ServiceAreas.csv!F:J,5,FALSE)</f>
        <v>200009</v>
      </c>
      <c r="G42" t="str">
        <f t="shared" si="3"/>
        <v>rg:{'id': '200001'}</v>
      </c>
      <c r="H42" t="s">
        <v>7644</v>
      </c>
      <c r="I42" t="s">
        <v>5642</v>
      </c>
      <c r="J42">
        <f>VLOOKUP(I42&amp;"-"&amp;F42,DistrictEquipmentTypes.csv!J:K,2,FALSE)</f>
        <v>200004</v>
      </c>
      <c r="K42" t="str">
        <f t="shared" si="4"/>
        <v>rg:{'id': '200004'}</v>
      </c>
      <c r="L42">
        <f t="shared" si="5"/>
        <v>1</v>
      </c>
      <c r="M42" t="str">
        <f>VLOOKUP(C42,Owners.csv!C:K,9,FALSE)&amp;TEXT(Equipment.csv!L42,"0000")</f>
        <v>COCO0001</v>
      </c>
      <c r="N42" t="s">
        <v>5401</v>
      </c>
      <c r="O42" t="s">
        <v>6699</v>
      </c>
      <c r="P42">
        <v>2014</v>
      </c>
      <c r="Q42">
        <v>41</v>
      </c>
      <c r="R42" t="s">
        <v>6663</v>
      </c>
      <c r="S42" s="1">
        <v>38088</v>
      </c>
      <c r="T42" s="1">
        <v>38114</v>
      </c>
      <c r="U42" t="str">
        <f t="shared" ca="1" si="6"/>
        <v>rg:False</v>
      </c>
      <c r="V42" t="str">
        <f t="shared" ca="1" si="7"/>
        <v>rg:None</v>
      </c>
      <c r="W42" t="s">
        <v>7098</v>
      </c>
      <c r="X42" t="s">
        <v>76</v>
      </c>
      <c r="Y42" t="s">
        <v>76</v>
      </c>
      <c r="Z42" t="s">
        <v>76</v>
      </c>
      <c r="AA42" t="s">
        <v>7445</v>
      </c>
      <c r="AB42" t="s">
        <v>7295</v>
      </c>
      <c r="AC42">
        <v>0</v>
      </c>
      <c r="AD42" t="str">
        <f t="shared" ca="1" si="8"/>
        <v>rg:False</v>
      </c>
      <c r="AE42" t="str">
        <f t="shared" ca="1" si="9"/>
        <v>rg:None</v>
      </c>
      <c r="AF42" s="1">
        <v>42461</v>
      </c>
      <c r="AG42" s="4">
        <f t="shared" ca="1" si="0"/>
        <v>446.33333333333331</v>
      </c>
      <c r="AH42" s="4">
        <f t="shared" si="10"/>
        <v>11.9</v>
      </c>
      <c r="AI42">
        <f t="shared" ca="1" si="11"/>
        <v>149</v>
      </c>
      <c r="AJ42">
        <f t="shared" ca="1" si="12"/>
        <v>104</v>
      </c>
      <c r="AK42">
        <f t="shared" ca="1" si="13"/>
        <v>15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  <c r="AT42" t="s">
        <v>6510</v>
      </c>
    </row>
    <row r="43" spans="1:46" x14ac:dyDescent="0.3">
      <c r="A43" t="s">
        <v>5630</v>
      </c>
      <c r="B43">
        <f t="shared" si="1"/>
        <v>200041</v>
      </c>
      <c r="C43">
        <v>200020</v>
      </c>
      <c r="D43" t="str">
        <f t="shared" si="2"/>
        <v>rg:{'id': '200020'}</v>
      </c>
      <c r="E43">
        <f>VLOOKUP(C43,Owners.csv!C:J,6,FALSE)</f>
        <v>200001</v>
      </c>
      <c r="F43" t="str">
        <f>VLOOKUP(VLOOKUP(E43,LocalAreas.csv!I:K,3,FALSE),ServiceAreas.csv!F:J,5,FALSE)</f>
        <v>200009</v>
      </c>
      <c r="G43" t="str">
        <f t="shared" si="3"/>
        <v>rg:{'id': '200001'}</v>
      </c>
      <c r="H43" t="s">
        <v>7679</v>
      </c>
      <c r="I43" t="s">
        <v>5642</v>
      </c>
      <c r="J43">
        <f>VLOOKUP(I43&amp;"-"&amp;F43,DistrictEquipmentTypes.csv!J:K,2,FALSE)</f>
        <v>200004</v>
      </c>
      <c r="K43" t="str">
        <f t="shared" si="4"/>
        <v>rg:{'id': '200004'}</v>
      </c>
      <c r="L43">
        <f t="shared" si="5"/>
        <v>1</v>
      </c>
      <c r="M43" t="str">
        <f>VLOOKUP(C43,Owners.csv!C:K,9,FALSE)&amp;TEXT(Equipment.csv!L43,"0000")</f>
        <v>DAVE0001</v>
      </c>
      <c r="N43" t="s">
        <v>5401</v>
      </c>
      <c r="O43" t="s">
        <v>6700</v>
      </c>
      <c r="P43">
        <v>1996</v>
      </c>
      <c r="Q43">
        <v>42</v>
      </c>
      <c r="R43" t="s">
        <v>6663</v>
      </c>
      <c r="S43" s="1">
        <v>41700</v>
      </c>
      <c r="T43" s="1">
        <v>41716</v>
      </c>
      <c r="U43" t="str">
        <f t="shared" ca="1" si="6"/>
        <v>rg:False</v>
      </c>
      <c r="V43" t="str">
        <f t="shared" ca="1" si="7"/>
        <v>rg:None</v>
      </c>
      <c r="W43" t="s">
        <v>7099</v>
      </c>
      <c r="X43" t="s">
        <v>76</v>
      </c>
      <c r="Y43" t="s">
        <v>76</v>
      </c>
      <c r="Z43" t="s">
        <v>76</v>
      </c>
      <c r="AA43" t="s">
        <v>7446</v>
      </c>
      <c r="AB43" t="s">
        <v>7296</v>
      </c>
      <c r="AC43">
        <v>0</v>
      </c>
      <c r="AD43" t="str">
        <f t="shared" ca="1" si="8"/>
        <v>rg:False</v>
      </c>
      <c r="AE43" t="str">
        <f t="shared" ca="1" si="9"/>
        <v>rg:None</v>
      </c>
      <c r="AF43" s="1">
        <v>42480</v>
      </c>
      <c r="AG43" s="4">
        <f t="shared" ca="1" si="0"/>
        <v>104.41666666666666</v>
      </c>
      <c r="AH43" s="4">
        <f t="shared" si="10"/>
        <v>2.036111111111111</v>
      </c>
      <c r="AI43">
        <f t="shared" ca="1" si="11"/>
        <v>65</v>
      </c>
      <c r="AJ43">
        <f t="shared" ca="1" si="12"/>
        <v>65</v>
      </c>
      <c r="AK43">
        <f t="shared" ca="1" si="13"/>
        <v>0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  <c r="AT43" t="s">
        <v>6510</v>
      </c>
    </row>
    <row r="44" spans="1:46" x14ac:dyDescent="0.3">
      <c r="A44" t="s">
        <v>5630</v>
      </c>
      <c r="B44">
        <f t="shared" si="1"/>
        <v>200042</v>
      </c>
      <c r="C44">
        <v>200021</v>
      </c>
      <c r="D44" t="str">
        <f t="shared" si="2"/>
        <v>rg:{'id': '200021'}</v>
      </c>
      <c r="E44">
        <f>VLOOKUP(C44,Owners.csv!C:J,6,FALSE)</f>
        <v>200001</v>
      </c>
      <c r="F44" t="str">
        <f>VLOOKUP(VLOOKUP(E44,LocalAreas.csv!I:K,3,FALSE),ServiceAreas.csv!F:J,5,FALSE)</f>
        <v>200009</v>
      </c>
      <c r="G44" t="str">
        <f t="shared" si="3"/>
        <v>rg:{'id': '200001'}</v>
      </c>
      <c r="H44" t="s">
        <v>7680</v>
      </c>
      <c r="I44" t="s">
        <v>5642</v>
      </c>
      <c r="J44">
        <f>VLOOKUP(I44&amp;"-"&amp;F44,DistrictEquipmentTypes.csv!J:K,2,FALSE)</f>
        <v>200004</v>
      </c>
      <c r="K44" t="str">
        <f t="shared" si="4"/>
        <v>rg:{'id': '200004'}</v>
      </c>
      <c r="L44">
        <f t="shared" si="5"/>
        <v>1</v>
      </c>
      <c r="M44" t="str">
        <f>VLOOKUP(C44,Owners.csv!C:K,9,FALSE)&amp;TEXT(Equipment.csv!L44,"0000")</f>
        <v>DESM0001</v>
      </c>
      <c r="N44" t="s">
        <v>5401</v>
      </c>
      <c r="O44" t="s">
        <v>6701</v>
      </c>
      <c r="P44">
        <v>1972</v>
      </c>
      <c r="Q44">
        <v>43</v>
      </c>
      <c r="R44" t="s">
        <v>6664</v>
      </c>
      <c r="S44" s="1">
        <v>41232</v>
      </c>
      <c r="T44" s="1">
        <v>41252</v>
      </c>
      <c r="U44" t="str">
        <f t="shared" ca="1" si="6"/>
        <v>rg:False</v>
      </c>
      <c r="V44" t="str">
        <f t="shared" ca="1" si="7"/>
        <v>rg:None</v>
      </c>
      <c r="W44" t="s">
        <v>7100</v>
      </c>
      <c r="X44" t="s">
        <v>76</v>
      </c>
      <c r="Y44" t="s">
        <v>76</v>
      </c>
      <c r="Z44" t="s">
        <v>76</v>
      </c>
      <c r="AA44" t="s">
        <v>7447</v>
      </c>
      <c r="AB44" t="s">
        <v>7297</v>
      </c>
      <c r="AC44">
        <v>0</v>
      </c>
      <c r="AD44" t="str">
        <f t="shared" ca="1" si="8"/>
        <v>rg:False</v>
      </c>
      <c r="AE44" t="str">
        <f t="shared" ca="1" si="9"/>
        <v>rg:None</v>
      </c>
      <c r="AF44" s="1">
        <v>42480</v>
      </c>
      <c r="AG44" s="4">
        <f t="shared" ca="1" si="0"/>
        <v>175</v>
      </c>
      <c r="AH44" s="4">
        <f t="shared" si="10"/>
        <v>3.3111111111111109</v>
      </c>
      <c r="AI44">
        <f t="shared" ca="1" si="11"/>
        <v>42</v>
      </c>
      <c r="AJ44">
        <f t="shared" ca="1" si="12"/>
        <v>78</v>
      </c>
      <c r="AK44">
        <f t="shared" ca="1" si="13"/>
        <v>107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  <c r="AT44" t="s">
        <v>6510</v>
      </c>
    </row>
    <row r="45" spans="1:46" x14ac:dyDescent="0.3">
      <c r="A45" t="s">
        <v>5630</v>
      </c>
      <c r="B45">
        <f t="shared" si="1"/>
        <v>200043</v>
      </c>
      <c r="C45">
        <v>200022</v>
      </c>
      <c r="D45" t="str">
        <f t="shared" si="2"/>
        <v>rg:{'id': '200022'}</v>
      </c>
      <c r="E45">
        <f>VLOOKUP(C45,Owners.csv!C:J,6,FALSE)</f>
        <v>200001</v>
      </c>
      <c r="F45" t="str">
        <f>VLOOKUP(VLOOKUP(E45,LocalAreas.csv!I:K,3,FALSE),ServiceAreas.csv!F:J,5,FALSE)</f>
        <v>200009</v>
      </c>
      <c r="G45" t="str">
        <f t="shared" si="3"/>
        <v>rg:{'id': '200001'}</v>
      </c>
      <c r="H45" t="s">
        <v>7660</v>
      </c>
      <c r="I45" t="s">
        <v>5642</v>
      </c>
      <c r="J45">
        <f>VLOOKUP(I45&amp;"-"&amp;F45,DistrictEquipmentTypes.csv!J:K,2,FALSE)</f>
        <v>200004</v>
      </c>
      <c r="K45" t="str">
        <f t="shared" si="4"/>
        <v>rg:{'id': '200004'}</v>
      </c>
      <c r="L45">
        <f t="shared" si="5"/>
        <v>1</v>
      </c>
      <c r="M45" t="str">
        <f>VLOOKUP(C45,Owners.csv!C:K,9,FALSE)&amp;TEXT(Equipment.csv!L45,"0000")</f>
        <v>DEST0001</v>
      </c>
      <c r="N45" t="s">
        <v>5401</v>
      </c>
      <c r="O45" t="s">
        <v>6702</v>
      </c>
      <c r="P45">
        <v>1977</v>
      </c>
      <c r="Q45">
        <v>44</v>
      </c>
      <c r="R45" t="s">
        <v>6664</v>
      </c>
      <c r="S45" s="1">
        <v>39968</v>
      </c>
      <c r="T45" s="1">
        <v>39974</v>
      </c>
      <c r="U45" t="str">
        <f t="shared" ca="1" si="6"/>
        <v>rg:False</v>
      </c>
      <c r="V45" t="str">
        <f t="shared" ca="1" si="7"/>
        <v>rg:None</v>
      </c>
      <c r="W45" t="s">
        <v>7101</v>
      </c>
      <c r="X45" t="s">
        <v>76</v>
      </c>
      <c r="Y45" t="s">
        <v>76</v>
      </c>
      <c r="Z45" t="s">
        <v>76</v>
      </c>
      <c r="AA45" t="s">
        <v>7448</v>
      </c>
      <c r="AB45" t="s">
        <v>7298</v>
      </c>
      <c r="AC45">
        <v>0</v>
      </c>
      <c r="AD45" t="str">
        <f t="shared" ca="1" si="8"/>
        <v>rg:False</v>
      </c>
      <c r="AE45" t="str">
        <f t="shared" ca="1" si="9"/>
        <v>rg:None</v>
      </c>
      <c r="AF45" s="1">
        <v>42481</v>
      </c>
      <c r="AG45" s="4">
        <f t="shared" ca="1" si="0"/>
        <v>251.58333333333334</v>
      </c>
      <c r="AH45" s="4">
        <f t="shared" si="10"/>
        <v>6.8083333333333336</v>
      </c>
      <c r="AI45">
        <f t="shared" ca="1" si="11"/>
        <v>28</v>
      </c>
      <c r="AJ45">
        <f t="shared" ca="1" si="12"/>
        <v>64</v>
      </c>
      <c r="AK45">
        <f t="shared" ca="1" si="13"/>
        <v>50</v>
      </c>
      <c r="AL45" t="s">
        <v>5689</v>
      </c>
      <c r="AM45" t="s">
        <v>6884</v>
      </c>
      <c r="AN45" s="1">
        <v>42392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  <c r="AT45" t="s">
        <v>6510</v>
      </c>
    </row>
    <row r="46" spans="1:46" x14ac:dyDescent="0.3">
      <c r="A46" t="s">
        <v>5630</v>
      </c>
      <c r="B46">
        <f t="shared" si="1"/>
        <v>200044</v>
      </c>
      <c r="C46">
        <v>200023</v>
      </c>
      <c r="D46" t="str">
        <f t="shared" si="2"/>
        <v>rg:{'id': '200023'}</v>
      </c>
      <c r="E46">
        <f>VLOOKUP(C46,Owners.csv!C:J,6,FALSE)</f>
        <v>200001</v>
      </c>
      <c r="F46" t="str">
        <f>VLOOKUP(VLOOKUP(E46,LocalAreas.csv!I:K,3,FALSE),ServiceAreas.csv!F:J,5,FALSE)</f>
        <v>200009</v>
      </c>
      <c r="G46" t="str">
        <f t="shared" si="3"/>
        <v>rg:{'id': '200001'}</v>
      </c>
      <c r="H46" t="s">
        <v>7681</v>
      </c>
      <c r="I46" t="s">
        <v>5642</v>
      </c>
      <c r="J46">
        <f>VLOOKUP(I46&amp;"-"&amp;F46,DistrictEquipmentTypes.csv!J:K,2,FALSE)</f>
        <v>200004</v>
      </c>
      <c r="K46" t="str">
        <f t="shared" si="4"/>
        <v>rg:{'id': '200004'}</v>
      </c>
      <c r="L46">
        <f t="shared" si="5"/>
        <v>1</v>
      </c>
      <c r="M46" t="str">
        <f>VLOOKUP(C46,Owners.csv!C:K,9,FALSE)&amp;TEXT(Equipment.csv!L46,"0000")</f>
        <v>EART0001</v>
      </c>
      <c r="N46" t="s">
        <v>5401</v>
      </c>
      <c r="O46" t="s">
        <v>6703</v>
      </c>
      <c r="P46">
        <v>1978</v>
      </c>
      <c r="Q46">
        <v>45</v>
      </c>
      <c r="R46" t="s">
        <v>6663</v>
      </c>
      <c r="S46" s="1">
        <v>38912</v>
      </c>
      <c r="T46" s="1">
        <v>38922</v>
      </c>
      <c r="U46" t="str">
        <f t="shared" ca="1" si="6"/>
        <v>rg:False</v>
      </c>
      <c r="V46" t="str">
        <f t="shared" ca="1" si="7"/>
        <v>rg:None</v>
      </c>
      <c r="W46" t="s">
        <v>7102</v>
      </c>
      <c r="X46" t="s">
        <v>76</v>
      </c>
      <c r="Y46" t="s">
        <v>76</v>
      </c>
      <c r="Z46" t="s">
        <v>76</v>
      </c>
      <c r="AA46" t="s">
        <v>7449</v>
      </c>
      <c r="AB46" t="s">
        <v>7299</v>
      </c>
      <c r="AC46">
        <v>0</v>
      </c>
      <c r="AD46" t="str">
        <f t="shared" ca="1" si="8"/>
        <v>rg:False</v>
      </c>
      <c r="AE46" t="str">
        <f t="shared" ca="1" si="9"/>
        <v>rg:None</v>
      </c>
      <c r="AF46" s="1">
        <v>42461</v>
      </c>
      <c r="AG46" s="4">
        <f t="shared" ca="1" si="0"/>
        <v>367.58333333333337</v>
      </c>
      <c r="AH46" s="4">
        <f t="shared" si="10"/>
        <v>9.6861111111111118</v>
      </c>
      <c r="AI46">
        <f t="shared" ca="1" si="11"/>
        <v>11</v>
      </c>
      <c r="AJ46">
        <f t="shared" ca="1" si="12"/>
        <v>120</v>
      </c>
      <c r="AK46">
        <f t="shared" ca="1" si="13"/>
        <v>100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  <c r="AT46" t="s">
        <v>6510</v>
      </c>
    </row>
    <row r="47" spans="1:46" x14ac:dyDescent="0.3">
      <c r="A47" t="s">
        <v>5630</v>
      </c>
      <c r="B47">
        <f t="shared" si="1"/>
        <v>200045</v>
      </c>
      <c r="C47">
        <v>200024</v>
      </c>
      <c r="D47" t="str">
        <f t="shared" si="2"/>
        <v>rg:{'id': '200024'}</v>
      </c>
      <c r="E47">
        <f>VLOOKUP(C47,Owners.csv!C:J,6,FALSE)</f>
        <v>200001</v>
      </c>
      <c r="F47" t="str">
        <f>VLOOKUP(VLOOKUP(E47,LocalAreas.csv!I:K,3,FALSE),ServiceAreas.csv!F:J,5,FALSE)</f>
        <v>200009</v>
      </c>
      <c r="G47" t="str">
        <f t="shared" si="3"/>
        <v>rg:{'id': '200001'}</v>
      </c>
      <c r="H47" t="s">
        <v>7682</v>
      </c>
      <c r="I47" t="s">
        <v>5642</v>
      </c>
      <c r="J47">
        <f>VLOOKUP(I47&amp;"-"&amp;F47,DistrictEquipmentTypes.csv!J:K,2,FALSE)</f>
        <v>200004</v>
      </c>
      <c r="K47" t="str">
        <f t="shared" si="4"/>
        <v>rg:{'id': '200004'}</v>
      </c>
      <c r="L47">
        <f t="shared" si="5"/>
        <v>1</v>
      </c>
      <c r="M47" t="str">
        <f>VLOOKUP(C47,Owners.csv!C:K,9,FALSE)&amp;TEXT(Equipment.csv!L47,"0000")</f>
        <v>EDWA0001</v>
      </c>
      <c r="N47" t="s">
        <v>5401</v>
      </c>
      <c r="O47" t="s">
        <v>6704</v>
      </c>
      <c r="P47">
        <v>1997</v>
      </c>
      <c r="Q47">
        <v>46</v>
      </c>
      <c r="R47" t="s">
        <v>6663</v>
      </c>
      <c r="S47" s="1">
        <v>41589</v>
      </c>
      <c r="T47" s="1">
        <v>41603</v>
      </c>
      <c r="U47" t="str">
        <f t="shared" ca="1" si="6"/>
        <v>rg:False</v>
      </c>
      <c r="V47" t="str">
        <f t="shared" ca="1" si="7"/>
        <v>rg:None</v>
      </c>
      <c r="W47" t="s">
        <v>7103</v>
      </c>
      <c r="X47" t="s">
        <v>76</v>
      </c>
      <c r="Y47" t="s">
        <v>76</v>
      </c>
      <c r="Z47" t="s">
        <v>76</v>
      </c>
      <c r="AA47" t="s">
        <v>7450</v>
      </c>
      <c r="AB47" t="s">
        <v>7300</v>
      </c>
      <c r="AC47">
        <v>0</v>
      </c>
      <c r="AD47" t="str">
        <f t="shared" ca="1" si="8"/>
        <v>rg:False</v>
      </c>
      <c r="AE47" t="str">
        <f t="shared" ca="1" si="9"/>
        <v>rg:None</v>
      </c>
      <c r="AF47" s="1">
        <v>42481</v>
      </c>
      <c r="AG47" s="4">
        <f t="shared" ca="1" si="0"/>
        <v>108.5</v>
      </c>
      <c r="AH47" s="4">
        <f t="shared" si="10"/>
        <v>2.35</v>
      </c>
      <c r="AI47">
        <f t="shared" ca="1" si="11"/>
        <v>59</v>
      </c>
      <c r="AJ47">
        <f t="shared" ca="1" si="12"/>
        <v>55</v>
      </c>
      <c r="AK47">
        <f t="shared" ca="1" si="13"/>
        <v>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  <c r="AT47" t="s">
        <v>6510</v>
      </c>
    </row>
    <row r="48" spans="1:46" x14ac:dyDescent="0.3">
      <c r="A48" t="s">
        <v>5630</v>
      </c>
      <c r="B48">
        <f t="shared" si="1"/>
        <v>200046</v>
      </c>
      <c r="C48">
        <v>200025</v>
      </c>
      <c r="D48" t="str">
        <f t="shared" si="2"/>
        <v>rg:{'id': '200025'}</v>
      </c>
      <c r="E48">
        <f>VLOOKUP(C48,Owners.csv!C:J,6,FALSE)</f>
        <v>200001</v>
      </c>
      <c r="F48" t="str">
        <f>VLOOKUP(VLOOKUP(E48,LocalAreas.csv!I:K,3,FALSE),ServiceAreas.csv!F:J,5,FALSE)</f>
        <v>200009</v>
      </c>
      <c r="G48" t="str">
        <f t="shared" si="3"/>
        <v>rg:{'id': '200001'}</v>
      </c>
      <c r="H48" t="s">
        <v>7683</v>
      </c>
      <c r="I48" t="s">
        <v>5642</v>
      </c>
      <c r="J48">
        <f>VLOOKUP(I48&amp;"-"&amp;F48,DistrictEquipmentTypes.csv!J:K,2,FALSE)</f>
        <v>200004</v>
      </c>
      <c r="K48" t="str">
        <f t="shared" si="4"/>
        <v>rg:{'id': '200004'}</v>
      </c>
      <c r="L48">
        <f t="shared" si="5"/>
        <v>1</v>
      </c>
      <c r="M48" t="str">
        <f>VLOOKUP(C48,Owners.csv!C:K,9,FALSE)&amp;TEXT(Equipment.csv!L48,"0000")</f>
        <v>ENVI0001</v>
      </c>
      <c r="N48" t="s">
        <v>5401</v>
      </c>
      <c r="O48" t="s">
        <v>6705</v>
      </c>
      <c r="P48">
        <v>1996</v>
      </c>
      <c r="Q48">
        <v>47</v>
      </c>
      <c r="R48" t="s">
        <v>6663</v>
      </c>
      <c r="S48" s="1">
        <v>38590</v>
      </c>
      <c r="T48" s="1">
        <v>38595</v>
      </c>
      <c r="U48" t="str">
        <f t="shared" ca="1" si="6"/>
        <v>rg:False</v>
      </c>
      <c r="V48" t="str">
        <f t="shared" ca="1" si="7"/>
        <v>rg:None</v>
      </c>
      <c r="W48" t="s">
        <v>7104</v>
      </c>
      <c r="X48" t="s">
        <v>76</v>
      </c>
      <c r="Y48" t="s">
        <v>76</v>
      </c>
      <c r="Z48" t="s">
        <v>76</v>
      </c>
      <c r="AA48" t="s">
        <v>7451</v>
      </c>
      <c r="AB48" t="s">
        <v>7270</v>
      </c>
      <c r="AC48">
        <v>0</v>
      </c>
      <c r="AD48" t="str">
        <f t="shared" ca="1" si="8"/>
        <v>rg:True</v>
      </c>
      <c r="AE48" t="str">
        <f t="shared" ca="1" si="9"/>
        <v>Seniority overridden to test things</v>
      </c>
      <c r="AF48" s="1">
        <v>42480</v>
      </c>
      <c r="AG48" s="4">
        <f t="shared" ca="1" si="0"/>
        <v>387.25</v>
      </c>
      <c r="AH48" s="4">
        <f t="shared" si="10"/>
        <v>10.58611111111111</v>
      </c>
      <c r="AI48">
        <f t="shared" ca="1" si="11"/>
        <v>148</v>
      </c>
      <c r="AJ48">
        <f t="shared" ca="1" si="12"/>
        <v>45</v>
      </c>
      <c r="AK48">
        <f t="shared" ca="1" si="13"/>
        <v>16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  <c r="AT48" t="s">
        <v>6510</v>
      </c>
    </row>
    <row r="49" spans="1:46" x14ac:dyDescent="0.3">
      <c r="A49" t="s">
        <v>5630</v>
      </c>
      <c r="B49">
        <f t="shared" si="1"/>
        <v>200047</v>
      </c>
      <c r="C49">
        <v>200026</v>
      </c>
      <c r="D49" t="str">
        <f t="shared" si="2"/>
        <v>rg:{'id': '200026'}</v>
      </c>
      <c r="E49">
        <f>VLOOKUP(C49,Owners.csv!C:J,6,FALSE)</f>
        <v>200001</v>
      </c>
      <c r="F49" t="str">
        <f>VLOOKUP(VLOOKUP(E49,LocalAreas.csv!I:K,3,FALSE),ServiceAreas.csv!F:J,5,FALSE)</f>
        <v>200009</v>
      </c>
      <c r="G49" t="str">
        <f t="shared" si="3"/>
        <v>rg:{'id': '200001'}</v>
      </c>
      <c r="H49" t="s">
        <v>7647</v>
      </c>
      <c r="I49" t="s">
        <v>5642</v>
      </c>
      <c r="J49">
        <f>VLOOKUP(I49&amp;"-"&amp;F49,DistrictEquipmentTypes.csv!J:K,2,FALSE)</f>
        <v>200004</v>
      </c>
      <c r="K49" t="str">
        <f t="shared" si="4"/>
        <v>rg:{'id': '200004'}</v>
      </c>
      <c r="L49">
        <f t="shared" si="5"/>
        <v>1</v>
      </c>
      <c r="M49" t="str">
        <f>VLOOKUP(C49,Owners.csv!C:K,9,FALSE)&amp;TEXT(Equipment.csv!L49,"0000")</f>
        <v>FAMI0001</v>
      </c>
      <c r="N49" t="s">
        <v>5401</v>
      </c>
      <c r="O49" t="s">
        <v>6706</v>
      </c>
      <c r="P49">
        <v>2009</v>
      </c>
      <c r="Q49">
        <v>48</v>
      </c>
      <c r="R49" t="s">
        <v>6663</v>
      </c>
      <c r="S49" s="1">
        <v>40209</v>
      </c>
      <c r="T49" s="1">
        <v>40211</v>
      </c>
      <c r="U49" t="str">
        <f t="shared" ca="1" si="6"/>
        <v>rg:False</v>
      </c>
      <c r="V49" t="str">
        <f t="shared" ca="1" si="7"/>
        <v>rg:None</v>
      </c>
      <c r="W49" t="s">
        <v>7105</v>
      </c>
      <c r="X49" t="s">
        <v>76</v>
      </c>
      <c r="Y49" t="s">
        <v>76</v>
      </c>
      <c r="Z49" t="s">
        <v>76</v>
      </c>
      <c r="AA49" t="s">
        <v>7452</v>
      </c>
      <c r="AB49" t="s">
        <v>7301</v>
      </c>
      <c r="AC49">
        <v>0</v>
      </c>
      <c r="AD49" t="str">
        <f t="shared" ca="1" si="8"/>
        <v>rg:False</v>
      </c>
      <c r="AE49" t="str">
        <f t="shared" ca="1" si="9"/>
        <v>rg:None</v>
      </c>
      <c r="AF49" s="1">
        <v>42461</v>
      </c>
      <c r="AG49" s="4">
        <f t="shared" ca="1" si="0"/>
        <v>254.58333333333331</v>
      </c>
      <c r="AH49" s="4">
        <f t="shared" si="10"/>
        <v>6.1638888888888888</v>
      </c>
      <c r="AI49">
        <f t="shared" ca="1" si="11"/>
        <v>183</v>
      </c>
      <c r="AJ49">
        <f t="shared" ca="1" si="12"/>
        <v>17</v>
      </c>
      <c r="AK49">
        <f t="shared" ca="1" si="13"/>
        <v>9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  <c r="AT49" t="s">
        <v>6510</v>
      </c>
    </row>
    <row r="50" spans="1:46" x14ac:dyDescent="0.3">
      <c r="A50" t="s">
        <v>5630</v>
      </c>
      <c r="B50">
        <f t="shared" si="1"/>
        <v>200048</v>
      </c>
      <c r="C50">
        <v>200027</v>
      </c>
      <c r="D50" t="str">
        <f t="shared" si="2"/>
        <v>rg:{'id': '200027'}</v>
      </c>
      <c r="E50">
        <f>VLOOKUP(C50,Owners.csv!C:J,6,FALSE)</f>
        <v>200001</v>
      </c>
      <c r="F50" t="str">
        <f>VLOOKUP(VLOOKUP(E50,LocalAreas.csv!I:K,3,FALSE),ServiceAreas.csv!F:J,5,FALSE)</f>
        <v>200009</v>
      </c>
      <c r="G50" t="str">
        <f t="shared" si="3"/>
        <v>rg:{'id': '200001'}</v>
      </c>
      <c r="H50" t="s">
        <v>7684</v>
      </c>
      <c r="I50" t="s">
        <v>5642</v>
      </c>
      <c r="J50">
        <f>VLOOKUP(I50&amp;"-"&amp;F50,DistrictEquipmentTypes.csv!J:K,2,FALSE)</f>
        <v>200004</v>
      </c>
      <c r="K50" t="str">
        <f t="shared" si="4"/>
        <v>rg:{'id': '200004'}</v>
      </c>
      <c r="L50">
        <f t="shared" si="5"/>
        <v>1</v>
      </c>
      <c r="M50" t="str">
        <f>VLOOKUP(C50,Owners.csv!C:K,9,FALSE)&amp;TEXT(Equipment.csv!L50,"0000")</f>
        <v>FIRS0001</v>
      </c>
      <c r="N50" t="s">
        <v>5401</v>
      </c>
      <c r="O50" t="s">
        <v>6707</v>
      </c>
      <c r="P50">
        <v>1981</v>
      </c>
      <c r="Q50">
        <v>49</v>
      </c>
      <c r="R50" t="s">
        <v>6663</v>
      </c>
      <c r="S50" s="1">
        <v>42240</v>
      </c>
      <c r="T50" s="1">
        <v>42246</v>
      </c>
      <c r="U50" t="str">
        <f t="shared" ca="1" si="6"/>
        <v>rg:False</v>
      </c>
      <c r="V50" t="str">
        <f t="shared" ca="1" si="7"/>
        <v>rg:None</v>
      </c>
      <c r="W50" t="s">
        <v>7106</v>
      </c>
      <c r="X50" t="s">
        <v>76</v>
      </c>
      <c r="Y50" t="s">
        <v>76</v>
      </c>
      <c r="Z50" t="s">
        <v>76</v>
      </c>
      <c r="AA50" t="s">
        <v>7453</v>
      </c>
      <c r="AB50" t="s">
        <v>7302</v>
      </c>
      <c r="AC50">
        <v>0</v>
      </c>
      <c r="AD50" t="str">
        <f t="shared" ca="1" si="8"/>
        <v>rg:False</v>
      </c>
      <c r="AE50" t="str">
        <f t="shared" ca="1" si="9"/>
        <v>rg:None</v>
      </c>
      <c r="AF50" s="1">
        <v>42481</v>
      </c>
      <c r="AG50" s="4">
        <f t="shared" ca="1" si="0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  <c r="AT50" t="s">
        <v>6510</v>
      </c>
    </row>
    <row r="51" spans="1:46" x14ac:dyDescent="0.3">
      <c r="A51" t="s">
        <v>5630</v>
      </c>
      <c r="B51">
        <f t="shared" si="1"/>
        <v>200049</v>
      </c>
      <c r="C51">
        <v>200018</v>
      </c>
      <c r="D51" t="str">
        <f t="shared" si="2"/>
        <v>rg:{'id': '200018'}</v>
      </c>
      <c r="E51">
        <f>VLOOKUP(C51,Owners.csv!C:J,6,FALSE)</f>
        <v>200001</v>
      </c>
      <c r="F51" t="str">
        <f>VLOOKUP(VLOOKUP(E51,LocalAreas.csv!I:K,3,FALSE),ServiceAreas.csv!F:J,5,FALSE)</f>
        <v>200009</v>
      </c>
      <c r="G51" t="str">
        <f t="shared" si="3"/>
        <v>rg:{'id': '200001'}</v>
      </c>
      <c r="H51" t="s">
        <v>7657</v>
      </c>
      <c r="I51" t="s">
        <v>5640</v>
      </c>
      <c r="J51">
        <f>VLOOKUP(I51&amp;"-"&amp;F51,DistrictEquipmentTypes.csv!J:K,2,FALSE)</f>
        <v>200002</v>
      </c>
      <c r="K51" t="str">
        <f t="shared" si="4"/>
        <v>rg:{'id': '200002'}</v>
      </c>
      <c r="L51">
        <f t="shared" si="5"/>
        <v>1</v>
      </c>
      <c r="M51" t="str">
        <f>VLOOKUP(C51,Owners.csv!C:K,9,FALSE)&amp;TEXT(Equipment.csv!L51,"0000")</f>
        <v>CIRC0001</v>
      </c>
      <c r="N51" t="s">
        <v>5401</v>
      </c>
      <c r="O51" t="s">
        <v>6708</v>
      </c>
      <c r="P51">
        <v>2000</v>
      </c>
      <c r="Q51">
        <v>50</v>
      </c>
      <c r="R51" t="s">
        <v>6663</v>
      </c>
      <c r="S51" s="1">
        <v>38458</v>
      </c>
      <c r="T51" s="1">
        <v>38477</v>
      </c>
      <c r="U51" t="str">
        <f t="shared" ca="1" si="6"/>
        <v>rg:False</v>
      </c>
      <c r="V51" t="str">
        <f t="shared" ca="1" si="7"/>
        <v>rg:None</v>
      </c>
      <c r="W51" t="s">
        <v>7107</v>
      </c>
      <c r="X51" t="s">
        <v>76</v>
      </c>
      <c r="Y51" t="s">
        <v>76</v>
      </c>
      <c r="Z51" t="s">
        <v>76</v>
      </c>
      <c r="AA51" t="s">
        <v>7454</v>
      </c>
      <c r="AB51" t="s">
        <v>7302</v>
      </c>
      <c r="AC51">
        <v>0</v>
      </c>
      <c r="AD51" t="str">
        <f t="shared" ca="1" si="8"/>
        <v>rg:False</v>
      </c>
      <c r="AE51" t="str">
        <f t="shared" ca="1" si="9"/>
        <v>rg:None</v>
      </c>
      <c r="AF51" s="1">
        <v>42480</v>
      </c>
      <c r="AG51" s="4">
        <f t="shared" ca="1" si="0"/>
        <v>453.16666666666663</v>
      </c>
      <c r="AH51" s="4">
        <f t="shared" si="10"/>
        <v>10.905555555555555</v>
      </c>
      <c r="AI51">
        <f t="shared" ca="1" si="11"/>
        <v>142</v>
      </c>
      <c r="AJ51">
        <f t="shared" ca="1" si="12"/>
        <v>40</v>
      </c>
      <c r="AK51">
        <f t="shared" ca="1" si="13"/>
        <v>196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  <c r="AT51" t="s">
        <v>6510</v>
      </c>
    </row>
    <row r="52" spans="1:46" x14ac:dyDescent="0.3">
      <c r="A52" t="s">
        <v>5630</v>
      </c>
      <c r="B52">
        <f t="shared" si="1"/>
        <v>200050</v>
      </c>
      <c r="C52">
        <v>200019</v>
      </c>
      <c r="D52" t="str">
        <f t="shared" si="2"/>
        <v>rg:{'id': '200019'}</v>
      </c>
      <c r="E52">
        <f>VLOOKUP(C52,Owners.csv!C:J,6,FALSE)</f>
        <v>200001</v>
      </c>
      <c r="F52" t="str">
        <f>VLOOKUP(VLOOKUP(E52,LocalAreas.csv!I:K,3,FALSE),ServiceAreas.csv!F:J,5,FALSE)</f>
        <v>200009</v>
      </c>
      <c r="G52" t="str">
        <f t="shared" si="3"/>
        <v>rg:{'id': '200001'}</v>
      </c>
      <c r="H52" t="s">
        <v>7685</v>
      </c>
      <c r="I52" t="s">
        <v>5640</v>
      </c>
      <c r="J52">
        <f>VLOOKUP(I52&amp;"-"&amp;F52,DistrictEquipmentTypes.csv!J:K,2,FALSE)</f>
        <v>200002</v>
      </c>
      <c r="K52" t="str">
        <f t="shared" si="4"/>
        <v>rg:{'id': '200002'}</v>
      </c>
      <c r="L52">
        <f t="shared" si="5"/>
        <v>1</v>
      </c>
      <c r="M52" t="str">
        <f>VLOOKUP(C52,Owners.csv!C:K,9,FALSE)&amp;TEXT(Equipment.csv!L52,"0000")</f>
        <v>COCO0001</v>
      </c>
      <c r="N52" t="s">
        <v>5401</v>
      </c>
      <c r="O52" t="s">
        <v>6709</v>
      </c>
      <c r="P52">
        <v>2010</v>
      </c>
      <c r="Q52">
        <v>51</v>
      </c>
      <c r="R52" t="s">
        <v>6663</v>
      </c>
      <c r="S52" s="1">
        <v>39936</v>
      </c>
      <c r="T52" s="1">
        <v>39964</v>
      </c>
      <c r="U52" t="str">
        <f t="shared" ca="1" si="6"/>
        <v>rg:False</v>
      </c>
      <c r="V52" t="str">
        <f t="shared" ca="1" si="7"/>
        <v>rg:None</v>
      </c>
      <c r="W52" t="s">
        <v>7108</v>
      </c>
      <c r="X52" t="s">
        <v>76</v>
      </c>
      <c r="Y52" t="s">
        <v>76</v>
      </c>
      <c r="Z52" t="s">
        <v>76</v>
      </c>
      <c r="AA52" t="s">
        <v>7455</v>
      </c>
      <c r="AB52" t="s">
        <v>7303</v>
      </c>
      <c r="AC52">
        <v>0</v>
      </c>
      <c r="AD52" t="str">
        <f t="shared" ca="1" si="8"/>
        <v>rg:False</v>
      </c>
      <c r="AE52" t="str">
        <f t="shared" ca="1" si="9"/>
        <v>rg:None</v>
      </c>
      <c r="AF52" s="1">
        <v>42480</v>
      </c>
      <c r="AG52" s="4">
        <f t="shared" ca="1" si="0"/>
        <v>340.41666666666669</v>
      </c>
      <c r="AH52" s="4">
        <f t="shared" si="10"/>
        <v>6.8361111111111112</v>
      </c>
      <c r="AI52">
        <f t="shared" ca="1" si="11"/>
        <v>166</v>
      </c>
      <c r="AJ52">
        <f t="shared" ca="1" si="12"/>
        <v>73</v>
      </c>
      <c r="AK52">
        <f t="shared" ca="1" si="13"/>
        <v>167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  <c r="AT52" t="s">
        <v>6510</v>
      </c>
    </row>
    <row r="53" spans="1:46" x14ac:dyDescent="0.3">
      <c r="A53" t="s">
        <v>5630</v>
      </c>
      <c r="B53">
        <f t="shared" si="1"/>
        <v>200051</v>
      </c>
      <c r="C53">
        <v>200020</v>
      </c>
      <c r="D53" t="str">
        <f t="shared" si="2"/>
        <v>rg:{'id': '200020'}</v>
      </c>
      <c r="E53">
        <f>VLOOKUP(C53,Owners.csv!C:J,6,FALSE)</f>
        <v>200001</v>
      </c>
      <c r="F53" t="str">
        <f>VLOOKUP(VLOOKUP(E53,LocalAreas.csv!I:K,3,FALSE),ServiceAreas.csv!F:J,5,FALSE)</f>
        <v>200009</v>
      </c>
      <c r="G53" t="str">
        <f t="shared" si="3"/>
        <v>rg:{'id': '200001'}</v>
      </c>
      <c r="H53" t="s">
        <v>7686</v>
      </c>
      <c r="I53" t="s">
        <v>5640</v>
      </c>
      <c r="J53">
        <f>VLOOKUP(I53&amp;"-"&amp;F53,DistrictEquipmentTypes.csv!J:K,2,FALSE)</f>
        <v>200002</v>
      </c>
      <c r="K53" t="str">
        <f t="shared" si="4"/>
        <v>rg:{'id': '200002'}</v>
      </c>
      <c r="L53">
        <f t="shared" si="5"/>
        <v>1</v>
      </c>
      <c r="M53" t="str">
        <f>VLOOKUP(C53,Owners.csv!C:K,9,FALSE)&amp;TEXT(Equipment.csv!L53,"0000")</f>
        <v>DAVE0001</v>
      </c>
      <c r="N53" t="s">
        <v>5401</v>
      </c>
      <c r="O53" t="s">
        <v>6710</v>
      </c>
      <c r="P53">
        <v>1987</v>
      </c>
      <c r="Q53">
        <v>52</v>
      </c>
      <c r="R53" t="s">
        <v>6663</v>
      </c>
      <c r="S53" s="1">
        <v>42566</v>
      </c>
      <c r="T53" s="1">
        <v>42591</v>
      </c>
      <c r="U53" t="str">
        <f t="shared" ca="1" si="6"/>
        <v>rg:False</v>
      </c>
      <c r="V53" t="str">
        <f t="shared" ca="1" si="7"/>
        <v>rg:None</v>
      </c>
      <c r="W53" t="s">
        <v>7109</v>
      </c>
      <c r="X53" t="s">
        <v>76</v>
      </c>
      <c r="Y53" t="s">
        <v>76</v>
      </c>
      <c r="Z53" t="s">
        <v>76</v>
      </c>
      <c r="AA53" t="s">
        <v>7456</v>
      </c>
      <c r="AB53" t="s">
        <v>7304</v>
      </c>
      <c r="AC53">
        <v>0</v>
      </c>
      <c r="AD53" t="str">
        <f t="shared" ca="1" si="8"/>
        <v>rg:False</v>
      </c>
      <c r="AE53" t="str">
        <f t="shared" ca="1" si="9"/>
        <v>rg:None</v>
      </c>
      <c r="AF53" s="1">
        <v>42481</v>
      </c>
      <c r="AG53" s="4">
        <f t="shared" ca="1" si="0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  <c r="AT53" t="s">
        <v>6510</v>
      </c>
    </row>
    <row r="54" spans="1:46" x14ac:dyDescent="0.3">
      <c r="A54" t="s">
        <v>5630</v>
      </c>
      <c r="B54">
        <f t="shared" si="1"/>
        <v>200052</v>
      </c>
      <c r="C54">
        <v>200021</v>
      </c>
      <c r="D54" t="str">
        <f t="shared" si="2"/>
        <v>rg:{'id': '200021'}</v>
      </c>
      <c r="E54">
        <f>VLOOKUP(C54,Owners.csv!C:J,6,FALSE)</f>
        <v>200001</v>
      </c>
      <c r="F54" t="str">
        <f>VLOOKUP(VLOOKUP(E54,LocalAreas.csv!I:K,3,FALSE),ServiceAreas.csv!F:J,5,FALSE)</f>
        <v>200009</v>
      </c>
      <c r="G54" t="str">
        <f t="shared" si="3"/>
        <v>rg:{'id': '200001'}</v>
      </c>
      <c r="H54" t="s">
        <v>7687</v>
      </c>
      <c r="I54" t="s">
        <v>5640</v>
      </c>
      <c r="J54">
        <f>VLOOKUP(I54&amp;"-"&amp;F54,DistrictEquipmentTypes.csv!J:K,2,FALSE)</f>
        <v>200002</v>
      </c>
      <c r="K54" t="str">
        <f t="shared" si="4"/>
        <v>rg:{'id': '200002'}</v>
      </c>
      <c r="L54">
        <f t="shared" si="5"/>
        <v>1</v>
      </c>
      <c r="M54" t="str">
        <f>VLOOKUP(C54,Owners.csv!C:K,9,FALSE)&amp;TEXT(Equipment.csv!L54,"0000")</f>
        <v>DESM0001</v>
      </c>
      <c r="N54" t="s">
        <v>5401</v>
      </c>
      <c r="O54" t="s">
        <v>6711</v>
      </c>
      <c r="P54">
        <v>1980</v>
      </c>
      <c r="Q54">
        <v>53</v>
      </c>
      <c r="R54" t="s">
        <v>6663</v>
      </c>
      <c r="S54" s="1">
        <v>42256</v>
      </c>
      <c r="T54" s="1">
        <v>42271</v>
      </c>
      <c r="U54" t="str">
        <f t="shared" ca="1" si="6"/>
        <v>rg:False</v>
      </c>
      <c r="V54" t="str">
        <f t="shared" ca="1" si="7"/>
        <v>rg:None</v>
      </c>
      <c r="W54" t="s">
        <v>7110</v>
      </c>
      <c r="X54" t="s">
        <v>76</v>
      </c>
      <c r="Y54" t="s">
        <v>76</v>
      </c>
      <c r="Z54" t="s">
        <v>76</v>
      </c>
      <c r="AA54" t="s">
        <v>7457</v>
      </c>
      <c r="AB54" t="s">
        <v>7305</v>
      </c>
      <c r="AC54">
        <v>0</v>
      </c>
      <c r="AD54" t="str">
        <f t="shared" ca="1" si="8"/>
        <v>rg:False</v>
      </c>
      <c r="AE54" t="str">
        <f t="shared" ca="1" si="9"/>
        <v>rg:None</v>
      </c>
      <c r="AF54" s="1">
        <v>42481</v>
      </c>
      <c r="AG54" s="4">
        <f t="shared" ca="1" si="0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  <c r="AT54" t="s">
        <v>6510</v>
      </c>
    </row>
    <row r="55" spans="1:46" x14ac:dyDescent="0.3">
      <c r="A55" t="s">
        <v>5630</v>
      </c>
      <c r="B55">
        <f t="shared" si="1"/>
        <v>200053</v>
      </c>
      <c r="C55">
        <v>200022</v>
      </c>
      <c r="D55" t="str">
        <f t="shared" si="2"/>
        <v>rg:{'id': '200022'}</v>
      </c>
      <c r="E55">
        <f>VLOOKUP(C55,Owners.csv!C:J,6,FALSE)</f>
        <v>200001</v>
      </c>
      <c r="F55" t="str">
        <f>VLOOKUP(VLOOKUP(E55,LocalAreas.csv!I:K,3,FALSE),ServiceAreas.csv!F:J,5,FALSE)</f>
        <v>200009</v>
      </c>
      <c r="G55" t="str">
        <f t="shared" si="3"/>
        <v>rg:{'id': '200001'}</v>
      </c>
      <c r="H55" t="s">
        <v>7655</v>
      </c>
      <c r="I55" t="s">
        <v>5640</v>
      </c>
      <c r="J55">
        <f>VLOOKUP(I55&amp;"-"&amp;F55,DistrictEquipmentTypes.csv!J:K,2,FALSE)</f>
        <v>200002</v>
      </c>
      <c r="K55" t="str">
        <f t="shared" si="4"/>
        <v>rg:{'id': '200002'}</v>
      </c>
      <c r="L55">
        <f t="shared" si="5"/>
        <v>1</v>
      </c>
      <c r="M55" t="str">
        <f>VLOOKUP(C55,Owners.csv!C:K,9,FALSE)&amp;TEXT(Equipment.csv!L55,"0000")</f>
        <v>DEST0001</v>
      </c>
      <c r="N55" t="s">
        <v>5401</v>
      </c>
      <c r="O55" t="s">
        <v>6712</v>
      </c>
      <c r="P55">
        <v>1993</v>
      </c>
      <c r="Q55">
        <v>54</v>
      </c>
      <c r="R55" t="s">
        <v>6663</v>
      </c>
      <c r="S55" s="1">
        <v>39429</v>
      </c>
      <c r="T55" s="1">
        <v>39442</v>
      </c>
      <c r="U55" t="str">
        <f t="shared" ca="1" si="6"/>
        <v>rg:False</v>
      </c>
      <c r="V55" t="str">
        <f t="shared" ca="1" si="7"/>
        <v>rg:None</v>
      </c>
      <c r="W55" t="s">
        <v>7111</v>
      </c>
      <c r="X55" t="s">
        <v>76</v>
      </c>
      <c r="Y55" t="s">
        <v>76</v>
      </c>
      <c r="Z55" t="s">
        <v>76</v>
      </c>
      <c r="AA55" t="s">
        <v>7458</v>
      </c>
      <c r="AB55" t="s">
        <v>7306</v>
      </c>
      <c r="AC55">
        <v>0</v>
      </c>
      <c r="AD55" t="str">
        <f t="shared" ca="1" si="8"/>
        <v>rg:False</v>
      </c>
      <c r="AE55" t="str">
        <f t="shared" ca="1" si="9"/>
        <v>rg:None</v>
      </c>
      <c r="AF55" s="1">
        <v>42481</v>
      </c>
      <c r="AG55" s="4">
        <f t="shared" ca="1" si="0"/>
        <v>327.91666666666669</v>
      </c>
      <c r="AH55" s="4">
        <f t="shared" si="10"/>
        <v>8.2638888888888893</v>
      </c>
      <c r="AI55">
        <f t="shared" ca="1" si="11"/>
        <v>89</v>
      </c>
      <c r="AJ55">
        <f t="shared" ca="1" si="12"/>
        <v>86</v>
      </c>
      <c r="AK55">
        <f t="shared" ca="1" si="13"/>
        <v>65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  <c r="AT55" t="s">
        <v>6510</v>
      </c>
    </row>
    <row r="56" spans="1:46" x14ac:dyDescent="0.3">
      <c r="A56" t="s">
        <v>5630</v>
      </c>
      <c r="B56">
        <f t="shared" si="1"/>
        <v>200054</v>
      </c>
      <c r="C56">
        <v>200023</v>
      </c>
      <c r="D56" t="str">
        <f t="shared" si="2"/>
        <v>rg:{'id': '200023'}</v>
      </c>
      <c r="E56">
        <f>VLOOKUP(C56,Owners.csv!C:J,6,FALSE)</f>
        <v>200001</v>
      </c>
      <c r="F56" t="str">
        <f>VLOOKUP(VLOOKUP(E56,LocalAreas.csv!I:K,3,FALSE),ServiceAreas.csv!F:J,5,FALSE)</f>
        <v>200009</v>
      </c>
      <c r="G56" t="str">
        <f t="shared" si="3"/>
        <v>rg:{'id': '200001'}</v>
      </c>
      <c r="H56" t="s">
        <v>7688</v>
      </c>
      <c r="I56" t="s">
        <v>5640</v>
      </c>
      <c r="J56">
        <f>VLOOKUP(I56&amp;"-"&amp;F56,DistrictEquipmentTypes.csv!J:K,2,FALSE)</f>
        <v>200002</v>
      </c>
      <c r="K56" t="str">
        <f t="shared" si="4"/>
        <v>rg:{'id': '200002'}</v>
      </c>
      <c r="L56">
        <f t="shared" si="5"/>
        <v>1</v>
      </c>
      <c r="M56" t="str">
        <f>VLOOKUP(C56,Owners.csv!C:K,9,FALSE)&amp;TEXT(Equipment.csv!L56,"0000")</f>
        <v>EART0001</v>
      </c>
      <c r="N56" t="s">
        <v>5401</v>
      </c>
      <c r="O56" t="s">
        <v>6713</v>
      </c>
      <c r="P56">
        <v>1973</v>
      </c>
      <c r="Q56">
        <v>55</v>
      </c>
      <c r="R56" t="s">
        <v>6663</v>
      </c>
      <c r="S56" s="1">
        <v>38527</v>
      </c>
      <c r="T56" s="1">
        <v>38539</v>
      </c>
      <c r="U56" t="str">
        <f t="shared" ca="1" si="6"/>
        <v>rg:False</v>
      </c>
      <c r="V56" t="str">
        <f t="shared" ca="1" si="7"/>
        <v>rg:None</v>
      </c>
      <c r="W56" t="s">
        <v>7112</v>
      </c>
      <c r="X56" t="s">
        <v>76</v>
      </c>
      <c r="Y56" t="s">
        <v>76</v>
      </c>
      <c r="Z56" t="s">
        <v>76</v>
      </c>
      <c r="AA56" t="s">
        <v>7459</v>
      </c>
      <c r="AB56" t="s">
        <v>7307</v>
      </c>
      <c r="AC56">
        <v>0</v>
      </c>
      <c r="AD56" t="str">
        <f t="shared" ca="1" si="8"/>
        <v>rg:False</v>
      </c>
      <c r="AE56" t="str">
        <f t="shared" ca="1" si="9"/>
        <v>rg:None</v>
      </c>
      <c r="AF56" s="1">
        <v>42481</v>
      </c>
      <c r="AG56" s="4">
        <f t="shared" ca="1" si="0"/>
        <v>488.08333333333331</v>
      </c>
      <c r="AH56" s="4">
        <f t="shared" si="10"/>
        <v>10.736111111111111</v>
      </c>
      <c r="AI56">
        <f t="shared" ca="1" si="11"/>
        <v>182</v>
      </c>
      <c r="AJ56">
        <f t="shared" ca="1" si="12"/>
        <v>153</v>
      </c>
      <c r="AK56">
        <f t="shared" ca="1" si="13"/>
        <v>163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  <c r="AT56" t="s">
        <v>6510</v>
      </c>
    </row>
    <row r="57" spans="1:46" x14ac:dyDescent="0.3">
      <c r="A57" t="s">
        <v>5630</v>
      </c>
      <c r="B57">
        <f t="shared" si="1"/>
        <v>200055</v>
      </c>
      <c r="C57">
        <v>200024</v>
      </c>
      <c r="D57" t="str">
        <f t="shared" si="2"/>
        <v>rg:{'id': '200024'}</v>
      </c>
      <c r="E57">
        <f>VLOOKUP(C57,Owners.csv!C:J,6,FALSE)</f>
        <v>200001</v>
      </c>
      <c r="F57" t="str">
        <f>VLOOKUP(VLOOKUP(E57,LocalAreas.csv!I:K,3,FALSE),ServiceAreas.csv!F:J,5,FALSE)</f>
        <v>200009</v>
      </c>
      <c r="G57" t="str">
        <f t="shared" si="3"/>
        <v>rg:{'id': '200001'}</v>
      </c>
      <c r="H57" t="s">
        <v>7689</v>
      </c>
      <c r="I57" t="s">
        <v>5640</v>
      </c>
      <c r="J57">
        <f>VLOOKUP(I57&amp;"-"&amp;F57,DistrictEquipmentTypes.csv!J:K,2,FALSE)</f>
        <v>200002</v>
      </c>
      <c r="K57" t="str">
        <f t="shared" si="4"/>
        <v>rg:{'id': '200002'}</v>
      </c>
      <c r="L57">
        <f t="shared" si="5"/>
        <v>1</v>
      </c>
      <c r="M57" t="str">
        <f>VLOOKUP(C57,Owners.csv!C:K,9,FALSE)&amp;TEXT(Equipment.csv!L57,"0000")</f>
        <v>EDWA0001</v>
      </c>
      <c r="N57" t="s">
        <v>5401</v>
      </c>
      <c r="O57" t="s">
        <v>6714</v>
      </c>
      <c r="P57">
        <v>2014</v>
      </c>
      <c r="Q57">
        <v>56</v>
      </c>
      <c r="R57" t="s">
        <v>6663</v>
      </c>
      <c r="S57" s="1">
        <v>41744</v>
      </c>
      <c r="T57" s="1">
        <v>41751</v>
      </c>
      <c r="U57" t="str">
        <f t="shared" ca="1" si="6"/>
        <v>rg:False</v>
      </c>
      <c r="V57" t="str">
        <f t="shared" ca="1" si="7"/>
        <v>rg:None</v>
      </c>
      <c r="W57" t="s">
        <v>7113</v>
      </c>
      <c r="X57" t="s">
        <v>76</v>
      </c>
      <c r="Y57" t="s">
        <v>76</v>
      </c>
      <c r="Z57" t="s">
        <v>76</v>
      </c>
      <c r="AA57" t="s">
        <v>7460</v>
      </c>
      <c r="AB57" t="s">
        <v>7308</v>
      </c>
      <c r="AC57">
        <v>0</v>
      </c>
      <c r="AD57" t="str">
        <f t="shared" ca="1" si="8"/>
        <v>rg:False</v>
      </c>
      <c r="AE57" t="str">
        <f t="shared" ca="1" si="9"/>
        <v>rg:None</v>
      </c>
      <c r="AF57" s="1">
        <v>42481</v>
      </c>
      <c r="AG57" s="4">
        <f t="shared" ca="1" si="0"/>
        <v>113.25</v>
      </c>
      <c r="AH57" s="4">
        <f t="shared" si="10"/>
        <v>1.9416666666666667</v>
      </c>
      <c r="AI57">
        <f t="shared" ca="1" si="11"/>
        <v>165</v>
      </c>
      <c r="AJ57">
        <f t="shared" ca="1" si="12"/>
        <v>0</v>
      </c>
      <c r="AK57">
        <f t="shared" ca="1" si="13"/>
        <v>0</v>
      </c>
      <c r="AL57" t="s">
        <v>5689</v>
      </c>
      <c r="AM57" t="s">
        <v>6884</v>
      </c>
      <c r="AN57" s="1">
        <v>42423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  <c r="AT57" t="s">
        <v>6510</v>
      </c>
    </row>
    <row r="58" spans="1:46" x14ac:dyDescent="0.3">
      <c r="A58" t="s">
        <v>5630</v>
      </c>
      <c r="B58">
        <f t="shared" si="1"/>
        <v>200056</v>
      </c>
      <c r="C58">
        <v>200025</v>
      </c>
      <c r="D58" t="str">
        <f t="shared" si="2"/>
        <v>rg:{'id': '200025'}</v>
      </c>
      <c r="E58">
        <f>VLOOKUP(C58,Owners.csv!C:J,6,FALSE)</f>
        <v>200001</v>
      </c>
      <c r="F58" t="str">
        <f>VLOOKUP(VLOOKUP(E58,LocalAreas.csv!I:K,3,FALSE),ServiceAreas.csv!F:J,5,FALSE)</f>
        <v>200009</v>
      </c>
      <c r="G58" t="str">
        <f t="shared" si="3"/>
        <v>rg:{'id': '200001'}</v>
      </c>
      <c r="H58" t="s">
        <v>7690</v>
      </c>
      <c r="I58" t="s">
        <v>5640</v>
      </c>
      <c r="J58">
        <f>VLOOKUP(I58&amp;"-"&amp;F58,DistrictEquipmentTypes.csv!J:K,2,FALSE)</f>
        <v>200002</v>
      </c>
      <c r="K58" t="str">
        <f t="shared" si="4"/>
        <v>rg:{'id': '200002'}</v>
      </c>
      <c r="L58">
        <f t="shared" si="5"/>
        <v>1</v>
      </c>
      <c r="M58" t="str">
        <f>VLOOKUP(C58,Owners.csv!C:K,9,FALSE)&amp;TEXT(Equipment.csv!L58,"0000")</f>
        <v>ENVI0001</v>
      </c>
      <c r="N58" t="s">
        <v>5401</v>
      </c>
      <c r="O58" t="s">
        <v>6715</v>
      </c>
      <c r="P58">
        <v>2013</v>
      </c>
      <c r="Q58">
        <v>57</v>
      </c>
      <c r="R58" t="s">
        <v>6663</v>
      </c>
      <c r="S58" s="1">
        <v>39217</v>
      </c>
      <c r="T58" s="1">
        <v>39246</v>
      </c>
      <c r="U58" t="str">
        <f t="shared" ca="1" si="6"/>
        <v>rg:False</v>
      </c>
      <c r="V58" t="str">
        <f t="shared" ca="1" si="7"/>
        <v>rg:None</v>
      </c>
      <c r="W58" t="s">
        <v>7114</v>
      </c>
      <c r="X58" t="s">
        <v>76</v>
      </c>
      <c r="Y58" t="s">
        <v>76</v>
      </c>
      <c r="Z58" t="s">
        <v>76</v>
      </c>
      <c r="AA58" t="s">
        <v>7461</v>
      </c>
      <c r="AB58" t="s">
        <v>7309</v>
      </c>
      <c r="AC58">
        <v>0</v>
      </c>
      <c r="AD58" t="str">
        <f t="shared" ca="1" si="8"/>
        <v>rg:True</v>
      </c>
      <c r="AE58" t="str">
        <f t="shared" ca="1" si="9"/>
        <v>Seniority overridden to test things</v>
      </c>
      <c r="AF58" s="1">
        <v>42481</v>
      </c>
      <c r="AG58" s="4">
        <f t="shared" ca="1" si="0"/>
        <v>286.33333333333331</v>
      </c>
      <c r="AH58" s="4">
        <f t="shared" si="10"/>
        <v>8.8000000000000007</v>
      </c>
      <c r="AI58">
        <f t="shared" ca="1" si="11"/>
        <v>4</v>
      </c>
      <c r="AJ58">
        <f t="shared" ca="1" si="12"/>
        <v>28</v>
      </c>
      <c r="AK58">
        <f t="shared" ca="1" si="13"/>
        <v>35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  <c r="AT58" t="s">
        <v>6510</v>
      </c>
    </row>
    <row r="59" spans="1:46" x14ac:dyDescent="0.3">
      <c r="A59" t="s">
        <v>5630</v>
      </c>
      <c r="B59">
        <f t="shared" si="1"/>
        <v>200057</v>
      </c>
      <c r="C59">
        <v>200026</v>
      </c>
      <c r="D59" t="str">
        <f t="shared" si="2"/>
        <v>rg:{'id': '200026'}</v>
      </c>
      <c r="E59">
        <f>VLOOKUP(C59,Owners.csv!C:J,6,FALSE)</f>
        <v>200001</v>
      </c>
      <c r="F59" t="str">
        <f>VLOOKUP(VLOOKUP(E59,LocalAreas.csv!I:K,3,FALSE),ServiceAreas.csv!F:J,5,FALSE)</f>
        <v>200009</v>
      </c>
      <c r="G59" t="str">
        <f t="shared" si="3"/>
        <v>rg:{'id': '200001'}</v>
      </c>
      <c r="H59" t="s">
        <v>7691</v>
      </c>
      <c r="I59" t="s">
        <v>5640</v>
      </c>
      <c r="J59">
        <f>VLOOKUP(I59&amp;"-"&amp;F59,DistrictEquipmentTypes.csv!J:K,2,FALSE)</f>
        <v>200002</v>
      </c>
      <c r="K59" t="str">
        <f t="shared" si="4"/>
        <v>rg:{'id': '200002'}</v>
      </c>
      <c r="L59">
        <f t="shared" si="5"/>
        <v>1</v>
      </c>
      <c r="M59" t="str">
        <f>VLOOKUP(C59,Owners.csv!C:K,9,FALSE)&amp;TEXT(Equipment.csv!L59,"0000")</f>
        <v>FAMI0001</v>
      </c>
      <c r="N59" t="s">
        <v>5401</v>
      </c>
      <c r="O59" t="s">
        <v>6716</v>
      </c>
      <c r="P59">
        <v>1980</v>
      </c>
      <c r="Q59">
        <v>58</v>
      </c>
      <c r="R59" t="s">
        <v>6663</v>
      </c>
      <c r="S59" s="1">
        <v>40016</v>
      </c>
      <c r="T59" s="1">
        <v>40032</v>
      </c>
      <c r="U59" t="str">
        <f t="shared" ca="1" si="6"/>
        <v>rg:False</v>
      </c>
      <c r="V59" t="str">
        <f t="shared" ca="1" si="7"/>
        <v>rg:None</v>
      </c>
      <c r="W59" t="s">
        <v>7115</v>
      </c>
      <c r="X59" t="s">
        <v>76</v>
      </c>
      <c r="Y59" t="s">
        <v>76</v>
      </c>
      <c r="Z59" t="s">
        <v>76</v>
      </c>
      <c r="AA59" t="s">
        <v>7462</v>
      </c>
      <c r="AB59" t="s">
        <v>7256</v>
      </c>
      <c r="AC59">
        <v>0</v>
      </c>
      <c r="AD59" t="str">
        <f t="shared" ca="1" si="8"/>
        <v>rg:True</v>
      </c>
      <c r="AE59" t="str">
        <f t="shared" ca="1" si="9"/>
        <v>Seniority overridden to test things</v>
      </c>
      <c r="AF59" s="1">
        <v>42481</v>
      </c>
      <c r="AG59" s="4">
        <f t="shared" ca="1" si="0"/>
        <v>341.83333333333337</v>
      </c>
      <c r="AH59" s="4">
        <f t="shared" si="10"/>
        <v>6.65</v>
      </c>
      <c r="AI59">
        <f t="shared" ca="1" si="11"/>
        <v>65</v>
      </c>
      <c r="AJ59">
        <f t="shared" ca="1" si="12"/>
        <v>176</v>
      </c>
      <c r="AK59">
        <f t="shared" ca="1" si="13"/>
        <v>186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  <c r="AT59" t="s">
        <v>6510</v>
      </c>
    </row>
    <row r="60" spans="1:46" x14ac:dyDescent="0.3">
      <c r="A60" t="s">
        <v>5630</v>
      </c>
      <c r="B60">
        <f t="shared" si="1"/>
        <v>200058</v>
      </c>
      <c r="C60">
        <v>200027</v>
      </c>
      <c r="D60" t="str">
        <f t="shared" si="2"/>
        <v>rg:{'id': '200027'}</v>
      </c>
      <c r="E60">
        <f>VLOOKUP(C60,Owners.csv!C:J,6,FALSE)</f>
        <v>200001</v>
      </c>
      <c r="F60" t="str">
        <f>VLOOKUP(VLOOKUP(E60,LocalAreas.csv!I:K,3,FALSE),ServiceAreas.csv!F:J,5,FALSE)</f>
        <v>200009</v>
      </c>
      <c r="G60" t="str">
        <f t="shared" si="3"/>
        <v>rg:{'id': '200001'}</v>
      </c>
      <c r="H60" t="s">
        <v>7692</v>
      </c>
      <c r="I60" t="s">
        <v>5640</v>
      </c>
      <c r="J60">
        <f>VLOOKUP(I60&amp;"-"&amp;F60,DistrictEquipmentTypes.csv!J:K,2,FALSE)</f>
        <v>200002</v>
      </c>
      <c r="K60" t="str">
        <f t="shared" si="4"/>
        <v>rg:{'id': '200002'}</v>
      </c>
      <c r="L60">
        <f t="shared" si="5"/>
        <v>1</v>
      </c>
      <c r="M60" t="str">
        <f>VLOOKUP(C60,Owners.csv!C:K,9,FALSE)&amp;TEXT(Equipment.csv!L60,"0000")</f>
        <v>FIRS0001</v>
      </c>
      <c r="N60" t="s">
        <v>5401</v>
      </c>
      <c r="O60" t="s">
        <v>6717</v>
      </c>
      <c r="P60">
        <v>1977</v>
      </c>
      <c r="Q60">
        <v>59</v>
      </c>
      <c r="R60" t="s">
        <v>6663</v>
      </c>
      <c r="S60" s="1">
        <v>40658</v>
      </c>
      <c r="T60" s="1">
        <v>40683</v>
      </c>
      <c r="U60" t="str">
        <f t="shared" ca="1" si="6"/>
        <v>rg:True</v>
      </c>
      <c r="V60" t="str">
        <f t="shared" ca="1" si="7"/>
        <v>This equipment should be archived</v>
      </c>
      <c r="W60" t="s">
        <v>7116</v>
      </c>
      <c r="X60" t="s">
        <v>76</v>
      </c>
      <c r="Y60" t="s">
        <v>76</v>
      </c>
      <c r="Z60" t="s">
        <v>76</v>
      </c>
      <c r="AA60" t="s">
        <v>7463</v>
      </c>
      <c r="AB60" t="s">
        <v>7310</v>
      </c>
      <c r="AC60">
        <v>0</v>
      </c>
      <c r="AD60" t="str">
        <f t="shared" ca="1" si="8"/>
        <v>rg:False</v>
      </c>
      <c r="AE60" t="str">
        <f t="shared" ca="1" si="9"/>
        <v>rg:None</v>
      </c>
      <c r="AF60" s="1">
        <v>42481</v>
      </c>
      <c r="AG60" s="4">
        <f t="shared" ca="1" si="0"/>
        <v>269.58333333333331</v>
      </c>
      <c r="AH60" s="4">
        <f t="shared" si="10"/>
        <v>4.8638888888888889</v>
      </c>
      <c r="AI60">
        <f t="shared" ca="1" si="11"/>
        <v>85</v>
      </c>
      <c r="AJ60">
        <f t="shared" ca="1" si="12"/>
        <v>159</v>
      </c>
      <c r="AK60">
        <f t="shared" ca="1" si="13"/>
        <v>127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  <c r="AT60" t="s">
        <v>6510</v>
      </c>
    </row>
    <row r="61" spans="1:46" x14ac:dyDescent="0.3">
      <c r="A61" t="s">
        <v>5630</v>
      </c>
      <c r="B61">
        <f t="shared" si="1"/>
        <v>200059</v>
      </c>
      <c r="C61">
        <v>200018</v>
      </c>
      <c r="D61" t="str">
        <f t="shared" si="2"/>
        <v>rg:{'id': '200018'}</v>
      </c>
      <c r="E61">
        <f>VLOOKUP(C61,Owners.csv!C:J,6,FALSE)</f>
        <v>200001</v>
      </c>
      <c r="F61" t="str">
        <f>VLOOKUP(VLOOKUP(E61,LocalAreas.csv!I:K,3,FALSE),ServiceAreas.csv!F:J,5,FALSE)</f>
        <v>200009</v>
      </c>
      <c r="G61" t="str">
        <f t="shared" si="3"/>
        <v>rg:{'id': '200001'}</v>
      </c>
      <c r="H61" t="s">
        <v>7693</v>
      </c>
      <c r="I61" t="s">
        <v>5640</v>
      </c>
      <c r="J61">
        <f>VLOOKUP(I61&amp;"-"&amp;F61,DistrictEquipmentTypes.csv!J:K,2,FALSE)</f>
        <v>200002</v>
      </c>
      <c r="K61" t="str">
        <f t="shared" si="4"/>
        <v>rg:{'id': '200002'}</v>
      </c>
      <c r="L61">
        <f t="shared" si="5"/>
        <v>1</v>
      </c>
      <c r="M61" t="str">
        <f>VLOOKUP(C61,Owners.csv!C:K,9,FALSE)&amp;TEXT(Equipment.csv!L61,"0000")</f>
        <v>CIRC0001</v>
      </c>
      <c r="N61" t="s">
        <v>5401</v>
      </c>
      <c r="O61" t="s">
        <v>6718</v>
      </c>
      <c r="P61">
        <v>2013</v>
      </c>
      <c r="Q61">
        <v>60</v>
      </c>
      <c r="R61" t="s">
        <v>6665</v>
      </c>
      <c r="S61" s="1">
        <v>40711</v>
      </c>
      <c r="T61" s="1">
        <v>40720</v>
      </c>
      <c r="U61" t="str">
        <f t="shared" ca="1" si="6"/>
        <v>rg:False</v>
      </c>
      <c r="V61" t="str">
        <f t="shared" ca="1" si="7"/>
        <v>rg:None</v>
      </c>
      <c r="W61" t="s">
        <v>7117</v>
      </c>
      <c r="X61" t="s">
        <v>76</v>
      </c>
      <c r="Y61" t="s">
        <v>76</v>
      </c>
      <c r="Z61" t="s">
        <v>76</v>
      </c>
      <c r="AA61" t="s">
        <v>7464</v>
      </c>
      <c r="AB61" t="s">
        <v>7311</v>
      </c>
      <c r="AC61">
        <v>0</v>
      </c>
      <c r="AD61" t="str">
        <f t="shared" ca="1" si="8"/>
        <v>rg:False</v>
      </c>
      <c r="AE61" t="str">
        <f t="shared" ca="1" si="9"/>
        <v>rg:None</v>
      </c>
      <c r="AF61" s="1">
        <v>42481</v>
      </c>
      <c r="AG61" s="4">
        <f t="shared" ca="1" si="0"/>
        <v>241.91666666666669</v>
      </c>
      <c r="AH61" s="4">
        <f t="shared" si="10"/>
        <v>4.7638888888888893</v>
      </c>
      <c r="AI61">
        <f t="shared" ca="1" si="11"/>
        <v>155</v>
      </c>
      <c r="AJ61">
        <f t="shared" ca="1" si="12"/>
        <v>89</v>
      </c>
      <c r="AK61">
        <f t="shared" ca="1" si="13"/>
        <v>53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  <c r="AT61" t="s">
        <v>6510</v>
      </c>
    </row>
    <row r="62" spans="1:46" x14ac:dyDescent="0.3">
      <c r="A62" t="s">
        <v>5630</v>
      </c>
      <c r="B62">
        <f t="shared" si="1"/>
        <v>200060</v>
      </c>
      <c r="C62">
        <v>200019</v>
      </c>
      <c r="D62" t="str">
        <f t="shared" si="2"/>
        <v>rg:{'id': '200019'}</v>
      </c>
      <c r="E62">
        <f>VLOOKUP(C62,Owners.csv!C:J,6,FALSE)</f>
        <v>200001</v>
      </c>
      <c r="F62" t="str">
        <f>VLOOKUP(VLOOKUP(E62,LocalAreas.csv!I:K,3,FALSE),ServiceAreas.csv!F:J,5,FALSE)</f>
        <v>200009</v>
      </c>
      <c r="G62" t="str">
        <f t="shared" si="3"/>
        <v>rg:{'id': '200001'}</v>
      </c>
      <c r="H62" t="s">
        <v>7684</v>
      </c>
      <c r="I62" t="s">
        <v>5640</v>
      </c>
      <c r="J62">
        <f>VLOOKUP(I62&amp;"-"&amp;F62,DistrictEquipmentTypes.csv!J:K,2,FALSE)</f>
        <v>200002</v>
      </c>
      <c r="K62" t="str">
        <f t="shared" si="4"/>
        <v>rg:{'id': '200002'}</v>
      </c>
      <c r="L62">
        <f t="shared" si="5"/>
        <v>1</v>
      </c>
      <c r="M62" t="str">
        <f>VLOOKUP(C62,Owners.csv!C:K,9,FALSE)&amp;TEXT(Equipment.csv!L62,"0000")</f>
        <v>COCO0001</v>
      </c>
      <c r="N62" t="s">
        <v>5401</v>
      </c>
      <c r="O62" t="s">
        <v>6719</v>
      </c>
      <c r="P62">
        <v>1986</v>
      </c>
      <c r="Q62">
        <v>61</v>
      </c>
      <c r="R62" t="s">
        <v>6663</v>
      </c>
      <c r="S62" s="1">
        <v>42503</v>
      </c>
      <c r="T62" s="1">
        <v>42510</v>
      </c>
      <c r="U62" t="str">
        <f t="shared" ca="1" si="6"/>
        <v>rg:False</v>
      </c>
      <c r="V62" t="str">
        <f t="shared" ca="1" si="7"/>
        <v>rg:None</v>
      </c>
      <c r="W62" t="s">
        <v>7118</v>
      </c>
      <c r="X62" t="s">
        <v>76</v>
      </c>
      <c r="Y62" t="s">
        <v>76</v>
      </c>
      <c r="Z62" t="s">
        <v>76</v>
      </c>
      <c r="AA62" t="s">
        <v>7465</v>
      </c>
      <c r="AB62" t="s">
        <v>7257</v>
      </c>
      <c r="AC62">
        <v>0</v>
      </c>
      <c r="AD62" t="str">
        <f t="shared" ca="1" si="8"/>
        <v>rg:False</v>
      </c>
      <c r="AE62" t="str">
        <f t="shared" ca="1" si="9"/>
        <v>rg:None</v>
      </c>
      <c r="AF62" s="1">
        <v>42481</v>
      </c>
      <c r="AG62" s="4">
        <f t="shared" ca="1" si="0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  <c r="AT62" t="s">
        <v>6510</v>
      </c>
    </row>
    <row r="63" spans="1:46" x14ac:dyDescent="0.3">
      <c r="A63" t="s">
        <v>5630</v>
      </c>
      <c r="B63">
        <f t="shared" si="1"/>
        <v>200061</v>
      </c>
      <c r="C63">
        <v>200020</v>
      </c>
      <c r="D63" t="str">
        <f t="shared" si="2"/>
        <v>rg:{'id': '200020'}</v>
      </c>
      <c r="E63">
        <f>VLOOKUP(C63,Owners.csv!C:J,6,FALSE)</f>
        <v>200001</v>
      </c>
      <c r="F63" t="str">
        <f>VLOOKUP(VLOOKUP(E63,LocalAreas.csv!I:K,3,FALSE),ServiceAreas.csv!F:J,5,FALSE)</f>
        <v>200009</v>
      </c>
      <c r="G63" t="str">
        <f t="shared" si="3"/>
        <v>rg:{'id': '200001'}</v>
      </c>
      <c r="H63" t="s">
        <v>7661</v>
      </c>
      <c r="I63" t="s">
        <v>5640</v>
      </c>
      <c r="J63">
        <f>VLOOKUP(I63&amp;"-"&amp;F63,DistrictEquipmentTypes.csv!J:K,2,FALSE)</f>
        <v>200002</v>
      </c>
      <c r="K63" t="str">
        <f t="shared" si="4"/>
        <v>rg:{'id': '200002'}</v>
      </c>
      <c r="L63">
        <f t="shared" si="5"/>
        <v>1</v>
      </c>
      <c r="M63" t="str">
        <f>VLOOKUP(C63,Owners.csv!C:K,9,FALSE)&amp;TEXT(Equipment.csv!L63,"0000")</f>
        <v>DAVE0001</v>
      </c>
      <c r="N63" t="s">
        <v>5401</v>
      </c>
      <c r="O63" t="s">
        <v>6720</v>
      </c>
      <c r="P63">
        <v>1999</v>
      </c>
      <c r="Q63">
        <v>62</v>
      </c>
      <c r="R63" t="s">
        <v>6663</v>
      </c>
      <c r="S63" s="1">
        <v>40584</v>
      </c>
      <c r="T63" s="1">
        <v>40591</v>
      </c>
      <c r="U63" t="str">
        <f t="shared" ca="1" si="6"/>
        <v>rg:False</v>
      </c>
      <c r="V63" t="str">
        <f t="shared" ca="1" si="7"/>
        <v>rg:None</v>
      </c>
      <c r="W63" t="s">
        <v>7119</v>
      </c>
      <c r="X63" t="s">
        <v>76</v>
      </c>
      <c r="Y63" t="s">
        <v>76</v>
      </c>
      <c r="Z63" t="s">
        <v>76</v>
      </c>
      <c r="AA63" t="s">
        <v>7466</v>
      </c>
      <c r="AB63" t="s">
        <v>7312</v>
      </c>
      <c r="AC63">
        <v>0</v>
      </c>
      <c r="AD63" t="str">
        <f t="shared" ca="1" si="8"/>
        <v>rg:False</v>
      </c>
      <c r="AE63" t="str">
        <f t="shared" ca="1" si="9"/>
        <v>rg:None</v>
      </c>
      <c r="AF63" s="1">
        <v>42481</v>
      </c>
      <c r="AG63" s="4">
        <f t="shared" ca="1" si="0"/>
        <v>226.33333333333331</v>
      </c>
      <c r="AH63" s="4">
        <f t="shared" si="10"/>
        <v>5.1222222222222218</v>
      </c>
      <c r="AI63">
        <f t="shared" ca="1" si="11"/>
        <v>3</v>
      </c>
      <c r="AJ63">
        <f t="shared" ca="1" si="12"/>
        <v>95</v>
      </c>
      <c r="AK63">
        <f t="shared" ca="1" si="13"/>
        <v>120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  <c r="AT63" t="s">
        <v>6510</v>
      </c>
    </row>
    <row r="64" spans="1:46" x14ac:dyDescent="0.3">
      <c r="A64" t="s">
        <v>5630</v>
      </c>
      <c r="B64">
        <f t="shared" si="1"/>
        <v>200062</v>
      </c>
      <c r="C64">
        <v>200021</v>
      </c>
      <c r="D64" t="str">
        <f t="shared" si="2"/>
        <v>rg:{'id': '200021'}</v>
      </c>
      <c r="E64">
        <f>VLOOKUP(C64,Owners.csv!C:J,6,FALSE)</f>
        <v>200001</v>
      </c>
      <c r="F64" t="str">
        <f>VLOOKUP(VLOOKUP(E64,LocalAreas.csv!I:K,3,FALSE),ServiceAreas.csv!F:J,5,FALSE)</f>
        <v>200009</v>
      </c>
      <c r="G64" t="str">
        <f t="shared" si="3"/>
        <v>rg:{'id': '200001'}</v>
      </c>
      <c r="H64" t="s">
        <v>7694</v>
      </c>
      <c r="I64" t="s">
        <v>5640</v>
      </c>
      <c r="J64">
        <f>VLOOKUP(I64&amp;"-"&amp;F64,DistrictEquipmentTypes.csv!J:K,2,FALSE)</f>
        <v>200002</v>
      </c>
      <c r="K64" t="str">
        <f t="shared" si="4"/>
        <v>rg:{'id': '200002'}</v>
      </c>
      <c r="L64">
        <f t="shared" si="5"/>
        <v>1</v>
      </c>
      <c r="M64" t="str">
        <f>VLOOKUP(C64,Owners.csv!C:K,9,FALSE)&amp;TEXT(Equipment.csv!L64,"0000")</f>
        <v>DESM0001</v>
      </c>
      <c r="N64" t="s">
        <v>5401</v>
      </c>
      <c r="O64" t="s">
        <v>6721</v>
      </c>
      <c r="P64">
        <v>2001</v>
      </c>
      <c r="Q64">
        <v>63</v>
      </c>
      <c r="R64" t="s">
        <v>6663</v>
      </c>
      <c r="S64" s="1">
        <v>41066</v>
      </c>
      <c r="T64" s="1">
        <v>41072</v>
      </c>
      <c r="U64" t="str">
        <f t="shared" ca="1" si="6"/>
        <v>rg:False</v>
      </c>
      <c r="V64" t="str">
        <f t="shared" ca="1" si="7"/>
        <v>rg:None</v>
      </c>
      <c r="W64" t="s">
        <v>7120</v>
      </c>
      <c r="X64" t="s">
        <v>76</v>
      </c>
      <c r="Y64" t="s">
        <v>76</v>
      </c>
      <c r="Z64" t="s">
        <v>76</v>
      </c>
      <c r="AA64" t="s">
        <v>7467</v>
      </c>
      <c r="AB64" t="s">
        <v>7313</v>
      </c>
      <c r="AC64">
        <v>0</v>
      </c>
      <c r="AD64" t="str">
        <f t="shared" ca="1" si="8"/>
        <v>rg:False</v>
      </c>
      <c r="AE64" t="str">
        <f t="shared" ca="1" si="9"/>
        <v>rg:None</v>
      </c>
      <c r="AF64" s="1">
        <v>42481</v>
      </c>
      <c r="AG64" s="4">
        <f t="shared" ca="1" si="0"/>
        <v>230.41666666666666</v>
      </c>
      <c r="AH64" s="4">
        <f t="shared" si="10"/>
        <v>3.8027777777777776</v>
      </c>
      <c r="AI64">
        <f t="shared" ca="1" si="11"/>
        <v>180</v>
      </c>
      <c r="AJ64">
        <f t="shared" ca="1" si="12"/>
        <v>26</v>
      </c>
      <c r="AK64">
        <f t="shared" ca="1" si="13"/>
        <v>143</v>
      </c>
      <c r="AL64" t="s">
        <v>326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  <c r="AT64" t="s">
        <v>6510</v>
      </c>
    </row>
    <row r="65" spans="1:46" x14ac:dyDescent="0.3">
      <c r="A65" t="s">
        <v>5630</v>
      </c>
      <c r="B65">
        <f t="shared" si="1"/>
        <v>200063</v>
      </c>
      <c r="C65">
        <v>200022</v>
      </c>
      <c r="D65" t="str">
        <f t="shared" si="2"/>
        <v>rg:{'id': '200022'}</v>
      </c>
      <c r="E65">
        <f>VLOOKUP(C65,Owners.csv!C:J,6,FALSE)</f>
        <v>200001</v>
      </c>
      <c r="F65" t="str">
        <f>VLOOKUP(VLOOKUP(E65,LocalAreas.csv!I:K,3,FALSE),ServiceAreas.csv!F:J,5,FALSE)</f>
        <v>200009</v>
      </c>
      <c r="G65" t="str">
        <f t="shared" si="3"/>
        <v>rg:{'id': '200001'}</v>
      </c>
      <c r="H65" t="s">
        <v>7695</v>
      </c>
      <c r="I65" t="s">
        <v>5640</v>
      </c>
      <c r="J65">
        <f>VLOOKUP(I65&amp;"-"&amp;F65,DistrictEquipmentTypes.csv!J:K,2,FALSE)</f>
        <v>200002</v>
      </c>
      <c r="K65" t="str">
        <f t="shared" si="4"/>
        <v>rg:{'id': '200002'}</v>
      </c>
      <c r="L65">
        <f t="shared" si="5"/>
        <v>1</v>
      </c>
      <c r="M65" t="str">
        <f>VLOOKUP(C65,Owners.csv!C:K,9,FALSE)&amp;TEXT(Equipment.csv!L65,"0000")</f>
        <v>DEST0001</v>
      </c>
      <c r="N65" t="s">
        <v>5401</v>
      </c>
      <c r="O65" t="s">
        <v>6722</v>
      </c>
      <c r="P65">
        <v>2003</v>
      </c>
      <c r="Q65">
        <v>64</v>
      </c>
      <c r="R65" t="s">
        <v>6663</v>
      </c>
      <c r="S65" s="1">
        <v>42569</v>
      </c>
      <c r="T65" s="1">
        <v>42593</v>
      </c>
      <c r="U65" t="str">
        <f t="shared" ca="1" si="6"/>
        <v>rg:False</v>
      </c>
      <c r="V65" t="str">
        <f t="shared" ca="1" si="7"/>
        <v>rg:None</v>
      </c>
      <c r="W65" t="s">
        <v>7121</v>
      </c>
      <c r="X65" t="s">
        <v>76</v>
      </c>
      <c r="Y65" t="s">
        <v>76</v>
      </c>
      <c r="Z65" t="s">
        <v>76</v>
      </c>
      <c r="AA65" t="s">
        <v>7468</v>
      </c>
      <c r="AB65" t="s">
        <v>7307</v>
      </c>
      <c r="AC65">
        <v>0</v>
      </c>
      <c r="AD65" t="str">
        <f t="shared" ca="1" si="8"/>
        <v>rg:True</v>
      </c>
      <c r="AE65" t="str">
        <f t="shared" ca="1" si="9"/>
        <v>Seniority overridden to test things</v>
      </c>
      <c r="AF65" s="1">
        <v>42481</v>
      </c>
      <c r="AG65" s="4">
        <f t="shared" ca="1" si="0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  <c r="AT65" t="s">
        <v>6510</v>
      </c>
    </row>
    <row r="66" spans="1:46" x14ac:dyDescent="0.3">
      <c r="A66" t="s">
        <v>5630</v>
      </c>
      <c r="B66">
        <f t="shared" si="1"/>
        <v>200064</v>
      </c>
      <c r="C66">
        <v>200023</v>
      </c>
      <c r="D66" t="str">
        <f t="shared" si="2"/>
        <v>rg:{'id': '200023'}</v>
      </c>
      <c r="E66">
        <f>VLOOKUP(C66,Owners.csv!C:J,6,FALSE)</f>
        <v>200001</v>
      </c>
      <c r="F66" t="str">
        <f>VLOOKUP(VLOOKUP(E66,LocalAreas.csv!I:K,3,FALSE),ServiceAreas.csv!F:J,5,FALSE)</f>
        <v>200009</v>
      </c>
      <c r="G66" t="str">
        <f t="shared" si="3"/>
        <v>rg:{'id': '200001'}</v>
      </c>
      <c r="H66" t="s">
        <v>7696</v>
      </c>
      <c r="I66" t="s">
        <v>5640</v>
      </c>
      <c r="J66">
        <f>VLOOKUP(I66&amp;"-"&amp;F66,DistrictEquipmentTypes.csv!J:K,2,FALSE)</f>
        <v>200002</v>
      </c>
      <c r="K66" t="str">
        <f t="shared" si="4"/>
        <v>rg:{'id': '200002'}</v>
      </c>
      <c r="L66">
        <f t="shared" si="5"/>
        <v>1</v>
      </c>
      <c r="M66" t="str">
        <f>VLOOKUP(C66,Owners.csv!C:K,9,FALSE)&amp;TEXT(Equipment.csv!L66,"0000")</f>
        <v>EART0001</v>
      </c>
      <c r="N66" t="s">
        <v>5401</v>
      </c>
      <c r="O66" t="s">
        <v>6723</v>
      </c>
      <c r="P66">
        <v>1988</v>
      </c>
      <c r="Q66">
        <v>65</v>
      </c>
      <c r="R66" t="s">
        <v>6665</v>
      </c>
      <c r="S66" s="1">
        <v>39444</v>
      </c>
      <c r="T66" s="1">
        <v>39472</v>
      </c>
      <c r="U66" t="str">
        <f t="shared" ca="1" si="6"/>
        <v>rg:False</v>
      </c>
      <c r="V66" t="str">
        <f t="shared" ca="1" si="7"/>
        <v>rg:None</v>
      </c>
      <c r="W66" t="s">
        <v>7122</v>
      </c>
      <c r="X66" t="s">
        <v>76</v>
      </c>
      <c r="Y66" t="s">
        <v>76</v>
      </c>
      <c r="Z66" t="s">
        <v>76</v>
      </c>
      <c r="AA66" t="s">
        <v>7469</v>
      </c>
      <c r="AB66" t="s">
        <v>7314</v>
      </c>
      <c r="AC66">
        <v>0</v>
      </c>
      <c r="AD66" t="str">
        <f t="shared" ca="1" si="8"/>
        <v>rg:False</v>
      </c>
      <c r="AE66" t="str">
        <f t="shared" ca="1" si="9"/>
        <v>rg:None</v>
      </c>
      <c r="AF66" s="1">
        <v>42481</v>
      </c>
      <c r="AG66" s="4">
        <f t="shared" ref="AG66:AG129" ca="1" si="14">IF(I66="Dump Truck",60,30)*AH66+(AVERAGE(AI66:AK66))</f>
        <v>369.16666666666669</v>
      </c>
      <c r="AH66" s="4">
        <f t="shared" si="10"/>
        <v>8.1833333333333336</v>
      </c>
      <c r="AI66">
        <f t="shared" ca="1" si="11"/>
        <v>72</v>
      </c>
      <c r="AJ66">
        <f t="shared" ca="1" si="12"/>
        <v>158</v>
      </c>
      <c r="AK66">
        <f t="shared" ca="1" si="13"/>
        <v>141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  <c r="AT66" t="s">
        <v>6510</v>
      </c>
    </row>
    <row r="67" spans="1:46" x14ac:dyDescent="0.3">
      <c r="A67" t="s">
        <v>5630</v>
      </c>
      <c r="B67">
        <f t="shared" ref="B67:B130" si="15">IF(ISNUMBER(B66),B66+1,200000)</f>
        <v>200065</v>
      </c>
      <c r="C67">
        <v>200024</v>
      </c>
      <c r="D67" t="str">
        <f t="shared" ref="D67:D130" si="16">"rg:{'id': '"&amp;C67&amp;"'}"</f>
        <v>rg:{'id': '200024'}</v>
      </c>
      <c r="E67">
        <f>VLOOKUP(C67,Owners.csv!C:J,6,FALSE)</f>
        <v>200001</v>
      </c>
      <c r="F67" t="str">
        <f>VLOOKUP(VLOOKUP(E67,LocalAreas.csv!I:K,3,FALSE),ServiceAreas.csv!F:J,5,FALSE)</f>
        <v>200009</v>
      </c>
      <c r="G67" t="str">
        <f t="shared" ref="G67:G130" si="17">"rg:{'id': '"&amp;E67&amp;"'}"</f>
        <v>rg:{'id': '200001'}</v>
      </c>
      <c r="H67" t="s">
        <v>7697</v>
      </c>
      <c r="I67" t="s">
        <v>5640</v>
      </c>
      <c r="J67">
        <f>VLOOKUP(I67&amp;"-"&amp;F67,DistrictEquipmentTypes.csv!J:K,2,FALSE)</f>
        <v>200002</v>
      </c>
      <c r="K67" t="str">
        <f t="shared" ref="K67:K130" si="18">"rg:{'id': '"&amp;J67&amp;"'}"</f>
        <v>rg:{'id': '200002'}</v>
      </c>
      <c r="L67">
        <f t="shared" ref="L67:L130" si="19">IF(C67=C66,L66+1,1)</f>
        <v>1</v>
      </c>
      <c r="M67" t="str">
        <f>VLOOKUP(C67,Owners.csv!C:K,9,FALSE)&amp;TEXT(Equipment.csv!L67,"0000")</f>
        <v>EDWA0001</v>
      </c>
      <c r="N67" t="s">
        <v>5401</v>
      </c>
      <c r="O67" t="s">
        <v>6724</v>
      </c>
      <c r="P67">
        <v>2013</v>
      </c>
      <c r="Q67">
        <v>66</v>
      </c>
      <c r="R67" t="s">
        <v>6663</v>
      </c>
      <c r="S67" s="1">
        <v>38273</v>
      </c>
      <c r="T67" s="1">
        <v>38277</v>
      </c>
      <c r="U67" t="str">
        <f t="shared" ref="U67:U130" ca="1" si="20">IF(RANDBETWEEN(1,10)&gt;1,"rg:False","rg:True")</f>
        <v>rg:False</v>
      </c>
      <c r="V67" t="str">
        <f t="shared" ref="V67:V130" ca="1" si="21">IF(U67="rg:True","This equipment should be archived","rg:None")</f>
        <v>rg:None</v>
      </c>
      <c r="W67" t="s">
        <v>7123</v>
      </c>
      <c r="X67" t="s">
        <v>76</v>
      </c>
      <c r="Y67" t="s">
        <v>76</v>
      </c>
      <c r="Z67" t="s">
        <v>76</v>
      </c>
      <c r="AA67" t="s">
        <v>7470</v>
      </c>
      <c r="AB67" t="s">
        <v>7315</v>
      </c>
      <c r="AC67">
        <v>0</v>
      </c>
      <c r="AD67" t="str">
        <f t="shared" ref="AD67:AD130" ca="1" si="22">IF(RANDBETWEEN(1,20)&gt;1,"rg:False","rg:True")</f>
        <v>rg:False</v>
      </c>
      <c r="AE67" t="str">
        <f t="shared" ref="AE67:AE130" ca="1" si="23">IF(AD67="rg:True","Seniority overridden to test things","rg:None")</f>
        <v>rg:None</v>
      </c>
      <c r="AF67" s="1">
        <v>42481</v>
      </c>
      <c r="AG67" s="4">
        <f t="shared" ca="1" si="14"/>
        <v>440.66666666666669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18</v>
      </c>
      <c r="AJ67">
        <f t="shared" ref="AJ67:AJ130" ca="1" si="26">IF(AH67&lt;2,0,RANDBETWEEN(0,200))</f>
        <v>105</v>
      </c>
      <c r="AK67">
        <f t="shared" ref="AK67:AK130" ca="1" si="27">IF(AH67&lt;3,0,RANDBETWEEN(0,200))</f>
        <v>168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  <c r="AT67" t="s">
        <v>6510</v>
      </c>
    </row>
    <row r="68" spans="1:46" x14ac:dyDescent="0.3">
      <c r="A68" t="s">
        <v>5630</v>
      </c>
      <c r="B68">
        <f t="shared" si="15"/>
        <v>200066</v>
      </c>
      <c r="C68">
        <v>200025</v>
      </c>
      <c r="D68" t="str">
        <f t="shared" si="16"/>
        <v>rg:{'id': '200025'}</v>
      </c>
      <c r="E68">
        <f>VLOOKUP(C68,Owners.csv!C:J,6,FALSE)</f>
        <v>200001</v>
      </c>
      <c r="F68" t="str">
        <f>VLOOKUP(VLOOKUP(E68,LocalAreas.csv!I:K,3,FALSE),ServiceAreas.csv!F:J,5,FALSE)</f>
        <v>200009</v>
      </c>
      <c r="G68" t="str">
        <f t="shared" si="17"/>
        <v>rg:{'id': '200001'}</v>
      </c>
      <c r="H68" t="s">
        <v>7698</v>
      </c>
      <c r="I68" t="s">
        <v>5640</v>
      </c>
      <c r="J68">
        <f>VLOOKUP(I68&amp;"-"&amp;F68,DistrictEquipmentTypes.csv!J:K,2,FALSE)</f>
        <v>200002</v>
      </c>
      <c r="K68" t="str">
        <f t="shared" si="18"/>
        <v>rg:{'id': '200002'}</v>
      </c>
      <c r="L68">
        <f t="shared" si="19"/>
        <v>1</v>
      </c>
      <c r="M68" t="str">
        <f>VLOOKUP(C68,Owners.csv!C:K,9,FALSE)&amp;TEXT(Equipment.csv!L68,"0000")</f>
        <v>ENVI0001</v>
      </c>
      <c r="N68" t="s">
        <v>5401</v>
      </c>
      <c r="O68" t="s">
        <v>6725</v>
      </c>
      <c r="P68">
        <v>1982</v>
      </c>
      <c r="Q68">
        <v>67</v>
      </c>
      <c r="R68" t="s">
        <v>6663</v>
      </c>
      <c r="S68" s="1">
        <v>38606</v>
      </c>
      <c r="T68" s="1">
        <v>38629</v>
      </c>
      <c r="U68" t="str">
        <f t="shared" ca="1" si="20"/>
        <v>rg:False</v>
      </c>
      <c r="V68" t="str">
        <f t="shared" ca="1" si="21"/>
        <v>rg:None</v>
      </c>
      <c r="W68" t="s">
        <v>7124</v>
      </c>
      <c r="X68" t="s">
        <v>76</v>
      </c>
      <c r="Y68" t="s">
        <v>76</v>
      </c>
      <c r="Z68" t="s">
        <v>76</v>
      </c>
      <c r="AA68" t="s">
        <v>7471</v>
      </c>
      <c r="AB68" t="s">
        <v>7316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14"/>
        <v>432.41666666666669</v>
      </c>
      <c r="AH68" s="4">
        <f t="shared" si="24"/>
        <v>10.491666666666667</v>
      </c>
      <c r="AI68">
        <f t="shared" ca="1" si="25"/>
        <v>188</v>
      </c>
      <c r="AJ68">
        <f t="shared" ca="1" si="26"/>
        <v>95</v>
      </c>
      <c r="AK68">
        <f t="shared" ca="1" si="27"/>
        <v>70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  <c r="AT68" t="s">
        <v>6510</v>
      </c>
    </row>
    <row r="69" spans="1:46" x14ac:dyDescent="0.3">
      <c r="A69" t="s">
        <v>5630</v>
      </c>
      <c r="B69">
        <f t="shared" si="15"/>
        <v>200067</v>
      </c>
      <c r="C69">
        <v>200018</v>
      </c>
      <c r="D69" t="str">
        <f t="shared" si="16"/>
        <v>rg:{'id': '200018'}</v>
      </c>
      <c r="E69">
        <f>VLOOKUP(C69,Owners.csv!C:J,6,FALSE)</f>
        <v>200001</v>
      </c>
      <c r="F69" t="str">
        <f>VLOOKUP(VLOOKUP(E69,LocalAreas.csv!I:K,3,FALSE),ServiceAreas.csv!F:J,5,FALSE)</f>
        <v>200009</v>
      </c>
      <c r="G69" t="str">
        <f t="shared" si="17"/>
        <v>rg:{'id': '200001'}</v>
      </c>
      <c r="H69" t="s">
        <v>7699</v>
      </c>
      <c r="I69" t="s">
        <v>5651</v>
      </c>
      <c r="J69">
        <f>VLOOKUP(I69&amp;"-"&amp;F69,DistrictEquipmentTypes.csv!J:K,2,FALSE)</f>
        <v>200006</v>
      </c>
      <c r="K69" t="str">
        <f t="shared" si="18"/>
        <v>rg:{'id': '200006'}</v>
      </c>
      <c r="L69">
        <f t="shared" si="19"/>
        <v>1</v>
      </c>
      <c r="M69" t="str">
        <f>VLOOKUP(C69,Owners.csv!C:K,9,FALSE)&amp;TEXT(Equipment.csv!L69,"0000")</f>
        <v>CIRC0001</v>
      </c>
      <c r="N69" t="s">
        <v>5401</v>
      </c>
      <c r="O69" t="s">
        <v>6726</v>
      </c>
      <c r="P69">
        <v>1979</v>
      </c>
      <c r="Q69">
        <v>68</v>
      </c>
      <c r="R69" t="s">
        <v>6663</v>
      </c>
      <c r="S69" s="1">
        <v>40613</v>
      </c>
      <c r="T69" s="1">
        <v>40641</v>
      </c>
      <c r="U69" t="str">
        <f t="shared" ca="1" si="20"/>
        <v>rg:False</v>
      </c>
      <c r="V69" t="str">
        <f t="shared" ca="1" si="21"/>
        <v>rg:None</v>
      </c>
      <c r="W69" t="s">
        <v>7125</v>
      </c>
      <c r="X69" t="s">
        <v>76</v>
      </c>
      <c r="Y69" t="s">
        <v>76</v>
      </c>
      <c r="Z69" t="s">
        <v>76</v>
      </c>
      <c r="AA69" t="s">
        <v>7472</v>
      </c>
      <c r="AB69" t="s">
        <v>7317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14"/>
        <v>397.83333333333331</v>
      </c>
      <c r="AH69" s="4">
        <f t="shared" si="24"/>
        <v>4.9805555555555552</v>
      </c>
      <c r="AI69">
        <f t="shared" ca="1" si="25"/>
        <v>141</v>
      </c>
      <c r="AJ69">
        <f t="shared" ca="1" si="26"/>
        <v>74</v>
      </c>
      <c r="AK69">
        <f t="shared" ca="1" si="27"/>
        <v>82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  <c r="AT69" t="s">
        <v>6510</v>
      </c>
    </row>
    <row r="70" spans="1:46" x14ac:dyDescent="0.3">
      <c r="A70" t="s">
        <v>5630</v>
      </c>
      <c r="B70">
        <f t="shared" si="15"/>
        <v>200068</v>
      </c>
      <c r="C70">
        <v>200019</v>
      </c>
      <c r="D70" t="str">
        <f t="shared" si="16"/>
        <v>rg:{'id': '200019'}</v>
      </c>
      <c r="E70">
        <f>VLOOKUP(C70,Owners.csv!C:J,6,FALSE)</f>
        <v>200001</v>
      </c>
      <c r="F70" t="str">
        <f>VLOOKUP(VLOOKUP(E70,LocalAreas.csv!I:K,3,FALSE),ServiceAreas.csv!F:J,5,FALSE)</f>
        <v>200009</v>
      </c>
      <c r="G70" t="str">
        <f t="shared" si="17"/>
        <v>rg:{'id': '200001'}</v>
      </c>
      <c r="H70" t="s">
        <v>7700</v>
      </c>
      <c r="I70" t="s">
        <v>5651</v>
      </c>
      <c r="J70">
        <f>VLOOKUP(I70&amp;"-"&amp;F70,DistrictEquipmentTypes.csv!J:K,2,FALSE)</f>
        <v>200006</v>
      </c>
      <c r="K70" t="str">
        <f t="shared" si="18"/>
        <v>rg:{'id': '200006'}</v>
      </c>
      <c r="L70">
        <f t="shared" si="19"/>
        <v>1</v>
      </c>
      <c r="M70" t="str">
        <f>VLOOKUP(C70,Owners.csv!C:K,9,FALSE)&amp;TEXT(Equipment.csv!L70,"0000")</f>
        <v>COCO0001</v>
      </c>
      <c r="N70" t="s">
        <v>5401</v>
      </c>
      <c r="O70" t="s">
        <v>6727</v>
      </c>
      <c r="P70">
        <v>1989</v>
      </c>
      <c r="Q70">
        <v>69</v>
      </c>
      <c r="R70" t="s">
        <v>6663</v>
      </c>
      <c r="S70" s="1">
        <v>39604</v>
      </c>
      <c r="T70" s="1">
        <v>39623</v>
      </c>
      <c r="U70" t="str">
        <f t="shared" ca="1" si="20"/>
        <v>rg:False</v>
      </c>
      <c r="V70" t="str">
        <f t="shared" ca="1" si="21"/>
        <v>rg:None</v>
      </c>
      <c r="W70" t="s">
        <v>7126</v>
      </c>
      <c r="X70" t="s">
        <v>76</v>
      </c>
      <c r="Y70" t="s">
        <v>76</v>
      </c>
      <c r="Z70" t="s">
        <v>76</v>
      </c>
      <c r="AA70" t="s">
        <v>7473</v>
      </c>
      <c r="AB70" t="s">
        <v>7296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14"/>
        <v>512.16666666666674</v>
      </c>
      <c r="AH70" s="4">
        <f t="shared" si="24"/>
        <v>7.7694444444444448</v>
      </c>
      <c r="AI70">
        <f t="shared" ca="1" si="25"/>
        <v>60</v>
      </c>
      <c r="AJ70">
        <f t="shared" ca="1" si="26"/>
        <v>2</v>
      </c>
      <c r="AK70">
        <f t="shared" ca="1" si="27"/>
        <v>76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  <c r="AT70" t="s">
        <v>6510</v>
      </c>
    </row>
    <row r="71" spans="1:46" x14ac:dyDescent="0.3">
      <c r="A71" t="s">
        <v>5630</v>
      </c>
      <c r="B71">
        <f t="shared" si="15"/>
        <v>200069</v>
      </c>
      <c r="C71">
        <v>200020</v>
      </c>
      <c r="D71" t="str">
        <f t="shared" si="16"/>
        <v>rg:{'id': '200020'}</v>
      </c>
      <c r="E71">
        <f>VLOOKUP(C71,Owners.csv!C:J,6,FALSE)</f>
        <v>200001</v>
      </c>
      <c r="F71" t="str">
        <f>VLOOKUP(VLOOKUP(E71,LocalAreas.csv!I:K,3,FALSE),ServiceAreas.csv!F:J,5,FALSE)</f>
        <v>200009</v>
      </c>
      <c r="G71" t="str">
        <f t="shared" si="17"/>
        <v>rg:{'id': '200001'}</v>
      </c>
      <c r="H71" t="s">
        <v>7701</v>
      </c>
      <c r="I71" t="s">
        <v>5651</v>
      </c>
      <c r="J71">
        <f>VLOOKUP(I71&amp;"-"&amp;F71,DistrictEquipmentTypes.csv!J:K,2,FALSE)</f>
        <v>200006</v>
      </c>
      <c r="K71" t="str">
        <f t="shared" si="18"/>
        <v>rg:{'id': '200006'}</v>
      </c>
      <c r="L71">
        <f t="shared" si="19"/>
        <v>1</v>
      </c>
      <c r="M71" t="str">
        <f>VLOOKUP(C71,Owners.csv!C:K,9,FALSE)&amp;TEXT(Equipment.csv!L71,"0000")</f>
        <v>DAVE0001</v>
      </c>
      <c r="N71" t="s">
        <v>5401</v>
      </c>
      <c r="O71" t="s">
        <v>6728</v>
      </c>
      <c r="P71">
        <v>2016</v>
      </c>
      <c r="Q71">
        <v>70</v>
      </c>
      <c r="R71" t="s">
        <v>6663</v>
      </c>
      <c r="S71" s="1">
        <v>38802</v>
      </c>
      <c r="T71" s="1">
        <v>38826</v>
      </c>
      <c r="U71" t="str">
        <f t="shared" ca="1" si="20"/>
        <v>rg:False</v>
      </c>
      <c r="V71" t="str">
        <f t="shared" ca="1" si="21"/>
        <v>rg:None</v>
      </c>
      <c r="W71" t="s">
        <v>7127</v>
      </c>
      <c r="X71" t="s">
        <v>76</v>
      </c>
      <c r="Y71" t="s">
        <v>76</v>
      </c>
      <c r="Z71" t="s">
        <v>76</v>
      </c>
      <c r="AA71" t="s">
        <v>7474</v>
      </c>
      <c r="AB71" t="s">
        <v>7258</v>
      </c>
      <c r="AC71">
        <v>0</v>
      </c>
      <c r="AD71" t="str">
        <f t="shared" ca="1" si="22"/>
        <v>rg:False</v>
      </c>
      <c r="AE71" t="str">
        <f t="shared" ca="1" si="23"/>
        <v>rg:None</v>
      </c>
      <c r="AF71" s="1">
        <v>42481</v>
      </c>
      <c r="AG71" s="4">
        <f t="shared" ca="1" si="14"/>
        <v>735.66666666666663</v>
      </c>
      <c r="AH71" s="4">
        <f t="shared" si="24"/>
        <v>9.9499999999999993</v>
      </c>
      <c r="AI71">
        <f t="shared" ca="1" si="25"/>
        <v>91</v>
      </c>
      <c r="AJ71">
        <f t="shared" ca="1" si="26"/>
        <v>157</v>
      </c>
      <c r="AK71">
        <f t="shared" ca="1" si="27"/>
        <v>168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  <c r="AT71" t="s">
        <v>6510</v>
      </c>
    </row>
    <row r="72" spans="1:46" x14ac:dyDescent="0.3">
      <c r="A72" t="s">
        <v>5630</v>
      </c>
      <c r="B72">
        <f t="shared" si="15"/>
        <v>200070</v>
      </c>
      <c r="C72">
        <v>200021</v>
      </c>
      <c r="D72" t="str">
        <f t="shared" si="16"/>
        <v>rg:{'id': '200021'}</v>
      </c>
      <c r="E72">
        <f>VLOOKUP(C72,Owners.csv!C:J,6,FALSE)</f>
        <v>200001</v>
      </c>
      <c r="F72" t="str">
        <f>VLOOKUP(VLOOKUP(E72,LocalAreas.csv!I:K,3,FALSE),ServiceAreas.csv!F:J,5,FALSE)</f>
        <v>200009</v>
      </c>
      <c r="G72" t="str">
        <f t="shared" si="17"/>
        <v>rg:{'id': '200001'}</v>
      </c>
      <c r="H72" t="s">
        <v>7702</v>
      </c>
      <c r="I72" t="s">
        <v>5651</v>
      </c>
      <c r="J72">
        <f>VLOOKUP(I72&amp;"-"&amp;F72,DistrictEquipmentTypes.csv!J:K,2,FALSE)</f>
        <v>200006</v>
      </c>
      <c r="K72" t="str">
        <f t="shared" si="18"/>
        <v>rg:{'id': '200006'}</v>
      </c>
      <c r="L72">
        <f t="shared" si="19"/>
        <v>1</v>
      </c>
      <c r="M72" t="str">
        <f>VLOOKUP(C72,Owners.csv!C:K,9,FALSE)&amp;TEXT(Equipment.csv!L72,"0000")</f>
        <v>DESM0001</v>
      </c>
      <c r="N72" t="s">
        <v>5401</v>
      </c>
      <c r="O72" t="s">
        <v>6729</v>
      </c>
      <c r="P72">
        <v>2006</v>
      </c>
      <c r="Q72">
        <v>71</v>
      </c>
      <c r="R72" t="s">
        <v>6663</v>
      </c>
      <c r="S72" s="1">
        <v>40179</v>
      </c>
      <c r="T72" s="1">
        <v>40191</v>
      </c>
      <c r="U72" t="str">
        <f t="shared" ca="1" si="20"/>
        <v>rg:False</v>
      </c>
      <c r="V72" t="str">
        <f t="shared" ca="1" si="21"/>
        <v>rg:None</v>
      </c>
      <c r="W72" t="s">
        <v>7128</v>
      </c>
      <c r="X72" t="s">
        <v>76</v>
      </c>
      <c r="Y72" t="s">
        <v>76</v>
      </c>
      <c r="Z72" t="s">
        <v>76</v>
      </c>
      <c r="AA72" t="s">
        <v>7475</v>
      </c>
      <c r="AB72" t="s">
        <v>7318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42481</v>
      </c>
      <c r="AG72" s="4">
        <f t="shared" ca="1" si="14"/>
        <v>448</v>
      </c>
      <c r="AH72" s="4">
        <f t="shared" si="24"/>
        <v>6.2166666666666668</v>
      </c>
      <c r="AI72">
        <f t="shared" ca="1" si="25"/>
        <v>76</v>
      </c>
      <c r="AJ72">
        <f t="shared" ca="1" si="26"/>
        <v>149</v>
      </c>
      <c r="AK72">
        <f t="shared" ca="1" si="27"/>
        <v>0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  <c r="AT72" t="s">
        <v>6510</v>
      </c>
    </row>
    <row r="73" spans="1:46" x14ac:dyDescent="0.3">
      <c r="A73" t="s">
        <v>5630</v>
      </c>
      <c r="B73">
        <f t="shared" si="15"/>
        <v>200071</v>
      </c>
      <c r="C73">
        <v>200022</v>
      </c>
      <c r="D73" t="str">
        <f t="shared" si="16"/>
        <v>rg:{'id': '200022'}</v>
      </c>
      <c r="E73">
        <f>VLOOKUP(C73,Owners.csv!C:J,6,FALSE)</f>
        <v>200001</v>
      </c>
      <c r="F73" t="str">
        <f>VLOOKUP(VLOOKUP(E73,LocalAreas.csv!I:K,3,FALSE),ServiceAreas.csv!F:J,5,FALSE)</f>
        <v>200009</v>
      </c>
      <c r="G73" t="str">
        <f t="shared" si="17"/>
        <v>rg:{'id': '200001'}</v>
      </c>
      <c r="H73" t="s">
        <v>7703</v>
      </c>
      <c r="I73" t="s">
        <v>5651</v>
      </c>
      <c r="J73">
        <f>VLOOKUP(I73&amp;"-"&amp;F73,DistrictEquipmentTypes.csv!J:K,2,FALSE)</f>
        <v>200006</v>
      </c>
      <c r="K73" t="str">
        <f t="shared" si="18"/>
        <v>rg:{'id': '200006'}</v>
      </c>
      <c r="L73">
        <f t="shared" si="19"/>
        <v>1</v>
      </c>
      <c r="M73" t="str">
        <f>VLOOKUP(C73,Owners.csv!C:K,9,FALSE)&amp;TEXT(Equipment.csv!L73,"0000")</f>
        <v>DEST0001</v>
      </c>
      <c r="N73" t="s">
        <v>5401</v>
      </c>
      <c r="O73" t="s">
        <v>6730</v>
      </c>
      <c r="P73">
        <v>1991</v>
      </c>
      <c r="Q73">
        <v>72</v>
      </c>
      <c r="R73" t="s">
        <v>6663</v>
      </c>
      <c r="S73" s="1">
        <v>41327</v>
      </c>
      <c r="T73" s="1">
        <v>41338</v>
      </c>
      <c r="U73" t="str">
        <f t="shared" ca="1" si="20"/>
        <v>rg:False</v>
      </c>
      <c r="V73" t="str">
        <f t="shared" ca="1" si="21"/>
        <v>rg:None</v>
      </c>
      <c r="W73" t="s">
        <v>7129</v>
      </c>
      <c r="X73" t="s">
        <v>76</v>
      </c>
      <c r="Y73" t="s">
        <v>76</v>
      </c>
      <c r="Z73" t="s">
        <v>76</v>
      </c>
      <c r="AA73" t="s">
        <v>7476</v>
      </c>
      <c r="AB73" t="s">
        <v>7319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14"/>
        <v>288.33333333333337</v>
      </c>
      <c r="AH73" s="4">
        <f t="shared" si="24"/>
        <v>3.0722222222222224</v>
      </c>
      <c r="AI73">
        <f t="shared" ca="1" si="25"/>
        <v>129</v>
      </c>
      <c r="AJ73">
        <f t="shared" ca="1" si="26"/>
        <v>71</v>
      </c>
      <c r="AK73">
        <f t="shared" ca="1" si="27"/>
        <v>112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  <c r="AT73" t="s">
        <v>6510</v>
      </c>
    </row>
    <row r="74" spans="1:46" x14ac:dyDescent="0.3">
      <c r="A74" t="s">
        <v>5630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200001</v>
      </c>
      <c r="F74" t="str">
        <f>VLOOKUP(VLOOKUP(E74,LocalAreas.csv!I:K,3,FALSE),ServiceAreas.csv!F:J,5,FALSE)</f>
        <v>200009</v>
      </c>
      <c r="G74" t="str">
        <f t="shared" si="17"/>
        <v>rg:{'id': '200001'}</v>
      </c>
      <c r="H74" t="s">
        <v>7704</v>
      </c>
      <c r="I74" t="s">
        <v>5651</v>
      </c>
      <c r="J74">
        <f>VLOOKUP(I74&amp;"-"&amp;F74,DistrictEquipmentTypes.csv!J:K,2,FALSE)</f>
        <v>200006</v>
      </c>
      <c r="K74" t="str">
        <f t="shared" si="18"/>
        <v>rg:{'id': '200006'}</v>
      </c>
      <c r="L74">
        <f t="shared" si="19"/>
        <v>1</v>
      </c>
      <c r="M74" t="str">
        <f>VLOOKUP(C74,Owners.csv!C:K,9,FALSE)&amp;TEXT(Equipment.csv!L74,"0000")</f>
        <v>EART0001</v>
      </c>
      <c r="N74" t="s">
        <v>5401</v>
      </c>
      <c r="O74" t="s">
        <v>6731</v>
      </c>
      <c r="P74">
        <v>1991</v>
      </c>
      <c r="Q74">
        <v>73</v>
      </c>
      <c r="R74" t="s">
        <v>6663</v>
      </c>
      <c r="S74" s="1">
        <v>41775</v>
      </c>
      <c r="T74" s="1">
        <v>41782</v>
      </c>
      <c r="U74" t="str">
        <f t="shared" ca="1" si="20"/>
        <v>rg:False</v>
      </c>
      <c r="V74" t="str">
        <f t="shared" ca="1" si="21"/>
        <v>rg:None</v>
      </c>
      <c r="W74" t="s">
        <v>7130</v>
      </c>
      <c r="X74" t="s">
        <v>76</v>
      </c>
      <c r="Y74" t="s">
        <v>76</v>
      </c>
      <c r="Z74" t="s">
        <v>76</v>
      </c>
      <c r="AA74" t="s">
        <v>7477</v>
      </c>
      <c r="AB74" t="s">
        <v>7287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14"/>
        <v>163.66666666666669</v>
      </c>
      <c r="AH74" s="4">
        <f t="shared" si="24"/>
        <v>1.8555555555555556</v>
      </c>
      <c r="AI74">
        <f t="shared" ca="1" si="25"/>
        <v>157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  <c r="AT74" t="s">
        <v>6510</v>
      </c>
    </row>
    <row r="75" spans="1:46" x14ac:dyDescent="0.3">
      <c r="A75" t="s">
        <v>5630</v>
      </c>
      <c r="B75">
        <f t="shared" si="15"/>
        <v>200073</v>
      </c>
      <c r="C75">
        <v>200024</v>
      </c>
      <c r="D75" t="str">
        <f t="shared" si="16"/>
        <v>rg:{'id': '200024'}</v>
      </c>
      <c r="E75">
        <f>VLOOKUP(C75,Owners.csv!C:J,6,FALSE)</f>
        <v>200001</v>
      </c>
      <c r="F75" t="str">
        <f>VLOOKUP(VLOOKUP(E75,LocalAreas.csv!I:K,3,FALSE),ServiceAreas.csv!F:J,5,FALSE)</f>
        <v>200009</v>
      </c>
      <c r="G75" t="str">
        <f t="shared" si="17"/>
        <v>rg:{'id': '200001'}</v>
      </c>
      <c r="H75" t="s">
        <v>7705</v>
      </c>
      <c r="I75" t="s">
        <v>5651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1</v>
      </c>
      <c r="M75" t="str">
        <f>VLOOKUP(C75,Owners.csv!C:K,9,FALSE)&amp;TEXT(Equipment.csv!L75,"0000")</f>
        <v>EDWA0001</v>
      </c>
      <c r="N75" t="s">
        <v>5401</v>
      </c>
      <c r="O75" t="s">
        <v>6732</v>
      </c>
      <c r="P75">
        <v>2007</v>
      </c>
      <c r="Q75">
        <v>74</v>
      </c>
      <c r="R75" t="s">
        <v>6663</v>
      </c>
      <c r="S75" s="1">
        <v>40622</v>
      </c>
      <c r="T75" s="1">
        <v>40645</v>
      </c>
      <c r="U75" t="str">
        <f t="shared" ca="1" si="20"/>
        <v>rg:False</v>
      </c>
      <c r="V75" t="str">
        <f t="shared" ca="1" si="21"/>
        <v>rg:None</v>
      </c>
      <c r="W75" t="s">
        <v>7131</v>
      </c>
      <c r="X75" t="s">
        <v>76</v>
      </c>
      <c r="Y75" t="s">
        <v>76</v>
      </c>
      <c r="Z75" t="s">
        <v>76</v>
      </c>
      <c r="AA75" t="s">
        <v>7478</v>
      </c>
      <c r="AB75" t="s">
        <v>7320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14"/>
        <v>385.83333333333331</v>
      </c>
      <c r="AH75" s="4">
        <f t="shared" si="24"/>
        <v>4.9694444444444441</v>
      </c>
      <c r="AI75">
        <f t="shared" ca="1" si="25"/>
        <v>154</v>
      </c>
      <c r="AJ75">
        <f t="shared" ca="1" si="26"/>
        <v>96</v>
      </c>
      <c r="AK75">
        <f t="shared" ca="1" si="27"/>
        <v>13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  <c r="AT75" t="s">
        <v>6510</v>
      </c>
    </row>
    <row r="76" spans="1:46" x14ac:dyDescent="0.3">
      <c r="A76" t="s">
        <v>5630</v>
      </c>
      <c r="B76">
        <f t="shared" si="15"/>
        <v>200074</v>
      </c>
      <c r="C76">
        <v>200025</v>
      </c>
      <c r="D76" t="str">
        <f t="shared" si="16"/>
        <v>rg:{'id': '200025'}</v>
      </c>
      <c r="E76">
        <f>VLOOKUP(C76,Owners.csv!C:J,6,FALSE)</f>
        <v>200001</v>
      </c>
      <c r="F76" t="str">
        <f>VLOOKUP(VLOOKUP(E76,LocalAreas.csv!I:K,3,FALSE),ServiceAreas.csv!F:J,5,FALSE)</f>
        <v>200009</v>
      </c>
      <c r="G76" t="str">
        <f t="shared" si="17"/>
        <v>rg:{'id': '200001'}</v>
      </c>
      <c r="H76" t="s">
        <v>7651</v>
      </c>
      <c r="I76" t="s">
        <v>5651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1</v>
      </c>
      <c r="M76" t="str">
        <f>VLOOKUP(C76,Owners.csv!C:K,9,FALSE)&amp;TEXT(Equipment.csv!L76,"0000")</f>
        <v>ENVI0001</v>
      </c>
      <c r="N76" t="s">
        <v>5401</v>
      </c>
      <c r="O76" t="s">
        <v>6733</v>
      </c>
      <c r="P76">
        <v>1980</v>
      </c>
      <c r="Q76">
        <v>75</v>
      </c>
      <c r="R76" t="s">
        <v>6663</v>
      </c>
      <c r="S76" s="1">
        <v>40141</v>
      </c>
      <c r="T76" s="1">
        <v>40169</v>
      </c>
      <c r="U76" t="str">
        <f t="shared" ca="1" si="20"/>
        <v>rg:False</v>
      </c>
      <c r="V76" t="str">
        <f t="shared" ca="1" si="21"/>
        <v>rg:None</v>
      </c>
      <c r="W76" t="s">
        <v>7132</v>
      </c>
      <c r="X76" t="s">
        <v>76</v>
      </c>
      <c r="Y76" t="s">
        <v>76</v>
      </c>
      <c r="Z76" t="s">
        <v>76</v>
      </c>
      <c r="AA76" t="s">
        <v>7479</v>
      </c>
      <c r="AB76" t="s">
        <v>7321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14"/>
        <v>390.16666666666669</v>
      </c>
      <c r="AH76" s="4">
        <f t="shared" si="24"/>
        <v>6.2750000000000004</v>
      </c>
      <c r="AI76">
        <f t="shared" ca="1" si="25"/>
        <v>10</v>
      </c>
      <c r="AJ76">
        <f t="shared" ca="1" si="26"/>
        <v>25</v>
      </c>
      <c r="AK76">
        <f t="shared" ca="1" si="27"/>
        <v>6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  <c r="AT76" t="s">
        <v>6510</v>
      </c>
    </row>
    <row r="77" spans="1:46" x14ac:dyDescent="0.3">
      <c r="A77" t="s">
        <v>5630</v>
      </c>
      <c r="B77">
        <f t="shared" si="15"/>
        <v>200075</v>
      </c>
      <c r="C77">
        <v>200026</v>
      </c>
      <c r="D77" t="str">
        <f t="shared" si="16"/>
        <v>rg:{'id': '200026'}</v>
      </c>
      <c r="E77">
        <f>VLOOKUP(C77,Owners.csv!C:J,6,FALSE)</f>
        <v>200001</v>
      </c>
      <c r="F77" t="str">
        <f>VLOOKUP(VLOOKUP(E77,LocalAreas.csv!I:K,3,FALSE),ServiceAreas.csv!F:J,5,FALSE)</f>
        <v>200009</v>
      </c>
      <c r="G77" t="str">
        <f t="shared" si="17"/>
        <v>rg:{'id': '200001'}</v>
      </c>
      <c r="H77" t="s">
        <v>7706</v>
      </c>
      <c r="I77" t="s">
        <v>5651</v>
      </c>
      <c r="J77">
        <f>VLOOKUP(I77&amp;"-"&amp;F77,DistrictEquipmentTypes.csv!J:K,2,FALSE)</f>
        <v>200006</v>
      </c>
      <c r="K77" t="str">
        <f t="shared" si="18"/>
        <v>rg:{'id': '200006'}</v>
      </c>
      <c r="L77">
        <f t="shared" si="19"/>
        <v>1</v>
      </c>
      <c r="M77" t="str">
        <f>VLOOKUP(C77,Owners.csv!C:K,9,FALSE)&amp;TEXT(Equipment.csv!L77,"0000")</f>
        <v>FAMI0001</v>
      </c>
      <c r="N77" t="s">
        <v>5401</v>
      </c>
      <c r="O77" t="s">
        <v>6734</v>
      </c>
      <c r="P77">
        <v>2013</v>
      </c>
      <c r="Q77">
        <v>76</v>
      </c>
      <c r="R77" t="s">
        <v>6663</v>
      </c>
      <c r="S77" s="1">
        <v>41573</v>
      </c>
      <c r="T77" s="1">
        <v>41593</v>
      </c>
      <c r="U77" t="str">
        <f t="shared" ca="1" si="20"/>
        <v>rg:False</v>
      </c>
      <c r="V77" t="str">
        <f t="shared" ca="1" si="21"/>
        <v>rg:None</v>
      </c>
      <c r="W77" t="s">
        <v>7133</v>
      </c>
      <c r="X77" t="s">
        <v>76</v>
      </c>
      <c r="Y77" t="s">
        <v>76</v>
      </c>
      <c r="Z77" t="s">
        <v>76</v>
      </c>
      <c r="AA77" t="s">
        <v>7480</v>
      </c>
      <c r="AB77" t="s">
        <v>7322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14"/>
        <v>186.33333333333331</v>
      </c>
      <c r="AH77" s="4">
        <f t="shared" si="24"/>
        <v>2.3777777777777778</v>
      </c>
      <c r="AI77">
        <f t="shared" ca="1" si="25"/>
        <v>125</v>
      </c>
      <c r="AJ77">
        <f t="shared" ca="1" si="26"/>
        <v>6</v>
      </c>
      <c r="AK77">
        <f t="shared" ca="1" si="27"/>
        <v>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  <c r="AT77" t="s">
        <v>6510</v>
      </c>
    </row>
    <row r="78" spans="1:46" x14ac:dyDescent="0.3">
      <c r="A78" t="s">
        <v>5630</v>
      </c>
      <c r="B78">
        <f t="shared" si="15"/>
        <v>200076</v>
      </c>
      <c r="C78">
        <v>200027</v>
      </c>
      <c r="D78" t="str">
        <f t="shared" si="16"/>
        <v>rg:{'id': '200027'}</v>
      </c>
      <c r="E78">
        <f>VLOOKUP(C78,Owners.csv!C:J,6,FALSE)</f>
        <v>200001</v>
      </c>
      <c r="F78" t="str">
        <f>VLOOKUP(VLOOKUP(E78,LocalAreas.csv!I:K,3,FALSE),ServiceAreas.csv!F:J,5,FALSE)</f>
        <v>200009</v>
      </c>
      <c r="G78" t="str">
        <f t="shared" si="17"/>
        <v>rg:{'id': '200001'}</v>
      </c>
      <c r="H78" t="s">
        <v>7678</v>
      </c>
      <c r="I78" t="s">
        <v>5651</v>
      </c>
      <c r="J78">
        <f>VLOOKUP(I78&amp;"-"&amp;F78,DistrictEquipmentTypes.csv!J:K,2,FALSE)</f>
        <v>200006</v>
      </c>
      <c r="K78" t="str">
        <f t="shared" si="18"/>
        <v>rg:{'id': '200006'}</v>
      </c>
      <c r="L78">
        <f t="shared" si="19"/>
        <v>1</v>
      </c>
      <c r="M78" t="str">
        <f>VLOOKUP(C78,Owners.csv!C:K,9,FALSE)&amp;TEXT(Equipment.csv!L78,"0000")</f>
        <v>FIRS0001</v>
      </c>
      <c r="N78" t="s">
        <v>5401</v>
      </c>
      <c r="O78" t="s">
        <v>6735</v>
      </c>
      <c r="P78">
        <v>2012</v>
      </c>
      <c r="Q78">
        <v>77</v>
      </c>
      <c r="R78" t="s">
        <v>6663</v>
      </c>
      <c r="S78" s="1">
        <v>42050</v>
      </c>
      <c r="T78" s="1">
        <v>42051</v>
      </c>
      <c r="U78" t="str">
        <f t="shared" ca="1" si="20"/>
        <v>rg:False</v>
      </c>
      <c r="V78" t="str">
        <f t="shared" ca="1" si="21"/>
        <v>rg:None</v>
      </c>
      <c r="W78" t="s">
        <v>7134</v>
      </c>
      <c r="X78" t="s">
        <v>76</v>
      </c>
      <c r="Y78" t="s">
        <v>76</v>
      </c>
      <c r="Z78" t="s">
        <v>76</v>
      </c>
      <c r="AA78" t="s">
        <v>7481</v>
      </c>
      <c r="AB78" t="s">
        <v>7323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14"/>
        <v>70.833333333333329</v>
      </c>
      <c r="AH78" s="4">
        <f t="shared" si="24"/>
        <v>1.125</v>
      </c>
      <c r="AI78">
        <f t="shared" ca="1" si="25"/>
        <v>10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  <c r="AT78" t="s">
        <v>6510</v>
      </c>
    </row>
    <row r="79" spans="1:46" x14ac:dyDescent="0.3">
      <c r="A79" t="s">
        <v>5630</v>
      </c>
      <c r="B79">
        <f t="shared" si="15"/>
        <v>200077</v>
      </c>
      <c r="C79">
        <v>200028</v>
      </c>
      <c r="D79" t="str">
        <f t="shared" si="16"/>
        <v>rg:{'id': '200028'}</v>
      </c>
      <c r="E79">
        <f>VLOOKUP(C79,Owners.csv!C:J,6,FALSE)</f>
        <v>200001</v>
      </c>
      <c r="F79" t="str">
        <f>VLOOKUP(VLOOKUP(E79,LocalAreas.csv!I:K,3,FALSE),ServiceAreas.csv!F:J,5,FALSE)</f>
        <v>200009</v>
      </c>
      <c r="G79" t="str">
        <f t="shared" si="17"/>
        <v>rg:{'id': '200001'}</v>
      </c>
      <c r="H79" t="s">
        <v>7695</v>
      </c>
      <c r="I79" t="s">
        <v>5651</v>
      </c>
      <c r="J79">
        <f>VLOOKUP(I79&amp;"-"&amp;F79,DistrictEquipmentTypes.csv!J:K,2,FALSE)</f>
        <v>200006</v>
      </c>
      <c r="K79" t="str">
        <f t="shared" si="18"/>
        <v>rg:{'id': '200006'}</v>
      </c>
      <c r="L79">
        <f t="shared" si="19"/>
        <v>1</v>
      </c>
      <c r="M79" t="str">
        <f>VLOOKUP(C79,Owners.csv!C:K,9,FALSE)&amp;TEXT(Equipment.csv!L79,"0000")</f>
        <v>FISH0001</v>
      </c>
      <c r="N79" t="s">
        <v>5401</v>
      </c>
      <c r="O79" t="s">
        <v>6736</v>
      </c>
      <c r="P79">
        <v>2008</v>
      </c>
      <c r="Q79">
        <v>78</v>
      </c>
      <c r="R79" t="s">
        <v>6663</v>
      </c>
      <c r="S79" s="1">
        <v>42575</v>
      </c>
      <c r="T79" s="1">
        <v>42586</v>
      </c>
      <c r="U79" t="str">
        <f t="shared" ca="1" si="20"/>
        <v>rg:False</v>
      </c>
      <c r="V79" t="str">
        <f t="shared" ca="1" si="21"/>
        <v>rg:None</v>
      </c>
      <c r="W79" t="s">
        <v>7135</v>
      </c>
      <c r="X79" t="s">
        <v>76</v>
      </c>
      <c r="Y79" t="s">
        <v>76</v>
      </c>
      <c r="Z79" t="s">
        <v>76</v>
      </c>
      <c r="AA79" t="s">
        <v>7482</v>
      </c>
      <c r="AB79" t="s">
        <v>7324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42481</v>
      </c>
      <c r="AG79" s="4">
        <f t="shared" ca="1" si="14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  <c r="AT79" t="s">
        <v>6510</v>
      </c>
    </row>
    <row r="80" spans="1:46" x14ac:dyDescent="0.3">
      <c r="A80" t="s">
        <v>5630</v>
      </c>
      <c r="B80">
        <f t="shared" si="15"/>
        <v>200078</v>
      </c>
      <c r="C80">
        <v>200029</v>
      </c>
      <c r="D80" t="str">
        <f t="shared" si="16"/>
        <v>rg:{'id': '200029'}</v>
      </c>
      <c r="E80">
        <f>VLOOKUP(C80,Owners.csv!C:J,6,FALSE)</f>
        <v>200001</v>
      </c>
      <c r="F80" t="str">
        <f>VLOOKUP(VLOOKUP(E80,LocalAreas.csv!I:K,3,FALSE),ServiceAreas.csv!F:J,5,FALSE)</f>
        <v>200009</v>
      </c>
      <c r="G80" t="str">
        <f t="shared" si="17"/>
        <v>rg:{'id': '200001'}</v>
      </c>
      <c r="H80" t="s">
        <v>7272</v>
      </c>
      <c r="I80" t="s">
        <v>5651</v>
      </c>
      <c r="J80">
        <f>VLOOKUP(I80&amp;"-"&amp;F80,DistrictEquipmentTypes.csv!J:K,2,FALSE)</f>
        <v>200006</v>
      </c>
      <c r="K80" t="str">
        <f t="shared" si="18"/>
        <v>rg:{'id': '200006'}</v>
      </c>
      <c r="L80">
        <f t="shared" si="19"/>
        <v>1</v>
      </c>
      <c r="M80" t="str">
        <f>VLOOKUP(C80,Owners.csv!C:K,9,FALSE)&amp;TEXT(Equipment.csv!L80,"0000")</f>
        <v>FOOT0001</v>
      </c>
      <c r="N80" t="s">
        <v>5401</v>
      </c>
      <c r="O80" t="s">
        <v>6737</v>
      </c>
      <c r="P80">
        <v>1988</v>
      </c>
      <c r="Q80">
        <v>79</v>
      </c>
      <c r="R80" t="s">
        <v>6663</v>
      </c>
      <c r="S80" s="1">
        <v>40857</v>
      </c>
      <c r="T80" s="1">
        <v>40877</v>
      </c>
      <c r="U80" t="str">
        <f t="shared" ca="1" si="20"/>
        <v>rg:False</v>
      </c>
      <c r="V80" t="str">
        <f t="shared" ca="1" si="21"/>
        <v>rg:None</v>
      </c>
      <c r="W80" t="s">
        <v>7136</v>
      </c>
      <c r="X80" t="s">
        <v>76</v>
      </c>
      <c r="Y80" t="s">
        <v>76</v>
      </c>
      <c r="Z80" t="s">
        <v>76</v>
      </c>
      <c r="AA80" t="s">
        <v>7483</v>
      </c>
      <c r="AB80" t="s">
        <v>7325</v>
      </c>
      <c r="AC80">
        <v>0</v>
      </c>
      <c r="AD80" t="str">
        <f t="shared" ca="1" si="22"/>
        <v>rg:False</v>
      </c>
      <c r="AE80" t="str">
        <f t="shared" ca="1" si="23"/>
        <v>rg:None</v>
      </c>
      <c r="AF80" s="1">
        <v>42481</v>
      </c>
      <c r="AG80" s="4">
        <f t="shared" ca="1" si="14"/>
        <v>347.83333333333337</v>
      </c>
      <c r="AH80" s="4">
        <f t="shared" si="24"/>
        <v>4.3361111111111112</v>
      </c>
      <c r="AI80">
        <f t="shared" ca="1" si="25"/>
        <v>170</v>
      </c>
      <c r="AJ80">
        <f t="shared" ca="1" si="26"/>
        <v>82</v>
      </c>
      <c r="AK80">
        <f t="shared" ca="1" si="27"/>
        <v>11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  <c r="AT80" t="s">
        <v>6510</v>
      </c>
    </row>
    <row r="81" spans="1:46" x14ac:dyDescent="0.3">
      <c r="A81" t="s">
        <v>5630</v>
      </c>
      <c r="B81">
        <f t="shared" si="15"/>
        <v>200079</v>
      </c>
      <c r="C81">
        <v>200030</v>
      </c>
      <c r="D81" t="str">
        <f t="shared" si="16"/>
        <v>rg:{'id': '200030'}</v>
      </c>
      <c r="E81">
        <f>VLOOKUP(C81,Owners.csv!C:J,6,FALSE)</f>
        <v>200001</v>
      </c>
      <c r="F81" t="str">
        <f>VLOOKUP(VLOOKUP(E81,LocalAreas.csv!I:K,3,FALSE),ServiceAreas.csv!F:J,5,FALSE)</f>
        <v>200009</v>
      </c>
      <c r="G81" t="str">
        <f t="shared" si="17"/>
        <v>rg:{'id': '200001'}</v>
      </c>
      <c r="H81" t="s">
        <v>7707</v>
      </c>
      <c r="I81" t="s">
        <v>5651</v>
      </c>
      <c r="J81">
        <f>VLOOKUP(I81&amp;"-"&amp;F81,DistrictEquipmentTypes.csv!J:K,2,FALSE)</f>
        <v>200006</v>
      </c>
      <c r="K81" t="str">
        <f t="shared" si="18"/>
        <v>rg:{'id': '200006'}</v>
      </c>
      <c r="L81">
        <f t="shared" si="19"/>
        <v>1</v>
      </c>
      <c r="M81" t="str">
        <f>VLOOKUP(C81,Owners.csv!C:K,9,FALSE)&amp;TEXT(Equipment.csv!L81,"0000")</f>
        <v>GAMM0001</v>
      </c>
      <c r="N81" t="s">
        <v>5401</v>
      </c>
      <c r="O81" t="s">
        <v>6738</v>
      </c>
      <c r="P81">
        <v>1987</v>
      </c>
      <c r="Q81">
        <v>80</v>
      </c>
      <c r="R81" t="s">
        <v>6663</v>
      </c>
      <c r="S81" s="1">
        <v>39772</v>
      </c>
      <c r="T81" s="1">
        <v>39799</v>
      </c>
      <c r="U81" t="str">
        <f t="shared" ca="1" si="20"/>
        <v>rg:False</v>
      </c>
      <c r="V81" t="str">
        <f t="shared" ca="1" si="21"/>
        <v>rg:None</v>
      </c>
      <c r="W81" t="s">
        <v>7137</v>
      </c>
      <c r="X81" t="s">
        <v>76</v>
      </c>
      <c r="Y81" t="s">
        <v>76</v>
      </c>
      <c r="Z81" t="s">
        <v>76</v>
      </c>
      <c r="AA81" t="s">
        <v>7484</v>
      </c>
      <c r="AB81" t="s">
        <v>7268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14"/>
        <v>569.33333333333326</v>
      </c>
      <c r="AH81" s="4">
        <f t="shared" si="24"/>
        <v>7.2888888888888888</v>
      </c>
      <c r="AI81">
        <f t="shared" ca="1" si="25"/>
        <v>64</v>
      </c>
      <c r="AJ81">
        <f t="shared" ca="1" si="26"/>
        <v>166</v>
      </c>
      <c r="AK81">
        <f t="shared" ca="1" si="27"/>
        <v>166</v>
      </c>
      <c r="AL81" t="s">
        <v>326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  <c r="AT81" t="s">
        <v>6510</v>
      </c>
    </row>
    <row r="82" spans="1:46" x14ac:dyDescent="0.3">
      <c r="A82" t="s">
        <v>5630</v>
      </c>
      <c r="B82">
        <f t="shared" si="15"/>
        <v>200080</v>
      </c>
      <c r="C82">
        <v>200031</v>
      </c>
      <c r="D82" t="str">
        <f t="shared" si="16"/>
        <v>rg:{'id': '200031'}</v>
      </c>
      <c r="E82">
        <f>VLOOKUP(C82,Owners.csv!C:J,6,FALSE)</f>
        <v>200001</v>
      </c>
      <c r="F82" t="str">
        <f>VLOOKUP(VLOOKUP(E82,LocalAreas.csv!I:K,3,FALSE),ServiceAreas.csv!F:J,5,FALSE)</f>
        <v>200009</v>
      </c>
      <c r="G82" t="str">
        <f t="shared" si="17"/>
        <v>rg:{'id': '200001'}</v>
      </c>
      <c r="H82" t="s">
        <v>7662</v>
      </c>
      <c r="I82" t="s">
        <v>5651</v>
      </c>
      <c r="J82">
        <f>VLOOKUP(I82&amp;"-"&amp;F82,DistrictEquipmentTypes.csv!J:K,2,FALSE)</f>
        <v>200006</v>
      </c>
      <c r="K82" t="str">
        <f t="shared" si="18"/>
        <v>rg:{'id': '200006'}</v>
      </c>
      <c r="L82">
        <f t="shared" si="19"/>
        <v>1</v>
      </c>
      <c r="M82" t="str">
        <f>VLOOKUP(C82,Owners.csv!C:K,9,FALSE)&amp;TEXT(Equipment.csv!L82,"0000")</f>
        <v>GARD0001</v>
      </c>
      <c r="N82" t="s">
        <v>5401</v>
      </c>
      <c r="O82" t="s">
        <v>6739</v>
      </c>
      <c r="P82">
        <v>2001</v>
      </c>
      <c r="Q82">
        <v>81</v>
      </c>
      <c r="R82" t="s">
        <v>6663</v>
      </c>
      <c r="S82" s="1">
        <v>42101</v>
      </c>
      <c r="T82" s="1">
        <v>42109</v>
      </c>
      <c r="U82" t="str">
        <f t="shared" ca="1" si="20"/>
        <v>rg:False</v>
      </c>
      <c r="V82" t="str">
        <f t="shared" ca="1" si="21"/>
        <v>rg:None</v>
      </c>
      <c r="W82" t="s">
        <v>7138</v>
      </c>
      <c r="X82" t="s">
        <v>76</v>
      </c>
      <c r="Y82" t="s">
        <v>76</v>
      </c>
      <c r="Z82" t="s">
        <v>76</v>
      </c>
      <c r="AA82" t="s">
        <v>7485</v>
      </c>
      <c r="AB82" t="s">
        <v>7326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14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  <c r="AT82" t="s">
        <v>6510</v>
      </c>
    </row>
    <row r="83" spans="1:46" x14ac:dyDescent="0.3">
      <c r="A83" t="s">
        <v>5630</v>
      </c>
      <c r="B83">
        <f t="shared" si="15"/>
        <v>200081</v>
      </c>
      <c r="C83">
        <v>200032</v>
      </c>
      <c r="D83" t="str">
        <f t="shared" si="16"/>
        <v>rg:{'id': '200032'}</v>
      </c>
      <c r="E83">
        <f>VLOOKUP(C83,Owners.csv!C:J,6,FALSE)</f>
        <v>200001</v>
      </c>
      <c r="F83" t="str">
        <f>VLOOKUP(VLOOKUP(E83,LocalAreas.csv!I:K,3,FALSE),ServiceAreas.csv!F:J,5,FALSE)</f>
        <v>200009</v>
      </c>
      <c r="G83" t="str">
        <f t="shared" si="17"/>
        <v>rg:{'id': '200001'}</v>
      </c>
      <c r="H83" t="s">
        <v>7708</v>
      </c>
      <c r="I83" t="s">
        <v>5651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1</v>
      </c>
      <c r="M83" t="str">
        <f>VLOOKUP(C83,Owners.csv!C:K,9,FALSE)&amp;TEXT(Equipment.csv!L83,"0000")</f>
        <v>GASD0001</v>
      </c>
      <c r="N83" t="s">
        <v>5401</v>
      </c>
      <c r="O83" t="s">
        <v>6740</v>
      </c>
      <c r="P83">
        <v>2009</v>
      </c>
      <c r="Q83">
        <v>82</v>
      </c>
      <c r="R83" t="s">
        <v>6663</v>
      </c>
      <c r="S83" s="1">
        <v>42245</v>
      </c>
      <c r="T83" s="1">
        <v>42258</v>
      </c>
      <c r="U83" t="str">
        <f t="shared" ca="1" si="20"/>
        <v>rg:False</v>
      </c>
      <c r="V83" t="str">
        <f t="shared" ca="1" si="21"/>
        <v>rg:None</v>
      </c>
      <c r="W83" t="s">
        <v>7139</v>
      </c>
      <c r="X83" t="s">
        <v>76</v>
      </c>
      <c r="Y83" t="s">
        <v>76</v>
      </c>
      <c r="Z83" t="s">
        <v>76</v>
      </c>
      <c r="AA83" t="s">
        <v>7486</v>
      </c>
      <c r="AB83" t="s">
        <v>7327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14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  <c r="AT83" t="s">
        <v>6510</v>
      </c>
    </row>
    <row r="84" spans="1:46" x14ac:dyDescent="0.3">
      <c r="A84" t="s">
        <v>5630</v>
      </c>
      <c r="B84">
        <f t="shared" si="15"/>
        <v>200082</v>
      </c>
      <c r="C84">
        <v>200033</v>
      </c>
      <c r="D84" t="str">
        <f t="shared" si="16"/>
        <v>rg:{'id': '200033'}</v>
      </c>
      <c r="E84">
        <f>VLOOKUP(C84,Owners.csv!C:J,6,FALSE)</f>
        <v>200001</v>
      </c>
      <c r="F84" t="str">
        <f>VLOOKUP(VLOOKUP(E84,LocalAreas.csv!I:K,3,FALSE),ServiceAreas.csv!F:J,5,FALSE)</f>
        <v>200009</v>
      </c>
      <c r="G84" t="str">
        <f t="shared" si="17"/>
        <v>rg:{'id': '200001'}</v>
      </c>
      <c r="H84" t="s">
        <v>7709</v>
      </c>
      <c r="I84" t="s">
        <v>5651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1</v>
      </c>
      <c r="M84" t="str">
        <f>VLOOKUP(C84,Owners.csv!C:K,9,FALSE)&amp;TEXT(Equipment.csv!L84,"0000")</f>
        <v>GERI0001</v>
      </c>
      <c r="N84" t="s">
        <v>5401</v>
      </c>
      <c r="O84" t="s">
        <v>6741</v>
      </c>
      <c r="P84">
        <v>2003</v>
      </c>
      <c r="Q84">
        <v>83</v>
      </c>
      <c r="R84" t="s">
        <v>6663</v>
      </c>
      <c r="S84" s="1">
        <v>41663</v>
      </c>
      <c r="T84" s="1">
        <v>41682</v>
      </c>
      <c r="U84" t="str">
        <f t="shared" ca="1" si="20"/>
        <v>rg:False</v>
      </c>
      <c r="V84" t="str">
        <f t="shared" ca="1" si="21"/>
        <v>rg:None</v>
      </c>
      <c r="W84" t="s">
        <v>7140</v>
      </c>
      <c r="X84" t="s">
        <v>76</v>
      </c>
      <c r="Y84" t="s">
        <v>76</v>
      </c>
      <c r="Z84" t="s">
        <v>76</v>
      </c>
      <c r="AA84" t="s">
        <v>7487</v>
      </c>
      <c r="AB84" t="s">
        <v>7328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14"/>
        <v>137.83333333333331</v>
      </c>
      <c r="AH84" s="4">
        <f t="shared" si="24"/>
        <v>2.1361111111111111</v>
      </c>
      <c r="AI84">
        <f t="shared" ca="1" si="25"/>
        <v>15</v>
      </c>
      <c r="AJ84">
        <f t="shared" ca="1" si="26"/>
        <v>14</v>
      </c>
      <c r="AK84">
        <f t="shared" ca="1" si="27"/>
        <v>0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  <c r="AT84" t="s">
        <v>6510</v>
      </c>
    </row>
    <row r="85" spans="1:46" x14ac:dyDescent="0.3">
      <c r="A85" t="s">
        <v>5630</v>
      </c>
      <c r="B85">
        <f t="shared" si="15"/>
        <v>200083</v>
      </c>
      <c r="C85">
        <v>200034</v>
      </c>
      <c r="D85" t="str">
        <f t="shared" si="16"/>
        <v>rg:{'id': '200034'}</v>
      </c>
      <c r="E85">
        <f>VLOOKUP(C85,Owners.csv!C:J,6,FALSE)</f>
        <v>200001</v>
      </c>
      <c r="F85" t="str">
        <f>VLOOKUP(VLOOKUP(E85,LocalAreas.csv!I:K,3,FALSE),ServiceAreas.csv!F:J,5,FALSE)</f>
        <v>200009</v>
      </c>
      <c r="G85" t="str">
        <f t="shared" si="17"/>
        <v>rg:{'id': '200001'}</v>
      </c>
      <c r="H85" t="s">
        <v>7680</v>
      </c>
      <c r="I85" t="s">
        <v>5651</v>
      </c>
      <c r="J85">
        <f>VLOOKUP(I85&amp;"-"&amp;F85,DistrictEquipmentTypes.csv!J:K,2,FALSE)</f>
        <v>200006</v>
      </c>
      <c r="K85" t="str">
        <f t="shared" si="18"/>
        <v>rg:{'id': '200006'}</v>
      </c>
      <c r="L85">
        <f t="shared" si="19"/>
        <v>1</v>
      </c>
      <c r="M85" t="str">
        <f>VLOOKUP(C85,Owners.csv!C:K,9,FALSE)&amp;TEXT(Equipment.csv!L85,"0000")</f>
        <v>GRAS0001</v>
      </c>
      <c r="N85" t="s">
        <v>5401</v>
      </c>
      <c r="O85" t="s">
        <v>6742</v>
      </c>
      <c r="P85">
        <v>2012</v>
      </c>
      <c r="Q85">
        <v>84</v>
      </c>
      <c r="R85" t="s">
        <v>6663</v>
      </c>
      <c r="S85" s="1">
        <v>38931</v>
      </c>
      <c r="T85" s="1">
        <v>38940</v>
      </c>
      <c r="U85" t="str">
        <f t="shared" ca="1" si="20"/>
        <v>rg:False</v>
      </c>
      <c r="V85" t="str">
        <f t="shared" ca="1" si="21"/>
        <v>rg:None</v>
      </c>
      <c r="W85" t="s">
        <v>7141</v>
      </c>
      <c r="X85" t="s">
        <v>76</v>
      </c>
      <c r="Y85" t="s">
        <v>76</v>
      </c>
      <c r="Z85" t="s">
        <v>76</v>
      </c>
      <c r="AA85" t="s">
        <v>7488</v>
      </c>
      <c r="AB85" t="s">
        <v>7329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14"/>
        <v>669</v>
      </c>
      <c r="AH85" s="4">
        <f t="shared" si="24"/>
        <v>9.6388888888888893</v>
      </c>
      <c r="AI85">
        <f t="shared" ca="1" si="25"/>
        <v>180</v>
      </c>
      <c r="AJ85">
        <f t="shared" ca="1" si="26"/>
        <v>53</v>
      </c>
      <c r="AK85">
        <f t="shared" ca="1" si="27"/>
        <v>39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  <c r="AT85" t="s">
        <v>6510</v>
      </c>
    </row>
    <row r="86" spans="1:46" x14ac:dyDescent="0.3">
      <c r="A86" t="s">
        <v>5630</v>
      </c>
      <c r="B86">
        <f t="shared" si="15"/>
        <v>200084</v>
      </c>
      <c r="C86">
        <v>200035</v>
      </c>
      <c r="D86" t="str">
        <f t="shared" si="16"/>
        <v>rg:{'id': '200035'}</v>
      </c>
      <c r="E86">
        <f>VLOOKUP(C86,Owners.csv!C:J,6,FALSE)</f>
        <v>200001</v>
      </c>
      <c r="F86" t="str">
        <f>VLOOKUP(VLOOKUP(E86,LocalAreas.csv!I:K,3,FALSE),ServiceAreas.csv!F:J,5,FALSE)</f>
        <v>200009</v>
      </c>
      <c r="G86" t="str">
        <f t="shared" si="17"/>
        <v>rg:{'id': '200001'}</v>
      </c>
      <c r="H86" t="s">
        <v>7710</v>
      </c>
      <c r="I86" t="s">
        <v>5651</v>
      </c>
      <c r="J86">
        <f>VLOOKUP(I86&amp;"-"&amp;F86,DistrictEquipmentTypes.csv!J:K,2,FALSE)</f>
        <v>200006</v>
      </c>
      <c r="K86" t="str">
        <f t="shared" si="18"/>
        <v>rg:{'id': '200006'}</v>
      </c>
      <c r="L86">
        <f t="shared" si="19"/>
        <v>1</v>
      </c>
      <c r="M86" t="str">
        <f>VLOOKUP(C86,Owners.csv!C:K,9,FALSE)&amp;TEXT(Equipment.csv!L86,"0000")</f>
        <v>GREA0001</v>
      </c>
      <c r="N86" t="s">
        <v>5401</v>
      </c>
      <c r="O86" t="s">
        <v>6743</v>
      </c>
      <c r="P86">
        <v>1982</v>
      </c>
      <c r="Q86">
        <v>85</v>
      </c>
      <c r="R86" t="s">
        <v>6663</v>
      </c>
      <c r="S86" s="1">
        <v>39211</v>
      </c>
      <c r="T86" s="1">
        <v>39222</v>
      </c>
      <c r="U86" t="str">
        <f t="shared" ca="1" si="20"/>
        <v>rg:False</v>
      </c>
      <c r="V86" t="str">
        <f t="shared" ca="1" si="21"/>
        <v>rg:None</v>
      </c>
      <c r="W86" t="s">
        <v>7142</v>
      </c>
      <c r="X86" t="s">
        <v>76</v>
      </c>
      <c r="Y86" t="s">
        <v>76</v>
      </c>
      <c r="Z86" t="s">
        <v>76</v>
      </c>
      <c r="AA86" t="s">
        <v>7489</v>
      </c>
      <c r="AB86" t="s">
        <v>7330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14"/>
        <v>666.83333333333337</v>
      </c>
      <c r="AH86" s="4">
        <f t="shared" si="24"/>
        <v>8.8638888888888889</v>
      </c>
      <c r="AI86">
        <f t="shared" ca="1" si="25"/>
        <v>151</v>
      </c>
      <c r="AJ86">
        <f t="shared" ca="1" si="26"/>
        <v>58</v>
      </c>
      <c r="AK86">
        <f t="shared" ca="1" si="27"/>
        <v>196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  <c r="AT86" t="s">
        <v>6510</v>
      </c>
    </row>
    <row r="87" spans="1:46" x14ac:dyDescent="0.3">
      <c r="A87" t="s">
        <v>5630</v>
      </c>
      <c r="B87">
        <f t="shared" si="15"/>
        <v>200085</v>
      </c>
      <c r="C87">
        <v>200036</v>
      </c>
      <c r="D87" t="str">
        <f t="shared" si="16"/>
        <v>rg:{'id': '200036'}</v>
      </c>
      <c r="E87">
        <f>VLOOKUP(C87,Owners.csv!C:J,6,FALSE)</f>
        <v>200001</v>
      </c>
      <c r="F87" t="str">
        <f>VLOOKUP(VLOOKUP(E87,LocalAreas.csv!I:K,3,FALSE),ServiceAreas.csv!F:J,5,FALSE)</f>
        <v>200009</v>
      </c>
      <c r="G87" t="str">
        <f t="shared" si="17"/>
        <v>rg:{'id': '200001'}</v>
      </c>
      <c r="H87" t="s">
        <v>7711</v>
      </c>
      <c r="I87" t="s">
        <v>5651</v>
      </c>
      <c r="J87">
        <f>VLOOKUP(I87&amp;"-"&amp;F87,DistrictEquipmentTypes.csv!J:K,2,FALSE)</f>
        <v>200006</v>
      </c>
      <c r="K87" t="str">
        <f t="shared" si="18"/>
        <v>rg:{'id': '200006'}</v>
      </c>
      <c r="L87">
        <f t="shared" si="19"/>
        <v>1</v>
      </c>
      <c r="M87" t="str">
        <f>VLOOKUP(C87,Owners.csv!C:K,9,FALSE)&amp;TEXT(Equipment.csv!L87,"0000")</f>
        <v>HAPP0001</v>
      </c>
      <c r="N87" t="s">
        <v>5401</v>
      </c>
      <c r="O87" t="s">
        <v>6744</v>
      </c>
      <c r="P87">
        <v>2017</v>
      </c>
      <c r="Q87">
        <v>86</v>
      </c>
      <c r="R87" t="s">
        <v>6663</v>
      </c>
      <c r="S87" s="1">
        <v>40437</v>
      </c>
      <c r="T87" s="1">
        <v>40458</v>
      </c>
      <c r="U87" t="str">
        <f t="shared" ca="1" si="20"/>
        <v>rg:False</v>
      </c>
      <c r="V87" t="str">
        <f t="shared" ca="1" si="21"/>
        <v>rg:None</v>
      </c>
      <c r="W87" t="s">
        <v>7143</v>
      </c>
      <c r="X87" t="s">
        <v>76</v>
      </c>
      <c r="Y87" t="s">
        <v>76</v>
      </c>
      <c r="Z87" t="s">
        <v>76</v>
      </c>
      <c r="AA87" t="s">
        <v>7490</v>
      </c>
      <c r="AB87" t="s">
        <v>7331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14"/>
        <v>459.66666666666663</v>
      </c>
      <c r="AH87" s="4">
        <f t="shared" si="24"/>
        <v>5.4833333333333334</v>
      </c>
      <c r="AI87">
        <f t="shared" ca="1" si="25"/>
        <v>128</v>
      </c>
      <c r="AJ87">
        <f t="shared" ca="1" si="26"/>
        <v>148</v>
      </c>
      <c r="AK87">
        <f t="shared" ca="1" si="27"/>
        <v>116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  <c r="AT87" t="s">
        <v>6510</v>
      </c>
    </row>
    <row r="88" spans="1:46" x14ac:dyDescent="0.3">
      <c r="A88" t="s">
        <v>5630</v>
      </c>
      <c r="B88">
        <f t="shared" si="15"/>
        <v>200086</v>
      </c>
      <c r="C88">
        <v>200037</v>
      </c>
      <c r="D88" t="str">
        <f t="shared" si="16"/>
        <v>rg:{'id': '200037'}</v>
      </c>
      <c r="E88">
        <f>VLOOKUP(C88,Owners.csv!C:J,6,FALSE)</f>
        <v>200001</v>
      </c>
      <c r="F88" t="str">
        <f>VLOOKUP(VLOOKUP(E88,LocalAreas.csv!I:K,3,FALSE),ServiceAreas.csv!F:J,5,FALSE)</f>
        <v>200009</v>
      </c>
      <c r="G88" t="str">
        <f t="shared" si="17"/>
        <v>rg:{'id': '200001'}</v>
      </c>
      <c r="H88" t="s">
        <v>7712</v>
      </c>
      <c r="I88" t="s">
        <v>5651</v>
      </c>
      <c r="J88">
        <f>VLOOKUP(I88&amp;"-"&amp;F88,DistrictEquipmentTypes.csv!J:K,2,FALSE)</f>
        <v>200006</v>
      </c>
      <c r="K88" t="str">
        <f t="shared" si="18"/>
        <v>rg:{'id': '200006'}</v>
      </c>
      <c r="L88">
        <f t="shared" si="19"/>
        <v>1</v>
      </c>
      <c r="M88" t="str">
        <f>VLOOKUP(C88,Owners.csv!C:K,9,FALSE)&amp;TEXT(Equipment.csv!L88,"0000")</f>
        <v>HARO0001</v>
      </c>
      <c r="N88" t="s">
        <v>5401</v>
      </c>
      <c r="O88" t="s">
        <v>6745</v>
      </c>
      <c r="P88">
        <v>1989</v>
      </c>
      <c r="Q88">
        <v>87</v>
      </c>
      <c r="R88" t="s">
        <v>6663</v>
      </c>
      <c r="S88" s="1">
        <v>39387</v>
      </c>
      <c r="T88" s="1">
        <v>39410</v>
      </c>
      <c r="U88" t="str">
        <f t="shared" ca="1" si="20"/>
        <v>rg:False</v>
      </c>
      <c r="V88" t="str">
        <f t="shared" ca="1" si="21"/>
        <v>rg:None</v>
      </c>
      <c r="W88" t="s">
        <v>7144</v>
      </c>
      <c r="X88" t="s">
        <v>76</v>
      </c>
      <c r="Y88" t="s">
        <v>76</v>
      </c>
      <c r="Z88" t="s">
        <v>76</v>
      </c>
      <c r="AA88" t="s">
        <v>7491</v>
      </c>
      <c r="AB88" t="s">
        <v>7332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42481</v>
      </c>
      <c r="AG88" s="4">
        <f t="shared" ca="1" si="14"/>
        <v>604.16666666666674</v>
      </c>
      <c r="AH88" s="4">
        <f t="shared" si="24"/>
        <v>8.3527777777777779</v>
      </c>
      <c r="AI88">
        <f t="shared" ca="1" si="25"/>
        <v>125</v>
      </c>
      <c r="AJ88">
        <f t="shared" ca="1" si="26"/>
        <v>175</v>
      </c>
      <c r="AK88">
        <f t="shared" ca="1" si="27"/>
        <v>9</v>
      </c>
      <c r="AL88" t="s">
        <v>5689</v>
      </c>
      <c r="AM88" t="s">
        <v>6884</v>
      </c>
      <c r="AN88" s="1">
        <v>42452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  <c r="AT88" t="s">
        <v>6510</v>
      </c>
    </row>
    <row r="89" spans="1:46" x14ac:dyDescent="0.3">
      <c r="A89" t="s">
        <v>5630</v>
      </c>
      <c r="B89">
        <f t="shared" si="15"/>
        <v>200087</v>
      </c>
      <c r="C89">
        <v>200018</v>
      </c>
      <c r="D89" t="str">
        <f t="shared" si="16"/>
        <v>rg:{'id': '200018'}</v>
      </c>
      <c r="E89">
        <f>VLOOKUP(C89,Owners.csv!C:J,6,FALSE)</f>
        <v>200001</v>
      </c>
      <c r="F89" t="str">
        <f>VLOOKUP(VLOOKUP(E89,LocalAreas.csv!I:K,3,FALSE),ServiceAreas.csv!F:J,5,FALSE)</f>
        <v>200009</v>
      </c>
      <c r="G89" t="str">
        <f t="shared" si="17"/>
        <v>rg:{'id': '200001'}</v>
      </c>
      <c r="H89" t="s">
        <v>7713</v>
      </c>
      <c r="I89" t="s">
        <v>5651</v>
      </c>
      <c r="J89">
        <f>VLOOKUP(I89&amp;"-"&amp;F89,DistrictEquipmentTypes.csv!J:K,2,FALSE)</f>
        <v>200006</v>
      </c>
      <c r="K89" t="str">
        <f t="shared" si="18"/>
        <v>rg:{'id': '200006'}</v>
      </c>
      <c r="L89">
        <f t="shared" si="19"/>
        <v>1</v>
      </c>
      <c r="M89" t="str">
        <f>VLOOKUP(C89,Owners.csv!C:K,9,FALSE)&amp;TEXT(Equipment.csv!L89,"0000")</f>
        <v>CIRC0001</v>
      </c>
      <c r="N89" t="s">
        <v>5401</v>
      </c>
      <c r="O89" t="s">
        <v>6746</v>
      </c>
      <c r="P89">
        <v>2001</v>
      </c>
      <c r="Q89">
        <v>88</v>
      </c>
      <c r="R89" t="s">
        <v>6663</v>
      </c>
      <c r="S89" s="1">
        <v>42140</v>
      </c>
      <c r="T89" s="1">
        <v>42156</v>
      </c>
      <c r="U89" t="str">
        <f t="shared" ca="1" si="20"/>
        <v>rg:False</v>
      </c>
      <c r="V89" t="str">
        <f t="shared" ca="1" si="21"/>
        <v>rg:None</v>
      </c>
      <c r="W89" t="s">
        <v>7145</v>
      </c>
      <c r="X89" t="s">
        <v>76</v>
      </c>
      <c r="Y89" t="s">
        <v>76</v>
      </c>
      <c r="Z89" t="s">
        <v>76</v>
      </c>
      <c r="AA89" t="s">
        <v>7492</v>
      </c>
      <c r="AB89" t="s">
        <v>7333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14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  <c r="AT89" t="s">
        <v>6510</v>
      </c>
    </row>
    <row r="90" spans="1:46" x14ac:dyDescent="0.3">
      <c r="A90" t="s">
        <v>5630</v>
      </c>
      <c r="B90">
        <f t="shared" si="15"/>
        <v>200088</v>
      </c>
      <c r="C90">
        <v>200019</v>
      </c>
      <c r="D90" t="str">
        <f t="shared" si="16"/>
        <v>rg:{'id': '200019'}</v>
      </c>
      <c r="E90">
        <f>VLOOKUP(C90,Owners.csv!C:J,6,FALSE)</f>
        <v>200001</v>
      </c>
      <c r="F90" t="str">
        <f>VLOOKUP(VLOOKUP(E90,LocalAreas.csv!I:K,3,FALSE),ServiceAreas.csv!F:J,5,FALSE)</f>
        <v>200009</v>
      </c>
      <c r="G90" t="str">
        <f t="shared" si="17"/>
        <v>rg:{'id': '200001'}</v>
      </c>
      <c r="H90" t="s">
        <v>7693</v>
      </c>
      <c r="I90" t="s">
        <v>5651</v>
      </c>
      <c r="J90">
        <f>VLOOKUP(I90&amp;"-"&amp;F90,DistrictEquipmentTypes.csv!J:K,2,FALSE)</f>
        <v>200006</v>
      </c>
      <c r="K90" t="str">
        <f t="shared" si="18"/>
        <v>rg:{'id': '200006'}</v>
      </c>
      <c r="L90">
        <f t="shared" si="19"/>
        <v>1</v>
      </c>
      <c r="M90" t="str">
        <f>VLOOKUP(C90,Owners.csv!C:K,9,FALSE)&amp;TEXT(Equipment.csv!L90,"0000")</f>
        <v>COCO0001</v>
      </c>
      <c r="N90" t="s">
        <v>5401</v>
      </c>
      <c r="O90" t="s">
        <v>6747</v>
      </c>
      <c r="P90">
        <v>2002</v>
      </c>
      <c r="Q90">
        <v>89</v>
      </c>
      <c r="R90" t="s">
        <v>6663</v>
      </c>
      <c r="S90" s="1">
        <v>40952</v>
      </c>
      <c r="T90" s="1">
        <v>40982</v>
      </c>
      <c r="U90" t="str">
        <f t="shared" ca="1" si="20"/>
        <v>rg:False</v>
      </c>
      <c r="V90" t="str">
        <f t="shared" ca="1" si="21"/>
        <v>rg:None</v>
      </c>
      <c r="W90" t="s">
        <v>7146</v>
      </c>
      <c r="X90" t="s">
        <v>76</v>
      </c>
      <c r="Y90" t="s">
        <v>76</v>
      </c>
      <c r="Z90" t="s">
        <v>76</v>
      </c>
      <c r="AA90" t="s">
        <v>7493</v>
      </c>
      <c r="AB90" t="s">
        <v>7283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14"/>
        <v>334.5</v>
      </c>
      <c r="AH90" s="4">
        <f t="shared" si="24"/>
        <v>4.0472222222222225</v>
      </c>
      <c r="AI90">
        <f t="shared" ca="1" si="25"/>
        <v>84</v>
      </c>
      <c r="AJ90">
        <f t="shared" ca="1" si="26"/>
        <v>156</v>
      </c>
      <c r="AK90">
        <f t="shared" ca="1" si="27"/>
        <v>35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  <c r="AT90" t="s">
        <v>6510</v>
      </c>
    </row>
    <row r="91" spans="1:46" x14ac:dyDescent="0.3">
      <c r="A91" t="s">
        <v>5630</v>
      </c>
      <c r="B91">
        <f t="shared" si="15"/>
        <v>200089</v>
      </c>
      <c r="C91">
        <v>200020</v>
      </c>
      <c r="D91" t="str">
        <f t="shared" si="16"/>
        <v>rg:{'id': '200020'}</v>
      </c>
      <c r="E91">
        <f>VLOOKUP(C91,Owners.csv!C:J,6,FALSE)</f>
        <v>200001</v>
      </c>
      <c r="F91" t="str">
        <f>VLOOKUP(VLOOKUP(E91,LocalAreas.csv!I:K,3,FALSE),ServiceAreas.csv!F:J,5,FALSE)</f>
        <v>200009</v>
      </c>
      <c r="G91" t="str">
        <f t="shared" si="17"/>
        <v>rg:{'id': '200001'}</v>
      </c>
      <c r="H91" t="s">
        <v>7714</v>
      </c>
      <c r="I91" t="s">
        <v>5651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1</v>
      </c>
      <c r="M91" t="str">
        <f>VLOOKUP(C91,Owners.csv!C:K,9,FALSE)&amp;TEXT(Equipment.csv!L91,"0000")</f>
        <v>DAVE0001</v>
      </c>
      <c r="N91" t="s">
        <v>5401</v>
      </c>
      <c r="O91" t="s">
        <v>6748</v>
      </c>
      <c r="P91">
        <v>1991</v>
      </c>
      <c r="Q91">
        <v>90</v>
      </c>
      <c r="R91" t="s">
        <v>6663</v>
      </c>
      <c r="S91" s="1">
        <v>40280</v>
      </c>
      <c r="T91" s="1">
        <v>40283</v>
      </c>
      <c r="U91" t="str">
        <f t="shared" ca="1" si="20"/>
        <v>rg:False</v>
      </c>
      <c r="V91" t="str">
        <f t="shared" ca="1" si="21"/>
        <v>rg:None</v>
      </c>
      <c r="W91" t="s">
        <v>7147</v>
      </c>
      <c r="X91" t="s">
        <v>76</v>
      </c>
      <c r="Y91" t="s">
        <v>76</v>
      </c>
      <c r="Z91" t="s">
        <v>76</v>
      </c>
      <c r="AA91" t="s">
        <v>7494</v>
      </c>
      <c r="AB91" t="s">
        <v>7334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14"/>
        <v>500.66666666666669</v>
      </c>
      <c r="AH91" s="4">
        <f t="shared" si="24"/>
        <v>5.9611111111111112</v>
      </c>
      <c r="AI91">
        <f t="shared" ca="1" si="25"/>
        <v>145</v>
      </c>
      <c r="AJ91">
        <f t="shared" ca="1" si="26"/>
        <v>91</v>
      </c>
      <c r="AK91">
        <f t="shared" ca="1" si="27"/>
        <v>193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  <c r="AT91" t="s">
        <v>6510</v>
      </c>
    </row>
    <row r="92" spans="1:46" x14ac:dyDescent="0.3">
      <c r="A92" t="s">
        <v>5630</v>
      </c>
      <c r="B92">
        <f t="shared" si="15"/>
        <v>200090</v>
      </c>
      <c r="C92">
        <v>200021</v>
      </c>
      <c r="D92" t="str">
        <f t="shared" si="16"/>
        <v>rg:{'id': '200021'}</v>
      </c>
      <c r="E92">
        <f>VLOOKUP(C92,Owners.csv!C:J,6,FALSE)</f>
        <v>200001</v>
      </c>
      <c r="F92" t="str">
        <f>VLOOKUP(VLOOKUP(E92,LocalAreas.csv!I:K,3,FALSE),ServiceAreas.csv!F:J,5,FALSE)</f>
        <v>200009</v>
      </c>
      <c r="G92" t="str">
        <f t="shared" si="17"/>
        <v>rg:{'id': '200001'}</v>
      </c>
      <c r="H92" t="s">
        <v>7715</v>
      </c>
      <c r="I92" t="s">
        <v>5651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1</v>
      </c>
      <c r="M92" t="str">
        <f>VLOOKUP(C92,Owners.csv!C:K,9,FALSE)&amp;TEXT(Equipment.csv!L92,"0000")</f>
        <v>DESM0001</v>
      </c>
      <c r="N92" t="s">
        <v>5401</v>
      </c>
      <c r="O92" t="s">
        <v>6749</v>
      </c>
      <c r="P92">
        <v>2017</v>
      </c>
      <c r="Q92">
        <v>91</v>
      </c>
      <c r="R92" t="s">
        <v>6663</v>
      </c>
      <c r="S92" s="1">
        <v>38690</v>
      </c>
      <c r="T92" s="1">
        <v>38702</v>
      </c>
      <c r="U92" t="str">
        <f t="shared" ca="1" si="20"/>
        <v>rg:False</v>
      </c>
      <c r="V92" t="str">
        <f t="shared" ca="1" si="21"/>
        <v>rg:None</v>
      </c>
      <c r="W92" t="s">
        <v>7148</v>
      </c>
      <c r="X92" t="s">
        <v>76</v>
      </c>
      <c r="Y92" t="s">
        <v>76</v>
      </c>
      <c r="Z92" t="s">
        <v>76</v>
      </c>
      <c r="AA92" t="s">
        <v>7495</v>
      </c>
      <c r="AB92" t="s">
        <v>7328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14"/>
        <v>719.16666666666663</v>
      </c>
      <c r="AH92" s="4">
        <f t="shared" si="24"/>
        <v>10.291666666666666</v>
      </c>
      <c r="AI92">
        <f t="shared" ca="1" si="25"/>
        <v>116</v>
      </c>
      <c r="AJ92">
        <f t="shared" ca="1" si="26"/>
        <v>31</v>
      </c>
      <c r="AK92">
        <f t="shared" ca="1" si="27"/>
        <v>158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  <c r="AT92" t="s">
        <v>6510</v>
      </c>
    </row>
    <row r="93" spans="1:46" x14ac:dyDescent="0.3">
      <c r="A93" t="s">
        <v>5630</v>
      </c>
      <c r="B93">
        <f t="shared" si="15"/>
        <v>200091</v>
      </c>
      <c r="C93">
        <v>200022</v>
      </c>
      <c r="D93" t="str">
        <f t="shared" si="16"/>
        <v>rg:{'id': '200022'}</v>
      </c>
      <c r="E93">
        <f>VLOOKUP(C93,Owners.csv!C:J,6,FALSE)</f>
        <v>200001</v>
      </c>
      <c r="F93" t="str">
        <f>VLOOKUP(VLOOKUP(E93,LocalAreas.csv!I:K,3,FALSE),ServiceAreas.csv!F:J,5,FALSE)</f>
        <v>200009</v>
      </c>
      <c r="G93" t="str">
        <f t="shared" si="17"/>
        <v>rg:{'id': '200001'}</v>
      </c>
      <c r="H93" t="s">
        <v>7649</v>
      </c>
      <c r="I93" t="s">
        <v>5651</v>
      </c>
      <c r="J93">
        <f>VLOOKUP(I93&amp;"-"&amp;F93,DistrictEquipmentTypes.csv!J:K,2,FALSE)</f>
        <v>200006</v>
      </c>
      <c r="K93" t="str">
        <f t="shared" si="18"/>
        <v>rg:{'id': '200006'}</v>
      </c>
      <c r="L93">
        <f t="shared" si="19"/>
        <v>1</v>
      </c>
      <c r="M93" t="str">
        <f>VLOOKUP(C93,Owners.csv!C:K,9,FALSE)&amp;TEXT(Equipment.csv!L93,"0000")</f>
        <v>DEST0001</v>
      </c>
      <c r="N93" t="s">
        <v>5401</v>
      </c>
      <c r="O93" t="s">
        <v>6750</v>
      </c>
      <c r="P93">
        <v>2014</v>
      </c>
      <c r="Q93">
        <v>92</v>
      </c>
      <c r="R93" t="s">
        <v>6663</v>
      </c>
      <c r="S93" s="1">
        <v>42374</v>
      </c>
      <c r="T93" s="1">
        <v>42388</v>
      </c>
      <c r="U93" t="str">
        <f t="shared" ca="1" si="20"/>
        <v>rg:False</v>
      </c>
      <c r="V93" t="str">
        <f t="shared" ca="1" si="21"/>
        <v>rg:None</v>
      </c>
      <c r="W93" t="s">
        <v>7149</v>
      </c>
      <c r="X93" t="s">
        <v>76</v>
      </c>
      <c r="Y93" t="s">
        <v>76</v>
      </c>
      <c r="Z93" t="s">
        <v>76</v>
      </c>
      <c r="AA93" t="s">
        <v>7496</v>
      </c>
      <c r="AB93" t="s">
        <v>7259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14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  <c r="AT93" t="s">
        <v>6510</v>
      </c>
    </row>
    <row r="94" spans="1:46" x14ac:dyDescent="0.3">
      <c r="A94" t="s">
        <v>5630</v>
      </c>
      <c r="B94">
        <f t="shared" si="15"/>
        <v>200092</v>
      </c>
      <c r="C94">
        <v>200023</v>
      </c>
      <c r="D94" t="str">
        <f t="shared" si="16"/>
        <v>rg:{'id': '200023'}</v>
      </c>
      <c r="E94">
        <f>VLOOKUP(C94,Owners.csv!C:J,6,FALSE)</f>
        <v>200001</v>
      </c>
      <c r="F94" t="str">
        <f>VLOOKUP(VLOOKUP(E94,LocalAreas.csv!I:K,3,FALSE),ServiceAreas.csv!F:J,5,FALSE)</f>
        <v>200009</v>
      </c>
      <c r="G94" t="str">
        <f t="shared" si="17"/>
        <v>rg:{'id': '200001'}</v>
      </c>
      <c r="H94" t="s">
        <v>7688</v>
      </c>
      <c r="I94" t="s">
        <v>5651</v>
      </c>
      <c r="J94">
        <f>VLOOKUP(I94&amp;"-"&amp;F94,DistrictEquipmentTypes.csv!J:K,2,FALSE)</f>
        <v>200006</v>
      </c>
      <c r="K94" t="str">
        <f t="shared" si="18"/>
        <v>rg:{'id': '200006'}</v>
      </c>
      <c r="L94">
        <f t="shared" si="19"/>
        <v>1</v>
      </c>
      <c r="M94" t="str">
        <f>VLOOKUP(C94,Owners.csv!C:K,9,FALSE)&amp;TEXT(Equipment.csv!L94,"0000")</f>
        <v>EART0001</v>
      </c>
      <c r="N94" t="s">
        <v>5401</v>
      </c>
      <c r="O94" t="s">
        <v>6751</v>
      </c>
      <c r="P94">
        <v>1996</v>
      </c>
      <c r="Q94">
        <v>93</v>
      </c>
      <c r="R94" t="s">
        <v>6663</v>
      </c>
      <c r="S94" s="1">
        <v>40890</v>
      </c>
      <c r="T94" s="1">
        <v>40893</v>
      </c>
      <c r="U94" t="str">
        <f t="shared" ca="1" si="20"/>
        <v>rg:False</v>
      </c>
      <c r="V94" t="str">
        <f t="shared" ca="1" si="21"/>
        <v>rg:None</v>
      </c>
      <c r="W94" t="s">
        <v>7150</v>
      </c>
      <c r="X94" t="s">
        <v>76</v>
      </c>
      <c r="Y94" t="s">
        <v>76</v>
      </c>
      <c r="Z94" t="s">
        <v>76</v>
      </c>
      <c r="AA94" t="s">
        <v>7497</v>
      </c>
      <c r="AB94" t="s">
        <v>7335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14"/>
        <v>348.5</v>
      </c>
      <c r="AH94" s="4">
        <f t="shared" si="24"/>
        <v>4.291666666666667</v>
      </c>
      <c r="AI94">
        <f t="shared" ca="1" si="25"/>
        <v>81</v>
      </c>
      <c r="AJ94">
        <f t="shared" ca="1" si="26"/>
        <v>48</v>
      </c>
      <c r="AK94">
        <f t="shared" ca="1" si="27"/>
        <v>144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  <c r="AT94" t="s">
        <v>6510</v>
      </c>
    </row>
    <row r="95" spans="1:46" x14ac:dyDescent="0.3">
      <c r="A95" t="s">
        <v>5630</v>
      </c>
      <c r="B95">
        <f t="shared" si="15"/>
        <v>200093</v>
      </c>
      <c r="C95">
        <v>200024</v>
      </c>
      <c r="D95" t="str">
        <f t="shared" si="16"/>
        <v>rg:{'id': '200024'}</v>
      </c>
      <c r="E95">
        <f>VLOOKUP(C95,Owners.csv!C:J,6,FALSE)</f>
        <v>200001</v>
      </c>
      <c r="F95" t="str">
        <f>VLOOKUP(VLOOKUP(E95,LocalAreas.csv!I:K,3,FALSE),ServiceAreas.csv!F:J,5,FALSE)</f>
        <v>200009</v>
      </c>
      <c r="G95" t="str">
        <f t="shared" si="17"/>
        <v>rg:{'id': '200001'}</v>
      </c>
      <c r="H95" t="s">
        <v>7716</v>
      </c>
      <c r="I95" t="s">
        <v>5651</v>
      </c>
      <c r="J95">
        <f>VLOOKUP(I95&amp;"-"&amp;F95,DistrictEquipmentTypes.csv!J:K,2,FALSE)</f>
        <v>200006</v>
      </c>
      <c r="K95" t="str">
        <f t="shared" si="18"/>
        <v>rg:{'id': '200006'}</v>
      </c>
      <c r="L95">
        <f t="shared" si="19"/>
        <v>1</v>
      </c>
      <c r="M95" t="str">
        <f>VLOOKUP(C95,Owners.csv!C:K,9,FALSE)&amp;TEXT(Equipment.csv!L95,"0000")</f>
        <v>EDWA0001</v>
      </c>
      <c r="N95" t="s">
        <v>5401</v>
      </c>
      <c r="O95" t="s">
        <v>6752</v>
      </c>
      <c r="P95">
        <v>1999</v>
      </c>
      <c r="Q95">
        <v>94</v>
      </c>
      <c r="R95" t="s">
        <v>6663</v>
      </c>
      <c r="S95" s="1">
        <v>40433</v>
      </c>
      <c r="T95" s="1">
        <v>40451</v>
      </c>
      <c r="U95" t="str">
        <f t="shared" ca="1" si="20"/>
        <v>rg:False</v>
      </c>
      <c r="V95" t="str">
        <f t="shared" ca="1" si="21"/>
        <v>rg:None</v>
      </c>
      <c r="W95" t="s">
        <v>7151</v>
      </c>
      <c r="X95" t="s">
        <v>76</v>
      </c>
      <c r="Y95" t="s">
        <v>76</v>
      </c>
      <c r="Z95" t="s">
        <v>76</v>
      </c>
      <c r="AA95" t="s">
        <v>7498</v>
      </c>
      <c r="AB95" t="s">
        <v>7301</v>
      </c>
      <c r="AC95">
        <v>0</v>
      </c>
      <c r="AD95" t="str">
        <f t="shared" ca="1" si="22"/>
        <v>rg:False</v>
      </c>
      <c r="AE95" t="str">
        <f t="shared" ca="1" si="23"/>
        <v>rg:None</v>
      </c>
      <c r="AF95" s="1">
        <v>42481</v>
      </c>
      <c r="AG95" s="4">
        <f t="shared" ca="1" si="14"/>
        <v>434.5</v>
      </c>
      <c r="AH95" s="4">
        <f t="shared" si="24"/>
        <v>5.5027777777777782</v>
      </c>
      <c r="AI95">
        <f t="shared" ca="1" si="25"/>
        <v>45</v>
      </c>
      <c r="AJ95">
        <f t="shared" ca="1" si="26"/>
        <v>173</v>
      </c>
      <c r="AK95">
        <f t="shared" ca="1" si="27"/>
        <v>95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  <c r="AT95" t="s">
        <v>6510</v>
      </c>
    </row>
    <row r="96" spans="1:46" x14ac:dyDescent="0.3">
      <c r="A96" t="s">
        <v>5630</v>
      </c>
      <c r="B96">
        <f t="shared" si="15"/>
        <v>200094</v>
      </c>
      <c r="C96">
        <v>200025</v>
      </c>
      <c r="D96" t="str">
        <f t="shared" si="16"/>
        <v>rg:{'id': '200025'}</v>
      </c>
      <c r="E96">
        <f>VLOOKUP(C96,Owners.csv!C:J,6,FALSE)</f>
        <v>200001</v>
      </c>
      <c r="F96" t="str">
        <f>VLOOKUP(VLOOKUP(E96,LocalAreas.csv!I:K,3,FALSE),ServiceAreas.csv!F:J,5,FALSE)</f>
        <v>200009</v>
      </c>
      <c r="G96" t="str">
        <f t="shared" si="17"/>
        <v>rg:{'id': '200001'}</v>
      </c>
      <c r="H96" t="s">
        <v>7717</v>
      </c>
      <c r="I96" t="s">
        <v>5651</v>
      </c>
      <c r="J96">
        <f>VLOOKUP(I96&amp;"-"&amp;F96,DistrictEquipmentTypes.csv!J:K,2,FALSE)</f>
        <v>200006</v>
      </c>
      <c r="K96" t="str">
        <f t="shared" si="18"/>
        <v>rg:{'id': '200006'}</v>
      </c>
      <c r="L96">
        <f t="shared" si="19"/>
        <v>1</v>
      </c>
      <c r="M96" t="str">
        <f>VLOOKUP(C96,Owners.csv!C:K,9,FALSE)&amp;TEXT(Equipment.csv!L96,"0000")</f>
        <v>ENVI0001</v>
      </c>
      <c r="N96" t="s">
        <v>5401</v>
      </c>
      <c r="O96" t="s">
        <v>6753</v>
      </c>
      <c r="P96">
        <v>1978</v>
      </c>
      <c r="Q96">
        <v>95</v>
      </c>
      <c r="R96" t="s">
        <v>6663</v>
      </c>
      <c r="S96" s="1">
        <v>39052</v>
      </c>
      <c r="T96" s="1">
        <v>39079</v>
      </c>
      <c r="U96" t="str">
        <f t="shared" ca="1" si="20"/>
        <v>rg:False</v>
      </c>
      <c r="V96" t="str">
        <f t="shared" ca="1" si="21"/>
        <v>rg:None</v>
      </c>
      <c r="W96" t="s">
        <v>7152</v>
      </c>
      <c r="X96" t="s">
        <v>76</v>
      </c>
      <c r="Y96" t="s">
        <v>76</v>
      </c>
      <c r="Z96" t="s">
        <v>76</v>
      </c>
      <c r="AA96" t="s">
        <v>7499</v>
      </c>
      <c r="AB96" t="s">
        <v>7336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42481</v>
      </c>
      <c r="AG96" s="4">
        <f t="shared" ca="1" si="14"/>
        <v>625.16666666666663</v>
      </c>
      <c r="AH96" s="4">
        <f t="shared" si="24"/>
        <v>9.2583333333333329</v>
      </c>
      <c r="AI96">
        <f t="shared" ca="1" si="25"/>
        <v>36</v>
      </c>
      <c r="AJ96">
        <f t="shared" ca="1" si="26"/>
        <v>96</v>
      </c>
      <c r="AK96">
        <f t="shared" ca="1" si="27"/>
        <v>77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  <c r="AT96" t="s">
        <v>6510</v>
      </c>
    </row>
    <row r="97" spans="1:46" x14ac:dyDescent="0.3">
      <c r="A97" t="s">
        <v>5630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200001</v>
      </c>
      <c r="F97" t="str">
        <f>VLOOKUP(VLOOKUP(E97,LocalAreas.csv!I:K,3,FALSE),ServiceAreas.csv!F:J,5,FALSE)</f>
        <v>200009</v>
      </c>
      <c r="G97" t="str">
        <f t="shared" si="17"/>
        <v>rg:{'id': '200001'}</v>
      </c>
      <c r="H97" t="s">
        <v>7663</v>
      </c>
      <c r="I97" t="s">
        <v>5651</v>
      </c>
      <c r="J97">
        <f>VLOOKUP(I97&amp;"-"&amp;F97,DistrictEquipmentTypes.csv!J:K,2,FALSE)</f>
        <v>200006</v>
      </c>
      <c r="K97" t="str">
        <f t="shared" si="18"/>
        <v>rg:{'id': '200006'}</v>
      </c>
      <c r="L97">
        <f t="shared" si="19"/>
        <v>1</v>
      </c>
      <c r="M97" t="str">
        <f>VLOOKUP(C97,Owners.csv!C:K,9,FALSE)&amp;TEXT(Equipment.csv!L97,"0000")</f>
        <v>FAMI0001</v>
      </c>
      <c r="N97" t="s">
        <v>5401</v>
      </c>
      <c r="O97" t="s">
        <v>6754</v>
      </c>
      <c r="P97">
        <v>1988</v>
      </c>
      <c r="Q97">
        <v>96</v>
      </c>
      <c r="R97" t="s">
        <v>6663</v>
      </c>
      <c r="S97" s="1">
        <v>41606</v>
      </c>
      <c r="T97" s="1">
        <v>41637</v>
      </c>
      <c r="U97" t="str">
        <f t="shared" ca="1" si="20"/>
        <v>rg:False</v>
      </c>
      <c r="V97" t="str">
        <f t="shared" ca="1" si="21"/>
        <v>rg:None</v>
      </c>
      <c r="W97" t="s">
        <v>7153</v>
      </c>
      <c r="X97" t="s">
        <v>76</v>
      </c>
      <c r="Y97" t="s">
        <v>76</v>
      </c>
      <c r="Z97" t="s">
        <v>76</v>
      </c>
      <c r="AA97" t="s">
        <v>7500</v>
      </c>
      <c r="AB97" t="s">
        <v>7337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14"/>
        <v>209</v>
      </c>
      <c r="AH97" s="4">
        <f t="shared" si="24"/>
        <v>2.2555555555555555</v>
      </c>
      <c r="AI97">
        <f t="shared" ca="1" si="25"/>
        <v>188</v>
      </c>
      <c r="AJ97">
        <f t="shared" ca="1" si="26"/>
        <v>33</v>
      </c>
      <c r="AK97">
        <f t="shared" ca="1" si="27"/>
        <v>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  <c r="AT97" t="s">
        <v>6510</v>
      </c>
    </row>
    <row r="98" spans="1:46" x14ac:dyDescent="0.3">
      <c r="A98" t="s">
        <v>5630</v>
      </c>
      <c r="B98">
        <f t="shared" si="15"/>
        <v>200096</v>
      </c>
      <c r="C98">
        <v>200027</v>
      </c>
      <c r="D98" t="str">
        <f t="shared" si="16"/>
        <v>rg:{'id': '200027'}</v>
      </c>
      <c r="E98">
        <f>VLOOKUP(C98,Owners.csv!C:J,6,FALSE)</f>
        <v>200001</v>
      </c>
      <c r="F98" t="str">
        <f>VLOOKUP(VLOOKUP(E98,LocalAreas.csv!I:K,3,FALSE),ServiceAreas.csv!F:J,5,FALSE)</f>
        <v>200009</v>
      </c>
      <c r="G98" t="str">
        <f t="shared" si="17"/>
        <v>rg:{'id': '200001'}</v>
      </c>
      <c r="H98" t="s">
        <v>7718</v>
      </c>
      <c r="I98" t="s">
        <v>5651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1</v>
      </c>
      <c r="M98" t="str">
        <f>VLOOKUP(C98,Owners.csv!C:K,9,FALSE)&amp;TEXT(Equipment.csv!L98,"0000")</f>
        <v>FIRS0001</v>
      </c>
      <c r="N98" t="s">
        <v>5401</v>
      </c>
      <c r="O98" t="s">
        <v>6755</v>
      </c>
      <c r="P98">
        <v>1990</v>
      </c>
      <c r="Q98">
        <v>97</v>
      </c>
      <c r="R98" t="s">
        <v>6663</v>
      </c>
      <c r="S98" s="1">
        <v>39576</v>
      </c>
      <c r="T98" s="1">
        <v>39599</v>
      </c>
      <c r="U98" t="str">
        <f t="shared" ca="1" si="20"/>
        <v>rg:False</v>
      </c>
      <c r="V98" t="str">
        <f t="shared" ca="1" si="21"/>
        <v>rg:None</v>
      </c>
      <c r="W98" t="s">
        <v>7154</v>
      </c>
      <c r="X98" t="s">
        <v>76</v>
      </c>
      <c r="Y98" t="s">
        <v>76</v>
      </c>
      <c r="Z98" t="s">
        <v>76</v>
      </c>
      <c r="AA98" t="s">
        <v>7501</v>
      </c>
      <c r="AB98" t="s">
        <v>7338</v>
      </c>
      <c r="AC98">
        <v>0</v>
      </c>
      <c r="AD98" t="str">
        <f t="shared" ca="1" si="22"/>
        <v>rg:False</v>
      </c>
      <c r="AE98" t="str">
        <f t="shared" ca="1" si="23"/>
        <v>rg:None</v>
      </c>
      <c r="AF98" s="1">
        <v>42481</v>
      </c>
      <c r="AG98" s="4">
        <f t="shared" ca="1" si="14"/>
        <v>579.83333333333337</v>
      </c>
      <c r="AH98" s="4">
        <f t="shared" si="24"/>
        <v>7.8361111111111112</v>
      </c>
      <c r="AI98">
        <f t="shared" ca="1" si="25"/>
        <v>72</v>
      </c>
      <c r="AJ98">
        <f t="shared" ca="1" si="26"/>
        <v>147</v>
      </c>
      <c r="AK98">
        <f t="shared" ca="1" si="27"/>
        <v>110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  <c r="AT98" t="s">
        <v>6510</v>
      </c>
    </row>
    <row r="99" spans="1:46" x14ac:dyDescent="0.3">
      <c r="A99" t="s">
        <v>5630</v>
      </c>
      <c r="B99">
        <f t="shared" si="15"/>
        <v>200097</v>
      </c>
      <c r="C99">
        <v>200028</v>
      </c>
      <c r="D99" t="str">
        <f t="shared" si="16"/>
        <v>rg:{'id': '200028'}</v>
      </c>
      <c r="E99">
        <f>VLOOKUP(C99,Owners.csv!C:J,6,FALSE)</f>
        <v>200001</v>
      </c>
      <c r="F99" t="str">
        <f>VLOOKUP(VLOOKUP(E99,LocalAreas.csv!I:K,3,FALSE),ServiceAreas.csv!F:J,5,FALSE)</f>
        <v>200009</v>
      </c>
      <c r="G99" t="str">
        <f t="shared" si="17"/>
        <v>rg:{'id': '200001'}</v>
      </c>
      <c r="H99" t="s">
        <v>7719</v>
      </c>
      <c r="I99" t="s">
        <v>5651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1</v>
      </c>
      <c r="M99" t="str">
        <f>VLOOKUP(C99,Owners.csv!C:K,9,FALSE)&amp;TEXT(Equipment.csv!L99,"0000")</f>
        <v>FISH0001</v>
      </c>
      <c r="N99" t="s">
        <v>5401</v>
      </c>
      <c r="O99" t="s">
        <v>6756</v>
      </c>
      <c r="P99">
        <v>2013</v>
      </c>
      <c r="Q99">
        <v>98</v>
      </c>
      <c r="R99" t="s">
        <v>6663</v>
      </c>
      <c r="S99" s="1">
        <v>40320</v>
      </c>
      <c r="T99" s="1">
        <v>40342</v>
      </c>
      <c r="U99" t="str">
        <f t="shared" ca="1" si="20"/>
        <v>rg:False</v>
      </c>
      <c r="V99" t="str">
        <f t="shared" ca="1" si="21"/>
        <v>rg:None</v>
      </c>
      <c r="W99" t="s">
        <v>7155</v>
      </c>
      <c r="X99" t="s">
        <v>76</v>
      </c>
      <c r="Y99" t="s">
        <v>76</v>
      </c>
      <c r="Z99" t="s">
        <v>76</v>
      </c>
      <c r="AA99" t="s">
        <v>7502</v>
      </c>
      <c r="AB99" t="s">
        <v>7339</v>
      </c>
      <c r="AC99">
        <v>0</v>
      </c>
      <c r="AD99" t="str">
        <f t="shared" ca="1" si="22"/>
        <v>rg:False</v>
      </c>
      <c r="AE99" t="str">
        <f t="shared" ca="1" si="23"/>
        <v>rg:None</v>
      </c>
      <c r="AF99" s="1">
        <v>42481</v>
      </c>
      <c r="AG99" s="4">
        <f t="shared" ca="1" si="14"/>
        <v>453.66666666666669</v>
      </c>
      <c r="AH99" s="4">
        <f t="shared" si="24"/>
        <v>5.8</v>
      </c>
      <c r="AI99">
        <f t="shared" ca="1" si="25"/>
        <v>160</v>
      </c>
      <c r="AJ99">
        <f t="shared" ca="1" si="26"/>
        <v>17</v>
      </c>
      <c r="AK99">
        <f t="shared" ca="1" si="27"/>
        <v>140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  <c r="AT99" t="s">
        <v>6510</v>
      </c>
    </row>
    <row r="100" spans="1:46" x14ac:dyDescent="0.3">
      <c r="A100" t="s">
        <v>5630</v>
      </c>
      <c r="B100">
        <f t="shared" si="15"/>
        <v>200098</v>
      </c>
      <c r="C100">
        <v>200029</v>
      </c>
      <c r="D100" t="str">
        <f t="shared" si="16"/>
        <v>rg:{'id': '200029'}</v>
      </c>
      <c r="E100">
        <f>VLOOKUP(C100,Owners.csv!C:J,6,FALSE)</f>
        <v>200001</v>
      </c>
      <c r="F100" t="str">
        <f>VLOOKUP(VLOOKUP(E100,LocalAreas.csv!I:K,3,FALSE),ServiceAreas.csv!F:J,5,FALSE)</f>
        <v>200009</v>
      </c>
      <c r="G100" t="str">
        <f t="shared" si="17"/>
        <v>rg:{'id': '200001'}</v>
      </c>
      <c r="H100" t="s">
        <v>7720</v>
      </c>
      <c r="I100" t="s">
        <v>5651</v>
      </c>
      <c r="J100">
        <f>VLOOKUP(I100&amp;"-"&amp;F100,DistrictEquipmentTypes.csv!J:K,2,FALSE)</f>
        <v>200006</v>
      </c>
      <c r="K100" t="str">
        <f t="shared" si="18"/>
        <v>rg:{'id': '200006'}</v>
      </c>
      <c r="L100">
        <f t="shared" si="19"/>
        <v>1</v>
      </c>
      <c r="M100" t="str">
        <f>VLOOKUP(C100,Owners.csv!C:K,9,FALSE)&amp;TEXT(Equipment.csv!L100,"0000")</f>
        <v>FOOT0001</v>
      </c>
      <c r="N100" t="s">
        <v>5401</v>
      </c>
      <c r="O100" t="s">
        <v>6757</v>
      </c>
      <c r="P100">
        <v>2005</v>
      </c>
      <c r="Q100">
        <v>99</v>
      </c>
      <c r="R100" t="s">
        <v>6663</v>
      </c>
      <c r="S100" s="1">
        <v>41275</v>
      </c>
      <c r="T100" s="1">
        <v>41280</v>
      </c>
      <c r="U100" t="str">
        <f t="shared" ca="1" si="20"/>
        <v>rg:False</v>
      </c>
      <c r="V100" t="str">
        <f t="shared" ca="1" si="21"/>
        <v>rg:None</v>
      </c>
      <c r="W100" t="s">
        <v>7156</v>
      </c>
      <c r="X100" t="s">
        <v>76</v>
      </c>
      <c r="Y100" t="s">
        <v>76</v>
      </c>
      <c r="Z100" t="s">
        <v>76</v>
      </c>
      <c r="AA100" t="s">
        <v>7503</v>
      </c>
      <c r="AB100" t="s">
        <v>7340</v>
      </c>
      <c r="AC100">
        <v>0</v>
      </c>
      <c r="AD100" t="str">
        <f t="shared" ca="1" si="22"/>
        <v>rg:True</v>
      </c>
      <c r="AE100" t="str">
        <f t="shared" ca="1" si="23"/>
        <v>Seniority overridden to test things</v>
      </c>
      <c r="AF100" s="1">
        <v>42481</v>
      </c>
      <c r="AG100" s="4">
        <f t="shared" ca="1" si="14"/>
        <v>308.83333333333331</v>
      </c>
      <c r="AH100" s="4">
        <f t="shared" si="24"/>
        <v>3.2361111111111112</v>
      </c>
      <c r="AI100">
        <f t="shared" ca="1" si="25"/>
        <v>175</v>
      </c>
      <c r="AJ100">
        <f t="shared" ca="1" si="26"/>
        <v>76</v>
      </c>
      <c r="AK100">
        <f t="shared" ca="1" si="27"/>
        <v>93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  <c r="AT100" t="s">
        <v>6510</v>
      </c>
    </row>
    <row r="101" spans="1:46" x14ac:dyDescent="0.3">
      <c r="A101" t="s">
        <v>5630</v>
      </c>
      <c r="B101">
        <f t="shared" si="15"/>
        <v>200099</v>
      </c>
      <c r="C101">
        <v>200030</v>
      </c>
      <c r="D101" t="str">
        <f t="shared" si="16"/>
        <v>rg:{'id': '200030'}</v>
      </c>
      <c r="E101">
        <f>VLOOKUP(C101,Owners.csv!C:J,6,FALSE)</f>
        <v>200001</v>
      </c>
      <c r="F101" t="str">
        <f>VLOOKUP(VLOOKUP(E101,LocalAreas.csv!I:K,3,FALSE),ServiceAreas.csv!F:J,5,FALSE)</f>
        <v>200009</v>
      </c>
      <c r="G101" t="str">
        <f t="shared" si="17"/>
        <v>rg:{'id': '200001'}</v>
      </c>
      <c r="H101" t="s">
        <v>7668</v>
      </c>
      <c r="I101" t="s">
        <v>5651</v>
      </c>
      <c r="J101">
        <f>VLOOKUP(I101&amp;"-"&amp;F101,DistrictEquipmentTypes.csv!J:K,2,FALSE)</f>
        <v>200006</v>
      </c>
      <c r="K101" t="str">
        <f t="shared" si="18"/>
        <v>rg:{'id': '200006'}</v>
      </c>
      <c r="L101">
        <f t="shared" si="19"/>
        <v>1</v>
      </c>
      <c r="M101" t="str">
        <f>VLOOKUP(C101,Owners.csv!C:K,9,FALSE)&amp;TEXT(Equipment.csv!L101,"0000")</f>
        <v>GAMM0001</v>
      </c>
      <c r="N101" t="s">
        <v>5401</v>
      </c>
      <c r="O101" t="s">
        <v>6758</v>
      </c>
      <c r="P101">
        <v>1999</v>
      </c>
      <c r="Q101">
        <v>100</v>
      </c>
      <c r="R101" t="s">
        <v>6663</v>
      </c>
      <c r="S101" s="1">
        <v>38948</v>
      </c>
      <c r="T101" s="1">
        <v>38955</v>
      </c>
      <c r="U101" t="str">
        <f t="shared" ca="1" si="20"/>
        <v>rg:False</v>
      </c>
      <c r="V101" t="str">
        <f t="shared" ca="1" si="21"/>
        <v>rg:None</v>
      </c>
      <c r="W101" t="s">
        <v>7157</v>
      </c>
      <c r="X101" t="s">
        <v>76</v>
      </c>
      <c r="Y101" t="s">
        <v>76</v>
      </c>
      <c r="Z101" t="s">
        <v>76</v>
      </c>
      <c r="AA101" t="s">
        <v>7504</v>
      </c>
      <c r="AB101" t="s">
        <v>7341</v>
      </c>
      <c r="AC101">
        <v>0</v>
      </c>
      <c r="AD101" t="str">
        <f t="shared" ca="1" si="22"/>
        <v>rg:False</v>
      </c>
      <c r="AE101" t="str">
        <f t="shared" ca="1" si="23"/>
        <v>rg:None</v>
      </c>
      <c r="AF101" s="1">
        <v>42481</v>
      </c>
      <c r="AG101" s="4">
        <f t="shared" ca="1" si="14"/>
        <v>710.49999999999989</v>
      </c>
      <c r="AH101" s="4">
        <f t="shared" si="24"/>
        <v>9.5972222222222214</v>
      </c>
      <c r="AI101">
        <f t="shared" ca="1" si="25"/>
        <v>62</v>
      </c>
      <c r="AJ101">
        <f t="shared" ca="1" si="26"/>
        <v>195</v>
      </c>
      <c r="AK101">
        <f t="shared" ca="1" si="27"/>
        <v>147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  <c r="AT101" t="s">
        <v>6510</v>
      </c>
    </row>
    <row r="102" spans="1:46" x14ac:dyDescent="0.3">
      <c r="A102" t="s">
        <v>5630</v>
      </c>
      <c r="B102">
        <f t="shared" si="15"/>
        <v>200100</v>
      </c>
      <c r="C102">
        <v>200031</v>
      </c>
      <c r="D102" t="str">
        <f t="shared" si="16"/>
        <v>rg:{'id': '200031'}</v>
      </c>
      <c r="E102">
        <f>VLOOKUP(C102,Owners.csv!C:J,6,FALSE)</f>
        <v>200001</v>
      </c>
      <c r="F102" t="str">
        <f>VLOOKUP(VLOOKUP(E102,LocalAreas.csv!I:K,3,FALSE),ServiceAreas.csv!F:J,5,FALSE)</f>
        <v>200009</v>
      </c>
      <c r="G102" t="str">
        <f t="shared" si="17"/>
        <v>rg:{'id': '200001'}</v>
      </c>
      <c r="H102" t="s">
        <v>7721</v>
      </c>
      <c r="I102" t="s">
        <v>5651</v>
      </c>
      <c r="J102">
        <f>VLOOKUP(I102&amp;"-"&amp;F102,DistrictEquipmentTypes.csv!J:K,2,FALSE)</f>
        <v>200006</v>
      </c>
      <c r="K102" t="str">
        <f t="shared" si="18"/>
        <v>rg:{'id': '200006'}</v>
      </c>
      <c r="L102">
        <f t="shared" si="19"/>
        <v>1</v>
      </c>
      <c r="M102" t="str">
        <f>VLOOKUP(C102,Owners.csv!C:K,9,FALSE)&amp;TEXT(Equipment.csv!L102,"0000")</f>
        <v>GARD0001</v>
      </c>
      <c r="N102" t="s">
        <v>5401</v>
      </c>
      <c r="O102" t="s">
        <v>6759</v>
      </c>
      <c r="P102">
        <v>1982</v>
      </c>
      <c r="Q102">
        <v>101</v>
      </c>
      <c r="R102" t="s">
        <v>6663</v>
      </c>
      <c r="S102" s="1">
        <v>39213</v>
      </c>
      <c r="T102" s="1">
        <v>39222</v>
      </c>
      <c r="U102" t="str">
        <f t="shared" ca="1" si="20"/>
        <v>rg:False</v>
      </c>
      <c r="V102" t="str">
        <f t="shared" ca="1" si="21"/>
        <v>rg:None</v>
      </c>
      <c r="W102" t="s">
        <v>7158</v>
      </c>
      <c r="X102" t="s">
        <v>76</v>
      </c>
      <c r="Y102" t="s">
        <v>76</v>
      </c>
      <c r="Z102" t="s">
        <v>76</v>
      </c>
      <c r="AA102" t="s">
        <v>7505</v>
      </c>
      <c r="AB102" t="s">
        <v>7286</v>
      </c>
      <c r="AC102">
        <v>0</v>
      </c>
      <c r="AD102" t="str">
        <f t="shared" ca="1" si="22"/>
        <v>rg:True</v>
      </c>
      <c r="AE102" t="str">
        <f t="shared" ca="1" si="23"/>
        <v>Seniority overridden to test things</v>
      </c>
      <c r="AF102" s="1">
        <v>42481</v>
      </c>
      <c r="AG102" s="4">
        <f t="shared" ca="1" si="14"/>
        <v>596.16666666666674</v>
      </c>
      <c r="AH102" s="4">
        <f t="shared" si="24"/>
        <v>8.8638888888888889</v>
      </c>
      <c r="AI102">
        <f t="shared" ca="1" si="25"/>
        <v>86</v>
      </c>
      <c r="AJ102">
        <f t="shared" ca="1" si="26"/>
        <v>5</v>
      </c>
      <c r="AK102">
        <f t="shared" ca="1" si="27"/>
        <v>102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  <c r="AT102" t="s">
        <v>6510</v>
      </c>
    </row>
    <row r="103" spans="1:46" x14ac:dyDescent="0.3">
      <c r="A103" t="s">
        <v>5630</v>
      </c>
      <c r="B103">
        <f t="shared" si="15"/>
        <v>200101</v>
      </c>
      <c r="C103">
        <v>200032</v>
      </c>
      <c r="D103" t="str">
        <f t="shared" si="16"/>
        <v>rg:{'id': '200032'}</v>
      </c>
      <c r="E103">
        <f>VLOOKUP(C103,Owners.csv!C:J,6,FALSE)</f>
        <v>200001</v>
      </c>
      <c r="F103" t="str">
        <f>VLOOKUP(VLOOKUP(E103,LocalAreas.csv!I:K,3,FALSE),ServiceAreas.csv!F:J,5,FALSE)</f>
        <v>200009</v>
      </c>
      <c r="G103" t="str">
        <f t="shared" si="17"/>
        <v>rg:{'id': '200001'}</v>
      </c>
      <c r="H103" t="s">
        <v>7660</v>
      </c>
      <c r="I103" t="s">
        <v>5651</v>
      </c>
      <c r="J103">
        <f>VLOOKUP(I103&amp;"-"&amp;F103,DistrictEquipmentTypes.csv!J:K,2,FALSE)</f>
        <v>200006</v>
      </c>
      <c r="K103" t="str">
        <f t="shared" si="18"/>
        <v>rg:{'id': '200006'}</v>
      </c>
      <c r="L103">
        <f t="shared" si="19"/>
        <v>1</v>
      </c>
      <c r="M103" t="str">
        <f>VLOOKUP(C103,Owners.csv!C:K,9,FALSE)&amp;TEXT(Equipment.csv!L103,"0000")</f>
        <v>GASD0001</v>
      </c>
      <c r="N103" t="s">
        <v>5401</v>
      </c>
      <c r="O103" t="s">
        <v>6760</v>
      </c>
      <c r="P103">
        <v>1982</v>
      </c>
      <c r="Q103">
        <v>102</v>
      </c>
      <c r="R103" t="s">
        <v>6663</v>
      </c>
      <c r="S103" s="1">
        <v>39905</v>
      </c>
      <c r="T103" s="1">
        <v>39930</v>
      </c>
      <c r="U103" t="str">
        <f t="shared" ca="1" si="20"/>
        <v>rg:False</v>
      </c>
      <c r="V103" t="str">
        <f t="shared" ca="1" si="21"/>
        <v>rg:None</v>
      </c>
      <c r="W103" t="s">
        <v>7159</v>
      </c>
      <c r="X103" t="s">
        <v>76</v>
      </c>
      <c r="Y103" t="s">
        <v>76</v>
      </c>
      <c r="Z103" t="s">
        <v>76</v>
      </c>
      <c r="AA103" t="s">
        <v>7506</v>
      </c>
      <c r="AB103" t="s">
        <v>7342</v>
      </c>
      <c r="AC103">
        <v>0</v>
      </c>
      <c r="AD103" t="str">
        <f t="shared" ca="1" si="22"/>
        <v>rg:False</v>
      </c>
      <c r="AE103" t="str">
        <f t="shared" ca="1" si="23"/>
        <v>rg:None</v>
      </c>
      <c r="AF103" s="1">
        <v>42481</v>
      </c>
      <c r="AG103" s="4">
        <f t="shared" ca="1" si="14"/>
        <v>546.66666666666674</v>
      </c>
      <c r="AH103" s="4">
        <f t="shared" si="24"/>
        <v>6.927777777777778</v>
      </c>
      <c r="AI103">
        <f t="shared" ca="1" si="25"/>
        <v>199</v>
      </c>
      <c r="AJ103">
        <f t="shared" ca="1" si="26"/>
        <v>98</v>
      </c>
      <c r="AK103">
        <f t="shared" ca="1" si="27"/>
        <v>96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  <c r="AT103" t="s">
        <v>6510</v>
      </c>
    </row>
    <row r="104" spans="1:46" x14ac:dyDescent="0.3">
      <c r="A104" t="s">
        <v>5630</v>
      </c>
      <c r="B104">
        <f t="shared" si="15"/>
        <v>200102</v>
      </c>
      <c r="C104">
        <v>200033</v>
      </c>
      <c r="D104" t="str">
        <f t="shared" si="16"/>
        <v>rg:{'id': '200033'}</v>
      </c>
      <c r="E104">
        <f>VLOOKUP(C104,Owners.csv!C:J,6,FALSE)</f>
        <v>200001</v>
      </c>
      <c r="F104" t="str">
        <f>VLOOKUP(VLOOKUP(E104,LocalAreas.csv!I:K,3,FALSE),ServiceAreas.csv!F:J,5,FALSE)</f>
        <v>200009</v>
      </c>
      <c r="G104" t="str">
        <f t="shared" si="17"/>
        <v>rg:{'id': '200001'}</v>
      </c>
      <c r="H104" t="s">
        <v>7722</v>
      </c>
      <c r="I104" t="s">
        <v>5651</v>
      </c>
      <c r="J104">
        <f>VLOOKUP(I104&amp;"-"&amp;F104,DistrictEquipmentTypes.csv!J:K,2,FALSE)</f>
        <v>200006</v>
      </c>
      <c r="K104" t="str">
        <f t="shared" si="18"/>
        <v>rg:{'id': '200006'}</v>
      </c>
      <c r="L104">
        <f t="shared" si="19"/>
        <v>1</v>
      </c>
      <c r="M104" t="str">
        <f>VLOOKUP(C104,Owners.csv!C:K,9,FALSE)&amp;TEXT(Equipment.csv!L104,"0000")</f>
        <v>GERI0001</v>
      </c>
      <c r="N104" t="s">
        <v>5401</v>
      </c>
      <c r="O104" t="s">
        <v>6761</v>
      </c>
      <c r="P104">
        <v>1997</v>
      </c>
      <c r="Q104">
        <v>103</v>
      </c>
      <c r="R104" t="s">
        <v>6663</v>
      </c>
      <c r="S104" s="1">
        <v>40478</v>
      </c>
      <c r="T104" s="1">
        <v>40479</v>
      </c>
      <c r="U104" t="str">
        <f t="shared" ca="1" si="20"/>
        <v>rg:False</v>
      </c>
      <c r="V104" t="str">
        <f t="shared" ca="1" si="21"/>
        <v>rg:None</v>
      </c>
      <c r="W104" t="s">
        <v>7160</v>
      </c>
      <c r="X104" t="s">
        <v>76</v>
      </c>
      <c r="Y104" t="s">
        <v>76</v>
      </c>
      <c r="Z104" t="s">
        <v>76</v>
      </c>
      <c r="AA104" t="s">
        <v>7507</v>
      </c>
      <c r="AB104" t="s">
        <v>7343</v>
      </c>
      <c r="AC104">
        <v>0</v>
      </c>
      <c r="AD104" t="str">
        <f t="shared" ca="1" si="22"/>
        <v>rg:False</v>
      </c>
      <c r="AE104" t="str">
        <f t="shared" ca="1" si="23"/>
        <v>rg:None</v>
      </c>
      <c r="AF104" s="1">
        <v>42481</v>
      </c>
      <c r="AG104" s="4">
        <f t="shared" ca="1" si="14"/>
        <v>398.5</v>
      </c>
      <c r="AH104" s="4">
        <f t="shared" si="24"/>
        <v>5.4249999999999998</v>
      </c>
      <c r="AI104">
        <f t="shared" ca="1" si="25"/>
        <v>77</v>
      </c>
      <c r="AJ104">
        <f t="shared" ca="1" si="26"/>
        <v>111</v>
      </c>
      <c r="AK104">
        <f t="shared" ca="1" si="27"/>
        <v>31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  <c r="AT104" t="s">
        <v>6510</v>
      </c>
    </row>
    <row r="105" spans="1:46" x14ac:dyDescent="0.3">
      <c r="A105" t="s">
        <v>5630</v>
      </c>
      <c r="B105">
        <f t="shared" si="15"/>
        <v>200103</v>
      </c>
      <c r="C105">
        <v>200034</v>
      </c>
      <c r="D105" t="str">
        <f t="shared" si="16"/>
        <v>rg:{'id': '200034'}</v>
      </c>
      <c r="E105">
        <f>VLOOKUP(C105,Owners.csv!C:J,6,FALSE)</f>
        <v>200001</v>
      </c>
      <c r="F105" t="str">
        <f>VLOOKUP(VLOOKUP(E105,LocalAreas.csv!I:K,3,FALSE),ServiceAreas.csv!F:J,5,FALSE)</f>
        <v>200009</v>
      </c>
      <c r="G105" t="str">
        <f t="shared" si="17"/>
        <v>rg:{'id': '200001'}</v>
      </c>
      <c r="H105" t="s">
        <v>7723</v>
      </c>
      <c r="I105" t="s">
        <v>5651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1</v>
      </c>
      <c r="M105" t="str">
        <f>VLOOKUP(C105,Owners.csv!C:K,9,FALSE)&amp;TEXT(Equipment.csv!L105,"0000")</f>
        <v>GRAS0001</v>
      </c>
      <c r="N105" t="s">
        <v>5401</v>
      </c>
      <c r="O105" t="s">
        <v>6762</v>
      </c>
      <c r="P105">
        <v>2006</v>
      </c>
      <c r="Q105">
        <v>104</v>
      </c>
      <c r="R105" t="s">
        <v>6663</v>
      </c>
      <c r="S105" s="1">
        <v>37953</v>
      </c>
      <c r="T105" s="1">
        <v>37961</v>
      </c>
      <c r="U105" t="str">
        <f t="shared" ca="1" si="20"/>
        <v>rg:False</v>
      </c>
      <c r="V105" t="str">
        <f t="shared" ca="1" si="21"/>
        <v>rg:None</v>
      </c>
      <c r="W105" t="s">
        <v>7161</v>
      </c>
      <c r="X105" t="s">
        <v>76</v>
      </c>
      <c r="Y105" t="s">
        <v>76</v>
      </c>
      <c r="Z105" t="s">
        <v>76</v>
      </c>
      <c r="AA105" t="s">
        <v>7508</v>
      </c>
      <c r="AB105" t="s">
        <v>7344</v>
      </c>
      <c r="AC105">
        <v>0</v>
      </c>
      <c r="AD105" t="str">
        <f t="shared" ca="1" si="22"/>
        <v>rg:False</v>
      </c>
      <c r="AE105" t="str">
        <f t="shared" ca="1" si="23"/>
        <v>rg:None</v>
      </c>
      <c r="AF105" s="1">
        <v>42481</v>
      </c>
      <c r="AG105" s="4">
        <f t="shared" ca="1" si="14"/>
        <v>852.16666666666663</v>
      </c>
      <c r="AH105" s="4">
        <f t="shared" si="24"/>
        <v>12.319444444444445</v>
      </c>
      <c r="AI105">
        <f t="shared" ca="1" si="25"/>
        <v>168</v>
      </c>
      <c r="AJ105">
        <f t="shared" ca="1" si="26"/>
        <v>168</v>
      </c>
      <c r="AK105">
        <f t="shared" ca="1" si="27"/>
        <v>3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  <c r="AT105" t="s">
        <v>6510</v>
      </c>
    </row>
    <row r="106" spans="1:46" x14ac:dyDescent="0.3">
      <c r="A106" t="s">
        <v>5630</v>
      </c>
      <c r="B106">
        <f t="shared" si="15"/>
        <v>200104</v>
      </c>
      <c r="C106">
        <v>200035</v>
      </c>
      <c r="D106" t="str">
        <f t="shared" si="16"/>
        <v>rg:{'id': '200035'}</v>
      </c>
      <c r="E106">
        <f>VLOOKUP(C106,Owners.csv!C:J,6,FALSE)</f>
        <v>200001</v>
      </c>
      <c r="F106" t="str">
        <f>VLOOKUP(VLOOKUP(E106,LocalAreas.csv!I:K,3,FALSE),ServiceAreas.csv!F:J,5,FALSE)</f>
        <v>200009</v>
      </c>
      <c r="G106" t="str">
        <f t="shared" si="17"/>
        <v>rg:{'id': '200001'}</v>
      </c>
      <c r="H106" t="s">
        <v>7724</v>
      </c>
      <c r="I106" t="s">
        <v>5651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1</v>
      </c>
      <c r="M106" t="str">
        <f>VLOOKUP(C106,Owners.csv!C:K,9,FALSE)&amp;TEXT(Equipment.csv!L106,"0000")</f>
        <v>GREA0001</v>
      </c>
      <c r="N106" t="s">
        <v>5401</v>
      </c>
      <c r="O106" t="s">
        <v>6763</v>
      </c>
      <c r="P106">
        <v>1992</v>
      </c>
      <c r="Q106">
        <v>105</v>
      </c>
      <c r="R106" t="s">
        <v>6663</v>
      </c>
      <c r="S106" s="1">
        <v>39654</v>
      </c>
      <c r="T106" s="1">
        <v>39671</v>
      </c>
      <c r="U106" t="str">
        <f t="shared" ca="1" si="20"/>
        <v>rg:True</v>
      </c>
      <c r="V106" t="str">
        <f t="shared" ca="1" si="21"/>
        <v>This equipment should be archived</v>
      </c>
      <c r="W106" t="s">
        <v>7162</v>
      </c>
      <c r="X106" t="s">
        <v>76</v>
      </c>
      <c r="Y106" t="s">
        <v>76</v>
      </c>
      <c r="Z106" t="s">
        <v>76</v>
      </c>
      <c r="AA106" t="s">
        <v>7509</v>
      </c>
      <c r="AB106" t="s">
        <v>7345</v>
      </c>
      <c r="AC106">
        <v>0</v>
      </c>
      <c r="AD106" t="str">
        <f t="shared" ca="1" si="22"/>
        <v>rg:False</v>
      </c>
      <c r="AE106" t="str">
        <f t="shared" ca="1" si="23"/>
        <v>rg:None</v>
      </c>
      <c r="AF106" s="1">
        <v>42481</v>
      </c>
      <c r="AG106" s="4">
        <f t="shared" ca="1" si="14"/>
        <v>550.33333333333337</v>
      </c>
      <c r="AH106" s="4">
        <f t="shared" si="24"/>
        <v>7.6388888888888893</v>
      </c>
      <c r="AI106">
        <f t="shared" ca="1" si="25"/>
        <v>143</v>
      </c>
      <c r="AJ106">
        <f t="shared" ca="1" si="26"/>
        <v>105</v>
      </c>
      <c r="AK106">
        <f t="shared" ca="1" si="27"/>
        <v>28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  <c r="AT106" t="s">
        <v>6510</v>
      </c>
    </row>
    <row r="107" spans="1:46" x14ac:dyDescent="0.3">
      <c r="A107" t="s">
        <v>5630</v>
      </c>
      <c r="B107">
        <f t="shared" si="15"/>
        <v>200105</v>
      </c>
      <c r="C107">
        <v>200036</v>
      </c>
      <c r="D107" t="str">
        <f t="shared" si="16"/>
        <v>rg:{'id': '200036'}</v>
      </c>
      <c r="E107">
        <f>VLOOKUP(C107,Owners.csv!C:J,6,FALSE)</f>
        <v>200001</v>
      </c>
      <c r="F107" t="str">
        <f>VLOOKUP(VLOOKUP(E107,LocalAreas.csv!I:K,3,FALSE),ServiceAreas.csv!F:J,5,FALSE)</f>
        <v>200009</v>
      </c>
      <c r="G107" t="str">
        <f t="shared" si="17"/>
        <v>rg:{'id': '200001'}</v>
      </c>
      <c r="H107" t="s">
        <v>7683</v>
      </c>
      <c r="I107" t="s">
        <v>5651</v>
      </c>
      <c r="J107">
        <f>VLOOKUP(I107&amp;"-"&amp;F107,DistrictEquipmentTypes.csv!J:K,2,FALSE)</f>
        <v>200006</v>
      </c>
      <c r="K107" t="str">
        <f t="shared" si="18"/>
        <v>rg:{'id': '200006'}</v>
      </c>
      <c r="L107">
        <f t="shared" si="19"/>
        <v>1</v>
      </c>
      <c r="M107" t="str">
        <f>VLOOKUP(C107,Owners.csv!C:K,9,FALSE)&amp;TEXT(Equipment.csv!L107,"0000")</f>
        <v>HAPP0001</v>
      </c>
      <c r="N107" t="s">
        <v>5401</v>
      </c>
      <c r="O107" t="s">
        <v>6764</v>
      </c>
      <c r="P107">
        <v>1998</v>
      </c>
      <c r="Q107">
        <v>106</v>
      </c>
      <c r="R107" t="s">
        <v>6663</v>
      </c>
      <c r="S107" s="1">
        <v>41073</v>
      </c>
      <c r="T107" s="1">
        <v>41084</v>
      </c>
      <c r="U107" t="str">
        <f t="shared" ca="1" si="20"/>
        <v>rg:False</v>
      </c>
      <c r="V107" t="str">
        <f t="shared" ca="1" si="21"/>
        <v>rg:None</v>
      </c>
      <c r="W107" t="s">
        <v>7163</v>
      </c>
      <c r="X107" t="s">
        <v>76</v>
      </c>
      <c r="Y107" t="s">
        <v>76</v>
      </c>
      <c r="Z107" t="s">
        <v>76</v>
      </c>
      <c r="AA107" t="s">
        <v>7510</v>
      </c>
      <c r="AB107" t="s">
        <v>7331</v>
      </c>
      <c r="AC107">
        <v>0</v>
      </c>
      <c r="AD107" t="str">
        <f t="shared" ca="1" si="22"/>
        <v>rg:False</v>
      </c>
      <c r="AE107" t="str">
        <f t="shared" ca="1" si="23"/>
        <v>rg:None</v>
      </c>
      <c r="AF107" s="1">
        <v>42481</v>
      </c>
      <c r="AG107" s="4">
        <f t="shared" ca="1" si="14"/>
        <v>314.5</v>
      </c>
      <c r="AH107" s="4">
        <f t="shared" si="24"/>
        <v>3.7694444444444444</v>
      </c>
      <c r="AI107">
        <f t="shared" ca="1" si="25"/>
        <v>63</v>
      </c>
      <c r="AJ107">
        <f t="shared" ca="1" si="26"/>
        <v>12</v>
      </c>
      <c r="AK107">
        <f t="shared" ca="1" si="27"/>
        <v>190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  <c r="AT107" t="s">
        <v>6510</v>
      </c>
    </row>
    <row r="108" spans="1:46" x14ac:dyDescent="0.3">
      <c r="A108" t="s">
        <v>5630</v>
      </c>
      <c r="B108">
        <f t="shared" si="15"/>
        <v>200106</v>
      </c>
      <c r="C108">
        <v>200037</v>
      </c>
      <c r="D108" t="str">
        <f t="shared" si="16"/>
        <v>rg:{'id': '200037'}</v>
      </c>
      <c r="E108">
        <f>VLOOKUP(C108,Owners.csv!C:J,6,FALSE)</f>
        <v>200001</v>
      </c>
      <c r="F108" t="str">
        <f>VLOOKUP(VLOOKUP(E108,LocalAreas.csv!I:K,3,FALSE),ServiceAreas.csv!F:J,5,FALSE)</f>
        <v>200009</v>
      </c>
      <c r="G108" t="str">
        <f t="shared" si="17"/>
        <v>rg:{'id': '200001'}</v>
      </c>
      <c r="H108" t="s">
        <v>7675</v>
      </c>
      <c r="I108" t="s">
        <v>5651</v>
      </c>
      <c r="J108">
        <f>VLOOKUP(I108&amp;"-"&amp;F108,DistrictEquipmentTypes.csv!J:K,2,FALSE)</f>
        <v>200006</v>
      </c>
      <c r="K108" t="str">
        <f t="shared" si="18"/>
        <v>rg:{'id': '200006'}</v>
      </c>
      <c r="L108">
        <f t="shared" si="19"/>
        <v>1</v>
      </c>
      <c r="M108" t="str">
        <f>VLOOKUP(C108,Owners.csv!C:K,9,FALSE)&amp;TEXT(Equipment.csv!L108,"0000")</f>
        <v>HARO0001</v>
      </c>
      <c r="N108" t="s">
        <v>5401</v>
      </c>
      <c r="O108" t="s">
        <v>6765</v>
      </c>
      <c r="P108">
        <v>1976</v>
      </c>
      <c r="Q108">
        <v>107</v>
      </c>
      <c r="R108" t="s">
        <v>6663</v>
      </c>
      <c r="S108" s="1">
        <v>40716</v>
      </c>
      <c r="T108" s="1">
        <v>40722</v>
      </c>
      <c r="U108" t="str">
        <f t="shared" ca="1" si="20"/>
        <v>rg:False</v>
      </c>
      <c r="V108" t="str">
        <f t="shared" ca="1" si="21"/>
        <v>rg:None</v>
      </c>
      <c r="W108" t="s">
        <v>7164</v>
      </c>
      <c r="X108" t="s">
        <v>76</v>
      </c>
      <c r="Y108" t="s">
        <v>76</v>
      </c>
      <c r="Z108" t="s">
        <v>76</v>
      </c>
      <c r="AA108" t="s">
        <v>7511</v>
      </c>
      <c r="AB108" t="s">
        <v>7342</v>
      </c>
      <c r="AC108">
        <v>0</v>
      </c>
      <c r="AD108" t="str">
        <f t="shared" ca="1" si="22"/>
        <v>rg:False</v>
      </c>
      <c r="AE108" t="str">
        <f t="shared" ca="1" si="23"/>
        <v>rg:None</v>
      </c>
      <c r="AF108" s="1">
        <v>42481</v>
      </c>
      <c r="AG108" s="4">
        <f t="shared" ca="1" si="14"/>
        <v>376.16666666666669</v>
      </c>
      <c r="AH108" s="4">
        <f t="shared" si="24"/>
        <v>4.7583333333333337</v>
      </c>
      <c r="AI108">
        <f t="shared" ca="1" si="25"/>
        <v>79</v>
      </c>
      <c r="AJ108">
        <f t="shared" ca="1" si="26"/>
        <v>86</v>
      </c>
      <c r="AK108">
        <f t="shared" ca="1" si="27"/>
        <v>107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  <c r="AT108" t="s">
        <v>6510</v>
      </c>
    </row>
    <row r="109" spans="1:46" x14ac:dyDescent="0.3">
      <c r="A109" t="s">
        <v>5630</v>
      </c>
      <c r="B109">
        <f t="shared" si="15"/>
        <v>200107</v>
      </c>
      <c r="C109">
        <v>200018</v>
      </c>
      <c r="D109" t="str">
        <f t="shared" si="16"/>
        <v>rg:{'id': '200018'}</v>
      </c>
      <c r="E109">
        <f>VLOOKUP(C109,Owners.csv!C:J,6,FALSE)</f>
        <v>200001</v>
      </c>
      <c r="F109" t="str">
        <f>VLOOKUP(VLOOKUP(E109,LocalAreas.csv!I:K,3,FALSE),ServiceAreas.csv!F:J,5,FALSE)</f>
        <v>200009</v>
      </c>
      <c r="G109" t="str">
        <f t="shared" si="17"/>
        <v>rg:{'id': '200001'}</v>
      </c>
      <c r="H109" t="s">
        <v>7691</v>
      </c>
      <c r="I109" t="s">
        <v>5637</v>
      </c>
      <c r="J109">
        <f>VLOOKUP(I109&amp;"-"&amp;F109,DistrictEquipmentTypes.csv!J:K,2,FALSE)</f>
        <v>200001</v>
      </c>
      <c r="K109" t="str">
        <f t="shared" si="18"/>
        <v>rg:{'id': '200001'}</v>
      </c>
      <c r="L109">
        <f t="shared" si="19"/>
        <v>1</v>
      </c>
      <c r="M109" t="str">
        <f>VLOOKUP(C109,Owners.csv!C:K,9,FALSE)&amp;TEXT(Equipment.csv!L109,"0000")</f>
        <v>CIRC0001</v>
      </c>
      <c r="N109" t="s">
        <v>5401</v>
      </c>
      <c r="O109" t="s">
        <v>6766</v>
      </c>
      <c r="P109">
        <v>2014</v>
      </c>
      <c r="Q109">
        <v>108</v>
      </c>
      <c r="R109" t="s">
        <v>6663</v>
      </c>
      <c r="S109" s="1">
        <v>40240</v>
      </c>
      <c r="T109" s="1">
        <v>40256</v>
      </c>
      <c r="U109" t="str">
        <f t="shared" ca="1" si="20"/>
        <v>rg:False</v>
      </c>
      <c r="V109" t="str">
        <f t="shared" ca="1" si="21"/>
        <v>rg:None</v>
      </c>
      <c r="W109" t="s">
        <v>7165</v>
      </c>
      <c r="X109" t="s">
        <v>76</v>
      </c>
      <c r="Y109" t="s">
        <v>76</v>
      </c>
      <c r="Z109" t="s">
        <v>76</v>
      </c>
      <c r="AA109" t="s">
        <v>7512</v>
      </c>
      <c r="AB109" t="s">
        <v>7346</v>
      </c>
      <c r="AC109">
        <v>0</v>
      </c>
      <c r="AD109" t="str">
        <f t="shared" ca="1" si="22"/>
        <v>rg:False</v>
      </c>
      <c r="AE109" t="str">
        <f t="shared" ca="1" si="23"/>
        <v>rg:None</v>
      </c>
      <c r="AF109" s="1">
        <v>42481</v>
      </c>
      <c r="AG109" s="4">
        <f t="shared" ca="1" si="14"/>
        <v>363.66666666666663</v>
      </c>
      <c r="AH109" s="4">
        <f t="shared" si="24"/>
        <v>6.0333333333333332</v>
      </c>
      <c r="AI109">
        <f t="shared" ca="1" si="25"/>
        <v>194</v>
      </c>
      <c r="AJ109">
        <f t="shared" ca="1" si="26"/>
        <v>160</v>
      </c>
      <c r="AK109">
        <f t="shared" ca="1" si="27"/>
        <v>194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  <c r="AT109" t="s">
        <v>6510</v>
      </c>
    </row>
    <row r="110" spans="1:46" x14ac:dyDescent="0.3">
      <c r="A110" t="s">
        <v>5630</v>
      </c>
      <c r="B110">
        <f t="shared" si="15"/>
        <v>200108</v>
      </c>
      <c r="C110">
        <v>200019</v>
      </c>
      <c r="D110" t="str">
        <f t="shared" si="16"/>
        <v>rg:{'id': '200019'}</v>
      </c>
      <c r="E110">
        <f>VLOOKUP(C110,Owners.csv!C:J,6,FALSE)</f>
        <v>200001</v>
      </c>
      <c r="F110" t="str">
        <f>VLOOKUP(VLOOKUP(E110,LocalAreas.csv!I:K,3,FALSE),ServiceAreas.csv!F:J,5,FALSE)</f>
        <v>200009</v>
      </c>
      <c r="G110" t="str">
        <f t="shared" si="17"/>
        <v>rg:{'id': '200001'}</v>
      </c>
      <c r="H110" t="s">
        <v>7725</v>
      </c>
      <c r="I110" t="s">
        <v>5637</v>
      </c>
      <c r="J110">
        <f>VLOOKUP(I110&amp;"-"&amp;F110,DistrictEquipmentTypes.csv!J:K,2,FALSE)</f>
        <v>200001</v>
      </c>
      <c r="K110" t="str">
        <f t="shared" si="18"/>
        <v>rg:{'id': '200001'}</v>
      </c>
      <c r="L110">
        <f t="shared" si="19"/>
        <v>1</v>
      </c>
      <c r="M110" t="str">
        <f>VLOOKUP(C110,Owners.csv!C:K,9,FALSE)&amp;TEXT(Equipment.csv!L110,"0000")</f>
        <v>COCO0001</v>
      </c>
      <c r="N110" t="s">
        <v>5401</v>
      </c>
      <c r="O110" t="s">
        <v>6767</v>
      </c>
      <c r="P110">
        <v>2011</v>
      </c>
      <c r="Q110">
        <v>109</v>
      </c>
      <c r="R110" t="s">
        <v>6663</v>
      </c>
      <c r="S110" s="1">
        <v>41784</v>
      </c>
      <c r="T110" s="1">
        <v>41813</v>
      </c>
      <c r="U110" t="str">
        <f t="shared" ca="1" si="20"/>
        <v>rg:True</v>
      </c>
      <c r="V110" t="str">
        <f t="shared" ca="1" si="21"/>
        <v>This equipment should be archived</v>
      </c>
      <c r="W110" t="s">
        <v>7166</v>
      </c>
      <c r="X110" t="s">
        <v>76</v>
      </c>
      <c r="Y110" t="s">
        <v>76</v>
      </c>
      <c r="Z110" t="s">
        <v>76</v>
      </c>
      <c r="AA110" t="s">
        <v>7513</v>
      </c>
      <c r="AB110" t="s">
        <v>7347</v>
      </c>
      <c r="AC110">
        <v>0</v>
      </c>
      <c r="AD110" t="str">
        <f t="shared" ca="1" si="22"/>
        <v>rg:False</v>
      </c>
      <c r="AE110" t="str">
        <f t="shared" ca="1" si="23"/>
        <v>rg:None</v>
      </c>
      <c r="AF110" s="1">
        <v>42481</v>
      </c>
      <c r="AG110" s="4">
        <f t="shared" ca="1" si="14"/>
        <v>97.166666666666657</v>
      </c>
      <c r="AH110" s="4">
        <f t="shared" si="24"/>
        <v>1.7722222222222221</v>
      </c>
      <c r="AI110">
        <f t="shared" ca="1" si="25"/>
        <v>132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  <c r="AT110" t="s">
        <v>6510</v>
      </c>
    </row>
    <row r="111" spans="1:46" x14ac:dyDescent="0.3">
      <c r="A111" t="s">
        <v>5630</v>
      </c>
      <c r="B111">
        <f t="shared" si="15"/>
        <v>200109</v>
      </c>
      <c r="C111">
        <v>200020</v>
      </c>
      <c r="D111" t="str">
        <f t="shared" si="16"/>
        <v>rg:{'id': '200020'}</v>
      </c>
      <c r="E111">
        <f>VLOOKUP(C111,Owners.csv!C:J,6,FALSE)</f>
        <v>200001</v>
      </c>
      <c r="F111" t="str">
        <f>VLOOKUP(VLOOKUP(E111,LocalAreas.csv!I:K,3,FALSE),ServiceAreas.csv!F:J,5,FALSE)</f>
        <v>200009</v>
      </c>
      <c r="G111" t="str">
        <f t="shared" si="17"/>
        <v>rg:{'id': '200001'}</v>
      </c>
      <c r="H111" t="s">
        <v>7726</v>
      </c>
      <c r="I111" t="s">
        <v>5637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1</v>
      </c>
      <c r="M111" t="str">
        <f>VLOOKUP(C111,Owners.csv!C:K,9,FALSE)&amp;TEXT(Equipment.csv!L111,"0000")</f>
        <v>DAVE0001</v>
      </c>
      <c r="N111" t="s">
        <v>5401</v>
      </c>
      <c r="O111" t="s">
        <v>6768</v>
      </c>
      <c r="P111">
        <v>1979</v>
      </c>
      <c r="Q111">
        <v>110</v>
      </c>
      <c r="R111" t="s">
        <v>6663</v>
      </c>
      <c r="S111" s="1">
        <v>41476</v>
      </c>
      <c r="T111" s="1">
        <v>41481</v>
      </c>
      <c r="U111" t="str">
        <f t="shared" ca="1" si="20"/>
        <v>rg:False</v>
      </c>
      <c r="V111" t="str">
        <f t="shared" ca="1" si="21"/>
        <v>rg:None</v>
      </c>
      <c r="W111" t="s">
        <v>7167</v>
      </c>
      <c r="X111" t="s">
        <v>76</v>
      </c>
      <c r="Y111" t="s">
        <v>76</v>
      </c>
      <c r="Z111" t="s">
        <v>76</v>
      </c>
      <c r="AA111" t="s">
        <v>7514</v>
      </c>
      <c r="AB111" t="s">
        <v>7348</v>
      </c>
      <c r="AC111">
        <v>0</v>
      </c>
      <c r="AD111" t="str">
        <f t="shared" ca="1" si="22"/>
        <v>rg:False</v>
      </c>
      <c r="AE111" t="str">
        <f t="shared" ca="1" si="23"/>
        <v>rg:None</v>
      </c>
      <c r="AF111" s="1">
        <v>42481</v>
      </c>
      <c r="AG111" s="4">
        <f t="shared" ca="1" si="14"/>
        <v>138.75</v>
      </c>
      <c r="AH111" s="4">
        <f t="shared" si="24"/>
        <v>2.6805555555555554</v>
      </c>
      <c r="AI111">
        <f t="shared" ca="1" si="25"/>
        <v>42</v>
      </c>
      <c r="AJ111">
        <f t="shared" ca="1" si="26"/>
        <v>133</v>
      </c>
      <c r="AK111">
        <f t="shared" ca="1" si="27"/>
        <v>0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  <c r="AT111" t="s">
        <v>6510</v>
      </c>
    </row>
    <row r="112" spans="1:46" x14ac:dyDescent="0.3">
      <c r="A112" t="s">
        <v>5630</v>
      </c>
      <c r="B112">
        <f t="shared" si="15"/>
        <v>200110</v>
      </c>
      <c r="C112">
        <v>200021</v>
      </c>
      <c r="D112" t="str">
        <f t="shared" si="16"/>
        <v>rg:{'id': '200021'}</v>
      </c>
      <c r="E112">
        <f>VLOOKUP(C112,Owners.csv!C:J,6,FALSE)</f>
        <v>200001</v>
      </c>
      <c r="F112" t="str">
        <f>VLOOKUP(VLOOKUP(E112,LocalAreas.csv!I:K,3,FALSE),ServiceAreas.csv!F:J,5,FALSE)</f>
        <v>200009</v>
      </c>
      <c r="G112" t="str">
        <f t="shared" si="17"/>
        <v>rg:{'id': '200001'}</v>
      </c>
      <c r="H112" t="s">
        <v>7727</v>
      </c>
      <c r="I112" t="s">
        <v>5637</v>
      </c>
      <c r="J112">
        <f>VLOOKUP(I112&amp;"-"&amp;F112,DistrictEquipmentTypes.csv!J:K,2,FALSE)</f>
        <v>200001</v>
      </c>
      <c r="K112" t="str">
        <f t="shared" si="18"/>
        <v>rg:{'id': '200001'}</v>
      </c>
      <c r="L112">
        <f t="shared" si="19"/>
        <v>1</v>
      </c>
      <c r="M112" t="str">
        <f>VLOOKUP(C112,Owners.csv!C:K,9,FALSE)&amp;TEXT(Equipment.csv!L112,"0000")</f>
        <v>DESM0001</v>
      </c>
      <c r="N112" t="s">
        <v>5401</v>
      </c>
      <c r="O112" t="s">
        <v>6769</v>
      </c>
      <c r="P112">
        <v>2016</v>
      </c>
      <c r="Q112">
        <v>111</v>
      </c>
      <c r="R112" t="s">
        <v>6663</v>
      </c>
      <c r="S112" s="1">
        <v>38671</v>
      </c>
      <c r="T112" s="1">
        <v>38701</v>
      </c>
      <c r="U112" t="str">
        <f t="shared" ca="1" si="20"/>
        <v>rg:False</v>
      </c>
      <c r="V112" t="str">
        <f t="shared" ca="1" si="21"/>
        <v>rg:None</v>
      </c>
      <c r="W112" t="s">
        <v>7168</v>
      </c>
      <c r="X112" t="s">
        <v>76</v>
      </c>
      <c r="Y112" t="s">
        <v>76</v>
      </c>
      <c r="Z112" t="s">
        <v>76</v>
      </c>
      <c r="AA112" t="s">
        <v>7515</v>
      </c>
      <c r="AB112" t="s">
        <v>7349</v>
      </c>
      <c r="AC112">
        <v>0</v>
      </c>
      <c r="AD112" t="str">
        <f t="shared" ca="1" si="22"/>
        <v>rg:False</v>
      </c>
      <c r="AE112" t="str">
        <f t="shared" ca="1" si="23"/>
        <v>rg:None</v>
      </c>
      <c r="AF112" s="1">
        <v>42481</v>
      </c>
      <c r="AG112" s="4">
        <f t="shared" ca="1" si="14"/>
        <v>409.83333333333331</v>
      </c>
      <c r="AH112" s="4">
        <f t="shared" si="24"/>
        <v>10.294444444444444</v>
      </c>
      <c r="AI112">
        <f t="shared" ca="1" si="25"/>
        <v>183</v>
      </c>
      <c r="AJ112">
        <f t="shared" ca="1" si="26"/>
        <v>40</v>
      </c>
      <c r="AK112">
        <f t="shared" ca="1" si="27"/>
        <v>80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  <c r="AT112" t="s">
        <v>6510</v>
      </c>
    </row>
    <row r="113" spans="1:46" x14ac:dyDescent="0.3">
      <c r="A113" t="s">
        <v>5630</v>
      </c>
      <c r="B113">
        <f t="shared" si="15"/>
        <v>200111</v>
      </c>
      <c r="C113">
        <v>200022</v>
      </c>
      <c r="D113" t="str">
        <f t="shared" si="16"/>
        <v>rg:{'id': '200022'}</v>
      </c>
      <c r="E113">
        <f>VLOOKUP(C113,Owners.csv!C:J,6,FALSE)</f>
        <v>200001</v>
      </c>
      <c r="F113" t="str">
        <f>VLOOKUP(VLOOKUP(E113,LocalAreas.csv!I:K,3,FALSE),ServiceAreas.csv!F:J,5,FALSE)</f>
        <v>200009</v>
      </c>
      <c r="G113" t="str">
        <f t="shared" si="17"/>
        <v>rg:{'id': '200001'}</v>
      </c>
      <c r="H113" t="s">
        <v>7728</v>
      </c>
      <c r="I113" t="s">
        <v>5637</v>
      </c>
      <c r="J113">
        <f>VLOOKUP(I113&amp;"-"&amp;F113,DistrictEquipmentTypes.csv!J:K,2,FALSE)</f>
        <v>200001</v>
      </c>
      <c r="K113" t="str">
        <f t="shared" si="18"/>
        <v>rg:{'id': '200001'}</v>
      </c>
      <c r="L113">
        <f t="shared" si="19"/>
        <v>1</v>
      </c>
      <c r="M113" t="str">
        <f>VLOOKUP(C113,Owners.csv!C:K,9,FALSE)&amp;TEXT(Equipment.csv!L113,"0000")</f>
        <v>DEST0001</v>
      </c>
      <c r="N113" t="s">
        <v>5401</v>
      </c>
      <c r="O113" t="s">
        <v>6770</v>
      </c>
      <c r="P113">
        <v>1999</v>
      </c>
      <c r="Q113">
        <v>112</v>
      </c>
      <c r="R113" t="s">
        <v>6663</v>
      </c>
      <c r="S113" s="1">
        <v>40157</v>
      </c>
      <c r="T113" s="1">
        <v>40160</v>
      </c>
      <c r="U113" t="str">
        <f t="shared" ca="1" si="20"/>
        <v>rg:False</v>
      </c>
      <c r="V113" t="str">
        <f t="shared" ca="1" si="21"/>
        <v>rg:None</v>
      </c>
      <c r="W113" t="s">
        <v>7169</v>
      </c>
      <c r="X113" t="s">
        <v>76</v>
      </c>
      <c r="Y113" t="s">
        <v>76</v>
      </c>
      <c r="Z113" t="s">
        <v>76</v>
      </c>
      <c r="AA113" t="s">
        <v>7516</v>
      </c>
      <c r="AB113" t="s">
        <v>7350</v>
      </c>
      <c r="AC113">
        <v>0</v>
      </c>
      <c r="AD113" t="str">
        <f t="shared" ca="1" si="22"/>
        <v>rg:False</v>
      </c>
      <c r="AE113" t="str">
        <f t="shared" ca="1" si="23"/>
        <v>rg:None</v>
      </c>
      <c r="AF113" s="1">
        <v>42481</v>
      </c>
      <c r="AG113" s="4">
        <f t="shared" ca="1" si="14"/>
        <v>223.33333333333334</v>
      </c>
      <c r="AH113" s="4">
        <f t="shared" si="24"/>
        <v>6.3</v>
      </c>
      <c r="AI113">
        <f t="shared" ca="1" si="25"/>
        <v>60</v>
      </c>
      <c r="AJ113">
        <f t="shared" ca="1" si="26"/>
        <v>26</v>
      </c>
      <c r="AK113">
        <f t="shared" ca="1" si="27"/>
        <v>17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  <c r="AT113" t="s">
        <v>6510</v>
      </c>
    </row>
    <row r="114" spans="1:46" x14ac:dyDescent="0.3">
      <c r="A114" t="s">
        <v>5630</v>
      </c>
      <c r="B114">
        <f t="shared" si="15"/>
        <v>200112</v>
      </c>
      <c r="C114">
        <v>200023</v>
      </c>
      <c r="D114" t="str">
        <f t="shared" si="16"/>
        <v>rg:{'id': '200023'}</v>
      </c>
      <c r="E114">
        <f>VLOOKUP(C114,Owners.csv!C:J,6,FALSE)</f>
        <v>200001</v>
      </c>
      <c r="F114" t="str">
        <f>VLOOKUP(VLOOKUP(E114,LocalAreas.csv!I:K,3,FALSE),ServiceAreas.csv!F:J,5,FALSE)</f>
        <v>200009</v>
      </c>
      <c r="G114" t="str">
        <f t="shared" si="17"/>
        <v>rg:{'id': '200001'}</v>
      </c>
      <c r="H114" t="s">
        <v>7722</v>
      </c>
      <c r="I114" t="s">
        <v>5637</v>
      </c>
      <c r="J114">
        <f>VLOOKUP(I114&amp;"-"&amp;F114,DistrictEquipmentTypes.csv!J:K,2,FALSE)</f>
        <v>200001</v>
      </c>
      <c r="K114" t="str">
        <f t="shared" si="18"/>
        <v>rg:{'id': '200001'}</v>
      </c>
      <c r="L114">
        <f t="shared" si="19"/>
        <v>1</v>
      </c>
      <c r="M114" t="str">
        <f>VLOOKUP(C114,Owners.csv!C:K,9,FALSE)&amp;TEXT(Equipment.csv!L114,"0000")</f>
        <v>EART0001</v>
      </c>
      <c r="N114" t="s">
        <v>5401</v>
      </c>
      <c r="O114" t="s">
        <v>6771</v>
      </c>
      <c r="P114">
        <v>2005</v>
      </c>
      <c r="Q114">
        <v>113</v>
      </c>
      <c r="R114" t="s">
        <v>6663</v>
      </c>
      <c r="S114" s="1">
        <v>39237</v>
      </c>
      <c r="T114" s="1">
        <v>39258</v>
      </c>
      <c r="U114" t="str">
        <f t="shared" ca="1" si="20"/>
        <v>rg:False</v>
      </c>
      <c r="V114" t="str">
        <f t="shared" ca="1" si="21"/>
        <v>rg:None</v>
      </c>
      <c r="W114" t="s">
        <v>7170</v>
      </c>
      <c r="X114" t="s">
        <v>76</v>
      </c>
      <c r="Y114" t="s">
        <v>76</v>
      </c>
      <c r="Z114" t="s">
        <v>76</v>
      </c>
      <c r="AA114" t="s">
        <v>7517</v>
      </c>
      <c r="AB114" t="s">
        <v>7351</v>
      </c>
      <c r="AC114">
        <v>0</v>
      </c>
      <c r="AD114" t="str">
        <f t="shared" ca="1" si="22"/>
        <v>rg:False</v>
      </c>
      <c r="AE114" t="str">
        <f t="shared" ca="1" si="23"/>
        <v>rg:None</v>
      </c>
      <c r="AF114" s="1">
        <v>42481</v>
      </c>
      <c r="AG114" s="4">
        <f t="shared" ca="1" si="14"/>
        <v>416</v>
      </c>
      <c r="AH114" s="4">
        <f t="shared" si="24"/>
        <v>8.7666666666666675</v>
      </c>
      <c r="AI114">
        <f t="shared" ca="1" si="25"/>
        <v>176</v>
      </c>
      <c r="AJ114">
        <f t="shared" ca="1" si="26"/>
        <v>148</v>
      </c>
      <c r="AK114">
        <f t="shared" ca="1" si="27"/>
        <v>135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  <c r="AT114" t="s">
        <v>6510</v>
      </c>
    </row>
    <row r="115" spans="1:46" x14ac:dyDescent="0.3">
      <c r="A115" t="s">
        <v>5630</v>
      </c>
      <c r="B115">
        <f t="shared" si="15"/>
        <v>200113</v>
      </c>
      <c r="C115">
        <v>200024</v>
      </c>
      <c r="D115" t="str">
        <f t="shared" si="16"/>
        <v>rg:{'id': '200024'}</v>
      </c>
      <c r="E115">
        <f>VLOOKUP(C115,Owners.csv!C:J,6,FALSE)</f>
        <v>200001</v>
      </c>
      <c r="F115" t="str">
        <f>VLOOKUP(VLOOKUP(E115,LocalAreas.csv!I:K,3,FALSE),ServiceAreas.csv!F:J,5,FALSE)</f>
        <v>200009</v>
      </c>
      <c r="G115" t="str">
        <f t="shared" si="17"/>
        <v>rg:{'id': '200001'}</v>
      </c>
      <c r="H115" t="s">
        <v>7729</v>
      </c>
      <c r="I115" t="s">
        <v>5637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1</v>
      </c>
      <c r="M115" t="str">
        <f>VLOOKUP(C115,Owners.csv!C:K,9,FALSE)&amp;TEXT(Equipment.csv!L115,"0000")</f>
        <v>EDWA0001</v>
      </c>
      <c r="N115" t="s">
        <v>5401</v>
      </c>
      <c r="O115" t="s">
        <v>6772</v>
      </c>
      <c r="P115">
        <v>1991</v>
      </c>
      <c r="Q115">
        <v>114</v>
      </c>
      <c r="R115" t="s">
        <v>6663</v>
      </c>
      <c r="S115" s="1">
        <v>38596</v>
      </c>
      <c r="T115" s="1">
        <v>38608</v>
      </c>
      <c r="U115" t="str">
        <f t="shared" ca="1" si="20"/>
        <v>rg:False</v>
      </c>
      <c r="V115" t="str">
        <f t="shared" ca="1" si="21"/>
        <v>rg:None</v>
      </c>
      <c r="W115" t="s">
        <v>7171</v>
      </c>
      <c r="X115" t="s">
        <v>76</v>
      </c>
      <c r="Y115" t="s">
        <v>76</v>
      </c>
      <c r="Z115" t="s">
        <v>76</v>
      </c>
      <c r="AA115" t="s">
        <v>7518</v>
      </c>
      <c r="AB115" t="s">
        <v>7279</v>
      </c>
      <c r="AC115">
        <v>0</v>
      </c>
      <c r="AD115" t="str">
        <f t="shared" ca="1" si="22"/>
        <v>rg:False</v>
      </c>
      <c r="AE115" t="str">
        <f t="shared" ca="1" si="23"/>
        <v>rg:None</v>
      </c>
      <c r="AF115" s="1">
        <v>42481</v>
      </c>
      <c r="AG115" s="4">
        <f t="shared" ca="1" si="14"/>
        <v>424.5</v>
      </c>
      <c r="AH115" s="4">
        <f t="shared" si="24"/>
        <v>10.55</v>
      </c>
      <c r="AI115">
        <f t="shared" ca="1" si="25"/>
        <v>44</v>
      </c>
      <c r="AJ115">
        <f t="shared" ca="1" si="26"/>
        <v>97</v>
      </c>
      <c r="AK115">
        <f t="shared" ca="1" si="27"/>
        <v>183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  <c r="AT115" t="s">
        <v>6510</v>
      </c>
    </row>
    <row r="116" spans="1:46" x14ac:dyDescent="0.3">
      <c r="A116" t="s">
        <v>5630</v>
      </c>
      <c r="B116">
        <f t="shared" si="15"/>
        <v>200114</v>
      </c>
      <c r="C116">
        <v>200025</v>
      </c>
      <c r="D116" t="str">
        <f t="shared" si="16"/>
        <v>rg:{'id': '200025'}</v>
      </c>
      <c r="E116">
        <f>VLOOKUP(C116,Owners.csv!C:J,6,FALSE)</f>
        <v>200001</v>
      </c>
      <c r="F116" t="str">
        <f>VLOOKUP(VLOOKUP(E116,LocalAreas.csv!I:K,3,FALSE),ServiceAreas.csv!F:J,5,FALSE)</f>
        <v>200009</v>
      </c>
      <c r="G116" t="str">
        <f t="shared" si="17"/>
        <v>rg:{'id': '200001'}</v>
      </c>
      <c r="H116" t="s">
        <v>7670</v>
      </c>
      <c r="I116" t="s">
        <v>5637</v>
      </c>
      <c r="J116">
        <f>VLOOKUP(I116&amp;"-"&amp;F116,DistrictEquipmentTypes.csv!J:K,2,FALSE)</f>
        <v>200001</v>
      </c>
      <c r="K116" t="str">
        <f t="shared" si="18"/>
        <v>rg:{'id': '200001'}</v>
      </c>
      <c r="L116">
        <f t="shared" si="19"/>
        <v>1</v>
      </c>
      <c r="M116" t="str">
        <f>VLOOKUP(C116,Owners.csv!C:K,9,FALSE)&amp;TEXT(Equipment.csv!L116,"0000")</f>
        <v>ENVI0001</v>
      </c>
      <c r="N116" t="s">
        <v>5401</v>
      </c>
      <c r="O116" t="s">
        <v>6773</v>
      </c>
      <c r="P116">
        <v>1989</v>
      </c>
      <c r="Q116">
        <v>115</v>
      </c>
      <c r="R116" t="s">
        <v>6663</v>
      </c>
      <c r="S116" s="1">
        <v>41134</v>
      </c>
      <c r="T116" s="1">
        <v>41142</v>
      </c>
      <c r="U116" t="str">
        <f t="shared" ca="1" si="20"/>
        <v>rg:False</v>
      </c>
      <c r="V116" t="str">
        <f t="shared" ca="1" si="21"/>
        <v>rg:None</v>
      </c>
      <c r="W116" t="s">
        <v>7172</v>
      </c>
      <c r="X116" t="s">
        <v>76</v>
      </c>
      <c r="Y116" t="s">
        <v>76</v>
      </c>
      <c r="Z116" t="s">
        <v>76</v>
      </c>
      <c r="AA116" t="s">
        <v>7519</v>
      </c>
      <c r="AB116" t="s">
        <v>7352</v>
      </c>
      <c r="AC116">
        <v>0</v>
      </c>
      <c r="AD116" t="str">
        <f t="shared" ca="1" si="22"/>
        <v>rg:True</v>
      </c>
      <c r="AE116" t="str">
        <f t="shared" ca="1" si="23"/>
        <v>Seniority overridden to test things</v>
      </c>
      <c r="AF116" s="1">
        <v>42481</v>
      </c>
      <c r="AG116" s="4">
        <f t="shared" ca="1" si="14"/>
        <v>243.66666666666669</v>
      </c>
      <c r="AH116" s="4">
        <f t="shared" si="24"/>
        <v>3.6111111111111112</v>
      </c>
      <c r="AI116">
        <f t="shared" ca="1" si="25"/>
        <v>136</v>
      </c>
      <c r="AJ116">
        <f t="shared" ca="1" si="26"/>
        <v>174</v>
      </c>
      <c r="AK116">
        <f t="shared" ca="1" si="27"/>
        <v>96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  <c r="AT116" t="s">
        <v>6510</v>
      </c>
    </row>
    <row r="117" spans="1:46" x14ac:dyDescent="0.3">
      <c r="A117" t="s">
        <v>5630</v>
      </c>
      <c r="B117">
        <f t="shared" si="15"/>
        <v>200115</v>
      </c>
      <c r="C117">
        <v>200026</v>
      </c>
      <c r="D117" t="str">
        <f t="shared" si="16"/>
        <v>rg:{'id': '200026'}</v>
      </c>
      <c r="E117">
        <f>VLOOKUP(C117,Owners.csv!C:J,6,FALSE)</f>
        <v>200001</v>
      </c>
      <c r="F117" t="str">
        <f>VLOOKUP(VLOOKUP(E117,LocalAreas.csv!I:K,3,FALSE),ServiceAreas.csv!F:J,5,FALSE)</f>
        <v>200009</v>
      </c>
      <c r="G117" t="str">
        <f t="shared" si="17"/>
        <v>rg:{'id': '200001'}</v>
      </c>
      <c r="H117" t="s">
        <v>7730</v>
      </c>
      <c r="I117" t="s">
        <v>5637</v>
      </c>
      <c r="J117">
        <f>VLOOKUP(I117&amp;"-"&amp;F117,DistrictEquipmentTypes.csv!J:K,2,FALSE)</f>
        <v>200001</v>
      </c>
      <c r="K117" t="str">
        <f t="shared" si="18"/>
        <v>rg:{'id': '200001'}</v>
      </c>
      <c r="L117">
        <f t="shared" si="19"/>
        <v>1</v>
      </c>
      <c r="M117" t="str">
        <f>VLOOKUP(C117,Owners.csv!C:K,9,FALSE)&amp;TEXT(Equipment.csv!L117,"0000")</f>
        <v>FAMI0001</v>
      </c>
      <c r="N117" t="s">
        <v>5401</v>
      </c>
      <c r="O117" t="s">
        <v>6774</v>
      </c>
      <c r="P117">
        <v>1976</v>
      </c>
      <c r="Q117">
        <v>116</v>
      </c>
      <c r="R117" t="s">
        <v>6663</v>
      </c>
      <c r="S117" s="1">
        <v>39955</v>
      </c>
      <c r="T117" s="1">
        <v>39962</v>
      </c>
      <c r="U117" t="str">
        <f t="shared" ca="1" si="20"/>
        <v>rg:True</v>
      </c>
      <c r="V117" t="str">
        <f t="shared" ca="1" si="21"/>
        <v>This equipment should be archived</v>
      </c>
      <c r="W117" t="s">
        <v>7173</v>
      </c>
      <c r="X117" t="s">
        <v>76</v>
      </c>
      <c r="Y117" t="s">
        <v>76</v>
      </c>
      <c r="Z117" t="s">
        <v>76</v>
      </c>
      <c r="AA117" t="s">
        <v>7520</v>
      </c>
      <c r="AB117" t="s">
        <v>7353</v>
      </c>
      <c r="AC117">
        <v>0</v>
      </c>
      <c r="AD117" t="str">
        <f t="shared" ca="1" si="22"/>
        <v>rg:False</v>
      </c>
      <c r="AE117" t="str">
        <f t="shared" ca="1" si="23"/>
        <v>rg:None</v>
      </c>
      <c r="AF117" s="1">
        <v>42481</v>
      </c>
      <c r="AG117" s="4">
        <f t="shared" ca="1" si="14"/>
        <v>279.5</v>
      </c>
      <c r="AH117" s="4">
        <f t="shared" si="24"/>
        <v>6.8388888888888886</v>
      </c>
      <c r="AI117">
        <f t="shared" ca="1" si="25"/>
        <v>127</v>
      </c>
      <c r="AJ117">
        <f t="shared" ca="1" si="26"/>
        <v>80</v>
      </c>
      <c r="AK117">
        <f t="shared" ca="1" si="27"/>
        <v>16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  <c r="AT117" t="s">
        <v>6510</v>
      </c>
    </row>
    <row r="118" spans="1:46" x14ac:dyDescent="0.3">
      <c r="A118" t="s">
        <v>5630</v>
      </c>
      <c r="B118">
        <f t="shared" si="15"/>
        <v>200116</v>
      </c>
      <c r="C118">
        <v>200027</v>
      </c>
      <c r="D118" t="str">
        <f t="shared" si="16"/>
        <v>rg:{'id': '200027'}</v>
      </c>
      <c r="E118">
        <f>VLOOKUP(C118,Owners.csv!C:J,6,FALSE)</f>
        <v>200001</v>
      </c>
      <c r="F118" t="str">
        <f>VLOOKUP(VLOOKUP(E118,LocalAreas.csv!I:K,3,FALSE),ServiceAreas.csv!F:J,5,FALSE)</f>
        <v>200009</v>
      </c>
      <c r="G118" t="str">
        <f t="shared" si="17"/>
        <v>rg:{'id': '200001'}</v>
      </c>
      <c r="H118" t="s">
        <v>7709</v>
      </c>
      <c r="I118" t="s">
        <v>5637</v>
      </c>
      <c r="J118">
        <f>VLOOKUP(I118&amp;"-"&amp;F118,DistrictEquipmentTypes.csv!J:K,2,FALSE)</f>
        <v>200001</v>
      </c>
      <c r="K118" t="str">
        <f t="shared" si="18"/>
        <v>rg:{'id': '200001'}</v>
      </c>
      <c r="L118">
        <f t="shared" si="19"/>
        <v>1</v>
      </c>
      <c r="M118" t="str">
        <f>VLOOKUP(C118,Owners.csv!C:K,9,FALSE)&amp;TEXT(Equipment.csv!L118,"0000")</f>
        <v>FIRS0001</v>
      </c>
      <c r="N118" t="s">
        <v>5401</v>
      </c>
      <c r="O118" t="s">
        <v>6775</v>
      </c>
      <c r="P118">
        <v>2009</v>
      </c>
      <c r="Q118">
        <v>117</v>
      </c>
      <c r="R118" t="s">
        <v>6663</v>
      </c>
      <c r="S118" s="1">
        <v>41270</v>
      </c>
      <c r="T118" s="1">
        <v>41272</v>
      </c>
      <c r="U118" t="str">
        <f t="shared" ca="1" si="20"/>
        <v>rg:False</v>
      </c>
      <c r="V118" t="str">
        <f t="shared" ca="1" si="21"/>
        <v>rg:None</v>
      </c>
      <c r="W118" t="s">
        <v>7174</v>
      </c>
      <c r="X118" t="s">
        <v>76</v>
      </c>
      <c r="Y118" t="s">
        <v>76</v>
      </c>
      <c r="Z118" t="s">
        <v>76</v>
      </c>
      <c r="AA118" t="s">
        <v>7521</v>
      </c>
      <c r="AB118" t="s">
        <v>7354</v>
      </c>
      <c r="AC118">
        <v>0</v>
      </c>
      <c r="AD118" t="str">
        <f t="shared" ca="1" si="22"/>
        <v>rg:False</v>
      </c>
      <c r="AE118" t="str">
        <f t="shared" ca="1" si="23"/>
        <v>rg:None</v>
      </c>
      <c r="AF118" s="1">
        <v>42481</v>
      </c>
      <c r="AG118" s="4">
        <f t="shared" ca="1" si="14"/>
        <v>199</v>
      </c>
      <c r="AH118" s="4">
        <f t="shared" si="24"/>
        <v>3.2555555555555555</v>
      </c>
      <c r="AI118">
        <f t="shared" ca="1" si="25"/>
        <v>11</v>
      </c>
      <c r="AJ118">
        <f t="shared" ca="1" si="26"/>
        <v>177</v>
      </c>
      <c r="AK118">
        <f t="shared" ca="1" si="27"/>
        <v>116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  <c r="AT118" t="s">
        <v>6510</v>
      </c>
    </row>
    <row r="119" spans="1:46" x14ac:dyDescent="0.3">
      <c r="A119" t="s">
        <v>5630</v>
      </c>
      <c r="B119">
        <f t="shared" si="15"/>
        <v>200117</v>
      </c>
      <c r="C119">
        <v>200028</v>
      </c>
      <c r="D119" t="str">
        <f t="shared" si="16"/>
        <v>rg:{'id': '200028'}</v>
      </c>
      <c r="E119">
        <f>VLOOKUP(C119,Owners.csv!C:J,6,FALSE)</f>
        <v>200001</v>
      </c>
      <c r="F119" t="str">
        <f>VLOOKUP(VLOOKUP(E119,LocalAreas.csv!I:K,3,FALSE),ServiceAreas.csv!F:J,5,FALSE)</f>
        <v>200009</v>
      </c>
      <c r="G119" t="str">
        <f t="shared" si="17"/>
        <v>rg:{'id': '200001'}</v>
      </c>
      <c r="H119" t="s">
        <v>7650</v>
      </c>
      <c r="I119" t="s">
        <v>5637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1</v>
      </c>
      <c r="M119" t="str">
        <f>VLOOKUP(C119,Owners.csv!C:K,9,FALSE)&amp;TEXT(Equipment.csv!L119,"0000")</f>
        <v>FISH0001</v>
      </c>
      <c r="N119" t="s">
        <v>5401</v>
      </c>
      <c r="O119" t="s">
        <v>6776</v>
      </c>
      <c r="P119">
        <v>1985</v>
      </c>
      <c r="Q119">
        <v>118</v>
      </c>
      <c r="R119" t="s">
        <v>6663</v>
      </c>
      <c r="S119" s="1">
        <v>38269</v>
      </c>
      <c r="T119" s="1">
        <v>38271</v>
      </c>
      <c r="U119" t="str">
        <f t="shared" ca="1" si="20"/>
        <v>rg:False</v>
      </c>
      <c r="V119" t="str">
        <f t="shared" ca="1" si="21"/>
        <v>rg:None</v>
      </c>
      <c r="W119" t="s">
        <v>7175</v>
      </c>
      <c r="X119" t="s">
        <v>76</v>
      </c>
      <c r="Y119" t="s">
        <v>76</v>
      </c>
      <c r="Z119" t="s">
        <v>76</v>
      </c>
      <c r="AA119" t="s">
        <v>7522</v>
      </c>
      <c r="AB119" t="s">
        <v>7355</v>
      </c>
      <c r="AC119">
        <v>0</v>
      </c>
      <c r="AD119" t="str">
        <f t="shared" ca="1" si="22"/>
        <v>rg:False</v>
      </c>
      <c r="AE119" t="str">
        <f t="shared" ca="1" si="23"/>
        <v>rg:None</v>
      </c>
      <c r="AF119" s="1">
        <v>42481</v>
      </c>
      <c r="AG119" s="4">
        <f t="shared" ca="1" si="14"/>
        <v>439.83333333333331</v>
      </c>
      <c r="AH119" s="4">
        <f t="shared" si="24"/>
        <v>11.472222222222221</v>
      </c>
      <c r="AI119">
        <f t="shared" ca="1" si="25"/>
        <v>132</v>
      </c>
      <c r="AJ119">
        <f t="shared" ca="1" si="26"/>
        <v>25</v>
      </c>
      <c r="AK119">
        <f t="shared" ca="1" si="27"/>
        <v>130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  <c r="AT119" t="s">
        <v>6510</v>
      </c>
    </row>
    <row r="120" spans="1:46" x14ac:dyDescent="0.3">
      <c r="A120" t="s">
        <v>5630</v>
      </c>
      <c r="B120">
        <f t="shared" si="15"/>
        <v>200118</v>
      </c>
      <c r="C120">
        <v>200029</v>
      </c>
      <c r="D120" t="str">
        <f t="shared" si="16"/>
        <v>rg:{'id': '200029'}</v>
      </c>
      <c r="E120">
        <f>VLOOKUP(C120,Owners.csv!C:J,6,FALSE)</f>
        <v>200001</v>
      </c>
      <c r="F120" t="str">
        <f>VLOOKUP(VLOOKUP(E120,LocalAreas.csv!I:K,3,FALSE),ServiceAreas.csv!F:J,5,FALSE)</f>
        <v>200009</v>
      </c>
      <c r="G120" t="str">
        <f t="shared" si="17"/>
        <v>rg:{'id': '200001'}</v>
      </c>
      <c r="H120" t="s">
        <v>7731</v>
      </c>
      <c r="I120" t="s">
        <v>5637</v>
      </c>
      <c r="J120">
        <f>VLOOKUP(I120&amp;"-"&amp;F120,DistrictEquipmentTypes.csv!J:K,2,FALSE)</f>
        <v>200001</v>
      </c>
      <c r="K120" t="str">
        <f t="shared" si="18"/>
        <v>rg:{'id': '200001'}</v>
      </c>
      <c r="L120">
        <f t="shared" si="19"/>
        <v>1</v>
      </c>
      <c r="M120" t="str">
        <f>VLOOKUP(C120,Owners.csv!C:K,9,FALSE)&amp;TEXT(Equipment.csv!L120,"0000")</f>
        <v>FOOT0001</v>
      </c>
      <c r="N120" t="s">
        <v>5401</v>
      </c>
      <c r="O120" t="s">
        <v>6777</v>
      </c>
      <c r="P120">
        <v>1970</v>
      </c>
      <c r="Q120">
        <v>119</v>
      </c>
      <c r="R120" t="s">
        <v>6663</v>
      </c>
      <c r="S120" s="1">
        <v>40252</v>
      </c>
      <c r="T120" s="1">
        <v>40267</v>
      </c>
      <c r="U120" t="str">
        <f t="shared" ca="1" si="20"/>
        <v>rg:False</v>
      </c>
      <c r="V120" t="str">
        <f t="shared" ca="1" si="21"/>
        <v>rg:None</v>
      </c>
      <c r="W120" t="s">
        <v>7176</v>
      </c>
      <c r="X120" t="s">
        <v>76</v>
      </c>
      <c r="Y120" t="s">
        <v>76</v>
      </c>
      <c r="Z120" t="s">
        <v>76</v>
      </c>
      <c r="AA120" t="s">
        <v>7523</v>
      </c>
      <c r="AB120" t="s">
        <v>7356</v>
      </c>
      <c r="AC120">
        <v>0</v>
      </c>
      <c r="AD120" t="str">
        <f t="shared" ca="1" si="22"/>
        <v>rg:False</v>
      </c>
      <c r="AE120" t="str">
        <f t="shared" ca="1" si="23"/>
        <v>rg:None</v>
      </c>
      <c r="AF120" s="1">
        <v>42481</v>
      </c>
      <c r="AG120" s="4">
        <f t="shared" ca="1" si="14"/>
        <v>329.08333333333337</v>
      </c>
      <c r="AH120" s="4">
        <f t="shared" si="24"/>
        <v>6.0027777777777782</v>
      </c>
      <c r="AI120">
        <f t="shared" ca="1" si="25"/>
        <v>185</v>
      </c>
      <c r="AJ120">
        <f t="shared" ca="1" si="26"/>
        <v>167</v>
      </c>
      <c r="AK120">
        <f t="shared" ca="1" si="27"/>
        <v>95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  <c r="AT120" t="s">
        <v>6510</v>
      </c>
    </row>
    <row r="121" spans="1:46" x14ac:dyDescent="0.3">
      <c r="A121" t="s">
        <v>5630</v>
      </c>
      <c r="B121">
        <f t="shared" si="15"/>
        <v>200119</v>
      </c>
      <c r="C121">
        <v>200030</v>
      </c>
      <c r="D121" t="str">
        <f t="shared" si="16"/>
        <v>rg:{'id': '200030'}</v>
      </c>
      <c r="E121">
        <f>VLOOKUP(C121,Owners.csv!C:J,6,FALSE)</f>
        <v>200001</v>
      </c>
      <c r="F121" t="str">
        <f>VLOOKUP(VLOOKUP(E121,LocalAreas.csv!I:K,3,FALSE),ServiceAreas.csv!F:J,5,FALSE)</f>
        <v>200009</v>
      </c>
      <c r="G121" t="str">
        <f t="shared" si="17"/>
        <v>rg:{'id': '200001'}</v>
      </c>
      <c r="H121" t="s">
        <v>7732</v>
      </c>
      <c r="I121" t="s">
        <v>5637</v>
      </c>
      <c r="J121">
        <f>VLOOKUP(I121&amp;"-"&amp;F121,DistrictEquipmentTypes.csv!J:K,2,FALSE)</f>
        <v>200001</v>
      </c>
      <c r="K121" t="str">
        <f t="shared" si="18"/>
        <v>rg:{'id': '200001'}</v>
      </c>
      <c r="L121">
        <f t="shared" si="19"/>
        <v>1</v>
      </c>
      <c r="M121" t="str">
        <f>VLOOKUP(C121,Owners.csv!C:K,9,FALSE)&amp;TEXT(Equipment.csv!L121,"0000")</f>
        <v>GAMM0001</v>
      </c>
      <c r="N121" t="s">
        <v>5401</v>
      </c>
      <c r="O121" t="s">
        <v>6778</v>
      </c>
      <c r="P121">
        <v>1996</v>
      </c>
      <c r="Q121">
        <v>120</v>
      </c>
      <c r="R121" t="s">
        <v>6663</v>
      </c>
      <c r="S121" s="1">
        <v>40652</v>
      </c>
      <c r="T121" s="1">
        <v>40674</v>
      </c>
      <c r="U121" t="str">
        <f t="shared" ca="1" si="20"/>
        <v>rg:False</v>
      </c>
      <c r="V121" t="str">
        <f t="shared" ca="1" si="21"/>
        <v>rg:None</v>
      </c>
      <c r="W121" t="s">
        <v>7177</v>
      </c>
      <c r="X121" t="s">
        <v>76</v>
      </c>
      <c r="Y121" t="s">
        <v>76</v>
      </c>
      <c r="Z121" t="s">
        <v>76</v>
      </c>
      <c r="AA121" t="s">
        <v>7524</v>
      </c>
      <c r="AB121" t="s">
        <v>7357</v>
      </c>
      <c r="AC121">
        <v>0</v>
      </c>
      <c r="AD121" t="str">
        <f t="shared" ca="1" si="22"/>
        <v>rg:False</v>
      </c>
      <c r="AE121" t="str">
        <f t="shared" ca="1" si="23"/>
        <v>rg:None</v>
      </c>
      <c r="AF121" s="1">
        <v>42481</v>
      </c>
      <c r="AG121" s="4">
        <f t="shared" ca="1" si="14"/>
        <v>243</v>
      </c>
      <c r="AH121" s="4">
        <f t="shared" si="24"/>
        <v>4.8888888888888893</v>
      </c>
      <c r="AI121">
        <f t="shared" ca="1" si="25"/>
        <v>105</v>
      </c>
      <c r="AJ121">
        <f t="shared" ca="1" si="26"/>
        <v>84</v>
      </c>
      <c r="AK121">
        <f t="shared" ca="1" si="27"/>
        <v>100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  <c r="AT121" t="s">
        <v>6510</v>
      </c>
    </row>
    <row r="122" spans="1:46" x14ac:dyDescent="0.3">
      <c r="A122" t="s">
        <v>5630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200001</v>
      </c>
      <c r="F122" t="str">
        <f>VLOOKUP(VLOOKUP(E122,LocalAreas.csv!I:K,3,FALSE),ServiceAreas.csv!F:J,5,FALSE)</f>
        <v>200009</v>
      </c>
      <c r="G122" t="str">
        <f t="shared" si="17"/>
        <v>rg:{'id': '200001'}</v>
      </c>
      <c r="H122" t="s">
        <v>7667</v>
      </c>
      <c r="I122" t="s">
        <v>5637</v>
      </c>
      <c r="J122">
        <f>VLOOKUP(I122&amp;"-"&amp;F122,DistrictEquipmentTypes.csv!J:K,2,FALSE)</f>
        <v>200001</v>
      </c>
      <c r="K122" t="str">
        <f t="shared" si="18"/>
        <v>rg:{'id': '200001'}</v>
      </c>
      <c r="L122">
        <f t="shared" si="19"/>
        <v>1</v>
      </c>
      <c r="M122" t="str">
        <f>VLOOKUP(C122,Owners.csv!C:K,9,FALSE)&amp;TEXT(Equipment.csv!L122,"0000")</f>
        <v>GARD0001</v>
      </c>
      <c r="N122" t="s">
        <v>5401</v>
      </c>
      <c r="O122" t="s">
        <v>6779</v>
      </c>
      <c r="P122">
        <v>1997</v>
      </c>
      <c r="Q122">
        <v>121</v>
      </c>
      <c r="R122" t="s">
        <v>6663</v>
      </c>
      <c r="S122" s="1">
        <v>40479</v>
      </c>
      <c r="T122" s="1">
        <v>40480</v>
      </c>
      <c r="U122" t="str">
        <f t="shared" ca="1" si="20"/>
        <v>rg:False</v>
      </c>
      <c r="V122" t="str">
        <f t="shared" ca="1" si="21"/>
        <v>rg:None</v>
      </c>
      <c r="W122" t="s">
        <v>7178</v>
      </c>
      <c r="X122" t="s">
        <v>76</v>
      </c>
      <c r="Y122" t="s">
        <v>76</v>
      </c>
      <c r="Z122" t="s">
        <v>76</v>
      </c>
      <c r="AA122" t="s">
        <v>7525</v>
      </c>
      <c r="AB122" t="s">
        <v>7358</v>
      </c>
      <c r="AC122">
        <v>0</v>
      </c>
      <c r="AD122" t="str">
        <f t="shared" ca="1" si="22"/>
        <v>rg:False</v>
      </c>
      <c r="AE122" t="str">
        <f t="shared" ca="1" si="23"/>
        <v>rg:None</v>
      </c>
      <c r="AF122" s="1">
        <v>42481</v>
      </c>
      <c r="AG122" s="4">
        <f t="shared" ca="1" si="14"/>
        <v>317.33333333333337</v>
      </c>
      <c r="AH122" s="4">
        <f t="shared" si="24"/>
        <v>5.4222222222222225</v>
      </c>
      <c r="AI122">
        <f t="shared" ca="1" si="25"/>
        <v>143</v>
      </c>
      <c r="AJ122">
        <f t="shared" ca="1" si="26"/>
        <v>130</v>
      </c>
      <c r="AK122">
        <f t="shared" ca="1" si="27"/>
        <v>191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  <c r="AT122" t="s">
        <v>6510</v>
      </c>
    </row>
    <row r="123" spans="1:46" x14ac:dyDescent="0.3">
      <c r="A123" t="s">
        <v>5630</v>
      </c>
      <c r="B123">
        <f t="shared" si="15"/>
        <v>200121</v>
      </c>
      <c r="C123">
        <v>200032</v>
      </c>
      <c r="D123" t="str">
        <f t="shared" si="16"/>
        <v>rg:{'id': '200032'}</v>
      </c>
      <c r="E123">
        <f>VLOOKUP(C123,Owners.csv!C:J,6,FALSE)</f>
        <v>200001</v>
      </c>
      <c r="F123" t="str">
        <f>VLOOKUP(VLOOKUP(E123,LocalAreas.csv!I:K,3,FALSE),ServiceAreas.csv!F:J,5,FALSE)</f>
        <v>200009</v>
      </c>
      <c r="G123" t="str">
        <f t="shared" si="17"/>
        <v>rg:{'id': '200001'}</v>
      </c>
      <c r="H123" t="s">
        <v>7674</v>
      </c>
      <c r="I123" t="s">
        <v>5637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1</v>
      </c>
      <c r="M123" t="str">
        <f>VLOOKUP(C123,Owners.csv!C:K,9,FALSE)&amp;TEXT(Equipment.csv!L123,"0000")</f>
        <v>GASD0001</v>
      </c>
      <c r="N123" t="s">
        <v>5401</v>
      </c>
      <c r="O123" t="s">
        <v>6780</v>
      </c>
      <c r="P123">
        <v>2016</v>
      </c>
      <c r="Q123">
        <v>122</v>
      </c>
      <c r="R123" t="s">
        <v>6663</v>
      </c>
      <c r="S123" s="1">
        <v>41406</v>
      </c>
      <c r="T123" s="1">
        <v>41429</v>
      </c>
      <c r="U123" t="str">
        <f t="shared" ca="1" si="20"/>
        <v>rg:True</v>
      </c>
      <c r="V123" t="str">
        <f t="shared" ca="1" si="21"/>
        <v>This equipment should be archived</v>
      </c>
      <c r="W123" t="s">
        <v>7179</v>
      </c>
      <c r="X123" t="s">
        <v>76</v>
      </c>
      <c r="Y123" t="s">
        <v>76</v>
      </c>
      <c r="Z123" t="s">
        <v>76</v>
      </c>
      <c r="AA123" t="s">
        <v>7526</v>
      </c>
      <c r="AB123" t="s">
        <v>7336</v>
      </c>
      <c r="AC123">
        <v>0</v>
      </c>
      <c r="AD123" t="str">
        <f t="shared" ca="1" si="22"/>
        <v>rg:False</v>
      </c>
      <c r="AE123" t="str">
        <f t="shared" ca="1" si="23"/>
        <v>rg:None</v>
      </c>
      <c r="AF123" s="1">
        <v>42481</v>
      </c>
      <c r="AG123" s="4">
        <f t="shared" ca="1" si="14"/>
        <v>128.08333333333334</v>
      </c>
      <c r="AH123" s="4">
        <f t="shared" si="24"/>
        <v>2.8250000000000002</v>
      </c>
      <c r="AI123">
        <f t="shared" ca="1" si="25"/>
        <v>24</v>
      </c>
      <c r="AJ123">
        <f t="shared" ca="1" si="26"/>
        <v>106</v>
      </c>
      <c r="AK123">
        <f t="shared" ca="1" si="27"/>
        <v>0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  <c r="AT123" t="s">
        <v>6510</v>
      </c>
    </row>
    <row r="124" spans="1:46" x14ac:dyDescent="0.3">
      <c r="A124" t="s">
        <v>5630</v>
      </c>
      <c r="B124">
        <f t="shared" si="15"/>
        <v>200122</v>
      </c>
      <c r="C124">
        <v>200018</v>
      </c>
      <c r="D124" t="str">
        <f t="shared" si="16"/>
        <v>rg:{'id': '200018'}</v>
      </c>
      <c r="E124">
        <f>VLOOKUP(C124,Owners.csv!C:J,6,FALSE)</f>
        <v>200001</v>
      </c>
      <c r="F124" t="str">
        <f>VLOOKUP(VLOOKUP(E124,LocalAreas.csv!I:K,3,FALSE),ServiceAreas.csv!F:J,5,FALSE)</f>
        <v>200009</v>
      </c>
      <c r="G124" t="str">
        <f t="shared" si="17"/>
        <v>rg:{'id': '200001'}</v>
      </c>
      <c r="H124" t="s">
        <v>7733</v>
      </c>
      <c r="I124" t="s">
        <v>5536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1</v>
      </c>
      <c r="M124" t="str">
        <f>VLOOKUP(C124,Owners.csv!C:K,9,FALSE)&amp;TEXT(Equipment.csv!L124,"0000")</f>
        <v>CIRC0001</v>
      </c>
      <c r="N124" t="s">
        <v>5401</v>
      </c>
      <c r="O124" t="s">
        <v>6781</v>
      </c>
      <c r="P124">
        <v>2017</v>
      </c>
      <c r="Q124">
        <v>123</v>
      </c>
      <c r="R124" t="s">
        <v>6663</v>
      </c>
      <c r="S124" s="1">
        <v>42571</v>
      </c>
      <c r="T124" s="1">
        <v>42578</v>
      </c>
      <c r="U124" t="str">
        <f t="shared" ca="1" si="20"/>
        <v>rg:False</v>
      </c>
      <c r="V124" t="str">
        <f t="shared" ca="1" si="21"/>
        <v>rg:None</v>
      </c>
      <c r="W124" t="s">
        <v>7180</v>
      </c>
      <c r="X124" t="s">
        <v>76</v>
      </c>
      <c r="Y124" t="s">
        <v>76</v>
      </c>
      <c r="Z124" t="s">
        <v>76</v>
      </c>
      <c r="AA124" t="s">
        <v>7527</v>
      </c>
      <c r="AB124" t="s">
        <v>7359</v>
      </c>
      <c r="AC124">
        <v>0</v>
      </c>
      <c r="AD124" t="str">
        <f t="shared" ca="1" si="22"/>
        <v>rg:False</v>
      </c>
      <c r="AE124" t="str">
        <f t="shared" ca="1" si="23"/>
        <v>rg:None</v>
      </c>
      <c r="AF124" s="1">
        <v>42481</v>
      </c>
      <c r="AG124" s="4">
        <f t="shared" ca="1" si="14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  <c r="AT124" t="s">
        <v>6510</v>
      </c>
    </row>
    <row r="125" spans="1:46" x14ac:dyDescent="0.3">
      <c r="A125" t="s">
        <v>5630</v>
      </c>
      <c r="B125">
        <f t="shared" si="15"/>
        <v>200123</v>
      </c>
      <c r="C125">
        <v>200019</v>
      </c>
      <c r="D125" t="str">
        <f t="shared" si="16"/>
        <v>rg:{'id': '200019'}</v>
      </c>
      <c r="E125">
        <f>VLOOKUP(C125,Owners.csv!C:J,6,FALSE)</f>
        <v>200001</v>
      </c>
      <c r="F125" t="str">
        <f>VLOOKUP(VLOOKUP(E125,LocalAreas.csv!I:K,3,FALSE),ServiceAreas.csv!F:J,5,FALSE)</f>
        <v>200009</v>
      </c>
      <c r="G125" t="str">
        <f t="shared" si="17"/>
        <v>rg:{'id': '200001'}</v>
      </c>
      <c r="H125" t="s">
        <v>7734</v>
      </c>
      <c r="I125" t="s">
        <v>5536</v>
      </c>
      <c r="J125">
        <f>VLOOKUP(I125&amp;"-"&amp;F125,DistrictEquipmentTypes.csv!J:K,2,FALSE)</f>
        <v>200000</v>
      </c>
      <c r="K125" t="str">
        <f t="shared" si="18"/>
        <v>rg:{'id': '200000'}</v>
      </c>
      <c r="L125">
        <f t="shared" si="19"/>
        <v>1</v>
      </c>
      <c r="M125" t="str">
        <f>VLOOKUP(C125,Owners.csv!C:K,9,FALSE)&amp;TEXT(Equipment.csv!L125,"0000")</f>
        <v>COCO0001</v>
      </c>
      <c r="N125" t="s">
        <v>5401</v>
      </c>
      <c r="O125" t="s">
        <v>6782</v>
      </c>
      <c r="P125">
        <v>2001</v>
      </c>
      <c r="Q125">
        <v>124</v>
      </c>
      <c r="R125" t="s">
        <v>6663</v>
      </c>
      <c r="S125" s="1">
        <v>40639</v>
      </c>
      <c r="T125" s="1">
        <v>40642</v>
      </c>
      <c r="U125" t="str">
        <f t="shared" ca="1" si="20"/>
        <v>rg:False</v>
      </c>
      <c r="V125" t="str">
        <f t="shared" ca="1" si="21"/>
        <v>rg:None</v>
      </c>
      <c r="W125" t="s">
        <v>7181</v>
      </c>
      <c r="X125" t="s">
        <v>76</v>
      </c>
      <c r="Y125" t="s">
        <v>76</v>
      </c>
      <c r="Z125" t="s">
        <v>76</v>
      </c>
      <c r="AA125" t="s">
        <v>7528</v>
      </c>
      <c r="AB125" t="s">
        <v>7360</v>
      </c>
      <c r="AC125">
        <v>0</v>
      </c>
      <c r="AD125" t="str">
        <f t="shared" ca="1" si="22"/>
        <v>rg:False</v>
      </c>
      <c r="AE125" t="str">
        <f t="shared" ca="1" si="23"/>
        <v>rg:None</v>
      </c>
      <c r="AF125" s="1">
        <v>42481</v>
      </c>
      <c r="AG125" s="4">
        <f t="shared" ca="1" si="14"/>
        <v>229</v>
      </c>
      <c r="AH125" s="4">
        <f t="shared" si="24"/>
        <v>4.9777777777777779</v>
      </c>
      <c r="AI125">
        <f t="shared" ca="1" si="25"/>
        <v>189</v>
      </c>
      <c r="AJ125">
        <f t="shared" ca="1" si="26"/>
        <v>6</v>
      </c>
      <c r="AK125">
        <f t="shared" ca="1" si="27"/>
        <v>44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  <c r="AT125" t="s">
        <v>6510</v>
      </c>
    </row>
    <row r="126" spans="1:46" x14ac:dyDescent="0.3">
      <c r="A126" t="s">
        <v>5630</v>
      </c>
      <c r="B126">
        <f t="shared" si="15"/>
        <v>200124</v>
      </c>
      <c r="C126">
        <v>200020</v>
      </c>
      <c r="D126" t="str">
        <f t="shared" si="16"/>
        <v>rg:{'id': '200020'}</v>
      </c>
      <c r="E126">
        <f>VLOOKUP(C126,Owners.csv!C:J,6,FALSE)</f>
        <v>200001</v>
      </c>
      <c r="F126" t="str">
        <f>VLOOKUP(VLOOKUP(E126,LocalAreas.csv!I:K,3,FALSE),ServiceAreas.csv!F:J,5,FALSE)</f>
        <v>200009</v>
      </c>
      <c r="G126" t="str">
        <f t="shared" si="17"/>
        <v>rg:{'id': '200001'}</v>
      </c>
      <c r="H126" t="s">
        <v>7735</v>
      </c>
      <c r="I126" t="s">
        <v>5536</v>
      </c>
      <c r="J126">
        <f>VLOOKUP(I126&amp;"-"&amp;F126,DistrictEquipmentTypes.csv!J:K,2,FALSE)</f>
        <v>200000</v>
      </c>
      <c r="K126" t="str">
        <f t="shared" si="18"/>
        <v>rg:{'id': '200000'}</v>
      </c>
      <c r="L126">
        <f t="shared" si="19"/>
        <v>1</v>
      </c>
      <c r="M126" t="str">
        <f>VLOOKUP(C126,Owners.csv!C:K,9,FALSE)&amp;TEXT(Equipment.csv!L126,"0000")</f>
        <v>DAVE0001</v>
      </c>
      <c r="N126" t="s">
        <v>5401</v>
      </c>
      <c r="O126" t="s">
        <v>6783</v>
      </c>
      <c r="P126">
        <v>1997</v>
      </c>
      <c r="Q126">
        <v>125</v>
      </c>
      <c r="R126" t="s">
        <v>6663</v>
      </c>
      <c r="S126" s="1">
        <v>40763</v>
      </c>
      <c r="T126" s="1">
        <v>40782</v>
      </c>
      <c r="U126" t="str">
        <f t="shared" ca="1" si="20"/>
        <v>rg:False</v>
      </c>
      <c r="V126" t="str">
        <f t="shared" ca="1" si="21"/>
        <v>rg:None</v>
      </c>
      <c r="W126" t="s">
        <v>7182</v>
      </c>
      <c r="X126" t="s">
        <v>76</v>
      </c>
      <c r="Y126" t="s">
        <v>76</v>
      </c>
      <c r="Z126" t="s">
        <v>76</v>
      </c>
      <c r="AA126" t="s">
        <v>7529</v>
      </c>
      <c r="AB126" t="s">
        <v>7328</v>
      </c>
      <c r="AC126">
        <v>0</v>
      </c>
      <c r="AD126" t="str">
        <f t="shared" ca="1" si="22"/>
        <v>rg:False</v>
      </c>
      <c r="AE126" t="str">
        <f t="shared" ca="1" si="23"/>
        <v>rg:None</v>
      </c>
      <c r="AF126" s="1">
        <v>42481</v>
      </c>
      <c r="AG126" s="4">
        <f t="shared" ca="1" si="14"/>
        <v>204.5</v>
      </c>
      <c r="AH126" s="4">
        <f t="shared" si="24"/>
        <v>4.5944444444444441</v>
      </c>
      <c r="AI126">
        <f t="shared" ca="1" si="25"/>
        <v>19</v>
      </c>
      <c r="AJ126">
        <f t="shared" ca="1" si="26"/>
        <v>144</v>
      </c>
      <c r="AK126">
        <f t="shared" ca="1" si="27"/>
        <v>37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  <c r="AT126" t="s">
        <v>6510</v>
      </c>
    </row>
    <row r="127" spans="1:46" x14ac:dyDescent="0.3">
      <c r="A127" t="s">
        <v>5630</v>
      </c>
      <c r="B127">
        <f t="shared" si="15"/>
        <v>200125</v>
      </c>
      <c r="C127">
        <v>200021</v>
      </c>
      <c r="D127" t="str">
        <f t="shared" si="16"/>
        <v>rg:{'id': '200021'}</v>
      </c>
      <c r="E127">
        <f>VLOOKUP(C127,Owners.csv!C:J,6,FALSE)</f>
        <v>200001</v>
      </c>
      <c r="F127" t="str">
        <f>VLOOKUP(VLOOKUP(E127,LocalAreas.csv!I:K,3,FALSE),ServiceAreas.csv!F:J,5,FALSE)</f>
        <v>200009</v>
      </c>
      <c r="G127" t="str">
        <f t="shared" si="17"/>
        <v>rg:{'id': '200001'}</v>
      </c>
      <c r="H127" t="s">
        <v>7736</v>
      </c>
      <c r="I127" t="s">
        <v>5536</v>
      </c>
      <c r="J127">
        <f>VLOOKUP(I127&amp;"-"&amp;F127,DistrictEquipmentTypes.csv!J:K,2,FALSE)</f>
        <v>200000</v>
      </c>
      <c r="K127" t="str">
        <f t="shared" si="18"/>
        <v>rg:{'id': '200000'}</v>
      </c>
      <c r="L127">
        <f t="shared" si="19"/>
        <v>1</v>
      </c>
      <c r="M127" t="str">
        <f>VLOOKUP(C127,Owners.csv!C:K,9,FALSE)&amp;TEXT(Equipment.csv!L127,"0000")</f>
        <v>DESM0001</v>
      </c>
      <c r="N127" t="s">
        <v>5401</v>
      </c>
      <c r="O127" t="s">
        <v>6784</v>
      </c>
      <c r="P127">
        <v>1977</v>
      </c>
      <c r="Q127">
        <v>126</v>
      </c>
      <c r="R127" t="s">
        <v>6663</v>
      </c>
      <c r="S127" s="1">
        <v>39386</v>
      </c>
      <c r="T127" s="1">
        <v>39402</v>
      </c>
      <c r="U127" t="str">
        <f t="shared" ca="1" si="20"/>
        <v>rg:False</v>
      </c>
      <c r="V127" t="str">
        <f t="shared" ca="1" si="21"/>
        <v>rg:None</v>
      </c>
      <c r="W127" t="s">
        <v>7183</v>
      </c>
      <c r="X127" t="s">
        <v>76</v>
      </c>
      <c r="Y127" t="s">
        <v>76</v>
      </c>
      <c r="Z127" t="s">
        <v>76</v>
      </c>
      <c r="AA127" t="s">
        <v>7530</v>
      </c>
      <c r="AB127" t="s">
        <v>7276</v>
      </c>
      <c r="AC127">
        <v>0</v>
      </c>
      <c r="AD127" t="str">
        <f t="shared" ca="1" si="22"/>
        <v>rg:False</v>
      </c>
      <c r="AE127" t="str">
        <f t="shared" ca="1" si="23"/>
        <v>rg:None</v>
      </c>
      <c r="AF127" s="1">
        <v>42481</v>
      </c>
      <c r="AG127" s="4">
        <f t="shared" ca="1" si="14"/>
        <v>384.58333333333337</v>
      </c>
      <c r="AH127" s="4">
        <f t="shared" si="24"/>
        <v>8.375</v>
      </c>
      <c r="AI127">
        <f t="shared" ca="1" si="25"/>
        <v>192</v>
      </c>
      <c r="AJ127">
        <f t="shared" ca="1" si="26"/>
        <v>159</v>
      </c>
      <c r="AK127">
        <f t="shared" ca="1" si="27"/>
        <v>49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  <c r="AT127" t="s">
        <v>6510</v>
      </c>
    </row>
    <row r="128" spans="1:46" x14ac:dyDescent="0.3">
      <c r="A128" t="s">
        <v>5630</v>
      </c>
      <c r="B128">
        <f t="shared" si="15"/>
        <v>200126</v>
      </c>
      <c r="C128">
        <v>200022</v>
      </c>
      <c r="D128" t="str">
        <f t="shared" si="16"/>
        <v>rg:{'id': '200022'}</v>
      </c>
      <c r="E128">
        <f>VLOOKUP(C128,Owners.csv!C:J,6,FALSE)</f>
        <v>200001</v>
      </c>
      <c r="F128" t="str">
        <f>VLOOKUP(VLOOKUP(E128,LocalAreas.csv!I:K,3,FALSE),ServiceAreas.csv!F:J,5,FALSE)</f>
        <v>200009</v>
      </c>
      <c r="G128" t="str">
        <f t="shared" si="17"/>
        <v>rg:{'id': '200001'}</v>
      </c>
      <c r="H128" t="s">
        <v>7653</v>
      </c>
      <c r="I128" t="s">
        <v>5536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1</v>
      </c>
      <c r="M128" t="str">
        <f>VLOOKUP(C128,Owners.csv!C:K,9,FALSE)&amp;TEXT(Equipment.csv!L128,"0000")</f>
        <v>DEST0001</v>
      </c>
      <c r="N128" t="s">
        <v>5401</v>
      </c>
      <c r="O128" t="s">
        <v>6785</v>
      </c>
      <c r="P128">
        <v>1995</v>
      </c>
      <c r="Q128">
        <v>127</v>
      </c>
      <c r="R128" t="s">
        <v>6663</v>
      </c>
      <c r="S128" s="1">
        <v>40951</v>
      </c>
      <c r="T128" s="1">
        <v>40962</v>
      </c>
      <c r="U128" t="str">
        <f t="shared" ca="1" si="20"/>
        <v>rg:False</v>
      </c>
      <c r="V128" t="str">
        <f t="shared" ca="1" si="21"/>
        <v>rg:None</v>
      </c>
      <c r="W128" t="s">
        <v>7184</v>
      </c>
      <c r="X128" t="s">
        <v>76</v>
      </c>
      <c r="Y128" t="s">
        <v>76</v>
      </c>
      <c r="Z128" t="s">
        <v>76</v>
      </c>
      <c r="AA128" t="s">
        <v>7531</v>
      </c>
      <c r="AB128" t="s">
        <v>7361</v>
      </c>
      <c r="AC128">
        <v>0</v>
      </c>
      <c r="AD128" t="str">
        <f t="shared" ca="1" si="22"/>
        <v>rg:False</v>
      </c>
      <c r="AE128" t="str">
        <f t="shared" ca="1" si="23"/>
        <v>rg:None</v>
      </c>
      <c r="AF128" s="1">
        <v>42481</v>
      </c>
      <c r="AG128" s="4">
        <f t="shared" ca="1" si="14"/>
        <v>229.83333333333331</v>
      </c>
      <c r="AH128" s="4">
        <f t="shared" si="24"/>
        <v>4.1055555555555552</v>
      </c>
      <c r="AI128">
        <f t="shared" ca="1" si="25"/>
        <v>22</v>
      </c>
      <c r="AJ128">
        <f t="shared" ca="1" si="26"/>
        <v>171</v>
      </c>
      <c r="AK128">
        <f t="shared" ca="1" si="27"/>
        <v>127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  <c r="AT128" t="s">
        <v>6510</v>
      </c>
    </row>
    <row r="129" spans="1:46" x14ac:dyDescent="0.3">
      <c r="A129" t="s">
        <v>5630</v>
      </c>
      <c r="B129">
        <f t="shared" si="15"/>
        <v>200127</v>
      </c>
      <c r="C129">
        <v>200023</v>
      </c>
      <c r="D129" t="str">
        <f t="shared" si="16"/>
        <v>rg:{'id': '200023'}</v>
      </c>
      <c r="E129">
        <f>VLOOKUP(C129,Owners.csv!C:J,6,FALSE)</f>
        <v>200001</v>
      </c>
      <c r="F129" t="str">
        <f>VLOOKUP(VLOOKUP(E129,LocalAreas.csv!I:K,3,FALSE),ServiceAreas.csv!F:J,5,FALSE)</f>
        <v>200009</v>
      </c>
      <c r="G129" t="str">
        <f t="shared" si="17"/>
        <v>rg:{'id': '200001'}</v>
      </c>
      <c r="H129" t="s">
        <v>7737</v>
      </c>
      <c r="I129" t="s">
        <v>5536</v>
      </c>
      <c r="J129">
        <f>VLOOKUP(I129&amp;"-"&amp;F129,DistrictEquipmentTypes.csv!J:K,2,FALSE)</f>
        <v>200000</v>
      </c>
      <c r="K129" t="str">
        <f t="shared" si="18"/>
        <v>rg:{'id': '200000'}</v>
      </c>
      <c r="L129">
        <f t="shared" si="19"/>
        <v>1</v>
      </c>
      <c r="M129" t="str">
        <f>VLOOKUP(C129,Owners.csv!C:K,9,FALSE)&amp;TEXT(Equipment.csv!L129,"0000")</f>
        <v>EART0001</v>
      </c>
      <c r="N129" t="s">
        <v>5401</v>
      </c>
      <c r="O129" t="s">
        <v>6786</v>
      </c>
      <c r="P129">
        <v>2000</v>
      </c>
      <c r="Q129">
        <v>128</v>
      </c>
      <c r="R129" t="s">
        <v>6663</v>
      </c>
      <c r="S129" s="1">
        <v>40569</v>
      </c>
      <c r="T129" s="1">
        <v>40575</v>
      </c>
      <c r="U129" t="str">
        <f t="shared" ca="1" si="20"/>
        <v>rg:False</v>
      </c>
      <c r="V129" t="str">
        <f t="shared" ca="1" si="21"/>
        <v>rg:None</v>
      </c>
      <c r="W129" t="s">
        <v>7185</v>
      </c>
      <c r="X129" t="s">
        <v>76</v>
      </c>
      <c r="Y129" t="s">
        <v>76</v>
      </c>
      <c r="Z129" t="s">
        <v>76</v>
      </c>
      <c r="AA129" t="s">
        <v>7532</v>
      </c>
      <c r="AB129" t="s">
        <v>7362</v>
      </c>
      <c r="AC129">
        <v>0</v>
      </c>
      <c r="AD129" t="str">
        <f t="shared" ca="1" si="22"/>
        <v>rg:False</v>
      </c>
      <c r="AE129" t="str">
        <f t="shared" ca="1" si="23"/>
        <v>rg:None</v>
      </c>
      <c r="AF129" s="1">
        <v>42481</v>
      </c>
      <c r="AG129" s="4">
        <f t="shared" ca="1" si="14"/>
        <v>238</v>
      </c>
      <c r="AH129" s="4">
        <f t="shared" si="24"/>
        <v>5.166666666666667</v>
      </c>
      <c r="AI129">
        <f t="shared" ca="1" si="25"/>
        <v>48</v>
      </c>
      <c r="AJ129">
        <f t="shared" ca="1" si="26"/>
        <v>33</v>
      </c>
      <c r="AK129">
        <f t="shared" ca="1" si="27"/>
        <v>168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  <c r="AT129" t="s">
        <v>6510</v>
      </c>
    </row>
    <row r="130" spans="1:46" x14ac:dyDescent="0.3">
      <c r="A130" t="s">
        <v>5630</v>
      </c>
      <c r="B130">
        <f t="shared" si="15"/>
        <v>200128</v>
      </c>
      <c r="C130">
        <v>200024</v>
      </c>
      <c r="D130" t="str">
        <f t="shared" si="16"/>
        <v>rg:{'id': '200024'}</v>
      </c>
      <c r="E130">
        <f>VLOOKUP(C130,Owners.csv!C:J,6,FALSE)</f>
        <v>200001</v>
      </c>
      <c r="F130" t="str">
        <f>VLOOKUP(VLOOKUP(E130,LocalAreas.csv!I:K,3,FALSE),ServiceAreas.csv!F:J,5,FALSE)</f>
        <v>200009</v>
      </c>
      <c r="G130" t="str">
        <f t="shared" si="17"/>
        <v>rg:{'id': '200001'}</v>
      </c>
      <c r="H130" t="s">
        <v>7738</v>
      </c>
      <c r="I130" t="s">
        <v>5536</v>
      </c>
      <c r="J130">
        <f>VLOOKUP(I130&amp;"-"&amp;F130,DistrictEquipmentTypes.csv!J:K,2,FALSE)</f>
        <v>200000</v>
      </c>
      <c r="K130" t="str">
        <f t="shared" si="18"/>
        <v>rg:{'id': '200000'}</v>
      </c>
      <c r="L130">
        <f t="shared" si="19"/>
        <v>1</v>
      </c>
      <c r="M130" t="str">
        <f>VLOOKUP(C130,Owners.csv!C:K,9,FALSE)&amp;TEXT(Equipment.csv!L130,"0000")</f>
        <v>EDWA0001</v>
      </c>
      <c r="N130" t="s">
        <v>5401</v>
      </c>
      <c r="O130" t="s">
        <v>6787</v>
      </c>
      <c r="P130">
        <v>1977</v>
      </c>
      <c r="Q130">
        <v>129</v>
      </c>
      <c r="R130" t="s">
        <v>6663</v>
      </c>
      <c r="S130" s="1">
        <v>39643</v>
      </c>
      <c r="T130" s="1">
        <v>39655</v>
      </c>
      <c r="U130" t="str">
        <f t="shared" ca="1" si="20"/>
        <v>rg:False</v>
      </c>
      <c r="V130" t="str">
        <f t="shared" ca="1" si="21"/>
        <v>rg:None</v>
      </c>
      <c r="W130" t="s">
        <v>7186</v>
      </c>
      <c r="X130" t="s">
        <v>76</v>
      </c>
      <c r="Y130" t="s">
        <v>76</v>
      </c>
      <c r="Z130" t="s">
        <v>76</v>
      </c>
      <c r="AA130" t="s">
        <v>7533</v>
      </c>
      <c r="AB130" t="s">
        <v>7306</v>
      </c>
      <c r="AC130">
        <v>0</v>
      </c>
      <c r="AD130" t="str">
        <f t="shared" ca="1" si="22"/>
        <v>rg:False</v>
      </c>
      <c r="AE130" t="str">
        <f t="shared" ca="1" si="23"/>
        <v>rg:None</v>
      </c>
      <c r="AF130" s="1">
        <v>42481</v>
      </c>
      <c r="AG130" s="4">
        <f t="shared" ref="AG130:AG193" ca="1" si="28">IF(I130="Dump Truck",60,30)*AH130+(AVERAGE(AI130:AK130))</f>
        <v>276.41666666666663</v>
      </c>
      <c r="AH130" s="4">
        <f t="shared" si="24"/>
        <v>7.6805555555555554</v>
      </c>
      <c r="AI130">
        <f t="shared" ca="1" si="25"/>
        <v>7</v>
      </c>
      <c r="AJ130">
        <f t="shared" ca="1" si="26"/>
        <v>57</v>
      </c>
      <c r="AK130">
        <f t="shared" ca="1" si="27"/>
        <v>74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  <c r="AT130" t="s">
        <v>6510</v>
      </c>
    </row>
    <row r="131" spans="1:46" x14ac:dyDescent="0.3">
      <c r="A131" t="s">
        <v>5630</v>
      </c>
      <c r="B131">
        <f t="shared" ref="B131:B194" si="29">IF(ISNUMBER(B130),B130+1,200000)</f>
        <v>200129</v>
      </c>
      <c r="C131">
        <v>200025</v>
      </c>
      <c r="D131" t="str">
        <f t="shared" ref="D131:D194" si="30">"rg:{'id': '"&amp;C131&amp;"'}"</f>
        <v>rg:{'id': '200025'}</v>
      </c>
      <c r="E131">
        <f>VLOOKUP(C131,Owners.csv!C:J,6,FALSE)</f>
        <v>200001</v>
      </c>
      <c r="F131" t="str">
        <f>VLOOKUP(VLOOKUP(E131,LocalAreas.csv!I:K,3,FALSE),ServiceAreas.csv!F:J,5,FALSE)</f>
        <v>200009</v>
      </c>
      <c r="G131" t="str">
        <f t="shared" ref="G131:G194" si="31">"rg:{'id': '"&amp;E131&amp;"'}"</f>
        <v>rg:{'id': '200001'}</v>
      </c>
      <c r="H131" t="s">
        <v>7692</v>
      </c>
      <c r="I131" t="s">
        <v>5536</v>
      </c>
      <c r="J131">
        <f>VLOOKUP(I131&amp;"-"&amp;F131,DistrictEquipmentTypes.csv!J:K,2,FALSE)</f>
        <v>200000</v>
      </c>
      <c r="K131" t="str">
        <f t="shared" ref="K131:K194" si="32">"rg:{'id': '"&amp;J131&amp;"'}"</f>
        <v>rg:{'id': '200000'}</v>
      </c>
      <c r="L131">
        <f t="shared" ref="L131:L194" si="33">IF(C131=C130,L130+1,1)</f>
        <v>1</v>
      </c>
      <c r="M131" t="str">
        <f>VLOOKUP(C131,Owners.csv!C:K,9,FALSE)&amp;TEXT(Equipment.csv!L131,"0000")</f>
        <v>ENVI0001</v>
      </c>
      <c r="N131" t="s">
        <v>5401</v>
      </c>
      <c r="O131" t="s">
        <v>6788</v>
      </c>
      <c r="P131">
        <v>1982</v>
      </c>
      <c r="Q131">
        <v>130</v>
      </c>
      <c r="R131" t="s">
        <v>6663</v>
      </c>
      <c r="S131" s="1">
        <v>42335</v>
      </c>
      <c r="T131" s="1">
        <v>42363</v>
      </c>
      <c r="U131" t="str">
        <f t="shared" ref="U131:U194" ca="1" si="34">IF(RANDBETWEEN(1,10)&gt;1,"rg:False","rg:True")</f>
        <v>rg:False</v>
      </c>
      <c r="V131" t="str">
        <f t="shared" ref="V131:V194" ca="1" si="35">IF(U131="rg:True","This equipment should be archived","rg:None")</f>
        <v>rg:None</v>
      </c>
      <c r="W131" t="s">
        <v>7187</v>
      </c>
      <c r="X131" t="s">
        <v>76</v>
      </c>
      <c r="Y131" t="s">
        <v>76</v>
      </c>
      <c r="Z131" t="s">
        <v>76</v>
      </c>
      <c r="AA131" t="s">
        <v>7534</v>
      </c>
      <c r="AB131" t="s">
        <v>7363</v>
      </c>
      <c r="AC131">
        <v>0</v>
      </c>
      <c r="AD131" t="str">
        <f t="shared" ref="AD131:AD194" ca="1" si="36">IF(RANDBETWEEN(1,20)&gt;1,"rg:False","rg:True")</f>
        <v>rg:False</v>
      </c>
      <c r="AE131" t="str">
        <f t="shared" ref="AE131:AE194" ca="1" si="37">IF(AD131="rg:True","Seniority overridden to test things","rg:None")</f>
        <v>rg:None</v>
      </c>
      <c r="AF131" s="1">
        <v>42481</v>
      </c>
      <c r="AG131" s="4">
        <f t="shared" ca="1" si="28"/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  <c r="AT131" t="s">
        <v>6510</v>
      </c>
    </row>
    <row r="132" spans="1:46" x14ac:dyDescent="0.3">
      <c r="A132" t="s">
        <v>5630</v>
      </c>
      <c r="B132">
        <f t="shared" si="29"/>
        <v>200130</v>
      </c>
      <c r="C132">
        <v>200026</v>
      </c>
      <c r="D132" t="str">
        <f t="shared" si="30"/>
        <v>rg:{'id': '200026'}</v>
      </c>
      <c r="E132">
        <f>VLOOKUP(C132,Owners.csv!C:J,6,FALSE)</f>
        <v>200001</v>
      </c>
      <c r="F132" t="str">
        <f>VLOOKUP(VLOOKUP(E132,LocalAreas.csv!I:K,3,FALSE),ServiceAreas.csv!F:J,5,FALSE)</f>
        <v>200009</v>
      </c>
      <c r="G132" t="str">
        <f t="shared" si="31"/>
        <v>rg:{'id': '200001'}</v>
      </c>
      <c r="H132" t="s">
        <v>7698</v>
      </c>
      <c r="I132" t="s">
        <v>5536</v>
      </c>
      <c r="J132">
        <f>VLOOKUP(I132&amp;"-"&amp;F132,DistrictEquipmentTypes.csv!J:K,2,FALSE)</f>
        <v>200000</v>
      </c>
      <c r="K132" t="str">
        <f t="shared" si="32"/>
        <v>rg:{'id': '200000'}</v>
      </c>
      <c r="L132">
        <f t="shared" si="33"/>
        <v>1</v>
      </c>
      <c r="M132" t="str">
        <f>VLOOKUP(C132,Owners.csv!C:K,9,FALSE)&amp;TEXT(Equipment.csv!L132,"0000")</f>
        <v>FAMI0001</v>
      </c>
      <c r="N132" t="s">
        <v>5401</v>
      </c>
      <c r="O132" t="s">
        <v>6789</v>
      </c>
      <c r="P132">
        <v>1989</v>
      </c>
      <c r="Q132">
        <v>131</v>
      </c>
      <c r="R132" t="s">
        <v>6663</v>
      </c>
      <c r="S132" s="1">
        <v>42575</v>
      </c>
      <c r="T132" s="1">
        <v>42603</v>
      </c>
      <c r="U132" t="str">
        <f t="shared" ca="1" si="34"/>
        <v>rg:True</v>
      </c>
      <c r="V132" t="str">
        <f t="shared" ca="1" si="35"/>
        <v>This equipment should be archived</v>
      </c>
      <c r="W132" t="s">
        <v>7188</v>
      </c>
      <c r="X132" t="s">
        <v>76</v>
      </c>
      <c r="Y132" t="s">
        <v>76</v>
      </c>
      <c r="Z132" t="s">
        <v>76</v>
      </c>
      <c r="AA132" t="s">
        <v>7535</v>
      </c>
      <c r="AB132" t="s">
        <v>7261</v>
      </c>
      <c r="AC132">
        <v>0</v>
      </c>
      <c r="AD132" t="str">
        <f t="shared" ca="1" si="36"/>
        <v>rg:False</v>
      </c>
      <c r="AE132" t="str">
        <f t="shared" ca="1" si="37"/>
        <v>rg:None</v>
      </c>
      <c r="AF132" s="1">
        <v>42481</v>
      </c>
      <c r="AG132" s="4">
        <f t="shared" ca="1" si="28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  <c r="AT132" t="s">
        <v>6510</v>
      </c>
    </row>
    <row r="133" spans="1:46" x14ac:dyDescent="0.3">
      <c r="A133" t="s">
        <v>5630</v>
      </c>
      <c r="B133">
        <f t="shared" si="29"/>
        <v>200131</v>
      </c>
      <c r="C133">
        <v>200027</v>
      </c>
      <c r="D133" t="str">
        <f t="shared" si="30"/>
        <v>rg:{'id': '200027'}</v>
      </c>
      <c r="E133">
        <f>VLOOKUP(C133,Owners.csv!C:J,6,FALSE)</f>
        <v>200001</v>
      </c>
      <c r="F133" t="str">
        <f>VLOOKUP(VLOOKUP(E133,LocalAreas.csv!I:K,3,FALSE),ServiceAreas.csv!F:J,5,FALSE)</f>
        <v>200009</v>
      </c>
      <c r="G133" t="str">
        <f t="shared" si="31"/>
        <v>rg:{'id': '200001'}</v>
      </c>
      <c r="H133" t="s">
        <v>7650</v>
      </c>
      <c r="I133" t="s">
        <v>5536</v>
      </c>
      <c r="J133">
        <f>VLOOKUP(I133&amp;"-"&amp;F133,DistrictEquipmentTypes.csv!J:K,2,FALSE)</f>
        <v>200000</v>
      </c>
      <c r="K133" t="str">
        <f t="shared" si="32"/>
        <v>rg:{'id': '200000'}</v>
      </c>
      <c r="L133">
        <f t="shared" si="33"/>
        <v>1</v>
      </c>
      <c r="M133" t="str">
        <f>VLOOKUP(C133,Owners.csv!C:K,9,FALSE)&amp;TEXT(Equipment.csv!L133,"0000")</f>
        <v>FIRS0001</v>
      </c>
      <c r="N133" t="s">
        <v>5401</v>
      </c>
      <c r="O133" t="s">
        <v>6790</v>
      </c>
      <c r="P133">
        <v>1980</v>
      </c>
      <c r="Q133">
        <v>132</v>
      </c>
      <c r="R133" t="s">
        <v>6663</v>
      </c>
      <c r="S133" s="1">
        <v>39750</v>
      </c>
      <c r="T133" s="1">
        <v>39761</v>
      </c>
      <c r="U133" t="str">
        <f t="shared" ca="1" si="34"/>
        <v>rg:False</v>
      </c>
      <c r="V133" t="str">
        <f t="shared" ca="1" si="35"/>
        <v>rg:None</v>
      </c>
      <c r="W133" t="s">
        <v>7189</v>
      </c>
      <c r="X133" t="s">
        <v>76</v>
      </c>
      <c r="Y133" t="s">
        <v>76</v>
      </c>
      <c r="Z133" t="s">
        <v>76</v>
      </c>
      <c r="AA133" t="s">
        <v>7536</v>
      </c>
      <c r="AB133" t="s">
        <v>7364</v>
      </c>
      <c r="AC133">
        <v>0</v>
      </c>
      <c r="AD133" t="str">
        <f t="shared" ca="1" si="36"/>
        <v>rg:False</v>
      </c>
      <c r="AE133" t="str">
        <f t="shared" ca="1" si="37"/>
        <v>rg:None</v>
      </c>
      <c r="AF133" s="1">
        <v>42481</v>
      </c>
      <c r="AG133" s="4">
        <f t="shared" ca="1" si="28"/>
        <v>343.83333333333337</v>
      </c>
      <c r="AH133" s="4">
        <f t="shared" si="38"/>
        <v>7.3944444444444448</v>
      </c>
      <c r="AI133">
        <f t="shared" ca="1" si="39"/>
        <v>99</v>
      </c>
      <c r="AJ133">
        <f t="shared" ca="1" si="40"/>
        <v>139</v>
      </c>
      <c r="AK133">
        <f t="shared" ca="1" si="41"/>
        <v>128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  <c r="AT133" t="s">
        <v>6510</v>
      </c>
    </row>
    <row r="134" spans="1:46" x14ac:dyDescent="0.3">
      <c r="A134" t="s">
        <v>5630</v>
      </c>
      <c r="B134">
        <f t="shared" si="29"/>
        <v>200132</v>
      </c>
      <c r="C134">
        <v>200028</v>
      </c>
      <c r="D134" t="str">
        <f t="shared" si="30"/>
        <v>rg:{'id': '200028'}</v>
      </c>
      <c r="E134">
        <f>VLOOKUP(C134,Owners.csv!C:J,6,FALSE)</f>
        <v>200001</v>
      </c>
      <c r="F134" t="str">
        <f>VLOOKUP(VLOOKUP(E134,LocalAreas.csv!I:K,3,FALSE),ServiceAreas.csv!F:J,5,FALSE)</f>
        <v>200009</v>
      </c>
      <c r="G134" t="str">
        <f t="shared" si="31"/>
        <v>rg:{'id': '200001'}</v>
      </c>
      <c r="H134" t="s">
        <v>7725</v>
      </c>
      <c r="I134" t="s">
        <v>5536</v>
      </c>
      <c r="J134">
        <f>VLOOKUP(I134&amp;"-"&amp;F134,DistrictEquipmentTypes.csv!J:K,2,FALSE)</f>
        <v>200000</v>
      </c>
      <c r="K134" t="str">
        <f t="shared" si="32"/>
        <v>rg:{'id': '200000'}</v>
      </c>
      <c r="L134">
        <f t="shared" si="33"/>
        <v>1</v>
      </c>
      <c r="M134" t="str">
        <f>VLOOKUP(C134,Owners.csv!C:K,9,FALSE)&amp;TEXT(Equipment.csv!L134,"0000")</f>
        <v>FISH0001</v>
      </c>
      <c r="N134" t="s">
        <v>5401</v>
      </c>
      <c r="O134" t="s">
        <v>6791</v>
      </c>
      <c r="P134">
        <v>2004</v>
      </c>
      <c r="Q134">
        <v>133</v>
      </c>
      <c r="R134" t="s">
        <v>6663</v>
      </c>
      <c r="S134" s="1">
        <v>40482</v>
      </c>
      <c r="T134" s="1">
        <v>40493</v>
      </c>
      <c r="U134" t="str">
        <f t="shared" ca="1" si="34"/>
        <v>rg:False</v>
      </c>
      <c r="V134" t="str">
        <f t="shared" ca="1" si="35"/>
        <v>rg:None</v>
      </c>
      <c r="W134" t="s">
        <v>7190</v>
      </c>
      <c r="X134" t="s">
        <v>76</v>
      </c>
      <c r="Y134" t="s">
        <v>76</v>
      </c>
      <c r="Z134" t="s">
        <v>76</v>
      </c>
      <c r="AA134" t="s">
        <v>7537</v>
      </c>
      <c r="AB134" t="s">
        <v>7365</v>
      </c>
      <c r="AC134">
        <v>0</v>
      </c>
      <c r="AD134" t="str">
        <f t="shared" ca="1" si="36"/>
        <v>rg:False</v>
      </c>
      <c r="AE134" t="str">
        <f t="shared" ca="1" si="37"/>
        <v>rg:None</v>
      </c>
      <c r="AF134" s="1">
        <v>42481</v>
      </c>
      <c r="AG134" s="4">
        <f t="shared" ca="1" si="28"/>
        <v>202.66666666666669</v>
      </c>
      <c r="AH134" s="4">
        <f t="shared" si="38"/>
        <v>5.3888888888888893</v>
      </c>
      <c r="AI134">
        <f t="shared" ca="1" si="39"/>
        <v>9</v>
      </c>
      <c r="AJ134">
        <f t="shared" ca="1" si="40"/>
        <v>88</v>
      </c>
      <c r="AK134">
        <f t="shared" ca="1" si="41"/>
        <v>26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  <c r="AT134" t="s">
        <v>6510</v>
      </c>
    </row>
    <row r="135" spans="1:46" x14ac:dyDescent="0.3">
      <c r="A135" t="s">
        <v>5630</v>
      </c>
      <c r="B135">
        <f t="shared" si="29"/>
        <v>200133</v>
      </c>
      <c r="C135">
        <v>200029</v>
      </c>
      <c r="D135" t="str">
        <f t="shared" si="30"/>
        <v>rg:{'id': '200029'}</v>
      </c>
      <c r="E135">
        <f>VLOOKUP(C135,Owners.csv!C:J,6,FALSE)</f>
        <v>200001</v>
      </c>
      <c r="F135" t="str">
        <f>VLOOKUP(VLOOKUP(E135,LocalAreas.csv!I:K,3,FALSE),ServiceAreas.csv!F:J,5,FALSE)</f>
        <v>200009</v>
      </c>
      <c r="G135" t="str">
        <f t="shared" si="31"/>
        <v>rg:{'id': '200001'}</v>
      </c>
      <c r="H135" t="s">
        <v>7711</v>
      </c>
      <c r="I135" t="s">
        <v>5536</v>
      </c>
      <c r="J135">
        <f>VLOOKUP(I135&amp;"-"&amp;F135,DistrictEquipmentTypes.csv!J:K,2,FALSE)</f>
        <v>200000</v>
      </c>
      <c r="K135" t="str">
        <f t="shared" si="32"/>
        <v>rg:{'id': '200000'}</v>
      </c>
      <c r="L135">
        <f t="shared" si="33"/>
        <v>1</v>
      </c>
      <c r="M135" t="str">
        <f>VLOOKUP(C135,Owners.csv!C:K,9,FALSE)&amp;TEXT(Equipment.csv!L135,"0000")</f>
        <v>FOOT0001</v>
      </c>
      <c r="N135" t="s">
        <v>5401</v>
      </c>
      <c r="O135" t="s">
        <v>6792</v>
      </c>
      <c r="P135">
        <v>2014</v>
      </c>
      <c r="Q135">
        <v>134</v>
      </c>
      <c r="R135" t="s">
        <v>6663</v>
      </c>
      <c r="S135" s="1">
        <v>37921</v>
      </c>
      <c r="T135" s="1">
        <v>37922</v>
      </c>
      <c r="U135" t="str">
        <f t="shared" ca="1" si="34"/>
        <v>rg:False</v>
      </c>
      <c r="V135" t="str">
        <f t="shared" ca="1" si="35"/>
        <v>rg:None</v>
      </c>
      <c r="W135" t="s">
        <v>7191</v>
      </c>
      <c r="X135" t="s">
        <v>76</v>
      </c>
      <c r="Y135" t="s">
        <v>76</v>
      </c>
      <c r="Z135" t="s">
        <v>76</v>
      </c>
      <c r="AA135" t="s">
        <v>7538</v>
      </c>
      <c r="AB135" t="s">
        <v>7324</v>
      </c>
      <c r="AC135">
        <v>0</v>
      </c>
      <c r="AD135" t="str">
        <f t="shared" ca="1" si="36"/>
        <v>rg:True</v>
      </c>
      <c r="AE135" t="str">
        <f t="shared" ca="1" si="37"/>
        <v>Seniority overridden to test things</v>
      </c>
      <c r="AF135" s="1">
        <v>42481</v>
      </c>
      <c r="AG135" s="4">
        <f t="shared" ca="1" si="28"/>
        <v>481.08333333333331</v>
      </c>
      <c r="AH135" s="4">
        <f t="shared" si="38"/>
        <v>12.425000000000001</v>
      </c>
      <c r="AI135">
        <f t="shared" ca="1" si="39"/>
        <v>60</v>
      </c>
      <c r="AJ135">
        <f t="shared" ca="1" si="40"/>
        <v>134</v>
      </c>
      <c r="AK135">
        <f t="shared" ca="1" si="41"/>
        <v>131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  <c r="AT135" t="s">
        <v>6510</v>
      </c>
    </row>
    <row r="136" spans="1:46" x14ac:dyDescent="0.3">
      <c r="A136" t="s">
        <v>5630</v>
      </c>
      <c r="B136">
        <f t="shared" si="29"/>
        <v>200134</v>
      </c>
      <c r="C136">
        <v>200030</v>
      </c>
      <c r="D136" t="str">
        <f t="shared" si="30"/>
        <v>rg:{'id': '200030'}</v>
      </c>
      <c r="E136">
        <f>VLOOKUP(C136,Owners.csv!C:J,6,FALSE)</f>
        <v>200001</v>
      </c>
      <c r="F136" t="str">
        <f>VLOOKUP(VLOOKUP(E136,LocalAreas.csv!I:K,3,FALSE),ServiceAreas.csv!F:J,5,FALSE)</f>
        <v>200009</v>
      </c>
      <c r="G136" t="str">
        <f t="shared" si="31"/>
        <v>rg:{'id': '200001'}</v>
      </c>
      <c r="H136" t="s">
        <v>7739</v>
      </c>
      <c r="I136" t="s">
        <v>5536</v>
      </c>
      <c r="J136">
        <f>VLOOKUP(I136&amp;"-"&amp;F136,DistrictEquipmentTypes.csv!J:K,2,FALSE)</f>
        <v>200000</v>
      </c>
      <c r="K136" t="str">
        <f t="shared" si="32"/>
        <v>rg:{'id': '200000'}</v>
      </c>
      <c r="L136">
        <f t="shared" si="33"/>
        <v>1</v>
      </c>
      <c r="M136" t="str">
        <f>VLOOKUP(C136,Owners.csv!C:K,9,FALSE)&amp;TEXT(Equipment.csv!L136,"0000")</f>
        <v>GAMM0001</v>
      </c>
      <c r="N136" t="s">
        <v>5401</v>
      </c>
      <c r="O136" t="s">
        <v>6793</v>
      </c>
      <c r="P136">
        <v>1991</v>
      </c>
      <c r="Q136">
        <v>135</v>
      </c>
      <c r="R136" t="s">
        <v>6663</v>
      </c>
      <c r="S136" s="1">
        <v>42321</v>
      </c>
      <c r="T136" s="1">
        <v>42351</v>
      </c>
      <c r="U136" t="str">
        <f t="shared" ca="1" si="34"/>
        <v>rg:True</v>
      </c>
      <c r="V136" t="str">
        <f t="shared" ca="1" si="35"/>
        <v>This equipment should be archived</v>
      </c>
      <c r="W136" t="s">
        <v>7192</v>
      </c>
      <c r="X136" t="s">
        <v>76</v>
      </c>
      <c r="Y136" t="s">
        <v>76</v>
      </c>
      <c r="Z136" t="s">
        <v>76</v>
      </c>
      <c r="AA136" t="s">
        <v>7539</v>
      </c>
      <c r="AB136" t="s">
        <v>7366</v>
      </c>
      <c r="AC136">
        <v>0</v>
      </c>
      <c r="AD136" t="str">
        <f t="shared" ca="1" si="36"/>
        <v>rg:False</v>
      </c>
      <c r="AE136" t="str">
        <f t="shared" ca="1" si="37"/>
        <v>rg:None</v>
      </c>
      <c r="AF136" s="1">
        <v>42481</v>
      </c>
      <c r="AG136" s="4">
        <f t="shared" ca="1" si="28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  <c r="AT136" t="s">
        <v>6510</v>
      </c>
    </row>
    <row r="137" spans="1:46" x14ac:dyDescent="0.3">
      <c r="A137" t="s">
        <v>5630</v>
      </c>
      <c r="B137">
        <f t="shared" si="29"/>
        <v>200135</v>
      </c>
      <c r="C137">
        <v>200031</v>
      </c>
      <c r="D137" t="str">
        <f t="shared" si="30"/>
        <v>rg:{'id': '200031'}</v>
      </c>
      <c r="E137">
        <f>VLOOKUP(C137,Owners.csv!C:J,6,FALSE)</f>
        <v>200001</v>
      </c>
      <c r="F137" t="str">
        <f>VLOOKUP(VLOOKUP(E137,LocalAreas.csv!I:K,3,FALSE),ServiceAreas.csv!F:J,5,FALSE)</f>
        <v>200009</v>
      </c>
      <c r="G137" t="str">
        <f t="shared" si="31"/>
        <v>rg:{'id': '200001'}</v>
      </c>
      <c r="H137" t="s">
        <v>7740</v>
      </c>
      <c r="I137" t="s">
        <v>5536</v>
      </c>
      <c r="J137">
        <f>VLOOKUP(I137&amp;"-"&amp;F137,DistrictEquipmentTypes.csv!J:K,2,FALSE)</f>
        <v>200000</v>
      </c>
      <c r="K137" t="str">
        <f t="shared" si="32"/>
        <v>rg:{'id': '200000'}</v>
      </c>
      <c r="L137">
        <f t="shared" si="33"/>
        <v>1</v>
      </c>
      <c r="M137" t="str">
        <f>VLOOKUP(C137,Owners.csv!C:K,9,FALSE)&amp;TEXT(Equipment.csv!L137,"0000")</f>
        <v>GARD0001</v>
      </c>
      <c r="N137" t="s">
        <v>5401</v>
      </c>
      <c r="O137" t="s">
        <v>6794</v>
      </c>
      <c r="P137">
        <v>2012</v>
      </c>
      <c r="Q137">
        <v>136</v>
      </c>
      <c r="R137" t="s">
        <v>6663</v>
      </c>
      <c r="S137" s="1">
        <v>39653</v>
      </c>
      <c r="T137" s="1">
        <v>39658</v>
      </c>
      <c r="U137" t="str">
        <f t="shared" ca="1" si="34"/>
        <v>rg:True</v>
      </c>
      <c r="V137" t="str">
        <f t="shared" ca="1" si="35"/>
        <v>This equipment should be archived</v>
      </c>
      <c r="W137" t="s">
        <v>7193</v>
      </c>
      <c r="X137" t="s">
        <v>76</v>
      </c>
      <c r="Y137" t="s">
        <v>76</v>
      </c>
      <c r="Z137" t="s">
        <v>76</v>
      </c>
      <c r="AA137" t="s">
        <v>7540</v>
      </c>
      <c r="AB137" t="s">
        <v>7317</v>
      </c>
      <c r="AC137">
        <v>0</v>
      </c>
      <c r="AD137" t="str">
        <f t="shared" ca="1" si="36"/>
        <v>rg:False</v>
      </c>
      <c r="AE137" t="str">
        <f t="shared" ca="1" si="37"/>
        <v>rg:None</v>
      </c>
      <c r="AF137" s="1">
        <v>42481</v>
      </c>
      <c r="AG137" s="4">
        <f t="shared" ca="1" si="28"/>
        <v>316.83333333333337</v>
      </c>
      <c r="AH137" s="4">
        <f t="shared" si="38"/>
        <v>7.6722222222222225</v>
      </c>
      <c r="AI137">
        <f t="shared" ca="1" si="39"/>
        <v>46</v>
      </c>
      <c r="AJ137">
        <f t="shared" ca="1" si="40"/>
        <v>151</v>
      </c>
      <c r="AK137">
        <f t="shared" ca="1" si="41"/>
        <v>63</v>
      </c>
      <c r="AL137" t="s">
        <v>326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  <c r="AT137" t="s">
        <v>6510</v>
      </c>
    </row>
    <row r="138" spans="1:46" x14ac:dyDescent="0.3">
      <c r="A138" t="s">
        <v>5630</v>
      </c>
      <c r="B138">
        <f t="shared" si="29"/>
        <v>200136</v>
      </c>
      <c r="C138">
        <v>200032</v>
      </c>
      <c r="D138" t="str">
        <f t="shared" si="30"/>
        <v>rg:{'id': '200032'}</v>
      </c>
      <c r="E138">
        <f>VLOOKUP(C138,Owners.csv!C:J,6,FALSE)</f>
        <v>200001</v>
      </c>
      <c r="F138" t="str">
        <f>VLOOKUP(VLOOKUP(E138,LocalAreas.csv!I:K,3,FALSE),ServiceAreas.csv!F:J,5,FALSE)</f>
        <v>200009</v>
      </c>
      <c r="G138" t="str">
        <f t="shared" si="31"/>
        <v>rg:{'id': '200001'}</v>
      </c>
      <c r="H138" t="s">
        <v>7668</v>
      </c>
      <c r="I138" t="s">
        <v>5536</v>
      </c>
      <c r="J138">
        <f>VLOOKUP(I138&amp;"-"&amp;F138,DistrictEquipmentTypes.csv!J:K,2,FALSE)</f>
        <v>200000</v>
      </c>
      <c r="K138" t="str">
        <f t="shared" si="32"/>
        <v>rg:{'id': '200000'}</v>
      </c>
      <c r="L138">
        <f t="shared" si="33"/>
        <v>1</v>
      </c>
      <c r="M138" t="str">
        <f>VLOOKUP(C138,Owners.csv!C:K,9,FALSE)&amp;TEXT(Equipment.csv!L138,"0000")</f>
        <v>GASD0001</v>
      </c>
      <c r="N138" t="s">
        <v>5401</v>
      </c>
      <c r="O138" t="s">
        <v>6795</v>
      </c>
      <c r="P138">
        <v>1975</v>
      </c>
      <c r="Q138">
        <v>137</v>
      </c>
      <c r="R138" t="s">
        <v>6663</v>
      </c>
      <c r="S138" s="1">
        <v>39032</v>
      </c>
      <c r="T138" s="1">
        <v>39035</v>
      </c>
      <c r="U138" t="str">
        <f t="shared" ca="1" si="34"/>
        <v>rg:False</v>
      </c>
      <c r="V138" t="str">
        <f t="shared" ca="1" si="35"/>
        <v>rg:None</v>
      </c>
      <c r="W138" t="s">
        <v>7194</v>
      </c>
      <c r="X138" t="s">
        <v>76</v>
      </c>
      <c r="Y138" t="s">
        <v>76</v>
      </c>
      <c r="Z138" t="s">
        <v>76</v>
      </c>
      <c r="AA138" t="s">
        <v>7541</v>
      </c>
      <c r="AB138" t="s">
        <v>7367</v>
      </c>
      <c r="AC138">
        <v>0</v>
      </c>
      <c r="AD138" t="str">
        <f t="shared" ca="1" si="36"/>
        <v>rg:False</v>
      </c>
      <c r="AE138" t="str">
        <f t="shared" ca="1" si="37"/>
        <v>rg:None</v>
      </c>
      <c r="AF138" s="1">
        <v>42481</v>
      </c>
      <c r="AG138" s="4">
        <f t="shared" ca="1" si="28"/>
        <v>408.08333333333337</v>
      </c>
      <c r="AH138" s="4">
        <f t="shared" si="38"/>
        <v>9.3805555555555564</v>
      </c>
      <c r="AI138">
        <f t="shared" ca="1" si="39"/>
        <v>128</v>
      </c>
      <c r="AJ138">
        <f t="shared" ca="1" si="40"/>
        <v>91</v>
      </c>
      <c r="AK138">
        <f t="shared" ca="1" si="41"/>
        <v>161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  <c r="AT138" t="s">
        <v>6510</v>
      </c>
    </row>
    <row r="139" spans="1:46" x14ac:dyDescent="0.3">
      <c r="A139" t="s">
        <v>5630</v>
      </c>
      <c r="B139">
        <f t="shared" si="29"/>
        <v>200137</v>
      </c>
      <c r="C139">
        <v>200038</v>
      </c>
      <c r="D139" t="str">
        <f t="shared" si="30"/>
        <v>rg:{'id': '200038'}</v>
      </c>
      <c r="E139">
        <f>VLOOKUP(C139,Owners.csv!C:J,6,FALSE)</f>
        <v>200002</v>
      </c>
      <c r="F139" t="str">
        <f>VLOOKUP(VLOOKUP(E139,LocalAreas.csv!I:K,3,FALSE),ServiceAreas.csv!F:J,5,FALSE)</f>
        <v>200009</v>
      </c>
      <c r="G139" t="str">
        <f t="shared" si="31"/>
        <v>rg:{'id': '200002'}</v>
      </c>
      <c r="H139" t="s">
        <v>7738</v>
      </c>
      <c r="I139" t="s">
        <v>5651</v>
      </c>
      <c r="J139">
        <f>VLOOKUP(I139&amp;"-"&amp;F139,DistrictEquipmentTypes.csv!J:K,2,FALSE)</f>
        <v>200006</v>
      </c>
      <c r="K139" t="str">
        <f t="shared" si="32"/>
        <v>rg:{'id': '200006'}</v>
      </c>
      <c r="L139">
        <f t="shared" si="33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4"/>
        <v>rg:True</v>
      </c>
      <c r="V139" t="str">
        <f t="shared" ca="1" si="35"/>
        <v>This equipment should be archived</v>
      </c>
      <c r="W139" t="s">
        <v>7195</v>
      </c>
      <c r="X139" t="s">
        <v>76</v>
      </c>
      <c r="Y139" t="s">
        <v>76</v>
      </c>
      <c r="Z139" t="s">
        <v>76</v>
      </c>
      <c r="AA139" t="s">
        <v>7542</v>
      </c>
      <c r="AB139" t="s">
        <v>7368</v>
      </c>
      <c r="AC139">
        <v>0</v>
      </c>
      <c r="AD139" t="str">
        <f t="shared" ca="1" si="36"/>
        <v>rg:False</v>
      </c>
      <c r="AE139" t="str">
        <f t="shared" ca="1" si="37"/>
        <v>rg:None</v>
      </c>
      <c r="AF139" s="1">
        <v>42481</v>
      </c>
      <c r="AG139" s="4">
        <f t="shared" ca="1" si="28"/>
        <v>358.83333333333331</v>
      </c>
      <c r="AH139" s="4">
        <f t="shared" si="38"/>
        <v>4.447222222222222</v>
      </c>
      <c r="AI139">
        <f t="shared" ca="1" si="39"/>
        <v>77</v>
      </c>
      <c r="AJ139">
        <f t="shared" ca="1" si="40"/>
        <v>100</v>
      </c>
      <c r="AK139">
        <f t="shared" ca="1" si="41"/>
        <v>99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  <c r="AT139" t="s">
        <v>6510</v>
      </c>
    </row>
    <row r="140" spans="1:46" x14ac:dyDescent="0.3">
      <c r="A140" t="s">
        <v>5630</v>
      </c>
      <c r="B140">
        <f t="shared" si="29"/>
        <v>200138</v>
      </c>
      <c r="C140">
        <v>200039</v>
      </c>
      <c r="D140" t="str">
        <f t="shared" si="30"/>
        <v>rg:{'id': '200039'}</v>
      </c>
      <c r="E140">
        <f>VLOOKUP(C140,Owners.csv!C:J,6,FALSE)</f>
        <v>200002</v>
      </c>
      <c r="F140" t="str">
        <f>VLOOKUP(VLOOKUP(E140,LocalAreas.csv!I:K,3,FALSE),ServiceAreas.csv!F:J,5,FALSE)</f>
        <v>200009</v>
      </c>
      <c r="G140" t="str">
        <f t="shared" si="31"/>
        <v>rg:{'id': '200002'}</v>
      </c>
      <c r="H140" t="s">
        <v>7741</v>
      </c>
      <c r="I140" t="s">
        <v>5651</v>
      </c>
      <c r="J140">
        <f>VLOOKUP(I140&amp;"-"&amp;F140,DistrictEquipmentTypes.csv!J:K,2,FALSE)</f>
        <v>200006</v>
      </c>
      <c r="K140" t="str">
        <f t="shared" si="32"/>
        <v>rg:{'id': '200006'}</v>
      </c>
      <c r="L140">
        <f t="shared" si="33"/>
        <v>1</v>
      </c>
      <c r="M140" t="str">
        <f>VLOOKUP(C140,Owners.csv!C:K,9,FALSE)&amp;TEXT(Equipment.csv!L140,"0000")</f>
        <v>HIGH0001</v>
      </c>
      <c r="N140" t="s">
        <v>5401</v>
      </c>
      <c r="O140" t="s">
        <v>6797</v>
      </c>
      <c r="P140">
        <v>2008</v>
      </c>
      <c r="Q140">
        <v>139</v>
      </c>
      <c r="R140" t="s">
        <v>6663</v>
      </c>
      <c r="S140" s="1">
        <v>40224</v>
      </c>
      <c r="T140" s="1">
        <v>40255</v>
      </c>
      <c r="U140" t="str">
        <f t="shared" ca="1" si="34"/>
        <v>rg:False</v>
      </c>
      <c r="V140" t="str">
        <f t="shared" ca="1" si="35"/>
        <v>rg:None</v>
      </c>
      <c r="W140" t="s">
        <v>7196</v>
      </c>
      <c r="X140" t="s">
        <v>76</v>
      </c>
      <c r="Y140" t="s">
        <v>76</v>
      </c>
      <c r="Z140" t="s">
        <v>76</v>
      </c>
      <c r="AA140" t="s">
        <v>7543</v>
      </c>
      <c r="AB140" t="s">
        <v>7369</v>
      </c>
      <c r="AC140">
        <v>0</v>
      </c>
      <c r="AD140" t="str">
        <f t="shared" ca="1" si="36"/>
        <v>rg:False</v>
      </c>
      <c r="AE140" t="str">
        <f t="shared" ca="1" si="37"/>
        <v>rg:None</v>
      </c>
      <c r="AF140" s="1">
        <v>42481</v>
      </c>
      <c r="AG140" s="4">
        <f t="shared" ca="1" si="28"/>
        <v>490.83333333333337</v>
      </c>
      <c r="AH140" s="4">
        <f t="shared" si="38"/>
        <v>6.0361111111111114</v>
      </c>
      <c r="AI140">
        <f t="shared" ca="1" si="39"/>
        <v>138</v>
      </c>
      <c r="AJ140">
        <f t="shared" ca="1" si="40"/>
        <v>114</v>
      </c>
      <c r="AK140">
        <f t="shared" ca="1" si="41"/>
        <v>134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  <c r="AT140" t="s">
        <v>6510</v>
      </c>
    </row>
    <row r="141" spans="1:46" x14ac:dyDescent="0.3">
      <c r="A141" t="s">
        <v>5630</v>
      </c>
      <c r="B141">
        <f t="shared" si="29"/>
        <v>200139</v>
      </c>
      <c r="C141">
        <v>200040</v>
      </c>
      <c r="D141" t="str">
        <f t="shared" si="30"/>
        <v>rg:{'id': '200040'}</v>
      </c>
      <c r="E141">
        <f>VLOOKUP(C141,Owners.csv!C:J,6,FALSE)</f>
        <v>200002</v>
      </c>
      <c r="F141" t="str">
        <f>VLOOKUP(VLOOKUP(E141,LocalAreas.csv!I:K,3,FALSE),ServiceAreas.csv!F:J,5,FALSE)</f>
        <v>200009</v>
      </c>
      <c r="G141" t="str">
        <f t="shared" si="31"/>
        <v>rg:{'id': '200002'}</v>
      </c>
      <c r="H141" t="s">
        <v>7742</v>
      </c>
      <c r="I141" t="s">
        <v>5651</v>
      </c>
      <c r="J141">
        <f>VLOOKUP(I141&amp;"-"&amp;F141,DistrictEquipmentTypes.csv!J:K,2,FALSE)</f>
        <v>200006</v>
      </c>
      <c r="K141" t="str">
        <f t="shared" si="32"/>
        <v>rg:{'id': '200006'}</v>
      </c>
      <c r="L141">
        <f t="shared" si="33"/>
        <v>1</v>
      </c>
      <c r="M141" t="str">
        <f>VLOOKUP(C141,Owners.csv!C:K,9,FALSE)&amp;TEXT(Equipment.csv!L141,"0000")</f>
        <v>HUGH0001</v>
      </c>
      <c r="N141" t="s">
        <v>5401</v>
      </c>
      <c r="O141" t="s">
        <v>6798</v>
      </c>
      <c r="P141">
        <v>2017</v>
      </c>
      <c r="Q141">
        <v>140</v>
      </c>
      <c r="R141" t="s">
        <v>6663</v>
      </c>
      <c r="S141" s="1">
        <v>40500</v>
      </c>
      <c r="T141" s="1">
        <v>40505</v>
      </c>
      <c r="U141" t="str">
        <f t="shared" ca="1" si="34"/>
        <v>rg:False</v>
      </c>
      <c r="V141" t="str">
        <f t="shared" ca="1" si="35"/>
        <v>rg:None</v>
      </c>
      <c r="W141" t="s">
        <v>7197</v>
      </c>
      <c r="X141" t="s">
        <v>76</v>
      </c>
      <c r="Y141" t="s">
        <v>76</v>
      </c>
      <c r="Z141" t="s">
        <v>76</v>
      </c>
      <c r="AA141" t="s">
        <v>7544</v>
      </c>
      <c r="AB141" t="s">
        <v>7261</v>
      </c>
      <c r="AC141">
        <v>0</v>
      </c>
      <c r="AD141" t="str">
        <f t="shared" ca="1" si="36"/>
        <v>rg:False</v>
      </c>
      <c r="AE141" t="str">
        <f t="shared" ca="1" si="37"/>
        <v>rg:None</v>
      </c>
      <c r="AF141" s="1">
        <v>42481</v>
      </c>
      <c r="AG141" s="4">
        <f t="shared" ca="1" si="28"/>
        <v>410.33333333333331</v>
      </c>
      <c r="AH141" s="4">
        <f t="shared" si="38"/>
        <v>5.3555555555555552</v>
      </c>
      <c r="AI141">
        <f t="shared" ca="1" si="39"/>
        <v>134</v>
      </c>
      <c r="AJ141">
        <f t="shared" ca="1" si="40"/>
        <v>34</v>
      </c>
      <c r="AK141">
        <f t="shared" ca="1" si="41"/>
        <v>99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  <c r="AT141" t="s">
        <v>6510</v>
      </c>
    </row>
    <row r="142" spans="1:46" x14ac:dyDescent="0.3">
      <c r="A142" t="s">
        <v>5630</v>
      </c>
      <c r="B142">
        <f t="shared" si="29"/>
        <v>200140</v>
      </c>
      <c r="C142">
        <v>200041</v>
      </c>
      <c r="D142" t="str">
        <f t="shared" si="30"/>
        <v>rg:{'id': '200041'}</v>
      </c>
      <c r="E142">
        <f>VLOOKUP(C142,Owners.csv!C:J,6,FALSE)</f>
        <v>200002</v>
      </c>
      <c r="F142" t="str">
        <f>VLOOKUP(VLOOKUP(E142,LocalAreas.csv!I:K,3,FALSE),ServiceAreas.csv!F:J,5,FALSE)</f>
        <v>200009</v>
      </c>
      <c r="G142" t="str">
        <f t="shared" si="31"/>
        <v>rg:{'id': '200002'}</v>
      </c>
      <c r="H142" t="s">
        <v>7726</v>
      </c>
      <c r="I142" t="s">
        <v>5651</v>
      </c>
      <c r="J142">
        <f>VLOOKUP(I142&amp;"-"&amp;F142,DistrictEquipmentTypes.csv!J:K,2,FALSE)</f>
        <v>200006</v>
      </c>
      <c r="K142" t="str">
        <f t="shared" si="32"/>
        <v>rg:{'id': '200006'}</v>
      </c>
      <c r="L142">
        <f t="shared" si="33"/>
        <v>1</v>
      </c>
      <c r="M142" t="str">
        <f>VLOOKUP(C142,Owners.csv!C:K,9,FALSE)&amp;TEXT(Equipment.csv!L142,"0000")</f>
        <v>HUGH0001</v>
      </c>
      <c r="N142" t="s">
        <v>5401</v>
      </c>
      <c r="O142" t="s">
        <v>6799</v>
      </c>
      <c r="P142">
        <v>2008</v>
      </c>
      <c r="Q142">
        <v>141</v>
      </c>
      <c r="R142" t="s">
        <v>6663</v>
      </c>
      <c r="S142" s="1">
        <v>40901</v>
      </c>
      <c r="T142" s="1">
        <v>40927</v>
      </c>
      <c r="U142" t="str">
        <f t="shared" ca="1" si="34"/>
        <v>rg:False</v>
      </c>
      <c r="V142" t="str">
        <f t="shared" ca="1" si="35"/>
        <v>rg:None</v>
      </c>
      <c r="W142" t="s">
        <v>7198</v>
      </c>
      <c r="X142" t="s">
        <v>76</v>
      </c>
      <c r="Y142" t="s">
        <v>76</v>
      </c>
      <c r="Z142" t="s">
        <v>76</v>
      </c>
      <c r="AA142" t="s">
        <v>7545</v>
      </c>
      <c r="AB142" t="s">
        <v>7370</v>
      </c>
      <c r="AC142">
        <v>0</v>
      </c>
      <c r="AD142" t="str">
        <f t="shared" ca="1" si="36"/>
        <v>rg:False</v>
      </c>
      <c r="AE142" t="str">
        <f t="shared" ca="1" si="37"/>
        <v>rg:None</v>
      </c>
      <c r="AF142" s="1">
        <v>42481</v>
      </c>
      <c r="AG142" s="4">
        <f t="shared" ca="1" si="28"/>
        <v>355</v>
      </c>
      <c r="AH142" s="4">
        <f t="shared" si="38"/>
        <v>4.2</v>
      </c>
      <c r="AI142">
        <f t="shared" ca="1" si="39"/>
        <v>122</v>
      </c>
      <c r="AJ142">
        <f t="shared" ca="1" si="40"/>
        <v>17</v>
      </c>
      <c r="AK142">
        <f t="shared" ca="1" si="41"/>
        <v>170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  <c r="AT142" t="s">
        <v>6510</v>
      </c>
    </row>
    <row r="143" spans="1:46" x14ac:dyDescent="0.3">
      <c r="A143" t="s">
        <v>5630</v>
      </c>
      <c r="B143">
        <f t="shared" si="29"/>
        <v>200141</v>
      </c>
      <c r="C143">
        <v>200042</v>
      </c>
      <c r="D143" t="str">
        <f t="shared" si="30"/>
        <v>rg:{'id': '200042'}</v>
      </c>
      <c r="E143">
        <f>VLOOKUP(C143,Owners.csv!C:J,6,FALSE)</f>
        <v>200002</v>
      </c>
      <c r="F143" t="str">
        <f>VLOOKUP(VLOOKUP(E143,LocalAreas.csv!I:K,3,FALSE),ServiceAreas.csv!F:J,5,FALSE)</f>
        <v>200009</v>
      </c>
      <c r="G143" t="str">
        <f t="shared" si="31"/>
        <v>rg:{'id': '200002'}</v>
      </c>
      <c r="H143" t="s">
        <v>7742</v>
      </c>
      <c r="I143" t="s">
        <v>5651</v>
      </c>
      <c r="J143">
        <f>VLOOKUP(I143&amp;"-"&amp;F143,DistrictEquipmentTypes.csv!J:K,2,FALSE)</f>
        <v>200006</v>
      </c>
      <c r="K143" t="str">
        <f t="shared" si="32"/>
        <v>rg:{'id': '200006'}</v>
      </c>
      <c r="L143">
        <f t="shared" si="33"/>
        <v>1</v>
      </c>
      <c r="M143" t="str">
        <f>VLOOKUP(C143,Owners.csv!C:K,9,FALSE)&amp;TEXT(Equipment.csv!L143,"0000")</f>
        <v>INDI0001</v>
      </c>
      <c r="N143" t="s">
        <v>5401</v>
      </c>
      <c r="O143" t="s">
        <v>6800</v>
      </c>
      <c r="P143">
        <v>1989</v>
      </c>
      <c r="Q143">
        <v>142</v>
      </c>
      <c r="R143" t="s">
        <v>6663</v>
      </c>
      <c r="S143" s="1">
        <v>42386</v>
      </c>
      <c r="T143" s="1">
        <v>42413</v>
      </c>
      <c r="U143" t="str">
        <f t="shared" ca="1" si="34"/>
        <v>rg:False</v>
      </c>
      <c r="V143" t="str">
        <f t="shared" ca="1" si="35"/>
        <v>rg:None</v>
      </c>
      <c r="W143" t="s">
        <v>7199</v>
      </c>
      <c r="X143" t="s">
        <v>76</v>
      </c>
      <c r="Y143" t="s">
        <v>76</v>
      </c>
      <c r="Z143" t="s">
        <v>76</v>
      </c>
      <c r="AA143" t="s">
        <v>7546</v>
      </c>
      <c r="AB143" t="s">
        <v>7371</v>
      </c>
      <c r="AC143">
        <v>0</v>
      </c>
      <c r="AD143" t="str">
        <f t="shared" ca="1" si="36"/>
        <v>rg:False</v>
      </c>
      <c r="AE143" t="str">
        <f t="shared" ca="1" si="37"/>
        <v>rg:None</v>
      </c>
      <c r="AF143" s="1">
        <v>42481</v>
      </c>
      <c r="AG143" s="4">
        <f t="shared" ca="1" si="28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  <c r="AT143" t="s">
        <v>6510</v>
      </c>
    </row>
    <row r="144" spans="1:46" x14ac:dyDescent="0.3">
      <c r="A144" t="s">
        <v>5630</v>
      </c>
      <c r="B144">
        <f t="shared" si="29"/>
        <v>200142</v>
      </c>
      <c r="C144">
        <v>200043</v>
      </c>
      <c r="D144" t="str">
        <f t="shared" si="30"/>
        <v>rg:{'id': '200043'}</v>
      </c>
      <c r="E144">
        <f>VLOOKUP(C144,Owners.csv!C:J,6,FALSE)</f>
        <v>200002</v>
      </c>
      <c r="F144" t="str">
        <f>VLOOKUP(VLOOKUP(E144,LocalAreas.csv!I:K,3,FALSE),ServiceAreas.csv!F:J,5,FALSE)</f>
        <v>200009</v>
      </c>
      <c r="G144" t="str">
        <f t="shared" si="31"/>
        <v>rg:{'id': '200002'}</v>
      </c>
      <c r="H144" t="s">
        <v>7743</v>
      </c>
      <c r="I144" t="s">
        <v>5651</v>
      </c>
      <c r="J144">
        <f>VLOOKUP(I144&amp;"-"&amp;F144,DistrictEquipmentTypes.csv!J:K,2,FALSE)</f>
        <v>200006</v>
      </c>
      <c r="K144" t="str">
        <f t="shared" si="32"/>
        <v>rg:{'id': '200006'}</v>
      </c>
      <c r="L144">
        <f t="shared" si="33"/>
        <v>1</v>
      </c>
      <c r="M144" t="str">
        <f>VLOOKUP(C144,Owners.csv!C:K,9,FALSE)&amp;TEXT(Equipment.csv!L144,"0000")</f>
        <v>JBRA0001</v>
      </c>
      <c r="N144" t="s">
        <v>5401</v>
      </c>
      <c r="O144" t="s">
        <v>6801</v>
      </c>
      <c r="P144">
        <v>1986</v>
      </c>
      <c r="Q144">
        <v>143</v>
      </c>
      <c r="R144" t="s">
        <v>6663</v>
      </c>
      <c r="S144" s="1">
        <v>39864</v>
      </c>
      <c r="T144" s="1">
        <v>39877</v>
      </c>
      <c r="U144" t="str">
        <f t="shared" ca="1" si="34"/>
        <v>rg:False</v>
      </c>
      <c r="V144" t="str">
        <f t="shared" ca="1" si="35"/>
        <v>rg:None</v>
      </c>
      <c r="W144" t="s">
        <v>7200</v>
      </c>
      <c r="X144" t="s">
        <v>76</v>
      </c>
      <c r="Y144" t="s">
        <v>76</v>
      </c>
      <c r="Z144" t="s">
        <v>76</v>
      </c>
      <c r="AA144" t="s">
        <v>7547</v>
      </c>
      <c r="AB144" t="s">
        <v>7359</v>
      </c>
      <c r="AC144">
        <v>0</v>
      </c>
      <c r="AD144" t="str">
        <f t="shared" ca="1" si="36"/>
        <v>rg:False</v>
      </c>
      <c r="AE144" t="str">
        <f t="shared" ca="1" si="37"/>
        <v>rg:None</v>
      </c>
      <c r="AF144" s="1">
        <v>42481</v>
      </c>
      <c r="AG144" s="4">
        <f t="shared" ca="1" si="28"/>
        <v>497.66666666666663</v>
      </c>
      <c r="AH144" s="4">
        <f t="shared" si="38"/>
        <v>7.072222222222222</v>
      </c>
      <c r="AI144">
        <f t="shared" ca="1" si="39"/>
        <v>100</v>
      </c>
      <c r="AJ144">
        <f t="shared" ca="1" si="40"/>
        <v>61</v>
      </c>
      <c r="AK144">
        <f t="shared" ca="1" si="41"/>
        <v>59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  <c r="AT144" t="s">
        <v>6510</v>
      </c>
    </row>
    <row r="145" spans="1:46" x14ac:dyDescent="0.3">
      <c r="A145" t="s">
        <v>5630</v>
      </c>
      <c r="B145">
        <f t="shared" si="29"/>
        <v>200143</v>
      </c>
      <c r="C145">
        <v>200044</v>
      </c>
      <c r="D145" t="str">
        <f t="shared" si="30"/>
        <v>rg:{'id': '200044'}</v>
      </c>
      <c r="E145">
        <f>VLOOKUP(C145,Owners.csv!C:J,6,FALSE)</f>
        <v>200002</v>
      </c>
      <c r="F145" t="str">
        <f>VLOOKUP(VLOOKUP(E145,LocalAreas.csv!I:K,3,FALSE),ServiceAreas.csv!F:J,5,FALSE)</f>
        <v>200009</v>
      </c>
      <c r="G145" t="str">
        <f t="shared" si="31"/>
        <v>rg:{'id': '200002'}</v>
      </c>
      <c r="H145" t="s">
        <v>7650</v>
      </c>
      <c r="I145" t="s">
        <v>5651</v>
      </c>
      <c r="J145">
        <f>VLOOKUP(I145&amp;"-"&amp;F145,DistrictEquipmentTypes.csv!J:K,2,FALSE)</f>
        <v>200006</v>
      </c>
      <c r="K145" t="str">
        <f t="shared" si="32"/>
        <v>rg:{'id': '200006'}</v>
      </c>
      <c r="L145">
        <f t="shared" si="33"/>
        <v>1</v>
      </c>
      <c r="M145" t="str">
        <f>VLOOKUP(C145,Owners.csv!C:K,9,FALSE)&amp;TEXT(Equipment.csv!L145,"0000")</f>
        <v>JEAN0001</v>
      </c>
      <c r="N145" t="s">
        <v>5401</v>
      </c>
      <c r="O145" t="s">
        <v>6802</v>
      </c>
      <c r="P145">
        <v>2003</v>
      </c>
      <c r="Q145">
        <v>144</v>
      </c>
      <c r="R145" t="s">
        <v>6663</v>
      </c>
      <c r="S145" s="1">
        <v>41573</v>
      </c>
      <c r="T145" s="1">
        <v>41591</v>
      </c>
      <c r="U145" t="str">
        <f t="shared" ca="1" si="34"/>
        <v>rg:False</v>
      </c>
      <c r="V145" t="str">
        <f t="shared" ca="1" si="35"/>
        <v>rg:None</v>
      </c>
      <c r="W145" t="s">
        <v>7201</v>
      </c>
      <c r="X145" t="s">
        <v>76</v>
      </c>
      <c r="Y145" t="s">
        <v>76</v>
      </c>
      <c r="Z145" t="s">
        <v>76</v>
      </c>
      <c r="AA145" t="s">
        <v>7548</v>
      </c>
      <c r="AB145" t="s">
        <v>7372</v>
      </c>
      <c r="AC145">
        <v>0</v>
      </c>
      <c r="AD145" t="str">
        <f t="shared" ca="1" si="36"/>
        <v>rg:False</v>
      </c>
      <c r="AE145" t="str">
        <f t="shared" ca="1" si="37"/>
        <v>rg:None</v>
      </c>
      <c r="AF145" s="1">
        <v>42481</v>
      </c>
      <c r="AG145" s="4">
        <f t="shared" ca="1" si="28"/>
        <v>244.33333333333331</v>
      </c>
      <c r="AH145" s="4">
        <f t="shared" si="38"/>
        <v>2.3833333333333333</v>
      </c>
      <c r="AI145">
        <f t="shared" ca="1" si="39"/>
        <v>167</v>
      </c>
      <c r="AJ145">
        <f t="shared" ca="1" si="40"/>
        <v>137</v>
      </c>
      <c r="AK145">
        <f t="shared" ca="1" si="41"/>
        <v>0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  <c r="AT145" t="s">
        <v>6510</v>
      </c>
    </row>
    <row r="146" spans="1:46" x14ac:dyDescent="0.3">
      <c r="A146" t="s">
        <v>5630</v>
      </c>
      <c r="B146">
        <f t="shared" si="29"/>
        <v>200144</v>
      </c>
      <c r="C146">
        <v>200045</v>
      </c>
      <c r="D146" t="str">
        <f t="shared" si="30"/>
        <v>rg:{'id': '200045'}</v>
      </c>
      <c r="E146">
        <f>VLOOKUP(C146,Owners.csv!C:J,6,FALSE)</f>
        <v>200002</v>
      </c>
      <c r="F146" t="str">
        <f>VLOOKUP(VLOOKUP(E146,LocalAreas.csv!I:K,3,FALSE),ServiceAreas.csv!F:J,5,FALSE)</f>
        <v>200009</v>
      </c>
      <c r="G146" t="str">
        <f t="shared" si="31"/>
        <v>rg:{'id': '200002'}</v>
      </c>
      <c r="H146" t="s">
        <v>7646</v>
      </c>
      <c r="I146" t="s">
        <v>5651</v>
      </c>
      <c r="J146">
        <f>VLOOKUP(I146&amp;"-"&amp;F146,DistrictEquipmentTypes.csv!J:K,2,FALSE)</f>
        <v>200006</v>
      </c>
      <c r="K146" t="str">
        <f t="shared" si="32"/>
        <v>rg:{'id': '200006'}</v>
      </c>
      <c r="L146">
        <f t="shared" si="33"/>
        <v>1</v>
      </c>
      <c r="M146" t="str">
        <f>VLOOKUP(C146,Owners.csv!C:K,9,FALSE)&amp;TEXT(Equipment.csv!L146,"0000")</f>
        <v>KBTO0001</v>
      </c>
      <c r="N146" t="s">
        <v>5401</v>
      </c>
      <c r="O146" t="s">
        <v>6803</v>
      </c>
      <c r="P146">
        <v>2002</v>
      </c>
      <c r="Q146">
        <v>145</v>
      </c>
      <c r="R146" t="s">
        <v>6663</v>
      </c>
      <c r="S146" s="1">
        <v>42134</v>
      </c>
      <c r="T146" s="1">
        <v>42141</v>
      </c>
      <c r="U146" t="str">
        <f t="shared" ca="1" si="34"/>
        <v>rg:False</v>
      </c>
      <c r="V146" t="str">
        <f t="shared" ca="1" si="35"/>
        <v>rg:None</v>
      </c>
      <c r="W146" t="s">
        <v>7202</v>
      </c>
      <c r="X146" t="s">
        <v>76</v>
      </c>
      <c r="Y146" t="s">
        <v>76</v>
      </c>
      <c r="Z146" t="s">
        <v>76</v>
      </c>
      <c r="AA146" t="s">
        <v>7549</v>
      </c>
      <c r="AB146" t="s">
        <v>7286</v>
      </c>
      <c r="AC146">
        <v>0</v>
      </c>
      <c r="AD146" t="str">
        <f t="shared" ca="1" si="36"/>
        <v>rg:False</v>
      </c>
      <c r="AE146" t="str">
        <f t="shared" ca="1" si="37"/>
        <v>rg:None</v>
      </c>
      <c r="AF146" s="1">
        <v>42481</v>
      </c>
      <c r="AG146" s="4">
        <f t="shared" ca="1" si="28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  <c r="AT146" t="s">
        <v>6510</v>
      </c>
    </row>
    <row r="147" spans="1:46" x14ac:dyDescent="0.3">
      <c r="A147" t="s">
        <v>5630</v>
      </c>
      <c r="B147">
        <f t="shared" si="29"/>
        <v>200145</v>
      </c>
      <c r="C147">
        <v>200046</v>
      </c>
      <c r="D147" t="str">
        <f t="shared" si="30"/>
        <v>rg:{'id': '200046'}</v>
      </c>
      <c r="E147">
        <f>VLOOKUP(C147,Owners.csv!C:J,6,FALSE)</f>
        <v>200002</v>
      </c>
      <c r="F147" t="str">
        <f>VLOOKUP(VLOOKUP(E147,LocalAreas.csv!I:K,3,FALSE),ServiceAreas.csv!F:J,5,FALSE)</f>
        <v>200009</v>
      </c>
      <c r="G147" t="str">
        <f t="shared" si="31"/>
        <v>rg:{'id': '200002'}</v>
      </c>
      <c r="H147" t="s">
        <v>7652</v>
      </c>
      <c r="I147" t="s">
        <v>5651</v>
      </c>
      <c r="J147">
        <f>VLOOKUP(I147&amp;"-"&amp;F147,DistrictEquipmentTypes.csv!J:K,2,FALSE)</f>
        <v>200006</v>
      </c>
      <c r="K147" t="str">
        <f t="shared" si="32"/>
        <v>rg:{'id': '200006'}</v>
      </c>
      <c r="L147">
        <f t="shared" si="33"/>
        <v>1</v>
      </c>
      <c r="M147" t="str">
        <f>VLOOKUP(C147,Owners.csv!C:K,9,FALSE)&amp;TEXT(Equipment.csv!L147,"0000")</f>
        <v>KIDS0001</v>
      </c>
      <c r="N147" t="s">
        <v>5401</v>
      </c>
      <c r="O147" t="s">
        <v>6804</v>
      </c>
      <c r="P147">
        <v>2014</v>
      </c>
      <c r="Q147">
        <v>146</v>
      </c>
      <c r="R147" t="s">
        <v>6663</v>
      </c>
      <c r="S147" s="1">
        <v>39292</v>
      </c>
      <c r="T147" s="1">
        <v>39310</v>
      </c>
      <c r="U147" t="str">
        <f t="shared" ca="1" si="34"/>
        <v>rg:False</v>
      </c>
      <c r="V147" t="str">
        <f t="shared" ca="1" si="35"/>
        <v>rg:None</v>
      </c>
      <c r="W147" t="s">
        <v>7203</v>
      </c>
      <c r="X147" t="s">
        <v>76</v>
      </c>
      <c r="Y147" t="s">
        <v>76</v>
      </c>
      <c r="Z147" t="s">
        <v>76</v>
      </c>
      <c r="AA147" t="s">
        <v>7550</v>
      </c>
      <c r="AB147" t="s">
        <v>7373</v>
      </c>
      <c r="AC147">
        <v>0</v>
      </c>
      <c r="AD147" t="str">
        <f t="shared" ca="1" si="36"/>
        <v>rg:False</v>
      </c>
      <c r="AE147" t="str">
        <f t="shared" ca="1" si="37"/>
        <v>rg:None</v>
      </c>
      <c r="AF147" s="1">
        <v>42481</v>
      </c>
      <c r="AG147" s="4">
        <f t="shared" ca="1" si="28"/>
        <v>610.5</v>
      </c>
      <c r="AH147" s="4">
        <f t="shared" si="38"/>
        <v>8.625</v>
      </c>
      <c r="AI147">
        <f t="shared" ca="1" si="39"/>
        <v>52</v>
      </c>
      <c r="AJ147">
        <f t="shared" ca="1" si="40"/>
        <v>41</v>
      </c>
      <c r="AK147">
        <f t="shared" ca="1" si="41"/>
        <v>186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  <c r="AT147" t="s">
        <v>6510</v>
      </c>
    </row>
    <row r="148" spans="1:46" x14ac:dyDescent="0.3">
      <c r="A148" t="s">
        <v>5630</v>
      </c>
      <c r="B148">
        <f t="shared" si="29"/>
        <v>200146</v>
      </c>
      <c r="C148">
        <v>200047</v>
      </c>
      <c r="D148" t="str">
        <f t="shared" si="30"/>
        <v>rg:{'id': '200047'}</v>
      </c>
      <c r="E148">
        <f>VLOOKUP(C148,Owners.csv!C:J,6,FALSE)</f>
        <v>200002</v>
      </c>
      <c r="F148" t="str">
        <f>VLOOKUP(VLOOKUP(E148,LocalAreas.csv!I:K,3,FALSE),ServiceAreas.csv!F:J,5,FALSE)</f>
        <v>200009</v>
      </c>
      <c r="G148" t="str">
        <f t="shared" si="31"/>
        <v>rg:{'id': '200002'}</v>
      </c>
      <c r="H148" t="s">
        <v>7717</v>
      </c>
      <c r="I148" t="s">
        <v>5651</v>
      </c>
      <c r="J148">
        <f>VLOOKUP(I148&amp;"-"&amp;F148,DistrictEquipmentTypes.csv!J:K,2,FALSE)</f>
        <v>200006</v>
      </c>
      <c r="K148" t="str">
        <f t="shared" si="32"/>
        <v>rg:{'id': '200006'}</v>
      </c>
      <c r="L148">
        <f t="shared" si="33"/>
        <v>1</v>
      </c>
      <c r="M148" t="str">
        <f>VLOOKUP(C148,Owners.csv!C:K,9,FALSE)&amp;TEXT(Equipment.csv!L148,"0000")</f>
        <v>KINN0001</v>
      </c>
      <c r="N148" t="s">
        <v>5401</v>
      </c>
      <c r="O148" t="s">
        <v>6805</v>
      </c>
      <c r="P148">
        <v>2009</v>
      </c>
      <c r="Q148">
        <v>147</v>
      </c>
      <c r="R148" t="s">
        <v>6663</v>
      </c>
      <c r="S148" s="1">
        <v>40870</v>
      </c>
      <c r="T148" s="1">
        <v>40880</v>
      </c>
      <c r="U148" t="str">
        <f t="shared" ca="1" si="34"/>
        <v>rg:False</v>
      </c>
      <c r="V148" t="str">
        <f t="shared" ca="1" si="35"/>
        <v>rg:None</v>
      </c>
      <c r="W148" t="s">
        <v>7204</v>
      </c>
      <c r="X148" t="s">
        <v>76</v>
      </c>
      <c r="Y148" t="s">
        <v>76</v>
      </c>
      <c r="Z148" t="s">
        <v>76</v>
      </c>
      <c r="AA148" t="s">
        <v>7551</v>
      </c>
      <c r="AB148" t="s">
        <v>7296</v>
      </c>
      <c r="AC148">
        <v>0</v>
      </c>
      <c r="AD148" t="str">
        <f t="shared" ca="1" si="36"/>
        <v>rg:False</v>
      </c>
      <c r="AE148" t="str">
        <f t="shared" ca="1" si="37"/>
        <v>rg:None</v>
      </c>
      <c r="AF148" s="1">
        <v>42481</v>
      </c>
      <c r="AG148" s="4">
        <f t="shared" ca="1" si="28"/>
        <v>341.33333333333331</v>
      </c>
      <c r="AH148" s="4">
        <f t="shared" si="38"/>
        <v>4.3277777777777775</v>
      </c>
      <c r="AI148">
        <f t="shared" ca="1" si="39"/>
        <v>138</v>
      </c>
      <c r="AJ148">
        <f t="shared" ca="1" si="40"/>
        <v>17</v>
      </c>
      <c r="AK148">
        <f t="shared" ca="1" si="41"/>
        <v>90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  <c r="AT148" t="s">
        <v>6510</v>
      </c>
    </row>
    <row r="149" spans="1:46" x14ac:dyDescent="0.3">
      <c r="A149" t="s">
        <v>5630</v>
      </c>
      <c r="B149">
        <f t="shared" si="29"/>
        <v>200147</v>
      </c>
      <c r="C149">
        <v>200048</v>
      </c>
      <c r="D149" t="str">
        <f t="shared" si="30"/>
        <v>rg:{'id': '200048'}</v>
      </c>
      <c r="E149">
        <f>VLOOKUP(C149,Owners.csv!C:J,6,FALSE)</f>
        <v>200002</v>
      </c>
      <c r="F149" t="str">
        <f>VLOOKUP(VLOOKUP(E149,LocalAreas.csv!I:K,3,FALSE),ServiceAreas.csv!F:J,5,FALSE)</f>
        <v>200009</v>
      </c>
      <c r="G149" t="str">
        <f t="shared" si="31"/>
        <v>rg:{'id': '200002'}</v>
      </c>
      <c r="H149" t="s">
        <v>7744</v>
      </c>
      <c r="I149" t="s">
        <v>5651</v>
      </c>
      <c r="J149">
        <f>VLOOKUP(I149&amp;"-"&amp;F149,DistrictEquipmentTypes.csv!J:K,2,FALSE)</f>
        <v>200006</v>
      </c>
      <c r="K149" t="str">
        <f t="shared" si="32"/>
        <v>rg:{'id': '200006'}</v>
      </c>
      <c r="L149">
        <f t="shared" si="33"/>
        <v>1</v>
      </c>
      <c r="M149" t="str">
        <f>VLOOKUP(C149,Owners.csv!C:K,9,FALSE)&amp;TEXT(Equipment.csv!L149,"0000")</f>
        <v>KNOX0001</v>
      </c>
      <c r="N149" t="s">
        <v>5401</v>
      </c>
      <c r="O149" t="s">
        <v>6806</v>
      </c>
      <c r="P149">
        <v>2006</v>
      </c>
      <c r="Q149">
        <v>148</v>
      </c>
      <c r="R149" t="s">
        <v>6663</v>
      </c>
      <c r="S149" s="1">
        <v>39012</v>
      </c>
      <c r="T149" s="1">
        <v>39030</v>
      </c>
      <c r="U149" t="str">
        <f t="shared" ca="1" si="34"/>
        <v>rg:False</v>
      </c>
      <c r="V149" t="str">
        <f t="shared" ca="1" si="35"/>
        <v>rg:None</v>
      </c>
      <c r="W149" t="s">
        <v>7205</v>
      </c>
      <c r="X149" t="s">
        <v>76</v>
      </c>
      <c r="Y149" t="s">
        <v>76</v>
      </c>
      <c r="Z149" t="s">
        <v>76</v>
      </c>
      <c r="AA149" t="s">
        <v>7552</v>
      </c>
      <c r="AB149" t="s">
        <v>7374</v>
      </c>
      <c r="AC149">
        <v>0</v>
      </c>
      <c r="AD149" t="str">
        <f t="shared" ca="1" si="36"/>
        <v>rg:False</v>
      </c>
      <c r="AE149" t="str">
        <f t="shared" ca="1" si="37"/>
        <v>rg:None</v>
      </c>
      <c r="AF149" s="1">
        <v>42481</v>
      </c>
      <c r="AG149" s="4">
        <f t="shared" ca="1" si="28"/>
        <v>643.66666666666663</v>
      </c>
      <c r="AH149" s="4">
        <f t="shared" si="38"/>
        <v>9.3944444444444439</v>
      </c>
      <c r="AI149">
        <f t="shared" ca="1" si="39"/>
        <v>22</v>
      </c>
      <c r="AJ149">
        <f t="shared" ca="1" si="40"/>
        <v>100</v>
      </c>
      <c r="AK149">
        <f t="shared" ca="1" si="41"/>
        <v>118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  <c r="AT149" t="s">
        <v>6510</v>
      </c>
    </row>
    <row r="150" spans="1:46" x14ac:dyDescent="0.3">
      <c r="A150" t="s">
        <v>5630</v>
      </c>
      <c r="B150">
        <f t="shared" si="29"/>
        <v>200148</v>
      </c>
      <c r="C150">
        <v>200049</v>
      </c>
      <c r="D150" t="str">
        <f t="shared" si="30"/>
        <v>rg:{'id': '200049'}</v>
      </c>
      <c r="E150">
        <f>VLOOKUP(C150,Owners.csv!C:J,6,FALSE)</f>
        <v>200002</v>
      </c>
      <c r="F150" t="str">
        <f>VLOOKUP(VLOOKUP(E150,LocalAreas.csv!I:K,3,FALSE),ServiceAreas.csv!F:J,5,FALSE)</f>
        <v>200009</v>
      </c>
      <c r="G150" t="str">
        <f t="shared" si="31"/>
        <v>rg:{'id': '200002'}</v>
      </c>
      <c r="H150" t="s">
        <v>7703</v>
      </c>
      <c r="I150" t="s">
        <v>5651</v>
      </c>
      <c r="J150">
        <f>VLOOKUP(I150&amp;"-"&amp;F150,DistrictEquipmentTypes.csv!J:K,2,FALSE)</f>
        <v>200006</v>
      </c>
      <c r="K150" t="str">
        <f t="shared" si="32"/>
        <v>rg:{'id': '200006'}</v>
      </c>
      <c r="L150">
        <f t="shared" si="33"/>
        <v>1</v>
      </c>
      <c r="M150" t="str">
        <f>VLOOKUP(C150,Owners.csv!C:K,9,FALSE)&amp;TEXT(Equipment.csv!L150,"0000")</f>
        <v>LAWN0001</v>
      </c>
      <c r="N150" t="s">
        <v>5401</v>
      </c>
      <c r="O150" t="s">
        <v>6807</v>
      </c>
      <c r="P150">
        <v>1975</v>
      </c>
      <c r="Q150">
        <v>149</v>
      </c>
      <c r="R150" t="s">
        <v>6663</v>
      </c>
      <c r="S150" s="1">
        <v>38163</v>
      </c>
      <c r="T150" s="1">
        <v>38179</v>
      </c>
      <c r="U150" t="str">
        <f t="shared" ca="1" si="34"/>
        <v>rg:False</v>
      </c>
      <c r="V150" t="str">
        <f t="shared" ca="1" si="35"/>
        <v>rg:None</v>
      </c>
      <c r="W150" t="s">
        <v>7206</v>
      </c>
      <c r="X150" t="s">
        <v>76</v>
      </c>
      <c r="Y150" t="s">
        <v>76</v>
      </c>
      <c r="Z150" t="s">
        <v>76</v>
      </c>
      <c r="AA150" t="s">
        <v>7553</v>
      </c>
      <c r="AB150" t="s">
        <v>7306</v>
      </c>
      <c r="AC150">
        <v>0</v>
      </c>
      <c r="AD150" t="str">
        <f t="shared" ca="1" si="36"/>
        <v>rg:False</v>
      </c>
      <c r="AE150" t="str">
        <f t="shared" ca="1" si="37"/>
        <v>rg:None</v>
      </c>
      <c r="AF150" s="1">
        <v>42481</v>
      </c>
      <c r="AG150" s="4">
        <f t="shared" ca="1" si="28"/>
        <v>845.99999999999989</v>
      </c>
      <c r="AH150" s="4">
        <f t="shared" si="38"/>
        <v>11.722222222222221</v>
      </c>
      <c r="AI150">
        <f t="shared" ca="1" si="39"/>
        <v>103</v>
      </c>
      <c r="AJ150">
        <f t="shared" ca="1" si="40"/>
        <v>167</v>
      </c>
      <c r="AK150">
        <f t="shared" ca="1" si="41"/>
        <v>158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  <c r="AT150" t="s">
        <v>6510</v>
      </c>
    </row>
    <row r="151" spans="1:46" x14ac:dyDescent="0.3">
      <c r="A151" t="s">
        <v>5630</v>
      </c>
      <c r="B151">
        <f t="shared" si="29"/>
        <v>200149</v>
      </c>
      <c r="C151">
        <v>200050</v>
      </c>
      <c r="D151" t="str">
        <f t="shared" si="30"/>
        <v>rg:{'id': '200050'}</v>
      </c>
      <c r="E151">
        <f>VLOOKUP(C151,Owners.csv!C:J,6,FALSE)</f>
        <v>200002</v>
      </c>
      <c r="F151" t="str">
        <f>VLOOKUP(VLOOKUP(E151,LocalAreas.csv!I:K,3,FALSE),ServiceAreas.csv!F:J,5,FALSE)</f>
        <v>200009</v>
      </c>
      <c r="G151" t="str">
        <f t="shared" si="31"/>
        <v>rg:{'id': '200002'}</v>
      </c>
      <c r="H151" t="s">
        <v>7730</v>
      </c>
      <c r="I151" t="s">
        <v>5651</v>
      </c>
      <c r="J151">
        <f>VLOOKUP(I151&amp;"-"&amp;F151,DistrictEquipmentTypes.csv!J:K,2,FALSE)</f>
        <v>200006</v>
      </c>
      <c r="K151" t="str">
        <f t="shared" si="32"/>
        <v>rg:{'id': '200006'}</v>
      </c>
      <c r="L151">
        <f t="shared" si="33"/>
        <v>1</v>
      </c>
      <c r="M151" t="str">
        <f>VLOOKUP(C151,Owners.csv!C:K,9,FALSE)&amp;TEXT(Equipment.csv!L151,"0000")</f>
        <v>LIND0001</v>
      </c>
      <c r="N151" t="s">
        <v>5401</v>
      </c>
      <c r="O151" t="s">
        <v>6808</v>
      </c>
      <c r="P151">
        <v>1983</v>
      </c>
      <c r="Q151">
        <v>150</v>
      </c>
      <c r="R151" t="s">
        <v>6663</v>
      </c>
      <c r="S151" s="1">
        <v>41555</v>
      </c>
      <c r="T151" s="1">
        <v>41586</v>
      </c>
      <c r="U151" t="str">
        <f t="shared" ca="1" si="34"/>
        <v>rg:False</v>
      </c>
      <c r="V151" t="str">
        <f t="shared" ca="1" si="35"/>
        <v>rg:None</v>
      </c>
      <c r="W151" t="s">
        <v>7207</v>
      </c>
      <c r="X151" t="s">
        <v>76</v>
      </c>
      <c r="Y151" t="s">
        <v>76</v>
      </c>
      <c r="Z151" t="s">
        <v>76</v>
      </c>
      <c r="AA151" t="s">
        <v>7554</v>
      </c>
      <c r="AB151" t="s">
        <v>7263</v>
      </c>
      <c r="AC151">
        <v>0</v>
      </c>
      <c r="AD151" t="str">
        <f t="shared" ca="1" si="36"/>
        <v>rg:False</v>
      </c>
      <c r="AE151" t="str">
        <f t="shared" ca="1" si="37"/>
        <v>rg:None</v>
      </c>
      <c r="AF151" s="1">
        <v>42481</v>
      </c>
      <c r="AG151" s="4">
        <f t="shared" ca="1" si="28"/>
        <v>181.16666666666666</v>
      </c>
      <c r="AH151" s="4">
        <f t="shared" si="38"/>
        <v>2.3972222222222221</v>
      </c>
      <c r="AI151">
        <f t="shared" ca="1" si="39"/>
        <v>25</v>
      </c>
      <c r="AJ151">
        <f t="shared" ca="1" si="40"/>
        <v>87</v>
      </c>
      <c r="AK151">
        <f t="shared" ca="1" si="41"/>
        <v>0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  <c r="AT151" t="s">
        <v>6510</v>
      </c>
    </row>
    <row r="152" spans="1:46" x14ac:dyDescent="0.3">
      <c r="A152" t="s">
        <v>5630</v>
      </c>
      <c r="B152">
        <f t="shared" si="29"/>
        <v>200150</v>
      </c>
      <c r="C152">
        <v>200051</v>
      </c>
      <c r="D152" t="str">
        <f t="shared" si="30"/>
        <v>rg:{'id': '200051'}</v>
      </c>
      <c r="E152">
        <f>VLOOKUP(C152,Owners.csv!C:J,6,FALSE)</f>
        <v>200002</v>
      </c>
      <c r="F152" t="str">
        <f>VLOOKUP(VLOOKUP(E152,LocalAreas.csv!I:K,3,FALSE),ServiceAreas.csv!F:J,5,FALSE)</f>
        <v>200009</v>
      </c>
      <c r="G152" t="str">
        <f t="shared" si="31"/>
        <v>rg:{'id': '200002'}</v>
      </c>
      <c r="H152" t="s">
        <v>7745</v>
      </c>
      <c r="I152" t="s">
        <v>5651</v>
      </c>
      <c r="J152">
        <f>VLOOKUP(I152&amp;"-"&amp;F152,DistrictEquipmentTypes.csv!J:K,2,FALSE)</f>
        <v>200006</v>
      </c>
      <c r="K152" t="str">
        <f t="shared" si="32"/>
        <v>rg:{'id': '200006'}</v>
      </c>
      <c r="L152">
        <f t="shared" si="33"/>
        <v>1</v>
      </c>
      <c r="M152" t="str">
        <f>VLOOKUP(C152,Owners.csv!C:K,9,FALSE)&amp;TEXT(Equipment.csv!L152,"0000")</f>
        <v>LION0001</v>
      </c>
      <c r="N152" t="s">
        <v>5401</v>
      </c>
      <c r="O152" t="s">
        <v>6809</v>
      </c>
      <c r="P152">
        <v>2005</v>
      </c>
      <c r="Q152">
        <v>151</v>
      </c>
      <c r="R152" t="s">
        <v>6663</v>
      </c>
      <c r="S152" s="1">
        <v>39630</v>
      </c>
      <c r="T152" s="1">
        <v>39659</v>
      </c>
      <c r="U152" t="str">
        <f t="shared" ca="1" si="34"/>
        <v>rg:False</v>
      </c>
      <c r="V152" t="str">
        <f t="shared" ca="1" si="35"/>
        <v>rg:None</v>
      </c>
      <c r="W152" t="s">
        <v>7208</v>
      </c>
      <c r="X152" t="s">
        <v>76</v>
      </c>
      <c r="Y152" t="s">
        <v>76</v>
      </c>
      <c r="Z152" t="s">
        <v>76</v>
      </c>
      <c r="AA152" t="s">
        <v>7555</v>
      </c>
      <c r="AB152" t="s">
        <v>7375</v>
      </c>
      <c r="AC152">
        <v>0</v>
      </c>
      <c r="AD152" t="str">
        <f t="shared" ca="1" si="36"/>
        <v>rg:False</v>
      </c>
      <c r="AE152" t="str">
        <f t="shared" ca="1" si="37"/>
        <v>rg:None</v>
      </c>
      <c r="AF152" s="1">
        <v>42481</v>
      </c>
      <c r="AG152" s="4">
        <f t="shared" ca="1" si="28"/>
        <v>574.16666666666663</v>
      </c>
      <c r="AH152" s="4">
        <f t="shared" si="38"/>
        <v>7.6694444444444443</v>
      </c>
      <c r="AI152">
        <f t="shared" ca="1" si="39"/>
        <v>119</v>
      </c>
      <c r="AJ152">
        <f t="shared" ca="1" si="40"/>
        <v>116</v>
      </c>
      <c r="AK152">
        <f t="shared" ca="1" si="41"/>
        <v>107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  <c r="AT152" t="s">
        <v>6510</v>
      </c>
    </row>
    <row r="153" spans="1:46" x14ac:dyDescent="0.3">
      <c r="A153" t="s">
        <v>5630</v>
      </c>
      <c r="B153">
        <f t="shared" si="29"/>
        <v>200151</v>
      </c>
      <c r="C153">
        <v>200052</v>
      </c>
      <c r="D153" t="str">
        <f t="shared" si="30"/>
        <v>rg:{'id': '200052'}</v>
      </c>
      <c r="E153">
        <f>VLOOKUP(C153,Owners.csv!C:J,6,FALSE)</f>
        <v>200002</v>
      </c>
      <c r="F153" t="str">
        <f>VLOOKUP(VLOOKUP(E153,LocalAreas.csv!I:K,3,FALSE),ServiceAreas.csv!F:J,5,FALSE)</f>
        <v>200009</v>
      </c>
      <c r="G153" t="str">
        <f t="shared" si="31"/>
        <v>rg:{'id': '200002'}</v>
      </c>
      <c r="H153" t="s">
        <v>7746</v>
      </c>
      <c r="I153" t="s">
        <v>5651</v>
      </c>
      <c r="J153">
        <f>VLOOKUP(I153&amp;"-"&amp;F153,DistrictEquipmentTypes.csv!J:K,2,FALSE)</f>
        <v>200006</v>
      </c>
      <c r="K153" t="str">
        <f t="shared" si="32"/>
        <v>rg:{'id': '200006'}</v>
      </c>
      <c r="L153">
        <f t="shared" si="33"/>
        <v>1</v>
      </c>
      <c r="M153" t="str">
        <f>VLOOKUP(C153,Owners.csv!C:K,9,FALSE)&amp;TEXT(Equipment.csv!L153,"0000")</f>
        <v>LITT0001</v>
      </c>
      <c r="N153" t="s">
        <v>5401</v>
      </c>
      <c r="O153" t="s">
        <v>6810</v>
      </c>
      <c r="P153">
        <v>1999</v>
      </c>
      <c r="Q153">
        <v>152</v>
      </c>
      <c r="R153" t="s">
        <v>6663</v>
      </c>
      <c r="S153" s="1">
        <v>41160</v>
      </c>
      <c r="T153" s="1">
        <v>41181</v>
      </c>
      <c r="U153" t="str">
        <f t="shared" ca="1" si="34"/>
        <v>rg:False</v>
      </c>
      <c r="V153" t="str">
        <f t="shared" ca="1" si="35"/>
        <v>rg:None</v>
      </c>
      <c r="W153" t="s">
        <v>7209</v>
      </c>
      <c r="X153" t="s">
        <v>76</v>
      </c>
      <c r="Y153" t="s">
        <v>76</v>
      </c>
      <c r="Z153" t="s">
        <v>76</v>
      </c>
      <c r="AA153" t="s">
        <v>7556</v>
      </c>
      <c r="AB153" t="s">
        <v>7376</v>
      </c>
      <c r="AC153">
        <v>0</v>
      </c>
      <c r="AD153" t="str">
        <f t="shared" ca="1" si="36"/>
        <v>rg:False</v>
      </c>
      <c r="AE153" t="str">
        <f t="shared" ca="1" si="37"/>
        <v>rg:None</v>
      </c>
      <c r="AF153" s="1">
        <v>42481</v>
      </c>
      <c r="AG153" s="4">
        <f t="shared" ca="1" si="28"/>
        <v>321.66666666666669</v>
      </c>
      <c r="AH153" s="4">
        <f t="shared" si="38"/>
        <v>3.5055555555555555</v>
      </c>
      <c r="AI153">
        <f t="shared" ca="1" si="39"/>
        <v>11</v>
      </c>
      <c r="AJ153">
        <f t="shared" ca="1" si="40"/>
        <v>198</v>
      </c>
      <c r="AK153">
        <f t="shared" ca="1" si="41"/>
        <v>125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  <c r="AT153" t="s">
        <v>6510</v>
      </c>
    </row>
    <row r="154" spans="1:46" x14ac:dyDescent="0.3">
      <c r="A154" t="s">
        <v>5630</v>
      </c>
      <c r="B154">
        <f t="shared" si="29"/>
        <v>200152</v>
      </c>
      <c r="C154">
        <v>200053</v>
      </c>
      <c r="D154" t="str">
        <f t="shared" si="30"/>
        <v>rg:{'id': '200053'}</v>
      </c>
      <c r="E154">
        <f>VLOOKUP(C154,Owners.csv!C:J,6,FALSE)</f>
        <v>200002</v>
      </c>
      <c r="F154" t="str">
        <f>VLOOKUP(VLOOKUP(E154,LocalAreas.csv!I:K,3,FALSE),ServiceAreas.csv!F:J,5,FALSE)</f>
        <v>200009</v>
      </c>
      <c r="G154" t="str">
        <f t="shared" si="31"/>
        <v>rg:{'id': '200002'}</v>
      </c>
      <c r="H154" t="s">
        <v>7747</v>
      </c>
      <c r="I154" t="s">
        <v>5651</v>
      </c>
      <c r="J154">
        <f>VLOOKUP(I154&amp;"-"&amp;F154,DistrictEquipmentTypes.csv!J:K,2,FALSE)</f>
        <v>200006</v>
      </c>
      <c r="K154" t="str">
        <f t="shared" si="32"/>
        <v>rg:{'id': '200006'}</v>
      </c>
      <c r="L154">
        <f t="shared" si="33"/>
        <v>1</v>
      </c>
      <c r="M154" t="str">
        <f>VLOOKUP(C154,Owners.csv!C:K,9,FALSE)&amp;TEXT(Equipment.csv!L154,"0000")</f>
        <v>MAGI0001</v>
      </c>
      <c r="N154" t="s">
        <v>5401</v>
      </c>
      <c r="O154" t="s">
        <v>6811</v>
      </c>
      <c r="P154">
        <v>2005</v>
      </c>
      <c r="Q154">
        <v>153</v>
      </c>
      <c r="R154" t="s">
        <v>6663</v>
      </c>
      <c r="S154" s="1">
        <v>40417</v>
      </c>
      <c r="T154" s="1">
        <v>40436</v>
      </c>
      <c r="U154" t="str">
        <f t="shared" ca="1" si="34"/>
        <v>rg:False</v>
      </c>
      <c r="V154" t="str">
        <f t="shared" ca="1" si="35"/>
        <v>rg:None</v>
      </c>
      <c r="W154" t="s">
        <v>7210</v>
      </c>
      <c r="X154" t="s">
        <v>76</v>
      </c>
      <c r="Y154" t="s">
        <v>76</v>
      </c>
      <c r="Z154" t="s">
        <v>76</v>
      </c>
      <c r="AA154" t="s">
        <v>7557</v>
      </c>
      <c r="AB154" t="s">
        <v>7377</v>
      </c>
      <c r="AC154">
        <v>0</v>
      </c>
      <c r="AD154" t="str">
        <f t="shared" ca="1" si="36"/>
        <v>rg:False</v>
      </c>
      <c r="AE154" t="str">
        <f t="shared" ca="1" si="37"/>
        <v>rg:None</v>
      </c>
      <c r="AF154" s="1">
        <v>42481</v>
      </c>
      <c r="AG154" s="4">
        <f t="shared" ca="1" si="28"/>
        <v>437.99999999999994</v>
      </c>
      <c r="AH154" s="4">
        <f t="shared" si="38"/>
        <v>5.5444444444444443</v>
      </c>
      <c r="AI154">
        <f t="shared" ca="1" si="39"/>
        <v>130</v>
      </c>
      <c r="AJ154">
        <f t="shared" ca="1" si="40"/>
        <v>103</v>
      </c>
      <c r="AK154">
        <f t="shared" ca="1" si="41"/>
        <v>83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  <c r="AT154" t="s">
        <v>6510</v>
      </c>
    </row>
    <row r="155" spans="1:46" x14ac:dyDescent="0.3">
      <c r="A155" t="s">
        <v>5630</v>
      </c>
      <c r="B155">
        <f t="shared" si="29"/>
        <v>200153</v>
      </c>
      <c r="C155">
        <v>200054</v>
      </c>
      <c r="D155" t="str">
        <f t="shared" si="30"/>
        <v>rg:{'id': '200054'}</v>
      </c>
      <c r="E155">
        <f>VLOOKUP(C155,Owners.csv!C:J,6,FALSE)</f>
        <v>200002</v>
      </c>
      <c r="F155" t="str">
        <f>VLOOKUP(VLOOKUP(E155,LocalAreas.csv!I:K,3,FALSE),ServiceAreas.csv!F:J,5,FALSE)</f>
        <v>200009</v>
      </c>
      <c r="G155" t="str">
        <f t="shared" si="31"/>
        <v>rg:{'id': '200002'}</v>
      </c>
      <c r="H155" t="s">
        <v>7748</v>
      </c>
      <c r="I155" t="s">
        <v>5651</v>
      </c>
      <c r="J155">
        <f>VLOOKUP(I155&amp;"-"&amp;F155,DistrictEquipmentTypes.csv!J:K,2,FALSE)</f>
        <v>200006</v>
      </c>
      <c r="K155" t="str">
        <f t="shared" si="32"/>
        <v>rg:{'id': '200006'}</v>
      </c>
      <c r="L155">
        <f t="shared" si="33"/>
        <v>1</v>
      </c>
      <c r="M155" t="str">
        <f>VLOOKUP(C155,Owners.csv!C:K,9,FALSE)&amp;TEXT(Equipment.csv!L155,"0000")</f>
        <v>MANC0001</v>
      </c>
      <c r="N155" t="s">
        <v>5401</v>
      </c>
      <c r="O155" t="s">
        <v>6812</v>
      </c>
      <c r="P155">
        <v>1996</v>
      </c>
      <c r="Q155">
        <v>154</v>
      </c>
      <c r="R155" t="s">
        <v>6663</v>
      </c>
      <c r="S155" s="1">
        <v>40602</v>
      </c>
      <c r="T155" s="1">
        <v>40604</v>
      </c>
      <c r="U155" t="str">
        <f t="shared" ca="1" si="34"/>
        <v>rg:False</v>
      </c>
      <c r="V155" t="str">
        <f t="shared" ca="1" si="35"/>
        <v>rg:None</v>
      </c>
      <c r="W155" t="s">
        <v>7211</v>
      </c>
      <c r="X155" t="s">
        <v>76</v>
      </c>
      <c r="Y155" t="s">
        <v>76</v>
      </c>
      <c r="Z155" t="s">
        <v>76</v>
      </c>
      <c r="AA155" t="s">
        <v>7558</v>
      </c>
      <c r="AB155" t="s">
        <v>7378</v>
      </c>
      <c r="AC155">
        <v>0</v>
      </c>
      <c r="AD155" t="str">
        <f t="shared" ca="1" si="36"/>
        <v>rg:False</v>
      </c>
      <c r="AE155" t="str">
        <f t="shared" ca="1" si="37"/>
        <v>rg:None</v>
      </c>
      <c r="AF155" s="1">
        <v>42481</v>
      </c>
      <c r="AG155" s="4">
        <f t="shared" ca="1" si="28"/>
        <v>438.83333333333337</v>
      </c>
      <c r="AH155" s="4">
        <f t="shared" si="38"/>
        <v>5.0805555555555557</v>
      </c>
      <c r="AI155">
        <f t="shared" ca="1" si="39"/>
        <v>167</v>
      </c>
      <c r="AJ155">
        <f t="shared" ca="1" si="40"/>
        <v>157</v>
      </c>
      <c r="AK155">
        <f t="shared" ca="1" si="41"/>
        <v>78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  <c r="AT155" t="s">
        <v>6510</v>
      </c>
    </row>
    <row r="156" spans="1:46" x14ac:dyDescent="0.3">
      <c r="A156" t="s">
        <v>5630</v>
      </c>
      <c r="B156">
        <f t="shared" si="29"/>
        <v>200154</v>
      </c>
      <c r="C156">
        <v>200055</v>
      </c>
      <c r="D156" t="str">
        <f t="shared" si="30"/>
        <v>rg:{'id': '200055'}</v>
      </c>
      <c r="E156">
        <f>VLOOKUP(C156,Owners.csv!C:J,6,FALSE)</f>
        <v>200002</v>
      </c>
      <c r="F156" t="str">
        <f>VLOOKUP(VLOOKUP(E156,LocalAreas.csv!I:K,3,FALSE),ServiceAreas.csv!F:J,5,FALSE)</f>
        <v>200009</v>
      </c>
      <c r="G156" t="str">
        <f t="shared" si="31"/>
        <v>rg:{'id': '200002'}</v>
      </c>
      <c r="H156" t="s">
        <v>7651</v>
      </c>
      <c r="I156" t="s">
        <v>5651</v>
      </c>
      <c r="J156">
        <f>VLOOKUP(I156&amp;"-"&amp;F156,DistrictEquipmentTypes.csv!J:K,2,FALSE)</f>
        <v>200006</v>
      </c>
      <c r="K156" t="str">
        <f t="shared" si="32"/>
        <v>rg:{'id': '200006'}</v>
      </c>
      <c r="L156">
        <f t="shared" si="33"/>
        <v>1</v>
      </c>
      <c r="M156" t="str">
        <f>VLOOKUP(C156,Owners.csv!C:K,9,FALSE)&amp;TEXT(Equipment.csv!L156,"0000")</f>
        <v>MCDU0001</v>
      </c>
      <c r="N156" t="s">
        <v>5401</v>
      </c>
      <c r="O156" t="s">
        <v>6813</v>
      </c>
      <c r="P156">
        <v>1984</v>
      </c>
      <c r="Q156">
        <v>155</v>
      </c>
      <c r="R156" t="s">
        <v>6663</v>
      </c>
      <c r="S156" s="1">
        <v>40236</v>
      </c>
      <c r="T156" s="1">
        <v>40251</v>
      </c>
      <c r="U156" t="str">
        <f t="shared" ca="1" si="34"/>
        <v>rg:False</v>
      </c>
      <c r="V156" t="str">
        <f t="shared" ca="1" si="35"/>
        <v>rg:None</v>
      </c>
      <c r="W156" t="s">
        <v>7212</v>
      </c>
      <c r="X156" t="s">
        <v>76</v>
      </c>
      <c r="Y156" t="s">
        <v>76</v>
      </c>
      <c r="Z156" t="s">
        <v>76</v>
      </c>
      <c r="AA156" t="s">
        <v>7559</v>
      </c>
      <c r="AB156" t="s">
        <v>7379</v>
      </c>
      <c r="AC156">
        <v>0</v>
      </c>
      <c r="AD156" t="str">
        <f t="shared" ca="1" si="36"/>
        <v>rg:True</v>
      </c>
      <c r="AE156" t="str">
        <f t="shared" ca="1" si="37"/>
        <v>Seniority overridden to test things</v>
      </c>
      <c r="AF156" s="1">
        <v>42481</v>
      </c>
      <c r="AG156" s="4">
        <f t="shared" ca="1" si="28"/>
        <v>478.83333333333337</v>
      </c>
      <c r="AH156" s="4">
        <f t="shared" si="38"/>
        <v>6.0472222222222225</v>
      </c>
      <c r="AI156">
        <f t="shared" ca="1" si="39"/>
        <v>137</v>
      </c>
      <c r="AJ156">
        <f t="shared" ca="1" si="40"/>
        <v>11</v>
      </c>
      <c r="AK156">
        <f t="shared" ca="1" si="41"/>
        <v>200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  <c r="AT156" t="s">
        <v>6510</v>
      </c>
    </row>
    <row r="157" spans="1:46" x14ac:dyDescent="0.3">
      <c r="A157" t="s">
        <v>5630</v>
      </c>
      <c r="B157">
        <f t="shared" si="29"/>
        <v>200155</v>
      </c>
      <c r="C157">
        <v>200056</v>
      </c>
      <c r="D157" t="str">
        <f t="shared" si="30"/>
        <v>rg:{'id': '200056'}</v>
      </c>
      <c r="E157">
        <f>VLOOKUP(C157,Owners.csv!C:J,6,FALSE)</f>
        <v>200002</v>
      </c>
      <c r="F157" t="str">
        <f>VLOOKUP(VLOOKUP(E157,LocalAreas.csv!I:K,3,FALSE),ServiceAreas.csv!F:J,5,FALSE)</f>
        <v>200009</v>
      </c>
      <c r="G157" t="str">
        <f t="shared" si="31"/>
        <v>rg:{'id': '200002'}</v>
      </c>
      <c r="H157" t="s">
        <v>7749</v>
      </c>
      <c r="I157" t="s">
        <v>5651</v>
      </c>
      <c r="J157">
        <f>VLOOKUP(I157&amp;"-"&amp;F157,DistrictEquipmentTypes.csv!J:K,2,FALSE)</f>
        <v>200006</v>
      </c>
      <c r="K157" t="str">
        <f t="shared" si="32"/>
        <v>rg:{'id': '200006'}</v>
      </c>
      <c r="L157">
        <f t="shared" si="33"/>
        <v>1</v>
      </c>
      <c r="M157" t="str">
        <f>VLOOKUP(C157,Owners.csv!C:K,9,FALSE)&amp;TEXT(Equipment.csv!L157,"0000")</f>
        <v>MEGA0001</v>
      </c>
      <c r="N157" t="s">
        <v>5401</v>
      </c>
      <c r="O157" t="s">
        <v>6814</v>
      </c>
      <c r="P157">
        <v>1991</v>
      </c>
      <c r="Q157">
        <v>156</v>
      </c>
      <c r="R157" t="s">
        <v>6663</v>
      </c>
      <c r="S157" s="1">
        <v>41091</v>
      </c>
      <c r="T157" s="1">
        <v>41110</v>
      </c>
      <c r="U157" t="str">
        <f t="shared" ca="1" si="34"/>
        <v>rg:False</v>
      </c>
      <c r="V157" t="str">
        <f t="shared" ca="1" si="35"/>
        <v>rg:None</v>
      </c>
      <c r="W157" t="s">
        <v>7213</v>
      </c>
      <c r="X157" t="s">
        <v>76</v>
      </c>
      <c r="Y157" t="s">
        <v>76</v>
      </c>
      <c r="Z157" t="s">
        <v>76</v>
      </c>
      <c r="AA157" t="s">
        <v>7560</v>
      </c>
      <c r="AB157" t="s">
        <v>7380</v>
      </c>
      <c r="AC157">
        <v>0</v>
      </c>
      <c r="AD157" t="str">
        <f t="shared" ca="1" si="36"/>
        <v>rg:True</v>
      </c>
      <c r="AE157" t="str">
        <f t="shared" ca="1" si="37"/>
        <v>Seniority overridden to test things</v>
      </c>
      <c r="AF157" s="1">
        <v>42481</v>
      </c>
      <c r="AG157" s="4">
        <f t="shared" ca="1" si="28"/>
        <v>366.16666666666669</v>
      </c>
      <c r="AH157" s="4">
        <f t="shared" si="38"/>
        <v>3.6972222222222224</v>
      </c>
      <c r="AI157">
        <f t="shared" ca="1" si="39"/>
        <v>147</v>
      </c>
      <c r="AJ157">
        <f t="shared" ca="1" si="40"/>
        <v>146</v>
      </c>
      <c r="AK157">
        <f t="shared" ca="1" si="41"/>
        <v>140</v>
      </c>
      <c r="AL157" t="s">
        <v>326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  <c r="AT157" t="s">
        <v>6510</v>
      </c>
    </row>
    <row r="158" spans="1:46" x14ac:dyDescent="0.3">
      <c r="A158" t="s">
        <v>5630</v>
      </c>
      <c r="B158">
        <f t="shared" si="29"/>
        <v>200156</v>
      </c>
      <c r="C158">
        <v>200057</v>
      </c>
      <c r="D158" t="str">
        <f t="shared" si="30"/>
        <v>rg:{'id': '200057'}</v>
      </c>
      <c r="E158">
        <f>VLOOKUP(C158,Owners.csv!C:J,6,FALSE)</f>
        <v>200002</v>
      </c>
      <c r="F158" t="str">
        <f>VLOOKUP(VLOOKUP(E158,LocalAreas.csv!I:K,3,FALSE),ServiceAreas.csv!F:J,5,FALSE)</f>
        <v>200009</v>
      </c>
      <c r="G158" t="str">
        <f t="shared" si="31"/>
        <v>rg:{'id': '200002'}</v>
      </c>
      <c r="H158" t="s">
        <v>7740</v>
      </c>
      <c r="I158" t="s">
        <v>5651</v>
      </c>
      <c r="J158">
        <f>VLOOKUP(I158&amp;"-"&amp;F158,DistrictEquipmentTypes.csv!J:K,2,FALSE)</f>
        <v>200006</v>
      </c>
      <c r="K158" t="str">
        <f t="shared" si="32"/>
        <v>rg:{'id': '200006'}</v>
      </c>
      <c r="L158">
        <f t="shared" si="33"/>
        <v>1</v>
      </c>
      <c r="M158" t="str">
        <f>VLOOKUP(C158,Owners.csv!C:K,9,FALSE)&amp;TEXT(Equipment.csv!L158,"0000")</f>
        <v>MERV0001</v>
      </c>
      <c r="N158" t="s">
        <v>5401</v>
      </c>
      <c r="O158" t="s">
        <v>6815</v>
      </c>
      <c r="P158">
        <v>2014</v>
      </c>
      <c r="Q158">
        <v>157</v>
      </c>
      <c r="R158" t="s">
        <v>6663</v>
      </c>
      <c r="S158" s="1">
        <v>41329</v>
      </c>
      <c r="T158" s="1">
        <v>41360</v>
      </c>
      <c r="U158" t="str">
        <f t="shared" ca="1" si="34"/>
        <v>rg:False</v>
      </c>
      <c r="V158" t="str">
        <f t="shared" ca="1" si="35"/>
        <v>rg:None</v>
      </c>
      <c r="W158" t="s">
        <v>7214</v>
      </c>
      <c r="X158" t="s">
        <v>76</v>
      </c>
      <c r="Y158" t="s">
        <v>76</v>
      </c>
      <c r="Z158" t="s">
        <v>76</v>
      </c>
      <c r="AA158" t="s">
        <v>7561</v>
      </c>
      <c r="AB158" t="s">
        <v>7381</v>
      </c>
      <c r="AC158">
        <v>0</v>
      </c>
      <c r="AD158" t="str">
        <f t="shared" ca="1" si="36"/>
        <v>rg:False</v>
      </c>
      <c r="AE158" t="str">
        <f t="shared" ca="1" si="37"/>
        <v>rg:None</v>
      </c>
      <c r="AF158" s="1">
        <v>42481</v>
      </c>
      <c r="AG158" s="4">
        <f t="shared" ca="1" si="28"/>
        <v>255.66666666666666</v>
      </c>
      <c r="AH158" s="4">
        <f t="shared" si="38"/>
        <v>3.0111111111111111</v>
      </c>
      <c r="AI158">
        <f t="shared" ca="1" si="39"/>
        <v>42</v>
      </c>
      <c r="AJ158">
        <f t="shared" ca="1" si="40"/>
        <v>27</v>
      </c>
      <c r="AK158">
        <f t="shared" ca="1" si="41"/>
        <v>156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  <c r="AT158" t="s">
        <v>6510</v>
      </c>
    </row>
    <row r="159" spans="1:46" x14ac:dyDescent="0.3">
      <c r="A159" t="s">
        <v>5630</v>
      </c>
      <c r="B159">
        <f t="shared" si="29"/>
        <v>200157</v>
      </c>
      <c r="C159">
        <v>200038</v>
      </c>
      <c r="D159" t="str">
        <f t="shared" si="30"/>
        <v>rg:{'id': '200038'}</v>
      </c>
      <c r="E159">
        <f>VLOOKUP(C159,Owners.csv!C:J,6,FALSE)</f>
        <v>200002</v>
      </c>
      <c r="F159" t="str">
        <f>VLOOKUP(VLOOKUP(E159,LocalAreas.csv!I:K,3,FALSE),ServiceAreas.csv!F:J,5,FALSE)</f>
        <v>200009</v>
      </c>
      <c r="G159" t="str">
        <f t="shared" si="31"/>
        <v>rg:{'id': '200002'}</v>
      </c>
      <c r="H159" t="s">
        <v>7750</v>
      </c>
      <c r="I159" t="s">
        <v>5651</v>
      </c>
      <c r="J159">
        <f>VLOOKUP(I159&amp;"-"&amp;F159,DistrictEquipmentTypes.csv!J:K,2,FALSE)</f>
        <v>200006</v>
      </c>
      <c r="K159" t="str">
        <f t="shared" si="32"/>
        <v>rg:{'id': '200006'}</v>
      </c>
      <c r="L159">
        <f t="shared" si="33"/>
        <v>1</v>
      </c>
      <c r="M159" t="str">
        <f>VLOOKUP(C159,Owners.csv!C:K,9,FALSE)&amp;TEXT(Equipment.csv!L159,"0000")</f>
        <v>HENR0001</v>
      </c>
      <c r="N159" t="s">
        <v>5401</v>
      </c>
      <c r="O159" t="s">
        <v>6816</v>
      </c>
      <c r="P159">
        <v>1993</v>
      </c>
      <c r="Q159">
        <v>158</v>
      </c>
      <c r="R159" t="s">
        <v>6663</v>
      </c>
      <c r="S159" s="1">
        <v>39402</v>
      </c>
      <c r="T159" s="1">
        <v>39414</v>
      </c>
      <c r="U159" t="str">
        <f t="shared" ca="1" si="34"/>
        <v>rg:False</v>
      </c>
      <c r="V159" t="str">
        <f t="shared" ca="1" si="35"/>
        <v>rg:None</v>
      </c>
      <c r="W159" t="s">
        <v>7215</v>
      </c>
      <c r="X159" t="s">
        <v>76</v>
      </c>
      <c r="Y159" t="s">
        <v>76</v>
      </c>
      <c r="Z159" t="s">
        <v>76</v>
      </c>
      <c r="AA159" t="s">
        <v>7562</v>
      </c>
      <c r="AB159" t="s">
        <v>7382</v>
      </c>
      <c r="AC159">
        <v>0</v>
      </c>
      <c r="AD159" t="str">
        <f t="shared" ca="1" si="36"/>
        <v>rg:False</v>
      </c>
      <c r="AE159" t="str">
        <f t="shared" ca="1" si="37"/>
        <v>rg:None</v>
      </c>
      <c r="AF159" s="1">
        <v>42481</v>
      </c>
      <c r="AG159" s="4">
        <f t="shared" ca="1" si="28"/>
        <v>612.16666666666663</v>
      </c>
      <c r="AH159" s="4">
        <f t="shared" si="38"/>
        <v>8.3416666666666668</v>
      </c>
      <c r="AI159">
        <f t="shared" ca="1" si="39"/>
        <v>174</v>
      </c>
      <c r="AJ159">
        <f t="shared" ca="1" si="40"/>
        <v>161</v>
      </c>
      <c r="AK159">
        <f t="shared" ca="1" si="41"/>
        <v>0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  <c r="AT159" t="s">
        <v>6510</v>
      </c>
    </row>
    <row r="160" spans="1:46" x14ac:dyDescent="0.3">
      <c r="A160" t="s">
        <v>5630</v>
      </c>
      <c r="B160">
        <f t="shared" si="29"/>
        <v>200158</v>
      </c>
      <c r="C160">
        <v>200039</v>
      </c>
      <c r="D160" t="str">
        <f t="shared" si="30"/>
        <v>rg:{'id': '200039'}</v>
      </c>
      <c r="E160">
        <f>VLOOKUP(C160,Owners.csv!C:J,6,FALSE)</f>
        <v>200002</v>
      </c>
      <c r="F160" t="str">
        <f>VLOOKUP(VLOOKUP(E160,LocalAreas.csv!I:K,3,FALSE),ServiceAreas.csv!F:J,5,FALSE)</f>
        <v>200009</v>
      </c>
      <c r="G160" t="str">
        <f t="shared" si="31"/>
        <v>rg:{'id': '200002'}</v>
      </c>
      <c r="H160" t="s">
        <v>7701</v>
      </c>
      <c r="I160" t="s">
        <v>5651</v>
      </c>
      <c r="J160">
        <f>VLOOKUP(I160&amp;"-"&amp;F160,DistrictEquipmentTypes.csv!J:K,2,FALSE)</f>
        <v>200006</v>
      </c>
      <c r="K160" t="str">
        <f t="shared" si="32"/>
        <v>rg:{'id': '200006'}</v>
      </c>
      <c r="L160">
        <f t="shared" si="33"/>
        <v>1</v>
      </c>
      <c r="M160" t="str">
        <f>VLOOKUP(C160,Owners.csv!C:K,9,FALSE)&amp;TEXT(Equipment.csv!L160,"0000")</f>
        <v>HIGH0001</v>
      </c>
      <c r="N160" t="s">
        <v>5401</v>
      </c>
      <c r="O160" t="s">
        <v>6817</v>
      </c>
      <c r="P160">
        <v>1999</v>
      </c>
      <c r="Q160">
        <v>159</v>
      </c>
      <c r="R160" t="s">
        <v>6663</v>
      </c>
      <c r="S160" s="1">
        <v>39540</v>
      </c>
      <c r="T160" s="1">
        <v>39567</v>
      </c>
      <c r="U160" t="str">
        <f t="shared" ca="1" si="34"/>
        <v>rg:False</v>
      </c>
      <c r="V160" t="str">
        <f t="shared" ca="1" si="35"/>
        <v>rg:None</v>
      </c>
      <c r="W160" t="s">
        <v>7216</v>
      </c>
      <c r="X160" t="s">
        <v>76</v>
      </c>
      <c r="Y160" t="s">
        <v>76</v>
      </c>
      <c r="Z160" t="s">
        <v>76</v>
      </c>
      <c r="AA160" t="s">
        <v>7563</v>
      </c>
      <c r="AB160" t="s">
        <v>7308</v>
      </c>
      <c r="AC160">
        <v>0</v>
      </c>
      <c r="AD160" t="str">
        <f t="shared" ca="1" si="36"/>
        <v>rg:False</v>
      </c>
      <c r="AE160" t="str">
        <f t="shared" ca="1" si="37"/>
        <v>rg:None</v>
      </c>
      <c r="AF160" s="1">
        <v>42481</v>
      </c>
      <c r="AG160" s="4">
        <f t="shared" ca="1" si="28"/>
        <v>610.66666666666674</v>
      </c>
      <c r="AH160" s="4">
        <f t="shared" si="38"/>
        <v>7.9222222222222225</v>
      </c>
      <c r="AI160">
        <f t="shared" ca="1" si="39"/>
        <v>55</v>
      </c>
      <c r="AJ160">
        <f t="shared" ca="1" si="40"/>
        <v>170</v>
      </c>
      <c r="AK160">
        <f t="shared" ca="1" si="41"/>
        <v>181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  <c r="AT160" t="s">
        <v>6510</v>
      </c>
    </row>
    <row r="161" spans="1:46" x14ac:dyDescent="0.3">
      <c r="A161" t="s">
        <v>5630</v>
      </c>
      <c r="B161">
        <f t="shared" si="29"/>
        <v>200159</v>
      </c>
      <c r="C161">
        <v>200040</v>
      </c>
      <c r="D161" t="str">
        <f t="shared" si="30"/>
        <v>rg:{'id': '200040'}</v>
      </c>
      <c r="E161">
        <f>VLOOKUP(C161,Owners.csv!C:J,6,FALSE)</f>
        <v>200002</v>
      </c>
      <c r="F161" t="str">
        <f>VLOOKUP(VLOOKUP(E161,LocalAreas.csv!I:K,3,FALSE),ServiceAreas.csv!F:J,5,FALSE)</f>
        <v>200009</v>
      </c>
      <c r="G161" t="str">
        <f t="shared" si="31"/>
        <v>rg:{'id': '200002'}</v>
      </c>
      <c r="H161" t="s">
        <v>7708</v>
      </c>
      <c r="I161" t="s">
        <v>5651</v>
      </c>
      <c r="J161">
        <f>VLOOKUP(I161&amp;"-"&amp;F161,DistrictEquipmentTypes.csv!J:K,2,FALSE)</f>
        <v>200006</v>
      </c>
      <c r="K161" t="str">
        <f t="shared" si="32"/>
        <v>rg:{'id': '200006'}</v>
      </c>
      <c r="L161">
        <f t="shared" si="33"/>
        <v>1</v>
      </c>
      <c r="M161" t="str">
        <f>VLOOKUP(C161,Owners.csv!C:K,9,FALSE)&amp;TEXT(Equipment.csv!L161,"0000")</f>
        <v>HUGH0001</v>
      </c>
      <c r="N161" t="s">
        <v>5401</v>
      </c>
      <c r="O161" t="s">
        <v>6818</v>
      </c>
      <c r="P161">
        <v>2004</v>
      </c>
      <c r="Q161">
        <v>160</v>
      </c>
      <c r="R161" t="s">
        <v>6663</v>
      </c>
      <c r="S161" s="1">
        <v>39866</v>
      </c>
      <c r="T161" s="1">
        <v>39883</v>
      </c>
      <c r="U161" t="str">
        <f t="shared" ca="1" si="34"/>
        <v>rg:False</v>
      </c>
      <c r="V161" t="str">
        <f t="shared" ca="1" si="35"/>
        <v>rg:None</v>
      </c>
      <c r="W161" t="s">
        <v>7217</v>
      </c>
      <c r="X161" t="s">
        <v>76</v>
      </c>
      <c r="Y161" t="s">
        <v>76</v>
      </c>
      <c r="Z161" t="s">
        <v>76</v>
      </c>
      <c r="AA161" t="s">
        <v>7564</v>
      </c>
      <c r="AB161" t="s">
        <v>7383</v>
      </c>
      <c r="AC161">
        <v>0</v>
      </c>
      <c r="AD161" t="str">
        <f t="shared" ca="1" si="36"/>
        <v>rg:False</v>
      </c>
      <c r="AE161" t="str">
        <f t="shared" ca="1" si="37"/>
        <v>rg:None</v>
      </c>
      <c r="AF161" s="1">
        <v>42481</v>
      </c>
      <c r="AG161" s="4">
        <f t="shared" ca="1" si="28"/>
        <v>477</v>
      </c>
      <c r="AH161" s="4">
        <f t="shared" si="38"/>
        <v>7.0555555555555554</v>
      </c>
      <c r="AI161">
        <f t="shared" ca="1" si="39"/>
        <v>32</v>
      </c>
      <c r="AJ161">
        <f t="shared" ca="1" si="40"/>
        <v>91</v>
      </c>
      <c r="AK161">
        <f t="shared" ca="1" si="41"/>
        <v>38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  <c r="AT161" t="s">
        <v>6510</v>
      </c>
    </row>
    <row r="162" spans="1:46" x14ac:dyDescent="0.3">
      <c r="A162" t="s">
        <v>5630</v>
      </c>
      <c r="B162">
        <f t="shared" si="29"/>
        <v>200160</v>
      </c>
      <c r="C162">
        <v>200041</v>
      </c>
      <c r="D162" t="str">
        <f t="shared" si="30"/>
        <v>rg:{'id': '200041'}</v>
      </c>
      <c r="E162">
        <f>VLOOKUP(C162,Owners.csv!C:J,6,FALSE)</f>
        <v>200002</v>
      </c>
      <c r="F162" t="str">
        <f>VLOOKUP(VLOOKUP(E162,LocalAreas.csv!I:K,3,FALSE),ServiceAreas.csv!F:J,5,FALSE)</f>
        <v>200009</v>
      </c>
      <c r="G162" t="str">
        <f t="shared" si="31"/>
        <v>rg:{'id': '200002'}</v>
      </c>
      <c r="H162" t="s">
        <v>7681</v>
      </c>
      <c r="I162" t="s">
        <v>5651</v>
      </c>
      <c r="J162">
        <f>VLOOKUP(I162&amp;"-"&amp;F162,DistrictEquipmentTypes.csv!J:K,2,FALSE)</f>
        <v>200006</v>
      </c>
      <c r="K162" t="str">
        <f t="shared" si="32"/>
        <v>rg:{'id': '200006'}</v>
      </c>
      <c r="L162">
        <f t="shared" si="33"/>
        <v>1</v>
      </c>
      <c r="M162" t="str">
        <f>VLOOKUP(C162,Owners.csv!C:K,9,FALSE)&amp;TEXT(Equipment.csv!L162,"0000")</f>
        <v>HUGH0001</v>
      </c>
      <c r="N162" t="s">
        <v>5401</v>
      </c>
      <c r="O162" t="s">
        <v>6819</v>
      </c>
      <c r="P162">
        <v>1981</v>
      </c>
      <c r="Q162">
        <v>161</v>
      </c>
      <c r="R162" t="s">
        <v>6663</v>
      </c>
      <c r="S162" s="1">
        <v>40054</v>
      </c>
      <c r="T162" s="1">
        <v>40085</v>
      </c>
      <c r="U162" t="str">
        <f t="shared" ca="1" si="34"/>
        <v>rg:False</v>
      </c>
      <c r="V162" t="str">
        <f t="shared" ca="1" si="35"/>
        <v>rg:None</v>
      </c>
      <c r="W162" t="s">
        <v>7218</v>
      </c>
      <c r="X162" t="s">
        <v>76</v>
      </c>
      <c r="Y162" t="s">
        <v>76</v>
      </c>
      <c r="Z162" t="s">
        <v>76</v>
      </c>
      <c r="AA162" t="s">
        <v>7565</v>
      </c>
      <c r="AB162" t="s">
        <v>7384</v>
      </c>
      <c r="AC162">
        <v>0</v>
      </c>
      <c r="AD162" t="str">
        <f t="shared" ca="1" si="36"/>
        <v>rg:False</v>
      </c>
      <c r="AE162" t="str">
        <f t="shared" ca="1" si="37"/>
        <v>rg:None</v>
      </c>
      <c r="AF162" s="1">
        <v>42481</v>
      </c>
      <c r="AG162" s="4">
        <f t="shared" ca="1" si="28"/>
        <v>446.33333333333331</v>
      </c>
      <c r="AH162" s="4">
        <f t="shared" si="38"/>
        <v>6.5055555555555555</v>
      </c>
      <c r="AI162">
        <f t="shared" ca="1" si="39"/>
        <v>13</v>
      </c>
      <c r="AJ162">
        <f t="shared" ca="1" si="40"/>
        <v>88</v>
      </c>
      <c r="AK162">
        <f t="shared" ca="1" si="41"/>
        <v>67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  <c r="AT162" t="s">
        <v>6510</v>
      </c>
    </row>
    <row r="163" spans="1:46" x14ac:dyDescent="0.3">
      <c r="A163" t="s">
        <v>5630</v>
      </c>
      <c r="B163">
        <f t="shared" si="29"/>
        <v>200161</v>
      </c>
      <c r="C163">
        <v>200042</v>
      </c>
      <c r="D163" t="str">
        <f t="shared" si="30"/>
        <v>rg:{'id': '200042'}</v>
      </c>
      <c r="E163">
        <f>VLOOKUP(C163,Owners.csv!C:J,6,FALSE)</f>
        <v>200002</v>
      </c>
      <c r="F163" t="str">
        <f>VLOOKUP(VLOOKUP(E163,LocalAreas.csv!I:K,3,FALSE),ServiceAreas.csv!F:J,5,FALSE)</f>
        <v>200009</v>
      </c>
      <c r="G163" t="str">
        <f t="shared" si="31"/>
        <v>rg:{'id': '200002'}</v>
      </c>
      <c r="H163" t="s">
        <v>7751</v>
      </c>
      <c r="I163" t="s">
        <v>5651</v>
      </c>
      <c r="J163">
        <f>VLOOKUP(I163&amp;"-"&amp;F163,DistrictEquipmentTypes.csv!J:K,2,FALSE)</f>
        <v>200006</v>
      </c>
      <c r="K163" t="str">
        <f t="shared" si="32"/>
        <v>rg:{'id': '200006'}</v>
      </c>
      <c r="L163">
        <f t="shared" si="33"/>
        <v>1</v>
      </c>
      <c r="M163" t="str">
        <f>VLOOKUP(C163,Owners.csv!C:K,9,FALSE)&amp;TEXT(Equipment.csv!L163,"0000")</f>
        <v>INDI0001</v>
      </c>
      <c r="N163" t="s">
        <v>5401</v>
      </c>
      <c r="O163" t="s">
        <v>6820</v>
      </c>
      <c r="P163">
        <v>2001</v>
      </c>
      <c r="Q163">
        <v>162</v>
      </c>
      <c r="R163" t="s">
        <v>6663</v>
      </c>
      <c r="S163" s="1">
        <v>40216</v>
      </c>
      <c r="T163" s="1">
        <v>40237</v>
      </c>
      <c r="U163" t="str">
        <f t="shared" ca="1" si="34"/>
        <v>rg:False</v>
      </c>
      <c r="V163" t="str">
        <f t="shared" ca="1" si="35"/>
        <v>rg:None</v>
      </c>
      <c r="W163" t="s">
        <v>7219</v>
      </c>
      <c r="X163" t="s">
        <v>76</v>
      </c>
      <c r="Y163" t="s">
        <v>76</v>
      </c>
      <c r="Z163" t="s">
        <v>76</v>
      </c>
      <c r="AA163" t="s">
        <v>7566</v>
      </c>
      <c r="AB163" t="s">
        <v>7385</v>
      </c>
      <c r="AC163">
        <v>0</v>
      </c>
      <c r="AD163" t="str">
        <f t="shared" ca="1" si="36"/>
        <v>rg:False</v>
      </c>
      <c r="AE163" t="str">
        <f t="shared" ca="1" si="37"/>
        <v>rg:None</v>
      </c>
      <c r="AF163" s="1">
        <v>42481</v>
      </c>
      <c r="AG163" s="4">
        <f t="shared" ca="1" si="28"/>
        <v>434.16666666666669</v>
      </c>
      <c r="AH163" s="4">
        <f t="shared" si="38"/>
        <v>6.0861111111111112</v>
      </c>
      <c r="AI163">
        <f t="shared" ca="1" si="39"/>
        <v>52</v>
      </c>
      <c r="AJ163">
        <f t="shared" ca="1" si="40"/>
        <v>89</v>
      </c>
      <c r="AK163">
        <f t="shared" ca="1" si="41"/>
        <v>66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  <c r="AT163" t="s">
        <v>6510</v>
      </c>
    </row>
    <row r="164" spans="1:46" x14ac:dyDescent="0.3">
      <c r="A164" t="s">
        <v>5630</v>
      </c>
      <c r="B164">
        <f t="shared" si="29"/>
        <v>200162</v>
      </c>
      <c r="C164">
        <v>200043</v>
      </c>
      <c r="D164" t="str">
        <f t="shared" si="30"/>
        <v>rg:{'id': '200043'}</v>
      </c>
      <c r="E164">
        <f>VLOOKUP(C164,Owners.csv!C:J,6,FALSE)</f>
        <v>200002</v>
      </c>
      <c r="F164" t="str">
        <f>VLOOKUP(VLOOKUP(E164,LocalAreas.csv!I:K,3,FALSE),ServiceAreas.csv!F:J,5,FALSE)</f>
        <v>200009</v>
      </c>
      <c r="G164" t="str">
        <f t="shared" si="31"/>
        <v>rg:{'id': '200002'}</v>
      </c>
      <c r="H164" t="s">
        <v>7736</v>
      </c>
      <c r="I164" t="s">
        <v>5651</v>
      </c>
      <c r="J164">
        <f>VLOOKUP(I164&amp;"-"&amp;F164,DistrictEquipmentTypes.csv!J:K,2,FALSE)</f>
        <v>200006</v>
      </c>
      <c r="K164" t="str">
        <f t="shared" si="32"/>
        <v>rg:{'id': '200006'}</v>
      </c>
      <c r="L164">
        <f t="shared" si="33"/>
        <v>1</v>
      </c>
      <c r="M164" t="str">
        <f>VLOOKUP(C164,Owners.csv!C:K,9,FALSE)&amp;TEXT(Equipment.csv!L164,"0000")</f>
        <v>JBRA0001</v>
      </c>
      <c r="N164" t="s">
        <v>5401</v>
      </c>
      <c r="O164" t="s">
        <v>6821</v>
      </c>
      <c r="P164">
        <v>2001</v>
      </c>
      <c r="Q164">
        <v>163</v>
      </c>
      <c r="R164" t="s">
        <v>6663</v>
      </c>
      <c r="S164" s="1">
        <v>41394</v>
      </c>
      <c r="T164" s="1">
        <v>41395</v>
      </c>
      <c r="U164" t="str">
        <f t="shared" ca="1" si="34"/>
        <v>rg:False</v>
      </c>
      <c r="V164" t="str">
        <f t="shared" ca="1" si="35"/>
        <v>rg:None</v>
      </c>
      <c r="W164" t="s">
        <v>7220</v>
      </c>
      <c r="X164" t="s">
        <v>76</v>
      </c>
      <c r="Y164" t="s">
        <v>76</v>
      </c>
      <c r="Z164" t="s">
        <v>76</v>
      </c>
      <c r="AA164" t="s">
        <v>7567</v>
      </c>
      <c r="AB164" t="s">
        <v>7313</v>
      </c>
      <c r="AC164">
        <v>0</v>
      </c>
      <c r="AD164" t="str">
        <f t="shared" ca="1" si="36"/>
        <v>rg:False</v>
      </c>
      <c r="AE164" t="str">
        <f t="shared" ca="1" si="37"/>
        <v>rg:None</v>
      </c>
      <c r="AF164" s="1">
        <v>42481</v>
      </c>
      <c r="AG164" s="4">
        <f t="shared" ca="1" si="28"/>
        <v>288.33333333333331</v>
      </c>
      <c r="AH164" s="4">
        <f t="shared" si="38"/>
        <v>2.9166666666666665</v>
      </c>
      <c r="AI164">
        <f t="shared" ca="1" si="39"/>
        <v>140</v>
      </c>
      <c r="AJ164">
        <f t="shared" ca="1" si="40"/>
        <v>200</v>
      </c>
      <c r="AK164">
        <f t="shared" ca="1" si="41"/>
        <v>0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  <c r="AT164" t="s">
        <v>6510</v>
      </c>
    </row>
    <row r="165" spans="1:46" x14ac:dyDescent="0.3">
      <c r="A165" t="s">
        <v>5630</v>
      </c>
      <c r="B165">
        <f t="shared" si="29"/>
        <v>200163</v>
      </c>
      <c r="C165">
        <v>200038</v>
      </c>
      <c r="D165" t="str">
        <f t="shared" si="30"/>
        <v>rg:{'id': '200038'}</v>
      </c>
      <c r="E165">
        <f>VLOOKUP(C165,Owners.csv!C:J,6,FALSE)</f>
        <v>200002</v>
      </c>
      <c r="F165" t="str">
        <f>VLOOKUP(VLOOKUP(E165,LocalAreas.csv!I:K,3,FALSE),ServiceAreas.csv!F:J,5,FALSE)</f>
        <v>200009</v>
      </c>
      <c r="G165" t="str">
        <f t="shared" si="31"/>
        <v>rg:{'id': '200002'}</v>
      </c>
      <c r="H165" t="s">
        <v>7734</v>
      </c>
      <c r="I165" t="s">
        <v>5637</v>
      </c>
      <c r="J165">
        <f>VLOOKUP(I165&amp;"-"&amp;F165,DistrictEquipmentTypes.csv!J:K,2,FALSE)</f>
        <v>200001</v>
      </c>
      <c r="K165" t="str">
        <f t="shared" si="32"/>
        <v>rg:{'id': '200001'}</v>
      </c>
      <c r="L165">
        <f t="shared" si="33"/>
        <v>1</v>
      </c>
      <c r="M165" t="str">
        <f>VLOOKUP(C165,Owners.csv!C:K,9,FALSE)&amp;TEXT(Equipment.csv!L165,"0000")</f>
        <v>HENR0001</v>
      </c>
      <c r="N165" t="s">
        <v>5401</v>
      </c>
      <c r="O165" t="s">
        <v>6822</v>
      </c>
      <c r="P165">
        <v>2016</v>
      </c>
      <c r="Q165">
        <v>164</v>
      </c>
      <c r="R165" t="s">
        <v>6663</v>
      </c>
      <c r="S165" s="1">
        <v>42270</v>
      </c>
      <c r="T165" s="1">
        <v>42274</v>
      </c>
      <c r="U165" t="str">
        <f t="shared" ca="1" si="34"/>
        <v>rg:True</v>
      </c>
      <c r="V165" t="str">
        <f t="shared" ca="1" si="35"/>
        <v>This equipment should be archived</v>
      </c>
      <c r="W165" t="s">
        <v>7221</v>
      </c>
      <c r="X165" t="s">
        <v>76</v>
      </c>
      <c r="Y165" t="s">
        <v>76</v>
      </c>
      <c r="Z165" t="s">
        <v>76</v>
      </c>
      <c r="AA165" t="s">
        <v>7568</v>
      </c>
      <c r="AB165" t="s">
        <v>7386</v>
      </c>
      <c r="AC165">
        <v>0</v>
      </c>
      <c r="AD165" t="str">
        <f t="shared" ca="1" si="36"/>
        <v>rg:False</v>
      </c>
      <c r="AE165" t="str">
        <f t="shared" ca="1" si="37"/>
        <v>rg:None</v>
      </c>
      <c r="AF165" s="1">
        <v>42481</v>
      </c>
      <c r="AG165" s="4">
        <f t="shared" ca="1" si="28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  <c r="AT165" t="s">
        <v>6510</v>
      </c>
    </row>
    <row r="166" spans="1:46" x14ac:dyDescent="0.3">
      <c r="A166" t="s">
        <v>5630</v>
      </c>
      <c r="B166">
        <f t="shared" si="29"/>
        <v>200164</v>
      </c>
      <c r="C166">
        <v>200039</v>
      </c>
      <c r="D166" t="str">
        <f t="shared" si="30"/>
        <v>rg:{'id': '200039'}</v>
      </c>
      <c r="E166">
        <f>VLOOKUP(C166,Owners.csv!C:J,6,FALSE)</f>
        <v>200002</v>
      </c>
      <c r="F166" t="str">
        <f>VLOOKUP(VLOOKUP(E166,LocalAreas.csv!I:K,3,FALSE),ServiceAreas.csv!F:J,5,FALSE)</f>
        <v>200009</v>
      </c>
      <c r="G166" t="str">
        <f t="shared" si="31"/>
        <v>rg:{'id': '200002'}</v>
      </c>
      <c r="H166" t="s">
        <v>7738</v>
      </c>
      <c r="I166" t="s">
        <v>5637</v>
      </c>
      <c r="J166">
        <f>VLOOKUP(I166&amp;"-"&amp;F166,DistrictEquipmentTypes.csv!J:K,2,FALSE)</f>
        <v>200001</v>
      </c>
      <c r="K166" t="str">
        <f t="shared" si="32"/>
        <v>rg:{'id': '200001'}</v>
      </c>
      <c r="L166">
        <f t="shared" si="33"/>
        <v>1</v>
      </c>
      <c r="M166" t="str">
        <f>VLOOKUP(C166,Owners.csv!C:K,9,FALSE)&amp;TEXT(Equipment.csv!L166,"0000")</f>
        <v>HIGH0001</v>
      </c>
      <c r="N166" t="s">
        <v>5401</v>
      </c>
      <c r="O166" t="s">
        <v>6823</v>
      </c>
      <c r="P166">
        <v>1994</v>
      </c>
      <c r="Q166">
        <v>165</v>
      </c>
      <c r="R166" t="s">
        <v>6663</v>
      </c>
      <c r="S166" s="1">
        <v>38445</v>
      </c>
      <c r="T166" s="1">
        <v>38459</v>
      </c>
      <c r="U166" t="str">
        <f t="shared" ca="1" si="34"/>
        <v>rg:True</v>
      </c>
      <c r="V166" t="str">
        <f t="shared" ca="1" si="35"/>
        <v>This equipment should be archived</v>
      </c>
      <c r="W166" t="s">
        <v>7222</v>
      </c>
      <c r="X166" t="s">
        <v>76</v>
      </c>
      <c r="Y166" t="s">
        <v>76</v>
      </c>
      <c r="Z166" t="s">
        <v>76</v>
      </c>
      <c r="AA166" t="s">
        <v>7569</v>
      </c>
      <c r="AB166" t="s">
        <v>7284</v>
      </c>
      <c r="AC166">
        <v>0</v>
      </c>
      <c r="AD166" t="str">
        <f t="shared" ca="1" si="36"/>
        <v>rg:False</v>
      </c>
      <c r="AE166" t="str">
        <f t="shared" ca="1" si="37"/>
        <v>rg:None</v>
      </c>
      <c r="AF166" s="1">
        <v>42481</v>
      </c>
      <c r="AG166" s="4">
        <f t="shared" ca="1" si="28"/>
        <v>355.66666666666669</v>
      </c>
      <c r="AH166" s="4">
        <f t="shared" si="38"/>
        <v>10.955555555555556</v>
      </c>
      <c r="AI166">
        <f t="shared" ca="1" si="39"/>
        <v>35</v>
      </c>
      <c r="AJ166">
        <f t="shared" ca="1" si="40"/>
        <v>39</v>
      </c>
      <c r="AK166">
        <f t="shared" ca="1" si="41"/>
        <v>7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  <c r="AT166" t="s">
        <v>6510</v>
      </c>
    </row>
    <row r="167" spans="1:46" x14ac:dyDescent="0.3">
      <c r="A167" t="s">
        <v>5630</v>
      </c>
      <c r="B167">
        <f t="shared" si="29"/>
        <v>200165</v>
      </c>
      <c r="C167">
        <v>200040</v>
      </c>
      <c r="D167" t="str">
        <f t="shared" si="30"/>
        <v>rg:{'id': '200040'}</v>
      </c>
      <c r="E167">
        <f>VLOOKUP(C167,Owners.csv!C:J,6,FALSE)</f>
        <v>200002</v>
      </c>
      <c r="F167" t="str">
        <f>VLOOKUP(VLOOKUP(E167,LocalAreas.csv!I:K,3,FALSE),ServiceAreas.csv!F:J,5,FALSE)</f>
        <v>200009</v>
      </c>
      <c r="G167" t="str">
        <f t="shared" si="31"/>
        <v>rg:{'id': '200002'}</v>
      </c>
      <c r="H167" t="s">
        <v>7737</v>
      </c>
      <c r="I167" t="s">
        <v>5637</v>
      </c>
      <c r="J167">
        <f>VLOOKUP(I167&amp;"-"&amp;F167,DistrictEquipmentTypes.csv!J:K,2,FALSE)</f>
        <v>200001</v>
      </c>
      <c r="K167" t="str">
        <f t="shared" si="32"/>
        <v>rg:{'id': '200001'}</v>
      </c>
      <c r="L167">
        <f t="shared" si="33"/>
        <v>1</v>
      </c>
      <c r="M167" t="str">
        <f>VLOOKUP(C167,Owners.csv!C:K,9,FALSE)&amp;TEXT(Equipment.csv!L167,"0000")</f>
        <v>HUGH0001</v>
      </c>
      <c r="N167" t="s">
        <v>5401</v>
      </c>
      <c r="O167" t="s">
        <v>6824</v>
      </c>
      <c r="P167">
        <v>2010</v>
      </c>
      <c r="Q167">
        <v>166</v>
      </c>
      <c r="R167" t="s">
        <v>6663</v>
      </c>
      <c r="S167" s="1">
        <v>38450</v>
      </c>
      <c r="T167" s="1">
        <v>38472</v>
      </c>
      <c r="U167" t="str">
        <f t="shared" ca="1" si="34"/>
        <v>rg:False</v>
      </c>
      <c r="V167" t="str">
        <f t="shared" ca="1" si="35"/>
        <v>rg:None</v>
      </c>
      <c r="W167" t="s">
        <v>7223</v>
      </c>
      <c r="X167" t="s">
        <v>76</v>
      </c>
      <c r="Y167" t="s">
        <v>76</v>
      </c>
      <c r="Z167" t="s">
        <v>76</v>
      </c>
      <c r="AA167" t="s">
        <v>7570</v>
      </c>
      <c r="AB167" t="s">
        <v>7325</v>
      </c>
      <c r="AC167">
        <v>0</v>
      </c>
      <c r="AD167" t="str">
        <f t="shared" ca="1" si="36"/>
        <v>rg:False</v>
      </c>
      <c r="AE167" t="str">
        <f t="shared" ca="1" si="37"/>
        <v>rg:None</v>
      </c>
      <c r="AF167" s="1">
        <v>42481</v>
      </c>
      <c r="AG167" s="4">
        <f t="shared" ca="1" si="28"/>
        <v>363.25</v>
      </c>
      <c r="AH167" s="4">
        <f t="shared" si="38"/>
        <v>10.919444444444444</v>
      </c>
      <c r="AI167">
        <f t="shared" ca="1" si="39"/>
        <v>42</v>
      </c>
      <c r="AJ167">
        <f t="shared" ca="1" si="40"/>
        <v>27</v>
      </c>
      <c r="AK167">
        <f t="shared" ca="1" si="41"/>
        <v>38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  <c r="AT167" t="s">
        <v>6510</v>
      </c>
    </row>
    <row r="168" spans="1:46" x14ac:dyDescent="0.3">
      <c r="A168" t="s">
        <v>5630</v>
      </c>
      <c r="B168">
        <f t="shared" si="29"/>
        <v>200166</v>
      </c>
      <c r="C168">
        <v>200041</v>
      </c>
      <c r="D168" t="str">
        <f t="shared" si="30"/>
        <v>rg:{'id': '200041'}</v>
      </c>
      <c r="E168">
        <f>VLOOKUP(C168,Owners.csv!C:J,6,FALSE)</f>
        <v>200002</v>
      </c>
      <c r="F168" t="str">
        <f>VLOOKUP(VLOOKUP(E168,LocalAreas.csv!I:K,3,FALSE),ServiceAreas.csv!F:J,5,FALSE)</f>
        <v>200009</v>
      </c>
      <c r="G168" t="str">
        <f t="shared" si="31"/>
        <v>rg:{'id': '200002'}</v>
      </c>
      <c r="H168" t="s">
        <v>7723</v>
      </c>
      <c r="I168" t="s">
        <v>5637</v>
      </c>
      <c r="J168">
        <f>VLOOKUP(I168&amp;"-"&amp;F168,DistrictEquipmentTypes.csv!J:K,2,FALSE)</f>
        <v>200001</v>
      </c>
      <c r="K168" t="str">
        <f t="shared" si="32"/>
        <v>rg:{'id': '200001'}</v>
      </c>
      <c r="L168">
        <f t="shared" si="33"/>
        <v>1</v>
      </c>
      <c r="M168" t="str">
        <f>VLOOKUP(C168,Owners.csv!C:K,9,FALSE)&amp;TEXT(Equipment.csv!L168,"0000")</f>
        <v>HUGH0001</v>
      </c>
      <c r="N168" t="s">
        <v>5401</v>
      </c>
      <c r="O168" t="s">
        <v>6825</v>
      </c>
      <c r="P168">
        <v>2014</v>
      </c>
      <c r="Q168">
        <v>167</v>
      </c>
      <c r="R168" t="s">
        <v>6663</v>
      </c>
      <c r="S168" s="1">
        <v>40734</v>
      </c>
      <c r="T168" s="1">
        <v>40735</v>
      </c>
      <c r="U168" t="str">
        <f t="shared" ca="1" si="34"/>
        <v>rg:False</v>
      </c>
      <c r="V168" t="str">
        <f t="shared" ca="1" si="35"/>
        <v>rg:None</v>
      </c>
      <c r="W168" t="s">
        <v>7224</v>
      </c>
      <c r="X168" t="s">
        <v>76</v>
      </c>
      <c r="Y168" t="s">
        <v>76</v>
      </c>
      <c r="Z168" t="s">
        <v>76</v>
      </c>
      <c r="AA168" t="s">
        <v>7571</v>
      </c>
      <c r="AB168" t="s">
        <v>7387</v>
      </c>
      <c r="AC168">
        <v>0</v>
      </c>
      <c r="AD168" t="str">
        <f t="shared" ca="1" si="36"/>
        <v>rg:False</v>
      </c>
      <c r="AE168" t="str">
        <f t="shared" ca="1" si="37"/>
        <v>rg:None</v>
      </c>
      <c r="AF168" s="1">
        <v>42481</v>
      </c>
      <c r="AG168" s="4">
        <f t="shared" ca="1" si="28"/>
        <v>261.33333333333331</v>
      </c>
      <c r="AH168" s="4">
        <f t="shared" si="38"/>
        <v>4.7222222222222223</v>
      </c>
      <c r="AI168">
        <f t="shared" ca="1" si="39"/>
        <v>122</v>
      </c>
      <c r="AJ168">
        <f t="shared" ca="1" si="40"/>
        <v>156</v>
      </c>
      <c r="AK168">
        <f t="shared" ca="1" si="41"/>
        <v>81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  <c r="AT168" t="s">
        <v>6510</v>
      </c>
    </row>
    <row r="169" spans="1:46" x14ac:dyDescent="0.3">
      <c r="A169" t="s">
        <v>5630</v>
      </c>
      <c r="B169">
        <f t="shared" si="29"/>
        <v>200167</v>
      </c>
      <c r="C169">
        <v>200042</v>
      </c>
      <c r="D169" t="str">
        <f t="shared" si="30"/>
        <v>rg:{'id': '200042'}</v>
      </c>
      <c r="E169">
        <f>VLOOKUP(C169,Owners.csv!C:J,6,FALSE)</f>
        <v>200002</v>
      </c>
      <c r="F169" t="str">
        <f>VLOOKUP(VLOOKUP(E169,LocalAreas.csv!I:K,3,FALSE),ServiceAreas.csv!F:J,5,FALSE)</f>
        <v>200009</v>
      </c>
      <c r="G169" t="str">
        <f t="shared" si="31"/>
        <v>rg:{'id': '200002'}</v>
      </c>
      <c r="H169" t="s">
        <v>7752</v>
      </c>
      <c r="I169" t="s">
        <v>5637</v>
      </c>
      <c r="J169">
        <f>VLOOKUP(I169&amp;"-"&amp;F169,DistrictEquipmentTypes.csv!J:K,2,FALSE)</f>
        <v>200001</v>
      </c>
      <c r="K169" t="str">
        <f t="shared" si="32"/>
        <v>rg:{'id': '200001'}</v>
      </c>
      <c r="L169">
        <f t="shared" si="33"/>
        <v>1</v>
      </c>
      <c r="M169" t="str">
        <f>VLOOKUP(C169,Owners.csv!C:K,9,FALSE)&amp;TEXT(Equipment.csv!L169,"0000")</f>
        <v>INDI0001</v>
      </c>
      <c r="N169" t="s">
        <v>5401</v>
      </c>
      <c r="O169" t="s">
        <v>6826</v>
      </c>
      <c r="P169">
        <v>1997</v>
      </c>
      <c r="Q169">
        <v>168</v>
      </c>
      <c r="R169" t="s">
        <v>6663</v>
      </c>
      <c r="S169" s="1">
        <v>40265</v>
      </c>
      <c r="T169" s="1">
        <v>40290</v>
      </c>
      <c r="U169" t="str">
        <f t="shared" ca="1" si="34"/>
        <v>rg:False</v>
      </c>
      <c r="V169" t="str">
        <f t="shared" ca="1" si="35"/>
        <v>rg:None</v>
      </c>
      <c r="W169" t="s">
        <v>7225</v>
      </c>
      <c r="X169" t="s">
        <v>76</v>
      </c>
      <c r="Y169" t="s">
        <v>76</v>
      </c>
      <c r="Z169" t="s">
        <v>76</v>
      </c>
      <c r="AA169" t="s">
        <v>7572</v>
      </c>
      <c r="AB169" t="s">
        <v>7388</v>
      </c>
      <c r="AC169">
        <v>0</v>
      </c>
      <c r="AD169" t="str">
        <f t="shared" ca="1" si="36"/>
        <v>rg:False</v>
      </c>
      <c r="AE169" t="str">
        <f t="shared" ca="1" si="37"/>
        <v>rg:None</v>
      </c>
      <c r="AF169" s="1">
        <v>42481</v>
      </c>
      <c r="AG169" s="4">
        <f t="shared" ca="1" si="28"/>
        <v>213.25</v>
      </c>
      <c r="AH169" s="4">
        <f t="shared" si="38"/>
        <v>5.9416666666666664</v>
      </c>
      <c r="AI169">
        <f t="shared" ca="1" si="39"/>
        <v>58</v>
      </c>
      <c r="AJ169">
        <f t="shared" ca="1" si="40"/>
        <v>28</v>
      </c>
      <c r="AK169">
        <f t="shared" ca="1" si="41"/>
        <v>19</v>
      </c>
      <c r="AL169" t="s">
        <v>5689</v>
      </c>
      <c r="AM169" t="s">
        <v>6883</v>
      </c>
      <c r="AN169" s="1">
        <v>42483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  <c r="AT169" t="s">
        <v>6510</v>
      </c>
    </row>
    <row r="170" spans="1:46" x14ac:dyDescent="0.3">
      <c r="A170" t="s">
        <v>5630</v>
      </c>
      <c r="B170">
        <f t="shared" si="29"/>
        <v>200168</v>
      </c>
      <c r="C170">
        <v>200043</v>
      </c>
      <c r="D170" t="str">
        <f t="shared" si="30"/>
        <v>rg:{'id': '200043'}</v>
      </c>
      <c r="E170">
        <f>VLOOKUP(C170,Owners.csv!C:J,6,FALSE)</f>
        <v>200002</v>
      </c>
      <c r="F170" t="str">
        <f>VLOOKUP(VLOOKUP(E170,LocalAreas.csv!I:K,3,FALSE),ServiceAreas.csv!F:J,5,FALSE)</f>
        <v>200009</v>
      </c>
      <c r="G170" t="str">
        <f t="shared" si="31"/>
        <v>rg:{'id': '200002'}</v>
      </c>
      <c r="H170" t="s">
        <v>7723</v>
      </c>
      <c r="I170" t="s">
        <v>5637</v>
      </c>
      <c r="J170">
        <f>VLOOKUP(I170&amp;"-"&amp;F170,DistrictEquipmentTypes.csv!J:K,2,FALSE)</f>
        <v>200001</v>
      </c>
      <c r="K170" t="str">
        <f t="shared" si="32"/>
        <v>rg:{'id': '200001'}</v>
      </c>
      <c r="L170">
        <f t="shared" si="33"/>
        <v>1</v>
      </c>
      <c r="M170" t="str">
        <f>VLOOKUP(C170,Owners.csv!C:K,9,FALSE)&amp;TEXT(Equipment.csv!L170,"0000")</f>
        <v>JBRA0001</v>
      </c>
      <c r="N170" t="s">
        <v>5401</v>
      </c>
      <c r="O170" t="s">
        <v>6827</v>
      </c>
      <c r="P170">
        <v>1973</v>
      </c>
      <c r="Q170">
        <v>169</v>
      </c>
      <c r="R170" t="s">
        <v>6663</v>
      </c>
      <c r="S170" s="1">
        <v>38181</v>
      </c>
      <c r="T170" s="1">
        <v>38198</v>
      </c>
      <c r="U170" t="str">
        <f t="shared" ca="1" si="34"/>
        <v>rg:False</v>
      </c>
      <c r="V170" t="str">
        <f t="shared" ca="1" si="35"/>
        <v>rg:None</v>
      </c>
      <c r="W170" t="s">
        <v>7226</v>
      </c>
      <c r="X170" t="s">
        <v>76</v>
      </c>
      <c r="Y170" t="s">
        <v>76</v>
      </c>
      <c r="Z170" t="s">
        <v>76</v>
      </c>
      <c r="AA170" t="s">
        <v>7573</v>
      </c>
      <c r="AB170" t="s">
        <v>7371</v>
      </c>
      <c r="AC170">
        <v>0</v>
      </c>
      <c r="AD170" t="str">
        <f t="shared" ca="1" si="36"/>
        <v>rg:False</v>
      </c>
      <c r="AE170" t="str">
        <f t="shared" ca="1" si="37"/>
        <v>rg:None</v>
      </c>
      <c r="AF170" s="1">
        <v>42481</v>
      </c>
      <c r="AG170" s="4">
        <f t="shared" ca="1" si="28"/>
        <v>451.41666666666663</v>
      </c>
      <c r="AH170" s="4">
        <f t="shared" si="38"/>
        <v>11.669444444444444</v>
      </c>
      <c r="AI170">
        <f t="shared" ca="1" si="39"/>
        <v>185</v>
      </c>
      <c r="AJ170">
        <f t="shared" ca="1" si="40"/>
        <v>17</v>
      </c>
      <c r="AK170">
        <f t="shared" ca="1" si="41"/>
        <v>102</v>
      </c>
      <c r="AL170" t="s">
        <v>326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  <c r="AT170" t="s">
        <v>6510</v>
      </c>
    </row>
    <row r="171" spans="1:46" x14ac:dyDescent="0.3">
      <c r="A171" t="s">
        <v>5630</v>
      </c>
      <c r="B171">
        <f t="shared" si="29"/>
        <v>200169</v>
      </c>
      <c r="C171">
        <v>200044</v>
      </c>
      <c r="D171" t="str">
        <f t="shared" si="30"/>
        <v>rg:{'id': '200044'}</v>
      </c>
      <c r="E171">
        <f>VLOOKUP(C171,Owners.csv!C:J,6,FALSE)</f>
        <v>200002</v>
      </c>
      <c r="F171" t="str">
        <f>VLOOKUP(VLOOKUP(E171,LocalAreas.csv!I:K,3,FALSE),ServiceAreas.csv!F:J,5,FALSE)</f>
        <v>200009</v>
      </c>
      <c r="G171" t="str">
        <f t="shared" si="31"/>
        <v>rg:{'id': '200002'}</v>
      </c>
      <c r="H171" t="s">
        <v>7678</v>
      </c>
      <c r="I171" t="s">
        <v>5637</v>
      </c>
      <c r="J171">
        <f>VLOOKUP(I171&amp;"-"&amp;F171,DistrictEquipmentTypes.csv!J:K,2,FALSE)</f>
        <v>200001</v>
      </c>
      <c r="K171" t="str">
        <f t="shared" si="32"/>
        <v>rg:{'id': '200001'}</v>
      </c>
      <c r="L171">
        <f t="shared" si="33"/>
        <v>1</v>
      </c>
      <c r="M171" t="str">
        <f>VLOOKUP(C171,Owners.csv!C:K,9,FALSE)&amp;TEXT(Equipment.csv!L171,"0000")</f>
        <v>JEAN0001</v>
      </c>
      <c r="N171" t="s">
        <v>5401</v>
      </c>
      <c r="O171" t="s">
        <v>6828</v>
      </c>
      <c r="P171">
        <v>2007</v>
      </c>
      <c r="Q171">
        <v>170</v>
      </c>
      <c r="R171" t="s">
        <v>6663</v>
      </c>
      <c r="S171" s="1">
        <v>40054</v>
      </c>
      <c r="T171" s="1">
        <v>40077</v>
      </c>
      <c r="U171" t="str">
        <f t="shared" ca="1" si="34"/>
        <v>rg:False</v>
      </c>
      <c r="V171" t="str">
        <f t="shared" ca="1" si="35"/>
        <v>rg:None</v>
      </c>
      <c r="W171" t="s">
        <v>7227</v>
      </c>
      <c r="X171" t="s">
        <v>76</v>
      </c>
      <c r="Y171" t="s">
        <v>76</v>
      </c>
      <c r="Z171" t="s">
        <v>76</v>
      </c>
      <c r="AA171" t="s">
        <v>7574</v>
      </c>
      <c r="AB171" t="s">
        <v>7338</v>
      </c>
      <c r="AC171">
        <v>0</v>
      </c>
      <c r="AD171" t="str">
        <f t="shared" ca="1" si="36"/>
        <v>rg:False</v>
      </c>
      <c r="AE171" t="str">
        <f t="shared" ca="1" si="37"/>
        <v>rg:None</v>
      </c>
      <c r="AF171" s="1">
        <v>42481</v>
      </c>
      <c r="AG171" s="4">
        <f t="shared" ca="1" si="28"/>
        <v>320.5</v>
      </c>
      <c r="AH171" s="4">
        <f t="shared" si="38"/>
        <v>6.5277777777777777</v>
      </c>
      <c r="AI171">
        <f t="shared" ca="1" si="39"/>
        <v>164</v>
      </c>
      <c r="AJ171">
        <f t="shared" ca="1" si="40"/>
        <v>113</v>
      </c>
      <c r="AK171">
        <f t="shared" ca="1" si="41"/>
        <v>97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  <c r="AT171" t="s">
        <v>6510</v>
      </c>
    </row>
    <row r="172" spans="1:46" x14ac:dyDescent="0.3">
      <c r="A172" t="s">
        <v>5630</v>
      </c>
      <c r="B172">
        <f t="shared" si="29"/>
        <v>200170</v>
      </c>
      <c r="C172">
        <v>200045</v>
      </c>
      <c r="D172" t="str">
        <f t="shared" si="30"/>
        <v>rg:{'id': '200045'}</v>
      </c>
      <c r="E172">
        <f>VLOOKUP(C172,Owners.csv!C:J,6,FALSE)</f>
        <v>200002</v>
      </c>
      <c r="F172" t="str">
        <f>VLOOKUP(VLOOKUP(E172,LocalAreas.csv!I:K,3,FALSE),ServiceAreas.csv!F:J,5,FALSE)</f>
        <v>200009</v>
      </c>
      <c r="G172" t="str">
        <f t="shared" si="31"/>
        <v>rg:{'id': '200002'}</v>
      </c>
      <c r="H172" t="s">
        <v>7694</v>
      </c>
      <c r="I172" t="s">
        <v>5637</v>
      </c>
      <c r="J172">
        <f>VLOOKUP(I172&amp;"-"&amp;F172,DistrictEquipmentTypes.csv!J:K,2,FALSE)</f>
        <v>200001</v>
      </c>
      <c r="K172" t="str">
        <f t="shared" si="32"/>
        <v>rg:{'id': '200001'}</v>
      </c>
      <c r="L172">
        <f t="shared" si="33"/>
        <v>1</v>
      </c>
      <c r="M172" t="str">
        <f>VLOOKUP(C172,Owners.csv!C:K,9,FALSE)&amp;TEXT(Equipment.csv!L172,"0000")</f>
        <v>KBTO0001</v>
      </c>
      <c r="N172" t="s">
        <v>5401</v>
      </c>
      <c r="O172" t="s">
        <v>6829</v>
      </c>
      <c r="P172">
        <v>1986</v>
      </c>
      <c r="Q172">
        <v>171</v>
      </c>
      <c r="R172" t="s">
        <v>6663</v>
      </c>
      <c r="S172" s="1">
        <v>42233</v>
      </c>
      <c r="T172" s="1">
        <v>42262</v>
      </c>
      <c r="U172" t="str">
        <f t="shared" ca="1" si="34"/>
        <v>rg:False</v>
      </c>
      <c r="V172" t="str">
        <f t="shared" ca="1" si="35"/>
        <v>rg:None</v>
      </c>
      <c r="W172" t="s">
        <v>7228</v>
      </c>
      <c r="X172" t="s">
        <v>76</v>
      </c>
      <c r="Y172" t="s">
        <v>76</v>
      </c>
      <c r="Z172" t="s">
        <v>76</v>
      </c>
      <c r="AA172" t="s">
        <v>7575</v>
      </c>
      <c r="AB172" t="s">
        <v>7389</v>
      </c>
      <c r="AC172">
        <v>0</v>
      </c>
      <c r="AD172" t="str">
        <f t="shared" ca="1" si="36"/>
        <v>rg:False</v>
      </c>
      <c r="AE172" t="str">
        <f t="shared" ca="1" si="37"/>
        <v>rg:None</v>
      </c>
      <c r="AF172" s="1">
        <v>42481</v>
      </c>
      <c r="AG172" s="4">
        <f t="shared" ca="1" si="28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  <c r="AT172" t="s">
        <v>6510</v>
      </c>
    </row>
    <row r="173" spans="1:46" x14ac:dyDescent="0.3">
      <c r="A173" t="s">
        <v>5630</v>
      </c>
      <c r="B173">
        <f t="shared" si="29"/>
        <v>200171</v>
      </c>
      <c r="C173">
        <v>200046</v>
      </c>
      <c r="D173" t="str">
        <f t="shared" si="30"/>
        <v>rg:{'id': '200046'}</v>
      </c>
      <c r="E173">
        <f>VLOOKUP(C173,Owners.csv!C:J,6,FALSE)</f>
        <v>200002</v>
      </c>
      <c r="F173" t="str">
        <f>VLOOKUP(VLOOKUP(E173,LocalAreas.csv!I:K,3,FALSE),ServiceAreas.csv!F:J,5,FALSE)</f>
        <v>200009</v>
      </c>
      <c r="G173" t="str">
        <f t="shared" si="31"/>
        <v>rg:{'id': '200002'}</v>
      </c>
      <c r="H173" t="s">
        <v>7753</v>
      </c>
      <c r="I173" t="s">
        <v>5637</v>
      </c>
      <c r="J173">
        <f>VLOOKUP(I173&amp;"-"&amp;F173,DistrictEquipmentTypes.csv!J:K,2,FALSE)</f>
        <v>200001</v>
      </c>
      <c r="K173" t="str">
        <f t="shared" si="32"/>
        <v>rg:{'id': '200001'}</v>
      </c>
      <c r="L173">
        <f t="shared" si="33"/>
        <v>1</v>
      </c>
      <c r="M173" t="str">
        <f>VLOOKUP(C173,Owners.csv!C:K,9,FALSE)&amp;TEXT(Equipment.csv!L173,"0000")</f>
        <v>KIDS0001</v>
      </c>
      <c r="N173" t="s">
        <v>5401</v>
      </c>
      <c r="O173" t="s">
        <v>6830</v>
      </c>
      <c r="P173">
        <v>1992</v>
      </c>
      <c r="Q173">
        <v>172</v>
      </c>
      <c r="R173" t="s">
        <v>6663</v>
      </c>
      <c r="S173" s="1">
        <v>39235</v>
      </c>
      <c r="T173" s="1">
        <v>39240</v>
      </c>
      <c r="U173" t="str">
        <f t="shared" ca="1" si="34"/>
        <v>rg:False</v>
      </c>
      <c r="V173" t="str">
        <f t="shared" ca="1" si="35"/>
        <v>rg:None</v>
      </c>
      <c r="W173" t="s">
        <v>7229</v>
      </c>
      <c r="X173" t="s">
        <v>76</v>
      </c>
      <c r="Y173" t="s">
        <v>76</v>
      </c>
      <c r="Z173" t="s">
        <v>76</v>
      </c>
      <c r="AA173" t="s">
        <v>7576</v>
      </c>
      <c r="AB173" t="s">
        <v>7369</v>
      </c>
      <c r="AC173">
        <v>0</v>
      </c>
      <c r="AD173" t="str">
        <f t="shared" ca="1" si="36"/>
        <v>rg:False</v>
      </c>
      <c r="AE173" t="str">
        <f t="shared" ca="1" si="37"/>
        <v>rg:None</v>
      </c>
      <c r="AF173" s="1">
        <v>42481</v>
      </c>
      <c r="AG173" s="4">
        <f t="shared" ca="1" si="28"/>
        <v>343.83333333333331</v>
      </c>
      <c r="AH173" s="4">
        <f t="shared" si="38"/>
        <v>8.8166666666666664</v>
      </c>
      <c r="AI173">
        <f t="shared" ca="1" si="39"/>
        <v>72</v>
      </c>
      <c r="AJ173">
        <f t="shared" ca="1" si="40"/>
        <v>157</v>
      </c>
      <c r="AK173">
        <f t="shared" ca="1" si="41"/>
        <v>9</v>
      </c>
      <c r="AL173" t="s">
        <v>5689</v>
      </c>
      <c r="AM173" t="s">
        <v>6886</v>
      </c>
      <c r="AN173" s="1">
        <v>42513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  <c r="AT173" t="s">
        <v>6510</v>
      </c>
    </row>
    <row r="174" spans="1:46" x14ac:dyDescent="0.3">
      <c r="A174" t="s">
        <v>5630</v>
      </c>
      <c r="B174">
        <f t="shared" si="29"/>
        <v>200172</v>
      </c>
      <c r="C174">
        <v>200047</v>
      </c>
      <c r="D174" t="str">
        <f t="shared" si="30"/>
        <v>rg:{'id': '200047'}</v>
      </c>
      <c r="E174">
        <f>VLOOKUP(C174,Owners.csv!C:J,6,FALSE)</f>
        <v>200002</v>
      </c>
      <c r="F174" t="str">
        <f>VLOOKUP(VLOOKUP(E174,LocalAreas.csv!I:K,3,FALSE),ServiceAreas.csv!F:J,5,FALSE)</f>
        <v>200009</v>
      </c>
      <c r="G174" t="str">
        <f t="shared" si="31"/>
        <v>rg:{'id': '200002'}</v>
      </c>
      <c r="H174" t="s">
        <v>7650</v>
      </c>
      <c r="I174" t="s">
        <v>5637</v>
      </c>
      <c r="J174">
        <f>VLOOKUP(I174&amp;"-"&amp;F174,DistrictEquipmentTypes.csv!J:K,2,FALSE)</f>
        <v>200001</v>
      </c>
      <c r="K174" t="str">
        <f t="shared" si="32"/>
        <v>rg:{'id': '200001'}</v>
      </c>
      <c r="L174">
        <f t="shared" si="33"/>
        <v>1</v>
      </c>
      <c r="M174" t="str">
        <f>VLOOKUP(C174,Owners.csv!C:K,9,FALSE)&amp;TEXT(Equipment.csv!L174,"0000")</f>
        <v>KINN0001</v>
      </c>
      <c r="N174" t="s">
        <v>5401</v>
      </c>
      <c r="O174" t="s">
        <v>6831</v>
      </c>
      <c r="P174">
        <v>1995</v>
      </c>
      <c r="Q174">
        <v>173</v>
      </c>
      <c r="R174" t="s">
        <v>6663</v>
      </c>
      <c r="S174" s="1">
        <v>37893</v>
      </c>
      <c r="T174" s="1">
        <v>37902</v>
      </c>
      <c r="U174" t="str">
        <f t="shared" ca="1" si="34"/>
        <v>rg:False</v>
      </c>
      <c r="V174" t="str">
        <f t="shared" ca="1" si="35"/>
        <v>rg:None</v>
      </c>
      <c r="W174" t="s">
        <v>7230</v>
      </c>
      <c r="X174" t="s">
        <v>76</v>
      </c>
      <c r="Y174" t="s">
        <v>76</v>
      </c>
      <c r="Z174" t="s">
        <v>76</v>
      </c>
      <c r="AA174" t="s">
        <v>7577</v>
      </c>
      <c r="AB174" t="s">
        <v>7274</v>
      </c>
      <c r="AC174">
        <v>0</v>
      </c>
      <c r="AD174" t="str">
        <f t="shared" ca="1" si="36"/>
        <v>rg:False</v>
      </c>
      <c r="AE174" t="str">
        <f t="shared" ca="1" si="37"/>
        <v>rg:None</v>
      </c>
      <c r="AF174" s="1">
        <v>42481</v>
      </c>
      <c r="AG174" s="4">
        <f t="shared" ca="1" si="28"/>
        <v>445.41666666666669</v>
      </c>
      <c r="AH174" s="4">
        <f t="shared" si="38"/>
        <v>12.480555555555556</v>
      </c>
      <c r="AI174">
        <f t="shared" ca="1" si="39"/>
        <v>2</v>
      </c>
      <c r="AJ174">
        <f t="shared" ca="1" si="40"/>
        <v>68</v>
      </c>
      <c r="AK174">
        <f t="shared" ca="1" si="41"/>
        <v>143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  <c r="AT174" t="s">
        <v>6510</v>
      </c>
    </row>
    <row r="175" spans="1:46" x14ac:dyDescent="0.3">
      <c r="A175" t="s">
        <v>5630</v>
      </c>
      <c r="B175">
        <f t="shared" si="29"/>
        <v>200173</v>
      </c>
      <c r="C175">
        <v>200048</v>
      </c>
      <c r="D175" t="str">
        <f t="shared" si="30"/>
        <v>rg:{'id': '200048'}</v>
      </c>
      <c r="E175">
        <f>VLOOKUP(C175,Owners.csv!C:J,6,FALSE)</f>
        <v>200002</v>
      </c>
      <c r="F175" t="str">
        <f>VLOOKUP(VLOOKUP(E175,LocalAreas.csv!I:K,3,FALSE),ServiceAreas.csv!F:J,5,FALSE)</f>
        <v>200009</v>
      </c>
      <c r="G175" t="str">
        <f t="shared" si="31"/>
        <v>rg:{'id': '200002'}</v>
      </c>
      <c r="H175" t="s">
        <v>7754</v>
      </c>
      <c r="I175" t="s">
        <v>5637</v>
      </c>
      <c r="J175">
        <f>VLOOKUP(I175&amp;"-"&amp;F175,DistrictEquipmentTypes.csv!J:K,2,FALSE)</f>
        <v>200001</v>
      </c>
      <c r="K175" t="str">
        <f t="shared" si="32"/>
        <v>rg:{'id': '200001'}</v>
      </c>
      <c r="L175">
        <f t="shared" si="33"/>
        <v>1</v>
      </c>
      <c r="M175" t="str">
        <f>VLOOKUP(C175,Owners.csv!C:K,9,FALSE)&amp;TEXT(Equipment.csv!L175,"0000")</f>
        <v>KNOX0001</v>
      </c>
      <c r="N175" t="s">
        <v>5401</v>
      </c>
      <c r="O175" t="s">
        <v>6832</v>
      </c>
      <c r="P175">
        <v>1971</v>
      </c>
      <c r="Q175">
        <v>174</v>
      </c>
      <c r="R175" t="s">
        <v>6663</v>
      </c>
      <c r="S175" s="1">
        <v>39476</v>
      </c>
      <c r="T175" s="1">
        <v>39491</v>
      </c>
      <c r="U175" t="str">
        <f t="shared" ca="1" si="34"/>
        <v>rg:False</v>
      </c>
      <c r="V175" t="str">
        <f t="shared" ca="1" si="35"/>
        <v>rg:None</v>
      </c>
      <c r="W175" t="s">
        <v>7231</v>
      </c>
      <c r="X175" t="s">
        <v>76</v>
      </c>
      <c r="Y175" t="s">
        <v>76</v>
      </c>
      <c r="Z175" t="s">
        <v>76</v>
      </c>
      <c r="AA175" t="s">
        <v>7578</v>
      </c>
      <c r="AB175" t="s">
        <v>7291</v>
      </c>
      <c r="AC175">
        <v>0</v>
      </c>
      <c r="AD175" t="str">
        <f t="shared" ca="1" si="36"/>
        <v>rg:False</v>
      </c>
      <c r="AE175" t="str">
        <f t="shared" ca="1" si="37"/>
        <v>rg:None</v>
      </c>
      <c r="AF175" s="1">
        <v>42481</v>
      </c>
      <c r="AG175" s="4">
        <f t="shared" ca="1" si="28"/>
        <v>385.33333333333337</v>
      </c>
      <c r="AH175" s="4">
        <f t="shared" si="38"/>
        <v>8.1333333333333329</v>
      </c>
      <c r="AI175">
        <f t="shared" ca="1" si="39"/>
        <v>180</v>
      </c>
      <c r="AJ175">
        <f t="shared" ca="1" si="40"/>
        <v>180</v>
      </c>
      <c r="AK175">
        <f t="shared" ca="1" si="41"/>
        <v>64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  <c r="AT175" t="s">
        <v>6510</v>
      </c>
    </row>
    <row r="176" spans="1:46" x14ac:dyDescent="0.3">
      <c r="A176" t="s">
        <v>5630</v>
      </c>
      <c r="B176">
        <f t="shared" si="29"/>
        <v>200174</v>
      </c>
      <c r="C176">
        <v>200049</v>
      </c>
      <c r="D176" t="str">
        <f t="shared" si="30"/>
        <v>rg:{'id': '200049'}</v>
      </c>
      <c r="E176">
        <f>VLOOKUP(C176,Owners.csv!C:J,6,FALSE)</f>
        <v>200002</v>
      </c>
      <c r="F176" t="str">
        <f>VLOOKUP(VLOOKUP(E176,LocalAreas.csv!I:K,3,FALSE),ServiceAreas.csv!F:J,5,FALSE)</f>
        <v>200009</v>
      </c>
      <c r="G176" t="str">
        <f t="shared" si="31"/>
        <v>rg:{'id': '200002'}</v>
      </c>
      <c r="H176" t="s">
        <v>7714</v>
      </c>
      <c r="I176" t="s">
        <v>5637</v>
      </c>
      <c r="J176">
        <f>VLOOKUP(I176&amp;"-"&amp;F176,DistrictEquipmentTypes.csv!J:K,2,FALSE)</f>
        <v>200001</v>
      </c>
      <c r="K176" t="str">
        <f t="shared" si="32"/>
        <v>rg:{'id': '200001'}</v>
      </c>
      <c r="L176">
        <f t="shared" si="33"/>
        <v>1</v>
      </c>
      <c r="M176" t="str">
        <f>VLOOKUP(C176,Owners.csv!C:K,9,FALSE)&amp;TEXT(Equipment.csv!L176,"0000")</f>
        <v>LAWN0001</v>
      </c>
      <c r="N176" t="s">
        <v>5401</v>
      </c>
      <c r="O176" t="s">
        <v>6833</v>
      </c>
      <c r="P176">
        <v>2012</v>
      </c>
      <c r="Q176">
        <v>175</v>
      </c>
      <c r="R176" t="s">
        <v>6663</v>
      </c>
      <c r="S176" s="1">
        <v>39043</v>
      </c>
      <c r="T176" s="1">
        <v>39069</v>
      </c>
      <c r="U176" t="str">
        <f t="shared" ca="1" si="34"/>
        <v>rg:False</v>
      </c>
      <c r="V176" t="str">
        <f t="shared" ca="1" si="35"/>
        <v>rg:None</v>
      </c>
      <c r="W176" t="s">
        <v>7232</v>
      </c>
      <c r="X176" t="s">
        <v>76</v>
      </c>
      <c r="Y176" t="s">
        <v>76</v>
      </c>
      <c r="Z176" t="s">
        <v>76</v>
      </c>
      <c r="AA176" t="s">
        <v>7579</v>
      </c>
      <c r="AB176" t="s">
        <v>7390</v>
      </c>
      <c r="AC176">
        <v>0</v>
      </c>
      <c r="AD176" t="str">
        <f t="shared" ca="1" si="36"/>
        <v>rg:False</v>
      </c>
      <c r="AE176" t="str">
        <f t="shared" ca="1" si="37"/>
        <v>rg:None</v>
      </c>
      <c r="AF176" s="1">
        <v>42481</v>
      </c>
      <c r="AG176" s="4">
        <f t="shared" ca="1" si="28"/>
        <v>379.58333333333337</v>
      </c>
      <c r="AH176" s="4">
        <f t="shared" si="38"/>
        <v>9.2861111111111114</v>
      </c>
      <c r="AI176">
        <f t="shared" ca="1" si="39"/>
        <v>152</v>
      </c>
      <c r="AJ176">
        <f t="shared" ca="1" si="40"/>
        <v>135</v>
      </c>
      <c r="AK176">
        <f t="shared" ca="1" si="41"/>
        <v>16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  <c r="AT176" t="s">
        <v>6510</v>
      </c>
    </row>
    <row r="177" spans="1:46" x14ac:dyDescent="0.3">
      <c r="A177" t="s">
        <v>5630</v>
      </c>
      <c r="B177">
        <f t="shared" si="29"/>
        <v>200175</v>
      </c>
      <c r="C177">
        <v>200050</v>
      </c>
      <c r="D177" t="str">
        <f t="shared" si="30"/>
        <v>rg:{'id': '200050'}</v>
      </c>
      <c r="E177">
        <f>VLOOKUP(C177,Owners.csv!C:J,6,FALSE)</f>
        <v>200002</v>
      </c>
      <c r="F177" t="str">
        <f>VLOOKUP(VLOOKUP(E177,LocalAreas.csv!I:K,3,FALSE),ServiceAreas.csv!F:J,5,FALSE)</f>
        <v>200009</v>
      </c>
      <c r="G177" t="str">
        <f t="shared" si="31"/>
        <v>rg:{'id': '200002'}</v>
      </c>
      <c r="H177" t="s">
        <v>7755</v>
      </c>
      <c r="I177" t="s">
        <v>5637</v>
      </c>
      <c r="J177">
        <f>VLOOKUP(I177&amp;"-"&amp;F177,DistrictEquipmentTypes.csv!J:K,2,FALSE)</f>
        <v>200001</v>
      </c>
      <c r="K177" t="str">
        <f t="shared" si="32"/>
        <v>rg:{'id': '200001'}</v>
      </c>
      <c r="L177">
        <f t="shared" si="33"/>
        <v>1</v>
      </c>
      <c r="M177" t="str">
        <f>VLOOKUP(C177,Owners.csv!C:K,9,FALSE)&amp;TEXT(Equipment.csv!L177,"0000")</f>
        <v>LIND0001</v>
      </c>
      <c r="N177" t="s">
        <v>5401</v>
      </c>
      <c r="O177" t="s">
        <v>6834</v>
      </c>
      <c r="P177">
        <v>1988</v>
      </c>
      <c r="Q177">
        <v>176</v>
      </c>
      <c r="R177" t="s">
        <v>6663</v>
      </c>
      <c r="S177" s="1">
        <v>37879</v>
      </c>
      <c r="T177" s="1">
        <v>37909</v>
      </c>
      <c r="U177" t="str">
        <f t="shared" ca="1" si="34"/>
        <v>rg:True</v>
      </c>
      <c r="V177" t="str">
        <f t="shared" ca="1" si="35"/>
        <v>This equipment should be archived</v>
      </c>
      <c r="W177" t="s">
        <v>7233</v>
      </c>
      <c r="X177" t="s">
        <v>76</v>
      </c>
      <c r="Y177" t="s">
        <v>76</v>
      </c>
      <c r="Z177" t="s">
        <v>76</v>
      </c>
      <c r="AA177" t="s">
        <v>7580</v>
      </c>
      <c r="AB177" t="s">
        <v>7289</v>
      </c>
      <c r="AC177">
        <v>0</v>
      </c>
      <c r="AD177" t="str">
        <f t="shared" ca="1" si="36"/>
        <v>rg:False</v>
      </c>
      <c r="AE177" t="str">
        <f t="shared" ca="1" si="37"/>
        <v>rg:None</v>
      </c>
      <c r="AF177" s="1">
        <v>42481</v>
      </c>
      <c r="AG177" s="4">
        <f t="shared" ca="1" si="28"/>
        <v>469.5</v>
      </c>
      <c r="AH177" s="4">
        <f t="shared" si="38"/>
        <v>12.46111111111111</v>
      </c>
      <c r="AI177">
        <f t="shared" ca="1" si="39"/>
        <v>46</v>
      </c>
      <c r="AJ177">
        <f t="shared" ca="1" si="40"/>
        <v>64</v>
      </c>
      <c r="AK177">
        <f t="shared" ca="1" si="41"/>
        <v>177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  <c r="AT177" t="s">
        <v>6510</v>
      </c>
    </row>
    <row r="178" spans="1:46" x14ac:dyDescent="0.3">
      <c r="A178" t="s">
        <v>5630</v>
      </c>
      <c r="B178">
        <f t="shared" si="29"/>
        <v>200176</v>
      </c>
      <c r="C178">
        <v>200051</v>
      </c>
      <c r="D178" t="str">
        <f t="shared" si="30"/>
        <v>rg:{'id': '200051'}</v>
      </c>
      <c r="E178">
        <f>VLOOKUP(C178,Owners.csv!C:J,6,FALSE)</f>
        <v>200002</v>
      </c>
      <c r="F178" t="str">
        <f>VLOOKUP(VLOOKUP(E178,LocalAreas.csv!I:K,3,FALSE),ServiceAreas.csv!F:J,5,FALSE)</f>
        <v>200009</v>
      </c>
      <c r="G178" t="str">
        <f t="shared" si="31"/>
        <v>rg:{'id': '200002'}</v>
      </c>
      <c r="H178" t="s">
        <v>7731</v>
      </c>
      <c r="I178" t="s">
        <v>5637</v>
      </c>
      <c r="J178">
        <f>VLOOKUP(I178&amp;"-"&amp;F178,DistrictEquipmentTypes.csv!J:K,2,FALSE)</f>
        <v>200001</v>
      </c>
      <c r="K178" t="str">
        <f t="shared" si="32"/>
        <v>rg:{'id': '200001'}</v>
      </c>
      <c r="L178">
        <f t="shared" si="33"/>
        <v>1</v>
      </c>
      <c r="M178" t="str">
        <f>VLOOKUP(C178,Owners.csv!C:K,9,FALSE)&amp;TEXT(Equipment.csv!L178,"0000")</f>
        <v>LION0001</v>
      </c>
      <c r="N178" t="s">
        <v>5401</v>
      </c>
      <c r="O178" t="s">
        <v>6835</v>
      </c>
      <c r="P178">
        <v>2003</v>
      </c>
      <c r="Q178">
        <v>177</v>
      </c>
      <c r="R178" t="s">
        <v>6663</v>
      </c>
      <c r="S178" s="1">
        <v>40663</v>
      </c>
      <c r="T178" s="1">
        <v>40680</v>
      </c>
      <c r="U178" t="str">
        <f t="shared" ca="1" si="34"/>
        <v>rg:False</v>
      </c>
      <c r="V178" t="str">
        <f t="shared" ca="1" si="35"/>
        <v>rg:None</v>
      </c>
      <c r="W178" t="s">
        <v>7234</v>
      </c>
      <c r="X178" t="s">
        <v>76</v>
      </c>
      <c r="Y178" t="s">
        <v>76</v>
      </c>
      <c r="Z178" t="s">
        <v>76</v>
      </c>
      <c r="AA178" t="s">
        <v>7581</v>
      </c>
      <c r="AB178" t="s">
        <v>7391</v>
      </c>
      <c r="AC178">
        <v>0</v>
      </c>
      <c r="AD178" t="str">
        <f t="shared" ca="1" si="36"/>
        <v>rg:False</v>
      </c>
      <c r="AE178" t="str">
        <f t="shared" ca="1" si="37"/>
        <v>rg:None</v>
      </c>
      <c r="AF178" s="1">
        <v>42481</v>
      </c>
      <c r="AG178" s="4">
        <f t="shared" ca="1" si="28"/>
        <v>220.83333333333331</v>
      </c>
      <c r="AH178" s="4">
        <f t="shared" si="38"/>
        <v>4.8722222222222218</v>
      </c>
      <c r="AI178">
        <f t="shared" ca="1" si="39"/>
        <v>44</v>
      </c>
      <c r="AJ178">
        <f t="shared" ca="1" si="40"/>
        <v>25</v>
      </c>
      <c r="AK178">
        <f t="shared" ca="1" si="41"/>
        <v>155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  <c r="AT178" t="s">
        <v>6510</v>
      </c>
    </row>
    <row r="179" spans="1:46" x14ac:dyDescent="0.3">
      <c r="A179" t="s">
        <v>5630</v>
      </c>
      <c r="B179">
        <f t="shared" si="29"/>
        <v>200177</v>
      </c>
      <c r="C179">
        <v>200052</v>
      </c>
      <c r="D179" t="str">
        <f t="shared" si="30"/>
        <v>rg:{'id': '200052'}</v>
      </c>
      <c r="E179">
        <f>VLOOKUP(C179,Owners.csv!C:J,6,FALSE)</f>
        <v>200002</v>
      </c>
      <c r="F179" t="str">
        <f>VLOOKUP(VLOOKUP(E179,LocalAreas.csv!I:K,3,FALSE),ServiceAreas.csv!F:J,5,FALSE)</f>
        <v>200009</v>
      </c>
      <c r="G179" t="str">
        <f t="shared" si="31"/>
        <v>rg:{'id': '200002'}</v>
      </c>
      <c r="H179" t="s">
        <v>7756</v>
      </c>
      <c r="I179" t="s">
        <v>5637</v>
      </c>
      <c r="J179">
        <f>VLOOKUP(I179&amp;"-"&amp;F179,DistrictEquipmentTypes.csv!J:K,2,FALSE)</f>
        <v>200001</v>
      </c>
      <c r="K179" t="str">
        <f t="shared" si="32"/>
        <v>rg:{'id': '200001'}</v>
      </c>
      <c r="L179">
        <f t="shared" si="33"/>
        <v>1</v>
      </c>
      <c r="M179" t="str">
        <f>VLOOKUP(C179,Owners.csv!C:K,9,FALSE)&amp;TEXT(Equipment.csv!L179,"0000")</f>
        <v>LITT0001</v>
      </c>
      <c r="N179" t="s">
        <v>5401</v>
      </c>
      <c r="O179" t="s">
        <v>6836</v>
      </c>
      <c r="P179">
        <v>1995</v>
      </c>
      <c r="Q179">
        <v>178</v>
      </c>
      <c r="R179" t="s">
        <v>6663</v>
      </c>
      <c r="S179" s="1">
        <v>42192</v>
      </c>
      <c r="T179" s="1">
        <v>42194</v>
      </c>
      <c r="U179" t="str">
        <f t="shared" ca="1" si="34"/>
        <v>rg:False</v>
      </c>
      <c r="V179" t="str">
        <f t="shared" ca="1" si="35"/>
        <v>rg:None</v>
      </c>
      <c r="W179" t="s">
        <v>7235</v>
      </c>
      <c r="X179" t="s">
        <v>76</v>
      </c>
      <c r="Y179" t="s">
        <v>76</v>
      </c>
      <c r="Z179" t="s">
        <v>76</v>
      </c>
      <c r="AA179" t="s">
        <v>7582</v>
      </c>
      <c r="AB179" t="s">
        <v>7392</v>
      </c>
      <c r="AC179">
        <v>0</v>
      </c>
      <c r="AD179" t="str">
        <f t="shared" ca="1" si="36"/>
        <v>rg:False</v>
      </c>
      <c r="AE179" t="str">
        <f t="shared" ca="1" si="37"/>
        <v>rg:None</v>
      </c>
      <c r="AF179" s="1">
        <v>42481</v>
      </c>
      <c r="AG179" s="4">
        <f t="shared" ca="1" si="28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  <c r="AT179" t="s">
        <v>6510</v>
      </c>
    </row>
    <row r="180" spans="1:46" x14ac:dyDescent="0.3">
      <c r="A180" t="s">
        <v>5630</v>
      </c>
      <c r="B180">
        <f t="shared" si="29"/>
        <v>200178</v>
      </c>
      <c r="C180">
        <v>200053</v>
      </c>
      <c r="D180" t="str">
        <f t="shared" si="30"/>
        <v>rg:{'id': '200053'}</v>
      </c>
      <c r="E180">
        <f>VLOOKUP(C180,Owners.csv!C:J,6,FALSE)</f>
        <v>200002</v>
      </c>
      <c r="F180" t="str">
        <f>VLOOKUP(VLOOKUP(E180,LocalAreas.csv!I:K,3,FALSE),ServiceAreas.csv!F:J,5,FALSE)</f>
        <v>200009</v>
      </c>
      <c r="G180" t="str">
        <f t="shared" si="31"/>
        <v>rg:{'id': '200002'}</v>
      </c>
      <c r="H180" t="s">
        <v>7724</v>
      </c>
      <c r="I180" t="s">
        <v>5637</v>
      </c>
      <c r="J180">
        <f>VLOOKUP(I180&amp;"-"&amp;F180,DistrictEquipmentTypes.csv!J:K,2,FALSE)</f>
        <v>200001</v>
      </c>
      <c r="K180" t="str">
        <f t="shared" si="32"/>
        <v>rg:{'id': '200001'}</v>
      </c>
      <c r="L180">
        <f t="shared" si="33"/>
        <v>1</v>
      </c>
      <c r="M180" t="str">
        <f>VLOOKUP(C180,Owners.csv!C:K,9,FALSE)&amp;TEXT(Equipment.csv!L180,"0000")</f>
        <v>MAGI0001</v>
      </c>
      <c r="N180" t="s">
        <v>5401</v>
      </c>
      <c r="O180" t="s">
        <v>6837</v>
      </c>
      <c r="P180">
        <v>2002</v>
      </c>
      <c r="Q180">
        <v>179</v>
      </c>
      <c r="R180" t="s">
        <v>6663</v>
      </c>
      <c r="S180" s="1">
        <v>42225</v>
      </c>
      <c r="T180" s="1">
        <v>42242</v>
      </c>
      <c r="U180" t="str">
        <f t="shared" ca="1" si="34"/>
        <v>rg:False</v>
      </c>
      <c r="V180" t="str">
        <f t="shared" ca="1" si="35"/>
        <v>rg:None</v>
      </c>
      <c r="W180" t="s">
        <v>7236</v>
      </c>
      <c r="X180" t="s">
        <v>76</v>
      </c>
      <c r="Y180" t="s">
        <v>76</v>
      </c>
      <c r="Z180" t="s">
        <v>76</v>
      </c>
      <c r="AA180" t="s">
        <v>7583</v>
      </c>
      <c r="AB180" t="s">
        <v>7270</v>
      </c>
      <c r="AC180">
        <v>0</v>
      </c>
      <c r="AD180" t="str">
        <f t="shared" ca="1" si="36"/>
        <v>rg:False</v>
      </c>
      <c r="AE180" t="str">
        <f t="shared" ca="1" si="37"/>
        <v>rg:None</v>
      </c>
      <c r="AF180" s="1">
        <v>42481</v>
      </c>
      <c r="AG180" s="4">
        <f t="shared" ca="1" si="28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  <c r="AT180" t="s">
        <v>6510</v>
      </c>
    </row>
    <row r="181" spans="1:46" x14ac:dyDescent="0.3">
      <c r="A181" t="s">
        <v>5630</v>
      </c>
      <c r="B181">
        <f t="shared" si="29"/>
        <v>200179</v>
      </c>
      <c r="C181">
        <v>200054</v>
      </c>
      <c r="D181" t="str">
        <f t="shared" si="30"/>
        <v>rg:{'id': '200054'}</v>
      </c>
      <c r="E181">
        <f>VLOOKUP(C181,Owners.csv!C:J,6,FALSE)</f>
        <v>200002</v>
      </c>
      <c r="F181" t="str">
        <f>VLOOKUP(VLOOKUP(E181,LocalAreas.csv!I:K,3,FALSE),ServiceAreas.csv!F:J,5,FALSE)</f>
        <v>200009</v>
      </c>
      <c r="G181" t="str">
        <f t="shared" si="31"/>
        <v>rg:{'id': '200002'}</v>
      </c>
      <c r="H181" t="s">
        <v>7744</v>
      </c>
      <c r="I181" t="s">
        <v>5637</v>
      </c>
      <c r="J181">
        <f>VLOOKUP(I181&amp;"-"&amp;F181,DistrictEquipmentTypes.csv!J:K,2,FALSE)</f>
        <v>200001</v>
      </c>
      <c r="K181" t="str">
        <f t="shared" si="32"/>
        <v>rg:{'id': '200001'}</v>
      </c>
      <c r="L181">
        <f t="shared" si="33"/>
        <v>1</v>
      </c>
      <c r="M181" t="str">
        <f>VLOOKUP(C181,Owners.csv!C:K,9,FALSE)&amp;TEXT(Equipment.csv!L181,"0000")</f>
        <v>MANC0001</v>
      </c>
      <c r="N181" t="s">
        <v>5401</v>
      </c>
      <c r="O181" t="s">
        <v>6838</v>
      </c>
      <c r="P181">
        <v>1990</v>
      </c>
      <c r="Q181">
        <v>180</v>
      </c>
      <c r="R181" t="s">
        <v>6663</v>
      </c>
      <c r="S181" s="1">
        <v>40978</v>
      </c>
      <c r="T181" s="1">
        <v>40995</v>
      </c>
      <c r="U181" t="str">
        <f t="shared" ca="1" si="34"/>
        <v>rg:False</v>
      </c>
      <c r="V181" t="str">
        <f t="shared" ca="1" si="35"/>
        <v>rg:None</v>
      </c>
      <c r="W181" t="s">
        <v>7237</v>
      </c>
      <c r="X181" t="s">
        <v>76</v>
      </c>
      <c r="Y181" t="s">
        <v>76</v>
      </c>
      <c r="Z181" t="s">
        <v>76</v>
      </c>
      <c r="AA181" t="s">
        <v>7584</v>
      </c>
      <c r="AB181" t="s">
        <v>7393</v>
      </c>
      <c r="AC181">
        <v>0</v>
      </c>
      <c r="AD181" t="str">
        <f t="shared" ca="1" si="36"/>
        <v>rg:False</v>
      </c>
      <c r="AE181" t="str">
        <f t="shared" ca="1" si="37"/>
        <v>rg:None</v>
      </c>
      <c r="AF181" s="1">
        <v>42481</v>
      </c>
      <c r="AG181" s="4">
        <f t="shared" ca="1" si="28"/>
        <v>218.33333333333331</v>
      </c>
      <c r="AH181" s="4">
        <f t="shared" si="38"/>
        <v>4.0111111111111111</v>
      </c>
      <c r="AI181">
        <f t="shared" ca="1" si="39"/>
        <v>76</v>
      </c>
      <c r="AJ181">
        <f t="shared" ca="1" si="40"/>
        <v>83</v>
      </c>
      <c r="AK181">
        <f t="shared" ca="1" si="41"/>
        <v>135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  <c r="AT181" t="s">
        <v>6510</v>
      </c>
    </row>
    <row r="182" spans="1:46" x14ac:dyDescent="0.3">
      <c r="A182" t="s">
        <v>5630</v>
      </c>
      <c r="B182">
        <f t="shared" si="29"/>
        <v>200180</v>
      </c>
      <c r="C182">
        <v>200055</v>
      </c>
      <c r="D182" t="str">
        <f t="shared" si="30"/>
        <v>rg:{'id': '200055'}</v>
      </c>
      <c r="E182">
        <f>VLOOKUP(C182,Owners.csv!C:J,6,FALSE)</f>
        <v>200002</v>
      </c>
      <c r="F182" t="str">
        <f>VLOOKUP(VLOOKUP(E182,LocalAreas.csv!I:K,3,FALSE),ServiceAreas.csv!F:J,5,FALSE)</f>
        <v>200009</v>
      </c>
      <c r="G182" t="str">
        <f t="shared" si="31"/>
        <v>rg:{'id': '200002'}</v>
      </c>
      <c r="H182" t="s">
        <v>7757</v>
      </c>
      <c r="I182" t="s">
        <v>5637</v>
      </c>
      <c r="J182">
        <f>VLOOKUP(I182&amp;"-"&amp;F182,DistrictEquipmentTypes.csv!J:K,2,FALSE)</f>
        <v>200001</v>
      </c>
      <c r="K182" t="str">
        <f t="shared" si="32"/>
        <v>rg:{'id': '200001'}</v>
      </c>
      <c r="L182">
        <f t="shared" si="33"/>
        <v>1</v>
      </c>
      <c r="M182" t="str">
        <f>VLOOKUP(C182,Owners.csv!C:K,9,FALSE)&amp;TEXT(Equipment.csv!L182,"0000")</f>
        <v>MCDU0001</v>
      </c>
      <c r="N182" t="s">
        <v>5401</v>
      </c>
      <c r="O182" t="s">
        <v>6839</v>
      </c>
      <c r="P182">
        <v>1978</v>
      </c>
      <c r="Q182">
        <v>181</v>
      </c>
      <c r="R182" t="s">
        <v>6663</v>
      </c>
      <c r="S182" s="1">
        <v>40190</v>
      </c>
      <c r="T182" s="1">
        <v>40217</v>
      </c>
      <c r="U182" t="str">
        <f t="shared" ca="1" si="34"/>
        <v>rg:False</v>
      </c>
      <c r="V182" t="str">
        <f t="shared" ca="1" si="35"/>
        <v>rg:None</v>
      </c>
      <c r="W182" t="s">
        <v>7238</v>
      </c>
      <c r="X182" t="s">
        <v>76</v>
      </c>
      <c r="Y182" t="s">
        <v>76</v>
      </c>
      <c r="Z182" t="s">
        <v>76</v>
      </c>
      <c r="AA182" t="s">
        <v>7585</v>
      </c>
      <c r="AB182" t="s">
        <v>7394</v>
      </c>
      <c r="AC182">
        <v>0</v>
      </c>
      <c r="AD182" t="str">
        <f t="shared" ca="1" si="36"/>
        <v>rg:False</v>
      </c>
      <c r="AE182" t="str">
        <f t="shared" ca="1" si="37"/>
        <v>rg:None</v>
      </c>
      <c r="AF182" s="1">
        <v>42481</v>
      </c>
      <c r="AG182" s="4">
        <f t="shared" ca="1" si="28"/>
        <v>301.75</v>
      </c>
      <c r="AH182" s="4">
        <f t="shared" si="38"/>
        <v>6.1472222222222221</v>
      </c>
      <c r="AI182">
        <f t="shared" ca="1" si="39"/>
        <v>108</v>
      </c>
      <c r="AJ182">
        <f t="shared" ca="1" si="40"/>
        <v>77</v>
      </c>
      <c r="AK182">
        <f t="shared" ca="1" si="41"/>
        <v>167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  <c r="AT182" t="s">
        <v>6510</v>
      </c>
    </row>
    <row r="183" spans="1:46" x14ac:dyDescent="0.3">
      <c r="A183" t="s">
        <v>5630</v>
      </c>
      <c r="B183">
        <f t="shared" si="29"/>
        <v>200181</v>
      </c>
      <c r="C183">
        <v>200056</v>
      </c>
      <c r="D183" t="str">
        <f t="shared" si="30"/>
        <v>rg:{'id': '200056'}</v>
      </c>
      <c r="E183">
        <f>VLOOKUP(C183,Owners.csv!C:J,6,FALSE)</f>
        <v>200002</v>
      </c>
      <c r="F183" t="str">
        <f>VLOOKUP(VLOOKUP(E183,LocalAreas.csv!I:K,3,FALSE),ServiceAreas.csv!F:J,5,FALSE)</f>
        <v>200009</v>
      </c>
      <c r="G183" t="str">
        <f t="shared" si="31"/>
        <v>rg:{'id': '200002'}</v>
      </c>
      <c r="H183" t="s">
        <v>7666</v>
      </c>
      <c r="I183" t="s">
        <v>5637</v>
      </c>
      <c r="J183">
        <f>VLOOKUP(I183&amp;"-"&amp;F183,DistrictEquipmentTypes.csv!J:K,2,FALSE)</f>
        <v>200001</v>
      </c>
      <c r="K183" t="str">
        <f t="shared" si="32"/>
        <v>rg:{'id': '200001'}</v>
      </c>
      <c r="L183">
        <f t="shared" si="33"/>
        <v>1</v>
      </c>
      <c r="M183" t="str">
        <f>VLOOKUP(C183,Owners.csv!C:K,9,FALSE)&amp;TEXT(Equipment.csv!L183,"0000")</f>
        <v>MEGA0001</v>
      </c>
      <c r="N183" t="s">
        <v>5401</v>
      </c>
      <c r="O183" t="s">
        <v>6840</v>
      </c>
      <c r="P183">
        <v>1975</v>
      </c>
      <c r="Q183">
        <v>182</v>
      </c>
      <c r="R183" t="s">
        <v>6663</v>
      </c>
      <c r="S183" s="1">
        <v>40019</v>
      </c>
      <c r="T183" s="1">
        <v>40041</v>
      </c>
      <c r="U183" t="str">
        <f t="shared" ca="1" si="34"/>
        <v>rg:False</v>
      </c>
      <c r="V183" t="str">
        <f t="shared" ca="1" si="35"/>
        <v>rg:None</v>
      </c>
      <c r="W183" t="s">
        <v>7239</v>
      </c>
      <c r="X183" t="s">
        <v>76</v>
      </c>
      <c r="Y183" t="s">
        <v>76</v>
      </c>
      <c r="Z183" t="s">
        <v>76</v>
      </c>
      <c r="AA183" t="s">
        <v>7586</v>
      </c>
      <c r="AB183" t="s">
        <v>7372</v>
      </c>
      <c r="AC183">
        <v>0</v>
      </c>
      <c r="AD183" t="str">
        <f t="shared" ca="1" si="36"/>
        <v>rg:False</v>
      </c>
      <c r="AE183" t="str">
        <f t="shared" ca="1" si="37"/>
        <v>rg:None</v>
      </c>
      <c r="AF183" s="1">
        <v>42481</v>
      </c>
      <c r="AG183" s="4">
        <f t="shared" ca="1" si="28"/>
        <v>275.75</v>
      </c>
      <c r="AH183" s="4">
        <f t="shared" si="38"/>
        <v>6.625</v>
      </c>
      <c r="AI183">
        <f t="shared" ca="1" si="39"/>
        <v>53</v>
      </c>
      <c r="AJ183">
        <f t="shared" ca="1" si="40"/>
        <v>109</v>
      </c>
      <c r="AK183">
        <f t="shared" ca="1" si="41"/>
        <v>69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  <c r="AT183" t="s">
        <v>6510</v>
      </c>
    </row>
    <row r="184" spans="1:46" x14ac:dyDescent="0.3">
      <c r="A184" t="s">
        <v>5630</v>
      </c>
      <c r="B184">
        <f t="shared" si="29"/>
        <v>200182</v>
      </c>
      <c r="C184">
        <v>200057</v>
      </c>
      <c r="D184" t="str">
        <f t="shared" si="30"/>
        <v>rg:{'id': '200057'}</v>
      </c>
      <c r="E184">
        <f>VLOOKUP(C184,Owners.csv!C:J,6,FALSE)</f>
        <v>200002</v>
      </c>
      <c r="F184" t="str">
        <f>VLOOKUP(VLOOKUP(E184,LocalAreas.csv!I:K,3,FALSE),ServiceAreas.csv!F:J,5,FALSE)</f>
        <v>200009</v>
      </c>
      <c r="G184" t="str">
        <f t="shared" si="31"/>
        <v>rg:{'id': '200002'}</v>
      </c>
      <c r="H184" t="s">
        <v>7727</v>
      </c>
      <c r="I184" t="s">
        <v>5637</v>
      </c>
      <c r="J184">
        <f>VLOOKUP(I184&amp;"-"&amp;F184,DistrictEquipmentTypes.csv!J:K,2,FALSE)</f>
        <v>200001</v>
      </c>
      <c r="K184" t="str">
        <f t="shared" si="32"/>
        <v>rg:{'id': '200001'}</v>
      </c>
      <c r="L184">
        <f t="shared" si="33"/>
        <v>1</v>
      </c>
      <c r="M184" t="str">
        <f>VLOOKUP(C184,Owners.csv!C:K,9,FALSE)&amp;TEXT(Equipment.csv!L184,"0000")</f>
        <v>MERV0001</v>
      </c>
      <c r="N184" t="s">
        <v>5401</v>
      </c>
      <c r="O184" t="s">
        <v>6841</v>
      </c>
      <c r="P184">
        <v>2012</v>
      </c>
      <c r="Q184">
        <v>183</v>
      </c>
      <c r="R184" t="s">
        <v>6663</v>
      </c>
      <c r="S184" s="1">
        <v>39711</v>
      </c>
      <c r="T184" s="1">
        <v>39721</v>
      </c>
      <c r="U184" t="str">
        <f t="shared" ca="1" si="34"/>
        <v>rg:False</v>
      </c>
      <c r="V184" t="str">
        <f t="shared" ca="1" si="35"/>
        <v>rg:None</v>
      </c>
      <c r="W184" t="s">
        <v>7240</v>
      </c>
      <c r="X184" t="s">
        <v>76</v>
      </c>
      <c r="Y184" t="s">
        <v>76</v>
      </c>
      <c r="Z184" t="s">
        <v>76</v>
      </c>
      <c r="AA184" t="s">
        <v>7587</v>
      </c>
      <c r="AB184" t="s">
        <v>7349</v>
      </c>
      <c r="AC184">
        <v>0</v>
      </c>
      <c r="AD184" t="str">
        <f t="shared" ca="1" si="36"/>
        <v>rg:False</v>
      </c>
      <c r="AE184" t="str">
        <f t="shared" ca="1" si="37"/>
        <v>rg:None</v>
      </c>
      <c r="AF184" s="1">
        <v>42481</v>
      </c>
      <c r="AG184" s="4">
        <f t="shared" ca="1" si="28"/>
        <v>362.75</v>
      </c>
      <c r="AH184" s="4">
        <f t="shared" si="38"/>
        <v>7.5027777777777782</v>
      </c>
      <c r="AI184">
        <f t="shared" ca="1" si="39"/>
        <v>171</v>
      </c>
      <c r="AJ184">
        <f t="shared" ca="1" si="40"/>
        <v>91</v>
      </c>
      <c r="AK184">
        <f t="shared" ca="1" si="41"/>
        <v>151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  <c r="AT184" t="s">
        <v>6510</v>
      </c>
    </row>
    <row r="185" spans="1:46" x14ac:dyDescent="0.3">
      <c r="A185" t="s">
        <v>5630</v>
      </c>
      <c r="B185">
        <f t="shared" si="29"/>
        <v>200183</v>
      </c>
      <c r="C185">
        <v>200038</v>
      </c>
      <c r="D185" t="str">
        <f t="shared" si="30"/>
        <v>rg:{'id': '200038'}</v>
      </c>
      <c r="E185">
        <f>VLOOKUP(C185,Owners.csv!C:J,6,FALSE)</f>
        <v>200002</v>
      </c>
      <c r="F185" t="str">
        <f>VLOOKUP(VLOOKUP(E185,LocalAreas.csv!I:K,3,FALSE),ServiceAreas.csv!F:J,5,FALSE)</f>
        <v>200009</v>
      </c>
      <c r="G185" t="str">
        <f t="shared" si="31"/>
        <v>rg:{'id': '200002'}</v>
      </c>
      <c r="H185" t="s">
        <v>7758</v>
      </c>
      <c r="I185" t="s">
        <v>5536</v>
      </c>
      <c r="J185">
        <f>VLOOKUP(I185&amp;"-"&amp;F185,DistrictEquipmentTypes.csv!J:K,2,FALSE)</f>
        <v>200000</v>
      </c>
      <c r="K185" t="str">
        <f t="shared" si="32"/>
        <v>rg:{'id': '200000'}</v>
      </c>
      <c r="L185">
        <f t="shared" si="33"/>
        <v>1</v>
      </c>
      <c r="M185" t="str">
        <f>VLOOKUP(C185,Owners.csv!C:K,9,FALSE)&amp;TEXT(Equipment.csv!L185,"0000")</f>
        <v>HENR0001</v>
      </c>
      <c r="N185" t="s">
        <v>5401</v>
      </c>
      <c r="O185" t="s">
        <v>6842</v>
      </c>
      <c r="P185">
        <v>1977</v>
      </c>
      <c r="Q185">
        <v>184</v>
      </c>
      <c r="R185" t="s">
        <v>6663</v>
      </c>
      <c r="S185" s="1">
        <v>41447</v>
      </c>
      <c r="T185" s="1">
        <v>41473</v>
      </c>
      <c r="U185" t="str">
        <f t="shared" ca="1" si="34"/>
        <v>rg:False</v>
      </c>
      <c r="V185" t="str">
        <f t="shared" ca="1" si="35"/>
        <v>rg:None</v>
      </c>
      <c r="W185" t="s">
        <v>7241</v>
      </c>
      <c r="X185" t="s">
        <v>76</v>
      </c>
      <c r="Y185" t="s">
        <v>76</v>
      </c>
      <c r="Z185" t="s">
        <v>76</v>
      </c>
      <c r="AA185" t="s">
        <v>7588</v>
      </c>
      <c r="AB185" t="s">
        <v>7395</v>
      </c>
      <c r="AC185">
        <v>0</v>
      </c>
      <c r="AD185" t="str">
        <f t="shared" ca="1" si="36"/>
        <v>rg:False</v>
      </c>
      <c r="AE185" t="str">
        <f t="shared" ca="1" si="37"/>
        <v>rg:None</v>
      </c>
      <c r="AF185" s="1">
        <v>42481</v>
      </c>
      <c r="AG185" s="4">
        <f t="shared" ca="1" si="28"/>
        <v>201.75</v>
      </c>
      <c r="AH185" s="4">
        <f t="shared" si="38"/>
        <v>2.7027777777777779</v>
      </c>
      <c r="AI185">
        <f t="shared" ca="1" si="39"/>
        <v>200</v>
      </c>
      <c r="AJ185">
        <f t="shared" ca="1" si="40"/>
        <v>162</v>
      </c>
      <c r="AK185">
        <f t="shared" ca="1" si="41"/>
        <v>0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  <c r="AT185" t="s">
        <v>6510</v>
      </c>
    </row>
    <row r="186" spans="1:46" x14ac:dyDescent="0.3">
      <c r="A186" t="s">
        <v>5630</v>
      </c>
      <c r="B186">
        <f t="shared" si="29"/>
        <v>200184</v>
      </c>
      <c r="C186">
        <v>200039</v>
      </c>
      <c r="D186" t="str">
        <f t="shared" si="30"/>
        <v>rg:{'id': '200039'}</v>
      </c>
      <c r="E186">
        <f>VLOOKUP(C186,Owners.csv!C:J,6,FALSE)</f>
        <v>200002</v>
      </c>
      <c r="F186" t="str">
        <f>VLOOKUP(VLOOKUP(E186,LocalAreas.csv!I:K,3,FALSE),ServiceAreas.csv!F:J,5,FALSE)</f>
        <v>200009</v>
      </c>
      <c r="G186" t="str">
        <f t="shared" si="31"/>
        <v>rg:{'id': '200002'}</v>
      </c>
      <c r="H186" t="s">
        <v>7759</v>
      </c>
      <c r="I186" t="s">
        <v>5536</v>
      </c>
      <c r="J186">
        <f>VLOOKUP(I186&amp;"-"&amp;F186,DistrictEquipmentTypes.csv!J:K,2,FALSE)</f>
        <v>200000</v>
      </c>
      <c r="K186" t="str">
        <f t="shared" si="32"/>
        <v>rg:{'id': '200000'}</v>
      </c>
      <c r="L186">
        <f t="shared" si="33"/>
        <v>1</v>
      </c>
      <c r="M186" t="str">
        <f>VLOOKUP(C186,Owners.csv!C:K,9,FALSE)&amp;TEXT(Equipment.csv!L186,"0000")</f>
        <v>HIGH0001</v>
      </c>
      <c r="N186" t="s">
        <v>5401</v>
      </c>
      <c r="O186" t="s">
        <v>6843</v>
      </c>
      <c r="P186">
        <v>2004</v>
      </c>
      <c r="Q186">
        <v>185</v>
      </c>
      <c r="R186" t="s">
        <v>6663</v>
      </c>
      <c r="S186" s="1">
        <v>41678</v>
      </c>
      <c r="T186" s="1">
        <v>41691</v>
      </c>
      <c r="U186" t="str">
        <f t="shared" ca="1" si="34"/>
        <v>rg:False</v>
      </c>
      <c r="V186" t="str">
        <f t="shared" ca="1" si="35"/>
        <v>rg:None</v>
      </c>
      <c r="W186" t="s">
        <v>7242</v>
      </c>
      <c r="X186" t="s">
        <v>76</v>
      </c>
      <c r="Y186" t="s">
        <v>76</v>
      </c>
      <c r="Z186" t="s">
        <v>76</v>
      </c>
      <c r="AA186" t="s">
        <v>7589</v>
      </c>
      <c r="AB186" t="s">
        <v>7280</v>
      </c>
      <c r="AC186">
        <v>0</v>
      </c>
      <c r="AD186" t="str">
        <f t="shared" ca="1" si="36"/>
        <v>rg:False</v>
      </c>
      <c r="AE186" t="str">
        <f t="shared" ca="1" si="37"/>
        <v>rg:None</v>
      </c>
      <c r="AF186" s="1">
        <v>42481</v>
      </c>
      <c r="AG186" s="4">
        <f t="shared" ca="1" si="28"/>
        <v>136</v>
      </c>
      <c r="AH186" s="4">
        <f t="shared" si="38"/>
        <v>2.1111111111111112</v>
      </c>
      <c r="AI186">
        <f t="shared" ca="1" si="39"/>
        <v>31</v>
      </c>
      <c r="AJ186">
        <f t="shared" ca="1" si="40"/>
        <v>187</v>
      </c>
      <c r="AK186">
        <f t="shared" ca="1" si="41"/>
        <v>0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  <c r="AT186" t="s">
        <v>6510</v>
      </c>
    </row>
    <row r="187" spans="1:46" x14ac:dyDescent="0.3">
      <c r="A187" t="s">
        <v>5630</v>
      </c>
      <c r="B187">
        <f t="shared" si="29"/>
        <v>200185</v>
      </c>
      <c r="C187">
        <v>200040</v>
      </c>
      <c r="D187" t="str">
        <f t="shared" si="30"/>
        <v>rg:{'id': '200040'}</v>
      </c>
      <c r="E187">
        <f>VLOOKUP(C187,Owners.csv!C:J,6,FALSE)</f>
        <v>200002</v>
      </c>
      <c r="F187" t="str">
        <f>VLOOKUP(VLOOKUP(E187,LocalAreas.csv!I:K,3,FALSE),ServiceAreas.csv!F:J,5,FALSE)</f>
        <v>200009</v>
      </c>
      <c r="G187" t="str">
        <f t="shared" si="31"/>
        <v>rg:{'id': '200002'}</v>
      </c>
      <c r="H187" t="s">
        <v>7760</v>
      </c>
      <c r="I187" t="s">
        <v>5536</v>
      </c>
      <c r="J187">
        <f>VLOOKUP(I187&amp;"-"&amp;F187,DistrictEquipmentTypes.csv!J:K,2,FALSE)</f>
        <v>200000</v>
      </c>
      <c r="K187" t="str">
        <f t="shared" si="32"/>
        <v>rg:{'id': '200000'}</v>
      </c>
      <c r="L187">
        <f t="shared" si="33"/>
        <v>1</v>
      </c>
      <c r="M187" t="str">
        <f>VLOOKUP(C187,Owners.csv!C:K,9,FALSE)&amp;TEXT(Equipment.csv!L187,"0000")</f>
        <v>HUGH0001</v>
      </c>
      <c r="N187" t="s">
        <v>5401</v>
      </c>
      <c r="O187" t="s">
        <v>6844</v>
      </c>
      <c r="P187">
        <v>2001</v>
      </c>
      <c r="Q187">
        <v>186</v>
      </c>
      <c r="R187" t="s">
        <v>6663</v>
      </c>
      <c r="S187" s="1">
        <v>38147</v>
      </c>
      <c r="T187" s="1">
        <v>38150</v>
      </c>
      <c r="U187" t="str">
        <f t="shared" ca="1" si="34"/>
        <v>rg:False</v>
      </c>
      <c r="V187" t="str">
        <f t="shared" ca="1" si="35"/>
        <v>rg:None</v>
      </c>
      <c r="W187" t="s">
        <v>7243</v>
      </c>
      <c r="X187" t="s">
        <v>76</v>
      </c>
      <c r="Y187" t="s">
        <v>76</v>
      </c>
      <c r="Z187" t="s">
        <v>76</v>
      </c>
      <c r="AA187" t="s">
        <v>7590</v>
      </c>
      <c r="AB187" t="s">
        <v>7396</v>
      </c>
      <c r="AC187">
        <v>0</v>
      </c>
      <c r="AD187" t="str">
        <f t="shared" ca="1" si="36"/>
        <v>rg:False</v>
      </c>
      <c r="AE187" t="str">
        <f t="shared" ca="1" si="37"/>
        <v>rg:None</v>
      </c>
      <c r="AF187" s="1">
        <v>42481</v>
      </c>
      <c r="AG187" s="4">
        <f t="shared" ca="1" si="28"/>
        <v>514.08333333333326</v>
      </c>
      <c r="AH187" s="4">
        <f t="shared" si="38"/>
        <v>11.802777777777777</v>
      </c>
      <c r="AI187">
        <f t="shared" ca="1" si="39"/>
        <v>186</v>
      </c>
      <c r="AJ187">
        <f t="shared" ca="1" si="40"/>
        <v>101</v>
      </c>
      <c r="AK187">
        <f t="shared" ca="1" si="41"/>
        <v>193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  <c r="AT187" t="s">
        <v>6510</v>
      </c>
    </row>
    <row r="188" spans="1:46" x14ac:dyDescent="0.3">
      <c r="A188" t="s">
        <v>5630</v>
      </c>
      <c r="B188">
        <f t="shared" si="29"/>
        <v>200186</v>
      </c>
      <c r="C188">
        <v>200041</v>
      </c>
      <c r="D188" t="str">
        <f t="shared" si="30"/>
        <v>rg:{'id': '200041'}</v>
      </c>
      <c r="E188">
        <f>VLOOKUP(C188,Owners.csv!C:J,6,FALSE)</f>
        <v>200002</v>
      </c>
      <c r="F188" t="str">
        <f>VLOOKUP(VLOOKUP(E188,LocalAreas.csv!I:K,3,FALSE),ServiceAreas.csv!F:J,5,FALSE)</f>
        <v>200009</v>
      </c>
      <c r="G188" t="str">
        <f t="shared" si="31"/>
        <v>rg:{'id': '200002'}</v>
      </c>
      <c r="H188" t="s">
        <v>7761</v>
      </c>
      <c r="I188" t="s">
        <v>5536</v>
      </c>
      <c r="J188">
        <f>VLOOKUP(I188&amp;"-"&amp;F188,DistrictEquipmentTypes.csv!J:K,2,FALSE)</f>
        <v>200000</v>
      </c>
      <c r="K188" t="str">
        <f t="shared" si="32"/>
        <v>rg:{'id': '200000'}</v>
      </c>
      <c r="L188">
        <f t="shared" si="33"/>
        <v>1</v>
      </c>
      <c r="M188" t="str">
        <f>VLOOKUP(C188,Owners.csv!C:K,9,FALSE)&amp;TEXT(Equipment.csv!L188,"0000")</f>
        <v>HUGH0001</v>
      </c>
      <c r="N188" t="s">
        <v>5401</v>
      </c>
      <c r="O188" t="s">
        <v>6845</v>
      </c>
      <c r="P188">
        <v>1985</v>
      </c>
      <c r="Q188">
        <v>187</v>
      </c>
      <c r="R188" t="s">
        <v>6663</v>
      </c>
      <c r="S188" s="1">
        <v>40540</v>
      </c>
      <c r="T188" s="1">
        <v>40547</v>
      </c>
      <c r="U188" t="str">
        <f t="shared" ca="1" si="34"/>
        <v>rg:False</v>
      </c>
      <c r="V188" t="str">
        <f t="shared" ca="1" si="35"/>
        <v>rg:None</v>
      </c>
      <c r="W188" t="s">
        <v>7244</v>
      </c>
      <c r="X188" t="s">
        <v>76</v>
      </c>
      <c r="Y188" t="s">
        <v>76</v>
      </c>
      <c r="Z188" t="s">
        <v>76</v>
      </c>
      <c r="AA188" t="s">
        <v>7591</v>
      </c>
      <c r="AB188" t="s">
        <v>7397</v>
      </c>
      <c r="AC188">
        <v>0</v>
      </c>
      <c r="AD188" t="str">
        <f t="shared" ca="1" si="36"/>
        <v>rg:False</v>
      </c>
      <c r="AE188" t="str">
        <f t="shared" ca="1" si="37"/>
        <v>rg:None</v>
      </c>
      <c r="AF188" s="1">
        <v>42481</v>
      </c>
      <c r="AG188" s="4">
        <f t="shared" ca="1" si="28"/>
        <v>266.91666666666669</v>
      </c>
      <c r="AH188" s="4">
        <f t="shared" si="38"/>
        <v>5.2416666666666663</v>
      </c>
      <c r="AI188">
        <f t="shared" ca="1" si="39"/>
        <v>141</v>
      </c>
      <c r="AJ188">
        <f t="shared" ca="1" si="40"/>
        <v>11</v>
      </c>
      <c r="AK188">
        <f t="shared" ca="1" si="41"/>
        <v>177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  <c r="AT188" t="s">
        <v>6510</v>
      </c>
    </row>
    <row r="189" spans="1:46" x14ac:dyDescent="0.3">
      <c r="A189" t="s">
        <v>5630</v>
      </c>
      <c r="B189">
        <f t="shared" si="29"/>
        <v>200187</v>
      </c>
      <c r="C189">
        <v>200042</v>
      </c>
      <c r="D189" t="str">
        <f t="shared" si="30"/>
        <v>rg:{'id': '200042'}</v>
      </c>
      <c r="E189">
        <f>VLOOKUP(C189,Owners.csv!C:J,6,FALSE)</f>
        <v>200002</v>
      </c>
      <c r="F189" t="str">
        <f>VLOOKUP(VLOOKUP(E189,LocalAreas.csv!I:K,3,FALSE),ServiceAreas.csv!F:J,5,FALSE)</f>
        <v>200009</v>
      </c>
      <c r="G189" t="str">
        <f t="shared" si="31"/>
        <v>rg:{'id': '200002'}</v>
      </c>
      <c r="H189" t="s">
        <v>7762</v>
      </c>
      <c r="I189" t="s">
        <v>5536</v>
      </c>
      <c r="J189">
        <f>VLOOKUP(I189&amp;"-"&amp;F189,DistrictEquipmentTypes.csv!J:K,2,FALSE)</f>
        <v>200000</v>
      </c>
      <c r="K189" t="str">
        <f t="shared" si="32"/>
        <v>rg:{'id': '200000'}</v>
      </c>
      <c r="L189">
        <f t="shared" si="33"/>
        <v>1</v>
      </c>
      <c r="M189" t="str">
        <f>VLOOKUP(C189,Owners.csv!C:K,9,FALSE)&amp;TEXT(Equipment.csv!L189,"0000")</f>
        <v>INDI0001</v>
      </c>
      <c r="N189" t="s">
        <v>5401</v>
      </c>
      <c r="O189" t="s">
        <v>6846</v>
      </c>
      <c r="P189">
        <v>1975</v>
      </c>
      <c r="Q189">
        <v>188</v>
      </c>
      <c r="R189" t="s">
        <v>6663</v>
      </c>
      <c r="S189" s="1">
        <v>40453</v>
      </c>
      <c r="T189" s="1">
        <v>40481</v>
      </c>
      <c r="U189" t="str">
        <f t="shared" ca="1" si="34"/>
        <v>rg:False</v>
      </c>
      <c r="V189" t="str">
        <f t="shared" ca="1" si="35"/>
        <v>rg:None</v>
      </c>
      <c r="W189" t="s">
        <v>7245</v>
      </c>
      <c r="X189" t="s">
        <v>76</v>
      </c>
      <c r="Y189" t="s">
        <v>76</v>
      </c>
      <c r="Z189" t="s">
        <v>76</v>
      </c>
      <c r="AA189" t="s">
        <v>7592</v>
      </c>
      <c r="AB189" t="s">
        <v>7320</v>
      </c>
      <c r="AC189">
        <v>0</v>
      </c>
      <c r="AD189" t="str">
        <f t="shared" ca="1" si="36"/>
        <v>rg:False</v>
      </c>
      <c r="AE189" t="str">
        <f t="shared" ca="1" si="37"/>
        <v>rg:None</v>
      </c>
      <c r="AF189" s="1">
        <v>42481</v>
      </c>
      <c r="AG189" s="4">
        <f t="shared" ca="1" si="28"/>
        <v>274.25</v>
      </c>
      <c r="AH189" s="4">
        <f t="shared" si="38"/>
        <v>5.4194444444444443</v>
      </c>
      <c r="AI189">
        <f t="shared" ca="1" si="39"/>
        <v>124</v>
      </c>
      <c r="AJ189">
        <f t="shared" ca="1" si="40"/>
        <v>57</v>
      </c>
      <c r="AK189">
        <f t="shared" ca="1" si="41"/>
        <v>154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  <c r="AT189" t="s">
        <v>6510</v>
      </c>
    </row>
    <row r="190" spans="1:46" x14ac:dyDescent="0.3">
      <c r="A190" t="s">
        <v>5630</v>
      </c>
      <c r="B190">
        <f t="shared" si="29"/>
        <v>200188</v>
      </c>
      <c r="C190">
        <v>200043</v>
      </c>
      <c r="D190" t="str">
        <f t="shared" si="30"/>
        <v>rg:{'id': '200043'}</v>
      </c>
      <c r="E190">
        <f>VLOOKUP(C190,Owners.csv!C:J,6,FALSE)</f>
        <v>200002</v>
      </c>
      <c r="F190" t="str">
        <f>VLOOKUP(VLOOKUP(E190,LocalAreas.csv!I:K,3,FALSE),ServiceAreas.csv!F:J,5,FALSE)</f>
        <v>200009</v>
      </c>
      <c r="G190" t="str">
        <f t="shared" si="31"/>
        <v>rg:{'id': '200002'}</v>
      </c>
      <c r="H190" t="s">
        <v>7657</v>
      </c>
      <c r="I190" t="s">
        <v>5536</v>
      </c>
      <c r="J190">
        <f>VLOOKUP(I190&amp;"-"&amp;F190,DistrictEquipmentTypes.csv!J:K,2,FALSE)</f>
        <v>200000</v>
      </c>
      <c r="K190" t="str">
        <f t="shared" si="32"/>
        <v>rg:{'id': '200000'}</v>
      </c>
      <c r="L190">
        <f t="shared" si="33"/>
        <v>1</v>
      </c>
      <c r="M190" t="str">
        <f>VLOOKUP(C190,Owners.csv!C:K,9,FALSE)&amp;TEXT(Equipment.csv!L190,"0000")</f>
        <v>JBRA0001</v>
      </c>
      <c r="N190" t="s">
        <v>5401</v>
      </c>
      <c r="O190" t="s">
        <v>6847</v>
      </c>
      <c r="P190">
        <v>1997</v>
      </c>
      <c r="Q190">
        <v>189</v>
      </c>
      <c r="R190" t="s">
        <v>6663</v>
      </c>
      <c r="S190" s="1">
        <v>42116</v>
      </c>
      <c r="T190" s="1">
        <v>42144</v>
      </c>
      <c r="U190" t="str">
        <f t="shared" ca="1" si="34"/>
        <v>rg:False</v>
      </c>
      <c r="V190" t="str">
        <f t="shared" ca="1" si="35"/>
        <v>rg:None</v>
      </c>
      <c r="W190" t="s">
        <v>7246</v>
      </c>
      <c r="X190" t="s">
        <v>76</v>
      </c>
      <c r="Y190" t="s">
        <v>76</v>
      </c>
      <c r="Z190" t="s">
        <v>76</v>
      </c>
      <c r="AA190" t="s">
        <v>7593</v>
      </c>
      <c r="AB190" t="s">
        <v>7398</v>
      </c>
      <c r="AC190">
        <v>0</v>
      </c>
      <c r="AD190" t="str">
        <f t="shared" ca="1" si="36"/>
        <v>rg:False</v>
      </c>
      <c r="AE190" t="str">
        <f t="shared" ca="1" si="37"/>
        <v>rg:None</v>
      </c>
      <c r="AF190" s="1">
        <v>42481</v>
      </c>
      <c r="AG190" s="4">
        <f t="shared" ca="1" si="28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  <c r="AT190" t="s">
        <v>6510</v>
      </c>
    </row>
    <row r="191" spans="1:46" x14ac:dyDescent="0.3">
      <c r="A191" t="s">
        <v>5630</v>
      </c>
      <c r="B191">
        <f t="shared" si="29"/>
        <v>200189</v>
      </c>
      <c r="C191">
        <v>200044</v>
      </c>
      <c r="D191" t="str">
        <f t="shared" si="30"/>
        <v>rg:{'id': '200044'}</v>
      </c>
      <c r="E191">
        <f>VLOOKUP(C191,Owners.csv!C:J,6,FALSE)</f>
        <v>200002</v>
      </c>
      <c r="F191" t="str">
        <f>VLOOKUP(VLOOKUP(E191,LocalAreas.csv!I:K,3,FALSE),ServiceAreas.csv!F:J,5,FALSE)</f>
        <v>200009</v>
      </c>
      <c r="G191" t="str">
        <f t="shared" si="31"/>
        <v>rg:{'id': '200002'}</v>
      </c>
      <c r="H191" t="s">
        <v>7706</v>
      </c>
      <c r="I191" t="s">
        <v>5536</v>
      </c>
      <c r="J191">
        <f>VLOOKUP(I191&amp;"-"&amp;F191,DistrictEquipmentTypes.csv!J:K,2,FALSE)</f>
        <v>200000</v>
      </c>
      <c r="K191" t="str">
        <f t="shared" si="32"/>
        <v>rg:{'id': '200000'}</v>
      </c>
      <c r="L191">
        <f t="shared" si="33"/>
        <v>1</v>
      </c>
      <c r="M191" t="str">
        <f>VLOOKUP(C191,Owners.csv!C:K,9,FALSE)&amp;TEXT(Equipment.csv!L191,"0000")</f>
        <v>JEAN0001</v>
      </c>
      <c r="N191" t="s">
        <v>5401</v>
      </c>
      <c r="O191" t="s">
        <v>6848</v>
      </c>
      <c r="P191">
        <v>2017</v>
      </c>
      <c r="Q191">
        <v>190</v>
      </c>
      <c r="R191" t="s">
        <v>6663</v>
      </c>
      <c r="S191" s="1">
        <v>37871</v>
      </c>
      <c r="T191" s="1">
        <v>37883</v>
      </c>
      <c r="U191" t="str">
        <f t="shared" ca="1" si="34"/>
        <v>rg:True</v>
      </c>
      <c r="V191" t="str">
        <f t="shared" ca="1" si="35"/>
        <v>This equipment should be archived</v>
      </c>
      <c r="W191" t="s">
        <v>7247</v>
      </c>
      <c r="X191" t="s">
        <v>76</v>
      </c>
      <c r="Y191" t="s">
        <v>76</v>
      </c>
      <c r="Z191" t="s">
        <v>76</v>
      </c>
      <c r="AA191" t="s">
        <v>7594</v>
      </c>
      <c r="AB191" t="s">
        <v>7390</v>
      </c>
      <c r="AC191">
        <v>0</v>
      </c>
      <c r="AD191" t="str">
        <f t="shared" ca="1" si="36"/>
        <v>rg:False</v>
      </c>
      <c r="AE191" t="str">
        <f t="shared" ca="1" si="37"/>
        <v>rg:None</v>
      </c>
      <c r="AF191" s="1">
        <v>42481</v>
      </c>
      <c r="AG191" s="4">
        <f t="shared" ca="1" si="28"/>
        <v>515</v>
      </c>
      <c r="AH191" s="4">
        <f t="shared" si="38"/>
        <v>12.533333333333333</v>
      </c>
      <c r="AI191">
        <f t="shared" ca="1" si="39"/>
        <v>162</v>
      </c>
      <c r="AJ191">
        <f t="shared" ca="1" si="40"/>
        <v>155</v>
      </c>
      <c r="AK191">
        <f t="shared" ca="1" si="41"/>
        <v>100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  <c r="AT191" t="s">
        <v>6510</v>
      </c>
    </row>
    <row r="192" spans="1:46" x14ac:dyDescent="0.3">
      <c r="A192" t="s">
        <v>5630</v>
      </c>
      <c r="B192">
        <f t="shared" si="29"/>
        <v>200190</v>
      </c>
      <c r="C192">
        <v>200045</v>
      </c>
      <c r="D192" t="str">
        <f t="shared" si="30"/>
        <v>rg:{'id': '200045'}</v>
      </c>
      <c r="E192">
        <f>VLOOKUP(C192,Owners.csv!C:J,6,FALSE)</f>
        <v>200002</v>
      </c>
      <c r="F192" t="str">
        <f>VLOOKUP(VLOOKUP(E192,LocalAreas.csv!I:K,3,FALSE),ServiceAreas.csv!F:J,5,FALSE)</f>
        <v>200009</v>
      </c>
      <c r="G192" t="str">
        <f t="shared" si="31"/>
        <v>rg:{'id': '200002'}</v>
      </c>
      <c r="H192" t="s">
        <v>7665</v>
      </c>
      <c r="I192" t="s">
        <v>5536</v>
      </c>
      <c r="J192">
        <f>VLOOKUP(I192&amp;"-"&amp;F192,DistrictEquipmentTypes.csv!J:K,2,FALSE)</f>
        <v>200000</v>
      </c>
      <c r="K192" t="str">
        <f t="shared" si="32"/>
        <v>rg:{'id': '200000'}</v>
      </c>
      <c r="L192">
        <f t="shared" si="33"/>
        <v>1</v>
      </c>
      <c r="M192" t="str">
        <f>VLOOKUP(C192,Owners.csv!C:K,9,FALSE)&amp;TEXT(Equipment.csv!L192,"0000")</f>
        <v>KBTO0001</v>
      </c>
      <c r="N192" t="s">
        <v>5401</v>
      </c>
      <c r="O192" t="s">
        <v>6849</v>
      </c>
      <c r="P192">
        <v>1973</v>
      </c>
      <c r="Q192">
        <v>191</v>
      </c>
      <c r="R192" t="s">
        <v>6663</v>
      </c>
      <c r="S192" s="1">
        <v>38749</v>
      </c>
      <c r="T192" s="1">
        <v>38770</v>
      </c>
      <c r="U192" t="str">
        <f t="shared" ca="1" si="34"/>
        <v>rg:False</v>
      </c>
      <c r="V192" t="str">
        <f t="shared" ca="1" si="35"/>
        <v>rg:None</v>
      </c>
      <c r="W192" t="s">
        <v>7248</v>
      </c>
      <c r="X192" t="s">
        <v>76</v>
      </c>
      <c r="Y192" t="s">
        <v>76</v>
      </c>
      <c r="Z192" t="s">
        <v>76</v>
      </c>
      <c r="AA192" t="s">
        <v>7595</v>
      </c>
      <c r="AB192" t="s">
        <v>7360</v>
      </c>
      <c r="AC192">
        <v>0</v>
      </c>
      <c r="AD192" t="str">
        <f t="shared" ca="1" si="36"/>
        <v>rg:False</v>
      </c>
      <c r="AE192" t="str">
        <f t="shared" ca="1" si="37"/>
        <v>rg:None</v>
      </c>
      <c r="AF192" s="1">
        <v>42481</v>
      </c>
      <c r="AG192" s="4">
        <f t="shared" ca="1" si="28"/>
        <v>444.91666666666663</v>
      </c>
      <c r="AH192" s="4">
        <f t="shared" si="38"/>
        <v>10.108333333333333</v>
      </c>
      <c r="AI192">
        <f t="shared" ca="1" si="39"/>
        <v>198</v>
      </c>
      <c r="AJ192">
        <f t="shared" ca="1" si="40"/>
        <v>141</v>
      </c>
      <c r="AK192">
        <f t="shared" ca="1" si="41"/>
        <v>86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  <c r="AT192" t="s">
        <v>6510</v>
      </c>
    </row>
    <row r="193" spans="1:46" x14ac:dyDescent="0.3">
      <c r="A193" t="s">
        <v>5630</v>
      </c>
      <c r="B193">
        <f t="shared" si="29"/>
        <v>200191</v>
      </c>
      <c r="C193">
        <v>200046</v>
      </c>
      <c r="D193" t="str">
        <f t="shared" si="30"/>
        <v>rg:{'id': '200046'}</v>
      </c>
      <c r="E193">
        <f>VLOOKUP(C193,Owners.csv!C:J,6,FALSE)</f>
        <v>200002</v>
      </c>
      <c r="F193" t="str">
        <f>VLOOKUP(VLOOKUP(E193,LocalAreas.csv!I:K,3,FALSE),ServiceAreas.csv!F:J,5,FALSE)</f>
        <v>200009</v>
      </c>
      <c r="G193" t="str">
        <f t="shared" si="31"/>
        <v>rg:{'id': '200002'}</v>
      </c>
      <c r="H193" t="s">
        <v>7666</v>
      </c>
      <c r="I193" t="s">
        <v>5536</v>
      </c>
      <c r="J193">
        <f>VLOOKUP(I193&amp;"-"&amp;F193,DistrictEquipmentTypes.csv!J:K,2,FALSE)</f>
        <v>200000</v>
      </c>
      <c r="K193" t="str">
        <f t="shared" si="32"/>
        <v>rg:{'id': '200000'}</v>
      </c>
      <c r="L193">
        <f t="shared" si="33"/>
        <v>1</v>
      </c>
      <c r="M193" t="str">
        <f>VLOOKUP(C193,Owners.csv!C:K,9,FALSE)&amp;TEXT(Equipment.csv!L193,"0000")</f>
        <v>KIDS0001</v>
      </c>
      <c r="N193" t="s">
        <v>5401</v>
      </c>
      <c r="O193" t="s">
        <v>6850</v>
      </c>
      <c r="P193">
        <v>1978</v>
      </c>
      <c r="Q193">
        <v>192</v>
      </c>
      <c r="R193" t="s">
        <v>6663</v>
      </c>
      <c r="S193" s="1">
        <v>37913</v>
      </c>
      <c r="T193" s="1">
        <v>37933</v>
      </c>
      <c r="U193" t="str">
        <f t="shared" ca="1" si="34"/>
        <v>rg:False</v>
      </c>
      <c r="V193" t="str">
        <f t="shared" ca="1" si="35"/>
        <v>rg:None</v>
      </c>
      <c r="W193" t="s">
        <v>7249</v>
      </c>
      <c r="X193" t="s">
        <v>76</v>
      </c>
      <c r="Y193" t="s">
        <v>76</v>
      </c>
      <c r="Z193" t="s">
        <v>76</v>
      </c>
      <c r="AA193" t="s">
        <v>7596</v>
      </c>
      <c r="AB193" t="s">
        <v>7399</v>
      </c>
      <c r="AC193">
        <v>0</v>
      </c>
      <c r="AD193" t="str">
        <f t="shared" ca="1" si="36"/>
        <v>rg:False</v>
      </c>
      <c r="AE193" t="str">
        <f t="shared" ca="1" si="37"/>
        <v>rg:None</v>
      </c>
      <c r="AF193" s="1">
        <v>42482</v>
      </c>
      <c r="AG193" s="4">
        <f t="shared" ca="1" si="28"/>
        <v>474.58333333333337</v>
      </c>
      <c r="AH193" s="4">
        <f t="shared" si="38"/>
        <v>12.397222222222222</v>
      </c>
      <c r="AI193">
        <f t="shared" ca="1" si="39"/>
        <v>7</v>
      </c>
      <c r="AJ193">
        <f t="shared" ca="1" si="40"/>
        <v>136</v>
      </c>
      <c r="AK193">
        <f t="shared" ca="1" si="41"/>
        <v>165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  <c r="AT193" t="s">
        <v>6510</v>
      </c>
    </row>
    <row r="194" spans="1:46" x14ac:dyDescent="0.3">
      <c r="A194" t="s">
        <v>5630</v>
      </c>
      <c r="B194">
        <f t="shared" si="29"/>
        <v>200192</v>
      </c>
      <c r="C194">
        <v>200047</v>
      </c>
      <c r="D194" t="str">
        <f t="shared" si="30"/>
        <v>rg:{'id': '200047'}</v>
      </c>
      <c r="E194">
        <f>VLOOKUP(C194,Owners.csv!C:J,6,FALSE)</f>
        <v>200002</v>
      </c>
      <c r="F194" t="str">
        <f>VLOOKUP(VLOOKUP(E194,LocalAreas.csv!I:K,3,FALSE),ServiceAreas.csv!F:J,5,FALSE)</f>
        <v>200009</v>
      </c>
      <c r="G194" t="str">
        <f t="shared" si="31"/>
        <v>rg:{'id': '200002'}</v>
      </c>
      <c r="H194" t="s">
        <v>7651</v>
      </c>
      <c r="I194" t="s">
        <v>5536</v>
      </c>
      <c r="J194">
        <f>VLOOKUP(I194&amp;"-"&amp;F194,DistrictEquipmentTypes.csv!J:K,2,FALSE)</f>
        <v>200000</v>
      </c>
      <c r="K194" t="str">
        <f t="shared" si="32"/>
        <v>rg:{'id': '200000'}</v>
      </c>
      <c r="L194">
        <f t="shared" si="33"/>
        <v>1</v>
      </c>
      <c r="M194" t="str">
        <f>VLOOKUP(C194,Owners.csv!C:K,9,FALSE)&amp;TEXT(Equipment.csv!L194,"0000")</f>
        <v>KINN0001</v>
      </c>
      <c r="N194" t="s">
        <v>5401</v>
      </c>
      <c r="O194" t="s">
        <v>6851</v>
      </c>
      <c r="P194">
        <v>1999</v>
      </c>
      <c r="Q194">
        <v>193</v>
      </c>
      <c r="R194" t="s">
        <v>6663</v>
      </c>
      <c r="S194" s="1">
        <v>38286</v>
      </c>
      <c r="T194" s="1">
        <v>38312</v>
      </c>
      <c r="U194" t="str">
        <f t="shared" ca="1" si="34"/>
        <v>rg:False</v>
      </c>
      <c r="V194" t="str">
        <f t="shared" ca="1" si="35"/>
        <v>rg:None</v>
      </c>
      <c r="W194" t="s">
        <v>7250</v>
      </c>
      <c r="X194" t="s">
        <v>76</v>
      </c>
      <c r="Y194" t="s">
        <v>76</v>
      </c>
      <c r="Z194" t="s">
        <v>76</v>
      </c>
      <c r="AA194" t="s">
        <v>7597</v>
      </c>
      <c r="AB194" t="s">
        <v>7400</v>
      </c>
      <c r="AC194">
        <v>0</v>
      </c>
      <c r="AD194" t="str">
        <f t="shared" ca="1" si="36"/>
        <v>rg:False</v>
      </c>
      <c r="AE194" t="str">
        <f t="shared" ca="1" si="37"/>
        <v>rg:None</v>
      </c>
      <c r="AF194" s="1">
        <v>42483</v>
      </c>
      <c r="AG194" s="4">
        <f t="shared" ref="AG194:AG204" ca="1" si="42">IF(I194="Dump Truck",60,30)*AH194+(AVERAGE(AI194:AK194))</f>
        <v>436.5</v>
      </c>
      <c r="AH194" s="4">
        <f t="shared" si="38"/>
        <v>11.361111111111111</v>
      </c>
      <c r="AI194">
        <f t="shared" ca="1" si="39"/>
        <v>45</v>
      </c>
      <c r="AJ194">
        <f t="shared" ca="1" si="40"/>
        <v>104</v>
      </c>
      <c r="AK194">
        <f t="shared" ca="1" si="41"/>
        <v>138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  <c r="AT194" t="s">
        <v>6510</v>
      </c>
    </row>
    <row r="195" spans="1:46" x14ac:dyDescent="0.3">
      <c r="A195" t="s">
        <v>5630</v>
      </c>
      <c r="B195">
        <f t="shared" ref="B195:B204" si="43">IF(ISNUMBER(B194),B194+1,200000)</f>
        <v>200193</v>
      </c>
      <c r="C195">
        <v>200048</v>
      </c>
      <c r="D195" t="str">
        <f t="shared" ref="D195:D204" si="44">"rg:{'id': '"&amp;C195&amp;"'}"</f>
        <v>rg:{'id': '200048'}</v>
      </c>
      <c r="E195">
        <f>VLOOKUP(C195,Owners.csv!C:J,6,FALSE)</f>
        <v>200002</v>
      </c>
      <c r="F195" t="str">
        <f>VLOOKUP(VLOOKUP(E195,LocalAreas.csv!I:K,3,FALSE),ServiceAreas.csv!F:J,5,FALSE)</f>
        <v>200009</v>
      </c>
      <c r="G195" t="str">
        <f t="shared" ref="G195:G204" si="45">"rg:{'id': '"&amp;E195&amp;"'}"</f>
        <v>rg:{'id': '200002'}</v>
      </c>
      <c r="H195" t="s">
        <v>7763</v>
      </c>
      <c r="I195" t="s">
        <v>5536</v>
      </c>
      <c r="J195">
        <f>VLOOKUP(I195&amp;"-"&amp;F195,DistrictEquipmentTypes.csv!J:K,2,FALSE)</f>
        <v>200000</v>
      </c>
      <c r="K195" t="str">
        <f t="shared" ref="K195:K204" si="46">"rg:{'id': '"&amp;J195&amp;"'}"</f>
        <v>rg:{'id': '200000'}</v>
      </c>
      <c r="L195">
        <f t="shared" ref="L195:L204" si="47">IF(C195=C194,L194+1,1)</f>
        <v>1</v>
      </c>
      <c r="M195" t="str">
        <f>VLOOKUP(C195,Owners.csv!C:K,9,FALSE)&amp;TEXT(Equipment.csv!L195,"0000")</f>
        <v>KNOX0001</v>
      </c>
      <c r="N195" t="s">
        <v>5401</v>
      </c>
      <c r="O195" t="s">
        <v>6852</v>
      </c>
      <c r="P195">
        <v>1997</v>
      </c>
      <c r="Q195">
        <v>194</v>
      </c>
      <c r="R195" t="s">
        <v>6663</v>
      </c>
      <c r="S195" s="1">
        <v>39547</v>
      </c>
      <c r="T195" s="1">
        <v>39572</v>
      </c>
      <c r="U195" t="str">
        <f t="shared" ref="U195:U204" ca="1" si="48">IF(RANDBETWEEN(1,10)&gt;1,"rg:False","rg:True")</f>
        <v>rg:False</v>
      </c>
      <c r="V195" t="str">
        <f t="shared" ref="V195:V204" ca="1" si="49">IF(U195="rg:True","This equipment should be archived","rg:None")</f>
        <v>rg:None</v>
      </c>
      <c r="W195" t="s">
        <v>7251</v>
      </c>
      <c r="X195" t="s">
        <v>76</v>
      </c>
      <c r="Y195" t="s">
        <v>76</v>
      </c>
      <c r="Z195" t="s">
        <v>76</v>
      </c>
      <c r="AA195" t="s">
        <v>7598</v>
      </c>
      <c r="AB195" t="s">
        <v>7401</v>
      </c>
      <c r="AC195">
        <v>0</v>
      </c>
      <c r="AD195" t="str">
        <f t="shared" ref="AD195:AD204" ca="1" si="50">IF(RANDBETWEEN(1,20)&gt;1,"rg:False","rg:True")</f>
        <v>rg:False</v>
      </c>
      <c r="AE195" t="str">
        <f t="shared" ref="AE195:AE201" ca="1" si="51">IF(AD195="rg:True","Seniority overridden to test things","rg:None")</f>
        <v>rg:None</v>
      </c>
      <c r="AF195" s="1">
        <v>42484</v>
      </c>
      <c r="AG195" s="4">
        <f t="shared" ca="1" si="42"/>
        <v>396.25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189</v>
      </c>
      <c r="AJ195">
        <f t="shared" ref="AJ195:AJ204" ca="1" si="54">IF(AH195&lt;2,0,RANDBETWEEN(0,200))</f>
        <v>149</v>
      </c>
      <c r="AK195">
        <f t="shared" ref="AK195:AK204" ca="1" si="55">IF(AH195&lt;3,0,RANDBETWEEN(0,200))</f>
        <v>139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  <c r="AT195" t="s">
        <v>6510</v>
      </c>
    </row>
    <row r="196" spans="1:46" x14ac:dyDescent="0.3">
      <c r="A196" t="s">
        <v>5630</v>
      </c>
      <c r="B196">
        <f t="shared" si="43"/>
        <v>200194</v>
      </c>
      <c r="C196">
        <v>200049</v>
      </c>
      <c r="D196" t="str">
        <f t="shared" si="44"/>
        <v>rg:{'id': '200049'}</v>
      </c>
      <c r="E196">
        <f>VLOOKUP(C196,Owners.csv!C:J,6,FALSE)</f>
        <v>200002</v>
      </c>
      <c r="F196" t="str">
        <f>VLOOKUP(VLOOKUP(E196,LocalAreas.csv!I:K,3,FALSE),ServiceAreas.csv!F:J,5,FALSE)</f>
        <v>200009</v>
      </c>
      <c r="G196" t="str">
        <f t="shared" si="45"/>
        <v>rg:{'id': '200002'}</v>
      </c>
      <c r="H196" t="s">
        <v>7757</v>
      </c>
      <c r="I196" t="s">
        <v>5536</v>
      </c>
      <c r="J196">
        <f>VLOOKUP(I196&amp;"-"&amp;F196,DistrictEquipmentTypes.csv!J:K,2,FALSE)</f>
        <v>200000</v>
      </c>
      <c r="K196" t="str">
        <f t="shared" si="46"/>
        <v>rg:{'id': '200000'}</v>
      </c>
      <c r="L196">
        <f t="shared" si="47"/>
        <v>1</v>
      </c>
      <c r="M196" t="str">
        <f>VLOOKUP(C196,Owners.csv!C:K,9,FALSE)&amp;TEXT(Equipment.csv!L196,"0000")</f>
        <v>LAWN0001</v>
      </c>
      <c r="N196" t="s">
        <v>5401</v>
      </c>
      <c r="O196" t="s">
        <v>6853</v>
      </c>
      <c r="P196">
        <v>1997</v>
      </c>
      <c r="Q196">
        <v>195</v>
      </c>
      <c r="R196" t="s">
        <v>6663</v>
      </c>
      <c r="S196" s="1">
        <v>40725</v>
      </c>
      <c r="T196" s="1">
        <v>40726</v>
      </c>
      <c r="U196" t="str">
        <f t="shared" ca="1" si="48"/>
        <v>rg:False</v>
      </c>
      <c r="V196" t="str">
        <f t="shared" ca="1" si="49"/>
        <v>rg:None</v>
      </c>
      <c r="W196" t="s">
        <v>7252</v>
      </c>
      <c r="X196" t="s">
        <v>76</v>
      </c>
      <c r="Y196" t="s">
        <v>76</v>
      </c>
      <c r="Z196" t="s">
        <v>76</v>
      </c>
      <c r="AA196" t="s">
        <v>7599</v>
      </c>
      <c r="AB196" t="s">
        <v>7402</v>
      </c>
      <c r="AC196">
        <v>0</v>
      </c>
      <c r="AD196" t="str">
        <f t="shared" ca="1" si="50"/>
        <v>rg:False</v>
      </c>
      <c r="AE196" t="str">
        <f t="shared" ca="1" si="51"/>
        <v>rg:None</v>
      </c>
      <c r="AF196" s="1">
        <v>42485</v>
      </c>
      <c r="AG196" s="4">
        <f t="shared" ca="1" si="42"/>
        <v>248.41666666666666</v>
      </c>
      <c r="AH196" s="4">
        <f t="shared" si="52"/>
        <v>4.7472222222222218</v>
      </c>
      <c r="AI196">
        <f t="shared" ca="1" si="53"/>
        <v>99</v>
      </c>
      <c r="AJ196">
        <f t="shared" ca="1" si="54"/>
        <v>56</v>
      </c>
      <c r="AK196">
        <f t="shared" ca="1" si="55"/>
        <v>163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  <c r="AT196" t="s">
        <v>6510</v>
      </c>
    </row>
    <row r="197" spans="1:46" x14ac:dyDescent="0.3">
      <c r="A197" t="s">
        <v>5630</v>
      </c>
      <c r="B197">
        <f t="shared" si="43"/>
        <v>200195</v>
      </c>
      <c r="C197">
        <v>200050</v>
      </c>
      <c r="D197" t="str">
        <f t="shared" si="44"/>
        <v>rg:{'id': '200050'}</v>
      </c>
      <c r="E197">
        <f>VLOOKUP(C197,Owners.csv!C:J,6,FALSE)</f>
        <v>200002</v>
      </c>
      <c r="F197" t="str">
        <f>VLOOKUP(VLOOKUP(E197,LocalAreas.csv!I:K,3,FALSE),ServiceAreas.csv!F:J,5,FALSE)</f>
        <v>200009</v>
      </c>
      <c r="G197" t="str">
        <f t="shared" si="45"/>
        <v>rg:{'id': '200002'}</v>
      </c>
      <c r="H197" t="s">
        <v>7764</v>
      </c>
      <c r="I197" t="s">
        <v>5536</v>
      </c>
      <c r="J197">
        <f>VLOOKUP(I197&amp;"-"&amp;F197,DistrictEquipmentTypes.csv!J:K,2,FALSE)</f>
        <v>200000</v>
      </c>
      <c r="K197" t="str">
        <f t="shared" si="46"/>
        <v>rg:{'id': '200000'}</v>
      </c>
      <c r="L197">
        <f t="shared" si="47"/>
        <v>1</v>
      </c>
      <c r="M197" t="str">
        <f>VLOOKUP(C197,Owners.csv!C:K,9,FALSE)&amp;TEXT(Equipment.csv!L197,"0000")</f>
        <v>LIND0001</v>
      </c>
      <c r="N197" t="s">
        <v>5401</v>
      </c>
      <c r="O197" t="s">
        <v>6854</v>
      </c>
      <c r="P197">
        <v>1994</v>
      </c>
      <c r="Q197">
        <v>196</v>
      </c>
      <c r="R197" t="s">
        <v>6663</v>
      </c>
      <c r="S197" s="1">
        <v>38957</v>
      </c>
      <c r="T197" s="1">
        <v>38962</v>
      </c>
      <c r="U197" t="str">
        <f t="shared" ca="1" si="48"/>
        <v>rg:False</v>
      </c>
      <c r="V197" t="str">
        <f t="shared" ca="1" si="49"/>
        <v>rg:None</v>
      </c>
      <c r="W197" t="s">
        <v>7253</v>
      </c>
      <c r="X197" t="s">
        <v>76</v>
      </c>
      <c r="Y197" t="s">
        <v>76</v>
      </c>
      <c r="Z197" t="s">
        <v>76</v>
      </c>
      <c r="AA197" t="s">
        <v>7600</v>
      </c>
      <c r="AB197" t="s">
        <v>7390</v>
      </c>
      <c r="AC197">
        <v>0</v>
      </c>
      <c r="AD197" t="str">
        <f t="shared" ca="1" si="50"/>
        <v>rg:False</v>
      </c>
      <c r="AE197" t="str">
        <f t="shared" ca="1" si="51"/>
        <v>rg:None</v>
      </c>
      <c r="AF197" s="1">
        <v>42486</v>
      </c>
      <c r="AG197" s="4">
        <f t="shared" ca="1" si="42"/>
        <v>384.08333333333337</v>
      </c>
      <c r="AH197" s="4">
        <f t="shared" si="52"/>
        <v>9.5805555555555557</v>
      </c>
      <c r="AI197">
        <f t="shared" ca="1" si="53"/>
        <v>199</v>
      </c>
      <c r="AJ197">
        <f t="shared" ca="1" si="54"/>
        <v>73</v>
      </c>
      <c r="AK197">
        <f t="shared" ca="1" si="55"/>
        <v>18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  <c r="AT197" t="s">
        <v>6510</v>
      </c>
    </row>
    <row r="198" spans="1:46" x14ac:dyDescent="0.3">
      <c r="A198" t="s">
        <v>5630</v>
      </c>
      <c r="B198">
        <f t="shared" si="43"/>
        <v>200196</v>
      </c>
      <c r="C198">
        <v>200051</v>
      </c>
      <c r="D198" t="str">
        <f t="shared" si="44"/>
        <v>rg:{'id': '200051'}</v>
      </c>
      <c r="E198">
        <f>VLOOKUP(C198,Owners.csv!C:J,6,FALSE)</f>
        <v>200002</v>
      </c>
      <c r="F198" t="str">
        <f>VLOOKUP(VLOOKUP(E198,LocalAreas.csv!I:K,3,FALSE),ServiceAreas.csv!F:J,5,FALSE)</f>
        <v>200009</v>
      </c>
      <c r="G198" t="str">
        <f t="shared" si="45"/>
        <v>rg:{'id': '200002'}</v>
      </c>
      <c r="H198" t="s">
        <v>7680</v>
      </c>
      <c r="I198" t="s">
        <v>5536</v>
      </c>
      <c r="J198">
        <f>VLOOKUP(I198&amp;"-"&amp;F198,DistrictEquipmentTypes.csv!J:K,2,FALSE)</f>
        <v>200000</v>
      </c>
      <c r="K198" t="str">
        <f t="shared" si="46"/>
        <v>rg:{'id': '200000'}</v>
      </c>
      <c r="L198">
        <f t="shared" si="47"/>
        <v>1</v>
      </c>
      <c r="M198" t="str">
        <f>VLOOKUP(C198,Owners.csv!C:K,9,FALSE)&amp;TEXT(Equipment.csv!L198,"0000")</f>
        <v>LION0001</v>
      </c>
      <c r="N198" t="s">
        <v>5401</v>
      </c>
      <c r="O198" t="s">
        <v>6855</v>
      </c>
      <c r="P198">
        <v>1994</v>
      </c>
      <c r="Q198">
        <v>197</v>
      </c>
      <c r="R198" t="s">
        <v>6663</v>
      </c>
      <c r="S198" s="1">
        <v>40088</v>
      </c>
      <c r="T198" s="1">
        <v>40107</v>
      </c>
      <c r="U198" t="str">
        <f t="shared" ca="1" si="48"/>
        <v>rg:False</v>
      </c>
      <c r="V198" t="str">
        <f t="shared" ca="1" si="49"/>
        <v>rg:None</v>
      </c>
      <c r="W198" t="s">
        <v>7254</v>
      </c>
      <c r="X198" t="s">
        <v>76</v>
      </c>
      <c r="Y198" t="s">
        <v>76</v>
      </c>
      <c r="Z198" t="s">
        <v>76</v>
      </c>
      <c r="AA198" t="s">
        <v>7601</v>
      </c>
      <c r="AB198" t="s">
        <v>7403</v>
      </c>
      <c r="AC198">
        <v>0</v>
      </c>
      <c r="AD198" t="str">
        <f t="shared" ca="1" si="50"/>
        <v>rg:False</v>
      </c>
      <c r="AE198" t="str">
        <f t="shared" ca="1" si="51"/>
        <v>rg:None</v>
      </c>
      <c r="AF198" s="1">
        <v>42487</v>
      </c>
      <c r="AG198" s="4">
        <f t="shared" ca="1" si="42"/>
        <v>309.66666666666669</v>
      </c>
      <c r="AH198" s="4">
        <f t="shared" si="52"/>
        <v>6.4444444444444446</v>
      </c>
      <c r="AI198">
        <f t="shared" ca="1" si="53"/>
        <v>151</v>
      </c>
      <c r="AJ198">
        <f t="shared" ca="1" si="54"/>
        <v>37</v>
      </c>
      <c r="AK198">
        <f t="shared" ca="1" si="55"/>
        <v>161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  <c r="AT198" t="s">
        <v>6510</v>
      </c>
    </row>
    <row r="199" spans="1:46" x14ac:dyDescent="0.3">
      <c r="A199" t="s">
        <v>5630</v>
      </c>
      <c r="B199">
        <f t="shared" si="43"/>
        <v>200197</v>
      </c>
      <c r="C199">
        <v>200052</v>
      </c>
      <c r="D199" t="str">
        <f t="shared" si="44"/>
        <v>rg:{'id': '200052'}</v>
      </c>
      <c r="E199">
        <f>VLOOKUP(C199,Owners.csv!C:J,6,FALSE)</f>
        <v>200002</v>
      </c>
      <c r="F199" t="str">
        <f>VLOOKUP(VLOOKUP(E199,LocalAreas.csv!I:K,3,FALSE),ServiceAreas.csv!F:J,5,FALSE)</f>
        <v>200009</v>
      </c>
      <c r="G199" t="str">
        <f t="shared" si="45"/>
        <v>rg:{'id': '200002'}</v>
      </c>
      <c r="H199" t="s">
        <v>7765</v>
      </c>
      <c r="I199" t="s">
        <v>5536</v>
      </c>
      <c r="J199">
        <f>VLOOKUP(I199&amp;"-"&amp;F199,DistrictEquipmentTypes.csv!J:K,2,FALSE)</f>
        <v>200000</v>
      </c>
      <c r="K199" t="str">
        <f t="shared" si="46"/>
        <v>rg:{'id': '200000'}</v>
      </c>
      <c r="L199">
        <f t="shared" si="47"/>
        <v>1</v>
      </c>
      <c r="M199" t="str">
        <f>VLOOKUP(C199,Owners.csv!C:K,9,FALSE)&amp;TEXT(Equipment.csv!L199,"0000")</f>
        <v>LITT0001</v>
      </c>
      <c r="N199" t="s">
        <v>5401</v>
      </c>
      <c r="O199" t="s">
        <v>6856</v>
      </c>
      <c r="P199">
        <v>2002</v>
      </c>
      <c r="Q199">
        <v>198</v>
      </c>
      <c r="R199" t="s">
        <v>6663</v>
      </c>
      <c r="S199" s="1">
        <v>40388</v>
      </c>
      <c r="T199" s="1">
        <v>40408</v>
      </c>
      <c r="U199" t="str">
        <f t="shared" ca="1" si="48"/>
        <v>rg:False</v>
      </c>
      <c r="V199" t="str">
        <f t="shared" ca="1" si="49"/>
        <v>rg:None</v>
      </c>
      <c r="W199" t="s">
        <v>7255</v>
      </c>
      <c r="X199" t="s">
        <v>76</v>
      </c>
      <c r="Y199" t="s">
        <v>76</v>
      </c>
      <c r="Z199" t="s">
        <v>76</v>
      </c>
      <c r="AA199" t="s">
        <v>7602</v>
      </c>
      <c r="AB199" t="s">
        <v>7404</v>
      </c>
      <c r="AC199">
        <v>0</v>
      </c>
      <c r="AD199" t="str">
        <f t="shared" ca="1" si="50"/>
        <v>rg:False</v>
      </c>
      <c r="AE199" t="str">
        <f t="shared" ca="1" si="51"/>
        <v>rg:None</v>
      </c>
      <c r="AF199" s="1">
        <v>42488</v>
      </c>
      <c r="AG199" s="4">
        <f t="shared" ca="1" si="42"/>
        <v>234.58333333333334</v>
      </c>
      <c r="AH199" s="4">
        <f t="shared" si="52"/>
        <v>5.6194444444444445</v>
      </c>
      <c r="AI199">
        <f t="shared" ca="1" si="53"/>
        <v>157</v>
      </c>
      <c r="AJ199">
        <f t="shared" ca="1" si="54"/>
        <v>37</v>
      </c>
      <c r="AK199">
        <f t="shared" ca="1" si="55"/>
        <v>4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  <c r="AT199" t="s">
        <v>6510</v>
      </c>
    </row>
    <row r="200" spans="1:46" x14ac:dyDescent="0.3">
      <c r="A200" t="s">
        <v>5630</v>
      </c>
      <c r="B200">
        <f t="shared" si="43"/>
        <v>200198</v>
      </c>
      <c r="C200">
        <v>200053</v>
      </c>
      <c r="D200" t="str">
        <f t="shared" si="44"/>
        <v>rg:{'id': '200053'}</v>
      </c>
      <c r="E200">
        <f>VLOOKUP(C200,Owners.csv!C:J,6,FALSE)</f>
        <v>200002</v>
      </c>
      <c r="F200" t="str">
        <f>VLOOKUP(VLOOKUP(E200,LocalAreas.csv!I:K,3,FALSE),ServiceAreas.csv!F:J,5,FALSE)</f>
        <v>200009</v>
      </c>
      <c r="G200" t="str">
        <f t="shared" si="45"/>
        <v>rg:{'id': '200002'}</v>
      </c>
      <c r="H200" t="s">
        <v>7364</v>
      </c>
      <c r="I200" t="s">
        <v>5536</v>
      </c>
      <c r="J200">
        <f>VLOOKUP(I200&amp;"-"&amp;F200,DistrictEquipmentTypes.csv!J:K,2,FALSE)</f>
        <v>200000</v>
      </c>
      <c r="K200" t="str">
        <f t="shared" si="46"/>
        <v>rg:{'id': '200000'}</v>
      </c>
      <c r="L200">
        <f t="shared" si="47"/>
        <v>1</v>
      </c>
      <c r="M200" t="str">
        <f>VLOOKUP(C200,Owners.csv!C:K,9,FALSE)&amp;TEXT(Equipment.csv!L200,"0000")</f>
        <v>MAGI0001</v>
      </c>
      <c r="N200" t="s">
        <v>5658</v>
      </c>
      <c r="O200">
        <v>303</v>
      </c>
      <c r="P200">
        <v>1989</v>
      </c>
      <c r="Q200">
        <v>400</v>
      </c>
      <c r="R200" t="s">
        <v>6663</v>
      </c>
      <c r="S200" s="1">
        <v>40274</v>
      </c>
      <c r="T200" s="1">
        <v>39491</v>
      </c>
      <c r="U200" t="str">
        <f t="shared" ca="1" si="48"/>
        <v>rg:False</v>
      </c>
      <c r="V200" t="str">
        <f t="shared" ca="1" si="49"/>
        <v>rg:None</v>
      </c>
      <c r="W200" t="s">
        <v>7633</v>
      </c>
      <c r="X200" t="s">
        <v>76</v>
      </c>
      <c r="Y200" t="s">
        <v>76</v>
      </c>
      <c r="Z200" t="s">
        <v>76</v>
      </c>
      <c r="AA200" t="s">
        <v>7635</v>
      </c>
      <c r="AB200" s="1">
        <v>43042</v>
      </c>
      <c r="AC200">
        <v>0</v>
      </c>
      <c r="AD200" t="str">
        <f t="shared" ca="1" si="50"/>
        <v>rg:False</v>
      </c>
      <c r="AE200" t="str">
        <f t="shared" ca="1" si="51"/>
        <v>rg:None</v>
      </c>
      <c r="AF200" s="1">
        <v>42489</v>
      </c>
      <c r="AG200" s="4">
        <f t="shared" ca="1" si="42"/>
        <v>350</v>
      </c>
      <c r="AH200" s="4">
        <f t="shared" si="52"/>
        <v>8.1333333333333329</v>
      </c>
      <c r="AI200">
        <f t="shared" ca="1" si="53"/>
        <v>24</v>
      </c>
      <c r="AJ200">
        <f t="shared" ca="1" si="54"/>
        <v>172</v>
      </c>
      <c r="AK200">
        <f t="shared" ca="1" si="55"/>
        <v>122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  <c r="AT200" t="s">
        <v>6510</v>
      </c>
    </row>
    <row r="201" spans="1:46" x14ac:dyDescent="0.3">
      <c r="A201" t="s">
        <v>5630</v>
      </c>
      <c r="B201">
        <f t="shared" si="43"/>
        <v>200199</v>
      </c>
      <c r="C201">
        <v>200054</v>
      </c>
      <c r="D201" t="str">
        <f t="shared" si="44"/>
        <v>rg:{'id': '200054'}</v>
      </c>
      <c r="E201">
        <f>VLOOKUP(C201,Owners.csv!C:J,6,FALSE)</f>
        <v>200002</v>
      </c>
      <c r="F201" t="str">
        <f>VLOOKUP(VLOOKUP(E201,LocalAreas.csv!I:K,3,FALSE),ServiceAreas.csv!F:J,5,FALSE)</f>
        <v>200009</v>
      </c>
      <c r="G201" t="str">
        <f t="shared" si="45"/>
        <v>rg:{'id': '200002'}</v>
      </c>
      <c r="H201" t="s">
        <v>7701</v>
      </c>
      <c r="I201" t="s">
        <v>5536</v>
      </c>
      <c r="J201">
        <f>VLOOKUP(I201&amp;"-"&amp;F201,DistrictEquipmentTypes.csv!J:K,2,FALSE)</f>
        <v>200000</v>
      </c>
      <c r="K201" t="str">
        <f t="shared" si="46"/>
        <v>rg:{'id': '200000'}</v>
      </c>
      <c r="L201">
        <f t="shared" si="47"/>
        <v>1</v>
      </c>
      <c r="M201" t="str">
        <f>VLOOKUP(C201,Owners.csv!C:K,9,FALSE)&amp;TEXT(Equipment.csv!L201,"0000")</f>
        <v>MANC0001</v>
      </c>
      <c r="N201" t="s">
        <v>5658</v>
      </c>
      <c r="O201" t="s">
        <v>7632</v>
      </c>
      <c r="P201">
        <v>2008</v>
      </c>
      <c r="Q201">
        <v>700</v>
      </c>
      <c r="R201" t="s">
        <v>6663</v>
      </c>
      <c r="S201" s="1">
        <v>41493</v>
      </c>
      <c r="T201" s="1">
        <v>39069</v>
      </c>
      <c r="U201" t="str">
        <f t="shared" ca="1" si="48"/>
        <v>rg:False</v>
      </c>
      <c r="V201" t="str">
        <f t="shared" ca="1" si="49"/>
        <v>rg:None</v>
      </c>
      <c r="W201" t="s">
        <v>7634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50"/>
        <v>rg:False</v>
      </c>
      <c r="AE201" t="str">
        <f t="shared" ca="1" si="51"/>
        <v>rg:None</v>
      </c>
      <c r="AF201" s="1">
        <v>42490</v>
      </c>
      <c r="AG201" s="4">
        <f t="shared" ca="1" si="42"/>
        <v>375.58333333333337</v>
      </c>
      <c r="AH201" s="4">
        <f t="shared" si="52"/>
        <v>9.2861111111111114</v>
      </c>
      <c r="AI201">
        <f t="shared" ca="1" si="53"/>
        <v>32</v>
      </c>
      <c r="AJ201">
        <f t="shared" ca="1" si="54"/>
        <v>74</v>
      </c>
      <c r="AK201">
        <f t="shared" ca="1" si="55"/>
        <v>185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  <c r="AT201" t="s">
        <v>6510</v>
      </c>
    </row>
    <row r="202" spans="1:46" x14ac:dyDescent="0.3">
      <c r="A202" t="s">
        <v>5630</v>
      </c>
      <c r="B202">
        <f t="shared" si="43"/>
        <v>200200</v>
      </c>
      <c r="C202">
        <v>200055</v>
      </c>
      <c r="D202" t="str">
        <f t="shared" si="44"/>
        <v>rg:{'id': '200055'}</v>
      </c>
      <c r="E202">
        <f>VLOOKUP(C202,Owners.csv!C:J,6,FALSE)</f>
        <v>200002</v>
      </c>
      <c r="F202" t="str">
        <f>VLOOKUP(VLOOKUP(E202,LocalAreas.csv!I:K,3,FALSE),ServiceAreas.csv!F:J,5,FALSE)</f>
        <v>200009</v>
      </c>
      <c r="G202" t="str">
        <f t="shared" si="45"/>
        <v>rg:{'id': '200002'}</v>
      </c>
      <c r="H202" t="s">
        <v>7721</v>
      </c>
      <c r="I202" t="s">
        <v>5536</v>
      </c>
      <c r="J202">
        <f>VLOOKUP(I202&amp;"-"&amp;F202,DistrictEquipmentTypes.csv!J:K,2,FALSE)</f>
        <v>200000</v>
      </c>
      <c r="K202" t="str">
        <f t="shared" si="46"/>
        <v>rg:{'id': '200000'}</v>
      </c>
      <c r="L202">
        <f t="shared" si="47"/>
        <v>1</v>
      </c>
      <c r="M202" t="str">
        <f>VLOOKUP(C202,Owners.csv!C:K,9,FALSE)&amp;TEXT(Equipment.csv!L202,"0000")</f>
        <v>MCDU0001</v>
      </c>
      <c r="N202" t="s">
        <v>5658</v>
      </c>
      <c r="O202" t="s">
        <v>7637</v>
      </c>
      <c r="P202">
        <v>1977</v>
      </c>
      <c r="Q202">
        <v>10</v>
      </c>
      <c r="R202" t="s">
        <v>6663</v>
      </c>
      <c r="S202" s="1">
        <v>39711</v>
      </c>
      <c r="T202" s="1">
        <v>37909</v>
      </c>
      <c r="U202" t="str">
        <f t="shared" ca="1" si="48"/>
        <v>rg:False</v>
      </c>
      <c r="V202" t="str">
        <f t="shared" ca="1" si="49"/>
        <v>rg:None</v>
      </c>
      <c r="W202" t="s">
        <v>7639</v>
      </c>
      <c r="X202" t="s">
        <v>76</v>
      </c>
      <c r="Y202" t="s">
        <v>76</v>
      </c>
      <c r="Z202" t="s">
        <v>76</v>
      </c>
      <c r="AA202" t="s">
        <v>7643</v>
      </c>
      <c r="AB202" t="s">
        <v>7263</v>
      </c>
      <c r="AC202">
        <v>0</v>
      </c>
      <c r="AD202" t="str">
        <f t="shared" ca="1" si="50"/>
        <v>rg:False</v>
      </c>
      <c r="AE202" t="s">
        <v>76</v>
      </c>
      <c r="AF202" s="1">
        <v>42491</v>
      </c>
      <c r="AG202" s="4">
        <f t="shared" ca="1" si="42"/>
        <v>478.5</v>
      </c>
      <c r="AH202" s="4">
        <f t="shared" si="52"/>
        <v>12.46111111111111</v>
      </c>
      <c r="AI202">
        <f t="shared" ca="1" si="53"/>
        <v>53</v>
      </c>
      <c r="AJ202">
        <f t="shared" ca="1" si="54"/>
        <v>94</v>
      </c>
      <c r="AK202">
        <f t="shared" ca="1" si="55"/>
        <v>167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  <c r="AT202" t="s">
        <v>6510</v>
      </c>
    </row>
    <row r="203" spans="1:46" x14ac:dyDescent="0.3">
      <c r="A203" t="s">
        <v>5630</v>
      </c>
      <c r="B203">
        <f t="shared" si="43"/>
        <v>200201</v>
      </c>
      <c r="C203">
        <v>200056</v>
      </c>
      <c r="D203" t="str">
        <f t="shared" si="44"/>
        <v>rg:{'id': '200056'}</v>
      </c>
      <c r="E203">
        <f>VLOOKUP(C203,Owners.csv!C:J,6,FALSE)</f>
        <v>200002</v>
      </c>
      <c r="F203" t="str">
        <f>VLOOKUP(VLOOKUP(E203,LocalAreas.csv!I:K,3,FALSE),ServiceAreas.csv!F:J,5,FALSE)</f>
        <v>200009</v>
      </c>
      <c r="G203" t="str">
        <f t="shared" si="45"/>
        <v>rg:{'id': '200002'}</v>
      </c>
      <c r="H203" t="s">
        <v>7738</v>
      </c>
      <c r="I203" t="s">
        <v>5536</v>
      </c>
      <c r="J203">
        <f>VLOOKUP(I203&amp;"-"&amp;F203,DistrictEquipmentTypes.csv!J:K,2,FALSE)</f>
        <v>200000</v>
      </c>
      <c r="K203" t="str">
        <f t="shared" si="46"/>
        <v>rg:{'id': '200000'}</v>
      </c>
      <c r="L203">
        <f t="shared" si="47"/>
        <v>1</v>
      </c>
      <c r="M203" t="str">
        <f>VLOOKUP(C203,Owners.csv!C:K,9,FALSE)&amp;TEXT(Equipment.csv!L203,"0000")</f>
        <v>MEGA0001</v>
      </c>
      <c r="N203" t="s">
        <v>5467</v>
      </c>
      <c r="O203" t="s">
        <v>5652</v>
      </c>
      <c r="P203">
        <v>1983</v>
      </c>
      <c r="Q203">
        <v>10</v>
      </c>
      <c r="R203" t="s">
        <v>6663</v>
      </c>
      <c r="S203" s="1">
        <v>41447</v>
      </c>
      <c r="T203" s="1">
        <v>40680</v>
      </c>
      <c r="U203" t="str">
        <f t="shared" ca="1" si="48"/>
        <v>rg:False</v>
      </c>
      <c r="V203" t="str">
        <f t="shared" ca="1" si="49"/>
        <v>rg:None</v>
      </c>
      <c r="W203" t="s">
        <v>7641</v>
      </c>
      <c r="X203" t="s">
        <v>76</v>
      </c>
      <c r="Y203" t="s">
        <v>76</v>
      </c>
      <c r="Z203" t="s">
        <v>76</v>
      </c>
      <c r="AA203" t="s">
        <v>7642</v>
      </c>
      <c r="AB203" t="s">
        <v>7263</v>
      </c>
      <c r="AC203">
        <v>0</v>
      </c>
      <c r="AD203" t="str">
        <f t="shared" ca="1" si="50"/>
        <v>rg:False</v>
      </c>
      <c r="AE203" t="s">
        <v>76</v>
      </c>
      <c r="AF203" s="1">
        <v>42492</v>
      </c>
      <c r="AG203" s="4">
        <f t="shared" ca="1" si="42"/>
        <v>246.16666666666666</v>
      </c>
      <c r="AH203" s="4">
        <f t="shared" si="52"/>
        <v>4.8722222222222218</v>
      </c>
      <c r="AI203">
        <f t="shared" ca="1" si="53"/>
        <v>109</v>
      </c>
      <c r="AJ203">
        <f t="shared" ca="1" si="54"/>
        <v>9</v>
      </c>
      <c r="AK203">
        <f t="shared" ca="1" si="55"/>
        <v>182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  <c r="AT203" t="s">
        <v>6510</v>
      </c>
    </row>
    <row r="204" spans="1:46" x14ac:dyDescent="0.3">
      <c r="A204" t="s">
        <v>5630</v>
      </c>
      <c r="B204">
        <f t="shared" si="43"/>
        <v>200202</v>
      </c>
      <c r="C204">
        <v>200057</v>
      </c>
      <c r="D204" t="str">
        <f t="shared" si="44"/>
        <v>rg:{'id': '200057'}</v>
      </c>
      <c r="E204">
        <f>VLOOKUP(C204,Owners.csv!C:J,6,FALSE)</f>
        <v>200002</v>
      </c>
      <c r="F204" t="str">
        <f>VLOOKUP(VLOOKUP(E204,LocalAreas.csv!I:K,3,FALSE),ServiceAreas.csv!F:J,5,FALSE)</f>
        <v>200009</v>
      </c>
      <c r="G204" t="str">
        <f t="shared" si="45"/>
        <v>rg:{'id': '200002'}</v>
      </c>
      <c r="H204" t="s">
        <v>7266</v>
      </c>
      <c r="I204" t="s">
        <v>5536</v>
      </c>
      <c r="J204">
        <f>VLOOKUP(I204&amp;"-"&amp;F204,DistrictEquipmentTypes.csv!J:K,2,FALSE)</f>
        <v>200000</v>
      </c>
      <c r="K204" t="str">
        <f t="shared" si="46"/>
        <v>rg:{'id': '200000'}</v>
      </c>
      <c r="L204">
        <f t="shared" si="47"/>
        <v>1</v>
      </c>
      <c r="M204" t="str">
        <f>VLOOKUP(C204,Owners.csv!C:K,9,FALSE)&amp;TEXT(Equipment.csv!L204,"0000")</f>
        <v>MERV0001</v>
      </c>
      <c r="N204" t="s">
        <v>7636</v>
      </c>
      <c r="O204" t="s">
        <v>7638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48"/>
        <v>rg:True</v>
      </c>
      <c r="V204" t="str">
        <f t="shared" ca="1" si="49"/>
        <v>This equipment should be archived</v>
      </c>
      <c r="W204" t="s">
        <v>7640</v>
      </c>
      <c r="X204" t="s">
        <v>76</v>
      </c>
      <c r="Y204" t="s">
        <v>76</v>
      </c>
      <c r="Z204" t="s">
        <v>76</v>
      </c>
      <c r="AA204">
        <v>6665432</v>
      </c>
      <c r="AB204" t="s">
        <v>7263</v>
      </c>
      <c r="AC204">
        <v>0</v>
      </c>
      <c r="AD204" t="str">
        <f t="shared" ca="1" si="50"/>
        <v>rg:False</v>
      </c>
      <c r="AE204" t="s">
        <v>76</v>
      </c>
      <c r="AF204" s="1">
        <v>42493</v>
      </c>
      <c r="AG204" s="4">
        <f t="shared" ca="1" si="42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  <c r="AT204" t="s">
        <v>6510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Brush Rake</v>
      </c>
      <c r="B2" t="s">
        <v>5383</v>
      </c>
      <c r="C2" t="s">
        <v>5384</v>
      </c>
      <c r="E2" t="str">
        <f ca="1">CONCATR(A2:C2,",")</f>
        <v>Brush Rake,[Edit],[Del]</v>
      </c>
    </row>
    <row r="3" spans="1:5" x14ac:dyDescent="0.3">
      <c r="A3" t="str">
        <f ca="1">VLOOKUP(RANDBETWEEN(1,10),'Lookups (2)'!A:G,7,FALSE)</f>
        <v>18" Dig Bucket</v>
      </c>
      <c r="B3" t="s">
        <v>5383</v>
      </c>
      <c r="C3" t="s">
        <v>5384</v>
      </c>
      <c r="E3" t="str">
        <f ca="1">CONCATR(A3:C3,",")</f>
        <v>18" Dig Bucket,[Edit],[Del]</v>
      </c>
    </row>
    <row r="4" spans="1:5" x14ac:dyDescent="0.3">
      <c r="A4" t="str">
        <f ca="1">VLOOKUP(RANDBETWEEN(1,10),'Lookups (2)'!A:G,7,FALSE)</f>
        <v>Track Excavator</v>
      </c>
      <c r="B4" t="s">
        <v>5383</v>
      </c>
      <c r="C4" t="s">
        <v>5384</v>
      </c>
      <c r="E4" t="str">
        <f ca="1">CONCATR(A4:C4,",")</f>
        <v>Track Excavator,[Edit],[Del]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55"/>
  <sheetViews>
    <sheetView workbookViewId="0">
      <pane ySplit="1" topLeftCell="A2" activePane="bottomLeft" state="frozen"/>
      <selection pane="bottomLeft" activeCell="H149" sqref="H149"/>
    </sheetView>
  </sheetViews>
  <sheetFormatPr defaultRowHeight="14.4" x14ac:dyDescent="0.3"/>
  <cols>
    <col min="2" max="2" width="17" bestFit="1" customWidth="1"/>
    <col min="3" max="3" width="21" customWidth="1"/>
    <col min="4" max="4" width="14.6640625" bestFit="1" customWidth="1"/>
    <col min="5" max="6" width="20.33203125" customWidth="1"/>
    <col min="7" max="7" width="6" customWidth="1"/>
    <col min="8" max="8" width="21.5546875" bestFit="1" customWidth="1"/>
    <col min="9" max="9" width="14.109375" bestFit="1" customWidth="1"/>
    <col min="10" max="10" width="16.5546875" bestFit="1" customWidth="1"/>
    <col min="11" max="11" width="16.5546875" customWidth="1"/>
    <col min="12" max="12" width="19.44140625" bestFit="1" customWidth="1"/>
    <col min="17" max="17" width="11.6640625" bestFit="1" customWidth="1"/>
  </cols>
  <sheetData>
    <row r="1" spans="1:17" x14ac:dyDescent="0.3">
      <c r="A1" t="s">
        <v>68</v>
      </c>
      <c r="B1" t="s">
        <v>7874</v>
      </c>
      <c r="C1" s="11" t="s">
        <v>7887</v>
      </c>
      <c r="D1" s="11" t="s">
        <v>7888</v>
      </c>
      <c r="E1" s="10" t="s">
        <v>6936</v>
      </c>
      <c r="F1" s="10" t="s">
        <v>73</v>
      </c>
      <c r="G1" t="s">
        <v>3</v>
      </c>
      <c r="H1" s="6" t="s">
        <v>6670</v>
      </c>
      <c r="I1" s="6" t="s">
        <v>6671</v>
      </c>
      <c r="J1" s="7" t="s">
        <v>6672</v>
      </c>
      <c r="K1" s="10" t="s">
        <v>7631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10" t="s">
        <v>7889</v>
      </c>
    </row>
    <row r="2" spans="1:17" x14ac:dyDescent="0.3">
      <c r="A2" t="s">
        <v>5386</v>
      </c>
      <c r="B2" t="s">
        <v>2957</v>
      </c>
      <c r="C2" t="str">
        <f>VLOOKUP(B2,ServiceAreas.csv!C:J,8,FALSE)</f>
        <v>200009</v>
      </c>
      <c r="D2" t="str">
        <f>"rg{'id': '"&amp;C2&amp;"'}'"</f>
        <v>rg{'id': '200009'}'</v>
      </c>
      <c r="E2" s="1" t="str">
        <f ca="1">MID(Names!G2,FIND(" ",Names!G2)+1,LEN(Names!G2)-FIND(" ", Names!G2))&amp;" "&amp;INDEX(PROJ_EXT_Name,RANDBETWEEN(2,12))</f>
        <v>Burdett Avenue Bridge</v>
      </c>
      <c r="F2" s="1" t="s">
        <v>6937</v>
      </c>
      <c r="G2">
        <v>40000</v>
      </c>
      <c r="H2">
        <f>IF(ISNUMBER(H1),H1+1,500000)</f>
        <v>500000</v>
      </c>
      <c r="I2" t="s">
        <v>6687</v>
      </c>
      <c r="J2" t="s">
        <v>6510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 t="str">
        <f t="shared" ref="Q2:Q33" si="0">C2</f>
        <v>200009</v>
      </c>
    </row>
    <row r="3" spans="1:17" x14ac:dyDescent="0.3">
      <c r="A3" t="s">
        <v>5386</v>
      </c>
      <c r="B3" t="s">
        <v>2957</v>
      </c>
      <c r="C3" t="str">
        <f>VLOOKUP(B3,ServiceAreas.csv!C:J,8,FALSE)</f>
        <v>200009</v>
      </c>
      <c r="D3" t="str">
        <f t="shared" ref="D3:D49" si="1">"rg{'id': '"&amp;C3&amp;"'}'"</f>
        <v>rg{'id': '200009'}'</v>
      </c>
      <c r="E3" s="1" t="str">
        <f ca="1">MID(Names!G3,FIND(" ",Names!G3)+1,LEN(Names!G3)-FIND(" ", Names!G3))&amp;" "&amp;INDEX(PROJ_EXT_Name,RANDBETWEEN(2,12))</f>
        <v>Brew Creek Rd Extension</v>
      </c>
      <c r="F3" s="1" t="s">
        <v>6932</v>
      </c>
      <c r="G3">
        <f>G2+1</f>
        <v>40001</v>
      </c>
      <c r="H3">
        <f t="shared" ref="H3:H49" si="2">IF(ISNUMBER(H2),H2+1,500000)</f>
        <v>500001</v>
      </c>
      <c r="I3" t="s">
        <v>6687</v>
      </c>
      <c r="J3" t="s">
        <v>6510</v>
      </c>
      <c r="K3">
        <f>IFERROR(VLOOKUP(F3,Contacts.csv!C:D,2,FALSE),"")</f>
        <v>200106</v>
      </c>
      <c r="L3" t="str">
        <f t="shared" ref="L3:L50" si="3">IF(ISNUMBER(K3),"rg:{'id':'" &amp; K3 &amp; "'}","rg:None")</f>
        <v>rg:{'id':'200106'}</v>
      </c>
      <c r="M3" s="4" t="str">
        <f t="shared" ref="M3:M50" si="4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 t="str">
        <f t="shared" si="0"/>
        <v>200009</v>
      </c>
    </row>
    <row r="4" spans="1:17" x14ac:dyDescent="0.3">
      <c r="A4" t="s">
        <v>5386</v>
      </c>
      <c r="B4" t="s">
        <v>2957</v>
      </c>
      <c r="C4" t="str">
        <f>VLOOKUP(B4,ServiceAreas.csv!C:J,8,FALSE)</f>
        <v>200009</v>
      </c>
      <c r="D4" t="str">
        <f t="shared" si="1"/>
        <v>rg{'id': '200009'}'</v>
      </c>
      <c r="E4" s="1" t="str">
        <f ca="1">MID(Names!G4,FIND(" ",Names!G4)+1,LEN(Names!G4)-FIND(" ", Names!G4))&amp;" "&amp;INDEX(PROJ_EXT_Name,RANDBETWEEN(2,12))</f>
        <v>Mesa Vista Drive Extension</v>
      </c>
      <c r="F4" s="1" t="s">
        <v>6938</v>
      </c>
      <c r="G4">
        <f t="shared" ref="G4:G67" si="5">G3+1</f>
        <v>40002</v>
      </c>
      <c r="H4">
        <f t="shared" si="2"/>
        <v>500002</v>
      </c>
      <c r="I4" t="s">
        <v>6687</v>
      </c>
      <c r="J4" t="s">
        <v>6510</v>
      </c>
      <c r="K4">
        <f>IFERROR(VLOOKUP(F4,Contacts.csv!C:D,2,FALSE),"")</f>
        <v>200107</v>
      </c>
      <c r="L4" t="str">
        <f t="shared" si="3"/>
        <v>rg:{'id':'200107'}</v>
      </c>
      <c r="M4" s="4" t="str">
        <f t="shared" si="4"/>
        <v>rg:[{'id':'200107'}]</v>
      </c>
      <c r="N4" t="s">
        <v>6510</v>
      </c>
      <c r="O4" t="s">
        <v>6510</v>
      </c>
      <c r="P4" t="s">
        <v>6510</v>
      </c>
      <c r="Q4" t="str">
        <f t="shared" si="0"/>
        <v>200009</v>
      </c>
    </row>
    <row r="5" spans="1:17" x14ac:dyDescent="0.3">
      <c r="A5" t="s">
        <v>5386</v>
      </c>
      <c r="B5" t="s">
        <v>2957</v>
      </c>
      <c r="C5" t="str">
        <f>VLOOKUP(B5,ServiceAreas.csv!C:J,8,FALSE)</f>
        <v>200009</v>
      </c>
      <c r="D5" t="str">
        <f t="shared" si="1"/>
        <v>rg{'id': '200009'}'</v>
      </c>
      <c r="E5" s="1" t="str">
        <f ca="1">MID(Names!G5,FIND(" ",Names!G5)+1,LEN(Names!G5)-FIND(" ", Names!G5))&amp;" "&amp;INDEX(PROJ_EXT_Name,RANDBETWEEN(2,12))</f>
        <v>Burdett Avenue Expressway</v>
      </c>
      <c r="F5" s="1" t="s">
        <v>6939</v>
      </c>
      <c r="G5">
        <f t="shared" si="5"/>
        <v>40003</v>
      </c>
      <c r="H5">
        <f t="shared" si="2"/>
        <v>500003</v>
      </c>
      <c r="I5" t="s">
        <v>6687</v>
      </c>
      <c r="J5" t="s">
        <v>6510</v>
      </c>
      <c r="K5">
        <f>IFERROR(VLOOKUP(F5,Contacts.csv!C:D,2,FALSE),"")</f>
        <v>200108</v>
      </c>
      <c r="L5" t="str">
        <f t="shared" si="3"/>
        <v>rg:{'id':'200108'}</v>
      </c>
      <c r="M5" s="4" t="str">
        <f t="shared" si="4"/>
        <v>rg:[{'id':'200108'}]</v>
      </c>
      <c r="N5" t="s">
        <v>6510</v>
      </c>
      <c r="O5" t="s">
        <v>6510</v>
      </c>
      <c r="P5" t="s">
        <v>6510</v>
      </c>
      <c r="Q5" t="str">
        <f t="shared" si="0"/>
        <v>200009</v>
      </c>
    </row>
    <row r="6" spans="1:17" x14ac:dyDescent="0.3">
      <c r="A6" t="s">
        <v>5386</v>
      </c>
      <c r="B6" t="s">
        <v>2957</v>
      </c>
      <c r="C6" t="str">
        <f>VLOOKUP(B6,ServiceAreas.csv!C:J,8,FALSE)</f>
        <v>200009</v>
      </c>
      <c r="D6" t="str">
        <f t="shared" si="1"/>
        <v>rg{'id': '200009'}'</v>
      </c>
      <c r="E6" s="1" t="str">
        <f ca="1">MID(Names!G6,FIND(" ",Names!G6)+1,LEN(Names!G6)-FIND(" ", Names!G6))&amp;" "&amp;INDEX(PROJ_EXT_Name,RANDBETWEEN(2,12))</f>
        <v>Noble Rd Cloverleaf</v>
      </c>
      <c r="F6" s="1" t="s">
        <v>6940</v>
      </c>
      <c r="G6">
        <f t="shared" si="5"/>
        <v>40004</v>
      </c>
      <c r="H6">
        <f t="shared" si="2"/>
        <v>500004</v>
      </c>
      <c r="I6" t="s">
        <v>6687</v>
      </c>
      <c r="J6" t="s">
        <v>6510</v>
      </c>
      <c r="K6">
        <f>IFERROR(VLOOKUP(F6,Contacts.csv!C:D,2,FALSE),"")</f>
        <v>200109</v>
      </c>
      <c r="L6" t="str">
        <f t="shared" si="3"/>
        <v>rg:{'id':'200109'}</v>
      </c>
      <c r="M6" s="4" t="str">
        <f t="shared" si="4"/>
        <v>rg:[{'id':'200109'}]</v>
      </c>
      <c r="N6" t="s">
        <v>6510</v>
      </c>
      <c r="O6" t="s">
        <v>6510</v>
      </c>
      <c r="P6" t="s">
        <v>6510</v>
      </c>
      <c r="Q6" t="str">
        <f t="shared" si="0"/>
        <v>200009</v>
      </c>
    </row>
    <row r="7" spans="1:17" x14ac:dyDescent="0.3">
      <c r="A7" t="s">
        <v>5386</v>
      </c>
      <c r="B7" t="s">
        <v>2957</v>
      </c>
      <c r="C7" t="str">
        <f>VLOOKUP(B7,ServiceAreas.csv!C:J,8,FALSE)</f>
        <v>200009</v>
      </c>
      <c r="D7" t="str">
        <f t="shared" si="1"/>
        <v>rg{'id': '200009'}'</v>
      </c>
      <c r="E7" s="1" t="str">
        <f ca="1">MID(Names!G7,FIND(" ",Names!G7)+1,LEN(Names!G7)-FIND(" ", Names!G7))&amp;" "&amp;INDEX(PROJ_EXT_Name,RANDBETWEEN(2,12))</f>
        <v>Essendene Avenue Overpass</v>
      </c>
      <c r="F7" s="1" t="s">
        <v>6941</v>
      </c>
      <c r="G7">
        <f t="shared" si="5"/>
        <v>40005</v>
      </c>
      <c r="H7">
        <f t="shared" si="2"/>
        <v>500005</v>
      </c>
      <c r="I7" t="s">
        <v>6687</v>
      </c>
      <c r="J7" t="s">
        <v>6510</v>
      </c>
      <c r="K7">
        <f>IFERROR(VLOOKUP(F7,Contacts.csv!C:D,2,FALSE),"")</f>
        <v>200110</v>
      </c>
      <c r="L7" t="str">
        <f t="shared" si="3"/>
        <v>rg:{'id':'200110'}</v>
      </c>
      <c r="M7" s="4" t="str">
        <f t="shared" si="4"/>
        <v>rg:[{'id':'200110'}]</v>
      </c>
      <c r="N7" t="s">
        <v>6510</v>
      </c>
      <c r="O7" t="s">
        <v>6510</v>
      </c>
      <c r="P7" t="s">
        <v>6510</v>
      </c>
      <c r="Q7" t="str">
        <f t="shared" si="0"/>
        <v>200009</v>
      </c>
    </row>
    <row r="8" spans="1:17" x14ac:dyDescent="0.3">
      <c r="A8" t="s">
        <v>5386</v>
      </c>
      <c r="B8" t="s">
        <v>2957</v>
      </c>
      <c r="C8" t="str">
        <f>VLOOKUP(B8,ServiceAreas.csv!C:J,8,FALSE)</f>
        <v>200009</v>
      </c>
      <c r="D8" t="str">
        <f t="shared" si="1"/>
        <v>rg{'id': '200009'}'</v>
      </c>
      <c r="E8" s="1" t="str">
        <f ca="1">MID(Names!G8,FIND(" ",Names!G8)+1,LEN(Names!G8)-FIND(" ", Names!G8))&amp;" "&amp;INDEX(PROJ_EXT_Name,RANDBETWEEN(2,12))</f>
        <v>Cordova Street HOV Lane</v>
      </c>
      <c r="F8" s="1" t="s">
        <v>6942</v>
      </c>
      <c r="G8">
        <f t="shared" si="5"/>
        <v>40006</v>
      </c>
      <c r="H8">
        <f t="shared" si="2"/>
        <v>500006</v>
      </c>
      <c r="I8" t="s">
        <v>6687</v>
      </c>
      <c r="J8" t="s">
        <v>6510</v>
      </c>
      <c r="K8">
        <f>IFERROR(VLOOKUP(F8,Contacts.csv!C:D,2,FALSE),"")</f>
        <v>200111</v>
      </c>
      <c r="L8" t="str">
        <f t="shared" si="3"/>
        <v>rg:{'id':'200111'}</v>
      </c>
      <c r="M8" s="4" t="str">
        <f t="shared" si="4"/>
        <v>rg:[{'id':'200111'}]</v>
      </c>
      <c r="N8" t="s">
        <v>6510</v>
      </c>
      <c r="O8" t="s">
        <v>6510</v>
      </c>
      <c r="P8" t="s">
        <v>6510</v>
      </c>
      <c r="Q8" t="str">
        <f t="shared" si="0"/>
        <v>200009</v>
      </c>
    </row>
    <row r="9" spans="1:17" x14ac:dyDescent="0.3">
      <c r="A9" t="s">
        <v>5386</v>
      </c>
      <c r="B9" t="s">
        <v>2955</v>
      </c>
      <c r="C9" t="str">
        <f>VLOOKUP(B9,ServiceAreas.csv!C:J,8,FALSE)</f>
        <v>200006</v>
      </c>
      <c r="D9" t="str">
        <f t="shared" si="1"/>
        <v>rg{'id': '200006'}'</v>
      </c>
      <c r="E9" s="1" t="str">
        <f ca="1">MID(Names!G9,FIND(" ",Names!G9)+1,LEN(Names!G9)-FIND(" ", Names!G9))&amp;" "&amp;INDEX(PROJ_EXT_Name,RANDBETWEEN(2,12))</f>
        <v>Hardy Street Bridge</v>
      </c>
      <c r="F9" s="1" t="s">
        <v>6921</v>
      </c>
      <c r="G9">
        <f t="shared" si="5"/>
        <v>40007</v>
      </c>
      <c r="H9">
        <f t="shared" si="2"/>
        <v>500007</v>
      </c>
      <c r="I9" t="s">
        <v>6687</v>
      </c>
      <c r="J9" t="s">
        <v>6510</v>
      </c>
      <c r="K9">
        <f>IFERROR(VLOOKUP(F9,Contacts.csv!C:D,2,FALSE),"")</f>
        <v>200112</v>
      </c>
      <c r="L9" t="str">
        <f t="shared" si="3"/>
        <v>rg:{'id':'200112'}</v>
      </c>
      <c r="M9" s="4" t="str">
        <f t="shared" si="4"/>
        <v>rg:[{'id':'200112'}]</v>
      </c>
      <c r="N9" t="s">
        <v>6510</v>
      </c>
      <c r="O9" t="s">
        <v>6510</v>
      </c>
      <c r="P9" t="s">
        <v>6510</v>
      </c>
      <c r="Q9" t="str">
        <f t="shared" si="0"/>
        <v>200006</v>
      </c>
    </row>
    <row r="10" spans="1:17" x14ac:dyDescent="0.3">
      <c r="A10" t="s">
        <v>5386</v>
      </c>
      <c r="B10" t="s">
        <v>2955</v>
      </c>
      <c r="C10" t="str">
        <f>VLOOKUP(B10,ServiceAreas.csv!C:J,8,FALSE)</f>
        <v>200006</v>
      </c>
      <c r="D10" t="str">
        <f t="shared" si="1"/>
        <v>rg{'id': '200006'}'</v>
      </c>
      <c r="E10" s="1" t="str">
        <f ca="1">MID(Names!G10,FIND(" ",Names!G10)+1,LEN(Names!G10)-FIND(" ", Names!G10))&amp;" "&amp;INDEX(PROJ_EXT_Name,RANDBETWEEN(2,12))</f>
        <v>Robson St Upgrade</v>
      </c>
      <c r="F10" s="1" t="s">
        <v>6943</v>
      </c>
      <c r="G10">
        <f t="shared" si="5"/>
        <v>40008</v>
      </c>
      <c r="H10">
        <f t="shared" si="2"/>
        <v>500008</v>
      </c>
      <c r="I10" t="s">
        <v>6687</v>
      </c>
      <c r="J10" t="s">
        <v>6510</v>
      </c>
      <c r="K10">
        <f>IFERROR(VLOOKUP(F10,Contacts.csv!C:D,2,FALSE),"")</f>
        <v>200113</v>
      </c>
      <c r="L10" t="str">
        <f t="shared" si="3"/>
        <v>rg:{'id':'200113'}</v>
      </c>
      <c r="M10" s="4" t="str">
        <f t="shared" si="4"/>
        <v>rg:[{'id':'200113'}]</v>
      </c>
      <c r="N10" t="s">
        <v>6510</v>
      </c>
      <c r="O10" t="s">
        <v>6510</v>
      </c>
      <c r="P10" t="s">
        <v>6510</v>
      </c>
      <c r="Q10" t="str">
        <f t="shared" si="0"/>
        <v>200006</v>
      </c>
    </row>
    <row r="11" spans="1:17" x14ac:dyDescent="0.3">
      <c r="A11" t="s">
        <v>5386</v>
      </c>
      <c r="B11" t="s">
        <v>2955</v>
      </c>
      <c r="C11" t="str">
        <f>VLOOKUP(B11,ServiceAreas.csv!C:J,8,FALSE)</f>
        <v>200006</v>
      </c>
      <c r="D11" t="str">
        <f t="shared" si="1"/>
        <v>rg{'id': '200006'}'</v>
      </c>
      <c r="E11" s="1" t="str">
        <f ca="1">MID(Names!G11,FIND(" ",Names!G11)+1,LEN(Names!G11)-FIND(" ", Names!G11))&amp;" "&amp;INDEX(PROJ_EXT_Name,RANDBETWEEN(2,12))</f>
        <v>Wellington Ave Upgrade</v>
      </c>
      <c r="F11" s="1" t="s">
        <v>6899</v>
      </c>
      <c r="G11">
        <f t="shared" si="5"/>
        <v>40009</v>
      </c>
      <c r="H11">
        <f t="shared" si="2"/>
        <v>500009</v>
      </c>
      <c r="I11" t="s">
        <v>6687</v>
      </c>
      <c r="J11" t="s">
        <v>6510</v>
      </c>
      <c r="K11">
        <f>IFERROR(VLOOKUP(F11,Contacts.csv!C:D,2,FALSE),"")</f>
        <v>200114</v>
      </c>
      <c r="L11" t="str">
        <f t="shared" si="3"/>
        <v>rg:{'id':'200114'}</v>
      </c>
      <c r="M11" s="4" t="str">
        <f t="shared" si="4"/>
        <v>rg:[{'id':'200114'}]</v>
      </c>
      <c r="N11" t="s">
        <v>6510</v>
      </c>
      <c r="O11" t="s">
        <v>6510</v>
      </c>
      <c r="P11" t="s">
        <v>6510</v>
      </c>
      <c r="Q11" t="str">
        <f t="shared" si="0"/>
        <v>200006</v>
      </c>
    </row>
    <row r="12" spans="1:17" x14ac:dyDescent="0.3">
      <c r="A12" t="s">
        <v>5386</v>
      </c>
      <c r="B12" t="s">
        <v>2955</v>
      </c>
      <c r="C12" t="str">
        <f>VLOOKUP(B12,ServiceAreas.csv!C:J,8,FALSE)</f>
        <v>200006</v>
      </c>
      <c r="D12" t="str">
        <f t="shared" si="1"/>
        <v>rg{'id': '200006'}'</v>
      </c>
      <c r="E12" s="1" t="str">
        <f ca="1">MID(Names!G12,FIND(" ",Names!G12)+1,LEN(Names!G12)-FIND(" ", Names!G12))&amp;" "&amp;INDEX(PROJ_EXT_Name,RANDBETWEEN(2,12))</f>
        <v>Old Spallumcheen Rd Upgrade</v>
      </c>
      <c r="F12" s="1" t="s">
        <v>6944</v>
      </c>
      <c r="G12">
        <f t="shared" si="5"/>
        <v>40010</v>
      </c>
      <c r="H12">
        <f t="shared" si="2"/>
        <v>500010</v>
      </c>
      <c r="I12" t="s">
        <v>6687</v>
      </c>
      <c r="J12" t="s">
        <v>6510</v>
      </c>
      <c r="K12">
        <f>IFERROR(VLOOKUP(F12,Contacts.csv!C:D,2,FALSE),"")</f>
        <v>200115</v>
      </c>
      <c r="L12" t="str">
        <f t="shared" si="3"/>
        <v>rg:{'id':'200115'}</v>
      </c>
      <c r="M12" s="4" t="str">
        <f t="shared" si="4"/>
        <v>rg:[{'id':'200115'}]</v>
      </c>
      <c r="N12" t="s">
        <v>6510</v>
      </c>
      <c r="O12" t="s">
        <v>6510</v>
      </c>
      <c r="P12" t="s">
        <v>6510</v>
      </c>
      <c r="Q12" t="str">
        <f t="shared" si="0"/>
        <v>200006</v>
      </c>
    </row>
    <row r="13" spans="1:17" x14ac:dyDescent="0.3">
      <c r="A13" t="s">
        <v>5386</v>
      </c>
      <c r="B13" t="s">
        <v>2955</v>
      </c>
      <c r="C13" t="str">
        <f>VLOOKUP(B13,ServiceAreas.csv!C:J,8,FALSE)</f>
        <v>200006</v>
      </c>
      <c r="D13" t="str">
        <f t="shared" si="1"/>
        <v>rg{'id': '200006'}'</v>
      </c>
      <c r="E13" s="1" t="str">
        <f ca="1">MID(Names!G13,FIND(" ",Names!G13)+1,LEN(Names!G13)-FIND(" ", Names!G13))&amp;" "&amp;INDEX(PROJ_EXT_Name,RANDBETWEEN(2,12))</f>
        <v>Noble Rd Express Lane</v>
      </c>
      <c r="F13" s="1" t="s">
        <v>6945</v>
      </c>
      <c r="G13">
        <f t="shared" si="5"/>
        <v>40011</v>
      </c>
      <c r="H13">
        <f t="shared" si="2"/>
        <v>500011</v>
      </c>
      <c r="I13" t="s">
        <v>6687</v>
      </c>
      <c r="J13" t="s">
        <v>6510</v>
      </c>
      <c r="K13">
        <f>IFERROR(VLOOKUP(F13,Contacts.csv!C:D,2,FALSE),"")</f>
        <v>200116</v>
      </c>
      <c r="L13" t="str">
        <f t="shared" si="3"/>
        <v>rg:{'id':'200116'}</v>
      </c>
      <c r="M13" s="4" t="str">
        <f t="shared" si="4"/>
        <v>rg:[{'id':'200116'}]</v>
      </c>
      <c r="N13" t="s">
        <v>6510</v>
      </c>
      <c r="O13" t="s">
        <v>6510</v>
      </c>
      <c r="P13" t="s">
        <v>6510</v>
      </c>
      <c r="Q13" t="str">
        <f t="shared" si="0"/>
        <v>200006</v>
      </c>
    </row>
    <row r="14" spans="1:17" x14ac:dyDescent="0.3">
      <c r="A14" t="s">
        <v>5386</v>
      </c>
      <c r="B14" t="s">
        <v>2955</v>
      </c>
      <c r="C14" t="str">
        <f>VLOOKUP(B14,ServiceAreas.csv!C:J,8,FALSE)</f>
        <v>200006</v>
      </c>
      <c r="D14" t="str">
        <f t="shared" si="1"/>
        <v>rg{'id': '200006'}'</v>
      </c>
      <c r="E14" s="1" t="str">
        <f ca="1">MID(Names!G14,FIND(" ",Names!G14)+1,LEN(Names!G14)-FIND(" ", Names!G14))&amp;" "&amp;INDEX(PROJ_EXT_Name,RANDBETWEEN(2,12))</f>
        <v>Jade St Upgrade</v>
      </c>
      <c r="F14" s="1" t="s">
        <v>6946</v>
      </c>
      <c r="G14">
        <f t="shared" si="5"/>
        <v>40012</v>
      </c>
      <c r="H14">
        <f t="shared" si="2"/>
        <v>500012</v>
      </c>
      <c r="I14" t="s">
        <v>6687</v>
      </c>
      <c r="J14" t="s">
        <v>6510</v>
      </c>
      <c r="K14">
        <f>IFERROR(VLOOKUP(F14,Contacts.csv!C:D,2,FALSE),"")</f>
        <v>200117</v>
      </c>
      <c r="L14" t="str">
        <f t="shared" si="3"/>
        <v>rg:{'id':'200117'}</v>
      </c>
      <c r="M14" s="4" t="str">
        <f t="shared" si="4"/>
        <v>rg:[{'id':'200117'}]</v>
      </c>
      <c r="N14" t="s">
        <v>6510</v>
      </c>
      <c r="O14" t="s">
        <v>6510</v>
      </c>
      <c r="P14" t="s">
        <v>6510</v>
      </c>
      <c r="Q14" t="str">
        <f t="shared" si="0"/>
        <v>200006</v>
      </c>
    </row>
    <row r="15" spans="1:17" x14ac:dyDescent="0.3">
      <c r="A15" t="s">
        <v>5386</v>
      </c>
      <c r="B15" t="s">
        <v>2955</v>
      </c>
      <c r="C15" t="str">
        <f>VLOOKUP(B15,ServiceAreas.csv!C:J,8,FALSE)</f>
        <v>200006</v>
      </c>
      <c r="D15" t="str">
        <f t="shared" si="1"/>
        <v>rg{'id': '200006'}'</v>
      </c>
      <c r="E15" s="1" t="str">
        <f ca="1">MID(Names!G15,FIND(" ",Names!G15)+1,LEN(Names!G15)-FIND(" ", Names!G15))&amp;" "&amp;INDEX(PROJ_EXT_Name,RANDBETWEEN(2,12))</f>
        <v>Wallace Street Building</v>
      </c>
      <c r="F15" s="1" t="s">
        <v>6947</v>
      </c>
      <c r="G15">
        <f t="shared" si="5"/>
        <v>40013</v>
      </c>
      <c r="H15">
        <f t="shared" si="2"/>
        <v>500013</v>
      </c>
      <c r="I15" t="s">
        <v>6687</v>
      </c>
      <c r="J15" t="s">
        <v>6510</v>
      </c>
      <c r="K15">
        <f>IFERROR(VLOOKUP(F15,Contacts.csv!C:D,2,FALSE),"")</f>
        <v>200118</v>
      </c>
      <c r="L15" t="str">
        <f t="shared" si="3"/>
        <v>rg:{'id':'200118'}</v>
      </c>
      <c r="M15" s="4" t="str">
        <f t="shared" si="4"/>
        <v>rg:[{'id':'200118'}]</v>
      </c>
      <c r="N15" t="s">
        <v>6510</v>
      </c>
      <c r="O15" t="s">
        <v>6510</v>
      </c>
      <c r="P15" t="s">
        <v>6510</v>
      </c>
      <c r="Q15" t="str">
        <f t="shared" si="0"/>
        <v>200006</v>
      </c>
    </row>
    <row r="16" spans="1:17" x14ac:dyDescent="0.3">
      <c r="A16" t="s">
        <v>5386</v>
      </c>
      <c r="B16" t="s">
        <v>2955</v>
      </c>
      <c r="C16" t="str">
        <f>VLOOKUP(B16,ServiceAreas.csv!C:J,8,FALSE)</f>
        <v>200006</v>
      </c>
      <c r="D16" t="str">
        <f t="shared" si="1"/>
        <v>rg{'id': '200006'}'</v>
      </c>
      <c r="E16" s="1" t="str">
        <f ca="1">MID(Names!G16,FIND(" ",Names!G16)+1,LEN(Names!G16)-FIND(" ", Names!G16))&amp;" "&amp;INDEX(PROJ_EXT_Name,RANDBETWEEN(2,12))</f>
        <v>James Street Bridge</v>
      </c>
      <c r="F16" s="1" t="s">
        <v>6934</v>
      </c>
      <c r="G16">
        <f t="shared" si="5"/>
        <v>40014</v>
      </c>
      <c r="H16">
        <f t="shared" si="2"/>
        <v>500014</v>
      </c>
      <c r="I16" t="s">
        <v>6687</v>
      </c>
      <c r="J16" t="s">
        <v>6510</v>
      </c>
      <c r="K16">
        <f>IFERROR(VLOOKUP(F16,Contacts.csv!C:D,2,FALSE),"")</f>
        <v>200119</v>
      </c>
      <c r="L16" t="str">
        <f t="shared" si="3"/>
        <v>rg:{'id':'200119'}</v>
      </c>
      <c r="M16" s="4" t="str">
        <f t="shared" si="4"/>
        <v>rg:[{'id':'200119'}]</v>
      </c>
      <c r="N16" t="s">
        <v>6510</v>
      </c>
      <c r="O16" t="s">
        <v>6510</v>
      </c>
      <c r="P16" t="s">
        <v>6510</v>
      </c>
      <c r="Q16" t="str">
        <f t="shared" si="0"/>
        <v>200006</v>
      </c>
    </row>
    <row r="17" spans="1:17" x14ac:dyDescent="0.3">
      <c r="A17" t="s">
        <v>5386</v>
      </c>
      <c r="B17" t="s">
        <v>2955</v>
      </c>
      <c r="C17" t="str">
        <f>VLOOKUP(B17,ServiceAreas.csv!C:J,8,FALSE)</f>
        <v>200006</v>
      </c>
      <c r="D17" t="str">
        <f t="shared" si="1"/>
        <v>rg{'id': '200006'}'</v>
      </c>
      <c r="E17" s="1" t="str">
        <f ca="1">MID(Names!G17,FIND(" ",Names!G17)+1,LEN(Names!G17)-FIND(" ", Names!G17))&amp;" "&amp;INDEX(PROJ_EXT_Name,RANDBETWEEN(2,12))</f>
        <v>Holdom Avenue Express Lane</v>
      </c>
      <c r="F17" s="1" t="s">
        <v>6948</v>
      </c>
      <c r="G17">
        <f t="shared" si="5"/>
        <v>40015</v>
      </c>
      <c r="H17">
        <f t="shared" si="2"/>
        <v>500015</v>
      </c>
      <c r="I17" t="s">
        <v>6687</v>
      </c>
      <c r="J17" t="s">
        <v>6510</v>
      </c>
      <c r="K17">
        <f>IFERROR(VLOOKUP(F17,Contacts.csv!C:D,2,FALSE),"")</f>
        <v>200120</v>
      </c>
      <c r="L17" t="str">
        <f t="shared" si="3"/>
        <v>rg:{'id':'200120'}</v>
      </c>
      <c r="M17" s="4" t="str">
        <f t="shared" si="4"/>
        <v>rg:[{'id':'200120'}]</v>
      </c>
      <c r="N17" t="s">
        <v>6510</v>
      </c>
      <c r="O17" t="s">
        <v>6510</v>
      </c>
      <c r="P17" t="s">
        <v>6510</v>
      </c>
      <c r="Q17" t="str">
        <f t="shared" si="0"/>
        <v>200006</v>
      </c>
    </row>
    <row r="18" spans="1:17" x14ac:dyDescent="0.3">
      <c r="A18" t="s">
        <v>5386</v>
      </c>
      <c r="B18" t="s">
        <v>2955</v>
      </c>
      <c r="C18" t="str">
        <f>VLOOKUP(B18,ServiceAreas.csv!C:J,8,FALSE)</f>
        <v>200006</v>
      </c>
      <c r="D18" t="str">
        <f t="shared" si="1"/>
        <v>rg{'id': '200006'}'</v>
      </c>
      <c r="E18" s="1" t="str">
        <f ca="1">MID(Names!G18,FIND(" ",Names!G18)+1,LEN(Names!G18)-FIND(" ", Names!G18))&amp;" "&amp;INDEX(PROJ_EXT_Name,RANDBETWEEN(2,12))</f>
        <v>Roger Street Cloverleaf</v>
      </c>
      <c r="F18" s="1" t="s">
        <v>6917</v>
      </c>
      <c r="G18">
        <f t="shared" si="5"/>
        <v>40016</v>
      </c>
      <c r="H18">
        <f t="shared" si="2"/>
        <v>500016</v>
      </c>
      <c r="I18" t="s">
        <v>6687</v>
      </c>
      <c r="J18" t="s">
        <v>6510</v>
      </c>
      <c r="K18">
        <f>IFERROR(VLOOKUP(F18,Contacts.csv!C:D,2,FALSE),"")</f>
        <v>200121</v>
      </c>
      <c r="L18" t="str">
        <f t="shared" si="3"/>
        <v>rg:{'id':'200121'}</v>
      </c>
      <c r="M18" s="4" t="str">
        <f t="shared" si="4"/>
        <v>rg:[{'id':'200121'}]</v>
      </c>
      <c r="N18" t="s">
        <v>6510</v>
      </c>
      <c r="O18" t="s">
        <v>6510</v>
      </c>
      <c r="P18" t="s">
        <v>6510</v>
      </c>
      <c r="Q18" t="str">
        <f t="shared" si="0"/>
        <v>200006</v>
      </c>
    </row>
    <row r="19" spans="1:17" x14ac:dyDescent="0.3">
      <c r="A19" t="s">
        <v>5386</v>
      </c>
      <c r="B19" t="s">
        <v>2955</v>
      </c>
      <c r="C19" t="str">
        <f>VLOOKUP(B19,ServiceAreas.csv!C:J,8,FALSE)</f>
        <v>200006</v>
      </c>
      <c r="D19" t="str">
        <f t="shared" si="1"/>
        <v>rg{'id': '200006'}'</v>
      </c>
      <c r="E19" s="1" t="str">
        <f ca="1">MID(Names!G19,FIND(" ",Names!G19)+1,LEN(Names!G19)-FIND(" ", Names!G19))&amp;" "&amp;INDEX(PROJ_EXT_Name,RANDBETWEEN(2,12))</f>
        <v>Scotts Lane Cloverleaf</v>
      </c>
      <c r="F19" s="1" t="s">
        <v>6949</v>
      </c>
      <c r="G19">
        <f t="shared" si="5"/>
        <v>40017</v>
      </c>
      <c r="H19">
        <f t="shared" si="2"/>
        <v>500017</v>
      </c>
      <c r="I19" t="s">
        <v>6687</v>
      </c>
      <c r="J19" t="s">
        <v>6510</v>
      </c>
      <c r="K19">
        <f>IFERROR(VLOOKUP(F19,Contacts.csv!C:D,2,FALSE),"")</f>
        <v>200122</v>
      </c>
      <c r="L19" t="str">
        <f t="shared" si="3"/>
        <v>rg:{'id':'200122'}</v>
      </c>
      <c r="M19" s="4" t="str">
        <f t="shared" si="4"/>
        <v>rg:[{'id':'200122'}]</v>
      </c>
      <c r="N19" t="s">
        <v>6510</v>
      </c>
      <c r="O19" t="s">
        <v>6510</v>
      </c>
      <c r="P19" t="s">
        <v>6510</v>
      </c>
      <c r="Q19" t="str">
        <f t="shared" si="0"/>
        <v>200006</v>
      </c>
    </row>
    <row r="20" spans="1:17" x14ac:dyDescent="0.3">
      <c r="A20" t="s">
        <v>5386</v>
      </c>
      <c r="B20" t="s">
        <v>2955</v>
      </c>
      <c r="C20" t="str">
        <f>VLOOKUP(B20,ServiceAreas.csv!C:J,8,FALSE)</f>
        <v>200006</v>
      </c>
      <c r="D20" t="str">
        <f t="shared" si="1"/>
        <v>rg{'id': '200006'}'</v>
      </c>
      <c r="E20" s="1" t="str">
        <f ca="1">MID(Names!G20,FIND(" ",Names!G20)+1,LEN(Names!G20)-FIND(" ", Names!G20))&amp;" "&amp;INDEX(PROJ_EXT_Name,RANDBETWEEN(2,12))</f>
        <v>Findlay Creek Road Express Lane</v>
      </c>
      <c r="F20" s="1" t="s">
        <v>6894</v>
      </c>
      <c r="G20">
        <f t="shared" si="5"/>
        <v>40018</v>
      </c>
      <c r="H20">
        <f t="shared" si="2"/>
        <v>500018</v>
      </c>
      <c r="I20" t="s">
        <v>6687</v>
      </c>
      <c r="J20" t="s">
        <v>6510</v>
      </c>
      <c r="K20">
        <f>IFERROR(VLOOKUP(F20,Contacts.csv!C:D,2,FALSE),"")</f>
        <v>200123</v>
      </c>
      <c r="L20" t="str">
        <f t="shared" si="3"/>
        <v>rg:{'id':'200123'}</v>
      </c>
      <c r="M20" s="4" t="str">
        <f t="shared" si="4"/>
        <v>rg:[{'id':'200123'}]</v>
      </c>
      <c r="N20" t="s">
        <v>6510</v>
      </c>
      <c r="O20" t="s">
        <v>6510</v>
      </c>
      <c r="P20" t="s">
        <v>6510</v>
      </c>
      <c r="Q20" t="str">
        <f t="shared" si="0"/>
        <v>200006</v>
      </c>
    </row>
    <row r="21" spans="1:17" x14ac:dyDescent="0.3">
      <c r="A21" t="s">
        <v>5386</v>
      </c>
      <c r="B21" t="s">
        <v>2955</v>
      </c>
      <c r="C21" t="str">
        <f>VLOOKUP(B21,ServiceAreas.csv!C:J,8,FALSE)</f>
        <v>200006</v>
      </c>
      <c r="D21" t="str">
        <f t="shared" si="1"/>
        <v>rg{'id': '200006'}'</v>
      </c>
      <c r="E21" s="1" t="str">
        <f ca="1">MID(Names!G21,FIND(" ",Names!G21)+1,LEN(Names!G21)-FIND(" ", Names!G21))&amp;" "&amp;INDEX(PROJ_EXT_Name,RANDBETWEEN(2,12))</f>
        <v>Sixth Street Bridge Replacement</v>
      </c>
      <c r="F21" s="1" t="s">
        <v>6950</v>
      </c>
      <c r="G21">
        <f t="shared" si="5"/>
        <v>40019</v>
      </c>
      <c r="H21">
        <f t="shared" si="2"/>
        <v>500019</v>
      </c>
      <c r="I21" t="s">
        <v>6687</v>
      </c>
      <c r="J21" t="s">
        <v>6510</v>
      </c>
      <c r="K21">
        <f>IFERROR(VLOOKUP(F21,Contacts.csv!C:D,2,FALSE),"")</f>
        <v>200124</v>
      </c>
      <c r="L21" t="str">
        <f t="shared" si="3"/>
        <v>rg:{'id':'200124'}</v>
      </c>
      <c r="M21" s="4" t="str">
        <f t="shared" si="4"/>
        <v>rg:[{'id':'200124'}]</v>
      </c>
      <c r="N21" t="s">
        <v>6510</v>
      </c>
      <c r="O21" t="s">
        <v>6510</v>
      </c>
      <c r="P21" t="s">
        <v>6510</v>
      </c>
      <c r="Q21" t="str">
        <f t="shared" si="0"/>
        <v>200006</v>
      </c>
    </row>
    <row r="22" spans="1:17" x14ac:dyDescent="0.3">
      <c r="A22" t="s">
        <v>5386</v>
      </c>
      <c r="B22" t="s">
        <v>2955</v>
      </c>
      <c r="C22" t="str">
        <f>VLOOKUP(B22,ServiceAreas.csv!C:J,8,FALSE)</f>
        <v>200006</v>
      </c>
      <c r="D22" t="str">
        <f t="shared" si="1"/>
        <v>rg{'id': '200006'}'</v>
      </c>
      <c r="E22" s="1" t="str">
        <f ca="1">MID(Names!G22,FIND(" ",Names!G22)+1,LEN(Names!G22)-FIND(" ", Names!G22))&amp;" "&amp;INDEX(PROJ_EXT_Name,RANDBETWEEN(2,12))</f>
        <v>Blanshard Expressway</v>
      </c>
      <c r="F22" s="1" t="s">
        <v>6901</v>
      </c>
      <c r="G22">
        <f t="shared" si="5"/>
        <v>40020</v>
      </c>
      <c r="H22">
        <f t="shared" si="2"/>
        <v>500020</v>
      </c>
      <c r="I22" t="s">
        <v>6687</v>
      </c>
      <c r="J22" t="s">
        <v>6510</v>
      </c>
      <c r="K22">
        <f>IFERROR(VLOOKUP(F22,Contacts.csv!C:D,2,FALSE),"")</f>
        <v>200125</v>
      </c>
      <c r="L22" t="str">
        <f t="shared" si="3"/>
        <v>rg:{'id':'200125'}</v>
      </c>
      <c r="M22" s="4" t="str">
        <f t="shared" si="4"/>
        <v>rg:[{'id':'200125'}]</v>
      </c>
      <c r="N22" t="s">
        <v>6510</v>
      </c>
      <c r="O22" t="s">
        <v>6510</v>
      </c>
      <c r="P22" t="s">
        <v>6510</v>
      </c>
      <c r="Q22" t="str">
        <f t="shared" si="0"/>
        <v>200006</v>
      </c>
    </row>
    <row r="23" spans="1:17" x14ac:dyDescent="0.3">
      <c r="A23" t="s">
        <v>5386</v>
      </c>
      <c r="B23" t="s">
        <v>2951</v>
      </c>
      <c r="C23" t="str">
        <f>VLOOKUP(B23,ServiceAreas.csv!C:J,8,FALSE)</f>
        <v>200001</v>
      </c>
      <c r="D23" t="str">
        <f t="shared" si="1"/>
        <v>rg{'id': '200001'}'</v>
      </c>
      <c r="E23" s="1" t="str">
        <f ca="1">MID(Names!G23,FIND(" ",Names!G23)+1,LEN(Names!G23)-FIND(" ", Names!G23))&amp;" "&amp;INDEX(PROJ_EXT_Name,RANDBETWEEN(2,12))</f>
        <v>King George Hwy Bypass</v>
      </c>
      <c r="F23" s="1" t="s">
        <v>6951</v>
      </c>
      <c r="G23">
        <f t="shared" si="5"/>
        <v>40021</v>
      </c>
      <c r="H23">
        <f t="shared" si="2"/>
        <v>500021</v>
      </c>
      <c r="I23" t="s">
        <v>6687</v>
      </c>
      <c r="J23" t="s">
        <v>6510</v>
      </c>
      <c r="K23">
        <f>IFERROR(VLOOKUP(F23,Contacts.csv!C:D,2,FALSE),"")</f>
        <v>200126</v>
      </c>
      <c r="L23" t="str">
        <f t="shared" si="3"/>
        <v>rg:{'id':'200126'}</v>
      </c>
      <c r="M23" s="4" t="str">
        <f t="shared" si="4"/>
        <v>rg:[{'id':'200126'}]</v>
      </c>
      <c r="N23" t="s">
        <v>6510</v>
      </c>
      <c r="O23" t="s">
        <v>6510</v>
      </c>
      <c r="P23" t="s">
        <v>6510</v>
      </c>
      <c r="Q23" t="str">
        <f t="shared" si="0"/>
        <v>200001</v>
      </c>
    </row>
    <row r="24" spans="1:17" x14ac:dyDescent="0.3">
      <c r="A24" t="s">
        <v>5386</v>
      </c>
      <c r="B24" t="s">
        <v>2951</v>
      </c>
      <c r="C24" t="str">
        <f>VLOOKUP(B24,ServiceAreas.csv!C:J,8,FALSE)</f>
        <v>200001</v>
      </c>
      <c r="D24" t="str">
        <f t="shared" si="1"/>
        <v>rg{'id': '200001'}'</v>
      </c>
      <c r="E24" s="1" t="str">
        <f ca="1">MID(Names!G24,FIND(" ",Names!G24)+1,LEN(Names!G24)-FIND(" ", Names!G24))&amp;" "&amp;INDEX(PROJ_EXT_Name,RANDBETWEEN(2,12))</f>
        <v>Glover Road HOV Lane</v>
      </c>
      <c r="F24" s="1" t="s">
        <v>6893</v>
      </c>
      <c r="G24">
        <f t="shared" si="5"/>
        <v>40022</v>
      </c>
      <c r="H24">
        <f t="shared" si="2"/>
        <v>500022</v>
      </c>
      <c r="I24" t="s">
        <v>6687</v>
      </c>
      <c r="J24" t="s">
        <v>6510</v>
      </c>
      <c r="K24">
        <f>IFERROR(VLOOKUP(F24,Contacts.csv!C:D,2,FALSE),"")</f>
        <v>200127</v>
      </c>
      <c r="L24" t="str">
        <f t="shared" si="3"/>
        <v>rg:{'id':'200127'}</v>
      </c>
      <c r="M24" s="4" t="str">
        <f t="shared" si="4"/>
        <v>rg:[{'id':'200127'}]</v>
      </c>
      <c r="N24" t="s">
        <v>6510</v>
      </c>
      <c r="O24" t="s">
        <v>6510</v>
      </c>
      <c r="P24" t="s">
        <v>6510</v>
      </c>
      <c r="Q24" t="str">
        <f t="shared" si="0"/>
        <v>200001</v>
      </c>
    </row>
    <row r="25" spans="1:17" x14ac:dyDescent="0.3">
      <c r="A25" t="s">
        <v>5386</v>
      </c>
      <c r="B25" t="s">
        <v>2951</v>
      </c>
      <c r="C25" t="str">
        <f>VLOOKUP(B25,ServiceAreas.csv!C:J,8,FALSE)</f>
        <v>200001</v>
      </c>
      <c r="D25" t="str">
        <f t="shared" si="1"/>
        <v>rg{'id': '200001'}'</v>
      </c>
      <c r="E25" s="1" t="str">
        <f ca="1">MID(Names!G25,FIND(" ",Names!G25)+1,LEN(Names!G25)-FIND(" ", Names!G25))&amp;" "&amp;INDEX(PROJ_EXT_Name,RANDBETWEEN(2,12))</f>
        <v>Wallace Street Building</v>
      </c>
      <c r="F25" s="1" t="s">
        <v>6952</v>
      </c>
      <c r="G25">
        <f t="shared" si="5"/>
        <v>40023</v>
      </c>
      <c r="H25">
        <f t="shared" si="2"/>
        <v>500023</v>
      </c>
      <c r="I25" t="s">
        <v>6687</v>
      </c>
      <c r="J25" t="s">
        <v>6510</v>
      </c>
      <c r="K25">
        <f>IFERROR(VLOOKUP(F25,Contacts.csv!C:D,2,FALSE),"")</f>
        <v>200128</v>
      </c>
      <c r="L25" t="str">
        <f t="shared" si="3"/>
        <v>rg:{'id':'200128'}</v>
      </c>
      <c r="M25" s="4" t="str">
        <f t="shared" si="4"/>
        <v>rg:[{'id':'200128'}]</v>
      </c>
      <c r="N25" t="s">
        <v>6510</v>
      </c>
      <c r="O25" t="s">
        <v>6510</v>
      </c>
      <c r="P25" t="s">
        <v>6510</v>
      </c>
      <c r="Q25" t="str">
        <f t="shared" si="0"/>
        <v>200001</v>
      </c>
    </row>
    <row r="26" spans="1:17" x14ac:dyDescent="0.3">
      <c r="A26" t="s">
        <v>5386</v>
      </c>
      <c r="B26" t="s">
        <v>2951</v>
      </c>
      <c r="C26" t="str">
        <f>VLOOKUP(B26,ServiceAreas.csv!C:J,8,FALSE)</f>
        <v>200001</v>
      </c>
      <c r="D26" t="str">
        <f t="shared" si="1"/>
        <v>rg{'id': '200001'}'</v>
      </c>
      <c r="E26" s="1" t="str">
        <f ca="1">MID(Names!G26,FIND(" ",Names!G26)+1,LEN(Names!G26)-FIND(" ", Names!G26))&amp;" "&amp;INDEX(PROJ_EXT_Name,RANDBETWEEN(2,12))</f>
        <v>Yoho Valley Road Overpass</v>
      </c>
      <c r="F26" s="1" t="s">
        <v>6953</v>
      </c>
      <c r="G26">
        <f t="shared" si="5"/>
        <v>40024</v>
      </c>
      <c r="H26">
        <f t="shared" si="2"/>
        <v>500024</v>
      </c>
      <c r="I26" t="s">
        <v>6687</v>
      </c>
      <c r="J26" t="s">
        <v>6510</v>
      </c>
      <c r="K26">
        <f>IFERROR(VLOOKUP(F26,Contacts.csv!C:D,2,FALSE),"")</f>
        <v>200129</v>
      </c>
      <c r="L26" t="str">
        <f t="shared" si="3"/>
        <v>rg:{'id':'200129'}</v>
      </c>
      <c r="M26" s="4" t="str">
        <f t="shared" si="4"/>
        <v>rg:[{'id':'200129'}]</v>
      </c>
      <c r="N26" t="s">
        <v>6510</v>
      </c>
      <c r="O26" t="s">
        <v>6510</v>
      </c>
      <c r="P26" t="s">
        <v>6510</v>
      </c>
      <c r="Q26" t="str">
        <f t="shared" si="0"/>
        <v>200001</v>
      </c>
    </row>
    <row r="27" spans="1:17" x14ac:dyDescent="0.3">
      <c r="A27" t="s">
        <v>5386</v>
      </c>
      <c r="B27" t="s">
        <v>2951</v>
      </c>
      <c r="C27" t="str">
        <f>VLOOKUP(B27,ServiceAreas.csv!C:J,8,FALSE)</f>
        <v>200001</v>
      </c>
      <c r="D27" t="str">
        <f t="shared" si="1"/>
        <v>rg{'id': '200001'}'</v>
      </c>
      <c r="E27" s="1" t="str">
        <f ca="1">MID(Names!G27,FIND(" ",Names!G27)+1,LEN(Names!G27)-FIND(" ", Names!G27))&amp;" "&amp;INDEX(PROJ_EXT_Name,RANDBETWEEN(2,12))</f>
        <v>Burdett Avenue HOV Lane</v>
      </c>
      <c r="F27" s="1" t="s">
        <v>6912</v>
      </c>
      <c r="G27">
        <f t="shared" si="5"/>
        <v>40025</v>
      </c>
      <c r="H27">
        <f t="shared" si="2"/>
        <v>500025</v>
      </c>
      <c r="I27" t="s">
        <v>6687</v>
      </c>
      <c r="J27" t="s">
        <v>6510</v>
      </c>
      <c r="K27">
        <f>IFERROR(VLOOKUP(F27,Contacts.csv!C:D,2,FALSE),"")</f>
        <v>200130</v>
      </c>
      <c r="L27" t="str">
        <f t="shared" si="3"/>
        <v>rg:{'id':'200130'}</v>
      </c>
      <c r="M27" s="4" t="str">
        <f t="shared" si="4"/>
        <v>rg:[{'id':'200130'}]</v>
      </c>
      <c r="N27" t="s">
        <v>6510</v>
      </c>
      <c r="O27" t="s">
        <v>6510</v>
      </c>
      <c r="P27" t="s">
        <v>6510</v>
      </c>
      <c r="Q27" t="str">
        <f t="shared" si="0"/>
        <v>200001</v>
      </c>
    </row>
    <row r="28" spans="1:17" x14ac:dyDescent="0.3">
      <c r="A28" t="s">
        <v>5386</v>
      </c>
      <c r="B28" t="s">
        <v>2951</v>
      </c>
      <c r="C28" t="str">
        <f>VLOOKUP(B28,ServiceAreas.csv!C:J,8,FALSE)</f>
        <v>200001</v>
      </c>
      <c r="D28" t="str">
        <f t="shared" si="1"/>
        <v>rg{'id': '200001'}'</v>
      </c>
      <c r="E28" s="1" t="str">
        <f ca="1">MID(Names!G28,FIND(" ",Names!G28)+1,LEN(Names!G28)-FIND(" ", Names!G28))&amp;" "&amp;INDEX(PROJ_EXT_Name,RANDBETWEEN(2,12))</f>
        <v>Cordova Street Overpass</v>
      </c>
      <c r="F28" s="1" t="s">
        <v>6954</v>
      </c>
      <c r="G28">
        <f t="shared" si="5"/>
        <v>40026</v>
      </c>
      <c r="H28">
        <f t="shared" si="2"/>
        <v>500026</v>
      </c>
      <c r="I28" t="s">
        <v>6687</v>
      </c>
      <c r="J28" t="s">
        <v>6510</v>
      </c>
      <c r="K28">
        <f>IFERROR(VLOOKUP(F28,Contacts.csv!C:D,2,FALSE),"")</f>
        <v>200131</v>
      </c>
      <c r="L28" t="str">
        <f t="shared" si="3"/>
        <v>rg:{'id':'200131'}</v>
      </c>
      <c r="M28" s="4" t="str">
        <f t="shared" si="4"/>
        <v>rg:[{'id':'200131'}]</v>
      </c>
      <c r="N28" t="s">
        <v>6510</v>
      </c>
      <c r="O28" t="s">
        <v>6510</v>
      </c>
      <c r="P28" t="s">
        <v>6510</v>
      </c>
      <c r="Q28" t="str">
        <f t="shared" si="0"/>
        <v>200001</v>
      </c>
    </row>
    <row r="29" spans="1:17" x14ac:dyDescent="0.3">
      <c r="A29" t="s">
        <v>5386</v>
      </c>
      <c r="B29" t="s">
        <v>2951</v>
      </c>
      <c r="C29" t="str">
        <f>VLOOKUP(B29,ServiceAreas.csv!C:J,8,FALSE)</f>
        <v>200001</v>
      </c>
      <c r="D29" t="str">
        <f t="shared" si="1"/>
        <v>rg{'id': '200001'}'</v>
      </c>
      <c r="E29" s="1" t="str">
        <f ca="1">MID(Names!G29,FIND(" ",Names!G29)+1,LEN(Names!G29)-FIND(" ", Names!G29))&amp;" "&amp;INDEX(PROJ_EXT_Name,RANDBETWEEN(2,12))</f>
        <v>Glover Road Upgrade</v>
      </c>
      <c r="F29" s="1" t="s">
        <v>6927</v>
      </c>
      <c r="G29">
        <f t="shared" si="5"/>
        <v>40027</v>
      </c>
      <c r="H29">
        <f t="shared" si="2"/>
        <v>500027</v>
      </c>
      <c r="I29" t="s">
        <v>6687</v>
      </c>
      <c r="J29" t="s">
        <v>6510</v>
      </c>
      <c r="K29">
        <f>IFERROR(VLOOKUP(F29,Contacts.csv!C:D,2,FALSE),"")</f>
        <v>200132</v>
      </c>
      <c r="L29" t="str">
        <f t="shared" si="3"/>
        <v>rg:{'id':'200132'}</v>
      </c>
      <c r="M29" s="4" t="str">
        <f t="shared" si="4"/>
        <v>rg:[{'id':'200132'}]</v>
      </c>
      <c r="N29" t="s">
        <v>6510</v>
      </c>
      <c r="O29" t="s">
        <v>6510</v>
      </c>
      <c r="P29" t="s">
        <v>6510</v>
      </c>
      <c r="Q29" t="str">
        <f t="shared" si="0"/>
        <v>200001</v>
      </c>
    </row>
    <row r="30" spans="1:17" x14ac:dyDescent="0.3">
      <c r="A30" t="s">
        <v>5386</v>
      </c>
      <c r="B30" t="s">
        <v>2928</v>
      </c>
      <c r="C30" t="str">
        <f>VLOOKUP(B30,ServiceAreas.csv!C:J,8,FALSE)</f>
        <v>200000</v>
      </c>
      <c r="D30" t="str">
        <f t="shared" si="1"/>
        <v>rg{'id': '200000'}'</v>
      </c>
      <c r="E30" s="1" t="str">
        <f ca="1">MID(Names!G30,FIND(" ",Names!G30)+1,LEN(Names!G30)-FIND(" ", Names!G30))&amp;" "&amp;INDEX(PROJ_EXT_Name,RANDBETWEEN(2,12))</f>
        <v>Scotts Lane Express Lane</v>
      </c>
      <c r="F30" s="1" t="s">
        <v>6955</v>
      </c>
      <c r="G30">
        <f t="shared" si="5"/>
        <v>40028</v>
      </c>
      <c r="H30">
        <f t="shared" si="2"/>
        <v>500028</v>
      </c>
      <c r="I30" t="s">
        <v>6687</v>
      </c>
      <c r="J30" t="s">
        <v>6510</v>
      </c>
      <c r="K30">
        <f>IFERROR(VLOOKUP(F30,Contacts.csv!C:D,2,FALSE),"")</f>
        <v>200133</v>
      </c>
      <c r="L30" t="str">
        <f t="shared" si="3"/>
        <v>rg:{'id':'200133'}</v>
      </c>
      <c r="M30" s="4" t="str">
        <f t="shared" si="4"/>
        <v>rg:[{'id':'200133'}]</v>
      </c>
      <c r="N30" t="s">
        <v>6510</v>
      </c>
      <c r="O30" t="s">
        <v>6510</v>
      </c>
      <c r="P30" t="s">
        <v>6510</v>
      </c>
      <c r="Q30" t="str">
        <f t="shared" si="0"/>
        <v>200000</v>
      </c>
    </row>
    <row r="31" spans="1:17" x14ac:dyDescent="0.3">
      <c r="A31" t="s">
        <v>5386</v>
      </c>
      <c r="B31" t="s">
        <v>2928</v>
      </c>
      <c r="C31" t="str">
        <f>VLOOKUP(B31,ServiceAreas.csv!C:J,8,FALSE)</f>
        <v>200000</v>
      </c>
      <c r="D31" t="str">
        <f t="shared" si="1"/>
        <v>rg{'id': '200000'}'</v>
      </c>
      <c r="E31" s="1" t="str">
        <f ca="1">MID(Names!G31,FIND(" ",Names!G31)+1,LEN(Names!G31)-FIND(" ", Names!G31))&amp;" "&amp;INDEX(PROJ_EXT_Name,RANDBETWEEN(2,12))</f>
        <v>Nootka Street Building</v>
      </c>
      <c r="F31" s="1" t="s">
        <v>6956</v>
      </c>
      <c r="G31">
        <f t="shared" si="5"/>
        <v>40029</v>
      </c>
      <c r="H31">
        <f t="shared" si="2"/>
        <v>500029</v>
      </c>
      <c r="I31" t="s">
        <v>6687</v>
      </c>
      <c r="J31" t="s">
        <v>6510</v>
      </c>
      <c r="K31">
        <f>IFERROR(VLOOKUP(F31,Contacts.csv!C:D,2,FALSE),"")</f>
        <v>200134</v>
      </c>
      <c r="L31" t="str">
        <f t="shared" si="3"/>
        <v>rg:{'id':'200134'}</v>
      </c>
      <c r="M31" s="4" t="str">
        <f t="shared" si="4"/>
        <v>rg:[{'id':'200134'}]</v>
      </c>
      <c r="N31" t="s">
        <v>6510</v>
      </c>
      <c r="O31" t="s">
        <v>6510</v>
      </c>
      <c r="P31" t="s">
        <v>6510</v>
      </c>
      <c r="Q31" t="str">
        <f t="shared" si="0"/>
        <v>200000</v>
      </c>
    </row>
    <row r="32" spans="1:17" x14ac:dyDescent="0.3">
      <c r="A32" t="s">
        <v>5386</v>
      </c>
      <c r="B32" t="s">
        <v>2928</v>
      </c>
      <c r="C32" t="str">
        <f>VLOOKUP(B32,ServiceAreas.csv!C:J,8,FALSE)</f>
        <v>200000</v>
      </c>
      <c r="D32" t="str">
        <f t="shared" si="1"/>
        <v>rg{'id': '200000'}'</v>
      </c>
      <c r="E32" s="1" t="str">
        <f ca="1">MID(Names!G32,FIND(" ",Names!G32)+1,LEN(Names!G32)-FIND(" ", Names!G32))&amp;" "&amp;INDEX(PROJ_EXT_Name,RANDBETWEEN(2,12))</f>
        <v>Nootka Street Upgrade</v>
      </c>
      <c r="F32" s="1" t="s">
        <v>6957</v>
      </c>
      <c r="G32">
        <f t="shared" si="5"/>
        <v>40030</v>
      </c>
      <c r="H32">
        <f t="shared" si="2"/>
        <v>500030</v>
      </c>
      <c r="I32" t="s">
        <v>6687</v>
      </c>
      <c r="J32" t="s">
        <v>6510</v>
      </c>
      <c r="K32">
        <f>IFERROR(VLOOKUP(F32,Contacts.csv!C:D,2,FALSE),"")</f>
        <v>200135</v>
      </c>
      <c r="L32" t="str">
        <f t="shared" si="3"/>
        <v>rg:{'id':'200135'}</v>
      </c>
      <c r="M32" s="4" t="str">
        <f t="shared" si="4"/>
        <v>rg:[{'id':'200135'}]</v>
      </c>
      <c r="N32" t="s">
        <v>6510</v>
      </c>
      <c r="O32" t="s">
        <v>6510</v>
      </c>
      <c r="P32" t="s">
        <v>6510</v>
      </c>
      <c r="Q32" t="str">
        <f t="shared" si="0"/>
        <v>200000</v>
      </c>
    </row>
    <row r="33" spans="1:17" x14ac:dyDescent="0.3">
      <c r="A33" t="s">
        <v>5386</v>
      </c>
      <c r="B33" t="s">
        <v>2928</v>
      </c>
      <c r="C33" t="str">
        <f>VLOOKUP(B33,ServiceAreas.csv!C:J,8,FALSE)</f>
        <v>200000</v>
      </c>
      <c r="D33" t="str">
        <f t="shared" si="1"/>
        <v>rg{'id': '200000'}'</v>
      </c>
      <c r="E33" s="1" t="str">
        <f ca="1">MID(Names!G33,FIND(" ",Names!G33)+1,LEN(Names!G33)-FIND(" ", Names!G33))&amp;" "&amp;INDEX(PROJ_EXT_Name,RANDBETWEEN(2,12))</f>
        <v>Kinchant St Extension</v>
      </c>
      <c r="F33" s="1" t="s">
        <v>6958</v>
      </c>
      <c r="G33">
        <f t="shared" si="5"/>
        <v>40031</v>
      </c>
      <c r="H33">
        <f t="shared" si="2"/>
        <v>500031</v>
      </c>
      <c r="I33" t="s">
        <v>6687</v>
      </c>
      <c r="J33" t="s">
        <v>6510</v>
      </c>
      <c r="K33">
        <f>IFERROR(VLOOKUP(F33,Contacts.csv!C:D,2,FALSE),"")</f>
        <v>200136</v>
      </c>
      <c r="L33" t="str">
        <f t="shared" si="3"/>
        <v>rg:{'id':'200136'}</v>
      </c>
      <c r="M33" s="4" t="str">
        <f t="shared" si="4"/>
        <v>rg:[{'id':'200136'}]</v>
      </c>
      <c r="N33" t="s">
        <v>6510</v>
      </c>
      <c r="O33" t="s">
        <v>6510</v>
      </c>
      <c r="P33" t="s">
        <v>6510</v>
      </c>
      <c r="Q33" t="str">
        <f t="shared" si="0"/>
        <v>200000</v>
      </c>
    </row>
    <row r="34" spans="1:17" x14ac:dyDescent="0.3">
      <c r="A34" t="s">
        <v>5386</v>
      </c>
      <c r="B34" t="s">
        <v>2928</v>
      </c>
      <c r="C34" t="str">
        <f>VLOOKUP(B34,ServiceAreas.csv!C:J,8,FALSE)</f>
        <v>200000</v>
      </c>
      <c r="D34" t="str">
        <f t="shared" si="1"/>
        <v>rg{'id': '200000'}'</v>
      </c>
      <c r="E34" s="1" t="str">
        <f ca="1">MID(Names!G34,FIND(" ",Names!G34)+1,LEN(Names!G34)-FIND(" ", Names!G34))&amp;" "&amp;INDEX(PROJ_EXT_Name,RANDBETWEEN(2,12))</f>
        <v>Queens Bay Bridge Replacement</v>
      </c>
      <c r="F34" s="1" t="s">
        <v>6959</v>
      </c>
      <c r="G34">
        <f t="shared" si="5"/>
        <v>40032</v>
      </c>
      <c r="H34">
        <f t="shared" si="2"/>
        <v>500032</v>
      </c>
      <c r="I34" t="s">
        <v>6687</v>
      </c>
      <c r="J34" t="s">
        <v>6510</v>
      </c>
      <c r="K34">
        <f>IFERROR(VLOOKUP(F34,Contacts.csv!C:D,2,FALSE),"")</f>
        <v>200137</v>
      </c>
      <c r="L34" t="str">
        <f t="shared" si="3"/>
        <v>rg:{'id':'200137'}</v>
      </c>
      <c r="M34" s="4" t="str">
        <f t="shared" si="4"/>
        <v>rg:[{'id':'200137'}]</v>
      </c>
      <c r="N34" t="s">
        <v>6510</v>
      </c>
      <c r="O34" t="s">
        <v>6510</v>
      </c>
      <c r="P34" t="s">
        <v>6510</v>
      </c>
      <c r="Q34" t="str">
        <f t="shared" ref="Q34:Q65" si="6">C34</f>
        <v>200000</v>
      </c>
    </row>
    <row r="35" spans="1:17" x14ac:dyDescent="0.3">
      <c r="A35" t="s">
        <v>5386</v>
      </c>
      <c r="B35" t="s">
        <v>2928</v>
      </c>
      <c r="C35" t="str">
        <f>VLOOKUP(B35,ServiceAreas.csv!C:J,8,FALSE)</f>
        <v>200000</v>
      </c>
      <c r="D35" t="str">
        <f t="shared" si="1"/>
        <v>rg{'id': '200000'}'</v>
      </c>
      <c r="E35" s="1" t="str">
        <f ca="1">MID(Names!G35,FIND(" ",Names!G35)+1,LEN(Names!G35)-FIND(" ", Names!G35))&amp;" "&amp;INDEX(PROJ_EXT_Name,RANDBETWEEN(2,12))</f>
        <v>102nd Avenue HOV Lane</v>
      </c>
      <c r="F35" s="1" t="s">
        <v>6903</v>
      </c>
      <c r="G35">
        <f t="shared" si="5"/>
        <v>40033</v>
      </c>
      <c r="H35">
        <f t="shared" si="2"/>
        <v>500033</v>
      </c>
      <c r="I35" t="s">
        <v>6687</v>
      </c>
      <c r="J35" t="s">
        <v>6510</v>
      </c>
      <c r="K35" t="str">
        <f>IFERROR(VLOOKUP(F35,Contacts.csv!C:D,2,FALSE),"")</f>
        <v/>
      </c>
      <c r="L35" t="str">
        <f t="shared" si="3"/>
        <v>rg:None</v>
      </c>
      <c r="M35" s="4" t="str">
        <f t="shared" si="4"/>
        <v>rg:[]</v>
      </c>
      <c r="N35" t="s">
        <v>6510</v>
      </c>
      <c r="O35" t="s">
        <v>6510</v>
      </c>
      <c r="P35" t="s">
        <v>6510</v>
      </c>
      <c r="Q35" t="str">
        <f t="shared" si="6"/>
        <v>200000</v>
      </c>
    </row>
    <row r="36" spans="1:17" x14ac:dyDescent="0.3">
      <c r="A36" t="s">
        <v>5386</v>
      </c>
      <c r="B36" t="s">
        <v>2928</v>
      </c>
      <c r="C36" t="str">
        <f>VLOOKUP(B36,ServiceAreas.csv!C:J,8,FALSE)</f>
        <v>200000</v>
      </c>
      <c r="D36" t="str">
        <f t="shared" si="1"/>
        <v>rg{'id': '200000'}'</v>
      </c>
      <c r="E36" s="1" t="str">
        <f ca="1">MID(Names!G37,FIND(" ",Names!G37)+1,LEN(Names!G37)-FIND(" ", Names!G37))&amp;" "&amp;INDEX(PROJ_EXT_Name,RANDBETWEEN(2,12))</f>
        <v>Blanshard HOV Lane</v>
      </c>
      <c r="F36" s="1" t="s">
        <v>6909</v>
      </c>
      <c r="G36">
        <f t="shared" si="5"/>
        <v>40034</v>
      </c>
      <c r="H36">
        <f>IF(ISNUMBER(#REF!),#REF!+1,500000)</f>
        <v>500000</v>
      </c>
      <c r="I36" t="s">
        <v>6687</v>
      </c>
      <c r="J36" t="s">
        <v>6510</v>
      </c>
      <c r="K36" t="str">
        <f>IFERROR(VLOOKUP(F36,Contacts.csv!C:D,2,FALSE),"")</f>
        <v/>
      </c>
      <c r="L36" t="str">
        <f t="shared" si="3"/>
        <v>rg:None</v>
      </c>
      <c r="M36" s="4" t="str">
        <f t="shared" si="4"/>
        <v>rg:[]</v>
      </c>
      <c r="N36" t="s">
        <v>6510</v>
      </c>
      <c r="O36" t="s">
        <v>6510</v>
      </c>
      <c r="P36" t="s">
        <v>6510</v>
      </c>
      <c r="Q36" t="str">
        <f t="shared" si="6"/>
        <v>200000</v>
      </c>
    </row>
    <row r="37" spans="1:17" x14ac:dyDescent="0.3">
      <c r="A37" t="s">
        <v>5386</v>
      </c>
      <c r="B37" t="s">
        <v>2953</v>
      </c>
      <c r="C37" t="str">
        <f>VLOOKUP(B37,ServiceAreas.csv!C:J,8,FALSE)</f>
        <v>200004</v>
      </c>
      <c r="D37" t="str">
        <f t="shared" si="1"/>
        <v>rg{'id': '200004'}'</v>
      </c>
      <c r="E37" s="1" t="str">
        <f ca="1">MID(Names!G41,FIND(" ",Names!G41)+1,LEN(Names!G41)-FIND(" ", Names!G41))&amp;" "&amp;INDEX(PROJ_EXT_Name,RANDBETWEEN(2,12))</f>
        <v>Cardero St Cloverleaf</v>
      </c>
      <c r="F37" s="1" t="s">
        <v>6960</v>
      </c>
      <c r="G37">
        <f t="shared" si="5"/>
        <v>40035</v>
      </c>
      <c r="H37">
        <f>IF(ISNUMBER(#REF!),#REF!+1,500000)</f>
        <v>500000</v>
      </c>
      <c r="I37" t="s">
        <v>6687</v>
      </c>
      <c r="J37" t="s">
        <v>6510</v>
      </c>
      <c r="K37" t="str">
        <f>IFERROR(VLOOKUP(F37,Contacts.csv!C:D,2,FALSE),"")</f>
        <v/>
      </c>
      <c r="L37" t="str">
        <f t="shared" si="3"/>
        <v>rg:None</v>
      </c>
      <c r="M37" s="4" t="str">
        <f t="shared" si="4"/>
        <v>rg:[]</v>
      </c>
      <c r="N37" t="s">
        <v>6510</v>
      </c>
      <c r="O37" t="s">
        <v>6510</v>
      </c>
      <c r="P37" t="s">
        <v>6510</v>
      </c>
      <c r="Q37" t="str">
        <f t="shared" si="6"/>
        <v>200004</v>
      </c>
    </row>
    <row r="38" spans="1:17" x14ac:dyDescent="0.3">
      <c r="A38" t="s">
        <v>5386</v>
      </c>
      <c r="B38" t="s">
        <v>2953</v>
      </c>
      <c r="C38" t="str">
        <f>VLOOKUP(B38,ServiceAreas.csv!C:J,8,FALSE)</f>
        <v>200004</v>
      </c>
      <c r="D38" t="str">
        <f t="shared" si="1"/>
        <v>rg{'id': '200004'}'</v>
      </c>
      <c r="E38" s="1" t="str">
        <f ca="1">MID(Names!G43,FIND(" ",Names!G43)+1,LEN(Names!G43)-FIND(" ", Names!G43))&amp;" "&amp;INDEX(PROJ_EXT_Name,RANDBETWEEN(2,12))</f>
        <v>Old Spallumcheen Rd Upgrade</v>
      </c>
      <c r="F38" s="1" t="s">
        <v>6961</v>
      </c>
      <c r="G38">
        <f t="shared" si="5"/>
        <v>40036</v>
      </c>
      <c r="H38">
        <f>IF(ISNUMBER(#REF!),#REF!+1,500000)</f>
        <v>500000</v>
      </c>
      <c r="I38" t="s">
        <v>6687</v>
      </c>
      <c r="J38" t="s">
        <v>6510</v>
      </c>
      <c r="K38" t="str">
        <f>IFERROR(VLOOKUP(F38,Contacts.csv!C:D,2,FALSE),"")</f>
        <v/>
      </c>
      <c r="L38" t="str">
        <f t="shared" si="3"/>
        <v>rg:None</v>
      </c>
      <c r="M38" s="4" t="str">
        <f t="shared" si="4"/>
        <v>rg:[]</v>
      </c>
      <c r="N38" t="s">
        <v>6510</v>
      </c>
      <c r="O38" t="s">
        <v>6510</v>
      </c>
      <c r="P38" t="s">
        <v>6510</v>
      </c>
      <c r="Q38" t="str">
        <f t="shared" si="6"/>
        <v>200004</v>
      </c>
    </row>
    <row r="39" spans="1:17" x14ac:dyDescent="0.3">
      <c r="A39" t="s">
        <v>5386</v>
      </c>
      <c r="B39" t="s">
        <v>2953</v>
      </c>
      <c r="C39" t="str">
        <f>VLOOKUP(B39,ServiceAreas.csv!C:J,8,FALSE)</f>
        <v>200004</v>
      </c>
      <c r="D39" t="str">
        <f t="shared" si="1"/>
        <v>rg{'id': '200004'}'</v>
      </c>
      <c r="E39" s="1" t="str">
        <f ca="1">MID(Names!G45,FIND(" ",Names!G45)+1,LEN(Names!G45)-FIND(" ", Names!G45))&amp;" "&amp;INDEX(PROJ_EXT_Name,RANDBETWEEN(2,12))</f>
        <v>Keith Road Extension</v>
      </c>
      <c r="F39" s="1" t="s">
        <v>6962</v>
      </c>
      <c r="G39">
        <f t="shared" si="5"/>
        <v>40037</v>
      </c>
      <c r="H39">
        <f>IF(ISNUMBER(#REF!),#REF!+1,500000)</f>
        <v>500000</v>
      </c>
      <c r="I39" t="s">
        <v>6687</v>
      </c>
      <c r="J39" t="s">
        <v>6510</v>
      </c>
      <c r="K39" t="str">
        <f>IFERROR(VLOOKUP(F39,Contacts.csv!C:D,2,FALSE),"")</f>
        <v/>
      </c>
      <c r="L39" t="str">
        <f t="shared" si="3"/>
        <v>rg:None</v>
      </c>
      <c r="M39" s="4" t="str">
        <f t="shared" si="4"/>
        <v>rg:[]</v>
      </c>
      <c r="N39" t="s">
        <v>6510</v>
      </c>
      <c r="O39" t="s">
        <v>6510</v>
      </c>
      <c r="P39" t="s">
        <v>6510</v>
      </c>
      <c r="Q39" t="str">
        <f t="shared" si="6"/>
        <v>200004</v>
      </c>
    </row>
    <row r="40" spans="1:17" x14ac:dyDescent="0.3">
      <c r="A40" t="s">
        <v>5386</v>
      </c>
      <c r="B40" t="s">
        <v>2953</v>
      </c>
      <c r="C40" t="str">
        <f>VLOOKUP(B40,ServiceAreas.csv!C:J,8,FALSE)</f>
        <v>200004</v>
      </c>
      <c r="D40" t="str">
        <f t="shared" si="1"/>
        <v>rg{'id': '200004'}'</v>
      </c>
      <c r="E40" s="1" t="str">
        <f ca="1">MID(Names!G46,FIND(" ",Names!G46)+1,LEN(Names!G46)-FIND(" ", Names!G46))&amp;" "&amp;INDEX(PROJ_EXT_Name,RANDBETWEEN(2,12))</f>
        <v>Burdett Avenue Expressway</v>
      </c>
      <c r="F40" s="1" t="s">
        <v>6929</v>
      </c>
      <c r="G40">
        <f t="shared" si="5"/>
        <v>40038</v>
      </c>
      <c r="H40">
        <f t="shared" si="2"/>
        <v>500001</v>
      </c>
      <c r="I40" t="s">
        <v>6687</v>
      </c>
      <c r="J40" t="s">
        <v>6510</v>
      </c>
      <c r="K40" t="str">
        <f>IFERROR(VLOOKUP(F40,Contacts.csv!C:D,2,FALSE),"")</f>
        <v/>
      </c>
      <c r="L40" t="str">
        <f t="shared" si="3"/>
        <v>rg:None</v>
      </c>
      <c r="M40" s="4" t="str">
        <f t="shared" si="4"/>
        <v>rg:[]</v>
      </c>
      <c r="N40" t="s">
        <v>6510</v>
      </c>
      <c r="O40" t="s">
        <v>6510</v>
      </c>
      <c r="P40" t="s">
        <v>6510</v>
      </c>
      <c r="Q40" t="str">
        <f t="shared" si="6"/>
        <v>200004</v>
      </c>
    </row>
    <row r="41" spans="1:17" x14ac:dyDescent="0.3">
      <c r="A41" t="s">
        <v>5386</v>
      </c>
      <c r="B41" t="s">
        <v>2953</v>
      </c>
      <c r="C41" t="str">
        <f>VLOOKUP(B41,ServiceAreas.csv!C:J,8,FALSE)</f>
        <v>200004</v>
      </c>
      <c r="D41" t="str">
        <f t="shared" si="1"/>
        <v>rg{'id': '200004'}'</v>
      </c>
      <c r="E41" s="1" t="str">
        <f ca="1">MID(Names!G48,FIND(" ",Names!G48)+1,LEN(Names!G48)-FIND(" ", Names!G48))&amp;" "&amp;INDEX(PROJ_EXT_Name,RANDBETWEEN(2,12))</f>
        <v>Coldstream Avenue Express Lane</v>
      </c>
      <c r="F41" s="1" t="s">
        <v>6924</v>
      </c>
      <c r="G41">
        <f t="shared" si="5"/>
        <v>40039</v>
      </c>
      <c r="H41">
        <f>IF(ISNUMBER(#REF!),#REF!+1,500000)</f>
        <v>500000</v>
      </c>
      <c r="I41" t="s">
        <v>6687</v>
      </c>
      <c r="J41" t="s">
        <v>6510</v>
      </c>
      <c r="K41" t="str">
        <f>IFERROR(VLOOKUP(F41,Contacts.csv!C:D,2,FALSE),"")</f>
        <v/>
      </c>
      <c r="L41" t="str">
        <f t="shared" si="3"/>
        <v>rg:None</v>
      </c>
      <c r="M41" s="4" t="str">
        <f t="shared" si="4"/>
        <v>rg:[]</v>
      </c>
      <c r="N41" t="s">
        <v>6510</v>
      </c>
      <c r="O41" t="s">
        <v>6510</v>
      </c>
      <c r="P41" t="s">
        <v>6510</v>
      </c>
      <c r="Q41" t="str">
        <f t="shared" si="6"/>
        <v>200004</v>
      </c>
    </row>
    <row r="42" spans="1:17" x14ac:dyDescent="0.3">
      <c r="A42" t="s">
        <v>5386</v>
      </c>
      <c r="B42" t="s">
        <v>2953</v>
      </c>
      <c r="C42" t="str">
        <f>VLOOKUP(B42,ServiceAreas.csv!C:J,8,FALSE)</f>
        <v>200004</v>
      </c>
      <c r="D42" t="str">
        <f t="shared" si="1"/>
        <v>rg{'id': '200004'}'</v>
      </c>
      <c r="E42" s="1" t="str">
        <f ca="1">MID(Names!G51,FIND(" ",Names!G51)+1,LEN(Names!G51)-FIND(" ", Names!G51))&amp;" "&amp;INDEX(PROJ_EXT_Name,RANDBETWEEN(2,12))</f>
        <v>Hardy Street Bridge</v>
      </c>
      <c r="F42" s="1" t="s">
        <v>6931</v>
      </c>
      <c r="G42">
        <f t="shared" si="5"/>
        <v>40040</v>
      </c>
      <c r="H42">
        <f>IF(ISNUMBER(#REF!),#REF!+1,500000)</f>
        <v>500000</v>
      </c>
      <c r="I42" t="s">
        <v>6687</v>
      </c>
      <c r="J42" t="s">
        <v>6510</v>
      </c>
      <c r="K42" t="str">
        <f>IFERROR(VLOOKUP(F42,Contacts.csv!C:D,2,FALSE),"")</f>
        <v/>
      </c>
      <c r="L42" t="str">
        <f t="shared" si="3"/>
        <v>rg:None</v>
      </c>
      <c r="M42" s="4" t="str">
        <f t="shared" si="4"/>
        <v>rg:[]</v>
      </c>
      <c r="N42" t="s">
        <v>6510</v>
      </c>
      <c r="O42" t="s">
        <v>6510</v>
      </c>
      <c r="P42" t="s">
        <v>6510</v>
      </c>
      <c r="Q42" t="str">
        <f t="shared" si="6"/>
        <v>200004</v>
      </c>
    </row>
    <row r="43" spans="1:17" x14ac:dyDescent="0.3">
      <c r="A43" t="s">
        <v>5386</v>
      </c>
      <c r="B43" t="s">
        <v>2953</v>
      </c>
      <c r="C43" t="str">
        <f>VLOOKUP(B43,ServiceAreas.csv!C:J,8,FALSE)</f>
        <v>200004</v>
      </c>
      <c r="D43" t="str">
        <f t="shared" si="1"/>
        <v>rg{'id': '200004'}'</v>
      </c>
      <c r="E43" s="1" t="str">
        <f ca="1">MID(Names!G54,FIND(" ",Names!G54)+1,LEN(Names!G54)-FIND(" ", Names!G54))&amp;" "&amp;INDEX(PROJ_EXT_Name,RANDBETWEEN(2,12))</f>
        <v>Hastings Street Expressway</v>
      </c>
      <c r="F43" s="1" t="s">
        <v>6963</v>
      </c>
      <c r="G43">
        <f t="shared" si="5"/>
        <v>40041</v>
      </c>
      <c r="H43">
        <f>IF(ISNUMBER(#REF!),#REF!+1,500000)</f>
        <v>500000</v>
      </c>
      <c r="I43" t="s">
        <v>6687</v>
      </c>
      <c r="J43" t="s">
        <v>6510</v>
      </c>
      <c r="K43" t="str">
        <f>IFERROR(VLOOKUP(F43,Contacts.csv!C:D,2,FALSE),"")</f>
        <v/>
      </c>
      <c r="L43" t="str">
        <f t="shared" si="3"/>
        <v>rg:None</v>
      </c>
      <c r="M43" s="4" t="str">
        <f t="shared" si="4"/>
        <v>rg:[]</v>
      </c>
      <c r="N43" t="s">
        <v>6510</v>
      </c>
      <c r="O43" t="s">
        <v>6510</v>
      </c>
      <c r="P43" t="s">
        <v>6510</v>
      </c>
      <c r="Q43" t="str">
        <f t="shared" si="6"/>
        <v>200004</v>
      </c>
    </row>
    <row r="44" spans="1:17" x14ac:dyDescent="0.3">
      <c r="A44" t="s">
        <v>5386</v>
      </c>
      <c r="B44" t="s">
        <v>22</v>
      </c>
      <c r="C44" t="str">
        <f>VLOOKUP(B44,ServiceAreas.csv!C:J,8,FALSE)</f>
        <v>200003</v>
      </c>
      <c r="D44" t="str">
        <f t="shared" si="1"/>
        <v>rg{'id': '200003'}'</v>
      </c>
      <c r="E44" s="1" t="str">
        <f ca="1">MID(Names!G57,FIND(" ",Names!G57)+1,LEN(Names!G57)-FIND(" ", Names!G57))&amp;" "&amp;INDEX(PROJ_EXT_Name,RANDBETWEEN(2,12))</f>
        <v>Alaska Hwy Building</v>
      </c>
      <c r="F44" s="1" t="s">
        <v>6914</v>
      </c>
      <c r="G44">
        <f t="shared" si="5"/>
        <v>40042</v>
      </c>
      <c r="H44">
        <f>IF(ISNUMBER(#REF!),#REF!+1,500000)</f>
        <v>500000</v>
      </c>
      <c r="I44" t="s">
        <v>6687</v>
      </c>
      <c r="J44" t="s">
        <v>6510</v>
      </c>
      <c r="K44" t="str">
        <f>IFERROR(VLOOKUP(F44,Contacts.csv!C:D,2,FALSE),"")</f>
        <v/>
      </c>
      <c r="L44" t="str">
        <f t="shared" si="3"/>
        <v>rg:None</v>
      </c>
      <c r="M44" s="4" t="str">
        <f t="shared" si="4"/>
        <v>rg:[]</v>
      </c>
      <c r="N44" t="s">
        <v>6510</v>
      </c>
      <c r="O44" t="s">
        <v>6510</v>
      </c>
      <c r="P44" t="s">
        <v>6510</v>
      </c>
      <c r="Q44" t="str">
        <f t="shared" si="6"/>
        <v>200003</v>
      </c>
    </row>
    <row r="45" spans="1:17" x14ac:dyDescent="0.3">
      <c r="A45" t="s">
        <v>5386</v>
      </c>
      <c r="B45" t="s">
        <v>22</v>
      </c>
      <c r="C45" t="str">
        <f>VLOOKUP(B45,ServiceAreas.csv!C:J,8,FALSE)</f>
        <v>200003</v>
      </c>
      <c r="D45" t="str">
        <f t="shared" si="1"/>
        <v>rg{'id': '200003'}'</v>
      </c>
      <c r="E45" s="1" t="str">
        <f ca="1">MID(Names!G58,FIND(" ",Names!G58)+1,LEN(Names!G58)-FIND(" ", Names!G58))&amp;" "&amp;INDEX(PROJ_EXT_Name,RANDBETWEEN(2,12))</f>
        <v>Burdett Avenue Bypass</v>
      </c>
      <c r="F45" s="1" t="s">
        <v>6964</v>
      </c>
      <c r="G45">
        <f t="shared" si="5"/>
        <v>40043</v>
      </c>
      <c r="H45">
        <f t="shared" si="2"/>
        <v>500001</v>
      </c>
      <c r="I45" t="s">
        <v>6687</v>
      </c>
      <c r="J45" t="s">
        <v>6510</v>
      </c>
      <c r="K45" t="str">
        <f>IFERROR(VLOOKUP(F45,Contacts.csv!C:D,2,FALSE),"")</f>
        <v/>
      </c>
      <c r="L45" t="str">
        <f t="shared" si="3"/>
        <v>rg:None</v>
      </c>
      <c r="M45" s="4" t="str">
        <f t="shared" si="4"/>
        <v>rg:[]</v>
      </c>
      <c r="N45" t="s">
        <v>6510</v>
      </c>
      <c r="O45" t="s">
        <v>6510</v>
      </c>
      <c r="P45" t="s">
        <v>6510</v>
      </c>
      <c r="Q45" t="str">
        <f t="shared" si="6"/>
        <v>200003</v>
      </c>
    </row>
    <row r="46" spans="1:17" x14ac:dyDescent="0.3">
      <c r="A46" t="s">
        <v>5386</v>
      </c>
      <c r="B46" t="s">
        <v>22</v>
      </c>
      <c r="C46" t="str">
        <f>VLOOKUP(B46,ServiceAreas.csv!C:J,8,FALSE)</f>
        <v>200003</v>
      </c>
      <c r="D46" t="str">
        <f t="shared" si="1"/>
        <v>rg{'id': '200003'}'</v>
      </c>
      <c r="E46" s="1" t="str">
        <f ca="1">MID(Names!G59,FIND(" ",Names!G59)+1,LEN(Names!G59)-FIND(" ", Names!G59))&amp;" "&amp;INDEX(PROJ_EXT_Name,RANDBETWEEN(2,12))</f>
        <v>James Street Bridge Replacement</v>
      </c>
      <c r="F46" s="1" t="s">
        <v>6965</v>
      </c>
      <c r="G46">
        <f t="shared" si="5"/>
        <v>40044</v>
      </c>
      <c r="H46">
        <f t="shared" si="2"/>
        <v>500002</v>
      </c>
      <c r="I46" t="s">
        <v>6687</v>
      </c>
      <c r="J46" t="s">
        <v>6510</v>
      </c>
      <c r="K46" t="str">
        <f>IFERROR(VLOOKUP(F46,Contacts.csv!C:D,2,FALSE),"")</f>
        <v/>
      </c>
      <c r="L46" t="str">
        <f t="shared" si="3"/>
        <v>rg:None</v>
      </c>
      <c r="M46" s="4" t="str">
        <f t="shared" si="4"/>
        <v>rg:[]</v>
      </c>
      <c r="N46" t="s">
        <v>6510</v>
      </c>
      <c r="O46" t="s">
        <v>6510</v>
      </c>
      <c r="P46" t="s">
        <v>6510</v>
      </c>
      <c r="Q46" t="str">
        <f t="shared" si="6"/>
        <v>200003</v>
      </c>
    </row>
    <row r="47" spans="1:17" x14ac:dyDescent="0.3">
      <c r="A47" t="s">
        <v>5386</v>
      </c>
      <c r="B47" t="s">
        <v>22</v>
      </c>
      <c r="C47" t="str">
        <f>VLOOKUP(B47,ServiceAreas.csv!C:J,8,FALSE)</f>
        <v>200003</v>
      </c>
      <c r="D47" t="str">
        <f t="shared" si="1"/>
        <v>rg{'id': '200003'}'</v>
      </c>
      <c r="E47" s="1" t="str">
        <f ca="1">MID(Names!G60,FIND(" ",Names!G60)+1,LEN(Names!G60)-FIND(" ", Names!G60))&amp;" "&amp;INDEX(PROJ_EXT_Name,RANDBETWEEN(2,12))</f>
        <v>Tolmie St Overpass</v>
      </c>
      <c r="F47" s="1" t="s">
        <v>6966</v>
      </c>
      <c r="G47">
        <f t="shared" si="5"/>
        <v>40045</v>
      </c>
      <c r="H47">
        <f t="shared" si="2"/>
        <v>500003</v>
      </c>
      <c r="I47" t="s">
        <v>6687</v>
      </c>
      <c r="J47" t="s">
        <v>6510</v>
      </c>
      <c r="K47" t="str">
        <f>IFERROR(VLOOKUP(F47,Contacts.csv!C:D,2,FALSE),"")</f>
        <v/>
      </c>
      <c r="L47" t="str">
        <f t="shared" si="3"/>
        <v>rg:None</v>
      </c>
      <c r="M47" s="4" t="str">
        <f t="shared" si="4"/>
        <v>rg:[]</v>
      </c>
      <c r="N47" t="s">
        <v>6510</v>
      </c>
      <c r="O47" t="s">
        <v>6510</v>
      </c>
      <c r="P47" t="s">
        <v>6510</v>
      </c>
      <c r="Q47" t="str">
        <f t="shared" si="6"/>
        <v>200003</v>
      </c>
    </row>
    <row r="48" spans="1:17" x14ac:dyDescent="0.3">
      <c r="A48" t="s">
        <v>5386</v>
      </c>
      <c r="B48" t="s">
        <v>22</v>
      </c>
      <c r="C48" t="str">
        <f>VLOOKUP(B48,ServiceAreas.csv!C:J,8,FALSE)</f>
        <v>200003</v>
      </c>
      <c r="D48" t="str">
        <f t="shared" si="1"/>
        <v>rg{'id': '200003'}'</v>
      </c>
      <c r="E48" s="1" t="str">
        <f ca="1">MID(Names!G64,FIND(" ",Names!G64)+1,LEN(Names!G64)-FIND(" ", Names!G64))&amp;" "&amp;INDEX(PROJ_EXT_Name,RANDBETWEEN(2,12))</f>
        <v>Sixth Street Overpass</v>
      </c>
      <c r="F48" s="1" t="s">
        <v>6967</v>
      </c>
      <c r="G48">
        <f t="shared" si="5"/>
        <v>40046</v>
      </c>
      <c r="H48">
        <f>IF(ISNUMBER(#REF!),#REF!+1,500000)</f>
        <v>500000</v>
      </c>
      <c r="I48" t="s">
        <v>6687</v>
      </c>
      <c r="J48" t="s">
        <v>6510</v>
      </c>
      <c r="K48" t="str">
        <f>IFERROR(VLOOKUP(F48,Contacts.csv!C:D,2,FALSE),"")</f>
        <v/>
      </c>
      <c r="L48" t="str">
        <f t="shared" si="3"/>
        <v>rg:None</v>
      </c>
      <c r="M48" s="4" t="str">
        <f t="shared" si="4"/>
        <v>rg:[]</v>
      </c>
      <c r="N48" t="s">
        <v>6510</v>
      </c>
      <c r="O48" t="s">
        <v>6510</v>
      </c>
      <c r="P48" t="s">
        <v>6510</v>
      </c>
      <c r="Q48" t="str">
        <f t="shared" si="6"/>
        <v>200003</v>
      </c>
    </row>
    <row r="49" spans="1:17" x14ac:dyDescent="0.3">
      <c r="A49" t="s">
        <v>5386</v>
      </c>
      <c r="B49" t="s">
        <v>22</v>
      </c>
      <c r="C49" t="str">
        <f>VLOOKUP(B49,ServiceAreas.csv!C:J,8,FALSE)</f>
        <v>200003</v>
      </c>
      <c r="D49" t="str">
        <f t="shared" si="1"/>
        <v>rg{'id': '200003'}'</v>
      </c>
      <c r="E49" s="1" t="str">
        <f ca="1">MID(Names!G65,FIND(" ",Names!G65)+1,LEN(Names!G65)-FIND(" ", Names!G65))&amp;" "&amp;INDEX(PROJ_EXT_Name,RANDBETWEEN(2,12))</f>
        <v>King George Hwy Expressway</v>
      </c>
      <c r="F49" s="1" t="s">
        <v>6906</v>
      </c>
      <c r="G49">
        <f t="shared" si="5"/>
        <v>40047</v>
      </c>
      <c r="H49">
        <f t="shared" si="2"/>
        <v>500001</v>
      </c>
      <c r="I49" t="s">
        <v>6687</v>
      </c>
      <c r="J49" t="s">
        <v>6510</v>
      </c>
      <c r="K49" t="str">
        <f>IFERROR(VLOOKUP(F49,Contacts.csv!C:D,2,FALSE),"")</f>
        <v/>
      </c>
      <c r="L49" t="str">
        <f t="shared" si="3"/>
        <v>rg:None</v>
      </c>
      <c r="M49" s="4" t="str">
        <f t="shared" si="4"/>
        <v>rg:[]</v>
      </c>
      <c r="N49" t="s">
        <v>6510</v>
      </c>
      <c r="O49" t="s">
        <v>6510</v>
      </c>
      <c r="P49" t="s">
        <v>6510</v>
      </c>
      <c r="Q49" t="str">
        <f t="shared" si="6"/>
        <v>200003</v>
      </c>
    </row>
    <row r="50" spans="1:17" x14ac:dyDescent="0.3">
      <c r="A50" t="s">
        <v>5386</v>
      </c>
      <c r="B50" t="s">
        <v>22</v>
      </c>
      <c r="C50" t="str">
        <f>VLOOKUP(B50,ServiceAreas.csv!C:J,8,FALSE)</f>
        <v>200003</v>
      </c>
      <c r="D50" t="str">
        <f t="shared" ref="D50:D78" si="7">"rg{'id': '"&amp;C50&amp;"'}'"</f>
        <v>rg{'id': '200003'}'</v>
      </c>
      <c r="E50" s="1" t="str">
        <f ca="1">MID(Names!G67,FIND(" ",Names!G67)+1,LEN(Names!G67)-FIND(" ", Names!G67))&amp;" "&amp;INDEX(PROJ_EXT_Name,RANDBETWEEN(2,12))</f>
        <v>Stum Lake Road Building</v>
      </c>
      <c r="F50" s="1" t="s">
        <v>6968</v>
      </c>
      <c r="G50">
        <f t="shared" si="5"/>
        <v>40048</v>
      </c>
      <c r="H50">
        <f>IF(ISNUMBER(#REF!),#REF!+1,500000)</f>
        <v>500000</v>
      </c>
      <c r="I50" t="s">
        <v>6687</v>
      </c>
      <c r="J50" t="s">
        <v>6510</v>
      </c>
      <c r="K50" t="str">
        <f>IFERROR(VLOOKUP(F50,Contacts.csv!C:D,2,FALSE),"")</f>
        <v/>
      </c>
      <c r="L50" t="str">
        <f t="shared" si="3"/>
        <v>rg:None</v>
      </c>
      <c r="M50" s="4" t="str">
        <f t="shared" si="4"/>
        <v>rg:[]</v>
      </c>
      <c r="N50" t="s">
        <v>6510</v>
      </c>
      <c r="O50" t="s">
        <v>6510</v>
      </c>
      <c r="P50" t="s">
        <v>6510</v>
      </c>
      <c r="Q50" t="str">
        <f t="shared" si="6"/>
        <v>200003</v>
      </c>
    </row>
    <row r="51" spans="1:17" x14ac:dyDescent="0.3">
      <c r="A51" t="s">
        <v>5386</v>
      </c>
      <c r="B51" t="s">
        <v>2952</v>
      </c>
      <c r="C51" t="str">
        <f>VLOOKUP(B51,ServiceAreas.csv!C:J,8,FALSE)</f>
        <v>200002</v>
      </c>
      <c r="D51" t="str">
        <f t="shared" si="7"/>
        <v>rg{'id': '200002'}'</v>
      </c>
      <c r="E51" s="1" t="str">
        <f ca="1">MID(Names!G69,FIND(" ",Names!G69)+1,LEN(Names!G69)-FIND(" ", Names!G69))&amp;" "&amp;INDEX(PROJ_EXT_Name,RANDBETWEEN(2,12))</f>
        <v>Tolmie St Bypass</v>
      </c>
      <c r="F51" s="1" t="s">
        <v>6969</v>
      </c>
      <c r="G51">
        <f t="shared" si="5"/>
        <v>40049</v>
      </c>
      <c r="H51">
        <f>IF(ISNUMBER(#REF!),#REF!+1,500000)</f>
        <v>500000</v>
      </c>
      <c r="I51" t="s">
        <v>6687</v>
      </c>
      <c r="J51" t="s">
        <v>6510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 t="str">
        <f t="shared" si="6"/>
        <v>200002</v>
      </c>
    </row>
    <row r="52" spans="1:17" x14ac:dyDescent="0.3">
      <c r="A52" t="s">
        <v>5386</v>
      </c>
      <c r="B52" t="s">
        <v>2952</v>
      </c>
      <c r="C52" t="str">
        <f>VLOOKUP(B52,ServiceAreas.csv!C:J,8,FALSE)</f>
        <v>200002</v>
      </c>
      <c r="D52" t="str">
        <f t="shared" si="7"/>
        <v>rg{'id': '200002'}'</v>
      </c>
      <c r="E52" s="1" t="str">
        <f ca="1">MID(Names!G72,FIND(" ",Names!G72)+1,LEN(Names!G72)-FIND(" ", Names!G72))&amp;" "&amp;INDEX(PROJ_EXT_Name,RANDBETWEEN(2,12))</f>
        <v>Coldstream Avenue Overpass</v>
      </c>
      <c r="F52" s="1" t="s">
        <v>6970</v>
      </c>
      <c r="G52">
        <f t="shared" si="5"/>
        <v>40050</v>
      </c>
      <c r="H52">
        <f>IF(ISNUMBER(#REF!),#REF!+1,500000)</f>
        <v>500000</v>
      </c>
      <c r="I52" t="s">
        <v>6687</v>
      </c>
      <c r="J52" t="s">
        <v>6510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 t="str">
        <f t="shared" si="6"/>
        <v>200002</v>
      </c>
    </row>
    <row r="53" spans="1:17" x14ac:dyDescent="0.3">
      <c r="A53" t="s">
        <v>5386</v>
      </c>
      <c r="B53" t="s">
        <v>2952</v>
      </c>
      <c r="C53" t="str">
        <f>VLOOKUP(B53,ServiceAreas.csv!C:J,8,FALSE)</f>
        <v>200002</v>
      </c>
      <c r="D53" t="str">
        <f t="shared" si="7"/>
        <v>rg{'id': '200002'}'</v>
      </c>
      <c r="E53" s="1" t="str">
        <f ca="1">MID(Names!G73,FIND(" ",Names!G73)+1,LEN(Names!G73)-FIND(" ", Names!G73))&amp;" "&amp;INDEX(PROJ_EXT_Name,RANDBETWEEN(2,12))</f>
        <v>Lake City Way Building</v>
      </c>
      <c r="F53" s="1" t="s">
        <v>6911</v>
      </c>
      <c r="G53">
        <f t="shared" si="5"/>
        <v>40051</v>
      </c>
      <c r="H53">
        <f t="shared" ref="H53:H75" si="10">IF(ISNUMBER(H52),H52+1,500000)</f>
        <v>500001</v>
      </c>
      <c r="I53" t="s">
        <v>6687</v>
      </c>
      <c r="J53" t="s">
        <v>6510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 t="str">
        <f t="shared" si="6"/>
        <v>200002</v>
      </c>
    </row>
    <row r="54" spans="1:17" x14ac:dyDescent="0.3">
      <c r="A54" t="s">
        <v>5386</v>
      </c>
      <c r="B54" t="s">
        <v>2952</v>
      </c>
      <c r="C54" t="str">
        <f>VLOOKUP(B54,ServiceAreas.csv!C:J,8,FALSE)</f>
        <v>200002</v>
      </c>
      <c r="D54" t="str">
        <f t="shared" si="7"/>
        <v>rg{'id': '200002'}'</v>
      </c>
      <c r="E54" s="1" t="str">
        <f ca="1">MID(Names!G75,FIND(" ",Names!G75)+1,LEN(Names!G75)-FIND(" ", Names!G75))&amp;" "&amp;INDEX(PROJ_EXT_Name,RANDBETWEEN(2,12))</f>
        <v>Essendene Avenue Expressway</v>
      </c>
      <c r="F54" s="1" t="s">
        <v>6910</v>
      </c>
      <c r="G54">
        <f t="shared" si="5"/>
        <v>40052</v>
      </c>
      <c r="H54">
        <f>IF(ISNUMBER(#REF!),#REF!+1,500000)</f>
        <v>500000</v>
      </c>
      <c r="I54" t="s">
        <v>6687</v>
      </c>
      <c r="J54" t="s">
        <v>6510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 t="str">
        <f t="shared" si="6"/>
        <v>200002</v>
      </c>
    </row>
    <row r="55" spans="1:17" x14ac:dyDescent="0.3">
      <c r="A55" t="s">
        <v>5386</v>
      </c>
      <c r="B55" t="s">
        <v>2952</v>
      </c>
      <c r="C55" t="str">
        <f>VLOOKUP(B55,ServiceAreas.csv!C:J,8,FALSE)</f>
        <v>200002</v>
      </c>
      <c r="D55" t="str">
        <f t="shared" si="7"/>
        <v>rg{'id': '200002'}'</v>
      </c>
      <c r="E55" s="1" t="str">
        <f ca="1">MID(Names!G77,FIND(" ",Names!G77)+1,LEN(Names!G77)-FIND(" ", Names!G77))&amp;" "&amp;INDEX(PROJ_EXT_Name,RANDBETWEEN(2,12))</f>
        <v>Wallace Street Extension</v>
      </c>
      <c r="F55" s="1" t="s">
        <v>6971</v>
      </c>
      <c r="G55">
        <f t="shared" si="5"/>
        <v>40053</v>
      </c>
      <c r="H55">
        <f>IF(ISNUMBER(#REF!),#REF!+1,500000)</f>
        <v>500000</v>
      </c>
      <c r="I55" t="s">
        <v>6687</v>
      </c>
      <c r="J55" t="s">
        <v>6510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 t="str">
        <f t="shared" si="6"/>
        <v>200002</v>
      </c>
    </row>
    <row r="56" spans="1:17" x14ac:dyDescent="0.3">
      <c r="A56" t="s">
        <v>5386</v>
      </c>
      <c r="B56" t="s">
        <v>2952</v>
      </c>
      <c r="C56" t="str">
        <f>VLOOKUP(B56,ServiceAreas.csv!C:J,8,FALSE)</f>
        <v>200002</v>
      </c>
      <c r="D56" t="str">
        <f t="shared" si="7"/>
        <v>rg{'id': '200002'}'</v>
      </c>
      <c r="E56" s="1" t="str">
        <f ca="1">MID(Names!G81,FIND(" ",Names!G81)+1,LEN(Names!G81)-FIND(" ", Names!G81))&amp;" "&amp;INDEX(PROJ_EXT_Name,RANDBETWEEN(2,12))</f>
        <v>Shaughnessy St Cloverleaf</v>
      </c>
      <c r="F56" s="1" t="s">
        <v>6972</v>
      </c>
      <c r="G56">
        <f t="shared" si="5"/>
        <v>40054</v>
      </c>
      <c r="H56">
        <f>IF(ISNUMBER(#REF!),#REF!+1,500000)</f>
        <v>500000</v>
      </c>
      <c r="I56" t="s">
        <v>6687</v>
      </c>
      <c r="J56" t="s">
        <v>6510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 t="str">
        <f t="shared" si="6"/>
        <v>200002</v>
      </c>
    </row>
    <row r="57" spans="1:17" x14ac:dyDescent="0.3">
      <c r="A57" t="s">
        <v>5386</v>
      </c>
      <c r="B57" t="s">
        <v>2952</v>
      </c>
      <c r="C57" t="str">
        <f>VLOOKUP(B57,ServiceAreas.csv!C:J,8,FALSE)</f>
        <v>200002</v>
      </c>
      <c r="D57" t="str">
        <f t="shared" si="7"/>
        <v>rg{'id': '200002'}'</v>
      </c>
      <c r="E57" s="1" t="str">
        <f ca="1">MID(Names!G82,FIND(" ",Names!G82)+1,LEN(Names!G82)-FIND(" ", Names!G82))&amp;" "&amp;INDEX(PROJ_EXT_Name,RANDBETWEEN(2,12))</f>
        <v>Tchesinkut Lake Rd Upgrade</v>
      </c>
      <c r="F57" s="1" t="s">
        <v>6973</v>
      </c>
      <c r="G57">
        <f t="shared" si="5"/>
        <v>40055</v>
      </c>
      <c r="H57">
        <f t="shared" si="10"/>
        <v>500001</v>
      </c>
      <c r="I57" t="s">
        <v>6687</v>
      </c>
      <c r="J57" t="s">
        <v>6510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 t="str">
        <f t="shared" si="6"/>
        <v>200002</v>
      </c>
    </row>
    <row r="58" spans="1:17" x14ac:dyDescent="0.3">
      <c r="A58" t="s">
        <v>5386</v>
      </c>
      <c r="B58" t="s">
        <v>2956</v>
      </c>
      <c r="C58" t="str">
        <f>VLOOKUP(B58,ServiceAreas.csv!C:J,8,FALSE)</f>
        <v>200007</v>
      </c>
      <c r="D58" t="str">
        <f t="shared" si="7"/>
        <v>rg{'id': '200007'}'</v>
      </c>
      <c r="E58" s="1" t="str">
        <f ca="1">MID(Names!G83,FIND(" ",Names!G83)+1,LEN(Names!G83)-FIND(" ", Names!G83))&amp;" "&amp;INDEX(PROJ_EXT_Name,RANDBETWEEN(2,12))</f>
        <v>Blind Bay Road Extension</v>
      </c>
      <c r="F58" s="1" t="s">
        <v>6974</v>
      </c>
      <c r="G58">
        <f t="shared" si="5"/>
        <v>40056</v>
      </c>
      <c r="H58">
        <f t="shared" si="10"/>
        <v>500002</v>
      </c>
      <c r="I58" t="s">
        <v>6687</v>
      </c>
      <c r="J58" t="s">
        <v>6510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 t="str">
        <f t="shared" si="6"/>
        <v>200007</v>
      </c>
    </row>
    <row r="59" spans="1:17" x14ac:dyDescent="0.3">
      <c r="A59" t="s">
        <v>5386</v>
      </c>
      <c r="B59" t="s">
        <v>2956</v>
      </c>
      <c r="C59" t="str">
        <f>VLOOKUP(B59,ServiceAreas.csv!C:J,8,FALSE)</f>
        <v>200007</v>
      </c>
      <c r="D59" t="str">
        <f t="shared" si="7"/>
        <v>rg{'id': '200007'}'</v>
      </c>
      <c r="E59" s="1" t="str">
        <f ca="1">MID(Names!G86,FIND(" ",Names!G86)+1,LEN(Names!G86)-FIND(" ", Names!G86))&amp;" "&amp;INDEX(PROJ_EXT_Name,RANDBETWEEN(2,12))</f>
        <v>Glover Road Upgrade</v>
      </c>
      <c r="F59" s="1" t="s">
        <v>6975</v>
      </c>
      <c r="G59">
        <f t="shared" si="5"/>
        <v>40057</v>
      </c>
      <c r="H59">
        <f>IF(ISNUMBER(#REF!),#REF!+1,500000)</f>
        <v>500000</v>
      </c>
      <c r="I59" t="s">
        <v>6687</v>
      </c>
      <c r="J59" t="s">
        <v>6510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 t="str">
        <f t="shared" si="6"/>
        <v>200007</v>
      </c>
    </row>
    <row r="60" spans="1:17" x14ac:dyDescent="0.3">
      <c r="A60" t="s">
        <v>5386</v>
      </c>
      <c r="B60" t="s">
        <v>2956</v>
      </c>
      <c r="C60" t="str">
        <f>VLOOKUP(B60,ServiceAreas.csv!C:J,8,FALSE)</f>
        <v>200007</v>
      </c>
      <c r="D60" t="str">
        <f t="shared" si="7"/>
        <v>rg{'id': '200007'}'</v>
      </c>
      <c r="E60" s="1" t="str">
        <f ca="1">MID(Names!G87,FIND(" ",Names!G87)+1,LEN(Names!G87)-FIND(" ", Names!G87))&amp;" "&amp;INDEX(PROJ_EXT_Name,RANDBETWEEN(2,12))</f>
        <v>Wellington Ave Bypass</v>
      </c>
      <c r="F60" s="1" t="s">
        <v>6976</v>
      </c>
      <c r="G60">
        <f t="shared" si="5"/>
        <v>40058</v>
      </c>
      <c r="H60">
        <f t="shared" si="10"/>
        <v>500001</v>
      </c>
      <c r="I60" t="s">
        <v>6687</v>
      </c>
      <c r="J60" t="s">
        <v>6510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 t="str">
        <f t="shared" si="6"/>
        <v>200007</v>
      </c>
    </row>
    <row r="61" spans="1:17" x14ac:dyDescent="0.3">
      <c r="A61" t="s">
        <v>5386</v>
      </c>
      <c r="B61" t="s">
        <v>2956</v>
      </c>
      <c r="C61" t="str">
        <f>VLOOKUP(B61,ServiceAreas.csv!C:J,8,FALSE)</f>
        <v>200007</v>
      </c>
      <c r="D61" t="str">
        <f t="shared" si="7"/>
        <v>rg{'id': '200007'}'</v>
      </c>
      <c r="E61" s="1" t="str">
        <f ca="1">MID(Names!G89,FIND(" ",Names!G89)+1,LEN(Names!G89)-FIND(" ", Names!G89))&amp;" "&amp;INDEX(PROJ_EXT_Name,RANDBETWEEN(2,12))</f>
        <v>Hastings Street HOV Lane</v>
      </c>
      <c r="F61" s="1" t="s">
        <v>6977</v>
      </c>
      <c r="G61">
        <f t="shared" si="5"/>
        <v>40059</v>
      </c>
      <c r="H61">
        <f>IF(ISNUMBER(#REF!),#REF!+1,500000)</f>
        <v>500000</v>
      </c>
      <c r="I61" t="s">
        <v>6687</v>
      </c>
      <c r="J61" t="s">
        <v>6510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 t="str">
        <f t="shared" si="6"/>
        <v>200007</v>
      </c>
    </row>
    <row r="62" spans="1:17" x14ac:dyDescent="0.3">
      <c r="A62" t="s">
        <v>5386</v>
      </c>
      <c r="B62" t="s">
        <v>2956</v>
      </c>
      <c r="C62" t="str">
        <f>VLOOKUP(B62,ServiceAreas.csv!C:J,8,FALSE)</f>
        <v>200007</v>
      </c>
      <c r="D62" t="str">
        <f t="shared" si="7"/>
        <v>rg{'id': '200007'}'</v>
      </c>
      <c r="E62" s="1" t="str">
        <f ca="1">MID(Names!G90,FIND(" ",Names!G90)+1,LEN(Names!G90)-FIND(" ", Names!G90))&amp;" "&amp;INDEX(PROJ_EXT_Name,RANDBETWEEN(2,12))</f>
        <v>Tchesinkut Lake Rd Expressway</v>
      </c>
      <c r="F62" s="1" t="s">
        <v>6978</v>
      </c>
      <c r="G62">
        <f t="shared" si="5"/>
        <v>40060</v>
      </c>
      <c r="H62">
        <f t="shared" si="10"/>
        <v>500001</v>
      </c>
      <c r="I62" t="s">
        <v>6687</v>
      </c>
      <c r="J62" t="s">
        <v>6510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 t="str">
        <f t="shared" si="6"/>
        <v>200007</v>
      </c>
    </row>
    <row r="63" spans="1:17" x14ac:dyDescent="0.3">
      <c r="A63" t="s">
        <v>5386</v>
      </c>
      <c r="B63" t="s">
        <v>2956</v>
      </c>
      <c r="C63" t="str">
        <f>VLOOKUP(B63,ServiceAreas.csv!C:J,8,FALSE)</f>
        <v>200007</v>
      </c>
      <c r="D63" t="str">
        <f t="shared" si="7"/>
        <v>rg{'id': '200007'}'</v>
      </c>
      <c r="E63" s="1" t="str">
        <f ca="1">MID(Names!G94,FIND(" ",Names!G94)+1,LEN(Names!G94)-FIND(" ", Names!G94))&amp;" "&amp;INDEX(PROJ_EXT_Name,RANDBETWEEN(2,12))</f>
        <v>Yoho Valley Road Bridge Replacement</v>
      </c>
      <c r="F63" s="1" t="s">
        <v>6979</v>
      </c>
      <c r="G63">
        <f t="shared" si="5"/>
        <v>40061</v>
      </c>
      <c r="H63">
        <f>IF(ISNUMBER(#REF!),#REF!+1,500000)</f>
        <v>500000</v>
      </c>
      <c r="I63" t="s">
        <v>6687</v>
      </c>
      <c r="J63" t="s">
        <v>6510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 t="str">
        <f t="shared" si="6"/>
        <v>200007</v>
      </c>
    </row>
    <row r="64" spans="1:17" x14ac:dyDescent="0.3">
      <c r="A64" t="s">
        <v>5386</v>
      </c>
      <c r="B64" t="s">
        <v>2956</v>
      </c>
      <c r="C64" t="str">
        <f>VLOOKUP(B64,ServiceAreas.csv!C:J,8,FALSE)</f>
        <v>200007</v>
      </c>
      <c r="D64" t="str">
        <f t="shared" si="7"/>
        <v>rg{'id': '200007'}'</v>
      </c>
      <c r="E64" s="1" t="str">
        <f ca="1">MID(Names!G95,FIND(" ",Names!G95)+1,LEN(Names!G95)-FIND(" ", Names!G95))&amp;" "&amp;INDEX(PROJ_EXT_Name,RANDBETWEEN(2,12))</f>
        <v>Keith Road Expressway</v>
      </c>
      <c r="F64" s="1" t="s">
        <v>6980</v>
      </c>
      <c r="G64">
        <f t="shared" si="5"/>
        <v>40062</v>
      </c>
      <c r="H64">
        <f t="shared" si="10"/>
        <v>500001</v>
      </c>
      <c r="I64" t="s">
        <v>6687</v>
      </c>
      <c r="J64" t="s">
        <v>6510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 t="str">
        <f t="shared" si="6"/>
        <v>200007</v>
      </c>
    </row>
    <row r="65" spans="1:17" x14ac:dyDescent="0.3">
      <c r="A65" t="s">
        <v>5386</v>
      </c>
      <c r="B65" t="s">
        <v>2954</v>
      </c>
      <c r="C65" t="str">
        <f>VLOOKUP(B65,ServiceAreas.csv!C:J,8,FALSE)</f>
        <v>200005</v>
      </c>
      <c r="D65" t="str">
        <f t="shared" si="7"/>
        <v>rg{'id': '200005'}'</v>
      </c>
      <c r="E65" s="1" t="str">
        <f ca="1">MID(Names!G98,FIND(" ",Names!G98)+1,LEN(Names!G98)-FIND(" ", Names!G98))&amp;" "&amp;INDEX(PROJ_EXT_Name,RANDBETWEEN(2,12))</f>
        <v>Quayside Dr Bridge Replacement</v>
      </c>
      <c r="F65" s="1" t="s">
        <v>6981</v>
      </c>
      <c r="G65">
        <f t="shared" si="5"/>
        <v>40063</v>
      </c>
      <c r="H65">
        <f>IF(ISNUMBER(#REF!),#REF!+1,500000)</f>
        <v>500000</v>
      </c>
      <c r="I65" t="s">
        <v>6687</v>
      </c>
      <c r="J65" t="s">
        <v>6510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 t="str">
        <f t="shared" si="6"/>
        <v>200005</v>
      </c>
    </row>
    <row r="66" spans="1:17" x14ac:dyDescent="0.3">
      <c r="A66" t="s">
        <v>5386</v>
      </c>
      <c r="B66" t="s">
        <v>2954</v>
      </c>
      <c r="C66" t="str">
        <f>VLOOKUP(B66,ServiceAreas.csv!C:J,8,FALSE)</f>
        <v>200005</v>
      </c>
      <c r="D66" t="str">
        <f t="shared" si="7"/>
        <v>rg{'id': '200005'}'</v>
      </c>
      <c r="E66" s="1" t="str">
        <f ca="1">MID(Names!G99,FIND(" ",Names!G99)+1,LEN(Names!G99)-FIND(" ", Names!G99))&amp;" "&amp;INDEX(PROJ_EXT_Name,RANDBETWEEN(2,12))</f>
        <v>Jade St Building</v>
      </c>
      <c r="F66" s="1" t="s">
        <v>6982</v>
      </c>
      <c r="G66">
        <f t="shared" si="5"/>
        <v>40064</v>
      </c>
      <c r="H66">
        <f t="shared" si="10"/>
        <v>500001</v>
      </c>
      <c r="I66" t="s">
        <v>6687</v>
      </c>
      <c r="J66" t="s">
        <v>6510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 t="str">
        <f t="shared" ref="Q66:Q97" si="11">C66</f>
        <v>200005</v>
      </c>
    </row>
    <row r="67" spans="1:17" x14ac:dyDescent="0.3">
      <c r="A67" t="s">
        <v>5386</v>
      </c>
      <c r="B67" t="s">
        <v>2954</v>
      </c>
      <c r="C67" t="str">
        <f>VLOOKUP(B67,ServiceAreas.csv!C:J,8,FALSE)</f>
        <v>200005</v>
      </c>
      <c r="D67" t="str">
        <f t="shared" si="7"/>
        <v>rg{'id': '200005'}'</v>
      </c>
      <c r="E67" s="1" t="str">
        <f ca="1">MID(Names!G101,FIND(" ",Names!G101)+1,LEN(Names!G101)-FIND(" ", Names!G101))&amp;" "&amp;INDEX(PROJ_EXT_Name,RANDBETWEEN(2,12))</f>
        <v>Robson St Expressway</v>
      </c>
      <c r="F67" s="1" t="s">
        <v>6916</v>
      </c>
      <c r="G67">
        <f t="shared" si="5"/>
        <v>40065</v>
      </c>
      <c r="H67">
        <f>IF(ISNUMBER(#REF!),#REF!+1,500000)</f>
        <v>500000</v>
      </c>
      <c r="I67" t="s">
        <v>6687</v>
      </c>
      <c r="J67" t="s">
        <v>6510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 t="str">
        <f t="shared" si="11"/>
        <v>200005</v>
      </c>
    </row>
    <row r="68" spans="1:17" x14ac:dyDescent="0.3">
      <c r="A68" t="s">
        <v>5386</v>
      </c>
      <c r="B68" t="s">
        <v>2954</v>
      </c>
      <c r="C68" t="str">
        <f>VLOOKUP(B68,ServiceAreas.csv!C:J,8,FALSE)</f>
        <v>200005</v>
      </c>
      <c r="D68" t="str">
        <f t="shared" si="7"/>
        <v>rg{'id': '200005'}'</v>
      </c>
      <c r="E68" s="1" t="str">
        <f ca="1">MID(Names!G104,FIND(" ",Names!G104)+1,LEN(Names!G104)-FIND(" ", Names!G104))&amp;" "&amp;INDEX(PROJ_EXT_Name,RANDBETWEEN(2,12))</f>
        <v>Carlson Road Building</v>
      </c>
      <c r="F68" s="1" t="s">
        <v>6983</v>
      </c>
      <c r="G68">
        <f t="shared" ref="G68:G131" si="12">G67+1</f>
        <v>40066</v>
      </c>
      <c r="H68">
        <f>IF(ISNUMBER(#REF!),#REF!+1,500000)</f>
        <v>500000</v>
      </c>
      <c r="I68" t="s">
        <v>6687</v>
      </c>
      <c r="J68" t="s">
        <v>6510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 t="str">
        <f t="shared" si="11"/>
        <v>200005</v>
      </c>
    </row>
    <row r="69" spans="1:17" x14ac:dyDescent="0.3">
      <c r="A69" t="s">
        <v>5386</v>
      </c>
      <c r="B69" t="s">
        <v>2954</v>
      </c>
      <c r="C69" t="str">
        <f>VLOOKUP(B69,ServiceAreas.csv!C:J,8,FALSE)</f>
        <v>200005</v>
      </c>
      <c r="D69" t="str">
        <f t="shared" si="7"/>
        <v>rg{'id': '200005'}'</v>
      </c>
      <c r="E69" s="1" t="str">
        <f ca="1">MID(Names!G107,FIND(" ",Names!G107)+1,LEN(Names!G107)-FIND(" ", Names!G107))&amp;" "&amp;INDEX(PROJ_EXT_Name,RANDBETWEEN(2,12))</f>
        <v>McGill Road Express Lane</v>
      </c>
      <c r="F69" s="1" t="s">
        <v>6984</v>
      </c>
      <c r="G69">
        <f t="shared" si="12"/>
        <v>40067</v>
      </c>
      <c r="H69">
        <f>IF(ISNUMBER(#REF!),#REF!+1,500000)</f>
        <v>500000</v>
      </c>
      <c r="I69" t="s">
        <v>6687</v>
      </c>
      <c r="J69" t="s">
        <v>6510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 t="str">
        <f t="shared" si="11"/>
        <v>200005</v>
      </c>
    </row>
    <row r="70" spans="1:17" x14ac:dyDescent="0.3">
      <c r="A70" t="s">
        <v>5386</v>
      </c>
      <c r="B70" t="s">
        <v>2954</v>
      </c>
      <c r="C70" t="str">
        <f>VLOOKUP(B70,ServiceAreas.csv!C:J,8,FALSE)</f>
        <v>200005</v>
      </c>
      <c r="D70" t="str">
        <f t="shared" si="7"/>
        <v>rg{'id': '200005'}'</v>
      </c>
      <c r="E70" s="1" t="str">
        <f ca="1">MID(Names!G108,FIND(" ",Names!G108)+1,LEN(Names!G108)-FIND(" ", Names!G108))&amp;" "&amp;INDEX(PROJ_EXT_Name,RANDBETWEEN(2,12))</f>
        <v>Russell Avenue HOV Lane</v>
      </c>
      <c r="F70" s="1" t="s">
        <v>6985</v>
      </c>
      <c r="G70">
        <f t="shared" si="12"/>
        <v>40068</v>
      </c>
      <c r="H70">
        <f t="shared" si="10"/>
        <v>500001</v>
      </c>
      <c r="I70" t="s">
        <v>6687</v>
      </c>
      <c r="J70" t="s">
        <v>6510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 t="str">
        <f t="shared" si="11"/>
        <v>200005</v>
      </c>
    </row>
    <row r="71" spans="1:17" x14ac:dyDescent="0.3">
      <c r="A71" t="s">
        <v>5386</v>
      </c>
      <c r="B71" t="s">
        <v>2954</v>
      </c>
      <c r="C71" t="str">
        <f>VLOOKUP(B71,ServiceAreas.csv!C:J,8,FALSE)</f>
        <v>200005</v>
      </c>
      <c r="D71" t="str">
        <f t="shared" si="7"/>
        <v>rg{'id': '200005'}'</v>
      </c>
      <c r="E71" s="1" t="str">
        <f ca="1">MID(Names!G113,FIND(" ",Names!G113)+1,LEN(Names!G113)-FIND(" ", Names!G113))&amp;" "&amp;INDEX(PROJ_EXT_Name,RANDBETWEEN(2,12))</f>
        <v>Robson St Upgrade</v>
      </c>
      <c r="F71" s="1" t="s">
        <v>6922</v>
      </c>
      <c r="G71">
        <f t="shared" si="12"/>
        <v>40069</v>
      </c>
      <c r="H71">
        <f>IF(ISNUMBER(#REF!),#REF!+1,500000)</f>
        <v>500000</v>
      </c>
      <c r="I71" t="s">
        <v>6687</v>
      </c>
      <c r="J71" t="s">
        <v>6510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 t="str">
        <f t="shared" si="11"/>
        <v>200005</v>
      </c>
    </row>
    <row r="72" spans="1:17" x14ac:dyDescent="0.3">
      <c r="A72" t="s">
        <v>5386</v>
      </c>
      <c r="B72" t="s">
        <v>2957</v>
      </c>
      <c r="C72" t="str">
        <f>VLOOKUP(B72,ServiceAreas.csv!C:J,8,FALSE)</f>
        <v>200009</v>
      </c>
      <c r="D72" t="str">
        <f t="shared" si="7"/>
        <v>rg{'id': '200009'}'</v>
      </c>
      <c r="E72" s="1" t="str">
        <f ca="1">MID(Names!G120,FIND(" ",Names!G120)+1,LEN(Names!G120)-FIND(" ", Names!G120))&amp;" "&amp;INDEX(PROJ_EXT_Name,RANDBETWEEN(2,12))</f>
        <v>Haaglund Rd Express Lane</v>
      </c>
      <c r="F72" s="1" t="s">
        <v>6986</v>
      </c>
      <c r="G72">
        <f t="shared" si="12"/>
        <v>40070</v>
      </c>
      <c r="H72">
        <f>IF(ISNUMBER(#REF!),#REF!+1,500000)</f>
        <v>500000</v>
      </c>
      <c r="I72" t="s">
        <v>6687</v>
      </c>
      <c r="J72" t="s">
        <v>6510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 t="str">
        <f t="shared" si="11"/>
        <v>200009</v>
      </c>
    </row>
    <row r="73" spans="1:17" x14ac:dyDescent="0.3">
      <c r="A73" t="s">
        <v>5386</v>
      </c>
      <c r="B73" t="s">
        <v>2957</v>
      </c>
      <c r="C73" t="str">
        <f>VLOOKUP(B73,ServiceAreas.csv!C:J,8,FALSE)</f>
        <v>200009</v>
      </c>
      <c r="D73" t="str">
        <f t="shared" si="7"/>
        <v>rg{'id': '200009'}'</v>
      </c>
      <c r="E73" s="1" t="str">
        <f ca="1">MID(Names!G121,FIND(" ",Names!G121)+1,LEN(Names!G121)-FIND(" ", Names!G121))&amp;" "&amp;INDEX(PROJ_EXT_Name,RANDBETWEEN(2,12))</f>
        <v>Tchesinkut Lake Rd Extension</v>
      </c>
      <c r="F73" s="1" t="s">
        <v>6987</v>
      </c>
      <c r="G73">
        <f t="shared" si="12"/>
        <v>40071</v>
      </c>
      <c r="H73">
        <f t="shared" si="10"/>
        <v>500001</v>
      </c>
      <c r="I73" t="s">
        <v>6687</v>
      </c>
      <c r="J73" t="s">
        <v>6510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 t="str">
        <f t="shared" si="11"/>
        <v>200009</v>
      </c>
    </row>
    <row r="74" spans="1:17" x14ac:dyDescent="0.3">
      <c r="A74" t="s">
        <v>5386</v>
      </c>
      <c r="B74" t="s">
        <v>2957</v>
      </c>
      <c r="C74" t="str">
        <f>VLOOKUP(B74,ServiceAreas.csv!C:J,8,FALSE)</f>
        <v>200009</v>
      </c>
      <c r="D74" t="str">
        <f t="shared" si="7"/>
        <v>rg{'id': '200009'}'</v>
      </c>
      <c r="E74" s="1" t="str">
        <f ca="1">MID(Names!G123,FIND(" ",Names!G123)+1,LEN(Names!G123)-FIND(" ", Names!G123))&amp;" "&amp;INDEX(PROJ_EXT_Name,RANDBETWEEN(2,12))</f>
        <v>Glover Road Cloverleaf</v>
      </c>
      <c r="F74" s="1" t="s">
        <v>6988</v>
      </c>
      <c r="G74">
        <f t="shared" si="12"/>
        <v>40072</v>
      </c>
      <c r="H74">
        <f>IF(ISNUMBER(#REF!),#REF!+1,500000)</f>
        <v>500000</v>
      </c>
      <c r="I74" t="s">
        <v>6687</v>
      </c>
      <c r="J74" t="s">
        <v>6510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 t="str">
        <f t="shared" si="11"/>
        <v>200009</v>
      </c>
    </row>
    <row r="75" spans="1:17" x14ac:dyDescent="0.3">
      <c r="A75" t="s">
        <v>5386</v>
      </c>
      <c r="B75" t="s">
        <v>2957</v>
      </c>
      <c r="C75" t="str">
        <f>VLOOKUP(B75,ServiceAreas.csv!C:J,8,FALSE)</f>
        <v>200009</v>
      </c>
      <c r="D75" t="str">
        <f t="shared" si="7"/>
        <v>rg{'id': '200009'}'</v>
      </c>
      <c r="E75" s="1" t="str">
        <f ca="1">MID(Names!G124,FIND(" ",Names!G124)+1,LEN(Names!G124)-FIND(" ", Names!G124))&amp;" "&amp;INDEX(PROJ_EXT_Name,RANDBETWEEN(2,12))</f>
        <v>Stum Lake Road HOV Lane</v>
      </c>
      <c r="F75" s="1" t="s">
        <v>6989</v>
      </c>
      <c r="G75">
        <f t="shared" si="12"/>
        <v>40073</v>
      </c>
      <c r="H75">
        <f t="shared" si="10"/>
        <v>500001</v>
      </c>
      <c r="I75" t="s">
        <v>6687</v>
      </c>
      <c r="J75" t="s">
        <v>6510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 t="str">
        <f t="shared" si="11"/>
        <v>200009</v>
      </c>
    </row>
    <row r="76" spans="1:17" x14ac:dyDescent="0.3">
      <c r="A76" t="s">
        <v>5386</v>
      </c>
      <c r="B76" t="s">
        <v>2957</v>
      </c>
      <c r="C76" t="str">
        <f>VLOOKUP(B76,ServiceAreas.csv!C:J,8,FALSE)</f>
        <v>200009</v>
      </c>
      <c r="D76" t="str">
        <f t="shared" si="7"/>
        <v>rg{'id': '200009'}'</v>
      </c>
      <c r="E76" s="1" t="str">
        <f ca="1">MID(Names!G126,FIND(" ",Names!G126)+1,LEN(Names!G126)-FIND(" ", Names!G126))&amp;" "&amp;INDEX(PROJ_EXT_Name,RANDBETWEEN(2,12))</f>
        <v>Shaughnessy St Overpass</v>
      </c>
      <c r="F76" s="1" t="s">
        <v>6990</v>
      </c>
      <c r="G76">
        <f t="shared" si="12"/>
        <v>40074</v>
      </c>
      <c r="H76">
        <f>IF(ISNUMBER(#REF!),#REF!+1,500000)</f>
        <v>500000</v>
      </c>
      <c r="I76" t="s">
        <v>6687</v>
      </c>
      <c r="J76" t="s">
        <v>6510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 t="str">
        <f t="shared" si="11"/>
        <v>200009</v>
      </c>
    </row>
    <row r="77" spans="1:17" x14ac:dyDescent="0.3">
      <c r="A77" t="s">
        <v>5386</v>
      </c>
      <c r="B77" t="s">
        <v>2957</v>
      </c>
      <c r="C77" t="str">
        <f>VLOOKUP(B77,ServiceAreas.csv!C:J,8,FALSE)</f>
        <v>200009</v>
      </c>
      <c r="D77" t="str">
        <f t="shared" si="7"/>
        <v>rg{'id': '200009'}'</v>
      </c>
      <c r="E77" s="1" t="str">
        <f ca="1">MID(Names!G128,FIND(" ",Names!G128)+1,LEN(Names!G128)-FIND(" ", Names!G128))&amp;" "&amp;INDEX(PROJ_EXT_Name,RANDBETWEEN(2,12))</f>
        <v>Shaughnessy St HOV Lane</v>
      </c>
      <c r="F77" s="1" t="s">
        <v>6991</v>
      </c>
      <c r="G77">
        <f t="shared" si="12"/>
        <v>40075</v>
      </c>
      <c r="H77">
        <f>IF(ISNUMBER(#REF!),#REF!+1,500000)</f>
        <v>500000</v>
      </c>
      <c r="I77" t="s">
        <v>6687</v>
      </c>
      <c r="J77" t="s">
        <v>6510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 t="str">
        <f t="shared" si="11"/>
        <v>200009</v>
      </c>
    </row>
    <row r="78" spans="1:17" x14ac:dyDescent="0.3">
      <c r="A78" t="s">
        <v>5386</v>
      </c>
      <c r="B78" t="s">
        <v>2957</v>
      </c>
      <c r="C78" t="str">
        <f>VLOOKUP(B78,ServiceAreas.csv!C:J,8,FALSE)</f>
        <v>200009</v>
      </c>
      <c r="D78" t="str">
        <f t="shared" si="7"/>
        <v>rg{'id': '200009'}'</v>
      </c>
      <c r="E78" s="1" t="str">
        <f ca="1">MID(Names!G130,FIND(" ",Names!G130)+1,LEN(Names!G130)-FIND(" ", Names!G130))&amp;" "&amp;INDEX(PROJ_EXT_Name,RANDBETWEEN(2,12))</f>
        <v>Mesa Vista Drive Bypass</v>
      </c>
      <c r="F78" s="1" t="s">
        <v>6992</v>
      </c>
      <c r="G78">
        <f t="shared" si="12"/>
        <v>40076</v>
      </c>
      <c r="H78">
        <f>IF(ISNUMBER(#REF!),#REF!+1,500000)</f>
        <v>500000</v>
      </c>
      <c r="I78" t="s">
        <v>6687</v>
      </c>
      <c r="J78" t="s">
        <v>6510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 t="str">
        <f t="shared" si="11"/>
        <v>200009</v>
      </c>
    </row>
    <row r="79" spans="1:17" x14ac:dyDescent="0.3">
      <c r="A79" t="s">
        <v>5386</v>
      </c>
      <c r="B79" t="s">
        <v>2957</v>
      </c>
      <c r="C79" t="str">
        <f>VLOOKUP(B79,ServiceAreas.csv!C:J,8,FALSE)</f>
        <v>200009</v>
      </c>
      <c r="D79" t="str">
        <f t="shared" ref="D79:D108" si="13">"rg{'id': '"&amp;C79&amp;"'}'"</f>
        <v>rg{'id': '200009'}'</v>
      </c>
      <c r="E79" s="1" t="str">
        <f ca="1">MID(Names!G132,FIND(" ",Names!G132)+1,LEN(Names!G132)-FIND(" ", Names!G132))&amp;" "&amp;INDEX(PROJ_EXT_Name,RANDBETWEEN(2,12))</f>
        <v>Roger Street Expressway</v>
      </c>
      <c r="F79" s="1" t="s">
        <v>6902</v>
      </c>
      <c r="G79">
        <f t="shared" si="12"/>
        <v>40077</v>
      </c>
      <c r="H79">
        <f>IF(ISNUMBER(#REF!),#REF!+1,500000)</f>
        <v>500000</v>
      </c>
      <c r="I79" t="s">
        <v>6687</v>
      </c>
      <c r="J79" t="s">
        <v>6510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 t="str">
        <f t="shared" si="11"/>
        <v>200009</v>
      </c>
    </row>
    <row r="80" spans="1:17" x14ac:dyDescent="0.3">
      <c r="A80" t="s">
        <v>5386</v>
      </c>
      <c r="B80" t="s">
        <v>2957</v>
      </c>
      <c r="C80" t="str">
        <f>VLOOKUP(B80,ServiceAreas.csv!C:J,8,FALSE)</f>
        <v>200009</v>
      </c>
      <c r="D80" t="str">
        <f t="shared" si="13"/>
        <v>rg{'id': '200009'}'</v>
      </c>
      <c r="E80" s="1" t="str">
        <f ca="1">MID(Names!G139,FIND(" ",Names!G139)+1,LEN(Names!G139)-FIND(" ", Names!G139))&amp;" "&amp;INDEX(PROJ_EXT_Name,RANDBETWEEN(2,12))</f>
        <v>Stum Lake Road Extension</v>
      </c>
      <c r="F80" s="1" t="s">
        <v>6897</v>
      </c>
      <c r="G80">
        <f t="shared" si="12"/>
        <v>40078</v>
      </c>
      <c r="H80">
        <f>IF(ISNUMBER(#REF!),#REF!+1,500000)</f>
        <v>500000</v>
      </c>
      <c r="I80" t="s">
        <v>6687</v>
      </c>
      <c r="J80" t="s">
        <v>6510</v>
      </c>
      <c r="K80" t="str">
        <f>IFERROR(VLOOKUP(F80,Contacts.csv!C:D,2,FALSE),"")</f>
        <v/>
      </c>
      <c r="L80" t="str">
        <f t="shared" ref="L80:L112" si="14">IF(ISNUMBER(K80),"rg:{'id':'" &amp; K80 &amp; "'}","rg:None")</f>
        <v>rg:None</v>
      </c>
      <c r="M80" s="4" t="str">
        <f t="shared" ref="M80:M112" si="15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 t="str">
        <f t="shared" si="11"/>
        <v>200009</v>
      </c>
    </row>
    <row r="81" spans="1:17" x14ac:dyDescent="0.3">
      <c r="A81" t="s">
        <v>5386</v>
      </c>
      <c r="B81" t="s">
        <v>2957</v>
      </c>
      <c r="C81" t="str">
        <f>VLOOKUP(B81,ServiceAreas.csv!C:J,8,FALSE)</f>
        <v>200009</v>
      </c>
      <c r="D81" t="str">
        <f t="shared" si="13"/>
        <v>rg{'id': '200009'}'</v>
      </c>
      <c r="E81" s="1" t="str">
        <f ca="1">MID(Names!G140,FIND(" ",Names!G140)+1,LEN(Names!G140)-FIND(" ", Names!G140))&amp;" "&amp;INDEX(PROJ_EXT_Name,RANDBETWEEN(2,12))</f>
        <v>Blind Bay Road Building</v>
      </c>
      <c r="F81" s="1" t="s">
        <v>6993</v>
      </c>
      <c r="G81">
        <f t="shared" si="12"/>
        <v>40079</v>
      </c>
      <c r="H81">
        <f t="shared" ref="H81:H107" si="16">IF(ISNUMBER(H80),H80+1,500000)</f>
        <v>500001</v>
      </c>
      <c r="I81" t="s">
        <v>6687</v>
      </c>
      <c r="J81" t="s">
        <v>6510</v>
      </c>
      <c r="K81" t="str">
        <f>IFERROR(VLOOKUP(F81,Contacts.csv!C:D,2,FALSE),"")</f>
        <v/>
      </c>
      <c r="L81" t="str">
        <f t="shared" si="14"/>
        <v>rg:None</v>
      </c>
      <c r="M81" s="4" t="str">
        <f t="shared" si="15"/>
        <v>rg:[]</v>
      </c>
      <c r="N81" t="s">
        <v>6510</v>
      </c>
      <c r="O81" t="s">
        <v>6510</v>
      </c>
      <c r="P81" t="s">
        <v>6510</v>
      </c>
      <c r="Q81" t="str">
        <f t="shared" si="11"/>
        <v>200009</v>
      </c>
    </row>
    <row r="82" spans="1:17" x14ac:dyDescent="0.3">
      <c r="A82" t="s">
        <v>5386</v>
      </c>
      <c r="B82" t="s">
        <v>2957</v>
      </c>
      <c r="C82" t="str">
        <f>VLOOKUP(B82,ServiceAreas.csv!C:J,8,FALSE)</f>
        <v>200009</v>
      </c>
      <c r="D82" t="str">
        <f t="shared" si="13"/>
        <v>rg{'id': '200009'}'</v>
      </c>
      <c r="E82" s="1" t="str">
        <f ca="1">MID(Names!G141,FIND(" ",Names!G141)+1,LEN(Names!G141)-FIND(" ", Names!G141))&amp;" "&amp;INDEX(PROJ_EXT_Name,RANDBETWEEN(2,12))</f>
        <v>Shaughnessy St Bridge Replacement</v>
      </c>
      <c r="F82" s="1" t="s">
        <v>6994</v>
      </c>
      <c r="G82">
        <f t="shared" si="12"/>
        <v>40080</v>
      </c>
      <c r="H82">
        <f t="shared" si="16"/>
        <v>500002</v>
      </c>
      <c r="I82" t="s">
        <v>6687</v>
      </c>
      <c r="J82" t="s">
        <v>6510</v>
      </c>
      <c r="K82" t="str">
        <f>IFERROR(VLOOKUP(F82,Contacts.csv!C:D,2,FALSE),"")</f>
        <v/>
      </c>
      <c r="L82" t="str">
        <f t="shared" si="14"/>
        <v>rg:None</v>
      </c>
      <c r="M82" s="4" t="str">
        <f t="shared" si="15"/>
        <v>rg:[]</v>
      </c>
      <c r="N82" t="s">
        <v>6510</v>
      </c>
      <c r="O82" t="s">
        <v>6510</v>
      </c>
      <c r="P82" t="s">
        <v>6510</v>
      </c>
      <c r="Q82" t="str">
        <f t="shared" si="11"/>
        <v>200009</v>
      </c>
    </row>
    <row r="83" spans="1:17" x14ac:dyDescent="0.3">
      <c r="A83" t="s">
        <v>5386</v>
      </c>
      <c r="B83" t="s">
        <v>2957</v>
      </c>
      <c r="C83" t="str">
        <f>VLOOKUP(B83,ServiceAreas.csv!C:J,8,FALSE)</f>
        <v>200009</v>
      </c>
      <c r="D83" t="str">
        <f t="shared" si="13"/>
        <v>rg{'id': '200009'}'</v>
      </c>
      <c r="E83" s="1" t="str">
        <f ca="1">MID(Names!G145,FIND(" ",Names!G145)+1,LEN(Names!G145)-FIND(" ", Names!G145))&amp;" "&amp;INDEX(PROJ_EXT_Name,RANDBETWEEN(2,12))</f>
        <v>Yoho Valley Road Building</v>
      </c>
      <c r="F83" s="1" t="s">
        <v>6995</v>
      </c>
      <c r="G83">
        <f t="shared" si="12"/>
        <v>40081</v>
      </c>
      <c r="H83">
        <f>IF(ISNUMBER(#REF!),#REF!+1,500000)</f>
        <v>500000</v>
      </c>
      <c r="I83" t="s">
        <v>6687</v>
      </c>
      <c r="J83" t="s">
        <v>6510</v>
      </c>
      <c r="K83" t="str">
        <f>IFERROR(VLOOKUP(F83,Contacts.csv!C:D,2,FALSE),"")</f>
        <v/>
      </c>
      <c r="L83" t="str">
        <f t="shared" si="14"/>
        <v>rg:None</v>
      </c>
      <c r="M83" s="4" t="str">
        <f t="shared" si="15"/>
        <v>rg:[]</v>
      </c>
      <c r="N83" t="s">
        <v>6510</v>
      </c>
      <c r="O83" t="s">
        <v>6510</v>
      </c>
      <c r="P83" t="s">
        <v>6510</v>
      </c>
      <c r="Q83" t="str">
        <f t="shared" si="11"/>
        <v>200009</v>
      </c>
    </row>
    <row r="84" spans="1:17" x14ac:dyDescent="0.3">
      <c r="A84" t="s">
        <v>5386</v>
      </c>
      <c r="B84" t="s">
        <v>2957</v>
      </c>
      <c r="C84" t="str">
        <f>VLOOKUP(B84,ServiceAreas.csv!C:J,8,FALSE)</f>
        <v>200009</v>
      </c>
      <c r="D84" t="str">
        <f t="shared" si="13"/>
        <v>rg{'id': '200009'}'</v>
      </c>
      <c r="E84" s="1" t="str">
        <f ca="1">MID(Names!G147,FIND(" ",Names!G147)+1,LEN(Names!G147)-FIND(" ", Names!G147))&amp;" "&amp;INDEX(PROJ_EXT_Name,RANDBETWEEN(2,12))</f>
        <v>Old Spallumcheen Rd Expressway</v>
      </c>
      <c r="F84" s="1" t="s">
        <v>6996</v>
      </c>
      <c r="G84">
        <f t="shared" si="12"/>
        <v>40082</v>
      </c>
      <c r="H84">
        <f>IF(ISNUMBER(#REF!),#REF!+1,500000)</f>
        <v>500000</v>
      </c>
      <c r="I84" t="s">
        <v>6687</v>
      </c>
      <c r="J84" t="s">
        <v>6510</v>
      </c>
      <c r="K84" t="str">
        <f>IFERROR(VLOOKUP(F84,Contacts.csv!C:D,2,FALSE),"")</f>
        <v/>
      </c>
      <c r="L84" t="str">
        <f t="shared" si="14"/>
        <v>rg:None</v>
      </c>
      <c r="M84" s="4" t="str">
        <f t="shared" si="15"/>
        <v>rg:[]</v>
      </c>
      <c r="N84" t="s">
        <v>6510</v>
      </c>
      <c r="O84" t="s">
        <v>6510</v>
      </c>
      <c r="P84" t="s">
        <v>6510</v>
      </c>
      <c r="Q84" t="str">
        <f t="shared" si="11"/>
        <v>200009</v>
      </c>
    </row>
    <row r="85" spans="1:17" x14ac:dyDescent="0.3">
      <c r="A85" t="s">
        <v>5386</v>
      </c>
      <c r="B85" t="s">
        <v>2957</v>
      </c>
      <c r="C85" t="str">
        <f>VLOOKUP(B85,ServiceAreas.csv!C:J,8,FALSE)</f>
        <v>200009</v>
      </c>
      <c r="D85" t="str">
        <f t="shared" si="13"/>
        <v>rg{'id': '200009'}'</v>
      </c>
      <c r="E85" s="1" t="str">
        <f ca="1">MID(Names!G148,FIND(" ",Names!G148)+1,LEN(Names!G148)-FIND(" ", Names!G148))&amp;" "&amp;INDEX(PROJ_EXT_Name,RANDBETWEEN(2,12))</f>
        <v>Glover Road Bridge Replacement</v>
      </c>
      <c r="F85" s="1" t="s">
        <v>6896</v>
      </c>
      <c r="G85">
        <f t="shared" si="12"/>
        <v>40083</v>
      </c>
      <c r="H85">
        <f t="shared" si="16"/>
        <v>500001</v>
      </c>
      <c r="I85" t="s">
        <v>6687</v>
      </c>
      <c r="J85" t="s">
        <v>6510</v>
      </c>
      <c r="K85" t="str">
        <f>IFERROR(VLOOKUP(F85,Contacts.csv!C:D,2,FALSE),"")</f>
        <v/>
      </c>
      <c r="L85" t="str">
        <f t="shared" si="14"/>
        <v>rg:None</v>
      </c>
      <c r="M85" s="4" t="str">
        <f t="shared" si="15"/>
        <v>rg:[]</v>
      </c>
      <c r="N85" t="s">
        <v>6510</v>
      </c>
      <c r="O85" t="s">
        <v>6510</v>
      </c>
      <c r="P85" t="s">
        <v>6510</v>
      </c>
      <c r="Q85" t="str">
        <f t="shared" si="11"/>
        <v>200009</v>
      </c>
    </row>
    <row r="86" spans="1:17" x14ac:dyDescent="0.3">
      <c r="A86" t="s">
        <v>5386</v>
      </c>
      <c r="B86" t="s">
        <v>2955</v>
      </c>
      <c r="C86" t="str">
        <f>VLOOKUP(B86,ServiceAreas.csv!C:J,8,FALSE)</f>
        <v>200006</v>
      </c>
      <c r="D86" t="str">
        <f t="shared" si="13"/>
        <v>rg{'id': '200006'}'</v>
      </c>
      <c r="E86" s="1" t="str">
        <f ca="1">MID(Names!G149,FIND(" ",Names!G149)+1,LEN(Names!G149)-FIND(" ", Names!G149))&amp;" "&amp;INDEX(PROJ_EXT_Name,RANDBETWEEN(2,12))</f>
        <v>Coldstream Avenue Building</v>
      </c>
      <c r="F86" s="1" t="s">
        <v>6997</v>
      </c>
      <c r="G86">
        <f t="shared" si="12"/>
        <v>40084</v>
      </c>
      <c r="H86">
        <f t="shared" si="16"/>
        <v>500002</v>
      </c>
      <c r="I86" t="s">
        <v>6687</v>
      </c>
      <c r="J86" t="s">
        <v>6510</v>
      </c>
      <c r="K86" t="str">
        <f>IFERROR(VLOOKUP(F86,Contacts.csv!C:D,2,FALSE),"")</f>
        <v/>
      </c>
      <c r="L86" t="str">
        <f t="shared" si="14"/>
        <v>rg:None</v>
      </c>
      <c r="M86" s="4" t="str">
        <f t="shared" si="15"/>
        <v>rg:[]</v>
      </c>
      <c r="N86" t="s">
        <v>6510</v>
      </c>
      <c r="O86" t="s">
        <v>6510</v>
      </c>
      <c r="P86" t="s">
        <v>6510</v>
      </c>
      <c r="Q86" t="str">
        <f t="shared" si="11"/>
        <v>200006</v>
      </c>
    </row>
    <row r="87" spans="1:17" x14ac:dyDescent="0.3">
      <c r="A87" t="s">
        <v>5386</v>
      </c>
      <c r="B87" t="s">
        <v>2955</v>
      </c>
      <c r="C87" t="str">
        <f>VLOOKUP(B87,ServiceAreas.csv!C:J,8,FALSE)</f>
        <v>200006</v>
      </c>
      <c r="D87" t="str">
        <f t="shared" si="13"/>
        <v>rg{'id': '200006'}'</v>
      </c>
      <c r="E87" s="1" t="str">
        <f ca="1">MID(Names!G17,FIND(" ",Names!G17)+1,LEN(Names!G17)-FIND(" ", Names!G17))&amp;" "&amp;INDEX(PROJ_EXT_Name,RANDBETWEEN(2,12))</f>
        <v>Holdom Avenue Extension</v>
      </c>
      <c r="F87" s="1" t="s">
        <v>6998</v>
      </c>
      <c r="G87">
        <f t="shared" si="12"/>
        <v>40085</v>
      </c>
      <c r="H87">
        <f>IF(ISNUMBER(#REF!),#REF!+1,500000)</f>
        <v>500000</v>
      </c>
      <c r="I87" t="s">
        <v>6687</v>
      </c>
      <c r="J87" t="s">
        <v>6510</v>
      </c>
      <c r="K87" t="str">
        <f>IFERROR(VLOOKUP(F87,Contacts.csv!C:D,2,FALSE),"")</f>
        <v/>
      </c>
      <c r="L87" t="str">
        <f t="shared" si="14"/>
        <v>rg:None</v>
      </c>
      <c r="M87" s="4" t="str">
        <f t="shared" si="15"/>
        <v>rg:[]</v>
      </c>
      <c r="N87" t="s">
        <v>6510</v>
      </c>
      <c r="O87" t="s">
        <v>6510</v>
      </c>
      <c r="P87" t="s">
        <v>6510</v>
      </c>
      <c r="Q87" t="str">
        <f t="shared" si="11"/>
        <v>200006</v>
      </c>
    </row>
    <row r="88" spans="1:17" x14ac:dyDescent="0.3">
      <c r="A88" t="s">
        <v>5386</v>
      </c>
      <c r="B88" t="s">
        <v>2955</v>
      </c>
      <c r="C88" t="str">
        <f>VLOOKUP(B88,ServiceAreas.csv!C:J,8,FALSE)</f>
        <v>200006</v>
      </c>
      <c r="D88" t="str">
        <f t="shared" si="13"/>
        <v>rg{'id': '200006'}'</v>
      </c>
      <c r="E88" s="1" t="str">
        <f ca="1">MID(Names!G19,FIND(" ",Names!G19)+1,LEN(Names!G19)-FIND(" ", Names!G19))&amp;" "&amp;INDEX(PROJ_EXT_Name,RANDBETWEEN(2,12))</f>
        <v>Scotts Lane Cloverleaf</v>
      </c>
      <c r="F88" s="1" t="s">
        <v>6999</v>
      </c>
      <c r="G88">
        <f t="shared" si="12"/>
        <v>40086</v>
      </c>
      <c r="H88">
        <f>IF(ISNUMBER(#REF!),#REF!+1,500000)</f>
        <v>500000</v>
      </c>
      <c r="I88" t="s">
        <v>6687</v>
      </c>
      <c r="J88" t="s">
        <v>6510</v>
      </c>
      <c r="K88" t="str">
        <f>IFERROR(VLOOKUP(F88,Contacts.csv!C:D,2,FALSE),"")</f>
        <v/>
      </c>
      <c r="L88" t="str">
        <f t="shared" si="14"/>
        <v>rg:None</v>
      </c>
      <c r="M88" s="4" t="str">
        <f t="shared" si="15"/>
        <v>rg:[]</v>
      </c>
      <c r="N88" t="s">
        <v>6510</v>
      </c>
      <c r="O88" t="s">
        <v>6510</v>
      </c>
      <c r="P88" t="s">
        <v>6510</v>
      </c>
      <c r="Q88" t="str">
        <f t="shared" si="11"/>
        <v>200006</v>
      </c>
    </row>
    <row r="89" spans="1:17" x14ac:dyDescent="0.3">
      <c r="A89" t="s">
        <v>5386</v>
      </c>
      <c r="B89" t="s">
        <v>2955</v>
      </c>
      <c r="C89" t="str">
        <f>VLOOKUP(B89,ServiceAreas.csv!C:J,8,FALSE)</f>
        <v>200006</v>
      </c>
      <c r="D89" t="str">
        <f t="shared" si="13"/>
        <v>rg{'id': '200006'}'</v>
      </c>
      <c r="E89" s="1" t="str">
        <f ca="1">MID(Names!G20,FIND(" ",Names!G20)+1,LEN(Names!G20)-FIND(" ", Names!G20))&amp;" "&amp;INDEX(PROJ_EXT_Name,RANDBETWEEN(2,12))</f>
        <v>Findlay Creek Road Overpass</v>
      </c>
      <c r="F89" s="1" t="s">
        <v>6908</v>
      </c>
      <c r="G89">
        <f t="shared" si="12"/>
        <v>40087</v>
      </c>
      <c r="H89">
        <f t="shared" si="16"/>
        <v>500001</v>
      </c>
      <c r="I89" t="s">
        <v>6687</v>
      </c>
      <c r="J89" t="s">
        <v>6510</v>
      </c>
      <c r="K89" t="str">
        <f>IFERROR(VLOOKUP(F89,Contacts.csv!C:D,2,FALSE),"")</f>
        <v/>
      </c>
      <c r="L89" t="str">
        <f t="shared" si="14"/>
        <v>rg:None</v>
      </c>
      <c r="M89" s="4" t="str">
        <f t="shared" si="15"/>
        <v>rg:[]</v>
      </c>
      <c r="N89" t="s">
        <v>6510</v>
      </c>
      <c r="O89" t="s">
        <v>6510</v>
      </c>
      <c r="P89" t="s">
        <v>6510</v>
      </c>
      <c r="Q89" t="str">
        <f t="shared" si="11"/>
        <v>200006</v>
      </c>
    </row>
    <row r="90" spans="1:17" x14ac:dyDescent="0.3">
      <c r="A90" t="s">
        <v>5386</v>
      </c>
      <c r="B90" t="s">
        <v>2955</v>
      </c>
      <c r="C90" t="str">
        <f>VLOOKUP(B90,ServiceAreas.csv!C:J,8,FALSE)</f>
        <v>200006</v>
      </c>
      <c r="D90" t="str">
        <f t="shared" si="13"/>
        <v>rg{'id': '200006'}'</v>
      </c>
      <c r="E90" s="1" t="str">
        <f ca="1">MID(Names!G21,FIND(" ",Names!G21)+1,LEN(Names!G21)-FIND(" ", Names!G21))&amp;" "&amp;INDEX(PROJ_EXT_Name,RANDBETWEEN(2,12))</f>
        <v>Sixth Street Bypass</v>
      </c>
      <c r="F90" s="1" t="s">
        <v>7000</v>
      </c>
      <c r="G90">
        <f t="shared" si="12"/>
        <v>40088</v>
      </c>
      <c r="H90">
        <f t="shared" si="16"/>
        <v>500002</v>
      </c>
      <c r="I90" t="s">
        <v>6687</v>
      </c>
      <c r="J90" t="s">
        <v>6510</v>
      </c>
      <c r="K90" t="str">
        <f>IFERROR(VLOOKUP(F90,Contacts.csv!C:D,2,FALSE),"")</f>
        <v/>
      </c>
      <c r="L90" t="str">
        <f t="shared" si="14"/>
        <v>rg:None</v>
      </c>
      <c r="M90" s="4" t="str">
        <f t="shared" si="15"/>
        <v>rg:[]</v>
      </c>
      <c r="N90" t="s">
        <v>6510</v>
      </c>
      <c r="O90" t="s">
        <v>6510</v>
      </c>
      <c r="P90" t="s">
        <v>6510</v>
      </c>
      <c r="Q90" t="str">
        <f t="shared" si="11"/>
        <v>200006</v>
      </c>
    </row>
    <row r="91" spans="1:17" x14ac:dyDescent="0.3">
      <c r="A91" t="s">
        <v>5386</v>
      </c>
      <c r="B91" t="s">
        <v>2955</v>
      </c>
      <c r="C91" t="str">
        <f>VLOOKUP(B91,ServiceAreas.csv!C:J,8,FALSE)</f>
        <v>200006</v>
      </c>
      <c r="D91" t="str">
        <f t="shared" si="13"/>
        <v>rg{'id': '200006'}'</v>
      </c>
      <c r="E91" s="1" t="str">
        <f ca="1">MID(Names!G23,FIND(" ",Names!G23)+1,LEN(Names!G23)-FIND(" ", Names!G23))&amp;" "&amp;INDEX(PROJ_EXT_Name,RANDBETWEEN(2,12))</f>
        <v>King George Hwy HOV Lane</v>
      </c>
      <c r="F91" s="1" t="s">
        <v>7001</v>
      </c>
      <c r="G91">
        <f t="shared" si="12"/>
        <v>40089</v>
      </c>
      <c r="H91">
        <f>IF(ISNUMBER(#REF!),#REF!+1,500000)</f>
        <v>500000</v>
      </c>
      <c r="I91" t="s">
        <v>6687</v>
      </c>
      <c r="J91" t="s">
        <v>6510</v>
      </c>
      <c r="K91" t="str">
        <f>IFERROR(VLOOKUP(F91,Contacts.csv!C:D,2,FALSE),"")</f>
        <v/>
      </c>
      <c r="L91" t="str">
        <f t="shared" si="14"/>
        <v>rg:None</v>
      </c>
      <c r="M91" s="4" t="str">
        <f t="shared" si="15"/>
        <v>rg:[]</v>
      </c>
      <c r="N91" t="s">
        <v>6510</v>
      </c>
      <c r="O91" t="s">
        <v>6510</v>
      </c>
      <c r="P91" t="s">
        <v>6510</v>
      </c>
      <c r="Q91" t="str">
        <f t="shared" si="11"/>
        <v>200006</v>
      </c>
    </row>
    <row r="92" spans="1:17" x14ac:dyDescent="0.3">
      <c r="A92" t="s">
        <v>5386</v>
      </c>
      <c r="B92" t="s">
        <v>2955</v>
      </c>
      <c r="C92" t="str">
        <f>VLOOKUP(B92,ServiceAreas.csv!C:J,8,FALSE)</f>
        <v>200006</v>
      </c>
      <c r="D92" t="str">
        <f t="shared" si="13"/>
        <v>rg{'id': '200006'}'</v>
      </c>
      <c r="E92" s="1" t="str">
        <f ca="1">MID(Names!G25,FIND(" ",Names!G25)+1,LEN(Names!G25)-FIND(" ", Names!G25))&amp;" "&amp;INDEX(PROJ_EXT_Name,RANDBETWEEN(2,12))</f>
        <v>Wallace Street Bridge Replacement</v>
      </c>
      <c r="F92" s="1" t="s">
        <v>7002</v>
      </c>
      <c r="G92">
        <f t="shared" si="12"/>
        <v>40090</v>
      </c>
      <c r="H92">
        <f>IF(ISNUMBER(#REF!),#REF!+1,500000)</f>
        <v>500000</v>
      </c>
      <c r="I92" t="s">
        <v>6687</v>
      </c>
      <c r="J92" t="s">
        <v>6510</v>
      </c>
      <c r="K92" t="str">
        <f>IFERROR(VLOOKUP(F92,Contacts.csv!C:D,2,FALSE),"")</f>
        <v/>
      </c>
      <c r="L92" t="str">
        <f t="shared" si="14"/>
        <v>rg:None</v>
      </c>
      <c r="M92" s="4" t="str">
        <f t="shared" si="15"/>
        <v>rg:[]</v>
      </c>
      <c r="N92" t="s">
        <v>6510</v>
      </c>
      <c r="O92" t="s">
        <v>6510</v>
      </c>
      <c r="P92" t="s">
        <v>6510</v>
      </c>
      <c r="Q92" t="str">
        <f t="shared" si="11"/>
        <v>200006</v>
      </c>
    </row>
    <row r="93" spans="1:17" x14ac:dyDescent="0.3">
      <c r="A93" t="s">
        <v>5386</v>
      </c>
      <c r="B93" t="s">
        <v>2955</v>
      </c>
      <c r="C93" t="str">
        <f>VLOOKUP(B93,ServiceAreas.csv!C:J,8,FALSE)</f>
        <v>200006</v>
      </c>
      <c r="D93" t="str">
        <f t="shared" si="13"/>
        <v>rg{'id': '200006'}'</v>
      </c>
      <c r="E93" s="1" t="str">
        <f ca="1">MID(Names!G30,FIND(" ",Names!G30)+1,LEN(Names!G30)-FIND(" ", Names!G30))&amp;" "&amp;INDEX(PROJ_EXT_Name,RANDBETWEEN(2,12))</f>
        <v>Scotts Lane Cloverleaf</v>
      </c>
      <c r="F93" s="1" t="s">
        <v>7003</v>
      </c>
      <c r="G93">
        <f t="shared" si="12"/>
        <v>40091</v>
      </c>
      <c r="H93">
        <f>IF(ISNUMBER(#REF!),#REF!+1,500000)</f>
        <v>500000</v>
      </c>
      <c r="I93" t="s">
        <v>6687</v>
      </c>
      <c r="J93" t="s">
        <v>6510</v>
      </c>
      <c r="K93" t="str">
        <f>IFERROR(VLOOKUP(F93,Contacts.csv!C:D,2,FALSE),"")</f>
        <v/>
      </c>
      <c r="L93" t="str">
        <f t="shared" si="14"/>
        <v>rg:None</v>
      </c>
      <c r="M93" s="4" t="str">
        <f t="shared" si="15"/>
        <v>rg:[]</v>
      </c>
      <c r="N93" t="s">
        <v>6510</v>
      </c>
      <c r="O93" t="s">
        <v>6510</v>
      </c>
      <c r="P93" t="s">
        <v>6510</v>
      </c>
      <c r="Q93" t="str">
        <f t="shared" si="11"/>
        <v>200006</v>
      </c>
    </row>
    <row r="94" spans="1:17" x14ac:dyDescent="0.3">
      <c r="A94" t="s">
        <v>5386</v>
      </c>
      <c r="B94" t="s">
        <v>2955</v>
      </c>
      <c r="C94" t="str">
        <f>VLOOKUP(B94,ServiceAreas.csv!C:J,8,FALSE)</f>
        <v>200006</v>
      </c>
      <c r="D94" t="str">
        <f t="shared" si="13"/>
        <v>rg{'id': '200006'}'</v>
      </c>
      <c r="E94" s="1" t="str">
        <f ca="1">MID(Names!G31,FIND(" ",Names!G31)+1,LEN(Names!G31)-FIND(" ", Names!G31))&amp;" "&amp;INDEX(PROJ_EXT_Name,RANDBETWEEN(2,12))</f>
        <v>Nootka Street Overpass</v>
      </c>
      <c r="F94" s="1" t="s">
        <v>7004</v>
      </c>
      <c r="G94">
        <f t="shared" si="12"/>
        <v>40092</v>
      </c>
      <c r="H94">
        <f t="shared" si="16"/>
        <v>500001</v>
      </c>
      <c r="I94" t="s">
        <v>6687</v>
      </c>
      <c r="J94" t="s">
        <v>6510</v>
      </c>
      <c r="K94" t="str">
        <f>IFERROR(VLOOKUP(F94,Contacts.csv!C:D,2,FALSE),"")</f>
        <v/>
      </c>
      <c r="L94" t="str">
        <f t="shared" si="14"/>
        <v>rg:None</v>
      </c>
      <c r="M94" s="4" t="str">
        <f t="shared" si="15"/>
        <v>rg:[]</v>
      </c>
      <c r="N94" t="s">
        <v>6510</v>
      </c>
      <c r="O94" t="s">
        <v>6510</v>
      </c>
      <c r="P94" t="s">
        <v>6510</v>
      </c>
      <c r="Q94" t="str">
        <f t="shared" si="11"/>
        <v>200006</v>
      </c>
    </row>
    <row r="95" spans="1:17" x14ac:dyDescent="0.3">
      <c r="A95" t="s">
        <v>5386</v>
      </c>
      <c r="B95" t="s">
        <v>2955</v>
      </c>
      <c r="C95" t="str">
        <f>VLOOKUP(B95,ServiceAreas.csv!C:J,8,FALSE)</f>
        <v>200006</v>
      </c>
      <c r="D95" t="str">
        <f t="shared" si="13"/>
        <v>rg{'id': '200006'}'</v>
      </c>
      <c r="E95" s="1" t="str">
        <f ca="1">MID(Names!G32,FIND(" ",Names!G32)+1,LEN(Names!G32)-FIND(" ", Names!G32))&amp;" "&amp;INDEX(PROJ_EXT_Name,RANDBETWEEN(2,12))</f>
        <v>Nootka Street Bridge</v>
      </c>
      <c r="F95" s="1" t="s">
        <v>6913</v>
      </c>
      <c r="G95">
        <f t="shared" si="12"/>
        <v>40093</v>
      </c>
      <c r="H95">
        <f t="shared" si="16"/>
        <v>500002</v>
      </c>
      <c r="I95" t="s">
        <v>6687</v>
      </c>
      <c r="J95" t="s">
        <v>6510</v>
      </c>
      <c r="K95" t="str">
        <f>IFERROR(VLOOKUP(F95,Contacts.csv!C:D,2,FALSE),"")</f>
        <v/>
      </c>
      <c r="L95" t="str">
        <f t="shared" si="14"/>
        <v>rg:None</v>
      </c>
      <c r="M95" s="4" t="str">
        <f t="shared" si="15"/>
        <v>rg:[]</v>
      </c>
      <c r="N95" t="s">
        <v>6510</v>
      </c>
      <c r="O95" t="s">
        <v>6510</v>
      </c>
      <c r="P95" t="s">
        <v>6510</v>
      </c>
      <c r="Q95" t="str">
        <f t="shared" si="11"/>
        <v>200006</v>
      </c>
    </row>
    <row r="96" spans="1:17" x14ac:dyDescent="0.3">
      <c r="A96" t="s">
        <v>5386</v>
      </c>
      <c r="B96" t="s">
        <v>2955</v>
      </c>
      <c r="C96" t="str">
        <f>VLOOKUP(B96,ServiceAreas.csv!C:J,8,FALSE)</f>
        <v>200006</v>
      </c>
      <c r="D96" t="str">
        <f t="shared" si="13"/>
        <v>rg{'id': '200006'}'</v>
      </c>
      <c r="E96" s="1" t="str">
        <f ca="1">MID(Names!G35,FIND(" ",Names!G35)+1,LEN(Names!G35)-FIND(" ", Names!G35))&amp;" "&amp;INDEX(PROJ_EXT_Name,RANDBETWEEN(2,12))</f>
        <v>102nd Avenue Building</v>
      </c>
      <c r="F96" s="1" t="s">
        <v>7005</v>
      </c>
      <c r="G96">
        <f t="shared" si="12"/>
        <v>40094</v>
      </c>
      <c r="H96">
        <f>IF(ISNUMBER(#REF!),#REF!+1,500000)</f>
        <v>500000</v>
      </c>
      <c r="I96" t="s">
        <v>6687</v>
      </c>
      <c r="J96" t="s">
        <v>6510</v>
      </c>
      <c r="K96" t="str">
        <f>IFERROR(VLOOKUP(F96,Contacts.csv!C:D,2,FALSE),"")</f>
        <v/>
      </c>
      <c r="L96" t="str">
        <f t="shared" si="14"/>
        <v>rg:None</v>
      </c>
      <c r="M96" s="4" t="str">
        <f t="shared" si="15"/>
        <v>rg:[]</v>
      </c>
      <c r="N96" t="s">
        <v>6510</v>
      </c>
      <c r="O96" t="s">
        <v>6510</v>
      </c>
      <c r="P96" t="s">
        <v>6510</v>
      </c>
      <c r="Q96" t="str">
        <f t="shared" si="11"/>
        <v>200006</v>
      </c>
    </row>
    <row r="97" spans="1:17" x14ac:dyDescent="0.3">
      <c r="A97" t="s">
        <v>5386</v>
      </c>
      <c r="B97" t="s">
        <v>2955</v>
      </c>
      <c r="C97" t="str">
        <f>VLOOKUP(B97,ServiceAreas.csv!C:J,8,FALSE)</f>
        <v>200006</v>
      </c>
      <c r="D97" t="str">
        <f t="shared" si="13"/>
        <v>rg{'id': '200006'}'</v>
      </c>
      <c r="E97" s="1" t="str">
        <f ca="1">MID(Names!G41,FIND(" ",Names!G41)+1,LEN(Names!G41)-FIND(" ", Names!G41))&amp;" "&amp;INDEX(PROJ_EXT_Name,RANDBETWEEN(2,12))</f>
        <v>Cardero St Upgrade</v>
      </c>
      <c r="F97" s="1" t="s">
        <v>7006</v>
      </c>
      <c r="G97">
        <f t="shared" si="12"/>
        <v>40095</v>
      </c>
      <c r="H97">
        <f>IF(ISNUMBER(#REF!),#REF!+1,500000)</f>
        <v>500000</v>
      </c>
      <c r="I97" t="s">
        <v>6687</v>
      </c>
      <c r="J97" t="s">
        <v>6510</v>
      </c>
      <c r="K97" t="str">
        <f>IFERROR(VLOOKUP(F97,Contacts.csv!C:D,2,FALSE),"")</f>
        <v/>
      </c>
      <c r="L97" t="str">
        <f t="shared" si="14"/>
        <v>rg:None</v>
      </c>
      <c r="M97" s="4" t="str">
        <f t="shared" si="15"/>
        <v>rg:[]</v>
      </c>
      <c r="N97" t="s">
        <v>6510</v>
      </c>
      <c r="O97" t="s">
        <v>6510</v>
      </c>
      <c r="P97" t="s">
        <v>6510</v>
      </c>
      <c r="Q97" t="str">
        <f t="shared" si="11"/>
        <v>200006</v>
      </c>
    </row>
    <row r="98" spans="1:17" x14ac:dyDescent="0.3">
      <c r="A98" t="s">
        <v>5386</v>
      </c>
      <c r="B98" t="s">
        <v>2955</v>
      </c>
      <c r="C98" t="str">
        <f>VLOOKUP(B98,ServiceAreas.csv!C:J,8,FALSE)</f>
        <v>200006</v>
      </c>
      <c r="D98" t="str">
        <f t="shared" si="13"/>
        <v>rg{'id': '200006'}'</v>
      </c>
      <c r="E98" s="1" t="str">
        <f ca="1">MID(Names!G42,FIND(" ",Names!G42)+1,LEN(Names!G42)-FIND(" ", Names!G42))&amp;" "&amp;INDEX(PROJ_EXT_Name,RANDBETWEEN(2,12))</f>
        <v>Blind Bay Road Overpass</v>
      </c>
      <c r="F98" s="1" t="s">
        <v>7007</v>
      </c>
      <c r="G98">
        <f t="shared" si="12"/>
        <v>40096</v>
      </c>
      <c r="H98">
        <f t="shared" si="16"/>
        <v>500001</v>
      </c>
      <c r="I98" t="s">
        <v>6687</v>
      </c>
      <c r="J98" t="s">
        <v>6510</v>
      </c>
      <c r="K98" t="str">
        <f>IFERROR(VLOOKUP(F98,Contacts.csv!C:D,2,FALSE),"")</f>
        <v/>
      </c>
      <c r="L98" t="str">
        <f t="shared" si="14"/>
        <v>rg:None</v>
      </c>
      <c r="M98" s="4" t="str">
        <f t="shared" si="15"/>
        <v>rg:[]</v>
      </c>
      <c r="N98" t="s">
        <v>6510</v>
      </c>
      <c r="O98" t="s">
        <v>6510</v>
      </c>
      <c r="P98" t="s">
        <v>6510</v>
      </c>
      <c r="Q98" t="str">
        <f t="shared" ref="Q98:Q129" si="17">C98</f>
        <v>200006</v>
      </c>
    </row>
    <row r="99" spans="1:17" x14ac:dyDescent="0.3">
      <c r="A99" t="s">
        <v>5386</v>
      </c>
      <c r="B99" t="s">
        <v>2955</v>
      </c>
      <c r="C99" t="str">
        <f>VLOOKUP(B99,ServiceAreas.csv!C:J,8,FALSE)</f>
        <v>200006</v>
      </c>
      <c r="D99" t="str">
        <f t="shared" si="13"/>
        <v>rg{'id': '200006'}'</v>
      </c>
      <c r="E99" s="1" t="str">
        <f ca="1">MID(Names!G43,FIND(" ",Names!G43)+1,LEN(Names!G43)-FIND(" ", Names!G43))&amp;" "&amp;INDEX(PROJ_EXT_Name,RANDBETWEEN(2,12))</f>
        <v>Old Spallumcheen Rd Building</v>
      </c>
      <c r="F99" s="1" t="s">
        <v>7008</v>
      </c>
      <c r="G99">
        <f t="shared" si="12"/>
        <v>40097</v>
      </c>
      <c r="H99">
        <f t="shared" si="16"/>
        <v>500002</v>
      </c>
      <c r="I99" t="s">
        <v>6687</v>
      </c>
      <c r="J99" t="s">
        <v>6510</v>
      </c>
      <c r="K99" t="str">
        <f>IFERROR(VLOOKUP(F99,Contacts.csv!C:D,2,FALSE),"")</f>
        <v/>
      </c>
      <c r="L99" t="str">
        <f t="shared" si="14"/>
        <v>rg:None</v>
      </c>
      <c r="M99" s="4" t="str">
        <f t="shared" si="15"/>
        <v>rg:[]</v>
      </c>
      <c r="N99" t="s">
        <v>6510</v>
      </c>
      <c r="O99" t="s">
        <v>6510</v>
      </c>
      <c r="P99" t="s">
        <v>6510</v>
      </c>
      <c r="Q99" t="str">
        <f t="shared" si="17"/>
        <v>200006</v>
      </c>
    </row>
    <row r="100" spans="1:17" x14ac:dyDescent="0.3">
      <c r="A100" t="s">
        <v>5386</v>
      </c>
      <c r="B100" t="s">
        <v>2951</v>
      </c>
      <c r="C100" t="str">
        <f>VLOOKUP(B100,ServiceAreas.csv!C:J,8,FALSE)</f>
        <v>200001</v>
      </c>
      <c r="D100" t="str">
        <f t="shared" si="13"/>
        <v>rg{'id': '200001'}'</v>
      </c>
      <c r="E100" s="1" t="str">
        <f ca="1">MID(Names!G45,FIND(" ",Names!G45)+1,LEN(Names!G45)-FIND(" ", Names!G45))&amp;" "&amp;INDEX(PROJ_EXT_Name,RANDBETWEEN(2,12))</f>
        <v>Keith Road Building</v>
      </c>
      <c r="F100" s="1" t="s">
        <v>7009</v>
      </c>
      <c r="G100">
        <f t="shared" si="12"/>
        <v>40098</v>
      </c>
      <c r="H100">
        <f>IF(ISNUMBER(#REF!),#REF!+1,500000)</f>
        <v>500000</v>
      </c>
      <c r="I100" t="s">
        <v>6687</v>
      </c>
      <c r="J100" t="s">
        <v>6510</v>
      </c>
      <c r="K100" t="str">
        <f>IFERROR(VLOOKUP(F100,Contacts.csv!C:D,2,FALSE),"")</f>
        <v/>
      </c>
      <c r="L100" t="str">
        <f t="shared" si="14"/>
        <v>rg:None</v>
      </c>
      <c r="M100" s="4" t="str">
        <f t="shared" si="15"/>
        <v>rg:[]</v>
      </c>
      <c r="N100" t="s">
        <v>6510</v>
      </c>
      <c r="O100" t="s">
        <v>6510</v>
      </c>
      <c r="P100" t="s">
        <v>6510</v>
      </c>
      <c r="Q100" t="str">
        <f t="shared" si="17"/>
        <v>200001</v>
      </c>
    </row>
    <row r="101" spans="1:17" x14ac:dyDescent="0.3">
      <c r="A101" t="s">
        <v>5386</v>
      </c>
      <c r="B101" t="s">
        <v>2951</v>
      </c>
      <c r="C101" t="str">
        <f>VLOOKUP(B101,ServiceAreas.csv!C:J,8,FALSE)</f>
        <v>200001</v>
      </c>
      <c r="D101" t="str">
        <f t="shared" si="13"/>
        <v>rg{'id': '200001'}'</v>
      </c>
      <c r="E101" s="1" t="str">
        <f ca="1">MID(Names!G47,FIND(" ",Names!G47)+1,LEN(Names!G47)-FIND(" ", Names!G47))&amp;" "&amp;INDEX(PROJ_EXT_Name,RANDBETWEEN(2,12))</f>
        <v>Brew Creek Rd Bridge</v>
      </c>
      <c r="F101" s="1" t="s">
        <v>6920</v>
      </c>
      <c r="G101">
        <f t="shared" si="12"/>
        <v>40099</v>
      </c>
      <c r="H101">
        <f>IF(ISNUMBER(#REF!),#REF!+1,500000)</f>
        <v>500000</v>
      </c>
      <c r="I101" t="s">
        <v>6687</v>
      </c>
      <c r="J101" t="s">
        <v>6510</v>
      </c>
      <c r="K101" t="str">
        <f>IFERROR(VLOOKUP(F101,Contacts.csv!C:D,2,FALSE),"")</f>
        <v/>
      </c>
      <c r="L101" t="str">
        <f t="shared" si="14"/>
        <v>rg:None</v>
      </c>
      <c r="M101" s="4" t="str">
        <f t="shared" si="15"/>
        <v>rg:[]</v>
      </c>
      <c r="N101" t="s">
        <v>6510</v>
      </c>
      <c r="O101" t="s">
        <v>6510</v>
      </c>
      <c r="P101" t="s">
        <v>6510</v>
      </c>
      <c r="Q101" t="str">
        <f t="shared" si="17"/>
        <v>200001</v>
      </c>
    </row>
    <row r="102" spans="1:17" x14ac:dyDescent="0.3">
      <c r="A102" t="s">
        <v>5386</v>
      </c>
      <c r="B102" t="s">
        <v>2951</v>
      </c>
      <c r="C102" t="str">
        <f>VLOOKUP(B102,ServiceAreas.csv!C:J,8,FALSE)</f>
        <v>200001</v>
      </c>
      <c r="D102" t="str">
        <f t="shared" si="13"/>
        <v>rg{'id': '200001'}'</v>
      </c>
      <c r="E102" s="1" t="str">
        <f ca="1">MID(Names!G48,FIND(" ",Names!G48)+1,LEN(Names!G48)-FIND(" ", Names!G48))&amp;" "&amp;INDEX(PROJ_EXT_Name,RANDBETWEEN(2,12))</f>
        <v>Coldstream Avenue Upgrade</v>
      </c>
      <c r="F102" s="1" t="s">
        <v>7010</v>
      </c>
      <c r="G102">
        <f t="shared" si="12"/>
        <v>40100</v>
      </c>
      <c r="H102">
        <f t="shared" si="16"/>
        <v>500001</v>
      </c>
      <c r="I102" t="s">
        <v>6687</v>
      </c>
      <c r="J102" t="s">
        <v>6510</v>
      </c>
      <c r="K102" t="str">
        <f>IFERROR(VLOOKUP(F102,Contacts.csv!C:D,2,FALSE),"")</f>
        <v/>
      </c>
      <c r="L102" t="str">
        <f t="shared" si="14"/>
        <v>rg:None</v>
      </c>
      <c r="M102" s="4" t="str">
        <f t="shared" si="15"/>
        <v>rg:[]</v>
      </c>
      <c r="N102" t="s">
        <v>6510</v>
      </c>
      <c r="O102" t="s">
        <v>6510</v>
      </c>
      <c r="P102" t="s">
        <v>6510</v>
      </c>
      <c r="Q102" t="str">
        <f t="shared" si="17"/>
        <v>200001</v>
      </c>
    </row>
    <row r="103" spans="1:17" x14ac:dyDescent="0.3">
      <c r="A103" t="s">
        <v>5386</v>
      </c>
      <c r="B103" t="s">
        <v>2951</v>
      </c>
      <c r="C103" t="str">
        <f>VLOOKUP(B103,ServiceAreas.csv!C:J,8,FALSE)</f>
        <v>200001</v>
      </c>
      <c r="D103" t="str">
        <f t="shared" si="13"/>
        <v>rg{'id': '200001'}'</v>
      </c>
      <c r="E103" s="1" t="str">
        <f ca="1">MID(Names!G50,FIND(" ",Names!G50)+1,LEN(Names!G50)-FIND(" ", Names!G50))&amp;" "&amp;INDEX(PROJ_EXT_Name,RANDBETWEEN(2,12))</f>
        <v>Wellington Ave Building</v>
      </c>
      <c r="F103" s="1" t="s">
        <v>6904</v>
      </c>
      <c r="G103">
        <f t="shared" si="12"/>
        <v>40101</v>
      </c>
      <c r="H103">
        <f>IF(ISNUMBER(#REF!),#REF!+1,500000)</f>
        <v>500000</v>
      </c>
      <c r="I103" t="s">
        <v>6687</v>
      </c>
      <c r="J103" t="s">
        <v>6510</v>
      </c>
      <c r="K103" t="str">
        <f>IFERROR(VLOOKUP(F103,Contacts.csv!C:D,2,FALSE),"")</f>
        <v/>
      </c>
      <c r="L103" t="str">
        <f t="shared" si="14"/>
        <v>rg:None</v>
      </c>
      <c r="M103" s="4" t="str">
        <f t="shared" si="15"/>
        <v>rg:[]</v>
      </c>
      <c r="N103" t="s">
        <v>6510</v>
      </c>
      <c r="O103" t="s">
        <v>6510</v>
      </c>
      <c r="P103" t="s">
        <v>6510</v>
      </c>
      <c r="Q103" t="str">
        <f t="shared" si="17"/>
        <v>200001</v>
      </c>
    </row>
    <row r="104" spans="1:17" x14ac:dyDescent="0.3">
      <c r="A104" t="s">
        <v>5386</v>
      </c>
      <c r="B104" t="s">
        <v>2951</v>
      </c>
      <c r="C104" t="str">
        <f>VLOOKUP(B104,ServiceAreas.csv!C:J,8,FALSE)</f>
        <v>200001</v>
      </c>
      <c r="D104" t="str">
        <f t="shared" si="13"/>
        <v>rg{'id': '200001'}'</v>
      </c>
      <c r="E104" s="1" t="str">
        <f ca="1">MID(Names!G51,FIND(" ",Names!G51)+1,LEN(Names!G51)-FIND(" ", Names!G51))&amp;" "&amp;INDEX(PROJ_EXT_Name,RANDBETWEEN(2,12))</f>
        <v>Hardy Street Extension</v>
      </c>
      <c r="F104" s="1" t="s">
        <v>7011</v>
      </c>
      <c r="G104">
        <f t="shared" si="12"/>
        <v>40102</v>
      </c>
      <c r="H104">
        <f t="shared" si="16"/>
        <v>500001</v>
      </c>
      <c r="I104" t="s">
        <v>6687</v>
      </c>
      <c r="J104" t="s">
        <v>6510</v>
      </c>
      <c r="K104" t="str">
        <f>IFERROR(VLOOKUP(F104,Contacts.csv!C:D,2,FALSE),"")</f>
        <v/>
      </c>
      <c r="L104" t="str">
        <f t="shared" si="14"/>
        <v>rg:None</v>
      </c>
      <c r="M104" s="4" t="str">
        <f t="shared" si="15"/>
        <v>rg:[]</v>
      </c>
      <c r="N104" t="s">
        <v>6510</v>
      </c>
      <c r="O104" t="s">
        <v>6510</v>
      </c>
      <c r="P104" t="s">
        <v>6510</v>
      </c>
      <c r="Q104" t="str">
        <f t="shared" si="17"/>
        <v>200001</v>
      </c>
    </row>
    <row r="105" spans="1:17" x14ac:dyDescent="0.3">
      <c r="A105" t="s">
        <v>5386</v>
      </c>
      <c r="B105" t="s">
        <v>2951</v>
      </c>
      <c r="C105" t="str">
        <f>VLOOKUP(B105,ServiceAreas.csv!C:J,8,FALSE)</f>
        <v>200001</v>
      </c>
      <c r="D105" t="str">
        <f t="shared" si="13"/>
        <v>rg{'id': '200001'}'</v>
      </c>
      <c r="E105" s="1" t="str">
        <f ca="1">MID(Names!G52,FIND(" ",Names!G52)+1,LEN(Names!G52)-FIND(" ", Names!G52))&amp;" "&amp;INDEX(PROJ_EXT_Name,RANDBETWEEN(2,12))</f>
        <v>Hastings Street Upgrade</v>
      </c>
      <c r="F105" s="1" t="s">
        <v>7012</v>
      </c>
      <c r="G105">
        <f t="shared" si="12"/>
        <v>40103</v>
      </c>
      <c r="H105">
        <f t="shared" si="16"/>
        <v>500002</v>
      </c>
      <c r="I105" t="s">
        <v>6687</v>
      </c>
      <c r="J105" t="s">
        <v>6510</v>
      </c>
      <c r="K105" t="str">
        <f>IFERROR(VLOOKUP(F105,Contacts.csv!C:D,2,FALSE),"")</f>
        <v/>
      </c>
      <c r="L105" t="str">
        <f t="shared" si="14"/>
        <v>rg:None</v>
      </c>
      <c r="M105" s="4" t="str">
        <f t="shared" si="15"/>
        <v>rg:[]</v>
      </c>
      <c r="N105" t="s">
        <v>6510</v>
      </c>
      <c r="O105" t="s">
        <v>6510</v>
      </c>
      <c r="P105" t="s">
        <v>6510</v>
      </c>
      <c r="Q105" t="str">
        <f t="shared" si="17"/>
        <v>200001</v>
      </c>
    </row>
    <row r="106" spans="1:17" x14ac:dyDescent="0.3">
      <c r="A106" t="s">
        <v>5386</v>
      </c>
      <c r="B106" t="s">
        <v>2951</v>
      </c>
      <c r="C106" t="str">
        <f>VLOOKUP(B106,ServiceAreas.csv!C:J,8,FALSE)</f>
        <v>200001</v>
      </c>
      <c r="D106" t="str">
        <f t="shared" si="13"/>
        <v>rg{'id': '200001'}'</v>
      </c>
      <c r="E106" s="1" t="str">
        <f ca="1">MID(Names!G55,FIND(" ",Names!G55)+1,LEN(Names!G55)-FIND(" ", Names!G55))&amp;" "&amp;INDEX(PROJ_EXT_Name,RANDBETWEEN(2,12))</f>
        <v>Findlay Creek Road Expressway</v>
      </c>
      <c r="F106" s="1" t="s">
        <v>6935</v>
      </c>
      <c r="G106">
        <f t="shared" si="12"/>
        <v>40104</v>
      </c>
      <c r="H106">
        <f>IF(ISNUMBER(#REF!),#REF!+1,500000)</f>
        <v>500000</v>
      </c>
      <c r="I106" t="s">
        <v>6687</v>
      </c>
      <c r="J106" t="s">
        <v>6510</v>
      </c>
      <c r="K106" t="str">
        <f>IFERROR(VLOOKUP(F106,Contacts.csv!C:D,2,FALSE),"")</f>
        <v/>
      </c>
      <c r="L106" t="str">
        <f t="shared" si="14"/>
        <v>rg:None</v>
      </c>
      <c r="M106" s="4" t="str">
        <f t="shared" si="15"/>
        <v>rg:[]</v>
      </c>
      <c r="N106" t="s">
        <v>6510</v>
      </c>
      <c r="O106" t="s">
        <v>6510</v>
      </c>
      <c r="P106" t="s">
        <v>6510</v>
      </c>
      <c r="Q106" t="str">
        <f t="shared" si="17"/>
        <v>200001</v>
      </c>
    </row>
    <row r="107" spans="1:17" x14ac:dyDescent="0.3">
      <c r="A107" t="s">
        <v>5386</v>
      </c>
      <c r="B107" t="s">
        <v>2928</v>
      </c>
      <c r="C107" t="str">
        <f>VLOOKUP(B107,ServiceAreas.csv!C:J,8,FALSE)</f>
        <v>200000</v>
      </c>
      <c r="D107" t="str">
        <f t="shared" si="13"/>
        <v>rg{'id': '200000'}'</v>
      </c>
      <c r="E107" s="1" t="str">
        <f ca="1">MID(Names!G56,FIND(" ",Names!G56)+1,LEN(Names!G56)-FIND(" ", Names!G56))&amp;" "&amp;INDEX(PROJ_EXT_Name,RANDBETWEEN(2,12))</f>
        <v>Burdett Avenue Cloverleaf</v>
      </c>
      <c r="F107" s="1" t="s">
        <v>6905</v>
      </c>
      <c r="G107">
        <f t="shared" si="12"/>
        <v>40105</v>
      </c>
      <c r="H107">
        <f t="shared" si="16"/>
        <v>500001</v>
      </c>
      <c r="I107" t="s">
        <v>6687</v>
      </c>
      <c r="J107" t="s">
        <v>6510</v>
      </c>
      <c r="K107" t="str">
        <f>IFERROR(VLOOKUP(F107,Contacts.csv!C:D,2,FALSE),"")</f>
        <v/>
      </c>
      <c r="L107" t="str">
        <f t="shared" si="14"/>
        <v>rg:None</v>
      </c>
      <c r="M107" s="4" t="str">
        <f t="shared" si="15"/>
        <v>rg:[]</v>
      </c>
      <c r="N107" t="s">
        <v>6510</v>
      </c>
      <c r="O107" t="s">
        <v>6510</v>
      </c>
      <c r="P107" t="s">
        <v>6510</v>
      </c>
      <c r="Q107" t="str">
        <f t="shared" si="17"/>
        <v>200000</v>
      </c>
    </row>
    <row r="108" spans="1:17" x14ac:dyDescent="0.3">
      <c r="A108" t="s">
        <v>5386</v>
      </c>
      <c r="B108" t="s">
        <v>2928</v>
      </c>
      <c r="C108" t="str">
        <f>VLOOKUP(B108,ServiceAreas.csv!C:J,8,FALSE)</f>
        <v>200000</v>
      </c>
      <c r="D108" t="str">
        <f t="shared" si="13"/>
        <v>rg{'id': '200000'}'</v>
      </c>
      <c r="E108" s="1" t="str">
        <f ca="1">MID(Names!G60,FIND(" ",Names!G60)+1,LEN(Names!G60)-FIND(" ", Names!G60))&amp;" "&amp;INDEX(PROJ_EXT_Name,RANDBETWEEN(2,12))</f>
        <v>Tolmie St Cloverleaf</v>
      </c>
      <c r="F108" s="1" t="s">
        <v>7013</v>
      </c>
      <c r="G108">
        <f t="shared" si="12"/>
        <v>40106</v>
      </c>
      <c r="H108">
        <f>IF(ISNUMBER(#REF!),#REF!+1,500000)</f>
        <v>500000</v>
      </c>
      <c r="I108" t="s">
        <v>6687</v>
      </c>
      <c r="J108" t="s">
        <v>6510</v>
      </c>
      <c r="K108" t="str">
        <f>IFERROR(VLOOKUP(F108,Contacts.csv!C:D,2,FALSE),"")</f>
        <v/>
      </c>
      <c r="L108" t="str">
        <f t="shared" si="14"/>
        <v>rg:None</v>
      </c>
      <c r="M108" s="4" t="str">
        <f t="shared" si="15"/>
        <v>rg:[]</v>
      </c>
      <c r="N108" t="s">
        <v>6510</v>
      </c>
      <c r="O108" t="s">
        <v>6510</v>
      </c>
      <c r="P108" t="s">
        <v>6510</v>
      </c>
      <c r="Q108" t="str">
        <f t="shared" si="17"/>
        <v>200000</v>
      </c>
    </row>
    <row r="109" spans="1:17" x14ac:dyDescent="0.3">
      <c r="A109" t="s">
        <v>5386</v>
      </c>
      <c r="B109" t="s">
        <v>2928</v>
      </c>
      <c r="C109" t="str">
        <f>VLOOKUP(B109,ServiceAreas.csv!C:J,8,FALSE)</f>
        <v>200000</v>
      </c>
      <c r="D109" t="str">
        <f t="shared" ref="D109:D140" si="18">"rg{'id': '"&amp;C109&amp;"'}'"</f>
        <v>rg{'id': '200000'}'</v>
      </c>
      <c r="E109" s="1" t="str">
        <f ca="1">MID(Names!G61,FIND(" ",Names!G61)+1,LEN(Names!G61)-FIND(" ", Names!G61))&amp;" "&amp;INDEX(PROJ_EXT_Name,RANDBETWEEN(2,12))</f>
        <v>Quayside Dr Overpass</v>
      </c>
      <c r="F109" s="1" t="s">
        <v>7014</v>
      </c>
      <c r="G109">
        <f t="shared" si="12"/>
        <v>40107</v>
      </c>
      <c r="H109">
        <f t="shared" ref="H109:H139" si="19">IF(ISNUMBER(H108),H108+1,500000)</f>
        <v>500001</v>
      </c>
      <c r="I109" t="s">
        <v>6687</v>
      </c>
      <c r="J109" t="s">
        <v>6510</v>
      </c>
      <c r="K109" t="str">
        <f>IFERROR(VLOOKUP(F109,Contacts.csv!C:D,2,FALSE),"")</f>
        <v/>
      </c>
      <c r="L109" t="str">
        <f t="shared" si="14"/>
        <v>rg:None</v>
      </c>
      <c r="M109" s="4" t="str">
        <f t="shared" si="15"/>
        <v>rg:[]</v>
      </c>
      <c r="N109" t="s">
        <v>6510</v>
      </c>
      <c r="O109" t="s">
        <v>6510</v>
      </c>
      <c r="P109" t="s">
        <v>6510</v>
      </c>
      <c r="Q109" t="str">
        <f t="shared" si="17"/>
        <v>200000</v>
      </c>
    </row>
    <row r="110" spans="1:17" x14ac:dyDescent="0.3">
      <c r="A110" t="s">
        <v>5386</v>
      </c>
      <c r="B110" t="s">
        <v>2928</v>
      </c>
      <c r="C110" t="str">
        <f>VLOOKUP(B110,ServiceAreas.csv!C:J,8,FALSE)</f>
        <v>200000</v>
      </c>
      <c r="D110" t="str">
        <f t="shared" si="18"/>
        <v>rg{'id': '200000'}'</v>
      </c>
      <c r="E110" s="1" t="str">
        <f ca="1">MID(Names!G64,FIND(" ",Names!G64)+1,LEN(Names!G64)-FIND(" ", Names!G64))&amp;" "&amp;INDEX(PROJ_EXT_Name,RANDBETWEEN(2,12))</f>
        <v>Sixth Street Extension</v>
      </c>
      <c r="F110" s="1" t="s">
        <v>7015</v>
      </c>
      <c r="G110">
        <f t="shared" si="12"/>
        <v>40108</v>
      </c>
      <c r="H110">
        <f>IF(ISNUMBER(#REF!),#REF!+1,500000)</f>
        <v>500000</v>
      </c>
      <c r="I110" t="s">
        <v>6687</v>
      </c>
      <c r="J110" t="s">
        <v>6510</v>
      </c>
      <c r="K110" t="str">
        <f>IFERROR(VLOOKUP(F110,Contacts.csv!C:D,2,FALSE),"")</f>
        <v/>
      </c>
      <c r="L110" t="str">
        <f t="shared" si="14"/>
        <v>rg:None</v>
      </c>
      <c r="M110" s="4" t="str">
        <f t="shared" si="15"/>
        <v>rg:[]</v>
      </c>
      <c r="N110" t="s">
        <v>6510</v>
      </c>
      <c r="O110" t="s">
        <v>6510</v>
      </c>
      <c r="P110" t="s">
        <v>6510</v>
      </c>
      <c r="Q110" t="str">
        <f t="shared" si="17"/>
        <v>200000</v>
      </c>
    </row>
    <row r="111" spans="1:17" x14ac:dyDescent="0.3">
      <c r="A111" t="s">
        <v>5386</v>
      </c>
      <c r="B111" t="s">
        <v>2928</v>
      </c>
      <c r="C111" t="str">
        <f>VLOOKUP(B111,ServiceAreas.csv!C:J,8,FALSE)</f>
        <v>200000</v>
      </c>
      <c r="D111" t="str">
        <f t="shared" si="18"/>
        <v>rg{'id': '200000'}'</v>
      </c>
      <c r="E111" s="1" t="str">
        <f ca="1">MID(Names!G68,FIND(" ",Names!G68)+1,LEN(Names!G68)-FIND(" ", Names!G68))&amp;" "&amp;INDEX(PROJ_EXT_Name,RANDBETWEEN(2,12))</f>
        <v>James Street Expressway</v>
      </c>
      <c r="F111" s="1" t="s">
        <v>7016</v>
      </c>
      <c r="G111">
        <f t="shared" si="12"/>
        <v>40109</v>
      </c>
      <c r="H111">
        <f>IF(ISNUMBER(#REF!),#REF!+1,500000)</f>
        <v>500000</v>
      </c>
      <c r="I111" t="s">
        <v>6687</v>
      </c>
      <c r="J111" t="s">
        <v>6510</v>
      </c>
      <c r="K111" t="str">
        <f>IFERROR(VLOOKUP(F111,Contacts.csv!C:D,2,FALSE),"")</f>
        <v/>
      </c>
      <c r="L111" t="str">
        <f t="shared" si="14"/>
        <v>rg:None</v>
      </c>
      <c r="M111" s="4" t="str">
        <f t="shared" si="15"/>
        <v>rg:[]</v>
      </c>
      <c r="N111" t="s">
        <v>6510</v>
      </c>
      <c r="O111" t="s">
        <v>6510</v>
      </c>
      <c r="P111" t="s">
        <v>6510</v>
      </c>
      <c r="Q111" t="str">
        <f t="shared" si="17"/>
        <v>200000</v>
      </c>
    </row>
    <row r="112" spans="1:17" x14ac:dyDescent="0.3">
      <c r="A112" t="s">
        <v>5386</v>
      </c>
      <c r="B112" t="s">
        <v>2928</v>
      </c>
      <c r="C112" t="str">
        <f>VLOOKUP(B112,ServiceAreas.csv!C:J,8,FALSE)</f>
        <v>200000</v>
      </c>
      <c r="D112" t="str">
        <f t="shared" si="18"/>
        <v>rg{'id': '200000'}'</v>
      </c>
      <c r="E112" s="1" t="str">
        <f ca="1">MID(Names!G69,FIND(" ",Names!G69)+1,LEN(Names!G69)-FIND(" ", Names!G69))&amp;" "&amp;INDEX(PROJ_EXT_Name,RANDBETWEEN(2,12))</f>
        <v>Tolmie St Express Lane</v>
      </c>
      <c r="F112" s="1" t="s">
        <v>7017</v>
      </c>
      <c r="G112">
        <f t="shared" si="12"/>
        <v>40110</v>
      </c>
      <c r="H112">
        <f t="shared" si="19"/>
        <v>500001</v>
      </c>
      <c r="I112" t="s">
        <v>6687</v>
      </c>
      <c r="J112" t="s">
        <v>6510</v>
      </c>
      <c r="K112" t="str">
        <f>IFERROR(VLOOKUP(F112,Contacts.csv!C:D,2,FALSE),"")</f>
        <v/>
      </c>
      <c r="L112" t="str">
        <f t="shared" si="14"/>
        <v>rg:None</v>
      </c>
      <c r="M112" s="4" t="str">
        <f t="shared" si="15"/>
        <v>rg:[]</v>
      </c>
      <c r="N112" t="s">
        <v>6510</v>
      </c>
      <c r="O112" t="s">
        <v>6510</v>
      </c>
      <c r="P112" t="s">
        <v>6510</v>
      </c>
      <c r="Q112" t="str">
        <f t="shared" si="17"/>
        <v>200000</v>
      </c>
    </row>
    <row r="113" spans="1:17" x14ac:dyDescent="0.3">
      <c r="A113" t="s">
        <v>5386</v>
      </c>
      <c r="B113" t="s">
        <v>2928</v>
      </c>
      <c r="C113" t="str">
        <f>VLOOKUP(B113,ServiceAreas.csv!C:J,8,FALSE)</f>
        <v>200000</v>
      </c>
      <c r="D113" t="str">
        <f t="shared" si="18"/>
        <v>rg{'id': '200000'}'</v>
      </c>
      <c r="E113" s="1" t="str">
        <f ca="1">MID(Names!G72,FIND(" ",Names!G72)+1,LEN(Names!G72)-FIND(" ", Names!G72))&amp;" "&amp;INDEX(PROJ_EXT_Name,RANDBETWEEN(2,12))</f>
        <v>Coldstream Avenue Express Lane</v>
      </c>
      <c r="F113" s="1" t="s">
        <v>7018</v>
      </c>
      <c r="G113">
        <f t="shared" si="12"/>
        <v>40111</v>
      </c>
      <c r="H113">
        <f>IF(ISNUMBER(#REF!),#REF!+1,500000)</f>
        <v>500000</v>
      </c>
      <c r="I113" t="s">
        <v>6687</v>
      </c>
      <c r="J113" t="s">
        <v>6510</v>
      </c>
      <c r="K113" t="str">
        <f>IFERROR(VLOOKUP(F113,Contacts.csv!C:D,2,FALSE),"")</f>
        <v/>
      </c>
      <c r="L113" t="str">
        <f t="shared" ref="L113:L149" si="20">IF(ISNUMBER(K113),"rg:{'id':'" &amp; K113 &amp; "'}","rg:None")</f>
        <v>rg:None</v>
      </c>
      <c r="M113" s="4" t="str">
        <f t="shared" ref="M113:M149" si="21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 t="str">
        <f t="shared" si="17"/>
        <v>200000</v>
      </c>
    </row>
    <row r="114" spans="1:17" x14ac:dyDescent="0.3">
      <c r="A114" t="s">
        <v>5386</v>
      </c>
      <c r="B114" t="s">
        <v>2953</v>
      </c>
      <c r="C114" t="str">
        <f>VLOOKUP(B114,ServiceAreas.csv!C:J,8,FALSE)</f>
        <v>200004</v>
      </c>
      <c r="D114" t="str">
        <f t="shared" si="18"/>
        <v>rg{'id': '200004'}'</v>
      </c>
      <c r="E114" s="1" t="str">
        <f ca="1">MID(Names!G73,FIND(" ",Names!G73)+1,LEN(Names!G73)-FIND(" ", Names!G73))&amp;" "&amp;INDEX(PROJ_EXT_Name,RANDBETWEEN(2,12))</f>
        <v>Lake City Way Bypass</v>
      </c>
      <c r="F114" s="1" t="s">
        <v>7019</v>
      </c>
      <c r="G114">
        <f t="shared" si="12"/>
        <v>40112</v>
      </c>
      <c r="H114">
        <f t="shared" si="19"/>
        <v>500001</v>
      </c>
      <c r="I114" t="s">
        <v>6687</v>
      </c>
      <c r="J114" t="s">
        <v>6510</v>
      </c>
      <c r="K114" t="str">
        <f>IFERROR(VLOOKUP(F114,Contacts.csv!C:D,2,FALSE),"")</f>
        <v/>
      </c>
      <c r="L114" t="str">
        <f t="shared" si="20"/>
        <v>rg:None</v>
      </c>
      <c r="M114" s="4" t="str">
        <f t="shared" si="21"/>
        <v>rg:[]</v>
      </c>
      <c r="N114" t="s">
        <v>6510</v>
      </c>
      <c r="O114" t="s">
        <v>6510</v>
      </c>
      <c r="P114" t="s">
        <v>6510</v>
      </c>
      <c r="Q114" t="str">
        <f t="shared" si="17"/>
        <v>200004</v>
      </c>
    </row>
    <row r="115" spans="1:17" x14ac:dyDescent="0.3">
      <c r="A115" t="s">
        <v>5386</v>
      </c>
      <c r="B115" t="s">
        <v>2953</v>
      </c>
      <c r="C115" t="str">
        <f>VLOOKUP(B115,ServiceAreas.csv!C:J,8,FALSE)</f>
        <v>200004</v>
      </c>
      <c r="D115" t="str">
        <f t="shared" si="18"/>
        <v>rg{'id': '200004'}'</v>
      </c>
      <c r="E115" s="1" t="str">
        <f ca="1">MID(Names!G74,FIND(" ",Names!G74)+1,LEN(Names!G74)-FIND(" ", Names!G74))&amp;" "&amp;INDEX(PROJ_EXT_Name,RANDBETWEEN(2,12))</f>
        <v>Roger Street Building</v>
      </c>
      <c r="F115" s="1" t="s">
        <v>6898</v>
      </c>
      <c r="G115">
        <f t="shared" si="12"/>
        <v>40113</v>
      </c>
      <c r="H115">
        <f t="shared" si="19"/>
        <v>500002</v>
      </c>
      <c r="I115" t="s">
        <v>6687</v>
      </c>
      <c r="J115" t="s">
        <v>6510</v>
      </c>
      <c r="K115" t="str">
        <f>IFERROR(VLOOKUP(F115,Contacts.csv!C:D,2,FALSE),"")</f>
        <v/>
      </c>
      <c r="L115" t="str">
        <f t="shared" si="20"/>
        <v>rg:None</v>
      </c>
      <c r="M115" s="4" t="str">
        <f t="shared" si="21"/>
        <v>rg:[]</v>
      </c>
      <c r="N115" t="s">
        <v>6510</v>
      </c>
      <c r="O115" t="s">
        <v>6510</v>
      </c>
      <c r="P115" t="s">
        <v>6510</v>
      </c>
      <c r="Q115" t="str">
        <f t="shared" si="17"/>
        <v>200004</v>
      </c>
    </row>
    <row r="116" spans="1:17" x14ac:dyDescent="0.3">
      <c r="A116" t="s">
        <v>5386</v>
      </c>
      <c r="B116" t="s">
        <v>2953</v>
      </c>
      <c r="C116" t="str">
        <f>VLOOKUP(B116,ServiceAreas.csv!C:J,8,FALSE)</f>
        <v>200004</v>
      </c>
      <c r="D116" t="str">
        <f t="shared" si="18"/>
        <v>rg{'id': '200004'}'</v>
      </c>
      <c r="E116" s="1" t="str">
        <f ca="1">MID(Names!G75,FIND(" ",Names!G75)+1,LEN(Names!G75)-FIND(" ", Names!G75))&amp;" "&amp;INDEX(PROJ_EXT_Name,RANDBETWEEN(2,12))</f>
        <v>Essendene Avenue Building</v>
      </c>
      <c r="F116" s="1" t="s">
        <v>7020</v>
      </c>
      <c r="G116">
        <f t="shared" si="12"/>
        <v>40114</v>
      </c>
      <c r="H116">
        <f t="shared" si="19"/>
        <v>500003</v>
      </c>
      <c r="I116" t="s">
        <v>6687</v>
      </c>
      <c r="J116" t="s">
        <v>6510</v>
      </c>
      <c r="K116" t="str">
        <f>IFERROR(VLOOKUP(F116,Contacts.csv!C:D,2,FALSE),"")</f>
        <v/>
      </c>
      <c r="L116" t="str">
        <f t="shared" si="20"/>
        <v>rg:None</v>
      </c>
      <c r="M116" s="4" t="str">
        <f t="shared" si="21"/>
        <v>rg:[]</v>
      </c>
      <c r="N116" t="s">
        <v>6510</v>
      </c>
      <c r="O116" t="s">
        <v>6510</v>
      </c>
      <c r="P116" t="s">
        <v>6510</v>
      </c>
      <c r="Q116" t="str">
        <f t="shared" si="17"/>
        <v>200004</v>
      </c>
    </row>
    <row r="117" spans="1:17" x14ac:dyDescent="0.3">
      <c r="A117" t="s">
        <v>5386</v>
      </c>
      <c r="B117" t="s">
        <v>2953</v>
      </c>
      <c r="C117" t="str">
        <f>VLOOKUP(B117,ServiceAreas.csv!C:J,8,FALSE)</f>
        <v>200004</v>
      </c>
      <c r="D117" t="str">
        <f t="shared" si="18"/>
        <v>rg{'id': '200004'}'</v>
      </c>
      <c r="E117" s="1" t="str">
        <f ca="1">MID(Names!G76,FIND(" ",Names!G76)+1,LEN(Names!G76)-FIND(" ", Names!G76))&amp;" "&amp;INDEX(PROJ_EXT_Name,RANDBETWEEN(2,12))</f>
        <v>Blanshard Building</v>
      </c>
      <c r="F117" s="1" t="s">
        <v>6925</v>
      </c>
      <c r="G117">
        <f t="shared" si="12"/>
        <v>40115</v>
      </c>
      <c r="H117">
        <f t="shared" si="19"/>
        <v>500004</v>
      </c>
      <c r="I117" t="s">
        <v>6687</v>
      </c>
      <c r="J117" t="s">
        <v>6510</v>
      </c>
      <c r="K117" t="str">
        <f>IFERROR(VLOOKUP(F117,Contacts.csv!C:D,2,FALSE),"")</f>
        <v/>
      </c>
      <c r="L117" t="str">
        <f t="shared" si="20"/>
        <v>rg:None</v>
      </c>
      <c r="M117" s="4" t="str">
        <f t="shared" si="21"/>
        <v>rg:[]</v>
      </c>
      <c r="N117" t="s">
        <v>6510</v>
      </c>
      <c r="O117" t="s">
        <v>6510</v>
      </c>
      <c r="P117" t="s">
        <v>6510</v>
      </c>
      <c r="Q117" t="str">
        <f t="shared" si="17"/>
        <v>200004</v>
      </c>
    </row>
    <row r="118" spans="1:17" x14ac:dyDescent="0.3">
      <c r="A118" t="s">
        <v>5386</v>
      </c>
      <c r="B118" t="s">
        <v>2953</v>
      </c>
      <c r="C118" t="str">
        <f>VLOOKUP(B118,ServiceAreas.csv!C:J,8,FALSE)</f>
        <v>200004</v>
      </c>
      <c r="D118" t="str">
        <f t="shared" si="18"/>
        <v>rg{'id': '200004'}'</v>
      </c>
      <c r="E118" s="1" t="str">
        <f ca="1">MID(Names!G77,FIND(" ",Names!G77)+1,LEN(Names!G77)-FIND(" ", Names!G77))&amp;" "&amp;INDEX(PROJ_EXT_Name,RANDBETWEEN(2,12))</f>
        <v>Wallace Street Building</v>
      </c>
      <c r="F118" s="1" t="s">
        <v>6919</v>
      </c>
      <c r="G118">
        <f t="shared" si="12"/>
        <v>40116</v>
      </c>
      <c r="H118">
        <f t="shared" si="19"/>
        <v>500005</v>
      </c>
      <c r="I118" t="s">
        <v>6687</v>
      </c>
      <c r="J118" t="s">
        <v>6510</v>
      </c>
      <c r="K118" t="str">
        <f>IFERROR(VLOOKUP(F118,Contacts.csv!C:D,2,FALSE),"")</f>
        <v/>
      </c>
      <c r="L118" t="str">
        <f t="shared" si="20"/>
        <v>rg:None</v>
      </c>
      <c r="M118" s="4" t="str">
        <f t="shared" si="21"/>
        <v>rg:[]</v>
      </c>
      <c r="N118" t="s">
        <v>6510</v>
      </c>
      <c r="O118" t="s">
        <v>6510</v>
      </c>
      <c r="P118" t="s">
        <v>6510</v>
      </c>
      <c r="Q118" t="str">
        <f t="shared" si="17"/>
        <v>200004</v>
      </c>
    </row>
    <row r="119" spans="1:17" x14ac:dyDescent="0.3">
      <c r="A119" t="s">
        <v>5386</v>
      </c>
      <c r="B119" t="s">
        <v>2953</v>
      </c>
      <c r="C119" t="str">
        <f>VLOOKUP(B119,ServiceAreas.csv!C:J,8,FALSE)</f>
        <v>200004</v>
      </c>
      <c r="D119" t="str">
        <f t="shared" si="18"/>
        <v>rg{'id': '200004'}'</v>
      </c>
      <c r="E119" s="1" t="str">
        <f ca="1">MID(Names!G80,FIND(" ",Names!G80)+1,LEN(Names!G80)-FIND(" ", Names!G80))&amp;" "&amp;INDEX(PROJ_EXT_Name,RANDBETWEEN(2,12))</f>
        <v>Burdett Avenue Cloverleaf</v>
      </c>
      <c r="F119" s="1" t="s">
        <v>7021</v>
      </c>
      <c r="G119">
        <f t="shared" si="12"/>
        <v>40117</v>
      </c>
      <c r="H119">
        <f>IF(ISNUMBER(#REF!),#REF!+1,500000)</f>
        <v>500000</v>
      </c>
      <c r="I119" t="s">
        <v>6687</v>
      </c>
      <c r="J119" t="s">
        <v>6510</v>
      </c>
      <c r="K119" t="str">
        <f>IFERROR(VLOOKUP(F119,Contacts.csv!C:D,2,FALSE),"")</f>
        <v/>
      </c>
      <c r="L119" t="str">
        <f t="shared" si="20"/>
        <v>rg:None</v>
      </c>
      <c r="M119" s="4" t="str">
        <f t="shared" si="21"/>
        <v>rg:[]</v>
      </c>
      <c r="N119" t="s">
        <v>6510</v>
      </c>
      <c r="O119" t="s">
        <v>6510</v>
      </c>
      <c r="P119" t="s">
        <v>6510</v>
      </c>
      <c r="Q119" t="str">
        <f t="shared" si="17"/>
        <v>200004</v>
      </c>
    </row>
    <row r="120" spans="1:17" x14ac:dyDescent="0.3">
      <c r="A120" t="s">
        <v>5386</v>
      </c>
      <c r="B120" t="s">
        <v>2953</v>
      </c>
      <c r="C120" t="str">
        <f>VLOOKUP(B120,ServiceAreas.csv!C:J,8,FALSE)</f>
        <v>200004</v>
      </c>
      <c r="D120" t="str">
        <f t="shared" si="18"/>
        <v>rg{'id': '200004'}'</v>
      </c>
      <c r="E120" s="1" t="str">
        <f ca="1">MID(Names!G82,FIND(" ",Names!G82)+1,LEN(Names!G82)-FIND(" ", Names!G82))&amp;" "&amp;INDEX(PROJ_EXT_Name,RANDBETWEEN(2,12))</f>
        <v>Tchesinkut Lake Rd Upgrade</v>
      </c>
      <c r="F120" s="1" t="s">
        <v>7022</v>
      </c>
      <c r="G120">
        <f t="shared" si="12"/>
        <v>40118</v>
      </c>
      <c r="H120">
        <f>IF(ISNUMBER(#REF!),#REF!+1,500000)</f>
        <v>500000</v>
      </c>
      <c r="I120" t="s">
        <v>6687</v>
      </c>
      <c r="J120" t="s">
        <v>6510</v>
      </c>
      <c r="K120" t="str">
        <f>IFERROR(VLOOKUP(F120,Contacts.csv!C:D,2,FALSE),"")</f>
        <v/>
      </c>
      <c r="L120" t="str">
        <f t="shared" si="20"/>
        <v>rg:None</v>
      </c>
      <c r="M120" s="4" t="str">
        <f t="shared" si="21"/>
        <v>rg:[]</v>
      </c>
      <c r="N120" t="s">
        <v>6510</v>
      </c>
      <c r="O120" t="s">
        <v>6510</v>
      </c>
      <c r="P120" t="s">
        <v>6510</v>
      </c>
      <c r="Q120" t="str">
        <f t="shared" si="17"/>
        <v>200004</v>
      </c>
    </row>
    <row r="121" spans="1:17" x14ac:dyDescent="0.3">
      <c r="A121" t="s">
        <v>5386</v>
      </c>
      <c r="B121" t="s">
        <v>22</v>
      </c>
      <c r="C121" t="str">
        <f>VLOOKUP(B121,ServiceAreas.csv!C:J,8,FALSE)</f>
        <v>200003</v>
      </c>
      <c r="D121" t="str">
        <f t="shared" si="18"/>
        <v>rg{'id': '200003'}'</v>
      </c>
      <c r="E121" s="1" t="str">
        <f ca="1">MID(Names!G83,FIND(" ",Names!G83)+1,LEN(Names!G83)-FIND(" ", Names!G83))&amp;" "&amp;INDEX(PROJ_EXT_Name,RANDBETWEEN(2,12))</f>
        <v>Blind Bay Road Overpass</v>
      </c>
      <c r="F121" s="1" t="s">
        <v>6907</v>
      </c>
      <c r="G121">
        <f t="shared" si="12"/>
        <v>40119</v>
      </c>
      <c r="H121">
        <f t="shared" si="19"/>
        <v>500001</v>
      </c>
      <c r="I121" t="s">
        <v>6687</v>
      </c>
      <c r="J121" t="s">
        <v>6510</v>
      </c>
      <c r="K121" t="str">
        <f>IFERROR(VLOOKUP(F121,Contacts.csv!C:D,2,FALSE),"")</f>
        <v/>
      </c>
      <c r="L121" t="str">
        <f t="shared" si="20"/>
        <v>rg:None</v>
      </c>
      <c r="M121" s="4" t="str">
        <f t="shared" si="21"/>
        <v>rg:[]</v>
      </c>
      <c r="N121" t="s">
        <v>6510</v>
      </c>
      <c r="O121" t="s">
        <v>6510</v>
      </c>
      <c r="P121" t="s">
        <v>6510</v>
      </c>
      <c r="Q121" t="str">
        <f t="shared" si="17"/>
        <v>200003</v>
      </c>
    </row>
    <row r="122" spans="1:17" x14ac:dyDescent="0.3">
      <c r="A122" t="s">
        <v>5386</v>
      </c>
      <c r="B122" t="s">
        <v>22</v>
      </c>
      <c r="C122" t="str">
        <f>VLOOKUP(B122,ServiceAreas.csv!C:J,8,FALSE)</f>
        <v>200003</v>
      </c>
      <c r="D122" t="str">
        <f t="shared" si="18"/>
        <v>rg{'id': '200003'}'</v>
      </c>
      <c r="E122" s="1" t="str">
        <f ca="1">MID(Names!G90,FIND(" ",Names!G90)+1,LEN(Names!G90)-FIND(" ", Names!G90))&amp;" "&amp;INDEX(PROJ_EXT_Name,RANDBETWEEN(2,12))</f>
        <v>Tchesinkut Lake Rd Bridge Replacement</v>
      </c>
      <c r="F122" s="1" t="s">
        <v>7023</v>
      </c>
      <c r="G122">
        <f t="shared" si="12"/>
        <v>40120</v>
      </c>
      <c r="H122">
        <f>IF(ISNUMBER(#REF!),#REF!+1,500000)</f>
        <v>500000</v>
      </c>
      <c r="I122" t="s">
        <v>6687</v>
      </c>
      <c r="J122" t="s">
        <v>6510</v>
      </c>
      <c r="K122" t="str">
        <f>IFERROR(VLOOKUP(F122,Contacts.csv!C:D,2,FALSE),"")</f>
        <v/>
      </c>
      <c r="L122" t="str">
        <f t="shared" si="20"/>
        <v>rg:None</v>
      </c>
      <c r="M122" s="4" t="str">
        <f t="shared" si="21"/>
        <v>rg:[]</v>
      </c>
      <c r="N122" t="s">
        <v>6510</v>
      </c>
      <c r="O122" t="s">
        <v>6510</v>
      </c>
      <c r="P122" t="s">
        <v>6510</v>
      </c>
      <c r="Q122" t="str">
        <f t="shared" si="17"/>
        <v>200003</v>
      </c>
    </row>
    <row r="123" spans="1:17" x14ac:dyDescent="0.3">
      <c r="A123" t="s">
        <v>5386</v>
      </c>
      <c r="B123" t="s">
        <v>22</v>
      </c>
      <c r="C123" t="str">
        <f>VLOOKUP(B123,ServiceAreas.csv!C:J,8,FALSE)</f>
        <v>200003</v>
      </c>
      <c r="D123" t="str">
        <f t="shared" si="18"/>
        <v>rg{'id': '200003'}'</v>
      </c>
      <c r="E123" s="1" t="str">
        <f ca="1">MID(Names!G93,FIND(" ",Names!G93)+1,LEN(Names!G93)-FIND(" ", Names!G93))&amp;" "&amp;INDEX(PROJ_EXT_Name,RANDBETWEEN(2,12))</f>
        <v>Stum Lake Road Bridge Replacement</v>
      </c>
      <c r="F123" s="1" t="s">
        <v>7024</v>
      </c>
      <c r="G123">
        <f t="shared" si="12"/>
        <v>40121</v>
      </c>
      <c r="H123">
        <f>IF(ISNUMBER(#REF!),#REF!+1,500000)</f>
        <v>500000</v>
      </c>
      <c r="I123" t="s">
        <v>6687</v>
      </c>
      <c r="J123" t="s">
        <v>6510</v>
      </c>
      <c r="K123" t="str">
        <f>IFERROR(VLOOKUP(F123,Contacts.csv!C:D,2,FALSE),"")</f>
        <v/>
      </c>
      <c r="L123" t="str">
        <f t="shared" si="20"/>
        <v>rg:None</v>
      </c>
      <c r="M123" s="4" t="str">
        <f t="shared" si="21"/>
        <v>rg:[]</v>
      </c>
      <c r="N123" t="s">
        <v>6510</v>
      </c>
      <c r="O123" t="s">
        <v>6510</v>
      </c>
      <c r="P123" t="s">
        <v>6510</v>
      </c>
      <c r="Q123" t="str">
        <f t="shared" si="17"/>
        <v>200003</v>
      </c>
    </row>
    <row r="124" spans="1:17" x14ac:dyDescent="0.3">
      <c r="A124" t="s">
        <v>5386</v>
      </c>
      <c r="B124" t="s">
        <v>22</v>
      </c>
      <c r="C124" t="str">
        <f>VLOOKUP(B124,ServiceAreas.csv!C:J,8,FALSE)</f>
        <v>200003</v>
      </c>
      <c r="D124" t="str">
        <f t="shared" si="18"/>
        <v>rg{'id': '200003'}'</v>
      </c>
      <c r="E124" s="1" t="str">
        <f ca="1">MID(Names!G94,FIND(" ",Names!G94)+1,LEN(Names!G94)-FIND(" ", Names!G94))&amp;" "&amp;INDEX(PROJ_EXT_Name,RANDBETWEEN(2,12))</f>
        <v>Yoho Valley Road Upgrade</v>
      </c>
      <c r="F124" s="1" t="s">
        <v>7025</v>
      </c>
      <c r="G124">
        <f t="shared" si="12"/>
        <v>40122</v>
      </c>
      <c r="H124">
        <f t="shared" si="19"/>
        <v>500001</v>
      </c>
      <c r="I124" t="s">
        <v>6687</v>
      </c>
      <c r="J124" t="s">
        <v>6510</v>
      </c>
      <c r="K124" t="str">
        <f>IFERROR(VLOOKUP(F124,Contacts.csv!C:D,2,FALSE),"")</f>
        <v/>
      </c>
      <c r="L124" t="str">
        <f t="shared" si="20"/>
        <v>rg:None</v>
      </c>
      <c r="M124" s="4" t="str">
        <f t="shared" si="21"/>
        <v>rg:[]</v>
      </c>
      <c r="N124" t="s">
        <v>6510</v>
      </c>
      <c r="O124" t="s">
        <v>6510</v>
      </c>
      <c r="P124" t="s">
        <v>6510</v>
      </c>
      <c r="Q124" t="str">
        <f t="shared" si="17"/>
        <v>200003</v>
      </c>
    </row>
    <row r="125" spans="1:17" x14ac:dyDescent="0.3">
      <c r="A125" t="s">
        <v>5386</v>
      </c>
      <c r="B125" t="s">
        <v>22</v>
      </c>
      <c r="C125" t="str">
        <f>VLOOKUP(B125,ServiceAreas.csv!C:J,8,FALSE)</f>
        <v>200003</v>
      </c>
      <c r="D125" t="str">
        <f t="shared" si="18"/>
        <v>rg{'id': '200003'}'</v>
      </c>
      <c r="E125" s="1" t="str">
        <f ca="1">MID(Names!G95,FIND(" ",Names!G95)+1,LEN(Names!G95)-FIND(" ", Names!G95))&amp;" "&amp;INDEX(PROJ_EXT_Name,RANDBETWEEN(2,12))</f>
        <v>Keith Road Express Lane</v>
      </c>
      <c r="F125" s="1" t="s">
        <v>6923</v>
      </c>
      <c r="G125">
        <f t="shared" si="12"/>
        <v>40123</v>
      </c>
      <c r="H125">
        <f t="shared" si="19"/>
        <v>500002</v>
      </c>
      <c r="I125" t="s">
        <v>6687</v>
      </c>
      <c r="J125" t="s">
        <v>6510</v>
      </c>
      <c r="K125" t="str">
        <f>IFERROR(VLOOKUP(F125,Contacts.csv!C:D,2,FALSE),"")</f>
        <v/>
      </c>
      <c r="L125" t="str">
        <f t="shared" si="20"/>
        <v>rg:None</v>
      </c>
      <c r="M125" s="4" t="str">
        <f t="shared" si="21"/>
        <v>rg:[]</v>
      </c>
      <c r="N125" t="s">
        <v>6510</v>
      </c>
      <c r="O125" t="s">
        <v>6510</v>
      </c>
      <c r="P125" t="s">
        <v>6510</v>
      </c>
      <c r="Q125" t="str">
        <f t="shared" si="17"/>
        <v>200003</v>
      </c>
    </row>
    <row r="126" spans="1:17" x14ac:dyDescent="0.3">
      <c r="A126" t="s">
        <v>5386</v>
      </c>
      <c r="B126" t="s">
        <v>22</v>
      </c>
      <c r="C126" t="str">
        <f>VLOOKUP(B126,ServiceAreas.csv!C:J,8,FALSE)</f>
        <v>200003</v>
      </c>
      <c r="D126" t="str">
        <f t="shared" si="18"/>
        <v>rg{'id': '200003'}'</v>
      </c>
      <c r="E126" s="1" t="str">
        <f ca="1">MID(Names!G96,FIND(" ",Names!G96)+1,LEN(Names!G96)-FIND(" ", Names!G96))&amp;" "&amp;INDEX(PROJ_EXT_Name,RANDBETWEEN(2,12))</f>
        <v>Burdett Avenue Upgrade</v>
      </c>
      <c r="F126" s="1" t="s">
        <v>7026</v>
      </c>
      <c r="G126">
        <f t="shared" si="12"/>
        <v>40124</v>
      </c>
      <c r="H126">
        <f t="shared" si="19"/>
        <v>500003</v>
      </c>
      <c r="I126" t="s">
        <v>6687</v>
      </c>
      <c r="J126" t="s">
        <v>6510</v>
      </c>
      <c r="K126" t="str">
        <f>IFERROR(VLOOKUP(F126,Contacts.csv!C:D,2,FALSE),"")</f>
        <v/>
      </c>
      <c r="L126" t="str">
        <f t="shared" si="20"/>
        <v>rg:None</v>
      </c>
      <c r="M126" s="4" t="str">
        <f t="shared" si="21"/>
        <v>rg:[]</v>
      </c>
      <c r="N126" t="s">
        <v>6510</v>
      </c>
      <c r="O126" t="s">
        <v>6510</v>
      </c>
      <c r="P126" t="s">
        <v>6510</v>
      </c>
      <c r="Q126" t="str">
        <f t="shared" si="17"/>
        <v>200003</v>
      </c>
    </row>
    <row r="127" spans="1:17" x14ac:dyDescent="0.3">
      <c r="A127" t="s">
        <v>5386</v>
      </c>
      <c r="B127" t="s">
        <v>22</v>
      </c>
      <c r="C127" t="str">
        <f>VLOOKUP(B127,ServiceAreas.csv!C:J,8,FALSE)</f>
        <v>200003</v>
      </c>
      <c r="D127" t="str">
        <f t="shared" si="18"/>
        <v>rg{'id': '200003'}'</v>
      </c>
      <c r="E127" s="1" t="str">
        <f ca="1">MID(Names!G98,FIND(" ",Names!G98)+1,LEN(Names!G98)-FIND(" ", Names!G98))&amp;" "&amp;INDEX(PROJ_EXT_Name,RANDBETWEEN(2,12))</f>
        <v>Quayside Dr Cloverleaf</v>
      </c>
      <c r="F127" s="1" t="s">
        <v>7027</v>
      </c>
      <c r="G127">
        <f t="shared" si="12"/>
        <v>40125</v>
      </c>
      <c r="H127">
        <f>IF(ISNUMBER(#REF!),#REF!+1,500000)</f>
        <v>500000</v>
      </c>
      <c r="I127" t="s">
        <v>6687</v>
      </c>
      <c r="J127" t="s">
        <v>6510</v>
      </c>
      <c r="K127" t="str">
        <f>IFERROR(VLOOKUP(F127,Contacts.csv!C:D,2,FALSE),"")</f>
        <v/>
      </c>
      <c r="L127" t="str">
        <f t="shared" si="20"/>
        <v>rg:None</v>
      </c>
      <c r="M127" s="4" t="str">
        <f t="shared" si="21"/>
        <v>rg:[]</v>
      </c>
      <c r="N127" t="s">
        <v>6510</v>
      </c>
      <c r="O127" t="s">
        <v>6510</v>
      </c>
      <c r="P127" t="s">
        <v>6510</v>
      </c>
      <c r="Q127" t="str">
        <f t="shared" si="17"/>
        <v>200003</v>
      </c>
    </row>
    <row r="128" spans="1:17" x14ac:dyDescent="0.3">
      <c r="A128" t="s">
        <v>5386</v>
      </c>
      <c r="B128" t="s">
        <v>2952</v>
      </c>
      <c r="C128" t="str">
        <f>VLOOKUP(B128,ServiceAreas.csv!C:J,8,FALSE)</f>
        <v>200002</v>
      </c>
      <c r="D128" t="str">
        <f t="shared" si="18"/>
        <v>rg{'id': '200002'}'</v>
      </c>
      <c r="E128" s="1" t="str">
        <f ca="1">MID(Names!G99,FIND(" ",Names!G99)+1,LEN(Names!G99)-FIND(" ", Names!G99))&amp;" "&amp;INDEX(PROJ_EXT_Name,RANDBETWEEN(2,12))</f>
        <v>Jade St Expressway</v>
      </c>
      <c r="F128" s="1" t="s">
        <v>6930</v>
      </c>
      <c r="G128">
        <f t="shared" si="12"/>
        <v>40126</v>
      </c>
      <c r="H128">
        <f t="shared" si="19"/>
        <v>500001</v>
      </c>
      <c r="I128" t="s">
        <v>6687</v>
      </c>
      <c r="J128" t="s">
        <v>6510</v>
      </c>
      <c r="K128" t="str">
        <f>IFERROR(VLOOKUP(F128,Contacts.csv!C:D,2,FALSE),"")</f>
        <v/>
      </c>
      <c r="L128" t="str">
        <f t="shared" si="20"/>
        <v>rg:None</v>
      </c>
      <c r="M128" s="4" t="str">
        <f t="shared" si="21"/>
        <v>rg:[]</v>
      </c>
      <c r="N128" t="s">
        <v>6510</v>
      </c>
      <c r="O128" t="s">
        <v>6510</v>
      </c>
      <c r="P128" t="s">
        <v>6510</v>
      </c>
      <c r="Q128" t="str">
        <f t="shared" si="17"/>
        <v>200002</v>
      </c>
    </row>
    <row r="129" spans="1:17" x14ac:dyDescent="0.3">
      <c r="A129" t="s">
        <v>5386</v>
      </c>
      <c r="B129" t="s">
        <v>2952</v>
      </c>
      <c r="C129" t="str">
        <f>VLOOKUP(B129,ServiceAreas.csv!C:J,8,FALSE)</f>
        <v>200002</v>
      </c>
      <c r="D129" t="str">
        <f t="shared" si="18"/>
        <v>rg{'id': '200002'}'</v>
      </c>
      <c r="E129" s="1" t="str">
        <f ca="1">MID(Names!G100,FIND(" ",Names!G100)+1,LEN(Names!G100)-FIND(" ", Names!G100))&amp;" "&amp;INDEX(PROJ_EXT_Name,RANDBETWEEN(2,12))</f>
        <v>Robson St Express Lane</v>
      </c>
      <c r="F129" s="1" t="s">
        <v>7028</v>
      </c>
      <c r="G129">
        <f t="shared" si="12"/>
        <v>40127</v>
      </c>
      <c r="H129">
        <f t="shared" si="19"/>
        <v>500002</v>
      </c>
      <c r="I129" t="s">
        <v>6687</v>
      </c>
      <c r="J129" t="s">
        <v>6510</v>
      </c>
      <c r="K129" t="str">
        <f>IFERROR(VLOOKUP(F129,Contacts.csv!C:D,2,FALSE),"")</f>
        <v/>
      </c>
      <c r="L129" t="str">
        <f t="shared" si="20"/>
        <v>rg:None</v>
      </c>
      <c r="M129" s="4" t="str">
        <f t="shared" si="21"/>
        <v>rg:[]</v>
      </c>
      <c r="N129" t="s">
        <v>6510</v>
      </c>
      <c r="O129" t="s">
        <v>6510</v>
      </c>
      <c r="P129" t="s">
        <v>6510</v>
      </c>
      <c r="Q129" t="str">
        <f t="shared" si="17"/>
        <v>200002</v>
      </c>
    </row>
    <row r="130" spans="1:17" x14ac:dyDescent="0.3">
      <c r="A130" t="s">
        <v>5386</v>
      </c>
      <c r="B130" t="s">
        <v>2952</v>
      </c>
      <c r="C130" t="str">
        <f>VLOOKUP(B130,ServiceAreas.csv!C:J,8,FALSE)</f>
        <v>200002</v>
      </c>
      <c r="D130" t="str">
        <f t="shared" si="18"/>
        <v>rg{'id': '200002'}'</v>
      </c>
      <c r="E130" s="1" t="str">
        <f ca="1">MID(Names!G101,FIND(" ",Names!G101)+1,LEN(Names!G101)-FIND(" ", Names!G101))&amp;" "&amp;INDEX(PROJ_EXT_Name,RANDBETWEEN(2,12))</f>
        <v>Robson St Building</v>
      </c>
      <c r="F130" s="1" t="s">
        <v>7029</v>
      </c>
      <c r="G130">
        <f t="shared" si="12"/>
        <v>40128</v>
      </c>
      <c r="H130">
        <f t="shared" si="19"/>
        <v>500003</v>
      </c>
      <c r="I130" t="s">
        <v>6687</v>
      </c>
      <c r="J130" t="s">
        <v>6510</v>
      </c>
      <c r="K130" t="str">
        <f>IFERROR(VLOOKUP(F130,Contacts.csv!C:D,2,FALSE),"")</f>
        <v/>
      </c>
      <c r="L130" t="str">
        <f t="shared" si="20"/>
        <v>rg:None</v>
      </c>
      <c r="M130" s="4" t="str">
        <f t="shared" si="21"/>
        <v>rg:[]</v>
      </c>
      <c r="N130" t="s">
        <v>6510</v>
      </c>
      <c r="O130" t="s">
        <v>6510</v>
      </c>
      <c r="P130" t="s">
        <v>6510</v>
      </c>
      <c r="Q130" t="str">
        <f t="shared" ref="Q130:Q155" si="22">C130</f>
        <v>200002</v>
      </c>
    </row>
    <row r="131" spans="1:17" x14ac:dyDescent="0.3">
      <c r="A131" t="s">
        <v>5386</v>
      </c>
      <c r="B131" t="s">
        <v>2952</v>
      </c>
      <c r="C131" t="str">
        <f>VLOOKUP(B131,ServiceAreas.csv!C:J,8,FALSE)</f>
        <v>200002</v>
      </c>
      <c r="D131" t="str">
        <f t="shared" si="18"/>
        <v>rg{'id': '200002'}'</v>
      </c>
      <c r="E131" s="1" t="str">
        <f ca="1">MID(Names!G104,FIND(" ",Names!G104)+1,LEN(Names!G104)-FIND(" ", Names!G104))&amp;" "&amp;INDEX(PROJ_EXT_Name,RANDBETWEEN(2,12))</f>
        <v>Carlson Road Express Lane</v>
      </c>
      <c r="F131" s="1" t="s">
        <v>7030</v>
      </c>
      <c r="G131">
        <f t="shared" si="12"/>
        <v>40129</v>
      </c>
      <c r="H131">
        <f>IF(ISNUMBER(#REF!),#REF!+1,500000)</f>
        <v>500000</v>
      </c>
      <c r="I131" t="s">
        <v>6687</v>
      </c>
      <c r="J131" t="s">
        <v>6510</v>
      </c>
      <c r="K131" t="str">
        <f>IFERROR(VLOOKUP(F131,Contacts.csv!C:D,2,FALSE),"")</f>
        <v/>
      </c>
      <c r="L131" t="str">
        <f t="shared" si="20"/>
        <v>rg:None</v>
      </c>
      <c r="M131" s="4" t="str">
        <f t="shared" si="21"/>
        <v>rg:[]</v>
      </c>
      <c r="N131" t="s">
        <v>6510</v>
      </c>
      <c r="O131" t="s">
        <v>6510</v>
      </c>
      <c r="P131" t="s">
        <v>6510</v>
      </c>
      <c r="Q131" t="str">
        <f t="shared" si="22"/>
        <v>200002</v>
      </c>
    </row>
    <row r="132" spans="1:17" x14ac:dyDescent="0.3">
      <c r="A132" t="s">
        <v>5386</v>
      </c>
      <c r="B132" t="s">
        <v>2952</v>
      </c>
      <c r="C132" t="str">
        <f>VLOOKUP(B132,ServiceAreas.csv!C:J,8,FALSE)</f>
        <v>200002</v>
      </c>
      <c r="D132" t="str">
        <f t="shared" si="18"/>
        <v>rg{'id': '200002'}'</v>
      </c>
      <c r="E132" s="1" t="str">
        <f ca="1">MID(Names!G107,FIND(" ",Names!G107)+1,LEN(Names!G107)-FIND(" ", Names!G107))&amp;" "&amp;INDEX(PROJ_EXT_Name,RANDBETWEEN(2,12))</f>
        <v>McGill Road Upgrade</v>
      </c>
      <c r="F132" s="1" t="s">
        <v>7031</v>
      </c>
      <c r="G132">
        <f t="shared" ref="G132:G155" si="23">G131+1</f>
        <v>40130</v>
      </c>
      <c r="H132">
        <f>IF(ISNUMBER(#REF!),#REF!+1,500000)</f>
        <v>500000</v>
      </c>
      <c r="I132" t="s">
        <v>6687</v>
      </c>
      <c r="J132" t="s">
        <v>6510</v>
      </c>
      <c r="K132" t="str">
        <f>IFERROR(VLOOKUP(F132,Contacts.csv!C:D,2,FALSE),"")</f>
        <v/>
      </c>
      <c r="L132" t="str">
        <f t="shared" si="20"/>
        <v>rg:None</v>
      </c>
      <c r="M132" s="4" t="str">
        <f t="shared" si="21"/>
        <v>rg:[]</v>
      </c>
      <c r="N132" t="s">
        <v>6510</v>
      </c>
      <c r="O132" t="s">
        <v>6510</v>
      </c>
      <c r="P132" t="s">
        <v>6510</v>
      </c>
      <c r="Q132" t="str">
        <f t="shared" si="22"/>
        <v>200002</v>
      </c>
    </row>
    <row r="133" spans="1:17" x14ac:dyDescent="0.3">
      <c r="A133" t="s">
        <v>5386</v>
      </c>
      <c r="B133" t="s">
        <v>2952</v>
      </c>
      <c r="C133" t="str">
        <f>VLOOKUP(B133,ServiceAreas.csv!C:J,8,FALSE)</f>
        <v>200002</v>
      </c>
      <c r="D133" t="str">
        <f t="shared" si="18"/>
        <v>rg{'id': '200002'}'</v>
      </c>
      <c r="E133" s="1" t="str">
        <f ca="1">MID(Names!G108,FIND(" ",Names!G108)+1,LEN(Names!G108)-FIND(" ", Names!G108))&amp;" "&amp;INDEX(PROJ_EXT_Name,RANDBETWEEN(2,12))</f>
        <v>Russell Avenue Extension</v>
      </c>
      <c r="F133" s="1" t="s">
        <v>7032</v>
      </c>
      <c r="G133">
        <f t="shared" si="23"/>
        <v>40131</v>
      </c>
      <c r="H133">
        <f t="shared" si="19"/>
        <v>500001</v>
      </c>
      <c r="I133" t="s">
        <v>6687</v>
      </c>
      <c r="J133" t="s">
        <v>6510</v>
      </c>
      <c r="K133" t="str">
        <f>IFERROR(VLOOKUP(F133,Contacts.csv!C:D,2,FALSE),"")</f>
        <v/>
      </c>
      <c r="L133" t="str">
        <f t="shared" si="20"/>
        <v>rg:None</v>
      </c>
      <c r="M133" s="4" t="str">
        <f t="shared" si="21"/>
        <v>rg:[]</v>
      </c>
      <c r="N133" t="s">
        <v>6510</v>
      </c>
      <c r="O133" t="s">
        <v>6510</v>
      </c>
      <c r="P133" t="s">
        <v>6510</v>
      </c>
      <c r="Q133" t="str">
        <f t="shared" si="22"/>
        <v>200002</v>
      </c>
    </row>
    <row r="134" spans="1:17" x14ac:dyDescent="0.3">
      <c r="A134" t="s">
        <v>5386</v>
      </c>
      <c r="B134" t="s">
        <v>2952</v>
      </c>
      <c r="C134" t="str">
        <f>VLOOKUP(B134,ServiceAreas.csv!C:J,8,FALSE)</f>
        <v>200002</v>
      </c>
      <c r="D134" t="str">
        <f t="shared" si="18"/>
        <v>rg{'id': '200002'}'</v>
      </c>
      <c r="E134" s="1" t="str">
        <f ca="1">MID(Names!G110,FIND(" ",Names!G110)+1,LEN(Names!G110)-FIND(" ", Names!G110))&amp;" "&amp;INDEX(PROJ_EXT_Name,RANDBETWEEN(2,12))</f>
        <v>Findlay Creek Road Upgrade</v>
      </c>
      <c r="F134" s="1" t="s">
        <v>7033</v>
      </c>
      <c r="G134">
        <f t="shared" si="23"/>
        <v>40132</v>
      </c>
      <c r="H134">
        <f>IF(ISNUMBER(#REF!),#REF!+1,500000)</f>
        <v>500000</v>
      </c>
      <c r="I134" t="s">
        <v>6687</v>
      </c>
      <c r="J134" t="s">
        <v>6510</v>
      </c>
      <c r="K134" t="str">
        <f>IFERROR(VLOOKUP(F134,Contacts.csv!C:D,2,FALSE),"")</f>
        <v/>
      </c>
      <c r="L134" t="str">
        <f t="shared" si="20"/>
        <v>rg:None</v>
      </c>
      <c r="M134" s="4" t="str">
        <f t="shared" si="21"/>
        <v>rg:[]</v>
      </c>
      <c r="N134" t="s">
        <v>6510</v>
      </c>
      <c r="O134" t="s">
        <v>6510</v>
      </c>
      <c r="P134" t="s">
        <v>6510</v>
      </c>
      <c r="Q134" t="str">
        <f t="shared" si="22"/>
        <v>200002</v>
      </c>
    </row>
    <row r="135" spans="1:17" x14ac:dyDescent="0.3">
      <c r="A135" t="s">
        <v>5386</v>
      </c>
      <c r="B135" t="s">
        <v>2956</v>
      </c>
      <c r="C135" t="str">
        <f>VLOOKUP(B135,ServiceAreas.csv!C:J,8,FALSE)</f>
        <v>200007</v>
      </c>
      <c r="D135" t="str">
        <f t="shared" si="18"/>
        <v>rg{'id': '200007'}'</v>
      </c>
      <c r="E135" s="1" t="str">
        <f ca="1">MID(Names!G117,FIND(" ",Names!G117)+1,LEN(Names!G117)-FIND(" ", Names!G117))&amp;" "&amp;INDEX(PROJ_EXT_Name,RANDBETWEEN(2,12))</f>
        <v>Brew Creek Rd Cloverleaf</v>
      </c>
      <c r="F135" s="1" t="s">
        <v>7034</v>
      </c>
      <c r="G135">
        <f t="shared" si="23"/>
        <v>40133</v>
      </c>
      <c r="H135">
        <f>IF(ISNUMBER(#REF!),#REF!+1,500000)</f>
        <v>500000</v>
      </c>
      <c r="I135" t="s">
        <v>6687</v>
      </c>
      <c r="J135" t="s">
        <v>6510</v>
      </c>
      <c r="K135" t="str">
        <f>IFERROR(VLOOKUP(F135,Contacts.csv!C:D,2,FALSE),"")</f>
        <v/>
      </c>
      <c r="L135" t="str">
        <f t="shared" si="20"/>
        <v>rg:None</v>
      </c>
      <c r="M135" s="4" t="str">
        <f t="shared" si="21"/>
        <v>rg:[]</v>
      </c>
      <c r="N135" t="s">
        <v>6510</v>
      </c>
      <c r="O135" t="s">
        <v>6510</v>
      </c>
      <c r="P135" t="s">
        <v>6510</v>
      </c>
      <c r="Q135" t="str">
        <f t="shared" si="22"/>
        <v>200007</v>
      </c>
    </row>
    <row r="136" spans="1:17" x14ac:dyDescent="0.3">
      <c r="A136" t="s">
        <v>5386</v>
      </c>
      <c r="B136" t="s">
        <v>2956</v>
      </c>
      <c r="C136" t="str">
        <f>VLOOKUP(B136,ServiceAreas.csv!C:J,8,FALSE)</f>
        <v>200007</v>
      </c>
      <c r="D136" t="str">
        <f t="shared" si="18"/>
        <v>rg{'id': '200007'}'</v>
      </c>
      <c r="E136" s="1" t="str">
        <f ca="1">MID(Names!G118,FIND(" ",Names!G118)+1,LEN(Names!G118)-FIND(" ", Names!G118))&amp;" "&amp;INDEX(PROJ_EXT_Name,RANDBETWEEN(2,12))</f>
        <v>Roger Street Cloverleaf</v>
      </c>
      <c r="F136" s="1" t="s">
        <v>6895</v>
      </c>
      <c r="G136">
        <f t="shared" si="23"/>
        <v>40134</v>
      </c>
      <c r="H136">
        <f t="shared" si="19"/>
        <v>500001</v>
      </c>
      <c r="I136" t="s">
        <v>6687</v>
      </c>
      <c r="J136" t="s">
        <v>6510</v>
      </c>
      <c r="K136" t="str">
        <f>IFERROR(VLOOKUP(F136,Contacts.csv!C:D,2,FALSE),"")</f>
        <v/>
      </c>
      <c r="L136" t="str">
        <f t="shared" si="20"/>
        <v>rg:None</v>
      </c>
      <c r="M136" s="4" t="str">
        <f t="shared" si="21"/>
        <v>rg:[]</v>
      </c>
      <c r="N136" t="s">
        <v>6510</v>
      </c>
      <c r="O136" t="s">
        <v>6510</v>
      </c>
      <c r="P136" t="s">
        <v>6510</v>
      </c>
      <c r="Q136" t="str">
        <f t="shared" si="22"/>
        <v>200007</v>
      </c>
    </row>
    <row r="137" spans="1:17" x14ac:dyDescent="0.3">
      <c r="A137" t="s">
        <v>5386</v>
      </c>
      <c r="B137" t="s">
        <v>2956</v>
      </c>
      <c r="C137" t="str">
        <f>VLOOKUP(B137,ServiceAreas.csv!C:J,8,FALSE)</f>
        <v>200007</v>
      </c>
      <c r="D137" t="str">
        <f t="shared" si="18"/>
        <v>rg{'id': '200007'}'</v>
      </c>
      <c r="E137" s="1" t="str">
        <f ca="1">MID(Names!G119,FIND(" ",Names!G119)+1,LEN(Names!G119)-FIND(" ", Names!G119))&amp;" "&amp;INDEX(PROJ_EXT_Name,RANDBETWEEN(2,12))</f>
        <v>Quayside Dr Extension</v>
      </c>
      <c r="F137" s="1" t="s">
        <v>7035</v>
      </c>
      <c r="G137">
        <f t="shared" si="23"/>
        <v>40135</v>
      </c>
      <c r="H137">
        <f t="shared" si="19"/>
        <v>500002</v>
      </c>
      <c r="I137" t="s">
        <v>6687</v>
      </c>
      <c r="J137" t="s">
        <v>6510</v>
      </c>
      <c r="K137" t="str">
        <f>IFERROR(VLOOKUP(F137,Contacts.csv!C:D,2,FALSE),"")</f>
        <v/>
      </c>
      <c r="L137" t="str">
        <f t="shared" si="20"/>
        <v>rg:None</v>
      </c>
      <c r="M137" s="4" t="str">
        <f t="shared" si="21"/>
        <v>rg:[]</v>
      </c>
      <c r="N137" t="s">
        <v>6510</v>
      </c>
      <c r="O137" t="s">
        <v>6510</v>
      </c>
      <c r="P137" t="s">
        <v>6510</v>
      </c>
      <c r="Q137" t="str">
        <f t="shared" si="22"/>
        <v>200007</v>
      </c>
    </row>
    <row r="138" spans="1:17" x14ac:dyDescent="0.3">
      <c r="A138" t="s">
        <v>5386</v>
      </c>
      <c r="B138" t="s">
        <v>2956</v>
      </c>
      <c r="C138" t="str">
        <f>VLOOKUP(B138,ServiceAreas.csv!C:J,8,FALSE)</f>
        <v>200007</v>
      </c>
      <c r="D138" t="str">
        <f t="shared" si="18"/>
        <v>rg{'id': '200007'}'</v>
      </c>
      <c r="E138" s="1" t="str">
        <f ca="1">MID(Names!G120,FIND(" ",Names!G120)+1,LEN(Names!G120)-FIND(" ", Names!G120))&amp;" "&amp;INDEX(PROJ_EXT_Name,RANDBETWEEN(2,12))</f>
        <v>Haaglund Rd Cloverleaf</v>
      </c>
      <c r="F138" s="1" t="s">
        <v>6933</v>
      </c>
      <c r="G138">
        <f t="shared" si="23"/>
        <v>40136</v>
      </c>
      <c r="H138">
        <f t="shared" si="19"/>
        <v>500003</v>
      </c>
      <c r="I138" t="s">
        <v>6687</v>
      </c>
      <c r="J138" t="s">
        <v>6510</v>
      </c>
      <c r="K138" t="str">
        <f>IFERROR(VLOOKUP(F138,Contacts.csv!C:D,2,FALSE),"")</f>
        <v/>
      </c>
      <c r="L138" t="str">
        <f t="shared" si="20"/>
        <v>rg:None</v>
      </c>
      <c r="M138" s="4" t="str">
        <f t="shared" si="21"/>
        <v>rg:[]</v>
      </c>
      <c r="N138" t="s">
        <v>6510</v>
      </c>
      <c r="O138" t="s">
        <v>6510</v>
      </c>
      <c r="P138" t="s">
        <v>6510</v>
      </c>
      <c r="Q138" t="str">
        <f t="shared" si="22"/>
        <v>200007</v>
      </c>
    </row>
    <row r="139" spans="1:17" x14ac:dyDescent="0.3">
      <c r="A139" t="s">
        <v>5386</v>
      </c>
      <c r="B139" t="s">
        <v>2956</v>
      </c>
      <c r="C139" t="str">
        <f>VLOOKUP(B139,ServiceAreas.csv!C:J,8,FALSE)</f>
        <v>200007</v>
      </c>
      <c r="D139" t="str">
        <f t="shared" si="18"/>
        <v>rg{'id': '200007'}'</v>
      </c>
      <c r="E139" s="1" t="str">
        <f ca="1">MID(Names!G121,FIND(" ",Names!G121)+1,LEN(Names!G121)-FIND(" ", Names!G121))&amp;" "&amp;INDEX(PROJ_EXT_Name,RANDBETWEEN(2,12))</f>
        <v>Tchesinkut Lake Rd Bridge</v>
      </c>
      <c r="F139" s="1" t="s">
        <v>7036</v>
      </c>
      <c r="G139">
        <f t="shared" si="23"/>
        <v>40137</v>
      </c>
      <c r="H139">
        <f t="shared" si="19"/>
        <v>500004</v>
      </c>
      <c r="I139" t="s">
        <v>6687</v>
      </c>
      <c r="J139" t="s">
        <v>6510</v>
      </c>
      <c r="K139" t="str">
        <f>IFERROR(VLOOKUP(F139,Contacts.csv!C:D,2,FALSE),"")</f>
        <v/>
      </c>
      <c r="L139" t="str">
        <f t="shared" si="20"/>
        <v>rg:None</v>
      </c>
      <c r="M139" s="4" t="str">
        <f t="shared" si="21"/>
        <v>rg:[]</v>
      </c>
      <c r="N139" t="s">
        <v>6510</v>
      </c>
      <c r="O139" t="s">
        <v>6510</v>
      </c>
      <c r="P139" t="s">
        <v>6510</v>
      </c>
      <c r="Q139" t="str">
        <f t="shared" si="22"/>
        <v>200007</v>
      </c>
    </row>
    <row r="140" spans="1:17" x14ac:dyDescent="0.3">
      <c r="A140" t="s">
        <v>5386</v>
      </c>
      <c r="B140" t="s">
        <v>2956</v>
      </c>
      <c r="C140" t="str">
        <f>VLOOKUP(B140,ServiceAreas.csv!C:J,8,FALSE)</f>
        <v>200007</v>
      </c>
      <c r="D140" t="str">
        <f t="shared" si="18"/>
        <v>rg{'id': '200007'}'</v>
      </c>
      <c r="E140" s="1" t="str">
        <f ca="1">MID(Names!G124,FIND(" ",Names!G124)+1,LEN(Names!G124)-FIND(" ", Names!G124))&amp;" "&amp;INDEX(PROJ_EXT_Name,RANDBETWEEN(2,12))</f>
        <v>Stum Lake Road Bridge Replacement</v>
      </c>
      <c r="F140" s="1" t="s">
        <v>7037</v>
      </c>
      <c r="G140">
        <f t="shared" si="23"/>
        <v>40138</v>
      </c>
      <c r="H140">
        <f>IF(ISNUMBER(#REF!),#REF!+1,500000)</f>
        <v>500000</v>
      </c>
      <c r="I140" t="s">
        <v>6687</v>
      </c>
      <c r="J140" t="s">
        <v>6510</v>
      </c>
      <c r="K140" t="str">
        <f>IFERROR(VLOOKUP(F140,Contacts.csv!C:D,2,FALSE),"")</f>
        <v/>
      </c>
      <c r="L140" t="str">
        <f t="shared" si="20"/>
        <v>rg:None</v>
      </c>
      <c r="M140" s="4" t="str">
        <f t="shared" si="21"/>
        <v>rg:[]</v>
      </c>
      <c r="N140" t="s">
        <v>6510</v>
      </c>
      <c r="O140" t="s">
        <v>6510</v>
      </c>
      <c r="P140" t="s">
        <v>6510</v>
      </c>
      <c r="Q140" t="str">
        <f t="shared" si="22"/>
        <v>200007</v>
      </c>
    </row>
    <row r="141" spans="1:17" x14ac:dyDescent="0.3">
      <c r="A141" t="s">
        <v>5386</v>
      </c>
      <c r="B141" t="s">
        <v>2956</v>
      </c>
      <c r="C141" t="str">
        <f>VLOOKUP(B141,ServiceAreas.csv!C:J,8,FALSE)</f>
        <v>200007</v>
      </c>
      <c r="D141" t="str">
        <f t="shared" ref="D141:D155" si="24">"rg{'id': '"&amp;C141&amp;"'}'"</f>
        <v>rg{'id': '200007'}'</v>
      </c>
      <c r="E141" s="1" t="str">
        <f ca="1">MID(Names!G126,FIND(" ",Names!G126)+1,LEN(Names!G126)-FIND(" ", Names!G126))&amp;" "&amp;INDEX(PROJ_EXT_Name,RANDBETWEEN(2,12))</f>
        <v>Shaughnessy St Bridge Replacement</v>
      </c>
      <c r="F141" s="1" t="s">
        <v>7038</v>
      </c>
      <c r="G141">
        <f t="shared" si="23"/>
        <v>40139</v>
      </c>
      <c r="H141">
        <f>IF(ISNUMBER(#REF!),#REF!+1,500000)</f>
        <v>500000</v>
      </c>
      <c r="I141" t="s">
        <v>6687</v>
      </c>
      <c r="J141" t="s">
        <v>6510</v>
      </c>
      <c r="K141" t="str">
        <f>IFERROR(VLOOKUP(F141,Contacts.csv!C:D,2,FALSE),"")</f>
        <v/>
      </c>
      <c r="L141" t="str">
        <f t="shared" si="20"/>
        <v>rg:None</v>
      </c>
      <c r="M141" s="4" t="str">
        <f t="shared" si="21"/>
        <v>rg:[]</v>
      </c>
      <c r="N141" t="s">
        <v>6510</v>
      </c>
      <c r="O141" t="s">
        <v>6510</v>
      </c>
      <c r="P141" t="s">
        <v>6510</v>
      </c>
      <c r="Q141" t="str">
        <f t="shared" si="22"/>
        <v>200007</v>
      </c>
    </row>
    <row r="142" spans="1:17" x14ac:dyDescent="0.3">
      <c r="A142" t="s">
        <v>5386</v>
      </c>
      <c r="B142" t="s">
        <v>2954</v>
      </c>
      <c r="C142" t="str">
        <f>VLOOKUP(B142,ServiceAreas.csv!C:J,8,FALSE)</f>
        <v>200005</v>
      </c>
      <c r="D142" t="str">
        <f t="shared" si="24"/>
        <v>rg{'id': '200005'}'</v>
      </c>
      <c r="E142" s="1" t="str">
        <f ca="1">MID(Names!G128,FIND(" ",Names!G128)+1,LEN(Names!G128)-FIND(" ", Names!G128))&amp;" "&amp;INDEX(PROJ_EXT_Name,RANDBETWEEN(2,12))</f>
        <v>Shaughnessy St Express Lane</v>
      </c>
      <c r="F142" s="1" t="s">
        <v>6926</v>
      </c>
      <c r="G142">
        <f t="shared" si="23"/>
        <v>40140</v>
      </c>
      <c r="H142">
        <f>IF(ISNUMBER(#REF!),#REF!+1,500000)</f>
        <v>500000</v>
      </c>
      <c r="I142" t="s">
        <v>6687</v>
      </c>
      <c r="J142" t="s">
        <v>6510</v>
      </c>
      <c r="K142" t="str">
        <f>IFERROR(VLOOKUP(F142,Contacts.csv!C:D,2,FALSE),"")</f>
        <v/>
      </c>
      <c r="L142" t="str">
        <f t="shared" si="20"/>
        <v>rg:None</v>
      </c>
      <c r="M142" s="4" t="str">
        <f t="shared" si="21"/>
        <v>rg:[]</v>
      </c>
      <c r="N142" t="s">
        <v>6510</v>
      </c>
      <c r="O142" t="s">
        <v>6510</v>
      </c>
      <c r="P142" t="s">
        <v>6510</v>
      </c>
      <c r="Q142" t="str">
        <f t="shared" si="22"/>
        <v>200005</v>
      </c>
    </row>
    <row r="143" spans="1:17" x14ac:dyDescent="0.3">
      <c r="A143" t="s">
        <v>5386</v>
      </c>
      <c r="B143" t="s">
        <v>2954</v>
      </c>
      <c r="C143" t="str">
        <f>VLOOKUP(B143,ServiceAreas.csv!C:J,8,FALSE)</f>
        <v>200005</v>
      </c>
      <c r="D143" t="str">
        <f t="shared" si="24"/>
        <v>rg{'id': '200005'}'</v>
      </c>
      <c r="E143" s="1" t="str">
        <f ca="1">MID(Names!G129,FIND(" ",Names!G129)+1,LEN(Names!G129)-FIND(" ", Names!G129))&amp;" "&amp;INDEX(PROJ_EXT_Name,RANDBETWEEN(2,12))</f>
        <v>Cordova Street Building</v>
      </c>
      <c r="F143" s="1" t="s">
        <v>7039</v>
      </c>
      <c r="G143">
        <f t="shared" si="23"/>
        <v>40141</v>
      </c>
      <c r="H143">
        <f t="shared" ref="H143:H153" si="25">IF(ISNUMBER(H142),H142+1,500000)</f>
        <v>500001</v>
      </c>
      <c r="I143" t="s">
        <v>6687</v>
      </c>
      <c r="J143" t="s">
        <v>6510</v>
      </c>
      <c r="K143" t="str">
        <f>IFERROR(VLOOKUP(F143,Contacts.csv!C:D,2,FALSE),"")</f>
        <v/>
      </c>
      <c r="L143" t="str">
        <f t="shared" si="20"/>
        <v>rg:None</v>
      </c>
      <c r="M143" s="4" t="str">
        <f t="shared" si="21"/>
        <v>rg:[]</v>
      </c>
      <c r="N143" t="s">
        <v>6510</v>
      </c>
      <c r="O143" t="s">
        <v>6510</v>
      </c>
      <c r="P143" t="s">
        <v>6510</v>
      </c>
      <c r="Q143" t="str">
        <f t="shared" si="22"/>
        <v>200005</v>
      </c>
    </row>
    <row r="144" spans="1:17" x14ac:dyDescent="0.3">
      <c r="A144" t="s">
        <v>5386</v>
      </c>
      <c r="B144" t="s">
        <v>2954</v>
      </c>
      <c r="C144" t="str">
        <f>VLOOKUP(B144,ServiceAreas.csv!C:J,8,FALSE)</f>
        <v>200005</v>
      </c>
      <c r="D144" t="str">
        <f t="shared" si="24"/>
        <v>rg{'id': '200005'}'</v>
      </c>
      <c r="E144" s="1" t="str">
        <f ca="1">MID(Names!G130,FIND(" ",Names!G130)+1,LEN(Names!G130)-FIND(" ", Names!G130))&amp;" "&amp;INDEX(PROJ_EXT_Name,RANDBETWEEN(2,12))</f>
        <v>Mesa Vista Drive HOV Lane</v>
      </c>
      <c r="F144" s="1" t="s">
        <v>7040</v>
      </c>
      <c r="G144">
        <f t="shared" si="23"/>
        <v>40142</v>
      </c>
      <c r="H144">
        <f t="shared" si="25"/>
        <v>500002</v>
      </c>
      <c r="I144" t="s">
        <v>6687</v>
      </c>
      <c r="J144" t="s">
        <v>6510</v>
      </c>
      <c r="K144" t="str">
        <f>IFERROR(VLOOKUP(F144,Contacts.csv!C:D,2,FALSE),"")</f>
        <v/>
      </c>
      <c r="L144" t="str">
        <f t="shared" si="20"/>
        <v>rg:None</v>
      </c>
      <c r="M144" s="4" t="str">
        <f t="shared" si="21"/>
        <v>rg:[]</v>
      </c>
      <c r="N144" t="s">
        <v>6510</v>
      </c>
      <c r="O144" t="s">
        <v>6510</v>
      </c>
      <c r="P144" t="s">
        <v>6510</v>
      </c>
      <c r="Q144" t="str">
        <f t="shared" si="22"/>
        <v>200005</v>
      </c>
    </row>
    <row r="145" spans="1:17" x14ac:dyDescent="0.3">
      <c r="A145" t="s">
        <v>5386</v>
      </c>
      <c r="B145" t="s">
        <v>2954</v>
      </c>
      <c r="C145" t="str">
        <f>VLOOKUP(B145,ServiceAreas.csv!C:J,8,FALSE)</f>
        <v>200005</v>
      </c>
      <c r="D145" t="str">
        <f t="shared" si="24"/>
        <v>rg{'id': '200005'}'</v>
      </c>
      <c r="E145" s="1" t="str">
        <f ca="1">MID(Names!G131,FIND(" ",Names!G131)+1,LEN(Names!G131)-FIND(" ", Names!G131))&amp;" "&amp;INDEX(PROJ_EXT_Name,RANDBETWEEN(2,12))</f>
        <v>Blanshard Bridge Replacement</v>
      </c>
      <c r="F145" s="1" t="s">
        <v>7041</v>
      </c>
      <c r="G145">
        <f t="shared" si="23"/>
        <v>40143</v>
      </c>
      <c r="H145">
        <f t="shared" si="25"/>
        <v>500003</v>
      </c>
      <c r="I145" t="s">
        <v>6687</v>
      </c>
      <c r="J145" t="s">
        <v>6510</v>
      </c>
      <c r="K145" t="str">
        <f>IFERROR(VLOOKUP(F145,Contacts.csv!C:D,2,FALSE),"")</f>
        <v/>
      </c>
      <c r="L145" t="str">
        <f t="shared" si="20"/>
        <v>rg:None</v>
      </c>
      <c r="M145" s="4" t="str">
        <f t="shared" si="21"/>
        <v>rg:[]</v>
      </c>
      <c r="N145" t="s">
        <v>6510</v>
      </c>
      <c r="O145" t="s">
        <v>6510</v>
      </c>
      <c r="P145" t="s">
        <v>6510</v>
      </c>
      <c r="Q145" t="str">
        <f t="shared" si="22"/>
        <v>200005</v>
      </c>
    </row>
    <row r="146" spans="1:17" x14ac:dyDescent="0.3">
      <c r="A146" t="s">
        <v>5386</v>
      </c>
      <c r="B146" t="s">
        <v>2954</v>
      </c>
      <c r="C146" t="str">
        <f>VLOOKUP(B146,ServiceAreas.csv!C:J,8,FALSE)</f>
        <v>200005</v>
      </c>
      <c r="D146" t="str">
        <f t="shared" si="24"/>
        <v>rg{'id': '200005'}'</v>
      </c>
      <c r="E146" s="1" t="str">
        <f ca="1">MID(Names!G133,FIND(" ",Names!G133)+1,LEN(Names!G133)-FIND(" ", Names!G133))&amp;" "&amp;INDEX(PROJ_EXT_Name,RANDBETWEEN(2,12))</f>
        <v>Cordova Street Extension</v>
      </c>
      <c r="F146" s="1" t="s">
        <v>7042</v>
      </c>
      <c r="G146">
        <f t="shared" si="23"/>
        <v>40144</v>
      </c>
      <c r="H146">
        <f>IF(ISNUMBER(#REF!),#REF!+1,500000)</f>
        <v>500000</v>
      </c>
      <c r="I146" t="s">
        <v>6687</v>
      </c>
      <c r="J146" t="s">
        <v>6510</v>
      </c>
      <c r="K146" t="str">
        <f>IFERROR(VLOOKUP(F146,Contacts.csv!C:D,2,FALSE),"")</f>
        <v/>
      </c>
      <c r="L146" t="str">
        <f t="shared" si="20"/>
        <v>rg:None</v>
      </c>
      <c r="M146" s="4" t="str">
        <f t="shared" si="21"/>
        <v>rg:[]</v>
      </c>
      <c r="N146" t="s">
        <v>6510</v>
      </c>
      <c r="O146" t="s">
        <v>6510</v>
      </c>
      <c r="P146" t="s">
        <v>6510</v>
      </c>
      <c r="Q146" t="str">
        <f t="shared" si="22"/>
        <v>200005</v>
      </c>
    </row>
    <row r="147" spans="1:17" x14ac:dyDescent="0.3">
      <c r="A147" t="s">
        <v>5386</v>
      </c>
      <c r="B147" t="s">
        <v>2954</v>
      </c>
      <c r="C147" t="str">
        <f>VLOOKUP(B147,ServiceAreas.csv!C:J,8,FALSE)</f>
        <v>200005</v>
      </c>
      <c r="D147" t="str">
        <f t="shared" si="24"/>
        <v>rg{'id': '200005'}'</v>
      </c>
      <c r="E147" s="1" t="str">
        <f ca="1">MID(Names!G134,FIND(" ",Names!G134)+1,LEN(Names!G134)-FIND(" ", Names!G134))&amp;" "&amp;INDEX(PROJ_EXT_Name,RANDBETWEEN(2,12))</f>
        <v>Kinchant St Bypass</v>
      </c>
      <c r="F147" s="1" t="s">
        <v>7043</v>
      </c>
      <c r="G147">
        <f t="shared" si="23"/>
        <v>40145</v>
      </c>
      <c r="H147">
        <f t="shared" si="25"/>
        <v>500001</v>
      </c>
      <c r="I147" t="s">
        <v>6687</v>
      </c>
      <c r="J147" t="s">
        <v>6510</v>
      </c>
      <c r="K147" t="str">
        <f>IFERROR(VLOOKUP(F147,Contacts.csv!C:D,2,FALSE),"")</f>
        <v/>
      </c>
      <c r="L147" t="str">
        <f t="shared" si="20"/>
        <v>rg:None</v>
      </c>
      <c r="M147" s="4" t="str">
        <f t="shared" si="21"/>
        <v>rg:[]</v>
      </c>
      <c r="N147" t="s">
        <v>6510</v>
      </c>
      <c r="O147" t="s">
        <v>6510</v>
      </c>
      <c r="P147" t="s">
        <v>6510</v>
      </c>
      <c r="Q147" t="str">
        <f t="shared" si="22"/>
        <v>200005</v>
      </c>
    </row>
    <row r="148" spans="1:17" x14ac:dyDescent="0.3">
      <c r="A148" t="s">
        <v>5386</v>
      </c>
      <c r="B148" t="s">
        <v>2954</v>
      </c>
      <c r="C148" t="str">
        <f>VLOOKUP(B148,ServiceAreas.csv!C:J,8,FALSE)</f>
        <v>200005</v>
      </c>
      <c r="D148" t="str">
        <f t="shared" si="24"/>
        <v>rg{'id': '200005'}'</v>
      </c>
      <c r="E148" s="1" t="str">
        <f ca="1">MID(Names!G138,FIND(" ",Names!G138)+1,LEN(Names!G138)-FIND(" ", Names!G138))&amp;" "&amp;INDEX(PROJ_EXT_Name,RANDBETWEEN(2,12))</f>
        <v>Alaska Hwy Upgrade</v>
      </c>
      <c r="F148" s="1" t="s">
        <v>7044</v>
      </c>
      <c r="G148">
        <f t="shared" si="23"/>
        <v>40146</v>
      </c>
      <c r="H148">
        <f>IF(ISNUMBER(#REF!),#REF!+1,500000)</f>
        <v>500000</v>
      </c>
      <c r="I148" t="s">
        <v>6687</v>
      </c>
      <c r="J148" t="s">
        <v>6510</v>
      </c>
      <c r="K148" t="str">
        <f>IFERROR(VLOOKUP(F148,Contacts.csv!C:D,2,FALSE),"")</f>
        <v/>
      </c>
      <c r="L148" t="str">
        <f t="shared" si="20"/>
        <v>rg:None</v>
      </c>
      <c r="M148" s="4" t="str">
        <f t="shared" si="21"/>
        <v>rg:[]</v>
      </c>
      <c r="N148" t="s">
        <v>6510</v>
      </c>
      <c r="O148" t="s">
        <v>6510</v>
      </c>
      <c r="P148" t="s">
        <v>6510</v>
      </c>
      <c r="Q148" t="str">
        <f t="shared" si="22"/>
        <v>200005</v>
      </c>
    </row>
    <row r="149" spans="1:17" x14ac:dyDescent="0.3">
      <c r="A149" t="s">
        <v>5386</v>
      </c>
      <c r="B149" t="s">
        <v>2957</v>
      </c>
      <c r="C149" t="str">
        <f>VLOOKUP(B149,ServiceAreas.csv!C:J,8,FALSE)</f>
        <v>200009</v>
      </c>
      <c r="D149" t="str">
        <f t="shared" si="24"/>
        <v>rg{'id': '200009'}'</v>
      </c>
      <c r="E149" s="1" t="str">
        <f ca="1">MID(Names!G139,FIND(" ",Names!G139)+1,LEN(Names!G139)-FIND(" ", Names!G139))&amp;" "&amp;INDEX(PROJ_EXT_Name,RANDBETWEEN(2,12))</f>
        <v>Stum Lake Road Building</v>
      </c>
      <c r="F149" s="1" t="s">
        <v>6915</v>
      </c>
      <c r="G149">
        <f t="shared" si="23"/>
        <v>40147</v>
      </c>
      <c r="H149">
        <f t="shared" si="25"/>
        <v>500001</v>
      </c>
      <c r="I149" t="s">
        <v>6687</v>
      </c>
      <c r="J149" t="s">
        <v>6510</v>
      </c>
      <c r="K149" t="str">
        <f>IFERROR(VLOOKUP(F149,Contacts.csv!C:D,2,FALSE),"")</f>
        <v/>
      </c>
      <c r="L149" t="str">
        <f t="shared" si="20"/>
        <v>rg:None</v>
      </c>
      <c r="M149" s="4" t="str">
        <f t="shared" si="21"/>
        <v>rg:[]</v>
      </c>
      <c r="N149" t="s">
        <v>6510</v>
      </c>
      <c r="O149" t="s">
        <v>6510</v>
      </c>
      <c r="P149" t="s">
        <v>6510</v>
      </c>
      <c r="Q149" t="str">
        <f t="shared" si="22"/>
        <v>200009</v>
      </c>
    </row>
    <row r="150" spans="1:17" x14ac:dyDescent="0.3">
      <c r="A150" t="s">
        <v>5386</v>
      </c>
      <c r="B150" t="s">
        <v>2957</v>
      </c>
      <c r="C150" t="str">
        <f>VLOOKUP(B150,ServiceAreas.csv!C:J,8,FALSE)</f>
        <v>200009</v>
      </c>
      <c r="D150" t="str">
        <f t="shared" si="24"/>
        <v>rg{'id': '200009'}'</v>
      </c>
      <c r="E150" s="1" t="str">
        <f ca="1">MID(Names!G142,FIND(" ",Names!G142)+1,LEN(Names!G142)-FIND(" ", Names!G142))&amp;" "&amp;INDEX(PROJ_EXT_Name,RANDBETWEEN(2,12))</f>
        <v>King George Hwy Overpass</v>
      </c>
      <c r="F150" s="1" t="s">
        <v>7045</v>
      </c>
      <c r="G150">
        <f t="shared" si="23"/>
        <v>40148</v>
      </c>
      <c r="H150">
        <f>IF(ISNUMBER(#REF!),#REF!+1,500000)</f>
        <v>500000</v>
      </c>
      <c r="I150" t="s">
        <v>6687</v>
      </c>
      <c r="J150" t="s">
        <v>6510</v>
      </c>
      <c r="K150" t="str">
        <f>IFERROR(VLOOKUP(F150,Contacts.csv!C:D,2,FALSE),"")</f>
        <v/>
      </c>
      <c r="L150" t="str">
        <f t="shared" ref="L150:L155" si="26">IF(ISNUMBER(K150),"rg:{'id':'" &amp; K150 &amp; "'}","rg:None")</f>
        <v>rg:None</v>
      </c>
      <c r="M150" s="4" t="str">
        <f t="shared" ref="M150:M155" si="27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 t="str">
        <f t="shared" si="22"/>
        <v>200009</v>
      </c>
    </row>
    <row r="151" spans="1:17" x14ac:dyDescent="0.3">
      <c r="A151" t="s">
        <v>5386</v>
      </c>
      <c r="B151" t="s">
        <v>2957</v>
      </c>
      <c r="C151" t="str">
        <f>VLOOKUP(B151,ServiceAreas.csv!C:J,8,FALSE)</f>
        <v>200009</v>
      </c>
      <c r="D151" t="str">
        <f t="shared" si="24"/>
        <v>rg{'id': '200009'}'</v>
      </c>
      <c r="E151" s="1" t="str">
        <f ca="1">MID(Names!G144,FIND(" ",Names!G144)+1,LEN(Names!G144)-FIND(" ", Names!G144))&amp;" "&amp;INDEX(PROJ_EXT_Name,RANDBETWEEN(2,12))</f>
        <v>Burdett Avenue HOV Lane</v>
      </c>
      <c r="F151" s="1" t="s">
        <v>6900</v>
      </c>
      <c r="G151">
        <f t="shared" si="23"/>
        <v>40149</v>
      </c>
      <c r="H151">
        <f>IF(ISNUMBER(#REF!),#REF!+1,500000)</f>
        <v>500000</v>
      </c>
      <c r="I151" t="s">
        <v>6687</v>
      </c>
      <c r="J151" t="s">
        <v>6510</v>
      </c>
      <c r="K151" t="str">
        <f>IFERROR(VLOOKUP(F151,Contacts.csv!C:D,2,FALSE),"")</f>
        <v/>
      </c>
      <c r="L151" t="str">
        <f t="shared" si="26"/>
        <v>rg:None</v>
      </c>
      <c r="M151" s="4" t="str">
        <f t="shared" si="27"/>
        <v>rg:[]</v>
      </c>
      <c r="N151" t="s">
        <v>6510</v>
      </c>
      <c r="O151" t="s">
        <v>6510</v>
      </c>
      <c r="P151" t="s">
        <v>6510</v>
      </c>
      <c r="Q151" t="str">
        <f t="shared" si="22"/>
        <v>200009</v>
      </c>
    </row>
    <row r="152" spans="1:17" x14ac:dyDescent="0.3">
      <c r="A152" t="s">
        <v>5386</v>
      </c>
      <c r="B152" t="s">
        <v>2957</v>
      </c>
      <c r="C152" t="str">
        <f>VLOOKUP(B152,ServiceAreas.csv!C:J,8,FALSE)</f>
        <v>200009</v>
      </c>
      <c r="D152" t="str">
        <f t="shared" si="24"/>
        <v>rg{'id': '200009'}'</v>
      </c>
      <c r="E152" s="1" t="str">
        <f ca="1">MID(Names!G146,FIND(" ",Names!G146)+1,LEN(Names!G146)-FIND(" ", Names!G146))&amp;" "&amp;INDEX(PROJ_EXT_Name,RANDBETWEEN(2,12))</f>
        <v>Hastings Street Bridge Replacement</v>
      </c>
      <c r="F152" s="1" t="s">
        <v>6918</v>
      </c>
      <c r="G152">
        <f t="shared" si="23"/>
        <v>40150</v>
      </c>
      <c r="H152">
        <f>IF(ISNUMBER(#REF!),#REF!+1,500000)</f>
        <v>500000</v>
      </c>
      <c r="I152" t="s">
        <v>6687</v>
      </c>
      <c r="J152" t="s">
        <v>6510</v>
      </c>
      <c r="K152" t="str">
        <f>IFERROR(VLOOKUP(F152,Contacts.csv!C:D,2,FALSE),"")</f>
        <v/>
      </c>
      <c r="L152" t="str">
        <f t="shared" si="26"/>
        <v>rg:None</v>
      </c>
      <c r="M152" s="4" t="str">
        <f t="shared" si="27"/>
        <v>rg:[]</v>
      </c>
      <c r="N152" t="s">
        <v>6510</v>
      </c>
      <c r="O152" t="s">
        <v>6510</v>
      </c>
      <c r="P152" t="s">
        <v>6510</v>
      </c>
      <c r="Q152" t="str">
        <f t="shared" si="22"/>
        <v>200009</v>
      </c>
    </row>
    <row r="153" spans="1:17" x14ac:dyDescent="0.3">
      <c r="A153" t="s">
        <v>5386</v>
      </c>
      <c r="B153" t="s">
        <v>2957</v>
      </c>
      <c r="C153" t="str">
        <f>VLOOKUP(B153,ServiceAreas.csv!C:J,8,FALSE)</f>
        <v>200009</v>
      </c>
      <c r="D153" t="str">
        <f t="shared" si="24"/>
        <v>rg{'id': '200009'}'</v>
      </c>
      <c r="E153" s="1" t="str">
        <f ca="1">MID(Names!G147,FIND(" ",Names!G147)+1,LEN(Names!G147)-FIND(" ", Names!G147))&amp;" "&amp;INDEX(PROJ_EXT_Name,RANDBETWEEN(2,12))</f>
        <v>Old Spallumcheen Rd Express Lane</v>
      </c>
      <c r="F153" s="1" t="s">
        <v>7046</v>
      </c>
      <c r="G153">
        <f t="shared" si="23"/>
        <v>40151</v>
      </c>
      <c r="H153">
        <f t="shared" si="25"/>
        <v>500001</v>
      </c>
      <c r="I153" t="s">
        <v>6687</v>
      </c>
      <c r="J153" t="s">
        <v>6510</v>
      </c>
      <c r="K153" t="str">
        <f>IFERROR(VLOOKUP(F153,Contacts.csv!C:D,2,FALSE),"")</f>
        <v/>
      </c>
      <c r="L153" t="str">
        <f t="shared" si="26"/>
        <v>rg:None</v>
      </c>
      <c r="M153" s="4" t="str">
        <f t="shared" si="27"/>
        <v>rg:[]</v>
      </c>
      <c r="N153" t="s">
        <v>6510</v>
      </c>
      <c r="O153" t="s">
        <v>6510</v>
      </c>
      <c r="P153" t="s">
        <v>6510</v>
      </c>
      <c r="Q153" t="str">
        <f t="shared" si="22"/>
        <v>200009</v>
      </c>
    </row>
    <row r="154" spans="1:17" x14ac:dyDescent="0.3">
      <c r="A154" t="s">
        <v>5386</v>
      </c>
      <c r="B154" t="s">
        <v>2957</v>
      </c>
      <c r="C154" t="str">
        <f>VLOOKUP(B154,ServiceAreas.csv!C:J,8,FALSE)</f>
        <v>200009</v>
      </c>
      <c r="D154" t="str">
        <f t="shared" si="24"/>
        <v>rg{'id': '200009'}'</v>
      </c>
      <c r="E154" s="1" t="str">
        <f ca="1">MID(Names!G149,FIND(" ",Names!G149)+1,LEN(Names!G149)-FIND(" ", Names!G149))&amp;" "&amp;INDEX(PROJ_EXT_Name,RANDBETWEEN(2,12))</f>
        <v>Coldstream Avenue Upgrade</v>
      </c>
      <c r="F154" s="1" t="s">
        <v>7047</v>
      </c>
      <c r="G154">
        <f t="shared" si="23"/>
        <v>40152</v>
      </c>
      <c r="H154">
        <f>IF(ISNUMBER(#REF!),#REF!+1,500000)</f>
        <v>500000</v>
      </c>
      <c r="I154" t="s">
        <v>6687</v>
      </c>
      <c r="J154" t="s">
        <v>6510</v>
      </c>
      <c r="K154" t="str">
        <f>IFERROR(VLOOKUP(F154,Contacts.csv!C:D,2,FALSE),"")</f>
        <v/>
      </c>
      <c r="L154" t="str">
        <f t="shared" si="26"/>
        <v>rg:None</v>
      </c>
      <c r="M154" s="4" t="str">
        <f t="shared" si="27"/>
        <v>rg:[]</v>
      </c>
      <c r="N154" t="s">
        <v>6510</v>
      </c>
      <c r="O154" t="s">
        <v>6510</v>
      </c>
      <c r="P154" t="s">
        <v>6510</v>
      </c>
      <c r="Q154" t="str">
        <f t="shared" si="22"/>
        <v>200009</v>
      </c>
    </row>
    <row r="155" spans="1:17" x14ac:dyDescent="0.3">
      <c r="A155" t="s">
        <v>5386</v>
      </c>
      <c r="B155" t="s">
        <v>2957</v>
      </c>
      <c r="C155" t="str">
        <f>VLOOKUP(B155,ServiceAreas.csv!C:J,8,FALSE)</f>
        <v>200009</v>
      </c>
      <c r="D155" t="str">
        <f t="shared" si="24"/>
        <v>rg{'id': '200009'}'</v>
      </c>
      <c r="E155" s="1" t="str">
        <f ca="1">MID(Names!G101,FIND(" ",Names!G101)+1,LEN(Names!G101)-FIND(" ", Names!G101))&amp;" "&amp;INDEX(PROJ_EXT_Name,RANDBETWEEN(2,12))</f>
        <v>Robson St Upgrade</v>
      </c>
      <c r="F155" s="1" t="s">
        <v>7048</v>
      </c>
      <c r="G155">
        <f t="shared" si="23"/>
        <v>40153</v>
      </c>
      <c r="H155">
        <f>IF(ISNUMBER(#REF!),#REF!+1,500000)</f>
        <v>500000</v>
      </c>
      <c r="I155" t="s">
        <v>6687</v>
      </c>
      <c r="J155" t="s">
        <v>6510</v>
      </c>
      <c r="K155" t="str">
        <f>IFERROR(VLOOKUP(F155,Contacts.csv!C:D,2,FALSE),"")</f>
        <v/>
      </c>
      <c r="L155" t="str">
        <f t="shared" si="26"/>
        <v>rg:None</v>
      </c>
      <c r="M155" s="4" t="str">
        <f t="shared" si="27"/>
        <v>rg:[]</v>
      </c>
      <c r="N155" t="s">
        <v>6510</v>
      </c>
      <c r="O155" t="s">
        <v>6510</v>
      </c>
      <c r="P155" t="s">
        <v>6510</v>
      </c>
      <c r="Q155" t="str">
        <f t="shared" si="22"/>
        <v>200009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7629</v>
      </c>
      <c r="C1" t="s">
        <v>6936</v>
      </c>
      <c r="D1" t="s">
        <v>5325</v>
      </c>
      <c r="E1" t="s">
        <v>7617</v>
      </c>
      <c r="F1" t="s">
        <v>7618</v>
      </c>
      <c r="G1" t="s">
        <v>6498</v>
      </c>
      <c r="H1" t="s">
        <v>7619</v>
      </c>
      <c r="I1" t="s">
        <v>5327</v>
      </c>
      <c r="J1" t="s">
        <v>7620</v>
      </c>
      <c r="K1" t="s">
        <v>7621</v>
      </c>
      <c r="L1" t="s">
        <v>7622</v>
      </c>
      <c r="M1" t="s">
        <v>7623</v>
      </c>
      <c r="N1" t="s">
        <v>7624</v>
      </c>
      <c r="O1" t="s">
        <v>7625</v>
      </c>
      <c r="P1" t="s">
        <v>7626</v>
      </c>
      <c r="Q1" t="s">
        <v>7627</v>
      </c>
      <c r="R1" t="s">
        <v>7628</v>
      </c>
      <c r="S1" t="s">
        <v>7766</v>
      </c>
      <c r="T1" t="s">
        <v>7767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7630</v>
      </c>
      <c r="I2" t="s">
        <v>76</v>
      </c>
      <c r="J2" t="str">
        <f>Names!M2</f>
        <v>BradJSmith@cuvox.de</v>
      </c>
      <c r="K2" t="str">
        <f ca="1">IF(RANDBETWEEN(1,2) &gt; 1, "rg:None", Names!P2)</f>
        <v>rg:None</v>
      </c>
      <c r="L2" t="str">
        <f ca="1">IF(K2="rg:None",Names!P2,"rg:None")</f>
        <v>250-479-5055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7630</v>
      </c>
      <c r="I3" t="s">
        <v>76</v>
      </c>
      <c r="J3" t="str">
        <f>Names!M3</f>
        <v>JudyHHolbert@gustr.com</v>
      </c>
      <c r="K3" t="str">
        <f ca="1">IF(RANDBETWEEN(1,2) &gt; 1, "rg:None", Names!P3)</f>
        <v>rg:None</v>
      </c>
      <c r="L3" t="str">
        <f ca="1">IF(K3="rg:None",Names!P3,"rg:None")</f>
        <v>604-902-3027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7630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7630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7630</v>
      </c>
      <c r="I6" t="s">
        <v>76</v>
      </c>
      <c r="J6" t="str">
        <f>Names!M6</f>
        <v>GayleCYork@dayrep.com</v>
      </c>
      <c r="K6" t="str">
        <f ca="1">IF(RANDBETWEEN(1,2) &gt; 1, "rg:None", Names!P6)</f>
        <v>250-935-6749</v>
      </c>
      <c r="L6" t="str">
        <f ca="1">IF(K6="rg:None",Names!P6,"rg:None")</f>
        <v>rg:None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7630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7630</v>
      </c>
      <c r="I8" t="s">
        <v>76</v>
      </c>
      <c r="J8" t="str">
        <f>Names!M8</f>
        <v>RosaDMayer@cuvox.de</v>
      </c>
      <c r="K8" t="str">
        <f ca="1">IF(RANDBETWEEN(1,2) &gt; 1, "rg:None", Names!P8)</f>
        <v>778-239-8094</v>
      </c>
      <c r="L8" t="str">
        <f ca="1">IF(K8="rg:None",Names!P8,"rg:None")</f>
        <v>rg:None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7630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7630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7630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7630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7630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7630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7630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250-668-9856</v>
      </c>
      <c r="L15" t="str">
        <f ca="1">IF(K15="rg:None",Names!P15,"rg:None")</f>
        <v>rg:None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7630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604-830-6654</v>
      </c>
      <c r="L16" t="str">
        <f ca="1">IF(K16="rg:None",Names!P16,"rg:None")</f>
        <v>rg:None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7630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rg:None</v>
      </c>
      <c r="L17" t="str">
        <f ca="1">IF(K17="rg:None",Names!P17,"rg:None")</f>
        <v>604-585-0804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7630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7630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7630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rg:None</v>
      </c>
      <c r="L20" t="str">
        <f ca="1">IF(K20="rg:None",Names!P20,"rg:None")</f>
        <v>250-345-1717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7630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7630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7630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rg:None</v>
      </c>
      <c r="L23" t="str">
        <f ca="1">IF(K23="rg:None",Names!P23,"rg:None")</f>
        <v>604-572-8640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7630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7630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7630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250-346-8870</v>
      </c>
      <c r="L26" t="str">
        <f ca="1">IF(K26="rg:None",Names!P26,"rg:None")</f>
        <v>rg:None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7630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7630</v>
      </c>
      <c r="I28" t="s">
        <v>76</v>
      </c>
      <c r="J28" t="str">
        <f>Names!M28</f>
        <v>CletusDHill@gustr.com</v>
      </c>
      <c r="K28" t="str">
        <f ca="1">IF(RANDBETWEEN(1,2) &gt; 1, "rg:None", Names!P28)</f>
        <v>778-288-6748</v>
      </c>
      <c r="L28" t="str">
        <f ca="1">IF(K28="rg:None",Names!P28,"rg:None")</f>
        <v>rg:None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7630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7630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rg:None</v>
      </c>
      <c r="L30" t="str">
        <f ca="1">IF(K30="rg:None",Names!P30,"rg:None")</f>
        <v>250-745-8192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7630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7630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7630</v>
      </c>
      <c r="I33" t="s">
        <v>76</v>
      </c>
      <c r="J33" t="str">
        <f>Names!M33</f>
        <v>BruceIWelsh@teleworm.us</v>
      </c>
      <c r="K33" t="str">
        <f ca="1">IF(RANDBETWEEN(1,2) &gt; 1, "rg:None", Names!P33)</f>
        <v>rg:None</v>
      </c>
      <c r="L33" t="str">
        <f ca="1">IF(K33="rg:None",Names!P33,"rg:None")</f>
        <v>250-962-7752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7630</v>
      </c>
      <c r="I34" t="s">
        <v>76</v>
      </c>
      <c r="J34" t="str">
        <f>Names!M34</f>
        <v>AlmaTSterling@gustr.com</v>
      </c>
      <c r="K34" t="str">
        <f ca="1">IF(RANDBETWEEN(1,2) &gt; 1, "rg:None", Names!P34)</f>
        <v>250-265-8522</v>
      </c>
      <c r="L34" t="str">
        <f ca="1">IF(K34="rg:None",Names!P34,"rg:None")</f>
        <v>rg:None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7630</v>
      </c>
      <c r="I35" t="s">
        <v>76</v>
      </c>
      <c r="J35" t="str">
        <f>Names!M35</f>
        <v>RobertLHunt@teleworm.us</v>
      </c>
      <c r="K35" t="str">
        <f ca="1">IF(RANDBETWEEN(1,2) &gt; 1, "rg:None", Names!P35)</f>
        <v>250-423-0364</v>
      </c>
      <c r="L35" t="str">
        <f ca="1">IF(K35="rg:None",Names!P35,"rg:None")</f>
        <v>rg:None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7630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7630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7630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7630</v>
      </c>
      <c r="I39" t="s">
        <v>76</v>
      </c>
      <c r="J39" t="str">
        <f>Names!M39</f>
        <v>RalphKGraham@rhyta.com</v>
      </c>
      <c r="K39" t="str">
        <f ca="1">IF(RANDBETWEEN(1,2) &gt; 1, "rg:None", Names!P39)</f>
        <v>rg:None</v>
      </c>
      <c r="L39" t="str">
        <f ca="1">IF(K39="rg:None",Names!P39,"rg:None")</f>
        <v>250-529-8172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7630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250-478-0854</v>
      </c>
      <c r="L40" t="str">
        <f ca="1">IF(K40="rg:None",Names!P40,"rg:None")</f>
        <v>rg:None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7630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7630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7630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7630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7630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7630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250-412-4504</v>
      </c>
      <c r="L46" t="str">
        <f ca="1">IF(K46="rg:None",Names!P46,"rg:None")</f>
        <v>rg:None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7630</v>
      </c>
      <c r="I47" t="s">
        <v>76</v>
      </c>
      <c r="J47" t="str">
        <f>Names!M47</f>
        <v>BruceCKnuth@einrot.com</v>
      </c>
      <c r="K47" t="str">
        <f ca="1">IF(RANDBETWEEN(1,2) &gt; 1, "rg:None", Names!P47)</f>
        <v>250-949-8320</v>
      </c>
      <c r="L47" t="str">
        <f ca="1">IF(K47="rg:None",Names!P47,"rg:None")</f>
        <v>rg:None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7630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7630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7630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7630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7630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7630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7630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7630</v>
      </c>
      <c r="I55" t="s">
        <v>76</v>
      </c>
      <c r="J55" t="str">
        <f>Names!M55</f>
        <v>JohnLKey@armyspy.com</v>
      </c>
      <c r="K55" t="str">
        <f ca="1">IF(RANDBETWEEN(1,2) &gt; 1, "rg:None", Names!P55)</f>
        <v>rg:None</v>
      </c>
      <c r="L55" t="str">
        <f ca="1">IF(K55="rg:None",Names!P55,"rg:None")</f>
        <v>250-531-4874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7630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7630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7630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7630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7630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604-267-2720</v>
      </c>
      <c r="L60" t="str">
        <f ca="1">IF(K60="rg:None",Names!P60,"rg:None")</f>
        <v>rg:None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7630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7630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rg:None</v>
      </c>
      <c r="L62" t="str">
        <f ca="1">IF(K62="rg:None",Names!P62,"rg:None")</f>
        <v>604-204-5042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7630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7630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7630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7630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7630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7630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7630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7630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7630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7630</v>
      </c>
      <c r="I72" t="s">
        <v>76</v>
      </c>
      <c r="J72" t="str">
        <f>Names!M72</f>
        <v>DiannaJCook@gustr.com</v>
      </c>
      <c r="K72" t="str">
        <f ca="1">IF(RANDBETWEEN(1,2) &gt; 1, "rg:None", Names!P72)</f>
        <v>250-260-5412</v>
      </c>
      <c r="L72" t="str">
        <f ca="1">IF(K72="rg:None",Names!P72,"rg:None")</f>
        <v>rg:None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7630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rg:None</v>
      </c>
      <c r="L73" t="str">
        <f ca="1">IF(K73="rg:None",Names!P73,"rg:None")</f>
        <v>778-867-2691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7630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rg:None</v>
      </c>
      <c r="L74" t="str">
        <f ca="1">IF(K74="rg:None",Names!P74,"rg:None")</f>
        <v>250-756-7281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7630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7630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rg:None</v>
      </c>
      <c r="L76" t="str">
        <f ca="1">IF(K76="rg:None",Names!P76,"rg:None")</f>
        <v>250-383-7975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7630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rg:None</v>
      </c>
      <c r="L77" t="str">
        <f ca="1">IF(K77="rg:None",Names!P77,"rg:None")</f>
        <v>250-716-1092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7630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rg:None</v>
      </c>
      <c r="L78" t="str">
        <f ca="1">IF(K78="rg:None",Names!P78,"rg:None")</f>
        <v>604-455-2092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7630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7630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7630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7630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7630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250-673-4340</v>
      </c>
      <c r="L83" t="str">
        <f ca="1">IF(K83="rg:None",Names!P83,"rg:None")</f>
        <v>rg:None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7630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7630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604-309-1080</v>
      </c>
      <c r="L85" t="str">
        <f ca="1">IF(K85="rg:None",Names!P85,"rg:None")</f>
        <v>rg:None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7630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7630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rg:None</v>
      </c>
      <c r="L87" t="str">
        <f ca="1">IF(K87="rg:None",Names!P87,"rg:None")</f>
        <v>604-845-4055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7630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250-732-0946</v>
      </c>
      <c r="L88" t="str">
        <f ca="1">IF(K88="rg:None",Names!P88,"rg:None")</f>
        <v>rg:None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7630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7630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7630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7630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7630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rg:None</v>
      </c>
      <c r="L93" t="str">
        <f ca="1">IF(K93="rg:None",Names!P93,"rg:None")</f>
        <v>250-659-5830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7630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7630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7630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7630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7630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7630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7630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7630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604-974-7099</v>
      </c>
      <c r="L101" t="str">
        <f ca="1">IF(K101="rg:None",Names!P101,"rg:None")</f>
        <v>rg:None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7630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7630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rg:None</v>
      </c>
      <c r="L103" t="str">
        <f ca="1">IF(K103="rg:None",Names!P103,"rg:None")</f>
        <v>867-444-0382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7630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250-617-8892</v>
      </c>
      <c r="L104" t="str">
        <f ca="1">IF(K104="rg:None",Names!P104,"rg:None")</f>
        <v>rg:None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7630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250-783-6772</v>
      </c>
      <c r="L105" t="str">
        <f ca="1">IF(K105="rg:None",Names!P105,"rg:None")</f>
        <v>rg:None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7630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6937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7630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6932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7630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6938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7630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250-357-1332</v>
      </c>
      <c r="L109" t="str">
        <f ca="1">IF(K109="rg:None",Names!P115,"rg:None")</f>
        <v>rg:None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6939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7630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6940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7630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rg:None</v>
      </c>
      <c r="L111" t="str">
        <f ca="1">IF(K111="rg:None",Names!P117,"rg:None")</f>
        <v>250-969-0438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6941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7630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6942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7630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6921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7630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6943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7630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6899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7630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6944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7630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6945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7630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rg:None</v>
      </c>
      <c r="L118" t="str">
        <f ca="1">IF(K118="rg:None",Names!P124,"rg:None")</f>
        <v>250-620-1802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6946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7630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6947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7630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604-949-6562</v>
      </c>
      <c r="L120" t="str">
        <f ca="1">IF(K120="rg:None",Names!P126,"rg:None")</f>
        <v>rg:None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6934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7630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6948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7630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rg:None</v>
      </c>
      <c r="L122" t="str">
        <f ca="1">IF(K122="rg:None",Names!P128,"rg:None")</f>
        <v>604-472-0286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6917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7630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6949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7630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6894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7630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250-385-2736</v>
      </c>
      <c r="L125" t="str">
        <f ca="1">IF(K125="rg:None",Names!P131,"rg:None")</f>
        <v>rg:None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6950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7630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6901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7630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6951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7630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250-434-0217</v>
      </c>
      <c r="L128" t="str">
        <f ca="1">IF(K128="rg:None",Names!P134,"rg:None")</f>
        <v>rg:None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6893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7630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6952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7630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604-875-9413</v>
      </c>
      <c r="L130" t="str">
        <f ca="1">IF(K130="rg:None",Names!P136,"rg:None")</f>
        <v>rg:None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6953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7630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6912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7630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6954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7630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6927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7630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rg:None</v>
      </c>
      <c r="L134" t="str">
        <f ca="1">IF(K134="rg:None",Names!P140,"rg:None")</f>
        <v>250-676-7685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6955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7630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6956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7630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rg:None</v>
      </c>
      <c r="L136" t="str">
        <f ca="1">IF(K136="rg:None",Names!P142,"rg:None")</f>
        <v>604-598-4904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6957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7630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6958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7630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rg:None</v>
      </c>
      <c r="L138" t="str">
        <f ca="1">IF(K138="rg:None",Names!P144,"rg:None")</f>
        <v>250-217-6715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6959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7630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250-344-7155</v>
      </c>
      <c r="L139" t="str">
        <f ca="1">IF(K139="rg:None",Names!P145,"rg:None")</f>
        <v>rg:None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325"/>
  <sheetViews>
    <sheetView workbookViewId="0">
      <selection activeCell="F325" sqref="F325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2" width="16.109375" style="8" customWidth="1"/>
    <col min="13" max="16384" width="9.109375" style="8"/>
  </cols>
  <sheetData>
    <row r="1" spans="1:12" x14ac:dyDescent="0.3">
      <c r="A1" s="8" t="s">
        <v>68</v>
      </c>
      <c r="B1" s="8" t="s">
        <v>5325</v>
      </c>
      <c r="C1" s="8" t="s">
        <v>6887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6888</v>
      </c>
      <c r="J1" s="8" t="s">
        <v>6889</v>
      </c>
      <c r="K1" s="8" t="s">
        <v>6890</v>
      </c>
      <c r="L1" s="8" t="s">
        <v>6891</v>
      </c>
    </row>
    <row r="2" spans="1:12" x14ac:dyDescent="0.3">
      <c r="A2" s="8" t="s">
        <v>5668</v>
      </c>
      <c r="B2" s="8">
        <f>IF(ISNUMBER(B1),B1+1,600000)</f>
        <v>600000</v>
      </c>
      <c r="C2" s="1" t="s">
        <v>6937</v>
      </c>
      <c r="D2" s="9" t="str">
        <f>IFERROR(VLOOKUP(VLOOKUP(VLOOKUP(C2,Project.csv!F:Q,12,FALSE),ServiceAreas.csv!B:I,8,FALSE),LocalAreas.csv!B:I,7,FALSE),200029)</f>
        <v>rg:None</v>
      </c>
      <c r="E2" s="8" t="str">
        <f xml:space="preserve"> "rg:{'id':'" &amp; D2 &amp; "'}"</f>
        <v>rg:{'id':'rg:None'}</v>
      </c>
      <c r="F2" s="9" t="s">
        <v>7055</v>
      </c>
      <c r="G2" s="9" t="str">
        <f ca="1">INDEX(DistrictEquipmentTypes.csv!F:F,RANDBETWEEN(2,COUNTA(DistrictEquipmentTypes.csv!D:D)),1)</f>
        <v>200000</v>
      </c>
      <c r="H2" s="8" t="str">
        <f ca="1">"rg:{ 'id': '"&amp;G2&amp;"'}"</f>
        <v>rg:{ 'id': '200000'}</v>
      </c>
      <c r="I2" s="8">
        <f ca="1">IF(RANDBETWEEN(1,5)&gt;1,1,RANDBETWEEN(2,5))</f>
        <v>1</v>
      </c>
      <c r="J2" s="8">
        <f ca="1">RANDBETWEEN(4,100)</f>
        <v>16</v>
      </c>
      <c r="K2" s="8" t="str">
        <f ca="1">TEXT(TODAY()+RANDBETWEEN(1,56),"YYYY-MM-DD")</f>
        <v>2017-05-07</v>
      </c>
      <c r="L2" s="8" t="str">
        <f ca="1">TEXT(K2+(I2*J2)/8,"YYYY-MM-DD")</f>
        <v>2017-05-09</v>
      </c>
    </row>
    <row r="3" spans="1:12" x14ac:dyDescent="0.3">
      <c r="A3" s="8" t="s">
        <v>5668</v>
      </c>
      <c r="B3" s="8">
        <f t="shared" ref="B3:B66" si="0">IF(ISNUMBER(B2),B2+1,600000)</f>
        <v>600001</v>
      </c>
      <c r="C3" s="1" t="s">
        <v>6932</v>
      </c>
      <c r="D3" s="9" t="str">
        <f>IFERROR(VLOOKUP(VLOOKUP(VLOOKUP(C3,Project.csv!F:Q,12,FALSE),ServiceAreas.csv!B:I,8,FALSE),LocalAreas.csv!B:I,7,FALSE),200029)</f>
        <v>rg:None</v>
      </c>
      <c r="E3" s="8" t="str">
        <f t="shared" ref="E3:E66" si="1" xml:space="preserve"> "rg:{'id':'" &amp; D3 &amp; "'}"</f>
        <v>rg:{'id':'rg:None'}</v>
      </c>
      <c r="F3" s="9" t="s">
        <v>7056</v>
      </c>
      <c r="G3" s="9" t="str">
        <f ca="1">INDEX(DistrictEquipmentTypes.csv!F:F,RANDBETWEEN(2,COUNTA(DistrictEquipmentTypes.csv!D:D)),1)</f>
        <v>200002</v>
      </c>
      <c r="H3" s="8" t="str">
        <f t="shared" ref="H3:H66" ca="1" si="2">"rg:{ 'id': '"&amp;G3&amp;"'}"</f>
        <v>rg:{ 'id': '200002'}</v>
      </c>
      <c r="I3" s="8">
        <f t="shared" ref="I3:I66" ca="1" si="3">IF(RANDBETWEEN(1,5)&gt;1,1,RANDBETWEEN(2,5))</f>
        <v>3</v>
      </c>
      <c r="J3" s="8">
        <f t="shared" ref="J3:J66" ca="1" si="4">RANDBETWEEN(4,100)</f>
        <v>24</v>
      </c>
      <c r="K3" s="8" t="str">
        <f t="shared" ref="K3:K66" ca="1" si="5">TEXT(TODAY()+RANDBETWEEN(1,56),"YYYY-MM-DD")</f>
        <v>2017-05-12</v>
      </c>
      <c r="L3" s="8" t="str">
        <f t="shared" ref="L3:L66" ca="1" si="6">TEXT(K3+(I3*J3)/8,"YYYY-MM-DD")</f>
        <v>2017-05-21</v>
      </c>
    </row>
    <row r="4" spans="1:12" x14ac:dyDescent="0.3">
      <c r="A4" s="8" t="s">
        <v>5668</v>
      </c>
      <c r="B4" s="8">
        <f t="shared" si="0"/>
        <v>600002</v>
      </c>
      <c r="C4" s="1" t="s">
        <v>6938</v>
      </c>
      <c r="D4" s="9" t="str">
        <f>IFERROR(VLOOKUP(VLOOKUP(VLOOKUP(C4,Project.csv!F:Q,12,FALSE),ServiceAreas.csv!B:I,8,FALSE),LocalAreas.csv!B:I,7,FALSE),200029)</f>
        <v>rg:None</v>
      </c>
      <c r="E4" s="8" t="str">
        <f t="shared" si="1"/>
        <v>rg:{'id':'rg:None'}</v>
      </c>
      <c r="F4" s="9" t="s">
        <v>7055</v>
      </c>
      <c r="G4" s="9" t="str">
        <f ca="1">INDEX(DistrictEquipmentTypes.csv!F:F,RANDBETWEEN(2,COUNTA(DistrictEquipmentTypes.csv!D:D)),1)</f>
        <v>200003</v>
      </c>
      <c r="H4" s="8" t="str">
        <f t="shared" ca="1" si="2"/>
        <v>rg:{ 'id': '200003'}</v>
      </c>
      <c r="I4" s="8">
        <f t="shared" ca="1" si="3"/>
        <v>1</v>
      </c>
      <c r="J4" s="8">
        <f t="shared" ca="1" si="4"/>
        <v>95</v>
      </c>
      <c r="K4" s="8" t="str">
        <f t="shared" ca="1" si="5"/>
        <v>2017-05-12</v>
      </c>
      <c r="L4" s="8" t="str">
        <f t="shared" ca="1" si="6"/>
        <v>2017-05-23</v>
      </c>
    </row>
    <row r="5" spans="1:12" x14ac:dyDescent="0.3">
      <c r="A5" s="8" t="s">
        <v>5668</v>
      </c>
      <c r="B5" s="8">
        <f t="shared" si="0"/>
        <v>600003</v>
      </c>
      <c r="C5" s="1" t="s">
        <v>6939</v>
      </c>
      <c r="D5" s="9" t="str">
        <f>IFERROR(VLOOKUP(VLOOKUP(VLOOKUP(C5,Project.csv!F:Q,12,FALSE),ServiceAreas.csv!B:I,8,FALSE),LocalAreas.csv!B:I,7,FALSE),200029)</f>
        <v>rg:None</v>
      </c>
      <c r="E5" s="8" t="str">
        <f t="shared" si="1"/>
        <v>rg:{'id':'rg:None'}</v>
      </c>
      <c r="F5" s="9" t="s">
        <v>7055</v>
      </c>
      <c r="G5" s="9" t="str">
        <f ca="1">INDEX(DistrictEquipmentTypes.csv!F:F,RANDBETWEEN(2,COUNTA(DistrictEquipmentTypes.csv!D:D)),1)</f>
        <v>200002</v>
      </c>
      <c r="H5" s="8" t="str">
        <f t="shared" ca="1" si="2"/>
        <v>rg:{ 'id': '200002'}</v>
      </c>
      <c r="I5" s="8">
        <f t="shared" ca="1" si="3"/>
        <v>1</v>
      </c>
      <c r="J5" s="8">
        <f t="shared" ca="1" si="4"/>
        <v>25</v>
      </c>
      <c r="K5" s="8" t="str">
        <f t="shared" ca="1" si="5"/>
        <v>2017-05-10</v>
      </c>
      <c r="L5" s="8" t="str">
        <f t="shared" ca="1" si="6"/>
        <v>2017-05-13</v>
      </c>
    </row>
    <row r="6" spans="1:12" x14ac:dyDescent="0.3">
      <c r="A6" s="8" t="s">
        <v>5668</v>
      </c>
      <c r="B6" s="8">
        <f t="shared" si="0"/>
        <v>600004</v>
      </c>
      <c r="C6" s="1" t="s">
        <v>6940</v>
      </c>
      <c r="D6" s="9" t="str">
        <f>IFERROR(VLOOKUP(VLOOKUP(VLOOKUP(C6,Project.csv!F:Q,12,FALSE),ServiceAreas.csv!B:I,8,FALSE),LocalAreas.csv!B:I,7,FALSE),200029)</f>
        <v>rg:None</v>
      </c>
      <c r="E6" s="8" t="str">
        <f t="shared" si="1"/>
        <v>rg:{'id':'rg:None'}</v>
      </c>
      <c r="F6" s="9" t="s">
        <v>7055</v>
      </c>
      <c r="G6" s="9" t="str">
        <f ca="1">INDEX(DistrictEquipmentTypes.csv!F:F,RANDBETWEEN(2,COUNTA(DistrictEquipmentTypes.csv!D:D)),1)</f>
        <v>200009</v>
      </c>
      <c r="H6" s="8" t="str">
        <f t="shared" ca="1" si="2"/>
        <v>rg:{ 'id': '200009'}</v>
      </c>
      <c r="I6" s="8">
        <f t="shared" ca="1" si="3"/>
        <v>1</v>
      </c>
      <c r="J6" s="8">
        <f t="shared" ca="1" si="4"/>
        <v>40</v>
      </c>
      <c r="K6" s="8" t="str">
        <f t="shared" ca="1" si="5"/>
        <v>2017-05-01</v>
      </c>
      <c r="L6" s="8" t="str">
        <f t="shared" ca="1" si="6"/>
        <v>2017-05-06</v>
      </c>
    </row>
    <row r="7" spans="1:12" x14ac:dyDescent="0.3">
      <c r="A7" s="8" t="s">
        <v>5668</v>
      </c>
      <c r="B7" s="8">
        <f t="shared" si="0"/>
        <v>600005</v>
      </c>
      <c r="C7" s="1" t="s">
        <v>6941</v>
      </c>
      <c r="D7" s="9" t="str">
        <f>IFERROR(VLOOKUP(VLOOKUP(VLOOKUP(C7,Project.csv!F:Q,12,FALSE),ServiceAreas.csv!B:I,8,FALSE),LocalAreas.csv!B:I,7,FALSE),200029)</f>
        <v>rg:None</v>
      </c>
      <c r="E7" s="8" t="str">
        <f t="shared" si="1"/>
        <v>rg:{'id':'rg:None'}</v>
      </c>
      <c r="F7" s="9" t="s">
        <v>7056</v>
      </c>
      <c r="G7" s="9" t="str">
        <f ca="1">INDEX(DistrictEquipmentTypes.csv!F:F,RANDBETWEEN(2,COUNTA(DistrictEquipmentTypes.csv!D:D)),1)</f>
        <v>200006</v>
      </c>
      <c r="H7" s="8" t="str">
        <f t="shared" ca="1" si="2"/>
        <v>rg:{ 'id': '200006'}</v>
      </c>
      <c r="I7" s="8">
        <f t="shared" ca="1" si="3"/>
        <v>1</v>
      </c>
      <c r="J7" s="8">
        <f t="shared" ca="1" si="4"/>
        <v>43</v>
      </c>
      <c r="K7" s="8" t="str">
        <f t="shared" ca="1" si="5"/>
        <v>2017-04-01</v>
      </c>
      <c r="L7" s="8" t="str">
        <f t="shared" ca="1" si="6"/>
        <v>2017-04-06</v>
      </c>
    </row>
    <row r="8" spans="1:12" x14ac:dyDescent="0.3">
      <c r="A8" s="8" t="s">
        <v>5668</v>
      </c>
      <c r="B8" s="8">
        <f t="shared" si="0"/>
        <v>600006</v>
      </c>
      <c r="C8" s="1" t="s">
        <v>6942</v>
      </c>
      <c r="D8" s="9" t="str">
        <f>IFERROR(VLOOKUP(VLOOKUP(VLOOKUP(C8,Project.csv!F:Q,12,FALSE),ServiceAreas.csv!B:I,8,FALSE),LocalAreas.csv!B:I,7,FALSE),200029)</f>
        <v>rg:None</v>
      </c>
      <c r="E8" s="8" t="str">
        <f t="shared" si="1"/>
        <v>rg:{'id':'rg:None'}</v>
      </c>
      <c r="F8" s="9" t="s">
        <v>7056</v>
      </c>
      <c r="G8" s="9" t="str">
        <f ca="1">INDEX(DistrictEquipmentTypes.csv!F:F,RANDBETWEEN(2,COUNTA(DistrictEquipmentTypes.csv!D:D)),1)</f>
        <v>200009</v>
      </c>
      <c r="H8" s="8" t="str">
        <f t="shared" ca="1" si="2"/>
        <v>rg:{ 'id': '200009'}</v>
      </c>
      <c r="I8" s="8">
        <f t="shared" ca="1" si="3"/>
        <v>1</v>
      </c>
      <c r="J8" s="8">
        <f t="shared" ca="1" si="4"/>
        <v>94</v>
      </c>
      <c r="K8" s="8" t="str">
        <f t="shared" ca="1" si="5"/>
        <v>2017-04-29</v>
      </c>
      <c r="L8" s="8" t="str">
        <f t="shared" ca="1" si="6"/>
        <v>2017-05-10</v>
      </c>
    </row>
    <row r="9" spans="1:12" x14ac:dyDescent="0.3">
      <c r="A9" s="8" t="s">
        <v>5668</v>
      </c>
      <c r="B9" s="8">
        <f t="shared" si="0"/>
        <v>600007</v>
      </c>
      <c r="C9" s="1" t="s">
        <v>6921</v>
      </c>
      <c r="D9" s="9" t="str">
        <f>IFERROR(VLOOKUP(VLOOKUP(VLOOKUP(C9,Project.csv!F:Q,12,FALSE),ServiceAreas.csv!B:I,8,FALSE),LocalAreas.csv!B:I,7,FALSE),200029)</f>
        <v>rg:None</v>
      </c>
      <c r="E9" s="8" t="str">
        <f t="shared" si="1"/>
        <v>rg:{'id':'rg:None'}</v>
      </c>
      <c r="F9" s="9" t="s">
        <v>7056</v>
      </c>
      <c r="G9" s="9" t="str">
        <f ca="1">INDEX(DistrictEquipmentTypes.csv!F:F,RANDBETWEEN(2,COUNTA(DistrictEquipmentTypes.csv!D:D)),1)</f>
        <v>200002</v>
      </c>
      <c r="H9" s="8" t="str">
        <f t="shared" ca="1" si="2"/>
        <v>rg:{ 'id': '200002'}</v>
      </c>
      <c r="I9" s="8">
        <f t="shared" ca="1" si="3"/>
        <v>3</v>
      </c>
      <c r="J9" s="8">
        <f t="shared" ca="1" si="4"/>
        <v>85</v>
      </c>
      <c r="K9" s="8" t="str">
        <f t="shared" ca="1" si="5"/>
        <v>2017-04-28</v>
      </c>
      <c r="L9" s="8" t="str">
        <f t="shared" ca="1" si="6"/>
        <v>2017-05-29</v>
      </c>
    </row>
    <row r="10" spans="1:12" x14ac:dyDescent="0.3">
      <c r="A10" s="8" t="s">
        <v>5668</v>
      </c>
      <c r="B10" s="8">
        <f t="shared" si="0"/>
        <v>600008</v>
      </c>
      <c r="C10" s="1" t="s">
        <v>6943</v>
      </c>
      <c r="D10" s="9" t="str">
        <f>IFERROR(VLOOKUP(VLOOKUP(VLOOKUP(C10,Project.csv!F:Q,12,FALSE),ServiceAreas.csv!B:I,8,FALSE),LocalAreas.csv!B:I,7,FALSE),200029)</f>
        <v>rg:None</v>
      </c>
      <c r="E10" s="8" t="str">
        <f t="shared" si="1"/>
        <v>rg:{'id':'rg:None'}</v>
      </c>
      <c r="F10" s="9" t="s">
        <v>7056</v>
      </c>
      <c r="G10" s="9" t="str">
        <f ca="1">INDEX(DistrictEquipmentTypes.csv!F:F,RANDBETWEEN(2,COUNTA(DistrictEquipmentTypes.csv!D:D)),1)</f>
        <v>200000</v>
      </c>
      <c r="H10" s="8" t="str">
        <f t="shared" ca="1" si="2"/>
        <v>rg:{ 'id': '200000'}</v>
      </c>
      <c r="I10" s="8">
        <f t="shared" ca="1" si="3"/>
        <v>1</v>
      </c>
      <c r="J10" s="8">
        <f t="shared" ca="1" si="4"/>
        <v>24</v>
      </c>
      <c r="K10" s="8" t="str">
        <f t="shared" ca="1" si="5"/>
        <v>2017-04-08</v>
      </c>
      <c r="L10" s="8" t="str">
        <f t="shared" ca="1" si="6"/>
        <v>2017-04-11</v>
      </c>
    </row>
    <row r="11" spans="1:12" x14ac:dyDescent="0.3">
      <c r="A11" s="8" t="s">
        <v>5668</v>
      </c>
      <c r="B11" s="8">
        <f t="shared" si="0"/>
        <v>600009</v>
      </c>
      <c r="C11" s="1" t="s">
        <v>6899</v>
      </c>
      <c r="D11" s="9" t="str">
        <f>IFERROR(VLOOKUP(VLOOKUP(VLOOKUP(C11,Project.csv!F:Q,12,FALSE),ServiceAreas.csv!B:I,8,FALSE),LocalAreas.csv!B:I,7,FALSE),200029)</f>
        <v>rg:None</v>
      </c>
      <c r="E11" s="8" t="str">
        <f t="shared" si="1"/>
        <v>rg:{'id':'rg:None'}</v>
      </c>
      <c r="F11" s="9" t="s">
        <v>7055</v>
      </c>
      <c r="G11" s="9" t="str">
        <f ca="1">INDEX(DistrictEquipmentTypes.csv!F:F,RANDBETWEEN(2,COUNTA(DistrictEquipmentTypes.csv!D:D)),1)</f>
        <v>200009</v>
      </c>
      <c r="H11" s="8" t="str">
        <f t="shared" ca="1" si="2"/>
        <v>rg:{ 'id': '200009'}</v>
      </c>
      <c r="I11" s="8">
        <f t="shared" ca="1" si="3"/>
        <v>1</v>
      </c>
      <c r="J11" s="8">
        <f t="shared" ca="1" si="4"/>
        <v>6</v>
      </c>
      <c r="K11" s="8" t="str">
        <f t="shared" ca="1" si="5"/>
        <v>2017-04-26</v>
      </c>
      <c r="L11" s="8" t="str">
        <f t="shared" ca="1" si="6"/>
        <v>2017-04-26</v>
      </c>
    </row>
    <row r="12" spans="1:12" x14ac:dyDescent="0.3">
      <c r="A12" s="8" t="s">
        <v>5668</v>
      </c>
      <c r="B12" s="8">
        <f t="shared" si="0"/>
        <v>600010</v>
      </c>
      <c r="C12" s="1" t="s">
        <v>6944</v>
      </c>
      <c r="D12" s="9" t="str">
        <f>IFERROR(VLOOKUP(VLOOKUP(VLOOKUP(C12,Project.csv!F:Q,12,FALSE),ServiceAreas.csv!B:I,8,FALSE),LocalAreas.csv!B:I,7,FALSE),200029)</f>
        <v>rg:None</v>
      </c>
      <c r="E12" s="8" t="str">
        <f t="shared" si="1"/>
        <v>rg:{'id':'rg:None'}</v>
      </c>
      <c r="F12" s="9" t="s">
        <v>7055</v>
      </c>
      <c r="G12" s="9" t="str">
        <f ca="1">INDEX(DistrictEquipmentTypes.csv!F:F,RANDBETWEEN(2,COUNTA(DistrictEquipmentTypes.csv!D:D)),1)</f>
        <v>200004</v>
      </c>
      <c r="H12" s="8" t="str">
        <f t="shared" ca="1" si="2"/>
        <v>rg:{ 'id': '200004'}</v>
      </c>
      <c r="I12" s="8">
        <f t="shared" ca="1" si="3"/>
        <v>1</v>
      </c>
      <c r="J12" s="8">
        <f t="shared" ca="1" si="4"/>
        <v>38</v>
      </c>
      <c r="K12" s="8" t="str">
        <f t="shared" ca="1" si="5"/>
        <v>2017-05-04</v>
      </c>
      <c r="L12" s="8" t="str">
        <f t="shared" ca="1" si="6"/>
        <v>2017-05-08</v>
      </c>
    </row>
    <row r="13" spans="1:12" x14ac:dyDescent="0.3">
      <c r="A13" s="8" t="s">
        <v>5668</v>
      </c>
      <c r="B13" s="8">
        <f t="shared" si="0"/>
        <v>600011</v>
      </c>
      <c r="C13" s="1" t="s">
        <v>6945</v>
      </c>
      <c r="D13" s="9" t="str">
        <f>IFERROR(VLOOKUP(VLOOKUP(VLOOKUP(C13,Project.csv!F:Q,12,FALSE),ServiceAreas.csv!B:I,8,FALSE),LocalAreas.csv!B:I,7,FALSE),200029)</f>
        <v>rg:None</v>
      </c>
      <c r="E13" s="8" t="str">
        <f t="shared" si="1"/>
        <v>rg:{'id':'rg:None'}</v>
      </c>
      <c r="F13" s="9" t="s">
        <v>7055</v>
      </c>
      <c r="G13" s="9" t="str">
        <f ca="1">INDEX(DistrictEquipmentTypes.csv!F:F,RANDBETWEEN(2,COUNTA(DistrictEquipmentTypes.csv!D:D)),1)</f>
        <v>200006</v>
      </c>
      <c r="H13" s="8" t="str">
        <f t="shared" ca="1" si="2"/>
        <v>rg:{ 'id': '200006'}</v>
      </c>
      <c r="I13" s="8">
        <f t="shared" ca="1" si="3"/>
        <v>1</v>
      </c>
      <c r="J13" s="8">
        <f t="shared" ca="1" si="4"/>
        <v>69</v>
      </c>
      <c r="K13" s="8" t="str">
        <f t="shared" ca="1" si="5"/>
        <v>2017-04-02</v>
      </c>
      <c r="L13" s="8" t="str">
        <f t="shared" ca="1" si="6"/>
        <v>2017-04-10</v>
      </c>
    </row>
    <row r="14" spans="1:12" x14ac:dyDescent="0.3">
      <c r="A14" s="8" t="s">
        <v>5668</v>
      </c>
      <c r="B14" s="8">
        <f t="shared" si="0"/>
        <v>600012</v>
      </c>
      <c r="C14" s="1" t="s">
        <v>6946</v>
      </c>
      <c r="D14" s="9" t="str">
        <f>IFERROR(VLOOKUP(VLOOKUP(VLOOKUP(C14,Project.csv!F:Q,12,FALSE),ServiceAreas.csv!B:I,8,FALSE),LocalAreas.csv!B:I,7,FALSE),200029)</f>
        <v>rg:None</v>
      </c>
      <c r="E14" s="8" t="str">
        <f t="shared" si="1"/>
        <v>rg:{'id':'rg:None'}</v>
      </c>
      <c r="F14" s="9" t="s">
        <v>7055</v>
      </c>
      <c r="G14" s="9" t="str">
        <f ca="1">INDEX(DistrictEquipmentTypes.csv!F:F,RANDBETWEEN(2,COUNTA(DistrictEquipmentTypes.csv!D:D)),1)</f>
        <v>200009</v>
      </c>
      <c r="H14" s="8" t="str">
        <f t="shared" ca="1" si="2"/>
        <v>rg:{ 'id': '200009'}</v>
      </c>
      <c r="I14" s="8">
        <f t="shared" ca="1" si="3"/>
        <v>1</v>
      </c>
      <c r="J14" s="8">
        <f t="shared" ca="1" si="4"/>
        <v>55</v>
      </c>
      <c r="K14" s="8" t="str">
        <f t="shared" ca="1" si="5"/>
        <v>2017-04-09</v>
      </c>
      <c r="L14" s="8" t="str">
        <f t="shared" ca="1" si="6"/>
        <v>2017-04-15</v>
      </c>
    </row>
    <row r="15" spans="1:12" x14ac:dyDescent="0.3">
      <c r="A15" s="8" t="s">
        <v>5668</v>
      </c>
      <c r="B15" s="8">
        <f t="shared" si="0"/>
        <v>600013</v>
      </c>
      <c r="C15" s="1" t="s">
        <v>6947</v>
      </c>
      <c r="D15" s="9" t="str">
        <f>IFERROR(VLOOKUP(VLOOKUP(VLOOKUP(C15,Project.csv!F:Q,12,FALSE),ServiceAreas.csv!B:I,8,FALSE),LocalAreas.csv!B:I,7,FALSE),200029)</f>
        <v>rg:None</v>
      </c>
      <c r="E15" s="8" t="str">
        <f t="shared" si="1"/>
        <v>rg:{'id':'rg:None'}</v>
      </c>
      <c r="F15" s="9" t="s">
        <v>7055</v>
      </c>
      <c r="G15" s="9" t="str">
        <f ca="1">INDEX(DistrictEquipmentTypes.csv!F:F,RANDBETWEEN(2,COUNTA(DistrictEquipmentTypes.csv!D:D)),1)</f>
        <v>200000</v>
      </c>
      <c r="H15" s="8" t="str">
        <f t="shared" ca="1" si="2"/>
        <v>rg:{ 'id': '200000'}</v>
      </c>
      <c r="I15" s="8">
        <f t="shared" ca="1" si="3"/>
        <v>1</v>
      </c>
      <c r="J15" s="8">
        <f t="shared" ca="1" si="4"/>
        <v>65</v>
      </c>
      <c r="K15" s="8" t="str">
        <f t="shared" ca="1" si="5"/>
        <v>2017-04-29</v>
      </c>
      <c r="L15" s="8" t="str">
        <f t="shared" ca="1" si="6"/>
        <v>2017-05-07</v>
      </c>
    </row>
    <row r="16" spans="1:12" x14ac:dyDescent="0.3">
      <c r="A16" s="8" t="s">
        <v>5668</v>
      </c>
      <c r="B16" s="8">
        <f t="shared" si="0"/>
        <v>600014</v>
      </c>
      <c r="C16" s="1" t="s">
        <v>6934</v>
      </c>
      <c r="D16" s="9" t="str">
        <f>IFERROR(VLOOKUP(VLOOKUP(VLOOKUP(C16,Project.csv!F:Q,12,FALSE),ServiceAreas.csv!B:I,8,FALSE),LocalAreas.csv!B:I,7,FALSE),200029)</f>
        <v>rg:None</v>
      </c>
      <c r="E16" s="8" t="str">
        <f t="shared" si="1"/>
        <v>rg:{'id':'rg:None'}</v>
      </c>
      <c r="F16" s="9" t="s">
        <v>7055</v>
      </c>
      <c r="G16" s="9" t="str">
        <f ca="1">INDEX(DistrictEquipmentTypes.csv!F:F,RANDBETWEEN(2,COUNTA(DistrictEquipmentTypes.csv!D:D)),1)</f>
        <v>200009</v>
      </c>
      <c r="H16" s="8" t="str">
        <f t="shared" ca="1" si="2"/>
        <v>rg:{ 'id': '200009'}</v>
      </c>
      <c r="I16" s="8">
        <f t="shared" ca="1" si="3"/>
        <v>1</v>
      </c>
      <c r="J16" s="8">
        <f t="shared" ca="1" si="4"/>
        <v>57</v>
      </c>
      <c r="K16" s="8" t="str">
        <f t="shared" ca="1" si="5"/>
        <v>2017-04-08</v>
      </c>
      <c r="L16" s="8" t="str">
        <f t="shared" ca="1" si="6"/>
        <v>2017-04-15</v>
      </c>
    </row>
    <row r="17" spans="1:12" x14ac:dyDescent="0.3">
      <c r="A17" s="8" t="s">
        <v>5668</v>
      </c>
      <c r="B17" s="8">
        <f t="shared" si="0"/>
        <v>600015</v>
      </c>
      <c r="C17" s="1" t="s">
        <v>6948</v>
      </c>
      <c r="D17" s="9" t="str">
        <f>IFERROR(VLOOKUP(VLOOKUP(VLOOKUP(C17,Project.csv!F:Q,12,FALSE),ServiceAreas.csv!B:I,8,FALSE),LocalAreas.csv!B:I,7,FALSE),200029)</f>
        <v>rg:None</v>
      </c>
      <c r="E17" s="8" t="str">
        <f t="shared" si="1"/>
        <v>rg:{'id':'rg:None'}</v>
      </c>
      <c r="F17" s="9" t="s">
        <v>7055</v>
      </c>
      <c r="G17" s="9" t="str">
        <f ca="1">INDEX(DistrictEquipmentTypes.csv!F:F,RANDBETWEEN(2,COUNTA(DistrictEquipmentTypes.csv!D:D)),1)</f>
        <v>200001</v>
      </c>
      <c r="H17" s="8" t="str">
        <f t="shared" ca="1" si="2"/>
        <v>rg:{ 'id': '200001'}</v>
      </c>
      <c r="I17" s="8">
        <f t="shared" ca="1" si="3"/>
        <v>1</v>
      </c>
      <c r="J17" s="8">
        <f t="shared" ca="1" si="4"/>
        <v>24</v>
      </c>
      <c r="K17" s="8" t="str">
        <f t="shared" ca="1" si="5"/>
        <v>2017-05-22</v>
      </c>
      <c r="L17" s="8" t="str">
        <f t="shared" ca="1" si="6"/>
        <v>2017-05-25</v>
      </c>
    </row>
    <row r="18" spans="1:12" x14ac:dyDescent="0.3">
      <c r="A18" s="8" t="s">
        <v>5668</v>
      </c>
      <c r="B18" s="8">
        <f t="shared" si="0"/>
        <v>600016</v>
      </c>
      <c r="C18" s="1" t="s">
        <v>6917</v>
      </c>
      <c r="D18" s="9" t="str">
        <f>IFERROR(VLOOKUP(VLOOKUP(VLOOKUP(C18,Project.csv!F:Q,12,FALSE),ServiceAreas.csv!B:I,8,FALSE),LocalAreas.csv!B:I,7,FALSE),200029)</f>
        <v>rg:None</v>
      </c>
      <c r="E18" s="8" t="str">
        <f t="shared" si="1"/>
        <v>rg:{'id':'rg:None'}</v>
      </c>
      <c r="F18" s="9" t="s">
        <v>7055</v>
      </c>
      <c r="G18" s="9" t="str">
        <f ca="1">INDEX(DistrictEquipmentTypes.csv!F:F,RANDBETWEEN(2,COUNTA(DistrictEquipmentTypes.csv!D:D)),1)</f>
        <v>200003</v>
      </c>
      <c r="H18" s="8" t="str">
        <f t="shared" ca="1" si="2"/>
        <v>rg:{ 'id': '200003'}</v>
      </c>
      <c r="I18" s="8">
        <f t="shared" ca="1" si="3"/>
        <v>1</v>
      </c>
      <c r="J18" s="8">
        <f t="shared" ca="1" si="4"/>
        <v>36</v>
      </c>
      <c r="K18" s="8" t="str">
        <f t="shared" ca="1" si="5"/>
        <v>2017-04-14</v>
      </c>
      <c r="L18" s="8" t="str">
        <f t="shared" ca="1" si="6"/>
        <v>2017-04-18</v>
      </c>
    </row>
    <row r="19" spans="1:12" x14ac:dyDescent="0.3">
      <c r="A19" s="8" t="s">
        <v>5668</v>
      </c>
      <c r="B19" s="8">
        <f t="shared" si="0"/>
        <v>600017</v>
      </c>
      <c r="C19" s="1" t="s">
        <v>6949</v>
      </c>
      <c r="D19" s="9" t="str">
        <f>IFERROR(VLOOKUP(VLOOKUP(VLOOKUP(C19,Project.csv!F:Q,12,FALSE),ServiceAreas.csv!B:I,8,FALSE),LocalAreas.csv!B:I,7,FALSE),200029)</f>
        <v>rg:None</v>
      </c>
      <c r="E19" s="8" t="str">
        <f t="shared" si="1"/>
        <v>rg:{'id':'rg:None'}</v>
      </c>
      <c r="F19" s="9" t="s">
        <v>7055</v>
      </c>
      <c r="G19" s="9" t="str">
        <f ca="1">INDEX(DistrictEquipmentTypes.csv!F:F,RANDBETWEEN(2,COUNTA(DistrictEquipmentTypes.csv!D:D)),1)</f>
        <v>200005</v>
      </c>
      <c r="H19" s="8" t="str">
        <f t="shared" ca="1" si="2"/>
        <v>rg:{ 'id': '200005'}</v>
      </c>
      <c r="I19" s="8">
        <f t="shared" ca="1" si="3"/>
        <v>1</v>
      </c>
      <c r="J19" s="8">
        <f t="shared" ca="1" si="4"/>
        <v>68</v>
      </c>
      <c r="K19" s="8" t="str">
        <f t="shared" ca="1" si="5"/>
        <v>2017-04-05</v>
      </c>
      <c r="L19" s="8" t="str">
        <f t="shared" ca="1" si="6"/>
        <v>2017-04-13</v>
      </c>
    </row>
    <row r="20" spans="1:12" x14ac:dyDescent="0.3">
      <c r="A20" s="8" t="s">
        <v>5668</v>
      </c>
      <c r="B20" s="8">
        <f t="shared" si="0"/>
        <v>600018</v>
      </c>
      <c r="C20" s="1" t="s">
        <v>6894</v>
      </c>
      <c r="D20" s="9" t="str">
        <f>IFERROR(VLOOKUP(VLOOKUP(VLOOKUP(C20,Project.csv!F:Q,12,FALSE),ServiceAreas.csv!B:I,8,FALSE),LocalAreas.csv!B:I,7,FALSE),200029)</f>
        <v>rg:None</v>
      </c>
      <c r="E20" s="8" t="str">
        <f t="shared" si="1"/>
        <v>rg:{'id':'rg:None'}</v>
      </c>
      <c r="F20" s="9" t="s">
        <v>7055</v>
      </c>
      <c r="G20" s="9" t="str">
        <f ca="1">INDEX(DistrictEquipmentTypes.csv!F:F,RANDBETWEEN(2,COUNTA(DistrictEquipmentTypes.csv!D:D)),1)</f>
        <v>200009</v>
      </c>
      <c r="H20" s="8" t="str">
        <f t="shared" ca="1" si="2"/>
        <v>rg:{ 'id': '200009'}</v>
      </c>
      <c r="I20" s="8">
        <f t="shared" ca="1" si="3"/>
        <v>1</v>
      </c>
      <c r="J20" s="8">
        <f t="shared" ca="1" si="4"/>
        <v>48</v>
      </c>
      <c r="K20" s="8" t="str">
        <f t="shared" ca="1" si="5"/>
        <v>2017-04-20</v>
      </c>
      <c r="L20" s="8" t="str">
        <f t="shared" ca="1" si="6"/>
        <v>2017-04-26</v>
      </c>
    </row>
    <row r="21" spans="1:12" x14ac:dyDescent="0.3">
      <c r="A21" s="8" t="s">
        <v>5668</v>
      </c>
      <c r="B21" s="8">
        <f t="shared" si="0"/>
        <v>600019</v>
      </c>
      <c r="C21" s="1" t="s">
        <v>6950</v>
      </c>
      <c r="D21" s="9" t="str">
        <f>IFERROR(VLOOKUP(VLOOKUP(VLOOKUP(C21,Project.csv!F:Q,12,FALSE),ServiceAreas.csv!B:I,8,FALSE),LocalAreas.csv!B:I,7,FALSE),200029)</f>
        <v>rg:None</v>
      </c>
      <c r="E21" s="8" t="str">
        <f t="shared" si="1"/>
        <v>rg:{'id':'rg:None'}</v>
      </c>
      <c r="F21" s="9" t="s">
        <v>7055</v>
      </c>
      <c r="G21" s="9" t="str">
        <f ca="1">INDEX(DistrictEquipmentTypes.csv!F:F,RANDBETWEEN(2,COUNTA(DistrictEquipmentTypes.csv!D:D)),1)</f>
        <v>200002</v>
      </c>
      <c r="H21" s="8" t="str">
        <f t="shared" ca="1" si="2"/>
        <v>rg:{ 'id': '200002'}</v>
      </c>
      <c r="I21" s="8">
        <f t="shared" ca="1" si="3"/>
        <v>5</v>
      </c>
      <c r="J21" s="8">
        <f t="shared" ca="1" si="4"/>
        <v>57</v>
      </c>
      <c r="K21" s="8" t="str">
        <f t="shared" ca="1" si="5"/>
        <v>2017-03-31</v>
      </c>
      <c r="L21" s="8" t="str">
        <f t="shared" ca="1" si="6"/>
        <v>2017-05-05</v>
      </c>
    </row>
    <row r="22" spans="1:12" x14ac:dyDescent="0.3">
      <c r="A22" s="8" t="s">
        <v>5668</v>
      </c>
      <c r="B22" s="8">
        <f t="shared" si="0"/>
        <v>600020</v>
      </c>
      <c r="C22" s="1" t="s">
        <v>6901</v>
      </c>
      <c r="D22" s="9" t="str">
        <f>IFERROR(VLOOKUP(VLOOKUP(VLOOKUP(C22,Project.csv!F:Q,12,FALSE),ServiceAreas.csv!B:I,8,FALSE),LocalAreas.csv!B:I,7,FALSE),200029)</f>
        <v>rg:None</v>
      </c>
      <c r="E22" s="8" t="str">
        <f t="shared" si="1"/>
        <v>rg:{'id':'rg:None'}</v>
      </c>
      <c r="F22" s="9" t="s">
        <v>7055</v>
      </c>
      <c r="G22" s="9" t="str">
        <f ca="1">INDEX(DistrictEquipmentTypes.csv!F:F,RANDBETWEEN(2,COUNTA(DistrictEquipmentTypes.csv!D:D)),1)</f>
        <v>200007</v>
      </c>
      <c r="H22" s="8" t="str">
        <f t="shared" ca="1" si="2"/>
        <v>rg:{ 'id': '200007'}</v>
      </c>
      <c r="I22" s="8">
        <f t="shared" ca="1" si="3"/>
        <v>1</v>
      </c>
      <c r="J22" s="8">
        <f t="shared" ca="1" si="4"/>
        <v>54</v>
      </c>
      <c r="K22" s="8" t="str">
        <f t="shared" ca="1" si="5"/>
        <v>2017-04-17</v>
      </c>
      <c r="L22" s="8" t="str">
        <f t="shared" ca="1" si="6"/>
        <v>2017-04-23</v>
      </c>
    </row>
    <row r="23" spans="1:12" x14ac:dyDescent="0.3">
      <c r="A23" s="8" t="s">
        <v>5668</v>
      </c>
      <c r="B23" s="8">
        <f t="shared" si="0"/>
        <v>600021</v>
      </c>
      <c r="C23" s="1" t="s">
        <v>6951</v>
      </c>
      <c r="D23" s="9" t="str">
        <f>IFERROR(VLOOKUP(VLOOKUP(VLOOKUP(C23,Project.csv!F:Q,12,FALSE),ServiceAreas.csv!B:I,8,FALSE),LocalAreas.csv!B:I,7,FALSE),200029)</f>
        <v>rg:None</v>
      </c>
      <c r="E23" s="8" t="str">
        <f t="shared" si="1"/>
        <v>rg:{'id':'rg:None'}</v>
      </c>
      <c r="F23" s="9" t="s">
        <v>7055</v>
      </c>
      <c r="G23" s="9" t="str">
        <f ca="1">INDEX(DistrictEquipmentTypes.csv!F:F,RANDBETWEEN(2,COUNTA(DistrictEquipmentTypes.csv!D:D)),1)</f>
        <v>200005</v>
      </c>
      <c r="H23" s="8" t="str">
        <f t="shared" ca="1" si="2"/>
        <v>rg:{ 'id': '200005'}</v>
      </c>
      <c r="I23" s="8">
        <f t="shared" ca="1" si="3"/>
        <v>4</v>
      </c>
      <c r="J23" s="8">
        <f t="shared" ca="1" si="4"/>
        <v>32</v>
      </c>
      <c r="K23" s="8" t="str">
        <f t="shared" ca="1" si="5"/>
        <v>2017-05-01</v>
      </c>
      <c r="L23" s="8" t="str">
        <f t="shared" ca="1" si="6"/>
        <v>2017-05-17</v>
      </c>
    </row>
    <row r="24" spans="1:12" x14ac:dyDescent="0.3">
      <c r="A24" s="8" t="s">
        <v>5668</v>
      </c>
      <c r="B24" s="8">
        <f t="shared" si="0"/>
        <v>600022</v>
      </c>
      <c r="C24" s="1" t="s">
        <v>6893</v>
      </c>
      <c r="D24" s="9" t="str">
        <f>IFERROR(VLOOKUP(VLOOKUP(VLOOKUP(C24,Project.csv!F:Q,12,FALSE),ServiceAreas.csv!B:I,8,FALSE),LocalAreas.csv!B:I,7,FALSE),200029)</f>
        <v>rg:None</v>
      </c>
      <c r="E24" s="8" t="str">
        <f t="shared" si="1"/>
        <v>rg:{'id':'rg:None'}</v>
      </c>
      <c r="F24" s="9" t="s">
        <v>7055</v>
      </c>
      <c r="G24" s="9" t="str">
        <f ca="1">INDEX(DistrictEquipmentTypes.csv!F:F,RANDBETWEEN(2,COUNTA(DistrictEquipmentTypes.csv!D:D)),1)</f>
        <v>200000</v>
      </c>
      <c r="H24" s="8" t="str">
        <f t="shared" ca="1" si="2"/>
        <v>rg:{ 'id': '200000'}</v>
      </c>
      <c r="I24" s="8">
        <f t="shared" ca="1" si="3"/>
        <v>1</v>
      </c>
      <c r="J24" s="8">
        <f t="shared" ca="1" si="4"/>
        <v>73</v>
      </c>
      <c r="K24" s="8" t="str">
        <f t="shared" ca="1" si="5"/>
        <v>2017-04-21</v>
      </c>
      <c r="L24" s="8" t="str">
        <f t="shared" ca="1" si="6"/>
        <v>2017-04-30</v>
      </c>
    </row>
    <row r="25" spans="1:12" x14ac:dyDescent="0.3">
      <c r="A25" s="8" t="s">
        <v>5668</v>
      </c>
      <c r="B25" s="8">
        <f t="shared" si="0"/>
        <v>600023</v>
      </c>
      <c r="C25" s="1" t="s">
        <v>6952</v>
      </c>
      <c r="D25" s="9" t="str">
        <f>IFERROR(VLOOKUP(VLOOKUP(VLOOKUP(C25,Project.csv!F:Q,12,FALSE),ServiceAreas.csv!B:I,8,FALSE),LocalAreas.csv!B:I,7,FALSE),200029)</f>
        <v>rg:None</v>
      </c>
      <c r="E25" s="8" t="str">
        <f t="shared" si="1"/>
        <v>rg:{'id':'rg:None'}</v>
      </c>
      <c r="F25" s="9" t="s">
        <v>7055</v>
      </c>
      <c r="G25" s="9" t="str">
        <f ca="1">INDEX(DistrictEquipmentTypes.csv!F:F,RANDBETWEEN(2,COUNTA(DistrictEquipmentTypes.csv!D:D)),1)</f>
        <v>200003</v>
      </c>
      <c r="H25" s="8" t="str">
        <f t="shared" ca="1" si="2"/>
        <v>rg:{ 'id': '200003'}</v>
      </c>
      <c r="I25" s="8">
        <f t="shared" ca="1" si="3"/>
        <v>1</v>
      </c>
      <c r="J25" s="8">
        <f t="shared" ca="1" si="4"/>
        <v>71</v>
      </c>
      <c r="K25" s="8" t="str">
        <f t="shared" ca="1" si="5"/>
        <v>2017-05-19</v>
      </c>
      <c r="L25" s="8" t="str">
        <f t="shared" ca="1" si="6"/>
        <v>2017-05-27</v>
      </c>
    </row>
    <row r="26" spans="1:12" x14ac:dyDescent="0.3">
      <c r="A26" s="8" t="s">
        <v>5668</v>
      </c>
      <c r="B26" s="8">
        <f t="shared" si="0"/>
        <v>600024</v>
      </c>
      <c r="C26" s="1" t="s">
        <v>6953</v>
      </c>
      <c r="D26" s="9" t="str">
        <f>IFERROR(VLOOKUP(VLOOKUP(VLOOKUP(C26,Project.csv!F:Q,12,FALSE),ServiceAreas.csv!B:I,8,FALSE),LocalAreas.csv!B:I,7,FALSE),200029)</f>
        <v>rg:None</v>
      </c>
      <c r="E26" s="8" t="str">
        <f t="shared" si="1"/>
        <v>rg:{'id':'rg:None'}</v>
      </c>
      <c r="F26" s="9" t="s">
        <v>7055</v>
      </c>
      <c r="G26" s="9" t="str">
        <f ca="1">INDEX(DistrictEquipmentTypes.csv!F:F,RANDBETWEEN(2,COUNTA(DistrictEquipmentTypes.csv!D:D)),1)</f>
        <v>200001</v>
      </c>
      <c r="H26" s="8" t="str">
        <f t="shared" ca="1" si="2"/>
        <v>rg:{ 'id': '200001'}</v>
      </c>
      <c r="I26" s="8">
        <f t="shared" ca="1" si="3"/>
        <v>1</v>
      </c>
      <c r="J26" s="8">
        <f t="shared" ca="1" si="4"/>
        <v>72</v>
      </c>
      <c r="K26" s="8" t="str">
        <f t="shared" ca="1" si="5"/>
        <v>2017-04-21</v>
      </c>
      <c r="L26" s="8" t="str">
        <f t="shared" ca="1" si="6"/>
        <v>2017-04-30</v>
      </c>
    </row>
    <row r="27" spans="1:12" x14ac:dyDescent="0.3">
      <c r="A27" s="8" t="s">
        <v>5668</v>
      </c>
      <c r="B27" s="8">
        <f t="shared" si="0"/>
        <v>600025</v>
      </c>
      <c r="C27" s="1" t="s">
        <v>6912</v>
      </c>
      <c r="D27" s="9" t="str">
        <f>IFERROR(VLOOKUP(VLOOKUP(VLOOKUP(C27,Project.csv!F:Q,12,FALSE),ServiceAreas.csv!B:I,8,FALSE),LocalAreas.csv!B:I,7,FALSE),200029)</f>
        <v>rg:None</v>
      </c>
      <c r="E27" s="8" t="str">
        <f t="shared" si="1"/>
        <v>rg:{'id':'rg:None'}</v>
      </c>
      <c r="F27" s="9" t="s">
        <v>7055</v>
      </c>
      <c r="G27" s="9" t="str">
        <f ca="1">INDEX(DistrictEquipmentTypes.csv!F:F,RANDBETWEEN(2,COUNTA(DistrictEquipmentTypes.csv!D:D)),1)</f>
        <v>200005</v>
      </c>
      <c r="H27" s="8" t="str">
        <f t="shared" ca="1" si="2"/>
        <v>rg:{ 'id': '200005'}</v>
      </c>
      <c r="I27" s="8">
        <f t="shared" ca="1" si="3"/>
        <v>1</v>
      </c>
      <c r="J27" s="8">
        <f t="shared" ca="1" si="4"/>
        <v>18</v>
      </c>
      <c r="K27" s="8" t="str">
        <f t="shared" ca="1" si="5"/>
        <v>2017-04-27</v>
      </c>
      <c r="L27" s="8" t="str">
        <f t="shared" ca="1" si="6"/>
        <v>2017-04-29</v>
      </c>
    </row>
    <row r="28" spans="1:12" x14ac:dyDescent="0.3">
      <c r="A28" s="8" t="s">
        <v>5668</v>
      </c>
      <c r="B28" s="8">
        <f t="shared" si="0"/>
        <v>600026</v>
      </c>
      <c r="C28" s="1" t="s">
        <v>6954</v>
      </c>
      <c r="D28" s="9" t="str">
        <f>IFERROR(VLOOKUP(VLOOKUP(VLOOKUP(C28,Project.csv!F:Q,12,FALSE),ServiceAreas.csv!B:I,8,FALSE),LocalAreas.csv!B:I,7,FALSE),200029)</f>
        <v>rg:None</v>
      </c>
      <c r="E28" s="8" t="str">
        <f t="shared" si="1"/>
        <v>rg:{'id':'rg:None'}</v>
      </c>
      <c r="F28" s="9" t="s">
        <v>7055</v>
      </c>
      <c r="G28" s="9" t="str">
        <f ca="1">INDEX(DistrictEquipmentTypes.csv!F:F,RANDBETWEEN(2,COUNTA(DistrictEquipmentTypes.csv!D:D)),1)</f>
        <v>200009</v>
      </c>
      <c r="H28" s="8" t="str">
        <f t="shared" ca="1" si="2"/>
        <v>rg:{ 'id': '200009'}</v>
      </c>
      <c r="I28" s="8">
        <f t="shared" ca="1" si="3"/>
        <v>4</v>
      </c>
      <c r="J28" s="8">
        <f t="shared" ca="1" si="4"/>
        <v>80</v>
      </c>
      <c r="K28" s="8" t="str">
        <f t="shared" ca="1" si="5"/>
        <v>2017-04-06</v>
      </c>
      <c r="L28" s="8" t="str">
        <f t="shared" ca="1" si="6"/>
        <v>2017-05-16</v>
      </c>
    </row>
    <row r="29" spans="1:12" x14ac:dyDescent="0.3">
      <c r="A29" s="8" t="s">
        <v>5668</v>
      </c>
      <c r="B29" s="8">
        <f t="shared" si="0"/>
        <v>600027</v>
      </c>
      <c r="C29" s="1" t="s">
        <v>6927</v>
      </c>
      <c r="D29" s="9" t="str">
        <f>IFERROR(VLOOKUP(VLOOKUP(VLOOKUP(C29,Project.csv!F:Q,12,FALSE),ServiceAreas.csv!B:I,8,FALSE),LocalAreas.csv!B:I,7,FALSE),200029)</f>
        <v>rg:None</v>
      </c>
      <c r="E29" s="8" t="str">
        <f t="shared" si="1"/>
        <v>rg:{'id':'rg:None'}</v>
      </c>
      <c r="F29" s="9" t="s">
        <v>7055</v>
      </c>
      <c r="G29" s="9" t="str">
        <f ca="1">INDEX(DistrictEquipmentTypes.csv!F:F,RANDBETWEEN(2,COUNTA(DistrictEquipmentTypes.csv!D:D)),1)</f>
        <v>200003</v>
      </c>
      <c r="H29" s="8" t="str">
        <f t="shared" ca="1" si="2"/>
        <v>rg:{ 'id': '200003'}</v>
      </c>
      <c r="I29" s="8">
        <f t="shared" ca="1" si="3"/>
        <v>1</v>
      </c>
      <c r="J29" s="8">
        <f t="shared" ca="1" si="4"/>
        <v>15</v>
      </c>
      <c r="K29" s="8" t="str">
        <f t="shared" ca="1" si="5"/>
        <v>2017-04-03</v>
      </c>
      <c r="L29" s="8" t="str">
        <f t="shared" ca="1" si="6"/>
        <v>2017-04-04</v>
      </c>
    </row>
    <row r="30" spans="1:12" x14ac:dyDescent="0.3">
      <c r="A30" s="8" t="s">
        <v>5668</v>
      </c>
      <c r="B30" s="8">
        <f t="shared" si="0"/>
        <v>600028</v>
      </c>
      <c r="C30" s="1" t="s">
        <v>6955</v>
      </c>
      <c r="D30" s="9">
        <f>IFERROR(VLOOKUP(VLOOKUP(VLOOKUP(C30,Project.csv!F:Q,12,FALSE),ServiceAreas.csv!B:I,8,FALSE),LocalAreas.csv!B:I,7,FALSE),200029)</f>
        <v>200029</v>
      </c>
      <c r="E30" s="8" t="str">
        <f t="shared" si="1"/>
        <v>rg:{'id':'200029'}</v>
      </c>
      <c r="F30" s="9" t="s">
        <v>7055</v>
      </c>
      <c r="G30" s="9" t="str">
        <f ca="1">INDEX(DistrictEquipmentTypes.csv!F:F,RANDBETWEEN(2,COUNTA(DistrictEquipmentTypes.csv!D:D)),1)</f>
        <v>200006</v>
      </c>
      <c r="H30" s="8" t="str">
        <f t="shared" ca="1" si="2"/>
        <v>rg:{ 'id': '200006'}</v>
      </c>
      <c r="I30" s="8">
        <f t="shared" ca="1" si="3"/>
        <v>1</v>
      </c>
      <c r="J30" s="8">
        <f t="shared" ca="1" si="4"/>
        <v>12</v>
      </c>
      <c r="K30" s="8" t="str">
        <f t="shared" ca="1" si="5"/>
        <v>2017-05-22</v>
      </c>
      <c r="L30" s="8" t="str">
        <f t="shared" ca="1" si="6"/>
        <v>2017-05-23</v>
      </c>
    </row>
    <row r="31" spans="1:12" x14ac:dyDescent="0.3">
      <c r="A31" s="8" t="s">
        <v>5668</v>
      </c>
      <c r="B31" s="8">
        <f t="shared" si="0"/>
        <v>600029</v>
      </c>
      <c r="C31" s="1" t="s">
        <v>6956</v>
      </c>
      <c r="D31" s="9">
        <f>IFERROR(VLOOKUP(VLOOKUP(VLOOKUP(C31,Project.csv!F:Q,12,FALSE),ServiceAreas.csv!B:I,8,FALSE),LocalAreas.csv!B:I,7,FALSE),200029)</f>
        <v>200029</v>
      </c>
      <c r="E31" s="8" t="str">
        <f t="shared" si="1"/>
        <v>rg:{'id':'200029'}</v>
      </c>
      <c r="F31" s="9" t="s">
        <v>7055</v>
      </c>
      <c r="G31" s="9" t="str">
        <f ca="1">INDEX(DistrictEquipmentTypes.csv!F:F,RANDBETWEEN(2,COUNTA(DistrictEquipmentTypes.csv!D:D)),1)</f>
        <v>200001</v>
      </c>
      <c r="H31" s="8" t="str">
        <f t="shared" ca="1" si="2"/>
        <v>rg:{ 'id': '200001'}</v>
      </c>
      <c r="I31" s="8">
        <f t="shared" ca="1" si="3"/>
        <v>1</v>
      </c>
      <c r="J31" s="8">
        <f t="shared" ca="1" si="4"/>
        <v>15</v>
      </c>
      <c r="K31" s="8" t="str">
        <f t="shared" ca="1" si="5"/>
        <v>2017-04-30</v>
      </c>
      <c r="L31" s="8" t="str">
        <f t="shared" ca="1" si="6"/>
        <v>2017-05-01</v>
      </c>
    </row>
    <row r="32" spans="1:12" x14ac:dyDescent="0.3">
      <c r="A32" s="8" t="s">
        <v>5668</v>
      </c>
      <c r="B32" s="8">
        <f t="shared" si="0"/>
        <v>600030</v>
      </c>
      <c r="C32" s="1" t="s">
        <v>6957</v>
      </c>
      <c r="D32" s="9">
        <f>IFERROR(VLOOKUP(VLOOKUP(VLOOKUP(C32,Project.csv!F:Q,12,FALSE),ServiceAreas.csv!B:I,8,FALSE),LocalAreas.csv!B:I,7,FALSE),200029)</f>
        <v>200029</v>
      </c>
      <c r="E32" s="8" t="str">
        <f t="shared" si="1"/>
        <v>rg:{'id':'200029'}</v>
      </c>
      <c r="F32" s="9" t="s">
        <v>7055</v>
      </c>
      <c r="G32" s="9" t="str">
        <f ca="1">INDEX(DistrictEquipmentTypes.csv!F:F,RANDBETWEEN(2,COUNTA(DistrictEquipmentTypes.csv!D:D)),1)</f>
        <v>200009</v>
      </c>
      <c r="H32" s="8" t="str">
        <f t="shared" ca="1" si="2"/>
        <v>rg:{ 'id': '200009'}</v>
      </c>
      <c r="I32" s="8">
        <f t="shared" ca="1" si="3"/>
        <v>1</v>
      </c>
      <c r="J32" s="8">
        <f t="shared" ca="1" si="4"/>
        <v>73</v>
      </c>
      <c r="K32" s="8" t="str">
        <f t="shared" ca="1" si="5"/>
        <v>2017-05-14</v>
      </c>
      <c r="L32" s="8" t="str">
        <f t="shared" ca="1" si="6"/>
        <v>2017-05-23</v>
      </c>
    </row>
    <row r="33" spans="1:12" x14ac:dyDescent="0.3">
      <c r="A33" s="8" t="s">
        <v>5668</v>
      </c>
      <c r="B33" s="8">
        <f t="shared" si="0"/>
        <v>600031</v>
      </c>
      <c r="C33" s="1" t="s">
        <v>6958</v>
      </c>
      <c r="D33" s="9">
        <f>IFERROR(VLOOKUP(VLOOKUP(VLOOKUP(C33,Project.csv!F:Q,12,FALSE),ServiceAreas.csv!B:I,8,FALSE),LocalAreas.csv!B:I,7,FALSE),200029)</f>
        <v>200029</v>
      </c>
      <c r="E33" s="8" t="str">
        <f t="shared" si="1"/>
        <v>rg:{'id':'200029'}</v>
      </c>
      <c r="F33" s="9" t="s">
        <v>7055</v>
      </c>
      <c r="G33" s="9" t="str">
        <f ca="1">INDEX(DistrictEquipmentTypes.csv!F:F,RANDBETWEEN(2,COUNTA(DistrictEquipmentTypes.csv!D:D)),1)</f>
        <v>200001</v>
      </c>
      <c r="H33" s="8" t="str">
        <f t="shared" ca="1" si="2"/>
        <v>rg:{ 'id': '200001'}</v>
      </c>
      <c r="I33" s="8">
        <f t="shared" ca="1" si="3"/>
        <v>1</v>
      </c>
      <c r="J33" s="8">
        <f t="shared" ca="1" si="4"/>
        <v>22</v>
      </c>
      <c r="K33" s="8" t="str">
        <f t="shared" ca="1" si="5"/>
        <v>2017-04-20</v>
      </c>
      <c r="L33" s="8" t="str">
        <f t="shared" ca="1" si="6"/>
        <v>2017-04-22</v>
      </c>
    </row>
    <row r="34" spans="1:12" x14ac:dyDescent="0.3">
      <c r="A34" s="8" t="s">
        <v>5668</v>
      </c>
      <c r="B34" s="8">
        <f t="shared" si="0"/>
        <v>600032</v>
      </c>
      <c r="C34" s="1" t="s">
        <v>6959</v>
      </c>
      <c r="D34" s="9">
        <f>IFERROR(VLOOKUP(VLOOKUP(VLOOKUP(C34,Project.csv!F:Q,12,FALSE),ServiceAreas.csv!B:I,8,FALSE),LocalAreas.csv!B:I,7,FALSE),200029)</f>
        <v>200029</v>
      </c>
      <c r="E34" s="8" t="str">
        <f t="shared" si="1"/>
        <v>rg:{'id':'200029'}</v>
      </c>
      <c r="F34" s="9" t="s">
        <v>7055</v>
      </c>
      <c r="G34" s="9" t="str">
        <f ca="1">INDEX(DistrictEquipmentTypes.csv!F:F,RANDBETWEEN(2,COUNTA(DistrictEquipmentTypes.csv!D:D)),1)</f>
        <v>200006</v>
      </c>
      <c r="H34" s="8" t="str">
        <f t="shared" ca="1" si="2"/>
        <v>rg:{ 'id': '200006'}</v>
      </c>
      <c r="I34" s="8">
        <f t="shared" ca="1" si="3"/>
        <v>1</v>
      </c>
      <c r="J34" s="8">
        <f t="shared" ca="1" si="4"/>
        <v>80</v>
      </c>
      <c r="K34" s="8" t="str">
        <f t="shared" ca="1" si="5"/>
        <v>2017-05-22</v>
      </c>
      <c r="L34" s="8" t="str">
        <f t="shared" ca="1" si="6"/>
        <v>2017-06-01</v>
      </c>
    </row>
    <row r="35" spans="1:12" x14ac:dyDescent="0.3">
      <c r="A35" s="8" t="s">
        <v>5668</v>
      </c>
      <c r="B35" s="8">
        <f t="shared" si="0"/>
        <v>600033</v>
      </c>
      <c r="C35" s="1" t="s">
        <v>6903</v>
      </c>
      <c r="D35" s="9">
        <f>IFERROR(VLOOKUP(VLOOKUP(VLOOKUP(C35,Project.csv!F:Q,12,FALSE),ServiceAreas.csv!B:I,8,FALSE),LocalAreas.csv!B:I,7,FALSE),200029)</f>
        <v>200029</v>
      </c>
      <c r="E35" s="8" t="str">
        <f t="shared" si="1"/>
        <v>rg:{'id':'200029'}</v>
      </c>
      <c r="F35" s="9" t="s">
        <v>7055</v>
      </c>
      <c r="G35" s="9" t="str">
        <f ca="1">INDEX(DistrictEquipmentTypes.csv!F:F,RANDBETWEEN(2,COUNTA(DistrictEquipmentTypes.csv!D:D)),1)</f>
        <v>200007</v>
      </c>
      <c r="H35" s="8" t="str">
        <f t="shared" ca="1" si="2"/>
        <v>rg:{ 'id': '200007'}</v>
      </c>
      <c r="I35" s="8">
        <f t="shared" ca="1" si="3"/>
        <v>1</v>
      </c>
      <c r="J35" s="8">
        <f t="shared" ca="1" si="4"/>
        <v>67</v>
      </c>
      <c r="K35" s="8" t="str">
        <f t="shared" ca="1" si="5"/>
        <v>2017-05-02</v>
      </c>
      <c r="L35" s="8" t="str">
        <f t="shared" ca="1" si="6"/>
        <v>2017-05-10</v>
      </c>
    </row>
    <row r="36" spans="1:12" x14ac:dyDescent="0.3">
      <c r="A36" s="8" t="s">
        <v>5668</v>
      </c>
      <c r="B36" s="8">
        <f t="shared" si="0"/>
        <v>600034</v>
      </c>
      <c r="C36" s="1" t="s">
        <v>6909</v>
      </c>
      <c r="D36" s="9">
        <f>IFERROR(VLOOKUP(VLOOKUP(VLOOKUP(C36,Project.csv!F:Q,12,FALSE),ServiceAreas.csv!B:I,8,FALSE),LocalAreas.csv!B:I,7,FALSE),200029)</f>
        <v>200029</v>
      </c>
      <c r="E36" s="8" t="str">
        <f t="shared" si="1"/>
        <v>rg:{'id':'200029'}</v>
      </c>
      <c r="F36" s="9" t="s">
        <v>7056</v>
      </c>
      <c r="G36" s="9" t="str">
        <f ca="1">INDEX(DistrictEquipmentTypes.csv!F:F,RANDBETWEEN(2,COUNTA(DistrictEquipmentTypes.csv!D:D)),1)</f>
        <v>200004</v>
      </c>
      <c r="H36" s="8" t="str">
        <f t="shared" ca="1" si="2"/>
        <v>rg:{ 'id': '200004'}</v>
      </c>
      <c r="I36" s="8">
        <f t="shared" ca="1" si="3"/>
        <v>1</v>
      </c>
      <c r="J36" s="8">
        <f t="shared" ca="1" si="4"/>
        <v>15</v>
      </c>
      <c r="K36" s="8" t="str">
        <f t="shared" ca="1" si="5"/>
        <v>2017-05-19</v>
      </c>
      <c r="L36" s="8" t="str">
        <f t="shared" ca="1" si="6"/>
        <v>2017-05-20</v>
      </c>
    </row>
    <row r="37" spans="1:12" x14ac:dyDescent="0.3">
      <c r="A37" s="8" t="s">
        <v>5668</v>
      </c>
      <c r="B37" s="8">
        <f t="shared" si="0"/>
        <v>600035</v>
      </c>
      <c r="C37" s="1" t="s">
        <v>6960</v>
      </c>
      <c r="D37" s="9" t="str">
        <f>IFERROR(VLOOKUP(VLOOKUP(VLOOKUP(C37,Project.csv!F:Q,12,FALSE),ServiceAreas.csv!B:I,8,FALSE),LocalAreas.csv!B:I,7,FALSE),200029)</f>
        <v>rg:None</v>
      </c>
      <c r="E37" s="8" t="str">
        <f t="shared" si="1"/>
        <v>rg:{'id':'rg:None'}</v>
      </c>
      <c r="F37" s="9" t="s">
        <v>7056</v>
      </c>
      <c r="G37" s="9" t="str">
        <f ca="1">INDEX(DistrictEquipmentTypes.csv!F:F,RANDBETWEEN(2,COUNTA(DistrictEquipmentTypes.csv!D:D)),1)</f>
        <v>200007</v>
      </c>
      <c r="H37" s="8" t="str">
        <f t="shared" ca="1" si="2"/>
        <v>rg:{ 'id': '200007'}</v>
      </c>
      <c r="I37" s="8">
        <f t="shared" ca="1" si="3"/>
        <v>1</v>
      </c>
      <c r="J37" s="8">
        <f t="shared" ca="1" si="4"/>
        <v>11</v>
      </c>
      <c r="K37" s="8" t="str">
        <f t="shared" ca="1" si="5"/>
        <v>2017-04-17</v>
      </c>
      <c r="L37" s="8" t="str">
        <f t="shared" ca="1" si="6"/>
        <v>2017-04-18</v>
      </c>
    </row>
    <row r="38" spans="1:12" x14ac:dyDescent="0.3">
      <c r="A38" s="8" t="s">
        <v>5668</v>
      </c>
      <c r="B38" s="8">
        <f t="shared" si="0"/>
        <v>600036</v>
      </c>
      <c r="C38" s="1" t="s">
        <v>6961</v>
      </c>
      <c r="D38" s="9" t="str">
        <f>IFERROR(VLOOKUP(VLOOKUP(VLOOKUP(C38,Project.csv!F:Q,12,FALSE),ServiceAreas.csv!B:I,8,FALSE),LocalAreas.csv!B:I,7,FALSE),200029)</f>
        <v>rg:None</v>
      </c>
      <c r="E38" s="8" t="str">
        <f t="shared" si="1"/>
        <v>rg:{'id':'rg:None'}</v>
      </c>
      <c r="F38" s="9" t="s">
        <v>7055</v>
      </c>
      <c r="G38" s="9" t="str">
        <f ca="1">INDEX(DistrictEquipmentTypes.csv!F:F,RANDBETWEEN(2,COUNTA(DistrictEquipmentTypes.csv!D:D)),1)</f>
        <v>200003</v>
      </c>
      <c r="H38" s="8" t="str">
        <f t="shared" ca="1" si="2"/>
        <v>rg:{ 'id': '200003'}</v>
      </c>
      <c r="I38" s="8">
        <f t="shared" ca="1" si="3"/>
        <v>1</v>
      </c>
      <c r="J38" s="8">
        <f t="shared" ca="1" si="4"/>
        <v>66</v>
      </c>
      <c r="K38" s="8" t="str">
        <f t="shared" ca="1" si="5"/>
        <v>2017-05-21</v>
      </c>
      <c r="L38" s="8" t="str">
        <f t="shared" ca="1" si="6"/>
        <v>2017-05-29</v>
      </c>
    </row>
    <row r="39" spans="1:12" x14ac:dyDescent="0.3">
      <c r="A39" s="8" t="s">
        <v>5668</v>
      </c>
      <c r="B39" s="8">
        <f t="shared" si="0"/>
        <v>600037</v>
      </c>
      <c r="C39" s="1" t="s">
        <v>6962</v>
      </c>
      <c r="D39" s="9" t="str">
        <f>IFERROR(VLOOKUP(VLOOKUP(VLOOKUP(C39,Project.csv!F:Q,12,FALSE),ServiceAreas.csv!B:I,8,FALSE),LocalAreas.csv!B:I,7,FALSE),200029)</f>
        <v>rg:None</v>
      </c>
      <c r="E39" s="8" t="str">
        <f t="shared" si="1"/>
        <v>rg:{'id':'rg:None'}</v>
      </c>
      <c r="F39" s="9" t="s">
        <v>7055</v>
      </c>
      <c r="G39" s="9" t="str">
        <f ca="1">INDEX(DistrictEquipmentTypes.csv!F:F,RANDBETWEEN(2,COUNTA(DistrictEquipmentTypes.csv!D:D)),1)</f>
        <v>200002</v>
      </c>
      <c r="H39" s="8" t="str">
        <f t="shared" ca="1" si="2"/>
        <v>rg:{ 'id': '200002'}</v>
      </c>
      <c r="I39" s="8">
        <f t="shared" ca="1" si="3"/>
        <v>1</v>
      </c>
      <c r="J39" s="8">
        <f t="shared" ca="1" si="4"/>
        <v>17</v>
      </c>
      <c r="K39" s="8" t="str">
        <f t="shared" ca="1" si="5"/>
        <v>2017-05-08</v>
      </c>
      <c r="L39" s="8" t="str">
        <f t="shared" ca="1" si="6"/>
        <v>2017-05-10</v>
      </c>
    </row>
    <row r="40" spans="1:12" x14ac:dyDescent="0.3">
      <c r="A40" s="8" t="s">
        <v>5668</v>
      </c>
      <c r="B40" s="8">
        <f t="shared" si="0"/>
        <v>600038</v>
      </c>
      <c r="C40" s="1" t="s">
        <v>6929</v>
      </c>
      <c r="D40" s="9" t="str">
        <f>IFERROR(VLOOKUP(VLOOKUP(VLOOKUP(C40,Project.csv!F:Q,12,FALSE),ServiceAreas.csv!B:I,8,FALSE),LocalAreas.csv!B:I,7,FALSE),200029)</f>
        <v>rg:None</v>
      </c>
      <c r="E40" s="8" t="str">
        <f t="shared" si="1"/>
        <v>rg:{'id':'rg:None'}</v>
      </c>
      <c r="F40" s="9" t="s">
        <v>7055</v>
      </c>
      <c r="G40" s="9" t="str">
        <f ca="1">INDEX(DistrictEquipmentTypes.csv!F:F,RANDBETWEEN(2,COUNTA(DistrictEquipmentTypes.csv!D:D)),1)</f>
        <v>200002</v>
      </c>
      <c r="H40" s="8" t="str">
        <f t="shared" ca="1" si="2"/>
        <v>rg:{ 'id': '200002'}</v>
      </c>
      <c r="I40" s="8">
        <f t="shared" ca="1" si="3"/>
        <v>1</v>
      </c>
      <c r="J40" s="8">
        <f t="shared" ca="1" si="4"/>
        <v>85</v>
      </c>
      <c r="K40" s="8" t="str">
        <f t="shared" ca="1" si="5"/>
        <v>2017-05-07</v>
      </c>
      <c r="L40" s="8" t="str">
        <f t="shared" ca="1" si="6"/>
        <v>2017-05-17</v>
      </c>
    </row>
    <row r="41" spans="1:12" x14ac:dyDescent="0.3">
      <c r="A41" s="8" t="s">
        <v>5668</v>
      </c>
      <c r="B41" s="8">
        <f t="shared" si="0"/>
        <v>600039</v>
      </c>
      <c r="C41" s="1" t="s">
        <v>6924</v>
      </c>
      <c r="D41" s="9" t="str">
        <f>IFERROR(VLOOKUP(VLOOKUP(VLOOKUP(C41,Project.csv!F:Q,12,FALSE),ServiceAreas.csv!B:I,8,FALSE),LocalAreas.csv!B:I,7,FALSE),200029)</f>
        <v>rg:None</v>
      </c>
      <c r="E41" s="8" t="str">
        <f t="shared" si="1"/>
        <v>rg:{'id':'rg:None'}</v>
      </c>
      <c r="F41" s="9" t="s">
        <v>7055</v>
      </c>
      <c r="G41" s="9" t="str">
        <f ca="1">INDEX(DistrictEquipmentTypes.csv!F:F,RANDBETWEEN(2,COUNTA(DistrictEquipmentTypes.csv!D:D)),1)</f>
        <v>200002</v>
      </c>
      <c r="H41" s="8" t="str">
        <f t="shared" ca="1" si="2"/>
        <v>rg:{ 'id': '200002'}</v>
      </c>
      <c r="I41" s="8">
        <f t="shared" ca="1" si="3"/>
        <v>1</v>
      </c>
      <c r="J41" s="8">
        <f t="shared" ca="1" si="4"/>
        <v>27</v>
      </c>
      <c r="K41" s="8" t="str">
        <f t="shared" ca="1" si="5"/>
        <v>2017-04-25</v>
      </c>
      <c r="L41" s="8" t="str">
        <f t="shared" ca="1" si="6"/>
        <v>2017-04-28</v>
      </c>
    </row>
    <row r="42" spans="1:12" x14ac:dyDescent="0.3">
      <c r="A42" s="8" t="s">
        <v>5668</v>
      </c>
      <c r="B42" s="8">
        <f t="shared" si="0"/>
        <v>600040</v>
      </c>
      <c r="C42" s="1" t="s">
        <v>6931</v>
      </c>
      <c r="D42" s="9" t="str">
        <f>IFERROR(VLOOKUP(VLOOKUP(VLOOKUP(C42,Project.csv!F:Q,12,FALSE),ServiceAreas.csv!B:I,8,FALSE),LocalAreas.csv!B:I,7,FALSE),200029)</f>
        <v>rg:None</v>
      </c>
      <c r="E42" s="8" t="str">
        <f t="shared" si="1"/>
        <v>rg:{'id':'rg:None'}</v>
      </c>
      <c r="F42" s="9" t="s">
        <v>7055</v>
      </c>
      <c r="G42" s="9" t="str">
        <f ca="1">INDEX(DistrictEquipmentTypes.csv!F:F,RANDBETWEEN(2,COUNTA(DistrictEquipmentTypes.csv!D:D)),1)</f>
        <v>200005</v>
      </c>
      <c r="H42" s="8" t="str">
        <f t="shared" ca="1" si="2"/>
        <v>rg:{ 'id': '200005'}</v>
      </c>
      <c r="I42" s="8">
        <f t="shared" ca="1" si="3"/>
        <v>1</v>
      </c>
      <c r="J42" s="8">
        <f t="shared" ca="1" si="4"/>
        <v>96</v>
      </c>
      <c r="K42" s="8" t="str">
        <f t="shared" ca="1" si="5"/>
        <v>2017-04-10</v>
      </c>
      <c r="L42" s="8" t="str">
        <f t="shared" ca="1" si="6"/>
        <v>2017-04-22</v>
      </c>
    </row>
    <row r="43" spans="1:12" x14ac:dyDescent="0.3">
      <c r="A43" s="8" t="s">
        <v>5668</v>
      </c>
      <c r="B43" s="8">
        <f t="shared" si="0"/>
        <v>600041</v>
      </c>
      <c r="C43" s="1" t="s">
        <v>6963</v>
      </c>
      <c r="D43" s="9" t="str">
        <f>IFERROR(VLOOKUP(VLOOKUP(VLOOKUP(C43,Project.csv!F:Q,12,FALSE),ServiceAreas.csv!B:I,8,FALSE),LocalAreas.csv!B:I,7,FALSE),200029)</f>
        <v>rg:None</v>
      </c>
      <c r="E43" s="8" t="str">
        <f t="shared" si="1"/>
        <v>rg:{'id':'rg:None'}</v>
      </c>
      <c r="F43" s="9" t="s">
        <v>7055</v>
      </c>
      <c r="G43" s="9" t="str">
        <f ca="1">INDEX(DistrictEquipmentTypes.csv!F:F,RANDBETWEEN(2,COUNTA(DistrictEquipmentTypes.csv!D:D)),1)</f>
        <v>200000</v>
      </c>
      <c r="H43" s="8" t="str">
        <f t="shared" ca="1" si="2"/>
        <v>rg:{ 'id': '200000'}</v>
      </c>
      <c r="I43" s="8">
        <f t="shared" ca="1" si="3"/>
        <v>1</v>
      </c>
      <c r="J43" s="8">
        <f t="shared" ca="1" si="4"/>
        <v>38</v>
      </c>
      <c r="K43" s="8" t="str">
        <f t="shared" ca="1" si="5"/>
        <v>2017-04-23</v>
      </c>
      <c r="L43" s="8" t="str">
        <f t="shared" ca="1" si="6"/>
        <v>2017-04-27</v>
      </c>
    </row>
    <row r="44" spans="1:12" x14ac:dyDescent="0.3">
      <c r="A44" s="8" t="s">
        <v>5668</v>
      </c>
      <c r="B44" s="8">
        <f t="shared" si="0"/>
        <v>600042</v>
      </c>
      <c r="C44" s="1" t="s">
        <v>6914</v>
      </c>
      <c r="D44" s="9" t="str">
        <f>IFERROR(VLOOKUP(VLOOKUP(VLOOKUP(C44,Project.csv!F:Q,12,FALSE),ServiceAreas.csv!B:I,8,FALSE),LocalAreas.csv!B:I,7,FALSE),200029)</f>
        <v>rg:None</v>
      </c>
      <c r="E44" s="8" t="str">
        <f t="shared" si="1"/>
        <v>rg:{'id':'rg:None'}</v>
      </c>
      <c r="F44" s="9" t="s">
        <v>7056</v>
      </c>
      <c r="G44" s="9" t="str">
        <f ca="1">INDEX(DistrictEquipmentTypes.csv!F:F,RANDBETWEEN(2,COUNTA(DistrictEquipmentTypes.csv!D:D)),1)</f>
        <v>200002</v>
      </c>
      <c r="H44" s="8" t="str">
        <f t="shared" ca="1" si="2"/>
        <v>rg:{ 'id': '200002'}</v>
      </c>
      <c r="I44" s="8">
        <f t="shared" ca="1" si="3"/>
        <v>1</v>
      </c>
      <c r="J44" s="8">
        <f t="shared" ca="1" si="4"/>
        <v>19</v>
      </c>
      <c r="K44" s="8" t="str">
        <f t="shared" ca="1" si="5"/>
        <v>2017-04-04</v>
      </c>
      <c r="L44" s="8" t="str">
        <f t="shared" ca="1" si="6"/>
        <v>2017-04-06</v>
      </c>
    </row>
    <row r="45" spans="1:12" x14ac:dyDescent="0.3">
      <c r="A45" s="8" t="s">
        <v>5668</v>
      </c>
      <c r="B45" s="8">
        <f t="shared" si="0"/>
        <v>600043</v>
      </c>
      <c r="C45" s="1" t="s">
        <v>6964</v>
      </c>
      <c r="D45" s="9" t="str">
        <f>IFERROR(VLOOKUP(VLOOKUP(VLOOKUP(C45,Project.csv!F:Q,12,FALSE),ServiceAreas.csv!B:I,8,FALSE),LocalAreas.csv!B:I,7,FALSE),200029)</f>
        <v>rg:None</v>
      </c>
      <c r="E45" s="8" t="str">
        <f t="shared" si="1"/>
        <v>rg:{'id':'rg:None'}</v>
      </c>
      <c r="F45" s="9" t="s">
        <v>7055</v>
      </c>
      <c r="G45" s="9" t="str">
        <f ca="1">INDEX(DistrictEquipmentTypes.csv!F:F,RANDBETWEEN(2,COUNTA(DistrictEquipmentTypes.csv!D:D)),1)</f>
        <v>200000</v>
      </c>
      <c r="H45" s="8" t="str">
        <f t="shared" ca="1" si="2"/>
        <v>rg:{ 'id': '200000'}</v>
      </c>
      <c r="I45" s="8">
        <f t="shared" ca="1" si="3"/>
        <v>1</v>
      </c>
      <c r="J45" s="8">
        <f t="shared" ca="1" si="4"/>
        <v>32</v>
      </c>
      <c r="K45" s="8" t="str">
        <f t="shared" ca="1" si="5"/>
        <v>2017-04-27</v>
      </c>
      <c r="L45" s="8" t="str">
        <f t="shared" ca="1" si="6"/>
        <v>2017-05-01</v>
      </c>
    </row>
    <row r="46" spans="1:12" x14ac:dyDescent="0.3">
      <c r="A46" s="8" t="s">
        <v>5668</v>
      </c>
      <c r="B46" s="8">
        <f t="shared" si="0"/>
        <v>600044</v>
      </c>
      <c r="C46" s="1" t="s">
        <v>6965</v>
      </c>
      <c r="D46" s="9" t="str">
        <f>IFERROR(VLOOKUP(VLOOKUP(VLOOKUP(C46,Project.csv!F:Q,12,FALSE),ServiceAreas.csv!B:I,8,FALSE),LocalAreas.csv!B:I,7,FALSE),200029)</f>
        <v>rg:None</v>
      </c>
      <c r="E46" s="8" t="str">
        <f t="shared" si="1"/>
        <v>rg:{'id':'rg:None'}</v>
      </c>
      <c r="F46" s="9" t="s">
        <v>7055</v>
      </c>
      <c r="G46" s="9" t="str">
        <f ca="1">INDEX(DistrictEquipmentTypes.csv!F:F,RANDBETWEEN(2,COUNTA(DistrictEquipmentTypes.csv!D:D)),1)</f>
        <v>200002</v>
      </c>
      <c r="H46" s="8" t="str">
        <f t="shared" ca="1" si="2"/>
        <v>rg:{ 'id': '200002'}</v>
      </c>
      <c r="I46" s="8">
        <f t="shared" ca="1" si="3"/>
        <v>1</v>
      </c>
      <c r="J46" s="8">
        <f t="shared" ca="1" si="4"/>
        <v>65</v>
      </c>
      <c r="K46" s="8" t="str">
        <f t="shared" ca="1" si="5"/>
        <v>2017-04-19</v>
      </c>
      <c r="L46" s="8" t="str">
        <f t="shared" ca="1" si="6"/>
        <v>2017-04-27</v>
      </c>
    </row>
    <row r="47" spans="1:12" x14ac:dyDescent="0.3">
      <c r="A47" s="8" t="s">
        <v>5668</v>
      </c>
      <c r="B47" s="8">
        <f t="shared" si="0"/>
        <v>600045</v>
      </c>
      <c r="C47" s="1" t="s">
        <v>6966</v>
      </c>
      <c r="D47" s="9" t="str">
        <f>IFERROR(VLOOKUP(VLOOKUP(VLOOKUP(C47,Project.csv!F:Q,12,FALSE),ServiceAreas.csv!B:I,8,FALSE),LocalAreas.csv!B:I,7,FALSE),200029)</f>
        <v>rg:None</v>
      </c>
      <c r="E47" s="8" t="str">
        <f t="shared" si="1"/>
        <v>rg:{'id':'rg:None'}</v>
      </c>
      <c r="F47" s="9" t="s">
        <v>7055</v>
      </c>
      <c r="G47" s="9" t="str">
        <f ca="1">INDEX(DistrictEquipmentTypes.csv!F:F,RANDBETWEEN(2,COUNTA(DistrictEquipmentTypes.csv!D:D)),1)</f>
        <v>200002</v>
      </c>
      <c r="H47" s="8" t="str">
        <f t="shared" ca="1" si="2"/>
        <v>rg:{ 'id': '200002'}</v>
      </c>
      <c r="I47" s="8">
        <f t="shared" ca="1" si="3"/>
        <v>1</v>
      </c>
      <c r="J47" s="8">
        <f t="shared" ca="1" si="4"/>
        <v>79</v>
      </c>
      <c r="K47" s="8" t="str">
        <f t="shared" ca="1" si="5"/>
        <v>2017-05-03</v>
      </c>
      <c r="L47" s="8" t="str">
        <f t="shared" ca="1" si="6"/>
        <v>2017-05-12</v>
      </c>
    </row>
    <row r="48" spans="1:12" x14ac:dyDescent="0.3">
      <c r="A48" s="8" t="s">
        <v>5668</v>
      </c>
      <c r="B48" s="8">
        <f t="shared" si="0"/>
        <v>600046</v>
      </c>
      <c r="C48" s="1" t="s">
        <v>6967</v>
      </c>
      <c r="D48" s="9" t="str">
        <f>IFERROR(VLOOKUP(VLOOKUP(VLOOKUP(C48,Project.csv!F:Q,12,FALSE),ServiceAreas.csv!B:I,8,FALSE),LocalAreas.csv!B:I,7,FALSE),200029)</f>
        <v>rg:None</v>
      </c>
      <c r="E48" s="8" t="str">
        <f t="shared" si="1"/>
        <v>rg:{'id':'rg:None'}</v>
      </c>
      <c r="F48" s="9" t="s">
        <v>7055</v>
      </c>
      <c r="G48" s="9" t="str">
        <f ca="1">INDEX(DistrictEquipmentTypes.csv!F:F,RANDBETWEEN(2,COUNTA(DistrictEquipmentTypes.csv!D:D)),1)</f>
        <v>200004</v>
      </c>
      <c r="H48" s="8" t="str">
        <f t="shared" ca="1" si="2"/>
        <v>rg:{ 'id': '200004'}</v>
      </c>
      <c r="I48" s="8">
        <f t="shared" ca="1" si="3"/>
        <v>1</v>
      </c>
      <c r="J48" s="8">
        <f t="shared" ca="1" si="4"/>
        <v>60</v>
      </c>
      <c r="K48" s="8" t="str">
        <f t="shared" ca="1" si="5"/>
        <v>2017-03-30</v>
      </c>
      <c r="L48" s="8" t="str">
        <f t="shared" ca="1" si="6"/>
        <v>2017-04-06</v>
      </c>
    </row>
    <row r="49" spans="1:12" x14ac:dyDescent="0.3">
      <c r="A49" s="8" t="s">
        <v>5668</v>
      </c>
      <c r="B49" s="8">
        <f t="shared" si="0"/>
        <v>600047</v>
      </c>
      <c r="C49" s="1" t="s">
        <v>6906</v>
      </c>
      <c r="D49" s="9" t="str">
        <f>IFERROR(VLOOKUP(VLOOKUP(VLOOKUP(C49,Project.csv!F:Q,12,FALSE),ServiceAreas.csv!B:I,8,FALSE),LocalAreas.csv!B:I,7,FALSE),200029)</f>
        <v>rg:None</v>
      </c>
      <c r="E49" s="8" t="str">
        <f t="shared" si="1"/>
        <v>rg:{'id':'rg:None'}</v>
      </c>
      <c r="F49" s="9" t="s">
        <v>7055</v>
      </c>
      <c r="G49" s="9" t="str">
        <f ca="1">INDEX(DistrictEquipmentTypes.csv!F:F,RANDBETWEEN(2,COUNTA(DistrictEquipmentTypes.csv!D:D)),1)</f>
        <v>200009</v>
      </c>
      <c r="H49" s="8" t="str">
        <f t="shared" ca="1" si="2"/>
        <v>rg:{ 'id': '200009'}</v>
      </c>
      <c r="I49" s="8">
        <f t="shared" ca="1" si="3"/>
        <v>1</v>
      </c>
      <c r="J49" s="8">
        <f t="shared" ca="1" si="4"/>
        <v>44</v>
      </c>
      <c r="K49" s="8" t="str">
        <f t="shared" ca="1" si="5"/>
        <v>2017-04-11</v>
      </c>
      <c r="L49" s="8" t="str">
        <f t="shared" ca="1" si="6"/>
        <v>2017-04-16</v>
      </c>
    </row>
    <row r="50" spans="1:12" x14ac:dyDescent="0.3">
      <c r="A50" s="8" t="s">
        <v>5668</v>
      </c>
      <c r="B50" s="8">
        <f t="shared" si="0"/>
        <v>600048</v>
      </c>
      <c r="C50" s="1" t="s">
        <v>6968</v>
      </c>
      <c r="D50" s="9" t="str">
        <f>IFERROR(VLOOKUP(VLOOKUP(VLOOKUP(C50,Project.csv!F:Q,12,FALSE),ServiceAreas.csv!B:I,8,FALSE),LocalAreas.csv!B:I,7,FALSE),200029)</f>
        <v>rg:None</v>
      </c>
      <c r="E50" s="8" t="str">
        <f t="shared" si="1"/>
        <v>rg:{'id':'rg:None'}</v>
      </c>
      <c r="F50" s="9" t="s">
        <v>7055</v>
      </c>
      <c r="G50" s="9" t="str">
        <f ca="1">INDEX(DistrictEquipmentTypes.csv!F:F,RANDBETWEEN(2,COUNTA(DistrictEquipmentTypes.csv!D:D)),1)</f>
        <v>200005</v>
      </c>
      <c r="H50" s="8" t="str">
        <f t="shared" ca="1" si="2"/>
        <v>rg:{ 'id': '200005'}</v>
      </c>
      <c r="I50" s="8">
        <f t="shared" ca="1" si="3"/>
        <v>1</v>
      </c>
      <c r="J50" s="8">
        <f t="shared" ca="1" si="4"/>
        <v>54</v>
      </c>
      <c r="K50" s="8" t="str">
        <f t="shared" ca="1" si="5"/>
        <v>2017-05-05</v>
      </c>
      <c r="L50" s="8" t="str">
        <f t="shared" ca="1" si="6"/>
        <v>2017-05-11</v>
      </c>
    </row>
    <row r="51" spans="1:12" x14ac:dyDescent="0.3">
      <c r="A51" s="8" t="s">
        <v>5668</v>
      </c>
      <c r="B51" s="8">
        <f t="shared" si="0"/>
        <v>600049</v>
      </c>
      <c r="C51" s="1" t="s">
        <v>6969</v>
      </c>
      <c r="D51" s="9" t="str">
        <f>IFERROR(VLOOKUP(VLOOKUP(VLOOKUP(C51,Project.csv!F:Q,12,FALSE),ServiceAreas.csv!B:I,8,FALSE),LocalAreas.csv!B:I,7,FALSE),200029)</f>
        <v>rg:None</v>
      </c>
      <c r="E51" s="8" t="str">
        <f t="shared" si="1"/>
        <v>rg:{'id':'rg:None'}</v>
      </c>
      <c r="F51" s="9" t="s">
        <v>7056</v>
      </c>
      <c r="G51" s="9" t="str">
        <f ca="1">INDEX(DistrictEquipmentTypes.csv!F:F,RANDBETWEEN(2,COUNTA(DistrictEquipmentTypes.csv!D:D)),1)</f>
        <v>200009</v>
      </c>
      <c r="H51" s="8" t="str">
        <f t="shared" ca="1" si="2"/>
        <v>rg:{ 'id': '200009'}</v>
      </c>
      <c r="I51" s="8">
        <f t="shared" ca="1" si="3"/>
        <v>1</v>
      </c>
      <c r="J51" s="8">
        <f t="shared" ca="1" si="4"/>
        <v>51</v>
      </c>
      <c r="K51" s="8" t="str">
        <f t="shared" ca="1" si="5"/>
        <v>2017-05-19</v>
      </c>
      <c r="L51" s="8" t="str">
        <f t="shared" ca="1" si="6"/>
        <v>2017-05-25</v>
      </c>
    </row>
    <row r="52" spans="1:12" x14ac:dyDescent="0.3">
      <c r="A52" s="8" t="s">
        <v>5668</v>
      </c>
      <c r="B52" s="8">
        <f t="shared" si="0"/>
        <v>600050</v>
      </c>
      <c r="C52" s="1" t="s">
        <v>6970</v>
      </c>
      <c r="D52" s="9" t="str">
        <f>IFERROR(VLOOKUP(VLOOKUP(VLOOKUP(C52,Project.csv!F:Q,12,FALSE),ServiceAreas.csv!B:I,8,FALSE),LocalAreas.csv!B:I,7,FALSE),200029)</f>
        <v>rg:None</v>
      </c>
      <c r="E52" s="8" t="str">
        <f t="shared" si="1"/>
        <v>rg:{'id':'rg:None'}</v>
      </c>
      <c r="F52" s="9" t="s">
        <v>7055</v>
      </c>
      <c r="G52" s="9" t="str">
        <f ca="1">INDEX(DistrictEquipmentTypes.csv!F:F,RANDBETWEEN(2,COUNTA(DistrictEquipmentTypes.csv!D:D)),1)</f>
        <v>200009</v>
      </c>
      <c r="H52" s="8" t="str">
        <f t="shared" ca="1" si="2"/>
        <v>rg:{ 'id': '200009'}</v>
      </c>
      <c r="I52" s="8">
        <f t="shared" ca="1" si="3"/>
        <v>1</v>
      </c>
      <c r="J52" s="8">
        <f t="shared" ca="1" si="4"/>
        <v>32</v>
      </c>
      <c r="K52" s="8" t="str">
        <f t="shared" ca="1" si="5"/>
        <v>2017-05-13</v>
      </c>
      <c r="L52" s="8" t="str">
        <f t="shared" ca="1" si="6"/>
        <v>2017-05-17</v>
      </c>
    </row>
    <row r="53" spans="1:12" x14ac:dyDescent="0.3">
      <c r="A53" s="8" t="s">
        <v>5668</v>
      </c>
      <c r="B53" s="8">
        <f t="shared" si="0"/>
        <v>600051</v>
      </c>
      <c r="C53" s="1" t="s">
        <v>6911</v>
      </c>
      <c r="D53" s="9" t="str">
        <f>IFERROR(VLOOKUP(VLOOKUP(VLOOKUP(C53,Project.csv!F:Q,12,FALSE),ServiceAreas.csv!B:I,8,FALSE),LocalAreas.csv!B:I,7,FALSE),200029)</f>
        <v>rg:None</v>
      </c>
      <c r="E53" s="8" t="str">
        <f t="shared" si="1"/>
        <v>rg:{'id':'rg:None'}</v>
      </c>
      <c r="F53" s="9" t="s">
        <v>7055</v>
      </c>
      <c r="G53" s="9" t="str">
        <f ca="1">INDEX(DistrictEquipmentTypes.csv!F:F,RANDBETWEEN(2,COUNTA(DistrictEquipmentTypes.csv!D:D)),1)</f>
        <v>200007</v>
      </c>
      <c r="H53" s="8" t="str">
        <f t="shared" ca="1" si="2"/>
        <v>rg:{ 'id': '200007'}</v>
      </c>
      <c r="I53" s="8">
        <f t="shared" ca="1" si="3"/>
        <v>1</v>
      </c>
      <c r="J53" s="8">
        <f t="shared" ca="1" si="4"/>
        <v>50</v>
      </c>
      <c r="K53" s="8" t="str">
        <f t="shared" ca="1" si="5"/>
        <v>2017-05-01</v>
      </c>
      <c r="L53" s="8" t="str">
        <f t="shared" ca="1" si="6"/>
        <v>2017-05-07</v>
      </c>
    </row>
    <row r="54" spans="1:12" x14ac:dyDescent="0.3">
      <c r="A54" s="8" t="s">
        <v>5668</v>
      </c>
      <c r="B54" s="8">
        <f t="shared" si="0"/>
        <v>600052</v>
      </c>
      <c r="C54" s="1" t="s">
        <v>6910</v>
      </c>
      <c r="D54" s="9" t="str">
        <f>IFERROR(VLOOKUP(VLOOKUP(VLOOKUP(C54,Project.csv!F:Q,12,FALSE),ServiceAreas.csv!B:I,8,FALSE),LocalAreas.csv!B:I,7,FALSE),200029)</f>
        <v>rg:None</v>
      </c>
      <c r="E54" s="8" t="str">
        <f t="shared" si="1"/>
        <v>rg:{'id':'rg:None'}</v>
      </c>
      <c r="F54" s="9" t="s">
        <v>7055</v>
      </c>
      <c r="G54" s="9" t="str">
        <f ca="1">INDEX(DistrictEquipmentTypes.csv!F:F,RANDBETWEEN(2,COUNTA(DistrictEquipmentTypes.csv!D:D)),1)</f>
        <v>200009</v>
      </c>
      <c r="H54" s="8" t="str">
        <f t="shared" ca="1" si="2"/>
        <v>rg:{ 'id': '200009'}</v>
      </c>
      <c r="I54" s="8">
        <f t="shared" ca="1" si="3"/>
        <v>1</v>
      </c>
      <c r="J54" s="8">
        <f t="shared" ca="1" si="4"/>
        <v>42</v>
      </c>
      <c r="K54" s="8" t="str">
        <f t="shared" ca="1" si="5"/>
        <v>2017-04-16</v>
      </c>
      <c r="L54" s="8" t="str">
        <f t="shared" ca="1" si="6"/>
        <v>2017-04-21</v>
      </c>
    </row>
    <row r="55" spans="1:12" x14ac:dyDescent="0.3">
      <c r="A55" s="8" t="s">
        <v>5668</v>
      </c>
      <c r="B55" s="8">
        <f t="shared" si="0"/>
        <v>600053</v>
      </c>
      <c r="C55" s="1" t="s">
        <v>6971</v>
      </c>
      <c r="D55" s="9" t="str">
        <f>IFERROR(VLOOKUP(VLOOKUP(VLOOKUP(C55,Project.csv!F:Q,12,FALSE),ServiceAreas.csv!B:I,8,FALSE),LocalAreas.csv!B:I,7,FALSE),200029)</f>
        <v>rg:None</v>
      </c>
      <c r="E55" s="8" t="str">
        <f t="shared" si="1"/>
        <v>rg:{'id':'rg:None'}</v>
      </c>
      <c r="F55" s="9" t="s">
        <v>7055</v>
      </c>
      <c r="G55" s="9" t="str">
        <f ca="1">INDEX(DistrictEquipmentTypes.csv!F:F,RANDBETWEEN(2,COUNTA(DistrictEquipmentTypes.csv!D:D)),1)</f>
        <v>200009</v>
      </c>
      <c r="H55" s="8" t="str">
        <f t="shared" ca="1" si="2"/>
        <v>rg:{ 'id': '200009'}</v>
      </c>
      <c r="I55" s="8">
        <f t="shared" ca="1" si="3"/>
        <v>1</v>
      </c>
      <c r="J55" s="8">
        <f t="shared" ca="1" si="4"/>
        <v>11</v>
      </c>
      <c r="K55" s="8" t="str">
        <f t="shared" ca="1" si="5"/>
        <v>2017-04-20</v>
      </c>
      <c r="L55" s="8" t="str">
        <f t="shared" ca="1" si="6"/>
        <v>2017-04-21</v>
      </c>
    </row>
    <row r="56" spans="1:12" x14ac:dyDescent="0.3">
      <c r="A56" s="8" t="s">
        <v>5668</v>
      </c>
      <c r="B56" s="8">
        <f t="shared" si="0"/>
        <v>600054</v>
      </c>
      <c r="C56" s="1" t="s">
        <v>6972</v>
      </c>
      <c r="D56" s="9" t="str">
        <f>IFERROR(VLOOKUP(VLOOKUP(VLOOKUP(C56,Project.csv!F:Q,12,FALSE),ServiceAreas.csv!B:I,8,FALSE),LocalAreas.csv!B:I,7,FALSE),200029)</f>
        <v>rg:None</v>
      </c>
      <c r="E56" s="8" t="str">
        <f t="shared" si="1"/>
        <v>rg:{'id':'rg:None'}</v>
      </c>
      <c r="F56" s="9" t="s">
        <v>7057</v>
      </c>
      <c r="G56" s="9" t="str">
        <f ca="1">INDEX(DistrictEquipmentTypes.csv!F:F,RANDBETWEEN(2,COUNTA(DistrictEquipmentTypes.csv!D:D)),1)</f>
        <v>200006</v>
      </c>
      <c r="H56" s="8" t="str">
        <f t="shared" ca="1" si="2"/>
        <v>rg:{ 'id': '200006'}</v>
      </c>
      <c r="I56" s="8">
        <f t="shared" ca="1" si="3"/>
        <v>1</v>
      </c>
      <c r="J56" s="8">
        <f t="shared" ca="1" si="4"/>
        <v>41</v>
      </c>
      <c r="K56" s="8" t="str">
        <f t="shared" ca="1" si="5"/>
        <v>2017-05-06</v>
      </c>
      <c r="L56" s="8" t="str">
        <f t="shared" ca="1" si="6"/>
        <v>2017-05-11</v>
      </c>
    </row>
    <row r="57" spans="1:12" x14ac:dyDescent="0.3">
      <c r="A57" s="8" t="s">
        <v>5668</v>
      </c>
      <c r="B57" s="8">
        <f t="shared" si="0"/>
        <v>600055</v>
      </c>
      <c r="C57" s="1" t="s">
        <v>6973</v>
      </c>
      <c r="D57" s="9" t="str">
        <f>IFERROR(VLOOKUP(VLOOKUP(VLOOKUP(C57,Project.csv!F:Q,12,FALSE),ServiceAreas.csv!B:I,8,FALSE),LocalAreas.csv!B:I,7,FALSE),200029)</f>
        <v>rg:None</v>
      </c>
      <c r="E57" s="8" t="str">
        <f t="shared" si="1"/>
        <v>rg:{'id':'rg:None'}</v>
      </c>
      <c r="F57" s="9" t="s">
        <v>7057</v>
      </c>
      <c r="G57" s="9" t="str">
        <f ca="1">INDEX(DistrictEquipmentTypes.csv!F:F,RANDBETWEEN(2,COUNTA(DistrictEquipmentTypes.csv!D:D)),1)</f>
        <v>200005</v>
      </c>
      <c r="H57" s="8" t="str">
        <f t="shared" ca="1" si="2"/>
        <v>rg:{ 'id': '200005'}</v>
      </c>
      <c r="I57" s="8">
        <f t="shared" ca="1" si="3"/>
        <v>1</v>
      </c>
      <c r="J57" s="8">
        <f t="shared" ca="1" si="4"/>
        <v>95</v>
      </c>
      <c r="K57" s="8" t="str">
        <f t="shared" ca="1" si="5"/>
        <v>2017-04-28</v>
      </c>
      <c r="L57" s="8" t="str">
        <f t="shared" ca="1" si="6"/>
        <v>2017-05-09</v>
      </c>
    </row>
    <row r="58" spans="1:12" x14ac:dyDescent="0.3">
      <c r="A58" s="8" t="s">
        <v>5668</v>
      </c>
      <c r="B58" s="8">
        <f t="shared" si="0"/>
        <v>600056</v>
      </c>
      <c r="C58" s="1" t="s">
        <v>6974</v>
      </c>
      <c r="D58" s="9" t="str">
        <f>IFERROR(VLOOKUP(VLOOKUP(VLOOKUP(C58,Project.csv!F:Q,12,FALSE),ServiceAreas.csv!B:I,8,FALSE),LocalAreas.csv!B:I,7,FALSE),200029)</f>
        <v>rg:None</v>
      </c>
      <c r="E58" s="8" t="str">
        <f t="shared" si="1"/>
        <v>rg:{'id':'rg:None'}</v>
      </c>
      <c r="F58" s="9" t="s">
        <v>7055</v>
      </c>
      <c r="G58" s="9" t="str">
        <f ca="1">INDEX(DistrictEquipmentTypes.csv!F:F,RANDBETWEEN(2,COUNTA(DistrictEquipmentTypes.csv!D:D)),1)</f>
        <v>200009</v>
      </c>
      <c r="H58" s="8" t="str">
        <f t="shared" ca="1" si="2"/>
        <v>rg:{ 'id': '200009'}</v>
      </c>
      <c r="I58" s="8">
        <f t="shared" ca="1" si="3"/>
        <v>1</v>
      </c>
      <c r="J58" s="8">
        <f t="shared" ca="1" si="4"/>
        <v>41</v>
      </c>
      <c r="K58" s="8" t="str">
        <f t="shared" ca="1" si="5"/>
        <v>2017-04-27</v>
      </c>
      <c r="L58" s="8" t="str">
        <f t="shared" ca="1" si="6"/>
        <v>2017-05-02</v>
      </c>
    </row>
    <row r="59" spans="1:12" x14ac:dyDescent="0.3">
      <c r="A59" s="8" t="s">
        <v>5668</v>
      </c>
      <c r="B59" s="8">
        <f t="shared" si="0"/>
        <v>600057</v>
      </c>
      <c r="C59" s="1" t="s">
        <v>6975</v>
      </c>
      <c r="D59" s="9" t="str">
        <f>IFERROR(VLOOKUP(VLOOKUP(VLOOKUP(C59,Project.csv!F:Q,12,FALSE),ServiceAreas.csv!B:I,8,FALSE),LocalAreas.csv!B:I,7,FALSE),200029)</f>
        <v>rg:None</v>
      </c>
      <c r="E59" s="8" t="str">
        <f t="shared" si="1"/>
        <v>rg:{'id':'rg:None'}</v>
      </c>
      <c r="F59" s="9" t="s">
        <v>7055</v>
      </c>
      <c r="G59" s="9" t="str">
        <f ca="1">INDEX(DistrictEquipmentTypes.csv!F:F,RANDBETWEEN(2,COUNTA(DistrictEquipmentTypes.csv!D:D)),1)</f>
        <v>200001</v>
      </c>
      <c r="H59" s="8" t="str">
        <f t="shared" ca="1" si="2"/>
        <v>rg:{ 'id': '200001'}</v>
      </c>
      <c r="I59" s="8">
        <f t="shared" ca="1" si="3"/>
        <v>1</v>
      </c>
      <c r="J59" s="8">
        <f t="shared" ca="1" si="4"/>
        <v>21</v>
      </c>
      <c r="K59" s="8" t="str">
        <f t="shared" ca="1" si="5"/>
        <v>2017-04-02</v>
      </c>
      <c r="L59" s="8" t="str">
        <f t="shared" ca="1" si="6"/>
        <v>2017-04-04</v>
      </c>
    </row>
    <row r="60" spans="1:12" x14ac:dyDescent="0.3">
      <c r="A60" s="8" t="s">
        <v>5668</v>
      </c>
      <c r="B60" s="8">
        <f t="shared" si="0"/>
        <v>600058</v>
      </c>
      <c r="C60" s="1" t="s">
        <v>6976</v>
      </c>
      <c r="D60" s="9" t="str">
        <f>IFERROR(VLOOKUP(VLOOKUP(VLOOKUP(C60,Project.csv!F:Q,12,FALSE),ServiceAreas.csv!B:I,8,FALSE),LocalAreas.csv!B:I,7,FALSE),200029)</f>
        <v>rg:None</v>
      </c>
      <c r="E60" s="8" t="str">
        <f t="shared" si="1"/>
        <v>rg:{'id':'rg:None'}</v>
      </c>
      <c r="F60" s="9" t="s">
        <v>7055</v>
      </c>
      <c r="G60" s="9" t="str">
        <f ca="1">INDEX(DistrictEquipmentTypes.csv!F:F,RANDBETWEEN(2,COUNTA(DistrictEquipmentTypes.csv!D:D)),1)</f>
        <v>200007</v>
      </c>
      <c r="H60" s="8" t="str">
        <f t="shared" ca="1" si="2"/>
        <v>rg:{ 'id': '200007'}</v>
      </c>
      <c r="I60" s="8">
        <f t="shared" ca="1" si="3"/>
        <v>1</v>
      </c>
      <c r="J60" s="8">
        <f t="shared" ca="1" si="4"/>
        <v>76</v>
      </c>
      <c r="K60" s="8" t="str">
        <f t="shared" ca="1" si="5"/>
        <v>2017-05-08</v>
      </c>
      <c r="L60" s="8" t="str">
        <f t="shared" ca="1" si="6"/>
        <v>2017-05-17</v>
      </c>
    </row>
    <row r="61" spans="1:12" x14ac:dyDescent="0.3">
      <c r="A61" s="8" t="s">
        <v>5668</v>
      </c>
      <c r="B61" s="8">
        <f t="shared" si="0"/>
        <v>600059</v>
      </c>
      <c r="C61" s="1" t="s">
        <v>6977</v>
      </c>
      <c r="D61" s="9" t="str">
        <f>IFERROR(VLOOKUP(VLOOKUP(VLOOKUP(C61,Project.csv!F:Q,12,FALSE),ServiceAreas.csv!B:I,8,FALSE),LocalAreas.csv!B:I,7,FALSE),200029)</f>
        <v>rg:None</v>
      </c>
      <c r="E61" s="8" t="str">
        <f t="shared" si="1"/>
        <v>rg:{'id':'rg:None'}</v>
      </c>
      <c r="F61" s="9" t="s">
        <v>7057</v>
      </c>
      <c r="G61" s="9" t="str">
        <f ca="1">INDEX(DistrictEquipmentTypes.csv!F:F,RANDBETWEEN(2,COUNTA(DistrictEquipmentTypes.csv!D:D)),1)</f>
        <v>200009</v>
      </c>
      <c r="H61" s="8" t="str">
        <f t="shared" ca="1" si="2"/>
        <v>rg:{ 'id': '200009'}</v>
      </c>
      <c r="I61" s="8">
        <f t="shared" ca="1" si="3"/>
        <v>1</v>
      </c>
      <c r="J61" s="8">
        <f t="shared" ca="1" si="4"/>
        <v>68</v>
      </c>
      <c r="K61" s="8" t="str">
        <f t="shared" ca="1" si="5"/>
        <v>2017-05-20</v>
      </c>
      <c r="L61" s="8" t="str">
        <f t="shared" ca="1" si="6"/>
        <v>2017-05-28</v>
      </c>
    </row>
    <row r="62" spans="1:12" x14ac:dyDescent="0.3">
      <c r="A62" s="8" t="s">
        <v>5668</v>
      </c>
      <c r="B62" s="8">
        <f t="shared" si="0"/>
        <v>600060</v>
      </c>
      <c r="C62" s="1" t="s">
        <v>6978</v>
      </c>
      <c r="D62" s="9" t="str">
        <f>IFERROR(VLOOKUP(VLOOKUP(VLOOKUP(C62,Project.csv!F:Q,12,FALSE),ServiceAreas.csv!B:I,8,FALSE),LocalAreas.csv!B:I,7,FALSE),200029)</f>
        <v>rg:None</v>
      </c>
      <c r="E62" s="8" t="str">
        <f t="shared" si="1"/>
        <v>rg:{'id':'rg:None'}</v>
      </c>
      <c r="F62" s="9" t="s">
        <v>7055</v>
      </c>
      <c r="G62" s="9" t="str">
        <f ca="1">INDEX(DistrictEquipmentTypes.csv!F:F,RANDBETWEEN(2,COUNTA(DistrictEquipmentTypes.csv!D:D)),1)</f>
        <v>200006</v>
      </c>
      <c r="H62" s="8" t="str">
        <f t="shared" ca="1" si="2"/>
        <v>rg:{ 'id': '200006'}</v>
      </c>
      <c r="I62" s="8">
        <f t="shared" ca="1" si="3"/>
        <v>1</v>
      </c>
      <c r="J62" s="8">
        <f t="shared" ca="1" si="4"/>
        <v>73</v>
      </c>
      <c r="K62" s="8" t="str">
        <f t="shared" ca="1" si="5"/>
        <v>2017-04-03</v>
      </c>
      <c r="L62" s="8" t="str">
        <f t="shared" ca="1" si="6"/>
        <v>2017-04-12</v>
      </c>
    </row>
    <row r="63" spans="1:12" x14ac:dyDescent="0.3">
      <c r="A63" s="8" t="s">
        <v>5668</v>
      </c>
      <c r="B63" s="8">
        <f t="shared" si="0"/>
        <v>600061</v>
      </c>
      <c r="C63" s="1" t="s">
        <v>6979</v>
      </c>
      <c r="D63" s="9" t="str">
        <f>IFERROR(VLOOKUP(VLOOKUP(VLOOKUP(C63,Project.csv!F:Q,12,FALSE),ServiceAreas.csv!B:I,8,FALSE),LocalAreas.csv!B:I,7,FALSE),200029)</f>
        <v>rg:None</v>
      </c>
      <c r="E63" s="8" t="str">
        <f t="shared" si="1"/>
        <v>rg:{'id':'rg:None'}</v>
      </c>
      <c r="F63" s="9" t="s">
        <v>7055</v>
      </c>
      <c r="G63" s="9" t="str">
        <f ca="1">INDEX(DistrictEquipmentTypes.csv!F:F,RANDBETWEEN(2,COUNTA(DistrictEquipmentTypes.csv!D:D)),1)</f>
        <v>200009</v>
      </c>
      <c r="H63" s="8" t="str">
        <f t="shared" ca="1" si="2"/>
        <v>rg:{ 'id': '200009'}</v>
      </c>
      <c r="I63" s="8">
        <f t="shared" ca="1" si="3"/>
        <v>1</v>
      </c>
      <c r="J63" s="8">
        <f t="shared" ca="1" si="4"/>
        <v>23</v>
      </c>
      <c r="K63" s="8" t="str">
        <f t="shared" ca="1" si="5"/>
        <v>2017-05-23</v>
      </c>
      <c r="L63" s="8" t="str">
        <f t="shared" ca="1" si="6"/>
        <v>2017-05-25</v>
      </c>
    </row>
    <row r="64" spans="1:12" x14ac:dyDescent="0.3">
      <c r="A64" s="8" t="s">
        <v>5668</v>
      </c>
      <c r="B64" s="8">
        <f t="shared" si="0"/>
        <v>600062</v>
      </c>
      <c r="C64" s="1" t="s">
        <v>6980</v>
      </c>
      <c r="D64" s="9" t="str">
        <f>IFERROR(VLOOKUP(VLOOKUP(VLOOKUP(C64,Project.csv!F:Q,12,FALSE),ServiceAreas.csv!B:I,8,FALSE),LocalAreas.csv!B:I,7,FALSE),200029)</f>
        <v>rg:None</v>
      </c>
      <c r="E64" s="8" t="str">
        <f t="shared" si="1"/>
        <v>rg:{'id':'rg:None'}</v>
      </c>
      <c r="F64" s="9" t="s">
        <v>7057</v>
      </c>
      <c r="G64" s="9" t="str">
        <f ca="1">INDEX(DistrictEquipmentTypes.csv!F:F,RANDBETWEEN(2,COUNTA(DistrictEquipmentTypes.csv!D:D)),1)</f>
        <v>200007</v>
      </c>
      <c r="H64" s="8" t="str">
        <f t="shared" ca="1" si="2"/>
        <v>rg:{ 'id': '200007'}</v>
      </c>
      <c r="I64" s="8">
        <f t="shared" ca="1" si="3"/>
        <v>1</v>
      </c>
      <c r="J64" s="8">
        <f t="shared" ca="1" si="4"/>
        <v>12</v>
      </c>
      <c r="K64" s="8" t="str">
        <f t="shared" ca="1" si="5"/>
        <v>2017-05-17</v>
      </c>
      <c r="L64" s="8" t="str">
        <f t="shared" ca="1" si="6"/>
        <v>2017-05-18</v>
      </c>
    </row>
    <row r="65" spans="1:12" x14ac:dyDescent="0.3">
      <c r="A65" s="8" t="s">
        <v>5668</v>
      </c>
      <c r="B65" s="8">
        <f t="shared" si="0"/>
        <v>600063</v>
      </c>
      <c r="C65" s="1" t="s">
        <v>6981</v>
      </c>
      <c r="D65" s="9" t="str">
        <f>IFERROR(VLOOKUP(VLOOKUP(VLOOKUP(C65,Project.csv!F:Q,12,FALSE),ServiceAreas.csv!B:I,8,FALSE),LocalAreas.csv!B:I,7,FALSE),200029)</f>
        <v>rg:None</v>
      </c>
      <c r="E65" s="8" t="str">
        <f t="shared" si="1"/>
        <v>rg:{'id':'rg:None'}</v>
      </c>
      <c r="F65" s="9" t="s">
        <v>7055</v>
      </c>
      <c r="G65" s="9" t="str">
        <f ca="1">INDEX(DistrictEquipmentTypes.csv!F:F,RANDBETWEEN(2,COUNTA(DistrictEquipmentTypes.csv!D:D)),1)</f>
        <v>200002</v>
      </c>
      <c r="H65" s="8" t="str">
        <f t="shared" ca="1" si="2"/>
        <v>rg:{ 'id': '200002'}</v>
      </c>
      <c r="I65" s="8">
        <f t="shared" ca="1" si="3"/>
        <v>5</v>
      </c>
      <c r="J65" s="8">
        <f t="shared" ca="1" si="4"/>
        <v>37</v>
      </c>
      <c r="K65" s="8" t="str">
        <f t="shared" ca="1" si="5"/>
        <v>2017-04-22</v>
      </c>
      <c r="L65" s="8" t="str">
        <f t="shared" ca="1" si="6"/>
        <v>2017-05-15</v>
      </c>
    </row>
    <row r="66" spans="1:12" x14ac:dyDescent="0.3">
      <c r="A66" s="8" t="s">
        <v>5668</v>
      </c>
      <c r="B66" s="8">
        <f t="shared" si="0"/>
        <v>600064</v>
      </c>
      <c r="C66" s="1" t="s">
        <v>6982</v>
      </c>
      <c r="D66" s="9" t="str">
        <f>IFERROR(VLOOKUP(VLOOKUP(VLOOKUP(C66,Project.csv!F:Q,12,FALSE),ServiceAreas.csv!B:I,8,FALSE),LocalAreas.csv!B:I,7,FALSE),200029)</f>
        <v>rg:None</v>
      </c>
      <c r="E66" s="8" t="str">
        <f t="shared" si="1"/>
        <v>rg:{'id':'rg:None'}</v>
      </c>
      <c r="F66" s="9" t="s">
        <v>7055</v>
      </c>
      <c r="G66" s="9" t="str">
        <f ca="1">INDEX(DistrictEquipmentTypes.csv!F:F,RANDBETWEEN(2,COUNTA(DistrictEquipmentTypes.csv!D:D)),1)</f>
        <v>200006</v>
      </c>
      <c r="H66" s="8" t="str">
        <f t="shared" ca="1" si="2"/>
        <v>rg:{ 'id': '200006'}</v>
      </c>
      <c r="I66" s="8">
        <f t="shared" ca="1" si="3"/>
        <v>1</v>
      </c>
      <c r="J66" s="8">
        <f t="shared" ca="1" si="4"/>
        <v>20</v>
      </c>
      <c r="K66" s="8" t="str">
        <f t="shared" ca="1" si="5"/>
        <v>2017-05-03</v>
      </c>
      <c r="L66" s="8" t="str">
        <f t="shared" ca="1" si="6"/>
        <v>2017-05-05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6916</v>
      </c>
      <c r="D67" s="9" t="str">
        <f>IFERROR(VLOOKUP(VLOOKUP(VLOOKUP(C67,Project.csv!F:Q,12,FALSE),ServiceAreas.csv!B:I,8,FALSE),LocalAreas.csv!B:I,7,FALSE),200029)</f>
        <v>rg:None</v>
      </c>
      <c r="E67" s="8" t="str">
        <f t="shared" ref="E67:E130" si="8" xml:space="preserve"> "rg:{'id':'" &amp; D67 &amp; "'}"</f>
        <v>rg:{'id':'rg:None'}</v>
      </c>
      <c r="F67" s="9" t="s">
        <v>7055</v>
      </c>
      <c r="G67" s="9" t="str">
        <f ca="1">INDEX(DistrictEquipmentTypes.csv!F:F,RANDBETWEEN(2,COUNTA(DistrictEquipmentTypes.csv!D:D)),1)</f>
        <v>200001</v>
      </c>
      <c r="H67" s="8" t="str">
        <f t="shared" ref="H67:H130" ca="1" si="9">"rg:{ 'id': '"&amp;G67&amp;"'}"</f>
        <v>rg:{ 'id': '200001'}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49</v>
      </c>
      <c r="K67" s="8" t="str">
        <f t="shared" ref="K67:K130" ca="1" si="12">TEXT(TODAY()+RANDBETWEEN(1,56),"YYYY-MM-DD")</f>
        <v>2017-04-01</v>
      </c>
      <c r="L67" s="8" t="str">
        <f t="shared" ref="L67:L130" ca="1" si="13">TEXT(K67+(I67*J67)/8,"YYYY-MM-DD")</f>
        <v>2017-04-07</v>
      </c>
    </row>
    <row r="68" spans="1:12" x14ac:dyDescent="0.3">
      <c r="A68" s="8" t="s">
        <v>5668</v>
      </c>
      <c r="B68" s="8">
        <f t="shared" si="7"/>
        <v>600066</v>
      </c>
      <c r="C68" s="1" t="s">
        <v>6983</v>
      </c>
      <c r="D68" s="9" t="str">
        <f>IFERROR(VLOOKUP(VLOOKUP(VLOOKUP(C68,Project.csv!F:Q,12,FALSE),ServiceAreas.csv!B:I,8,FALSE),LocalAreas.csv!B:I,7,FALSE),200029)</f>
        <v>rg:None</v>
      </c>
      <c r="E68" s="8" t="str">
        <f t="shared" si="8"/>
        <v>rg:{'id':'rg:None'}</v>
      </c>
      <c r="F68" s="9" t="s">
        <v>7055</v>
      </c>
      <c r="G68" s="9" t="str">
        <f ca="1">INDEX(DistrictEquipmentTypes.csv!F:F,RANDBETWEEN(2,COUNTA(DistrictEquipmentTypes.csv!D:D)),1)</f>
        <v>200002</v>
      </c>
      <c r="H68" s="8" t="str">
        <f t="shared" ca="1" si="9"/>
        <v>rg:{ 'id': '200002'}</v>
      </c>
      <c r="I68" s="8">
        <f t="shared" ca="1" si="10"/>
        <v>1</v>
      </c>
      <c r="J68" s="8">
        <f t="shared" ca="1" si="11"/>
        <v>15</v>
      </c>
      <c r="K68" s="8" t="str">
        <f t="shared" ca="1" si="12"/>
        <v>2017-05-10</v>
      </c>
      <c r="L68" s="8" t="str">
        <f t="shared" ca="1" si="13"/>
        <v>2017-05-11</v>
      </c>
    </row>
    <row r="69" spans="1:12" x14ac:dyDescent="0.3">
      <c r="A69" s="8" t="s">
        <v>5668</v>
      </c>
      <c r="B69" s="8">
        <f t="shared" si="7"/>
        <v>600067</v>
      </c>
      <c r="C69" s="1" t="s">
        <v>6984</v>
      </c>
      <c r="D69" s="9" t="str">
        <f>IFERROR(VLOOKUP(VLOOKUP(VLOOKUP(C69,Project.csv!F:Q,12,FALSE),ServiceAreas.csv!B:I,8,FALSE),LocalAreas.csv!B:I,7,FALSE),200029)</f>
        <v>rg:None</v>
      </c>
      <c r="E69" s="8" t="str">
        <f t="shared" si="8"/>
        <v>rg:{'id':'rg:None'}</v>
      </c>
      <c r="F69" s="9" t="s">
        <v>7057</v>
      </c>
      <c r="G69" s="9" t="str">
        <f ca="1">INDEX(DistrictEquipmentTypes.csv!F:F,RANDBETWEEN(2,COUNTA(DistrictEquipmentTypes.csv!D:D)),1)</f>
        <v>200001</v>
      </c>
      <c r="H69" s="8" t="str">
        <f t="shared" ca="1" si="9"/>
        <v>rg:{ 'id': '200001'}</v>
      </c>
      <c r="I69" s="8">
        <f t="shared" ca="1" si="10"/>
        <v>1</v>
      </c>
      <c r="J69" s="8">
        <f t="shared" ca="1" si="11"/>
        <v>48</v>
      </c>
      <c r="K69" s="8" t="str">
        <f t="shared" ca="1" si="12"/>
        <v>2017-04-25</v>
      </c>
      <c r="L69" s="8" t="str">
        <f t="shared" ca="1" si="13"/>
        <v>2017-05-01</v>
      </c>
    </row>
    <row r="70" spans="1:12" x14ac:dyDescent="0.3">
      <c r="A70" s="8" t="s">
        <v>5668</v>
      </c>
      <c r="B70" s="8">
        <f t="shared" si="7"/>
        <v>600068</v>
      </c>
      <c r="C70" s="1" t="s">
        <v>6985</v>
      </c>
      <c r="D70" s="9" t="str">
        <f>IFERROR(VLOOKUP(VLOOKUP(VLOOKUP(C70,Project.csv!F:Q,12,FALSE),ServiceAreas.csv!B:I,8,FALSE),LocalAreas.csv!B:I,7,FALSE),200029)</f>
        <v>rg:None</v>
      </c>
      <c r="E70" s="8" t="str">
        <f t="shared" si="8"/>
        <v>rg:{'id':'rg:None'}</v>
      </c>
      <c r="F70" s="9" t="s">
        <v>7055</v>
      </c>
      <c r="G70" s="9" t="str">
        <f ca="1">INDEX(DistrictEquipmentTypes.csv!F:F,RANDBETWEEN(2,COUNTA(DistrictEquipmentTypes.csv!D:D)),1)</f>
        <v>200004</v>
      </c>
      <c r="H70" s="8" t="str">
        <f t="shared" ca="1" si="9"/>
        <v>rg:{ 'id': '200004'}</v>
      </c>
      <c r="I70" s="8">
        <f t="shared" ca="1" si="10"/>
        <v>1</v>
      </c>
      <c r="J70" s="8">
        <f t="shared" ca="1" si="11"/>
        <v>7</v>
      </c>
      <c r="K70" s="8" t="str">
        <f t="shared" ca="1" si="12"/>
        <v>2017-04-25</v>
      </c>
      <c r="L70" s="8" t="str">
        <f t="shared" ca="1" si="13"/>
        <v>2017-04-25</v>
      </c>
    </row>
    <row r="71" spans="1:12" x14ac:dyDescent="0.3">
      <c r="A71" s="8" t="s">
        <v>5668</v>
      </c>
      <c r="B71" s="8">
        <f t="shared" si="7"/>
        <v>600069</v>
      </c>
      <c r="C71" s="1" t="s">
        <v>6922</v>
      </c>
      <c r="D71" s="9" t="str">
        <f>IFERROR(VLOOKUP(VLOOKUP(VLOOKUP(C71,Project.csv!F:Q,12,FALSE),ServiceAreas.csv!B:I,8,FALSE),LocalAreas.csv!B:I,7,FALSE),200029)</f>
        <v>rg:None</v>
      </c>
      <c r="E71" s="8" t="str">
        <f t="shared" si="8"/>
        <v>rg:{'id':'rg:None'}</v>
      </c>
      <c r="F71" s="9" t="s">
        <v>7055</v>
      </c>
      <c r="G71" s="9" t="str">
        <f ca="1">INDEX(DistrictEquipmentTypes.csv!F:F,RANDBETWEEN(2,COUNTA(DistrictEquipmentTypes.csv!D:D)),1)</f>
        <v>200006</v>
      </c>
      <c r="H71" s="8" t="str">
        <f t="shared" ca="1" si="9"/>
        <v>rg:{ 'id': '200006'}</v>
      </c>
      <c r="I71" s="8">
        <f t="shared" ca="1" si="10"/>
        <v>1</v>
      </c>
      <c r="J71" s="8">
        <f t="shared" ca="1" si="11"/>
        <v>39</v>
      </c>
      <c r="K71" s="8" t="str">
        <f t="shared" ca="1" si="12"/>
        <v>2017-04-11</v>
      </c>
      <c r="L71" s="8" t="str">
        <f t="shared" ca="1" si="13"/>
        <v>2017-04-15</v>
      </c>
    </row>
    <row r="72" spans="1:12" x14ac:dyDescent="0.3">
      <c r="A72" s="8" t="s">
        <v>5668</v>
      </c>
      <c r="B72" s="8">
        <f t="shared" si="7"/>
        <v>600070</v>
      </c>
      <c r="C72" s="1" t="s">
        <v>6986</v>
      </c>
      <c r="D72" s="9" t="str">
        <f>IFERROR(VLOOKUP(VLOOKUP(VLOOKUP(C72,Project.csv!F:Q,12,FALSE),ServiceAreas.csv!B:I,8,FALSE),LocalAreas.csv!B:I,7,FALSE),200029)</f>
        <v>rg:None</v>
      </c>
      <c r="E72" s="8" t="str">
        <f t="shared" si="8"/>
        <v>rg:{'id':'rg:None'}</v>
      </c>
      <c r="F72" s="9" t="s">
        <v>7055</v>
      </c>
      <c r="G72" s="9" t="str">
        <f ca="1">INDEX(DistrictEquipmentTypes.csv!F:F,RANDBETWEEN(2,COUNTA(DistrictEquipmentTypes.csv!D:D)),1)</f>
        <v>200006</v>
      </c>
      <c r="H72" s="8" t="str">
        <f t="shared" ca="1" si="9"/>
        <v>rg:{ 'id': '200006'}</v>
      </c>
      <c r="I72" s="8">
        <f t="shared" ca="1" si="10"/>
        <v>1</v>
      </c>
      <c r="J72" s="8">
        <f t="shared" ca="1" si="11"/>
        <v>42</v>
      </c>
      <c r="K72" s="8" t="str">
        <f t="shared" ca="1" si="12"/>
        <v>2017-05-08</v>
      </c>
      <c r="L72" s="8" t="str">
        <f t="shared" ca="1" si="13"/>
        <v>2017-05-13</v>
      </c>
    </row>
    <row r="73" spans="1:12" x14ac:dyDescent="0.3">
      <c r="A73" s="8" t="s">
        <v>5668</v>
      </c>
      <c r="B73" s="8">
        <f t="shared" si="7"/>
        <v>600071</v>
      </c>
      <c r="C73" s="1" t="s">
        <v>6987</v>
      </c>
      <c r="D73" s="9" t="str">
        <f>IFERROR(VLOOKUP(VLOOKUP(VLOOKUP(C73,Project.csv!F:Q,12,FALSE),ServiceAreas.csv!B:I,8,FALSE),LocalAreas.csv!B:I,7,FALSE),200029)</f>
        <v>rg:None</v>
      </c>
      <c r="E73" s="8" t="str">
        <f t="shared" si="8"/>
        <v>rg:{'id':'rg:None'}</v>
      </c>
      <c r="F73" s="9" t="s">
        <v>7057</v>
      </c>
      <c r="G73" s="9" t="str">
        <f ca="1">INDEX(DistrictEquipmentTypes.csv!F:F,RANDBETWEEN(2,COUNTA(DistrictEquipmentTypes.csv!D:D)),1)</f>
        <v>200009</v>
      </c>
      <c r="H73" s="8" t="str">
        <f t="shared" ca="1" si="9"/>
        <v>rg:{ 'id': '200009'}</v>
      </c>
      <c r="I73" s="8">
        <f t="shared" ca="1" si="10"/>
        <v>1</v>
      </c>
      <c r="J73" s="8">
        <f t="shared" ca="1" si="11"/>
        <v>33</v>
      </c>
      <c r="K73" s="8" t="str">
        <f t="shared" ca="1" si="12"/>
        <v>2017-04-16</v>
      </c>
      <c r="L73" s="8" t="str">
        <f t="shared" ca="1" si="13"/>
        <v>2017-04-20</v>
      </c>
    </row>
    <row r="74" spans="1:12" x14ac:dyDescent="0.3">
      <c r="A74" s="8" t="s">
        <v>5668</v>
      </c>
      <c r="B74" s="8">
        <f t="shared" si="7"/>
        <v>600072</v>
      </c>
      <c r="C74" s="1" t="s">
        <v>6988</v>
      </c>
      <c r="D74" s="9" t="str">
        <f>IFERROR(VLOOKUP(VLOOKUP(VLOOKUP(C74,Project.csv!F:Q,12,FALSE),ServiceAreas.csv!B:I,8,FALSE),LocalAreas.csv!B:I,7,FALSE),200029)</f>
        <v>rg:None</v>
      </c>
      <c r="E74" s="8" t="str">
        <f t="shared" si="8"/>
        <v>rg:{'id':'rg:None'}</v>
      </c>
      <c r="F74" s="9" t="s">
        <v>7055</v>
      </c>
      <c r="G74" s="9" t="str">
        <f ca="1">INDEX(DistrictEquipmentTypes.csv!F:F,RANDBETWEEN(2,COUNTA(DistrictEquipmentTypes.csv!D:D)),1)</f>
        <v>200005</v>
      </c>
      <c r="H74" s="8" t="str">
        <f t="shared" ca="1" si="9"/>
        <v>rg:{ 'id': '200005'}</v>
      </c>
      <c r="I74" s="8">
        <f t="shared" ca="1" si="10"/>
        <v>1</v>
      </c>
      <c r="J74" s="8">
        <f t="shared" ca="1" si="11"/>
        <v>39</v>
      </c>
      <c r="K74" s="8" t="str">
        <f t="shared" ca="1" si="12"/>
        <v>2017-05-11</v>
      </c>
      <c r="L74" s="8" t="str">
        <f t="shared" ca="1" si="13"/>
        <v>2017-05-15</v>
      </c>
    </row>
    <row r="75" spans="1:12" x14ac:dyDescent="0.3">
      <c r="A75" s="8" t="s">
        <v>5668</v>
      </c>
      <c r="B75" s="8">
        <f t="shared" si="7"/>
        <v>600073</v>
      </c>
      <c r="C75" s="1" t="s">
        <v>6989</v>
      </c>
      <c r="D75" s="9" t="str">
        <f>IFERROR(VLOOKUP(VLOOKUP(VLOOKUP(C75,Project.csv!F:Q,12,FALSE),ServiceAreas.csv!B:I,8,FALSE),LocalAreas.csv!B:I,7,FALSE),200029)</f>
        <v>rg:None</v>
      </c>
      <c r="E75" s="8" t="str">
        <f t="shared" si="8"/>
        <v>rg:{'id':'rg:None'}</v>
      </c>
      <c r="F75" s="9" t="s">
        <v>7055</v>
      </c>
      <c r="G75" s="9" t="str">
        <f ca="1">INDEX(DistrictEquipmentTypes.csv!F:F,RANDBETWEEN(2,COUNTA(DistrictEquipmentTypes.csv!D:D)),1)</f>
        <v>200003</v>
      </c>
      <c r="H75" s="8" t="str">
        <f t="shared" ca="1" si="9"/>
        <v>rg:{ 'id': '200003'}</v>
      </c>
      <c r="I75" s="8">
        <f t="shared" ca="1" si="10"/>
        <v>1</v>
      </c>
      <c r="J75" s="8">
        <f t="shared" ca="1" si="11"/>
        <v>85</v>
      </c>
      <c r="K75" s="8" t="str">
        <f t="shared" ca="1" si="12"/>
        <v>2017-04-18</v>
      </c>
      <c r="L75" s="8" t="str">
        <f t="shared" ca="1" si="13"/>
        <v>2017-04-28</v>
      </c>
    </row>
    <row r="76" spans="1:12" x14ac:dyDescent="0.3">
      <c r="A76" s="8" t="s">
        <v>5668</v>
      </c>
      <c r="B76" s="8">
        <f t="shared" si="7"/>
        <v>600074</v>
      </c>
      <c r="C76" s="1" t="s">
        <v>6990</v>
      </c>
      <c r="D76" s="9" t="str">
        <f>IFERROR(VLOOKUP(VLOOKUP(VLOOKUP(C76,Project.csv!F:Q,12,FALSE),ServiceAreas.csv!B:I,8,FALSE),LocalAreas.csv!B:I,7,FALSE),200029)</f>
        <v>rg:None</v>
      </c>
      <c r="E76" s="8" t="str">
        <f t="shared" si="8"/>
        <v>rg:{'id':'rg:None'}</v>
      </c>
      <c r="F76" s="9" t="s">
        <v>7055</v>
      </c>
      <c r="G76" s="9" t="str">
        <f ca="1">INDEX(DistrictEquipmentTypes.csv!F:F,RANDBETWEEN(2,COUNTA(DistrictEquipmentTypes.csv!D:D)),1)</f>
        <v>200009</v>
      </c>
      <c r="H76" s="8" t="str">
        <f t="shared" ca="1" si="9"/>
        <v>rg:{ 'id': '200009'}</v>
      </c>
      <c r="I76" s="8">
        <f t="shared" ca="1" si="10"/>
        <v>1</v>
      </c>
      <c r="J76" s="8">
        <f t="shared" ca="1" si="11"/>
        <v>27</v>
      </c>
      <c r="K76" s="8" t="str">
        <f t="shared" ca="1" si="12"/>
        <v>2017-05-09</v>
      </c>
      <c r="L76" s="8" t="str">
        <f t="shared" ca="1" si="13"/>
        <v>2017-05-12</v>
      </c>
    </row>
    <row r="77" spans="1:12" x14ac:dyDescent="0.3">
      <c r="A77" s="8" t="s">
        <v>5668</v>
      </c>
      <c r="B77" s="8">
        <f t="shared" si="7"/>
        <v>600075</v>
      </c>
      <c r="C77" s="1" t="s">
        <v>6991</v>
      </c>
      <c r="D77" s="9" t="str">
        <f>IFERROR(VLOOKUP(VLOOKUP(VLOOKUP(C77,Project.csv!F:Q,12,FALSE),ServiceAreas.csv!B:I,8,FALSE),LocalAreas.csv!B:I,7,FALSE),200029)</f>
        <v>rg:None</v>
      </c>
      <c r="E77" s="8" t="str">
        <f t="shared" si="8"/>
        <v>rg:{'id':'rg:None'}</v>
      </c>
      <c r="F77" s="9" t="s">
        <v>7055</v>
      </c>
      <c r="G77" s="9" t="str">
        <f ca="1">INDEX(DistrictEquipmentTypes.csv!F:F,RANDBETWEEN(2,COUNTA(DistrictEquipmentTypes.csv!D:D)),1)</f>
        <v>200000</v>
      </c>
      <c r="H77" s="8" t="str">
        <f t="shared" ca="1" si="9"/>
        <v>rg:{ 'id': '200000'}</v>
      </c>
      <c r="I77" s="8">
        <f t="shared" ca="1" si="10"/>
        <v>1</v>
      </c>
      <c r="J77" s="8">
        <f t="shared" ca="1" si="11"/>
        <v>22</v>
      </c>
      <c r="K77" s="8" t="str">
        <f t="shared" ca="1" si="12"/>
        <v>2017-04-18</v>
      </c>
      <c r="L77" s="8" t="str">
        <f t="shared" ca="1" si="13"/>
        <v>2017-04-20</v>
      </c>
    </row>
    <row r="78" spans="1:12" x14ac:dyDescent="0.3">
      <c r="A78" s="8" t="s">
        <v>5668</v>
      </c>
      <c r="B78" s="8">
        <f t="shared" si="7"/>
        <v>600076</v>
      </c>
      <c r="C78" s="1" t="s">
        <v>6992</v>
      </c>
      <c r="D78" s="9" t="str">
        <f>IFERROR(VLOOKUP(VLOOKUP(VLOOKUP(C78,Project.csv!F:Q,12,FALSE),ServiceAreas.csv!B:I,8,FALSE),LocalAreas.csv!B:I,7,FALSE),200029)</f>
        <v>rg:None</v>
      </c>
      <c r="E78" s="8" t="str">
        <f t="shared" si="8"/>
        <v>rg:{'id':'rg:None'}</v>
      </c>
      <c r="F78" s="9" t="s">
        <v>7055</v>
      </c>
      <c r="G78" s="9" t="str">
        <f ca="1">INDEX(DistrictEquipmentTypes.csv!F:F,RANDBETWEEN(2,COUNTA(DistrictEquipmentTypes.csv!D:D)),1)</f>
        <v>200006</v>
      </c>
      <c r="H78" s="8" t="str">
        <f t="shared" ca="1" si="9"/>
        <v>rg:{ 'id': '200006'}</v>
      </c>
      <c r="I78" s="8">
        <f t="shared" ca="1" si="10"/>
        <v>2</v>
      </c>
      <c r="J78" s="8">
        <f t="shared" ca="1" si="11"/>
        <v>76</v>
      </c>
      <c r="K78" s="8" t="str">
        <f t="shared" ca="1" si="12"/>
        <v>2017-05-06</v>
      </c>
      <c r="L78" s="8" t="str">
        <f t="shared" ca="1" si="13"/>
        <v>2017-05-25</v>
      </c>
    </row>
    <row r="79" spans="1:12" x14ac:dyDescent="0.3">
      <c r="A79" s="8" t="s">
        <v>5668</v>
      </c>
      <c r="B79" s="8">
        <f t="shared" si="7"/>
        <v>600077</v>
      </c>
      <c r="C79" s="1" t="s">
        <v>6902</v>
      </c>
      <c r="D79" s="9" t="str">
        <f>IFERROR(VLOOKUP(VLOOKUP(VLOOKUP(C79,Project.csv!F:Q,12,FALSE),ServiceAreas.csv!B:I,8,FALSE),LocalAreas.csv!B:I,7,FALSE),200029)</f>
        <v>rg:None</v>
      </c>
      <c r="E79" s="8" t="str">
        <f t="shared" si="8"/>
        <v>rg:{'id':'rg:None'}</v>
      </c>
      <c r="F79" s="9" t="s">
        <v>7057</v>
      </c>
      <c r="G79" s="9" t="str">
        <f ca="1">INDEX(DistrictEquipmentTypes.csv!F:F,RANDBETWEEN(2,COUNTA(DistrictEquipmentTypes.csv!D:D)),1)</f>
        <v>200006</v>
      </c>
      <c r="H79" s="8" t="str">
        <f t="shared" ca="1" si="9"/>
        <v>rg:{ 'id': '200006'}</v>
      </c>
      <c r="I79" s="8">
        <f t="shared" ca="1" si="10"/>
        <v>1</v>
      </c>
      <c r="J79" s="8">
        <f t="shared" ca="1" si="11"/>
        <v>79</v>
      </c>
      <c r="K79" s="8" t="str">
        <f t="shared" ca="1" si="12"/>
        <v>2017-05-24</v>
      </c>
      <c r="L79" s="8" t="str">
        <f t="shared" ca="1" si="13"/>
        <v>2017-06-02</v>
      </c>
    </row>
    <row r="80" spans="1:12" x14ac:dyDescent="0.3">
      <c r="A80" s="8" t="s">
        <v>5668</v>
      </c>
      <c r="B80" s="8">
        <f t="shared" si="7"/>
        <v>600078</v>
      </c>
      <c r="C80" s="1" t="s">
        <v>6897</v>
      </c>
      <c r="D80" s="9" t="str">
        <f>IFERROR(VLOOKUP(VLOOKUP(VLOOKUP(C80,Project.csv!F:Q,12,FALSE),ServiceAreas.csv!B:I,8,FALSE),LocalAreas.csv!B:I,7,FALSE),200029)</f>
        <v>rg:None</v>
      </c>
      <c r="E80" s="8" t="str">
        <f t="shared" si="8"/>
        <v>rg:{'id':'rg:None'}</v>
      </c>
      <c r="F80" s="9" t="s">
        <v>7055</v>
      </c>
      <c r="G80" s="9" t="str">
        <f ca="1">INDEX(DistrictEquipmentTypes.csv!F:F,RANDBETWEEN(2,COUNTA(DistrictEquipmentTypes.csv!D:D)),1)</f>
        <v>200005</v>
      </c>
      <c r="H80" s="8" t="str">
        <f t="shared" ca="1" si="9"/>
        <v>rg:{ 'id': '200005'}</v>
      </c>
      <c r="I80" s="8">
        <f t="shared" ca="1" si="10"/>
        <v>2</v>
      </c>
      <c r="J80" s="8">
        <f t="shared" ca="1" si="11"/>
        <v>90</v>
      </c>
      <c r="K80" s="8" t="str">
        <f t="shared" ca="1" si="12"/>
        <v>2017-04-02</v>
      </c>
      <c r="L80" s="8" t="str">
        <f t="shared" ca="1" si="13"/>
        <v>2017-04-24</v>
      </c>
    </row>
    <row r="81" spans="1:12" x14ac:dyDescent="0.3">
      <c r="A81" s="8" t="s">
        <v>5668</v>
      </c>
      <c r="B81" s="8">
        <f t="shared" si="7"/>
        <v>600079</v>
      </c>
      <c r="C81" s="1" t="s">
        <v>6993</v>
      </c>
      <c r="D81" s="9" t="str">
        <f>IFERROR(VLOOKUP(VLOOKUP(VLOOKUP(C81,Project.csv!F:Q,12,FALSE),ServiceAreas.csv!B:I,8,FALSE),LocalAreas.csv!B:I,7,FALSE),200029)</f>
        <v>rg:None</v>
      </c>
      <c r="E81" s="8" t="str">
        <f t="shared" si="8"/>
        <v>rg:{'id':'rg:None'}</v>
      </c>
      <c r="F81" s="9" t="s">
        <v>7055</v>
      </c>
      <c r="G81" s="9" t="str">
        <f ca="1">INDEX(DistrictEquipmentTypes.csv!F:F,RANDBETWEEN(2,COUNTA(DistrictEquipmentTypes.csv!D:D)),1)</f>
        <v>200007</v>
      </c>
      <c r="H81" s="8" t="str">
        <f t="shared" ca="1" si="9"/>
        <v>rg:{ 'id': '200007'}</v>
      </c>
      <c r="I81" s="8">
        <f t="shared" ca="1" si="10"/>
        <v>1</v>
      </c>
      <c r="J81" s="8">
        <f t="shared" ca="1" si="11"/>
        <v>31</v>
      </c>
      <c r="K81" s="8" t="str">
        <f t="shared" ca="1" si="12"/>
        <v>2017-04-08</v>
      </c>
      <c r="L81" s="8" t="str">
        <f t="shared" ca="1" si="13"/>
        <v>2017-04-11</v>
      </c>
    </row>
    <row r="82" spans="1:12" x14ac:dyDescent="0.3">
      <c r="A82" s="8" t="s">
        <v>5668</v>
      </c>
      <c r="B82" s="8">
        <f t="shared" si="7"/>
        <v>600080</v>
      </c>
      <c r="C82" s="1" t="s">
        <v>6994</v>
      </c>
      <c r="D82" s="9" t="str">
        <f>IFERROR(VLOOKUP(VLOOKUP(VLOOKUP(C82,Project.csv!F:Q,12,FALSE),ServiceAreas.csv!B:I,8,FALSE),LocalAreas.csv!B:I,7,FALSE),200029)</f>
        <v>rg:None</v>
      </c>
      <c r="E82" s="8" t="str">
        <f t="shared" si="8"/>
        <v>rg:{'id':'rg:None'}</v>
      </c>
      <c r="F82" s="9" t="s">
        <v>7055</v>
      </c>
      <c r="G82" s="9" t="str">
        <f ca="1">INDEX(DistrictEquipmentTypes.csv!F:F,RANDBETWEEN(2,COUNTA(DistrictEquipmentTypes.csv!D:D)),1)</f>
        <v>200007</v>
      </c>
      <c r="H82" s="8" t="str">
        <f t="shared" ca="1" si="9"/>
        <v>rg:{ 'id': '200007'}</v>
      </c>
      <c r="I82" s="8">
        <f t="shared" ca="1" si="10"/>
        <v>5</v>
      </c>
      <c r="J82" s="8">
        <f t="shared" ca="1" si="11"/>
        <v>12</v>
      </c>
      <c r="K82" s="8" t="str">
        <f t="shared" ca="1" si="12"/>
        <v>2017-04-15</v>
      </c>
      <c r="L82" s="8" t="str">
        <f t="shared" ca="1" si="13"/>
        <v>2017-04-22</v>
      </c>
    </row>
    <row r="83" spans="1:12" x14ac:dyDescent="0.3">
      <c r="A83" s="8" t="s">
        <v>5668</v>
      </c>
      <c r="B83" s="8">
        <f t="shared" si="7"/>
        <v>600081</v>
      </c>
      <c r="C83" s="1" t="s">
        <v>6995</v>
      </c>
      <c r="D83" s="9" t="str">
        <f>IFERROR(VLOOKUP(VLOOKUP(VLOOKUP(C83,Project.csv!F:Q,12,FALSE),ServiceAreas.csv!B:I,8,FALSE),LocalAreas.csv!B:I,7,FALSE),200029)</f>
        <v>rg:None</v>
      </c>
      <c r="E83" s="8" t="str">
        <f t="shared" si="8"/>
        <v>rg:{'id':'rg:None'}</v>
      </c>
      <c r="F83" s="9" t="s">
        <v>7057</v>
      </c>
      <c r="G83" s="9" t="str">
        <f ca="1">INDEX(DistrictEquipmentTypes.csv!F:F,RANDBETWEEN(2,COUNTA(DistrictEquipmentTypes.csv!D:D)),1)</f>
        <v>200009</v>
      </c>
      <c r="H83" s="8" t="str">
        <f t="shared" ca="1" si="9"/>
        <v>rg:{ 'id': '200009'}</v>
      </c>
      <c r="I83" s="8">
        <f t="shared" ca="1" si="10"/>
        <v>1</v>
      </c>
      <c r="J83" s="8">
        <f t="shared" ca="1" si="11"/>
        <v>86</v>
      </c>
      <c r="K83" s="8" t="str">
        <f t="shared" ca="1" si="12"/>
        <v>2017-04-27</v>
      </c>
      <c r="L83" s="8" t="str">
        <f t="shared" ca="1" si="13"/>
        <v>2017-05-07</v>
      </c>
    </row>
    <row r="84" spans="1:12" x14ac:dyDescent="0.3">
      <c r="A84" s="8" t="s">
        <v>5668</v>
      </c>
      <c r="B84" s="8">
        <f t="shared" si="7"/>
        <v>600082</v>
      </c>
      <c r="C84" s="1" t="s">
        <v>6996</v>
      </c>
      <c r="D84" s="9" t="str">
        <f>IFERROR(VLOOKUP(VLOOKUP(VLOOKUP(C84,Project.csv!F:Q,12,FALSE),ServiceAreas.csv!B:I,8,FALSE),LocalAreas.csv!B:I,7,FALSE),200029)</f>
        <v>rg:None</v>
      </c>
      <c r="E84" s="8" t="str">
        <f t="shared" si="8"/>
        <v>rg:{'id':'rg:None'}</v>
      </c>
      <c r="F84" s="9" t="s">
        <v>7056</v>
      </c>
      <c r="G84" s="9" t="str">
        <f ca="1">INDEX(DistrictEquipmentTypes.csv!F:F,RANDBETWEEN(2,COUNTA(DistrictEquipmentTypes.csv!D:D)),1)</f>
        <v>200009</v>
      </c>
      <c r="H84" s="8" t="str">
        <f t="shared" ca="1" si="9"/>
        <v>rg:{ 'id': '200009'}</v>
      </c>
      <c r="I84" s="8">
        <f t="shared" ca="1" si="10"/>
        <v>1</v>
      </c>
      <c r="J84" s="8">
        <f t="shared" ca="1" si="11"/>
        <v>27</v>
      </c>
      <c r="K84" s="8" t="str">
        <f t="shared" ca="1" si="12"/>
        <v>2017-04-28</v>
      </c>
      <c r="L84" s="8" t="str">
        <f t="shared" ca="1" si="13"/>
        <v>2017-05-01</v>
      </c>
    </row>
    <row r="85" spans="1:12" x14ac:dyDescent="0.3">
      <c r="A85" s="8" t="s">
        <v>5668</v>
      </c>
      <c r="B85" s="8">
        <f t="shared" si="7"/>
        <v>600083</v>
      </c>
      <c r="C85" s="1" t="s">
        <v>6896</v>
      </c>
      <c r="D85" s="9" t="str">
        <f>IFERROR(VLOOKUP(VLOOKUP(VLOOKUP(C85,Project.csv!F:Q,12,FALSE),ServiceAreas.csv!B:I,8,FALSE),LocalAreas.csv!B:I,7,FALSE),200029)</f>
        <v>rg:None</v>
      </c>
      <c r="E85" s="8" t="str">
        <f t="shared" si="8"/>
        <v>rg:{'id':'rg:None'}</v>
      </c>
      <c r="F85" s="9" t="s">
        <v>7056</v>
      </c>
      <c r="G85" s="9" t="str">
        <f ca="1">INDEX(DistrictEquipmentTypes.csv!F:F,RANDBETWEEN(2,COUNTA(DistrictEquipmentTypes.csv!D:D)),1)</f>
        <v>200005</v>
      </c>
      <c r="H85" s="8" t="str">
        <f t="shared" ca="1" si="9"/>
        <v>rg:{ 'id': '200005'}</v>
      </c>
      <c r="I85" s="8">
        <f t="shared" ca="1" si="10"/>
        <v>1</v>
      </c>
      <c r="J85" s="8">
        <f t="shared" ca="1" si="11"/>
        <v>32</v>
      </c>
      <c r="K85" s="8" t="str">
        <f t="shared" ca="1" si="12"/>
        <v>2017-04-25</v>
      </c>
      <c r="L85" s="8" t="str">
        <f t="shared" ca="1" si="13"/>
        <v>2017-04-29</v>
      </c>
    </row>
    <row r="86" spans="1:12" x14ac:dyDescent="0.3">
      <c r="A86" s="8" t="s">
        <v>5668</v>
      </c>
      <c r="B86" s="8">
        <f t="shared" si="7"/>
        <v>600084</v>
      </c>
      <c r="C86" s="1" t="s">
        <v>6997</v>
      </c>
      <c r="D86" s="9" t="str">
        <f>IFERROR(VLOOKUP(VLOOKUP(VLOOKUP(C86,Project.csv!F:Q,12,FALSE),ServiceAreas.csv!B:I,8,FALSE),LocalAreas.csv!B:I,7,FALSE),200029)</f>
        <v>rg:None</v>
      </c>
      <c r="E86" s="8" t="str">
        <f t="shared" si="8"/>
        <v>rg:{'id':'rg:None'}</v>
      </c>
      <c r="F86" s="9" t="s">
        <v>7055</v>
      </c>
      <c r="G86" s="9" t="str">
        <f ca="1">INDEX(DistrictEquipmentTypes.csv!F:F,RANDBETWEEN(2,COUNTA(DistrictEquipmentTypes.csv!D:D)),1)</f>
        <v>200005</v>
      </c>
      <c r="H86" s="8" t="str">
        <f t="shared" ca="1" si="9"/>
        <v>rg:{ 'id': '200005'}</v>
      </c>
      <c r="I86" s="8">
        <f t="shared" ca="1" si="10"/>
        <v>1</v>
      </c>
      <c r="J86" s="8">
        <f t="shared" ca="1" si="11"/>
        <v>44</v>
      </c>
      <c r="K86" s="8" t="str">
        <f t="shared" ca="1" si="12"/>
        <v>2017-05-09</v>
      </c>
      <c r="L86" s="8" t="str">
        <f t="shared" ca="1" si="13"/>
        <v>2017-05-14</v>
      </c>
    </row>
    <row r="87" spans="1:12" x14ac:dyDescent="0.3">
      <c r="A87" s="8" t="s">
        <v>5668</v>
      </c>
      <c r="B87" s="8">
        <f t="shared" si="7"/>
        <v>600085</v>
      </c>
      <c r="C87" s="1" t="s">
        <v>6998</v>
      </c>
      <c r="D87" s="9" t="str">
        <f>IFERROR(VLOOKUP(VLOOKUP(VLOOKUP(C87,Project.csv!F:Q,12,FALSE),ServiceAreas.csv!B:I,8,FALSE),LocalAreas.csv!B:I,7,FALSE),200029)</f>
        <v>rg:None</v>
      </c>
      <c r="E87" s="8" t="str">
        <f t="shared" si="8"/>
        <v>rg:{'id':'rg:None'}</v>
      </c>
      <c r="F87" s="9" t="s">
        <v>7057</v>
      </c>
      <c r="G87" s="9" t="str">
        <f ca="1">INDEX(DistrictEquipmentTypes.csv!F:F,RANDBETWEEN(2,COUNTA(DistrictEquipmentTypes.csv!D:D)),1)</f>
        <v>200006</v>
      </c>
      <c r="H87" s="8" t="str">
        <f t="shared" ca="1" si="9"/>
        <v>rg:{ 'id': '200006'}</v>
      </c>
      <c r="I87" s="8">
        <f t="shared" ca="1" si="10"/>
        <v>1</v>
      </c>
      <c r="J87" s="8">
        <f t="shared" ca="1" si="11"/>
        <v>30</v>
      </c>
      <c r="K87" s="8" t="str">
        <f t="shared" ca="1" si="12"/>
        <v>2017-05-18</v>
      </c>
      <c r="L87" s="8" t="str">
        <f t="shared" ca="1" si="13"/>
        <v>2017-05-21</v>
      </c>
    </row>
    <row r="88" spans="1:12" x14ac:dyDescent="0.3">
      <c r="A88" s="8" t="s">
        <v>5668</v>
      </c>
      <c r="B88" s="8">
        <f t="shared" si="7"/>
        <v>600086</v>
      </c>
      <c r="C88" s="1" t="s">
        <v>6999</v>
      </c>
      <c r="D88" s="9" t="str">
        <f>IFERROR(VLOOKUP(VLOOKUP(VLOOKUP(C88,Project.csv!F:Q,12,FALSE),ServiceAreas.csv!B:I,8,FALSE),LocalAreas.csv!B:I,7,FALSE),200029)</f>
        <v>rg:None</v>
      </c>
      <c r="E88" s="8" t="str">
        <f t="shared" si="8"/>
        <v>rg:{'id':'rg:None'}</v>
      </c>
      <c r="F88" s="9" t="s">
        <v>7057</v>
      </c>
      <c r="G88" s="9" t="str">
        <f ca="1">INDEX(DistrictEquipmentTypes.csv!F:F,RANDBETWEEN(2,COUNTA(DistrictEquipmentTypes.csv!D:D)),1)</f>
        <v>200006</v>
      </c>
      <c r="H88" s="8" t="str">
        <f t="shared" ca="1" si="9"/>
        <v>rg:{ 'id': '200006'}</v>
      </c>
      <c r="I88" s="8">
        <f t="shared" ca="1" si="10"/>
        <v>1</v>
      </c>
      <c r="J88" s="8">
        <f t="shared" ca="1" si="11"/>
        <v>60</v>
      </c>
      <c r="K88" s="8" t="str">
        <f t="shared" ca="1" si="12"/>
        <v>2017-03-31</v>
      </c>
      <c r="L88" s="8" t="str">
        <f t="shared" ca="1" si="13"/>
        <v>2017-04-07</v>
      </c>
    </row>
    <row r="89" spans="1:12" x14ac:dyDescent="0.3">
      <c r="A89" s="8" t="s">
        <v>5668</v>
      </c>
      <c r="B89" s="8">
        <f t="shared" si="7"/>
        <v>600087</v>
      </c>
      <c r="C89" s="1" t="s">
        <v>6908</v>
      </c>
      <c r="D89" s="9" t="str">
        <f>IFERROR(VLOOKUP(VLOOKUP(VLOOKUP(C89,Project.csv!F:Q,12,FALSE),ServiceAreas.csv!B:I,8,FALSE),LocalAreas.csv!B:I,7,FALSE),200029)</f>
        <v>rg:None</v>
      </c>
      <c r="E89" s="8" t="str">
        <f t="shared" si="8"/>
        <v>rg:{'id':'rg:None'}</v>
      </c>
      <c r="F89" s="9" t="s">
        <v>7055</v>
      </c>
      <c r="G89" s="9" t="str">
        <f ca="1">INDEX(DistrictEquipmentTypes.csv!F:F,RANDBETWEEN(2,COUNTA(DistrictEquipmentTypes.csv!D:D)),1)</f>
        <v>200007</v>
      </c>
      <c r="H89" s="8" t="str">
        <f t="shared" ca="1" si="9"/>
        <v>rg:{ 'id': '200007'}</v>
      </c>
      <c r="I89" s="8">
        <f t="shared" ca="1" si="10"/>
        <v>1</v>
      </c>
      <c r="J89" s="8">
        <f t="shared" ca="1" si="11"/>
        <v>80</v>
      </c>
      <c r="K89" s="8" t="str">
        <f t="shared" ca="1" si="12"/>
        <v>2017-04-03</v>
      </c>
      <c r="L89" s="8" t="str">
        <f t="shared" ca="1" si="13"/>
        <v>2017-04-13</v>
      </c>
    </row>
    <row r="90" spans="1:12" x14ac:dyDescent="0.3">
      <c r="A90" s="8" t="s">
        <v>5668</v>
      </c>
      <c r="B90" s="8">
        <f t="shared" si="7"/>
        <v>600088</v>
      </c>
      <c r="C90" s="1" t="s">
        <v>7000</v>
      </c>
      <c r="D90" s="9" t="str">
        <f>IFERROR(VLOOKUP(VLOOKUP(VLOOKUP(C90,Project.csv!F:Q,12,FALSE),ServiceAreas.csv!B:I,8,FALSE),LocalAreas.csv!B:I,7,FALSE),200029)</f>
        <v>rg:None</v>
      </c>
      <c r="E90" s="8" t="str">
        <f t="shared" si="8"/>
        <v>rg:{'id':'rg:None'}</v>
      </c>
      <c r="F90" s="9" t="s">
        <v>7055</v>
      </c>
      <c r="G90" s="9" t="str">
        <f ca="1">INDEX(DistrictEquipmentTypes.csv!F:F,RANDBETWEEN(2,COUNTA(DistrictEquipmentTypes.csv!D:D)),1)</f>
        <v>200002</v>
      </c>
      <c r="H90" s="8" t="str">
        <f t="shared" ca="1" si="9"/>
        <v>rg:{ 'id': '200002'}</v>
      </c>
      <c r="I90" s="8">
        <f t="shared" ca="1" si="10"/>
        <v>3</v>
      </c>
      <c r="J90" s="8">
        <f t="shared" ca="1" si="11"/>
        <v>30</v>
      </c>
      <c r="K90" s="8" t="str">
        <f t="shared" ca="1" si="12"/>
        <v>2017-04-17</v>
      </c>
      <c r="L90" s="8" t="str">
        <f t="shared" ca="1" si="13"/>
        <v>2017-04-28</v>
      </c>
    </row>
    <row r="91" spans="1:12" x14ac:dyDescent="0.3">
      <c r="A91" s="8" t="s">
        <v>5668</v>
      </c>
      <c r="B91" s="8">
        <f t="shared" si="7"/>
        <v>600089</v>
      </c>
      <c r="C91" s="1" t="s">
        <v>7001</v>
      </c>
      <c r="D91" s="9" t="str">
        <f>IFERROR(VLOOKUP(VLOOKUP(VLOOKUP(C91,Project.csv!F:Q,12,FALSE),ServiceAreas.csv!B:I,8,FALSE),LocalAreas.csv!B:I,7,FALSE),200029)</f>
        <v>rg:None</v>
      </c>
      <c r="E91" s="8" t="str">
        <f t="shared" si="8"/>
        <v>rg:{'id':'rg:None'}</v>
      </c>
      <c r="F91" s="9" t="s">
        <v>7055</v>
      </c>
      <c r="G91" s="9" t="str">
        <f ca="1">INDEX(DistrictEquipmentTypes.csv!F:F,RANDBETWEEN(2,COUNTA(DistrictEquipmentTypes.csv!D:D)),1)</f>
        <v>200009</v>
      </c>
      <c r="H91" s="8" t="str">
        <f t="shared" ca="1" si="9"/>
        <v>rg:{ 'id': '200009'}</v>
      </c>
      <c r="I91" s="8">
        <f t="shared" ca="1" si="10"/>
        <v>1</v>
      </c>
      <c r="J91" s="8">
        <f t="shared" ca="1" si="11"/>
        <v>8</v>
      </c>
      <c r="K91" s="8" t="str">
        <f t="shared" ca="1" si="12"/>
        <v>2017-04-13</v>
      </c>
      <c r="L91" s="8" t="str">
        <f t="shared" ca="1" si="13"/>
        <v>2017-04-14</v>
      </c>
    </row>
    <row r="92" spans="1:12" x14ac:dyDescent="0.3">
      <c r="A92" s="8" t="s">
        <v>5668</v>
      </c>
      <c r="B92" s="8">
        <f t="shared" si="7"/>
        <v>600090</v>
      </c>
      <c r="C92" s="1" t="s">
        <v>7002</v>
      </c>
      <c r="D92" s="9" t="str">
        <f>IFERROR(VLOOKUP(VLOOKUP(VLOOKUP(C92,Project.csv!F:Q,12,FALSE),ServiceAreas.csv!B:I,8,FALSE),LocalAreas.csv!B:I,7,FALSE),200029)</f>
        <v>rg:None</v>
      </c>
      <c r="E92" s="8" t="str">
        <f t="shared" si="8"/>
        <v>rg:{'id':'rg:None'}</v>
      </c>
      <c r="F92" s="9" t="s">
        <v>7056</v>
      </c>
      <c r="G92" s="9" t="str">
        <f ca="1">INDEX(DistrictEquipmentTypes.csv!F:F,RANDBETWEEN(2,COUNTA(DistrictEquipmentTypes.csv!D:D)),1)</f>
        <v>200000</v>
      </c>
      <c r="H92" s="8" t="str">
        <f t="shared" ca="1" si="9"/>
        <v>rg:{ 'id': '200000'}</v>
      </c>
      <c r="I92" s="8">
        <f t="shared" ca="1" si="10"/>
        <v>5</v>
      </c>
      <c r="J92" s="8">
        <f t="shared" ca="1" si="11"/>
        <v>80</v>
      </c>
      <c r="K92" s="8" t="str">
        <f t="shared" ca="1" si="12"/>
        <v>2017-05-23</v>
      </c>
      <c r="L92" s="8" t="str">
        <f t="shared" ca="1" si="13"/>
        <v>2017-07-12</v>
      </c>
    </row>
    <row r="93" spans="1:12" x14ac:dyDescent="0.3">
      <c r="A93" s="8" t="s">
        <v>5668</v>
      </c>
      <c r="B93" s="8">
        <f t="shared" si="7"/>
        <v>600091</v>
      </c>
      <c r="C93" s="1" t="s">
        <v>7003</v>
      </c>
      <c r="D93" s="9" t="str">
        <f>IFERROR(VLOOKUP(VLOOKUP(VLOOKUP(C93,Project.csv!F:Q,12,FALSE),ServiceAreas.csv!B:I,8,FALSE),LocalAreas.csv!B:I,7,FALSE),200029)</f>
        <v>rg:None</v>
      </c>
      <c r="E93" s="8" t="str">
        <f t="shared" si="8"/>
        <v>rg:{'id':'rg:None'}</v>
      </c>
      <c r="F93" s="9" t="s">
        <v>7055</v>
      </c>
      <c r="G93" s="9" t="str">
        <f ca="1">INDEX(DistrictEquipmentTypes.csv!F:F,RANDBETWEEN(2,COUNTA(DistrictEquipmentTypes.csv!D:D)),1)</f>
        <v>200002</v>
      </c>
      <c r="H93" s="8" t="str">
        <f t="shared" ca="1" si="9"/>
        <v>rg:{ 'id': '200002'}</v>
      </c>
      <c r="I93" s="8">
        <f t="shared" ca="1" si="10"/>
        <v>1</v>
      </c>
      <c r="J93" s="8">
        <f t="shared" ca="1" si="11"/>
        <v>37</v>
      </c>
      <c r="K93" s="8" t="str">
        <f t="shared" ca="1" si="12"/>
        <v>2017-05-15</v>
      </c>
      <c r="L93" s="8" t="str">
        <f t="shared" ca="1" si="13"/>
        <v>2017-05-19</v>
      </c>
    </row>
    <row r="94" spans="1:12" x14ac:dyDescent="0.3">
      <c r="A94" s="8" t="s">
        <v>5668</v>
      </c>
      <c r="B94" s="8">
        <f t="shared" si="7"/>
        <v>600092</v>
      </c>
      <c r="C94" s="1" t="s">
        <v>7004</v>
      </c>
      <c r="D94" s="9" t="str">
        <f>IFERROR(VLOOKUP(VLOOKUP(VLOOKUP(C94,Project.csv!F:Q,12,FALSE),ServiceAreas.csv!B:I,8,FALSE),LocalAreas.csv!B:I,7,FALSE),200029)</f>
        <v>rg:None</v>
      </c>
      <c r="E94" s="8" t="str">
        <f t="shared" si="8"/>
        <v>rg:{'id':'rg:None'}</v>
      </c>
      <c r="F94" s="9" t="s">
        <v>7056</v>
      </c>
      <c r="G94" s="9" t="str">
        <f ca="1">INDEX(DistrictEquipmentTypes.csv!F:F,RANDBETWEEN(2,COUNTA(DistrictEquipmentTypes.csv!D:D)),1)</f>
        <v>200006</v>
      </c>
      <c r="H94" s="8" t="str">
        <f t="shared" ca="1" si="9"/>
        <v>rg:{ 'id': '200006'}</v>
      </c>
      <c r="I94" s="8">
        <f t="shared" ca="1" si="10"/>
        <v>1</v>
      </c>
      <c r="J94" s="8">
        <f t="shared" ca="1" si="11"/>
        <v>99</v>
      </c>
      <c r="K94" s="8" t="str">
        <f t="shared" ca="1" si="12"/>
        <v>2017-05-01</v>
      </c>
      <c r="L94" s="8" t="str">
        <f t="shared" ca="1" si="13"/>
        <v>2017-05-13</v>
      </c>
    </row>
    <row r="95" spans="1:12" x14ac:dyDescent="0.3">
      <c r="A95" s="8" t="s">
        <v>5668</v>
      </c>
      <c r="B95" s="8">
        <f t="shared" si="7"/>
        <v>600093</v>
      </c>
      <c r="C95" s="1" t="s">
        <v>6913</v>
      </c>
      <c r="D95" s="9" t="str">
        <f>IFERROR(VLOOKUP(VLOOKUP(VLOOKUP(C95,Project.csv!F:Q,12,FALSE),ServiceAreas.csv!B:I,8,FALSE),LocalAreas.csv!B:I,7,FALSE),200029)</f>
        <v>rg:None</v>
      </c>
      <c r="E95" s="8" t="str">
        <f t="shared" si="8"/>
        <v>rg:{'id':'rg:None'}</v>
      </c>
      <c r="F95" s="9" t="s">
        <v>7055</v>
      </c>
      <c r="G95" s="9" t="str">
        <f ca="1">INDEX(DistrictEquipmentTypes.csv!F:F,RANDBETWEEN(2,COUNTA(DistrictEquipmentTypes.csv!D:D)),1)</f>
        <v>200001</v>
      </c>
      <c r="H95" s="8" t="str">
        <f t="shared" ca="1" si="9"/>
        <v>rg:{ 'id': '200001'}</v>
      </c>
      <c r="I95" s="8">
        <f t="shared" ca="1" si="10"/>
        <v>1</v>
      </c>
      <c r="J95" s="8">
        <f t="shared" ca="1" si="11"/>
        <v>82</v>
      </c>
      <c r="K95" s="8" t="str">
        <f t="shared" ca="1" si="12"/>
        <v>2017-04-10</v>
      </c>
      <c r="L95" s="8" t="str">
        <f t="shared" ca="1" si="13"/>
        <v>2017-04-20</v>
      </c>
    </row>
    <row r="96" spans="1:12" x14ac:dyDescent="0.3">
      <c r="A96" s="8" t="s">
        <v>5668</v>
      </c>
      <c r="B96" s="8">
        <f t="shared" si="7"/>
        <v>600094</v>
      </c>
      <c r="C96" s="1" t="s">
        <v>7005</v>
      </c>
      <c r="D96" s="9" t="str">
        <f>IFERROR(VLOOKUP(VLOOKUP(VLOOKUP(C96,Project.csv!F:Q,12,FALSE),ServiceAreas.csv!B:I,8,FALSE),LocalAreas.csv!B:I,7,FALSE),200029)</f>
        <v>rg:None</v>
      </c>
      <c r="E96" s="8" t="str">
        <f t="shared" si="8"/>
        <v>rg:{'id':'rg:None'}</v>
      </c>
      <c r="F96" s="9" t="s">
        <v>7057</v>
      </c>
      <c r="G96" s="9" t="str">
        <f ca="1">INDEX(DistrictEquipmentTypes.csv!F:F,RANDBETWEEN(2,COUNTA(DistrictEquipmentTypes.csv!D:D)),1)</f>
        <v>200006</v>
      </c>
      <c r="H96" s="8" t="str">
        <f t="shared" ca="1" si="9"/>
        <v>rg:{ 'id': '200006'}</v>
      </c>
      <c r="I96" s="8">
        <f t="shared" ca="1" si="10"/>
        <v>2</v>
      </c>
      <c r="J96" s="8">
        <f t="shared" ca="1" si="11"/>
        <v>18</v>
      </c>
      <c r="K96" s="8" t="str">
        <f t="shared" ca="1" si="12"/>
        <v>2017-05-10</v>
      </c>
      <c r="L96" s="8" t="str">
        <f t="shared" ca="1" si="13"/>
        <v>2017-05-14</v>
      </c>
    </row>
    <row r="97" spans="1:12" x14ac:dyDescent="0.3">
      <c r="A97" s="8" t="s">
        <v>5668</v>
      </c>
      <c r="B97" s="8">
        <f t="shared" si="7"/>
        <v>600095</v>
      </c>
      <c r="C97" s="1" t="s">
        <v>7006</v>
      </c>
      <c r="D97" s="9" t="str">
        <f>IFERROR(VLOOKUP(VLOOKUP(VLOOKUP(C97,Project.csv!F:Q,12,FALSE),ServiceAreas.csv!B:I,8,FALSE),LocalAreas.csv!B:I,7,FALSE),200029)</f>
        <v>rg:None</v>
      </c>
      <c r="E97" s="8" t="str">
        <f t="shared" si="8"/>
        <v>rg:{'id':'rg:None'}</v>
      </c>
      <c r="F97" s="9" t="s">
        <v>7055</v>
      </c>
      <c r="G97" s="9" t="str">
        <f ca="1">INDEX(DistrictEquipmentTypes.csv!F:F,RANDBETWEEN(2,COUNTA(DistrictEquipmentTypes.csv!D:D)),1)</f>
        <v>200007</v>
      </c>
      <c r="H97" s="8" t="str">
        <f t="shared" ca="1" si="9"/>
        <v>rg:{ 'id': '200007'}</v>
      </c>
      <c r="I97" s="8">
        <f t="shared" ca="1" si="10"/>
        <v>1</v>
      </c>
      <c r="J97" s="8">
        <f t="shared" ca="1" si="11"/>
        <v>94</v>
      </c>
      <c r="K97" s="8" t="str">
        <f t="shared" ca="1" si="12"/>
        <v>2017-04-13</v>
      </c>
      <c r="L97" s="8" t="str">
        <f t="shared" ca="1" si="13"/>
        <v>2017-04-24</v>
      </c>
    </row>
    <row r="98" spans="1:12" x14ac:dyDescent="0.3">
      <c r="A98" s="8" t="s">
        <v>5668</v>
      </c>
      <c r="B98" s="8">
        <f t="shared" si="7"/>
        <v>600096</v>
      </c>
      <c r="C98" s="1" t="s">
        <v>7007</v>
      </c>
      <c r="D98" s="9" t="str">
        <f>IFERROR(VLOOKUP(VLOOKUP(VLOOKUP(C98,Project.csv!F:Q,12,FALSE),ServiceAreas.csv!B:I,8,FALSE),LocalAreas.csv!B:I,7,FALSE),200029)</f>
        <v>rg:None</v>
      </c>
      <c r="E98" s="8" t="str">
        <f t="shared" si="8"/>
        <v>rg:{'id':'rg:None'}</v>
      </c>
      <c r="F98" s="9" t="s">
        <v>7057</v>
      </c>
      <c r="G98" s="9" t="str">
        <f ca="1">INDEX(DistrictEquipmentTypes.csv!F:F,RANDBETWEEN(2,COUNTA(DistrictEquipmentTypes.csv!D:D)),1)</f>
        <v>200000</v>
      </c>
      <c r="H98" s="8" t="str">
        <f t="shared" ca="1" si="9"/>
        <v>rg:{ 'id': '200000'}</v>
      </c>
      <c r="I98" s="8">
        <f t="shared" ca="1" si="10"/>
        <v>1</v>
      </c>
      <c r="J98" s="8">
        <f t="shared" ca="1" si="11"/>
        <v>7</v>
      </c>
      <c r="K98" s="8" t="str">
        <f t="shared" ca="1" si="12"/>
        <v>2017-04-16</v>
      </c>
      <c r="L98" s="8" t="str">
        <f t="shared" ca="1" si="13"/>
        <v>2017-04-16</v>
      </c>
    </row>
    <row r="99" spans="1:12" x14ac:dyDescent="0.3">
      <c r="A99" s="8" t="s">
        <v>5668</v>
      </c>
      <c r="B99" s="8">
        <f t="shared" si="7"/>
        <v>600097</v>
      </c>
      <c r="C99" s="1" t="s">
        <v>7008</v>
      </c>
      <c r="D99" s="9" t="str">
        <f>IFERROR(VLOOKUP(VLOOKUP(VLOOKUP(C99,Project.csv!F:Q,12,FALSE),ServiceAreas.csv!B:I,8,FALSE),LocalAreas.csv!B:I,7,FALSE),200029)</f>
        <v>rg:None</v>
      </c>
      <c r="E99" s="8" t="str">
        <f t="shared" si="8"/>
        <v>rg:{'id':'rg:None'}</v>
      </c>
      <c r="F99" s="9" t="s">
        <v>7055</v>
      </c>
      <c r="G99" s="9" t="str">
        <f ca="1">INDEX(DistrictEquipmentTypes.csv!F:F,RANDBETWEEN(2,COUNTA(DistrictEquipmentTypes.csv!D:D)),1)</f>
        <v>200000</v>
      </c>
      <c r="H99" s="8" t="str">
        <f t="shared" ca="1" si="9"/>
        <v>rg:{ 'id': '200000'}</v>
      </c>
      <c r="I99" s="8">
        <f t="shared" ca="1" si="10"/>
        <v>1</v>
      </c>
      <c r="J99" s="8">
        <f t="shared" ca="1" si="11"/>
        <v>66</v>
      </c>
      <c r="K99" s="8" t="str">
        <f t="shared" ca="1" si="12"/>
        <v>2017-04-25</v>
      </c>
      <c r="L99" s="8" t="str">
        <f t="shared" ca="1" si="13"/>
        <v>2017-05-03</v>
      </c>
    </row>
    <row r="100" spans="1:12" x14ac:dyDescent="0.3">
      <c r="A100" s="8" t="s">
        <v>5668</v>
      </c>
      <c r="B100" s="8">
        <f t="shared" si="7"/>
        <v>600098</v>
      </c>
      <c r="C100" s="1" t="s">
        <v>7009</v>
      </c>
      <c r="D100" s="9" t="str">
        <f>IFERROR(VLOOKUP(VLOOKUP(VLOOKUP(C100,Project.csv!F:Q,12,FALSE),ServiceAreas.csv!B:I,8,FALSE),LocalAreas.csv!B:I,7,FALSE),200029)</f>
        <v>rg:None</v>
      </c>
      <c r="E100" s="8" t="str">
        <f t="shared" si="8"/>
        <v>rg:{'id':'rg:None'}</v>
      </c>
      <c r="F100" s="9" t="s">
        <v>7055</v>
      </c>
      <c r="G100" s="9" t="str">
        <f ca="1">INDEX(DistrictEquipmentTypes.csv!F:F,RANDBETWEEN(2,COUNTA(DistrictEquipmentTypes.csv!D:D)),1)</f>
        <v>200009</v>
      </c>
      <c r="H100" s="8" t="str">
        <f t="shared" ca="1" si="9"/>
        <v>rg:{ 'id': '200009'}</v>
      </c>
      <c r="I100" s="8">
        <f t="shared" ca="1" si="10"/>
        <v>1</v>
      </c>
      <c r="J100" s="8">
        <f t="shared" ca="1" si="11"/>
        <v>97</v>
      </c>
      <c r="K100" s="8" t="str">
        <f t="shared" ca="1" si="12"/>
        <v>2017-04-08</v>
      </c>
      <c r="L100" s="8" t="str">
        <f t="shared" ca="1" si="13"/>
        <v>2017-04-20</v>
      </c>
    </row>
    <row r="101" spans="1:12" x14ac:dyDescent="0.3">
      <c r="A101" s="8" t="s">
        <v>5668</v>
      </c>
      <c r="B101" s="8">
        <f t="shared" si="7"/>
        <v>600099</v>
      </c>
      <c r="C101" s="1" t="s">
        <v>6920</v>
      </c>
      <c r="D101" s="9" t="str">
        <f>IFERROR(VLOOKUP(VLOOKUP(VLOOKUP(C101,Project.csv!F:Q,12,FALSE),ServiceAreas.csv!B:I,8,FALSE),LocalAreas.csv!B:I,7,FALSE),200029)</f>
        <v>rg:None</v>
      </c>
      <c r="E101" s="8" t="str">
        <f t="shared" si="8"/>
        <v>rg:{'id':'rg:None'}</v>
      </c>
      <c r="F101" s="9" t="s">
        <v>7055</v>
      </c>
      <c r="G101" s="9" t="str">
        <f ca="1">INDEX(DistrictEquipmentTypes.csv!F:F,RANDBETWEEN(2,COUNTA(DistrictEquipmentTypes.csv!D:D)),1)</f>
        <v>200006</v>
      </c>
      <c r="H101" s="8" t="str">
        <f t="shared" ca="1" si="9"/>
        <v>rg:{ 'id': '200006'}</v>
      </c>
      <c r="I101" s="8">
        <f t="shared" ca="1" si="10"/>
        <v>1</v>
      </c>
      <c r="J101" s="8">
        <f t="shared" ca="1" si="11"/>
        <v>25</v>
      </c>
      <c r="K101" s="8" t="str">
        <f t="shared" ca="1" si="12"/>
        <v>2017-04-02</v>
      </c>
      <c r="L101" s="8" t="str">
        <f t="shared" ca="1" si="13"/>
        <v>2017-04-05</v>
      </c>
    </row>
    <row r="102" spans="1:12" x14ac:dyDescent="0.3">
      <c r="A102" s="8" t="s">
        <v>5668</v>
      </c>
      <c r="B102" s="8">
        <f t="shared" si="7"/>
        <v>600100</v>
      </c>
      <c r="C102" s="1" t="s">
        <v>7010</v>
      </c>
      <c r="D102" s="9" t="str">
        <f>IFERROR(VLOOKUP(VLOOKUP(VLOOKUP(C102,Project.csv!F:Q,12,FALSE),ServiceAreas.csv!B:I,8,FALSE),LocalAreas.csv!B:I,7,FALSE),200029)</f>
        <v>rg:None</v>
      </c>
      <c r="E102" s="8" t="str">
        <f t="shared" si="8"/>
        <v>rg:{'id':'rg:None'}</v>
      </c>
      <c r="F102" s="9" t="s">
        <v>7055</v>
      </c>
      <c r="G102" s="9" t="str">
        <f ca="1">INDEX(DistrictEquipmentTypes.csv!F:F,RANDBETWEEN(2,COUNTA(DistrictEquipmentTypes.csv!D:D)),1)</f>
        <v>200000</v>
      </c>
      <c r="H102" s="8" t="str">
        <f t="shared" ca="1" si="9"/>
        <v>rg:{ 'id': '200000'}</v>
      </c>
      <c r="I102" s="8">
        <f t="shared" ca="1" si="10"/>
        <v>5</v>
      </c>
      <c r="J102" s="8">
        <f t="shared" ca="1" si="11"/>
        <v>88</v>
      </c>
      <c r="K102" s="8" t="str">
        <f t="shared" ca="1" si="12"/>
        <v>2017-04-15</v>
      </c>
      <c r="L102" s="8" t="str">
        <f t="shared" ca="1" si="13"/>
        <v>2017-06-09</v>
      </c>
    </row>
    <row r="103" spans="1:12" x14ac:dyDescent="0.3">
      <c r="A103" s="8" t="s">
        <v>5668</v>
      </c>
      <c r="B103" s="8">
        <f t="shared" si="7"/>
        <v>600101</v>
      </c>
      <c r="C103" s="1" t="s">
        <v>6904</v>
      </c>
      <c r="D103" s="9" t="str">
        <f>IFERROR(VLOOKUP(VLOOKUP(VLOOKUP(C103,Project.csv!F:Q,12,FALSE),ServiceAreas.csv!B:I,8,FALSE),LocalAreas.csv!B:I,7,FALSE),200029)</f>
        <v>rg:None</v>
      </c>
      <c r="E103" s="8" t="str">
        <f t="shared" si="8"/>
        <v>rg:{'id':'rg:None'}</v>
      </c>
      <c r="F103" s="9" t="s">
        <v>7055</v>
      </c>
      <c r="G103" s="9" t="str">
        <f ca="1">INDEX(DistrictEquipmentTypes.csv!F:F,RANDBETWEEN(2,COUNTA(DistrictEquipmentTypes.csv!D:D)),1)</f>
        <v>200001</v>
      </c>
      <c r="H103" s="8" t="str">
        <f t="shared" ca="1" si="9"/>
        <v>rg:{ 'id': '200001'}</v>
      </c>
      <c r="I103" s="8">
        <f t="shared" ca="1" si="10"/>
        <v>1</v>
      </c>
      <c r="J103" s="8">
        <f t="shared" ca="1" si="11"/>
        <v>68</v>
      </c>
      <c r="K103" s="8" t="str">
        <f t="shared" ca="1" si="12"/>
        <v>2017-05-14</v>
      </c>
      <c r="L103" s="8" t="str">
        <f t="shared" ca="1" si="13"/>
        <v>2017-05-22</v>
      </c>
    </row>
    <row r="104" spans="1:12" x14ac:dyDescent="0.3">
      <c r="A104" s="8" t="s">
        <v>5668</v>
      </c>
      <c r="B104" s="8">
        <f t="shared" si="7"/>
        <v>600102</v>
      </c>
      <c r="C104" s="1" t="s">
        <v>7011</v>
      </c>
      <c r="D104" s="9" t="str">
        <f>IFERROR(VLOOKUP(VLOOKUP(VLOOKUP(C104,Project.csv!F:Q,12,FALSE),ServiceAreas.csv!B:I,8,FALSE),LocalAreas.csv!B:I,7,FALSE),200029)</f>
        <v>rg:None</v>
      </c>
      <c r="E104" s="8" t="str">
        <f t="shared" si="8"/>
        <v>rg:{'id':'rg:None'}</v>
      </c>
      <c r="F104" s="9" t="s">
        <v>7055</v>
      </c>
      <c r="G104" s="9" t="str">
        <f ca="1">INDEX(DistrictEquipmentTypes.csv!F:F,RANDBETWEEN(2,COUNTA(DistrictEquipmentTypes.csv!D:D)),1)</f>
        <v>200001</v>
      </c>
      <c r="H104" s="8" t="str">
        <f t="shared" ca="1" si="9"/>
        <v>rg:{ 'id': '200001'}</v>
      </c>
      <c r="I104" s="8">
        <f t="shared" ca="1" si="10"/>
        <v>1</v>
      </c>
      <c r="J104" s="8">
        <f t="shared" ca="1" si="11"/>
        <v>42</v>
      </c>
      <c r="K104" s="8" t="str">
        <f t="shared" ca="1" si="12"/>
        <v>2017-04-02</v>
      </c>
      <c r="L104" s="8" t="str">
        <f t="shared" ca="1" si="13"/>
        <v>2017-04-07</v>
      </c>
    </row>
    <row r="105" spans="1:12" x14ac:dyDescent="0.3">
      <c r="A105" s="8" t="s">
        <v>5668</v>
      </c>
      <c r="B105" s="8">
        <f t="shared" si="7"/>
        <v>600103</v>
      </c>
      <c r="C105" s="1" t="s">
        <v>7012</v>
      </c>
      <c r="D105" s="9" t="str">
        <f>IFERROR(VLOOKUP(VLOOKUP(VLOOKUP(C105,Project.csv!F:Q,12,FALSE),ServiceAreas.csv!B:I,8,FALSE),LocalAreas.csv!B:I,7,FALSE),200029)</f>
        <v>rg:None</v>
      </c>
      <c r="E105" s="8" t="str">
        <f t="shared" si="8"/>
        <v>rg:{'id':'rg:None'}</v>
      </c>
      <c r="F105" s="9" t="s">
        <v>7055</v>
      </c>
      <c r="G105" s="9" t="str">
        <f ca="1">INDEX(DistrictEquipmentTypes.csv!F:F,RANDBETWEEN(2,COUNTA(DistrictEquipmentTypes.csv!D:D)),1)</f>
        <v>200002</v>
      </c>
      <c r="H105" s="8" t="str">
        <f t="shared" ca="1" si="9"/>
        <v>rg:{ 'id': '200002'}</v>
      </c>
      <c r="I105" s="8">
        <f t="shared" ca="1" si="10"/>
        <v>1</v>
      </c>
      <c r="J105" s="8">
        <f t="shared" ca="1" si="11"/>
        <v>47</v>
      </c>
      <c r="K105" s="8" t="str">
        <f t="shared" ca="1" si="12"/>
        <v>2017-04-14</v>
      </c>
      <c r="L105" s="8" t="str">
        <f t="shared" ca="1" si="13"/>
        <v>2017-04-19</v>
      </c>
    </row>
    <row r="106" spans="1:12" x14ac:dyDescent="0.3">
      <c r="A106" s="8" t="s">
        <v>5668</v>
      </c>
      <c r="B106" s="8">
        <f t="shared" si="7"/>
        <v>600104</v>
      </c>
      <c r="C106" s="1" t="s">
        <v>6935</v>
      </c>
      <c r="D106" s="9" t="str">
        <f>IFERROR(VLOOKUP(VLOOKUP(VLOOKUP(C106,Project.csv!F:Q,12,FALSE),ServiceAreas.csv!B:I,8,FALSE),LocalAreas.csv!B:I,7,FALSE),200029)</f>
        <v>rg:None</v>
      </c>
      <c r="E106" s="8" t="str">
        <f t="shared" si="8"/>
        <v>rg:{'id':'rg:None'}</v>
      </c>
      <c r="F106" s="9" t="s">
        <v>7055</v>
      </c>
      <c r="G106" s="9" t="str">
        <f ca="1">INDEX(DistrictEquipmentTypes.csv!F:F,RANDBETWEEN(2,COUNTA(DistrictEquipmentTypes.csv!D:D)),1)</f>
        <v>200002</v>
      </c>
      <c r="H106" s="8" t="str">
        <f t="shared" ca="1" si="9"/>
        <v>rg:{ 'id': '200002'}</v>
      </c>
      <c r="I106" s="8">
        <f t="shared" ca="1" si="10"/>
        <v>3</v>
      </c>
      <c r="J106" s="8">
        <f t="shared" ca="1" si="11"/>
        <v>29</v>
      </c>
      <c r="K106" s="8" t="str">
        <f t="shared" ca="1" si="12"/>
        <v>2017-05-02</v>
      </c>
      <c r="L106" s="8" t="str">
        <f t="shared" ca="1" si="13"/>
        <v>2017-05-12</v>
      </c>
    </row>
    <row r="107" spans="1:12" x14ac:dyDescent="0.3">
      <c r="A107" s="8" t="s">
        <v>5668</v>
      </c>
      <c r="B107" s="8">
        <f t="shared" si="7"/>
        <v>600105</v>
      </c>
      <c r="C107" s="1" t="s">
        <v>6905</v>
      </c>
      <c r="D107" s="9">
        <f>IFERROR(VLOOKUP(VLOOKUP(VLOOKUP(C107,Project.csv!F:Q,12,FALSE),ServiceAreas.csv!B:I,8,FALSE),LocalAreas.csv!B:I,7,FALSE),200029)</f>
        <v>200029</v>
      </c>
      <c r="E107" s="8" t="str">
        <f t="shared" si="8"/>
        <v>rg:{'id':'200029'}</v>
      </c>
      <c r="F107" s="9" t="s">
        <v>7055</v>
      </c>
      <c r="G107" s="9" t="str">
        <f ca="1">INDEX(DistrictEquipmentTypes.csv!F:F,RANDBETWEEN(2,COUNTA(DistrictEquipmentTypes.csv!D:D)),1)</f>
        <v>200009</v>
      </c>
      <c r="H107" s="8" t="str">
        <f t="shared" ca="1" si="9"/>
        <v>rg:{ 'id': '200009'}</v>
      </c>
      <c r="I107" s="8">
        <f t="shared" ca="1" si="10"/>
        <v>1</v>
      </c>
      <c r="J107" s="8">
        <f t="shared" ca="1" si="11"/>
        <v>77</v>
      </c>
      <c r="K107" s="8" t="str">
        <f t="shared" ca="1" si="12"/>
        <v>2017-04-17</v>
      </c>
      <c r="L107" s="8" t="str">
        <f t="shared" ca="1" si="13"/>
        <v>2017-04-26</v>
      </c>
    </row>
    <row r="108" spans="1:12" x14ac:dyDescent="0.3">
      <c r="A108" s="8" t="s">
        <v>5668</v>
      </c>
      <c r="B108" s="8">
        <f t="shared" si="7"/>
        <v>600106</v>
      </c>
      <c r="C108" s="1" t="s">
        <v>7013</v>
      </c>
      <c r="D108" s="9">
        <f>IFERROR(VLOOKUP(VLOOKUP(VLOOKUP(C108,Project.csv!F:Q,12,FALSE),ServiceAreas.csv!B:I,8,FALSE),LocalAreas.csv!B:I,7,FALSE),200029)</f>
        <v>200029</v>
      </c>
      <c r="E108" s="8" t="str">
        <f t="shared" si="8"/>
        <v>rg:{'id':'200029'}</v>
      </c>
      <c r="F108" s="9" t="s">
        <v>7055</v>
      </c>
      <c r="G108" s="9" t="str">
        <f ca="1">INDEX(DistrictEquipmentTypes.csv!F:F,RANDBETWEEN(2,COUNTA(DistrictEquipmentTypes.csv!D:D)),1)</f>
        <v>200001</v>
      </c>
      <c r="H108" s="8" t="str">
        <f t="shared" ca="1" si="9"/>
        <v>rg:{ 'id': '200001'}</v>
      </c>
      <c r="I108" s="8">
        <f t="shared" ca="1" si="10"/>
        <v>1</v>
      </c>
      <c r="J108" s="8">
        <f t="shared" ca="1" si="11"/>
        <v>46</v>
      </c>
      <c r="K108" s="8" t="str">
        <f t="shared" ca="1" si="12"/>
        <v>2017-05-23</v>
      </c>
      <c r="L108" s="8" t="str">
        <f t="shared" ca="1" si="13"/>
        <v>2017-05-28</v>
      </c>
    </row>
    <row r="109" spans="1:12" x14ac:dyDescent="0.3">
      <c r="A109" s="8" t="s">
        <v>5668</v>
      </c>
      <c r="B109" s="8">
        <f t="shared" si="7"/>
        <v>600107</v>
      </c>
      <c r="C109" s="1" t="s">
        <v>7014</v>
      </c>
      <c r="D109" s="9">
        <f>IFERROR(VLOOKUP(VLOOKUP(VLOOKUP(C109,Project.csv!F:Q,12,FALSE),ServiceAreas.csv!B:I,8,FALSE),LocalAreas.csv!B:I,7,FALSE),200029)</f>
        <v>200029</v>
      </c>
      <c r="E109" s="8" t="str">
        <f t="shared" si="8"/>
        <v>rg:{'id':'200029'}</v>
      </c>
      <c r="F109" s="9" t="s">
        <v>7055</v>
      </c>
      <c r="G109" s="9" t="str">
        <f ca="1">INDEX(DistrictEquipmentTypes.csv!F:F,RANDBETWEEN(2,COUNTA(DistrictEquipmentTypes.csv!D:D)),1)</f>
        <v>200003</v>
      </c>
      <c r="H109" s="8" t="str">
        <f t="shared" ca="1" si="9"/>
        <v>rg:{ 'id': '200003'}</v>
      </c>
      <c r="I109" s="8">
        <f t="shared" ca="1" si="10"/>
        <v>1</v>
      </c>
      <c r="J109" s="8">
        <f t="shared" ca="1" si="11"/>
        <v>50</v>
      </c>
      <c r="K109" s="8" t="str">
        <f t="shared" ca="1" si="12"/>
        <v>2017-04-11</v>
      </c>
      <c r="L109" s="8" t="str">
        <f t="shared" ca="1" si="13"/>
        <v>2017-04-17</v>
      </c>
    </row>
    <row r="110" spans="1:12" x14ac:dyDescent="0.3">
      <c r="A110" s="8" t="s">
        <v>5668</v>
      </c>
      <c r="B110" s="8">
        <f t="shared" si="7"/>
        <v>600108</v>
      </c>
      <c r="C110" s="1" t="s">
        <v>7015</v>
      </c>
      <c r="D110" s="9">
        <f>IFERROR(VLOOKUP(VLOOKUP(VLOOKUP(C110,Project.csv!F:Q,12,FALSE),ServiceAreas.csv!B:I,8,FALSE),LocalAreas.csv!B:I,7,FALSE),200029)</f>
        <v>200029</v>
      </c>
      <c r="E110" s="8" t="str">
        <f t="shared" si="8"/>
        <v>rg:{'id':'200029'}</v>
      </c>
      <c r="F110" s="9" t="s">
        <v>7055</v>
      </c>
      <c r="G110" s="9" t="str">
        <f ca="1">INDEX(DistrictEquipmentTypes.csv!F:F,RANDBETWEEN(2,COUNTA(DistrictEquipmentTypes.csv!D:D)),1)</f>
        <v>200005</v>
      </c>
      <c r="H110" s="8" t="str">
        <f t="shared" ca="1" si="9"/>
        <v>rg:{ 'id': '200005'}</v>
      </c>
      <c r="I110" s="8">
        <f t="shared" ca="1" si="10"/>
        <v>1</v>
      </c>
      <c r="J110" s="8">
        <f t="shared" ca="1" si="11"/>
        <v>15</v>
      </c>
      <c r="K110" s="8" t="str">
        <f t="shared" ca="1" si="12"/>
        <v>2017-04-29</v>
      </c>
      <c r="L110" s="8" t="str">
        <f t="shared" ca="1" si="13"/>
        <v>2017-04-30</v>
      </c>
    </row>
    <row r="111" spans="1:12" x14ac:dyDescent="0.3">
      <c r="A111" s="8" t="s">
        <v>5668</v>
      </c>
      <c r="B111" s="8">
        <f t="shared" si="7"/>
        <v>600109</v>
      </c>
      <c r="C111" s="1" t="s">
        <v>7016</v>
      </c>
      <c r="D111" s="9">
        <f>IFERROR(VLOOKUP(VLOOKUP(VLOOKUP(C111,Project.csv!F:Q,12,FALSE),ServiceAreas.csv!B:I,8,FALSE),LocalAreas.csv!B:I,7,FALSE),200029)</f>
        <v>200029</v>
      </c>
      <c r="E111" s="8" t="str">
        <f t="shared" si="8"/>
        <v>rg:{'id':'200029'}</v>
      </c>
      <c r="F111" s="9" t="s">
        <v>7055</v>
      </c>
      <c r="G111" s="9" t="str">
        <f ca="1">INDEX(DistrictEquipmentTypes.csv!F:F,RANDBETWEEN(2,COUNTA(DistrictEquipmentTypes.csv!D:D)),1)</f>
        <v>200009</v>
      </c>
      <c r="H111" s="8" t="str">
        <f t="shared" ca="1" si="9"/>
        <v>rg:{ 'id': '200009'}</v>
      </c>
      <c r="I111" s="8">
        <f t="shared" ca="1" si="10"/>
        <v>1</v>
      </c>
      <c r="J111" s="8">
        <f t="shared" ca="1" si="11"/>
        <v>88</v>
      </c>
      <c r="K111" s="8" t="str">
        <f t="shared" ca="1" si="12"/>
        <v>2017-05-11</v>
      </c>
      <c r="L111" s="8" t="str">
        <f t="shared" ca="1" si="13"/>
        <v>2017-05-22</v>
      </c>
    </row>
    <row r="112" spans="1:12" x14ac:dyDescent="0.3">
      <c r="A112" s="8" t="s">
        <v>5668</v>
      </c>
      <c r="B112" s="8">
        <f t="shared" si="7"/>
        <v>600110</v>
      </c>
      <c r="C112" s="1" t="s">
        <v>7017</v>
      </c>
      <c r="D112" s="9">
        <f>IFERROR(VLOOKUP(VLOOKUP(VLOOKUP(C112,Project.csv!F:Q,12,FALSE),ServiceAreas.csv!B:I,8,FALSE),LocalAreas.csv!B:I,7,FALSE),200029)</f>
        <v>200029</v>
      </c>
      <c r="E112" s="8" t="str">
        <f t="shared" si="8"/>
        <v>rg:{'id':'200029'}</v>
      </c>
      <c r="F112" s="9" t="s">
        <v>7055</v>
      </c>
      <c r="G112" s="9" t="str">
        <f ca="1">INDEX(DistrictEquipmentTypes.csv!F:F,RANDBETWEEN(2,COUNTA(DistrictEquipmentTypes.csv!D:D)),1)</f>
        <v>200005</v>
      </c>
      <c r="H112" s="8" t="str">
        <f t="shared" ca="1" si="9"/>
        <v>rg:{ 'id': '200005'}</v>
      </c>
      <c r="I112" s="8">
        <f t="shared" ca="1" si="10"/>
        <v>1</v>
      </c>
      <c r="J112" s="8">
        <f t="shared" ca="1" si="11"/>
        <v>65</v>
      </c>
      <c r="K112" s="8" t="str">
        <f t="shared" ca="1" si="12"/>
        <v>2017-05-17</v>
      </c>
      <c r="L112" s="8" t="str">
        <f t="shared" ca="1" si="13"/>
        <v>2017-05-25</v>
      </c>
    </row>
    <row r="113" spans="1:12" x14ac:dyDescent="0.3">
      <c r="A113" s="8" t="s">
        <v>5668</v>
      </c>
      <c r="B113" s="8">
        <f t="shared" si="7"/>
        <v>600111</v>
      </c>
      <c r="C113" s="1" t="s">
        <v>7018</v>
      </c>
      <c r="D113" s="9">
        <f>IFERROR(VLOOKUP(VLOOKUP(VLOOKUP(C113,Project.csv!F:Q,12,FALSE),ServiceAreas.csv!B:I,8,FALSE),LocalAreas.csv!B:I,7,FALSE),200029)</f>
        <v>200029</v>
      </c>
      <c r="E113" s="8" t="str">
        <f t="shared" si="8"/>
        <v>rg:{'id':'200029'}</v>
      </c>
      <c r="F113" s="9" t="s">
        <v>7055</v>
      </c>
      <c r="G113" s="9" t="str">
        <f ca="1">INDEX(DistrictEquipmentTypes.csv!F:F,RANDBETWEEN(2,COUNTA(DistrictEquipmentTypes.csv!D:D)),1)</f>
        <v>200009</v>
      </c>
      <c r="H113" s="8" t="str">
        <f t="shared" ca="1" si="9"/>
        <v>rg:{ 'id': '200009'}</v>
      </c>
      <c r="I113" s="8">
        <f t="shared" ca="1" si="10"/>
        <v>1</v>
      </c>
      <c r="J113" s="8">
        <f t="shared" ca="1" si="11"/>
        <v>23</v>
      </c>
      <c r="K113" s="8" t="str">
        <f t="shared" ca="1" si="12"/>
        <v>2017-05-12</v>
      </c>
      <c r="L113" s="8" t="str">
        <f t="shared" ca="1" si="13"/>
        <v>2017-05-14</v>
      </c>
    </row>
    <row r="114" spans="1:12" x14ac:dyDescent="0.3">
      <c r="A114" s="8" t="s">
        <v>5668</v>
      </c>
      <c r="B114" s="8">
        <f t="shared" si="7"/>
        <v>600112</v>
      </c>
      <c r="C114" s="1" t="s">
        <v>7019</v>
      </c>
      <c r="D114" s="9" t="str">
        <f>IFERROR(VLOOKUP(VLOOKUP(VLOOKUP(C114,Project.csv!F:Q,12,FALSE),ServiceAreas.csv!B:I,8,FALSE),LocalAreas.csv!B:I,7,FALSE),200029)</f>
        <v>rg:None</v>
      </c>
      <c r="E114" s="8" t="str">
        <f t="shared" si="8"/>
        <v>rg:{'id':'rg:None'}</v>
      </c>
      <c r="F114" s="9" t="s">
        <v>7055</v>
      </c>
      <c r="G114" s="9" t="str">
        <f ca="1">INDEX(DistrictEquipmentTypes.csv!F:F,RANDBETWEEN(2,COUNTA(DistrictEquipmentTypes.csv!D:D)),1)</f>
        <v>200006</v>
      </c>
      <c r="H114" s="8" t="str">
        <f t="shared" ca="1" si="9"/>
        <v>rg:{ 'id': '200006'}</v>
      </c>
      <c r="I114" s="8">
        <f t="shared" ca="1" si="10"/>
        <v>1</v>
      </c>
      <c r="J114" s="8">
        <f t="shared" ca="1" si="11"/>
        <v>23</v>
      </c>
      <c r="K114" s="8" t="str">
        <f t="shared" ca="1" si="12"/>
        <v>2017-04-05</v>
      </c>
      <c r="L114" s="8" t="str">
        <f t="shared" ca="1" si="13"/>
        <v>2017-04-07</v>
      </c>
    </row>
    <row r="115" spans="1:12" x14ac:dyDescent="0.3">
      <c r="A115" s="8" t="s">
        <v>5668</v>
      </c>
      <c r="B115" s="8">
        <f t="shared" si="7"/>
        <v>600113</v>
      </c>
      <c r="C115" s="1" t="s">
        <v>6898</v>
      </c>
      <c r="D115" s="9" t="str">
        <f>IFERROR(VLOOKUP(VLOOKUP(VLOOKUP(C115,Project.csv!F:Q,12,FALSE),ServiceAreas.csv!B:I,8,FALSE),LocalAreas.csv!B:I,7,FALSE),200029)</f>
        <v>rg:None</v>
      </c>
      <c r="E115" s="8" t="str">
        <f t="shared" si="8"/>
        <v>rg:{'id':'rg:None'}</v>
      </c>
      <c r="F115" s="9" t="s">
        <v>7055</v>
      </c>
      <c r="G115" s="9" t="str">
        <f ca="1">INDEX(DistrictEquipmentTypes.csv!F:F,RANDBETWEEN(2,COUNTA(DistrictEquipmentTypes.csv!D:D)),1)</f>
        <v>200001</v>
      </c>
      <c r="H115" s="8" t="str">
        <f t="shared" ca="1" si="9"/>
        <v>rg:{ 'id': '200001'}</v>
      </c>
      <c r="I115" s="8">
        <f t="shared" ca="1" si="10"/>
        <v>2</v>
      </c>
      <c r="J115" s="8">
        <f t="shared" ca="1" si="11"/>
        <v>66</v>
      </c>
      <c r="K115" s="8" t="str">
        <f t="shared" ca="1" si="12"/>
        <v>2017-04-29</v>
      </c>
      <c r="L115" s="8" t="str">
        <f t="shared" ca="1" si="13"/>
        <v>2017-05-15</v>
      </c>
    </row>
    <row r="116" spans="1:12" x14ac:dyDescent="0.3">
      <c r="A116" s="8" t="s">
        <v>5668</v>
      </c>
      <c r="B116" s="8">
        <f t="shared" si="7"/>
        <v>600114</v>
      </c>
      <c r="C116" s="1" t="s">
        <v>7020</v>
      </c>
      <c r="D116" s="9" t="str">
        <f>IFERROR(VLOOKUP(VLOOKUP(VLOOKUP(C116,Project.csv!F:Q,12,FALSE),ServiceAreas.csv!B:I,8,FALSE),LocalAreas.csv!B:I,7,FALSE),200029)</f>
        <v>rg:None</v>
      </c>
      <c r="E116" s="8" t="str">
        <f t="shared" si="8"/>
        <v>rg:{'id':'rg:None'}</v>
      </c>
      <c r="F116" s="9" t="s">
        <v>7055</v>
      </c>
      <c r="G116" s="9" t="str">
        <f ca="1">INDEX(DistrictEquipmentTypes.csv!F:F,RANDBETWEEN(2,COUNTA(DistrictEquipmentTypes.csv!D:D)),1)</f>
        <v>200004</v>
      </c>
      <c r="H116" s="8" t="str">
        <f t="shared" ca="1" si="9"/>
        <v>rg:{ 'id': '200004'}</v>
      </c>
      <c r="I116" s="8">
        <f t="shared" ca="1" si="10"/>
        <v>1</v>
      </c>
      <c r="J116" s="8">
        <f t="shared" ca="1" si="11"/>
        <v>20</v>
      </c>
      <c r="K116" s="8" t="str">
        <f t="shared" ca="1" si="12"/>
        <v>2017-04-08</v>
      </c>
      <c r="L116" s="8" t="str">
        <f t="shared" ca="1" si="13"/>
        <v>2017-04-10</v>
      </c>
    </row>
    <row r="117" spans="1:12" x14ac:dyDescent="0.3">
      <c r="A117" s="8" t="s">
        <v>5668</v>
      </c>
      <c r="B117" s="8">
        <f t="shared" si="7"/>
        <v>600115</v>
      </c>
      <c r="C117" s="1" t="s">
        <v>6925</v>
      </c>
      <c r="D117" s="9" t="str">
        <f>IFERROR(VLOOKUP(VLOOKUP(VLOOKUP(C117,Project.csv!F:Q,12,FALSE),ServiceAreas.csv!B:I,8,FALSE),LocalAreas.csv!B:I,7,FALSE),200029)</f>
        <v>rg:None</v>
      </c>
      <c r="E117" s="8" t="str">
        <f t="shared" si="8"/>
        <v>rg:{'id':'rg:None'}</v>
      </c>
      <c r="F117" s="9" t="s">
        <v>7055</v>
      </c>
      <c r="G117" s="9" t="str">
        <f ca="1">INDEX(DistrictEquipmentTypes.csv!F:F,RANDBETWEEN(2,COUNTA(DistrictEquipmentTypes.csv!D:D)),1)</f>
        <v>200009</v>
      </c>
      <c r="H117" s="8" t="str">
        <f t="shared" ca="1" si="9"/>
        <v>rg:{ 'id': '200009'}</v>
      </c>
      <c r="I117" s="8">
        <f t="shared" ca="1" si="10"/>
        <v>1</v>
      </c>
      <c r="J117" s="8">
        <f t="shared" ca="1" si="11"/>
        <v>87</v>
      </c>
      <c r="K117" s="8" t="str">
        <f t="shared" ca="1" si="12"/>
        <v>2017-04-29</v>
      </c>
      <c r="L117" s="8" t="str">
        <f t="shared" ca="1" si="13"/>
        <v>2017-05-09</v>
      </c>
    </row>
    <row r="118" spans="1:12" x14ac:dyDescent="0.3">
      <c r="A118" s="8" t="s">
        <v>5668</v>
      </c>
      <c r="B118" s="8">
        <f t="shared" si="7"/>
        <v>600116</v>
      </c>
      <c r="C118" s="1" t="s">
        <v>6919</v>
      </c>
      <c r="D118" s="9" t="str">
        <f>IFERROR(VLOOKUP(VLOOKUP(VLOOKUP(C118,Project.csv!F:Q,12,FALSE),ServiceAreas.csv!B:I,8,FALSE),LocalAreas.csv!B:I,7,FALSE),200029)</f>
        <v>rg:None</v>
      </c>
      <c r="E118" s="8" t="str">
        <f t="shared" si="8"/>
        <v>rg:{'id':'rg:None'}</v>
      </c>
      <c r="F118" s="9" t="s">
        <v>7055</v>
      </c>
      <c r="G118" s="9" t="str">
        <f ca="1">INDEX(DistrictEquipmentTypes.csv!F:F,RANDBETWEEN(2,COUNTA(DistrictEquipmentTypes.csv!D:D)),1)</f>
        <v>200005</v>
      </c>
      <c r="H118" s="8" t="str">
        <f t="shared" ca="1" si="9"/>
        <v>rg:{ 'id': '200005'}</v>
      </c>
      <c r="I118" s="8">
        <f t="shared" ca="1" si="10"/>
        <v>1</v>
      </c>
      <c r="J118" s="8">
        <f t="shared" ca="1" si="11"/>
        <v>29</v>
      </c>
      <c r="K118" s="8" t="str">
        <f t="shared" ca="1" si="12"/>
        <v>2017-05-06</v>
      </c>
      <c r="L118" s="8" t="str">
        <f t="shared" ca="1" si="13"/>
        <v>2017-05-09</v>
      </c>
    </row>
    <row r="119" spans="1:12" x14ac:dyDescent="0.3">
      <c r="A119" s="8" t="s">
        <v>5668</v>
      </c>
      <c r="B119" s="8">
        <f t="shared" si="7"/>
        <v>600117</v>
      </c>
      <c r="C119" s="1" t="s">
        <v>7021</v>
      </c>
      <c r="D119" s="9" t="str">
        <f>IFERROR(VLOOKUP(VLOOKUP(VLOOKUP(C119,Project.csv!F:Q,12,FALSE),ServiceAreas.csv!B:I,8,FALSE),LocalAreas.csv!B:I,7,FALSE),200029)</f>
        <v>rg:None</v>
      </c>
      <c r="E119" s="8" t="str">
        <f t="shared" si="8"/>
        <v>rg:{'id':'rg:None'}</v>
      </c>
      <c r="F119" s="9" t="s">
        <v>7055</v>
      </c>
      <c r="G119" s="9" t="str">
        <f ca="1">INDEX(DistrictEquipmentTypes.csv!F:F,RANDBETWEEN(2,COUNTA(DistrictEquipmentTypes.csv!D:D)),1)</f>
        <v>200003</v>
      </c>
      <c r="H119" s="8" t="str">
        <f t="shared" ca="1" si="9"/>
        <v>rg:{ 'id': '200003'}</v>
      </c>
      <c r="I119" s="8">
        <f t="shared" ca="1" si="10"/>
        <v>3</v>
      </c>
      <c r="J119" s="8">
        <f t="shared" ca="1" si="11"/>
        <v>58</v>
      </c>
      <c r="K119" s="8" t="str">
        <f t="shared" ca="1" si="12"/>
        <v>2017-04-20</v>
      </c>
      <c r="L119" s="8" t="str">
        <f t="shared" ca="1" si="13"/>
        <v>2017-05-11</v>
      </c>
    </row>
    <row r="120" spans="1:12" x14ac:dyDescent="0.3">
      <c r="A120" s="8" t="s">
        <v>5668</v>
      </c>
      <c r="B120" s="8">
        <f t="shared" si="7"/>
        <v>600118</v>
      </c>
      <c r="C120" s="1" t="s">
        <v>7022</v>
      </c>
      <c r="D120" s="9" t="str">
        <f>IFERROR(VLOOKUP(VLOOKUP(VLOOKUP(C120,Project.csv!F:Q,12,FALSE),ServiceAreas.csv!B:I,8,FALSE),LocalAreas.csv!B:I,7,FALSE),200029)</f>
        <v>rg:None</v>
      </c>
      <c r="E120" s="8" t="str">
        <f t="shared" si="8"/>
        <v>rg:{'id':'rg:None'}</v>
      </c>
      <c r="F120" s="9" t="s">
        <v>7055</v>
      </c>
      <c r="G120" s="9" t="str">
        <f ca="1">INDEX(DistrictEquipmentTypes.csv!F:F,RANDBETWEEN(2,COUNTA(DistrictEquipmentTypes.csv!D:D)),1)</f>
        <v>200001</v>
      </c>
      <c r="H120" s="8" t="str">
        <f t="shared" ca="1" si="9"/>
        <v>rg:{ 'id': '200001'}</v>
      </c>
      <c r="I120" s="8">
        <f t="shared" ca="1" si="10"/>
        <v>1</v>
      </c>
      <c r="J120" s="8">
        <f t="shared" ca="1" si="11"/>
        <v>20</v>
      </c>
      <c r="K120" s="8" t="str">
        <f t="shared" ca="1" si="12"/>
        <v>2017-04-01</v>
      </c>
      <c r="L120" s="8" t="str">
        <f t="shared" ca="1" si="13"/>
        <v>2017-04-03</v>
      </c>
    </row>
    <row r="121" spans="1:12" x14ac:dyDescent="0.3">
      <c r="A121" s="8" t="s">
        <v>5668</v>
      </c>
      <c r="B121" s="8">
        <f t="shared" si="7"/>
        <v>600119</v>
      </c>
      <c r="C121" s="1" t="s">
        <v>6907</v>
      </c>
      <c r="D121" s="9" t="str">
        <f>IFERROR(VLOOKUP(VLOOKUP(VLOOKUP(C121,Project.csv!F:Q,12,FALSE),ServiceAreas.csv!B:I,8,FALSE),LocalAreas.csv!B:I,7,FALSE),200029)</f>
        <v>rg:None</v>
      </c>
      <c r="E121" s="8" t="str">
        <f t="shared" si="8"/>
        <v>rg:{'id':'rg:None'}</v>
      </c>
      <c r="F121" s="9" t="s">
        <v>7055</v>
      </c>
      <c r="G121" s="9" t="str">
        <f ca="1">INDEX(DistrictEquipmentTypes.csv!F:F,RANDBETWEEN(2,COUNTA(DistrictEquipmentTypes.csv!D:D)),1)</f>
        <v>200001</v>
      </c>
      <c r="H121" s="8" t="str">
        <f t="shared" ca="1" si="9"/>
        <v>rg:{ 'id': '200001'}</v>
      </c>
      <c r="I121" s="8">
        <f t="shared" ca="1" si="10"/>
        <v>1</v>
      </c>
      <c r="J121" s="8">
        <f t="shared" ca="1" si="11"/>
        <v>70</v>
      </c>
      <c r="K121" s="8" t="str">
        <f t="shared" ca="1" si="12"/>
        <v>2017-04-18</v>
      </c>
      <c r="L121" s="8" t="str">
        <f t="shared" ca="1" si="13"/>
        <v>2017-04-26</v>
      </c>
    </row>
    <row r="122" spans="1:12" x14ac:dyDescent="0.3">
      <c r="A122" s="8" t="s">
        <v>5668</v>
      </c>
      <c r="B122" s="8">
        <f t="shared" si="7"/>
        <v>600120</v>
      </c>
      <c r="C122" s="1" t="s">
        <v>7023</v>
      </c>
      <c r="D122" s="9" t="str">
        <f>IFERROR(VLOOKUP(VLOOKUP(VLOOKUP(C122,Project.csv!F:Q,12,FALSE),ServiceAreas.csv!B:I,8,FALSE),LocalAreas.csv!B:I,7,FALSE),200029)</f>
        <v>rg:None</v>
      </c>
      <c r="E122" s="8" t="str">
        <f t="shared" si="8"/>
        <v>rg:{'id':'rg:None'}</v>
      </c>
      <c r="F122" s="9" t="s">
        <v>7055</v>
      </c>
      <c r="G122" s="9" t="str">
        <f ca="1">INDEX(DistrictEquipmentTypes.csv!F:F,RANDBETWEEN(2,COUNTA(DistrictEquipmentTypes.csv!D:D)),1)</f>
        <v>200001</v>
      </c>
      <c r="H122" s="8" t="str">
        <f t="shared" ca="1" si="9"/>
        <v>rg:{ 'id': '200001'}</v>
      </c>
      <c r="I122" s="8">
        <f t="shared" ca="1" si="10"/>
        <v>5</v>
      </c>
      <c r="J122" s="8">
        <f t="shared" ca="1" si="11"/>
        <v>80</v>
      </c>
      <c r="K122" s="8" t="str">
        <f t="shared" ca="1" si="12"/>
        <v>2017-04-13</v>
      </c>
      <c r="L122" s="8" t="str">
        <f t="shared" ca="1" si="13"/>
        <v>2017-06-02</v>
      </c>
    </row>
    <row r="123" spans="1:12" x14ac:dyDescent="0.3">
      <c r="A123" s="8" t="s">
        <v>5668</v>
      </c>
      <c r="B123" s="8">
        <f t="shared" si="7"/>
        <v>600121</v>
      </c>
      <c r="C123" s="1" t="s">
        <v>7024</v>
      </c>
      <c r="D123" s="9" t="str">
        <f>IFERROR(VLOOKUP(VLOOKUP(VLOOKUP(C123,Project.csv!F:Q,12,FALSE),ServiceAreas.csv!B:I,8,FALSE),LocalAreas.csv!B:I,7,FALSE),200029)</f>
        <v>rg:None</v>
      </c>
      <c r="E123" s="8" t="str">
        <f t="shared" si="8"/>
        <v>rg:{'id':'rg:None'}</v>
      </c>
      <c r="F123" s="9" t="s">
        <v>7055</v>
      </c>
      <c r="G123" s="9" t="str">
        <f ca="1">INDEX(DistrictEquipmentTypes.csv!F:F,RANDBETWEEN(2,COUNTA(DistrictEquipmentTypes.csv!D:D)),1)</f>
        <v>200001</v>
      </c>
      <c r="H123" s="8" t="str">
        <f t="shared" ca="1" si="9"/>
        <v>rg:{ 'id': '200001'}</v>
      </c>
      <c r="I123" s="8">
        <f t="shared" ca="1" si="10"/>
        <v>1</v>
      </c>
      <c r="J123" s="8">
        <f t="shared" ca="1" si="11"/>
        <v>31</v>
      </c>
      <c r="K123" s="8" t="str">
        <f t="shared" ca="1" si="12"/>
        <v>2017-04-14</v>
      </c>
      <c r="L123" s="8" t="str">
        <f t="shared" ca="1" si="13"/>
        <v>2017-04-17</v>
      </c>
    </row>
    <row r="124" spans="1:12" x14ac:dyDescent="0.3">
      <c r="A124" s="8" t="s">
        <v>5668</v>
      </c>
      <c r="B124" s="8">
        <f t="shared" si="7"/>
        <v>600122</v>
      </c>
      <c r="C124" s="1" t="s">
        <v>7025</v>
      </c>
      <c r="D124" s="9" t="str">
        <f>IFERROR(VLOOKUP(VLOOKUP(VLOOKUP(C124,Project.csv!F:Q,12,FALSE),ServiceAreas.csv!B:I,8,FALSE),LocalAreas.csv!B:I,7,FALSE),200029)</f>
        <v>rg:None</v>
      </c>
      <c r="E124" s="8" t="str">
        <f t="shared" si="8"/>
        <v>rg:{'id':'rg:None'}</v>
      </c>
      <c r="F124" s="9" t="s">
        <v>7055</v>
      </c>
      <c r="G124" s="9" t="str">
        <f ca="1">INDEX(DistrictEquipmentTypes.csv!F:F,RANDBETWEEN(2,COUNTA(DistrictEquipmentTypes.csv!D:D)),1)</f>
        <v>200004</v>
      </c>
      <c r="H124" s="8" t="str">
        <f t="shared" ca="1" si="9"/>
        <v>rg:{ 'id': '200004'}</v>
      </c>
      <c r="I124" s="8">
        <f t="shared" ca="1" si="10"/>
        <v>1</v>
      </c>
      <c r="J124" s="8">
        <f t="shared" ca="1" si="11"/>
        <v>84</v>
      </c>
      <c r="K124" s="8" t="str">
        <f t="shared" ca="1" si="12"/>
        <v>2017-04-16</v>
      </c>
      <c r="L124" s="8" t="str">
        <f t="shared" ca="1" si="13"/>
        <v>2017-04-26</v>
      </c>
    </row>
    <row r="125" spans="1:12" x14ac:dyDescent="0.3">
      <c r="A125" s="8" t="s">
        <v>5668</v>
      </c>
      <c r="B125" s="8">
        <f t="shared" si="7"/>
        <v>600123</v>
      </c>
      <c r="C125" s="1" t="s">
        <v>6923</v>
      </c>
      <c r="D125" s="9" t="str">
        <f>IFERROR(VLOOKUP(VLOOKUP(VLOOKUP(C125,Project.csv!F:Q,12,FALSE),ServiceAreas.csv!B:I,8,FALSE),LocalAreas.csv!B:I,7,FALSE),200029)</f>
        <v>rg:None</v>
      </c>
      <c r="E125" s="8" t="str">
        <f t="shared" si="8"/>
        <v>rg:{'id':'rg:None'}</v>
      </c>
      <c r="F125" s="9" t="s">
        <v>7055</v>
      </c>
      <c r="G125" s="9" t="str">
        <f ca="1">INDEX(DistrictEquipmentTypes.csv!F:F,RANDBETWEEN(2,COUNTA(DistrictEquipmentTypes.csv!D:D)),1)</f>
        <v>200006</v>
      </c>
      <c r="H125" s="8" t="str">
        <f t="shared" ca="1" si="9"/>
        <v>rg:{ 'id': '200006'}</v>
      </c>
      <c r="I125" s="8">
        <f t="shared" ca="1" si="10"/>
        <v>1</v>
      </c>
      <c r="J125" s="8">
        <f t="shared" ca="1" si="11"/>
        <v>39</v>
      </c>
      <c r="K125" s="8" t="str">
        <f t="shared" ca="1" si="12"/>
        <v>2017-04-04</v>
      </c>
      <c r="L125" s="8" t="str">
        <f t="shared" ca="1" si="13"/>
        <v>2017-04-08</v>
      </c>
    </row>
    <row r="126" spans="1:12" x14ac:dyDescent="0.3">
      <c r="A126" s="8" t="s">
        <v>5668</v>
      </c>
      <c r="B126" s="8">
        <f t="shared" si="7"/>
        <v>600124</v>
      </c>
      <c r="C126" s="1" t="s">
        <v>7026</v>
      </c>
      <c r="D126" s="9" t="str">
        <f>IFERROR(VLOOKUP(VLOOKUP(VLOOKUP(C126,Project.csv!F:Q,12,FALSE),ServiceAreas.csv!B:I,8,FALSE),LocalAreas.csv!B:I,7,FALSE),200029)</f>
        <v>rg:None</v>
      </c>
      <c r="E126" s="8" t="str">
        <f t="shared" si="8"/>
        <v>rg:{'id':'rg:None'}</v>
      </c>
      <c r="F126" s="9" t="s">
        <v>7056</v>
      </c>
      <c r="G126" s="9" t="str">
        <f ca="1">INDEX(DistrictEquipmentTypes.csv!F:F,RANDBETWEEN(2,COUNTA(DistrictEquipmentTypes.csv!D:D)),1)</f>
        <v>200006</v>
      </c>
      <c r="H126" s="8" t="str">
        <f t="shared" ca="1" si="9"/>
        <v>rg:{ 'id': '200006'}</v>
      </c>
      <c r="I126" s="8">
        <f t="shared" ca="1" si="10"/>
        <v>1</v>
      </c>
      <c r="J126" s="8">
        <f t="shared" ca="1" si="11"/>
        <v>55</v>
      </c>
      <c r="K126" s="8" t="str">
        <f t="shared" ca="1" si="12"/>
        <v>2017-05-22</v>
      </c>
      <c r="L126" s="8" t="str">
        <f t="shared" ca="1" si="13"/>
        <v>2017-05-28</v>
      </c>
    </row>
    <row r="127" spans="1:12" x14ac:dyDescent="0.3">
      <c r="A127" s="8" t="s">
        <v>5668</v>
      </c>
      <c r="B127" s="8">
        <f t="shared" si="7"/>
        <v>600125</v>
      </c>
      <c r="C127" s="1" t="s">
        <v>7027</v>
      </c>
      <c r="D127" s="9" t="str">
        <f>IFERROR(VLOOKUP(VLOOKUP(VLOOKUP(C127,Project.csv!F:Q,12,FALSE),ServiceAreas.csv!B:I,8,FALSE),LocalAreas.csv!B:I,7,FALSE),200029)</f>
        <v>rg:None</v>
      </c>
      <c r="E127" s="8" t="str">
        <f t="shared" si="8"/>
        <v>rg:{'id':'rg:None'}</v>
      </c>
      <c r="F127" s="9" t="s">
        <v>7056</v>
      </c>
      <c r="G127" s="9" t="str">
        <f ca="1">INDEX(DistrictEquipmentTypes.csv!F:F,RANDBETWEEN(2,COUNTA(DistrictEquipmentTypes.csv!D:D)),1)</f>
        <v>200003</v>
      </c>
      <c r="H127" s="8" t="str">
        <f t="shared" ca="1" si="9"/>
        <v>rg:{ 'id': '200003'}</v>
      </c>
      <c r="I127" s="8">
        <f t="shared" ca="1" si="10"/>
        <v>1</v>
      </c>
      <c r="J127" s="8">
        <f t="shared" ca="1" si="11"/>
        <v>25</v>
      </c>
      <c r="K127" s="8" t="str">
        <f t="shared" ca="1" si="12"/>
        <v>2017-05-15</v>
      </c>
      <c r="L127" s="8" t="str">
        <f t="shared" ca="1" si="13"/>
        <v>2017-05-18</v>
      </c>
    </row>
    <row r="128" spans="1:12" x14ac:dyDescent="0.3">
      <c r="A128" s="8" t="s">
        <v>5668</v>
      </c>
      <c r="B128" s="8">
        <f t="shared" si="7"/>
        <v>600126</v>
      </c>
      <c r="C128" s="1" t="s">
        <v>6930</v>
      </c>
      <c r="D128" s="9" t="str">
        <f>IFERROR(VLOOKUP(VLOOKUP(VLOOKUP(C128,Project.csv!F:Q,12,FALSE),ServiceAreas.csv!B:I,8,FALSE),LocalAreas.csv!B:I,7,FALSE),200029)</f>
        <v>rg:None</v>
      </c>
      <c r="E128" s="8" t="str">
        <f t="shared" si="8"/>
        <v>rg:{'id':'rg:None'}</v>
      </c>
      <c r="F128" s="9" t="s">
        <v>7056</v>
      </c>
      <c r="G128" s="9" t="str">
        <f ca="1">INDEX(DistrictEquipmentTypes.csv!F:F,RANDBETWEEN(2,COUNTA(DistrictEquipmentTypes.csv!D:D)),1)</f>
        <v>200001</v>
      </c>
      <c r="H128" s="8" t="str">
        <f t="shared" ca="1" si="9"/>
        <v>rg:{ 'id': '200001'}</v>
      </c>
      <c r="I128" s="8">
        <f t="shared" ca="1" si="10"/>
        <v>1</v>
      </c>
      <c r="J128" s="8">
        <f t="shared" ca="1" si="11"/>
        <v>68</v>
      </c>
      <c r="K128" s="8" t="str">
        <f t="shared" ca="1" si="12"/>
        <v>2017-04-13</v>
      </c>
      <c r="L128" s="8" t="str">
        <f t="shared" ca="1" si="13"/>
        <v>2017-04-21</v>
      </c>
    </row>
    <row r="129" spans="1:12" x14ac:dyDescent="0.3">
      <c r="A129" s="8" t="s">
        <v>5668</v>
      </c>
      <c r="B129" s="8">
        <f t="shared" si="7"/>
        <v>600127</v>
      </c>
      <c r="C129" s="1" t="s">
        <v>7028</v>
      </c>
      <c r="D129" s="9" t="str">
        <f>IFERROR(VLOOKUP(VLOOKUP(VLOOKUP(C129,Project.csv!F:Q,12,FALSE),ServiceAreas.csv!B:I,8,FALSE),LocalAreas.csv!B:I,7,FALSE),200029)</f>
        <v>rg:None</v>
      </c>
      <c r="E129" s="8" t="str">
        <f t="shared" si="8"/>
        <v>rg:{'id':'rg:None'}</v>
      </c>
      <c r="F129" s="9" t="s">
        <v>7055</v>
      </c>
      <c r="G129" s="9" t="str">
        <f ca="1">INDEX(DistrictEquipmentTypes.csv!F:F,RANDBETWEEN(2,COUNTA(DistrictEquipmentTypes.csv!D:D)),1)</f>
        <v>200002</v>
      </c>
      <c r="H129" s="8" t="str">
        <f t="shared" ca="1" si="9"/>
        <v>rg:{ 'id': '200002'}</v>
      </c>
      <c r="I129" s="8">
        <f t="shared" ca="1" si="10"/>
        <v>1</v>
      </c>
      <c r="J129" s="8">
        <f t="shared" ca="1" si="11"/>
        <v>13</v>
      </c>
      <c r="K129" s="8" t="str">
        <f t="shared" ca="1" si="12"/>
        <v>2017-05-09</v>
      </c>
      <c r="L129" s="8" t="str">
        <f t="shared" ca="1" si="13"/>
        <v>2017-05-10</v>
      </c>
    </row>
    <row r="130" spans="1:12" x14ac:dyDescent="0.3">
      <c r="A130" s="8" t="s">
        <v>5668</v>
      </c>
      <c r="B130" s="8">
        <f t="shared" si="7"/>
        <v>600128</v>
      </c>
      <c r="C130" s="1" t="s">
        <v>7029</v>
      </c>
      <c r="D130" s="9" t="str">
        <f>IFERROR(VLOOKUP(VLOOKUP(VLOOKUP(C130,Project.csv!F:Q,12,FALSE),ServiceAreas.csv!B:I,8,FALSE),LocalAreas.csv!B:I,7,FALSE),200029)</f>
        <v>rg:None</v>
      </c>
      <c r="E130" s="8" t="str">
        <f t="shared" si="8"/>
        <v>rg:{'id':'rg:None'}</v>
      </c>
      <c r="F130" s="9" t="s">
        <v>7055</v>
      </c>
      <c r="G130" s="9" t="str">
        <f ca="1">INDEX(DistrictEquipmentTypes.csv!F:F,RANDBETWEEN(2,COUNTA(DistrictEquipmentTypes.csv!D:D)),1)</f>
        <v>200005</v>
      </c>
      <c r="H130" s="8" t="str">
        <f t="shared" ca="1" si="9"/>
        <v>rg:{ 'id': '200005'}</v>
      </c>
      <c r="I130" s="8">
        <f t="shared" ca="1" si="10"/>
        <v>1</v>
      </c>
      <c r="J130" s="8">
        <f t="shared" ca="1" si="11"/>
        <v>45</v>
      </c>
      <c r="K130" s="8" t="str">
        <f t="shared" ca="1" si="12"/>
        <v>2017-05-07</v>
      </c>
      <c r="L130" s="8" t="str">
        <f t="shared" ca="1" si="13"/>
        <v>2017-05-12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7030</v>
      </c>
      <c r="D131" s="9" t="str">
        <f>IFERROR(VLOOKUP(VLOOKUP(VLOOKUP(C131,Project.csv!F:Q,12,FALSE),ServiceAreas.csv!B:I,8,FALSE),LocalAreas.csv!B:I,7,FALSE),200029)</f>
        <v>rg:None</v>
      </c>
      <c r="E131" s="8" t="str">
        <f t="shared" ref="E131:E194" si="15" xml:space="preserve"> "rg:{'id':'" &amp; D131 &amp; "'}"</f>
        <v>rg:{'id':'rg:None'}</v>
      </c>
      <c r="F131" s="9" t="s">
        <v>7055</v>
      </c>
      <c r="G131" s="9" t="str">
        <f ca="1">INDEX(DistrictEquipmentTypes.csv!F:F,RANDBETWEEN(2,COUNTA(DistrictEquipmentTypes.csv!D:D)),1)</f>
        <v>200009</v>
      </c>
      <c r="H131" s="8" t="str">
        <f t="shared" ref="H131:H194" ca="1" si="16">"rg:{ 'id': '"&amp;G131&amp;"'}"</f>
        <v>rg:{ 'id': '200009'}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31</v>
      </c>
      <c r="K131" s="8" t="str">
        <f t="shared" ref="K131:K194" ca="1" si="19">TEXT(TODAY()+RANDBETWEEN(1,56),"YYYY-MM-DD")</f>
        <v>2017-05-01</v>
      </c>
      <c r="L131" s="8" t="str">
        <f t="shared" ref="L131:L194" ca="1" si="20">TEXT(K131+(I131*J131)/8,"YYYY-MM-DD")</f>
        <v>2017-05-04</v>
      </c>
    </row>
    <row r="132" spans="1:12" x14ac:dyDescent="0.3">
      <c r="A132" s="8" t="s">
        <v>5668</v>
      </c>
      <c r="B132" s="8">
        <f t="shared" si="14"/>
        <v>600130</v>
      </c>
      <c r="C132" s="1" t="s">
        <v>7031</v>
      </c>
      <c r="D132" s="9" t="str">
        <f>IFERROR(VLOOKUP(VLOOKUP(VLOOKUP(C132,Project.csv!F:Q,12,FALSE),ServiceAreas.csv!B:I,8,FALSE),LocalAreas.csv!B:I,7,FALSE),200029)</f>
        <v>rg:None</v>
      </c>
      <c r="E132" s="8" t="str">
        <f t="shared" si="15"/>
        <v>rg:{'id':'rg:None'}</v>
      </c>
      <c r="F132" s="9" t="s">
        <v>7055</v>
      </c>
      <c r="G132" s="9" t="str">
        <f ca="1">INDEX(DistrictEquipmentTypes.csv!F:F,RANDBETWEEN(2,COUNTA(DistrictEquipmentTypes.csv!D:D)),1)</f>
        <v>200000</v>
      </c>
      <c r="H132" s="8" t="str">
        <f t="shared" ca="1" si="16"/>
        <v>rg:{ 'id': '200000'}</v>
      </c>
      <c r="I132" s="8">
        <f t="shared" ca="1" si="17"/>
        <v>2</v>
      </c>
      <c r="J132" s="8">
        <f t="shared" ca="1" si="18"/>
        <v>36</v>
      </c>
      <c r="K132" s="8" t="str">
        <f t="shared" ca="1" si="19"/>
        <v>2017-05-18</v>
      </c>
      <c r="L132" s="8" t="str">
        <f t="shared" ca="1" si="20"/>
        <v>2017-05-27</v>
      </c>
    </row>
    <row r="133" spans="1:12" x14ac:dyDescent="0.3">
      <c r="A133" s="8" t="s">
        <v>5668</v>
      </c>
      <c r="B133" s="8">
        <f t="shared" si="14"/>
        <v>600131</v>
      </c>
      <c r="C133" s="1" t="s">
        <v>7032</v>
      </c>
      <c r="D133" s="9" t="str">
        <f>IFERROR(VLOOKUP(VLOOKUP(VLOOKUP(C133,Project.csv!F:Q,12,FALSE),ServiceAreas.csv!B:I,8,FALSE),LocalAreas.csv!B:I,7,FALSE),200029)</f>
        <v>rg:None</v>
      </c>
      <c r="E133" s="8" t="str">
        <f t="shared" si="15"/>
        <v>rg:{'id':'rg:None'}</v>
      </c>
      <c r="F133" s="9" t="s">
        <v>7055</v>
      </c>
      <c r="G133" s="9" t="str">
        <f ca="1">INDEX(DistrictEquipmentTypes.csv!F:F,RANDBETWEEN(2,COUNTA(DistrictEquipmentTypes.csv!D:D)),1)</f>
        <v>200002</v>
      </c>
      <c r="H133" s="8" t="str">
        <f t="shared" ca="1" si="16"/>
        <v>rg:{ 'id': '200002'}</v>
      </c>
      <c r="I133" s="8">
        <f t="shared" ca="1" si="17"/>
        <v>2</v>
      </c>
      <c r="J133" s="8">
        <f t="shared" ca="1" si="18"/>
        <v>90</v>
      </c>
      <c r="K133" s="8" t="str">
        <f t="shared" ca="1" si="19"/>
        <v>2017-05-12</v>
      </c>
      <c r="L133" s="8" t="str">
        <f t="shared" ca="1" si="20"/>
        <v>2017-06-03</v>
      </c>
    </row>
    <row r="134" spans="1:12" x14ac:dyDescent="0.3">
      <c r="A134" s="8" t="s">
        <v>5668</v>
      </c>
      <c r="B134" s="8">
        <f t="shared" si="14"/>
        <v>600132</v>
      </c>
      <c r="C134" s="1" t="s">
        <v>7033</v>
      </c>
      <c r="D134" s="9" t="str">
        <f>IFERROR(VLOOKUP(VLOOKUP(VLOOKUP(C134,Project.csv!F:Q,12,FALSE),ServiceAreas.csv!B:I,8,FALSE),LocalAreas.csv!B:I,7,FALSE),200029)</f>
        <v>rg:None</v>
      </c>
      <c r="E134" s="8" t="str">
        <f t="shared" si="15"/>
        <v>rg:{'id':'rg:None'}</v>
      </c>
      <c r="F134" s="9" t="s">
        <v>7055</v>
      </c>
      <c r="G134" s="9" t="str">
        <f ca="1">INDEX(DistrictEquipmentTypes.csv!F:F,RANDBETWEEN(2,COUNTA(DistrictEquipmentTypes.csv!D:D)),1)</f>
        <v>200004</v>
      </c>
      <c r="H134" s="8" t="str">
        <f t="shared" ca="1" si="16"/>
        <v>rg:{ 'id': '200004'}</v>
      </c>
      <c r="I134" s="8">
        <f t="shared" ca="1" si="17"/>
        <v>1</v>
      </c>
      <c r="J134" s="8">
        <f t="shared" ca="1" si="18"/>
        <v>41</v>
      </c>
      <c r="K134" s="8" t="str">
        <f t="shared" ca="1" si="19"/>
        <v>2017-04-27</v>
      </c>
      <c r="L134" s="8" t="str">
        <f t="shared" ca="1" si="20"/>
        <v>2017-05-02</v>
      </c>
    </row>
    <row r="135" spans="1:12" x14ac:dyDescent="0.3">
      <c r="A135" s="8" t="s">
        <v>5668</v>
      </c>
      <c r="B135" s="8">
        <f t="shared" si="14"/>
        <v>600133</v>
      </c>
      <c r="C135" s="1" t="s">
        <v>7034</v>
      </c>
      <c r="D135" s="9" t="str">
        <f>IFERROR(VLOOKUP(VLOOKUP(VLOOKUP(C135,Project.csv!F:Q,12,FALSE),ServiceAreas.csv!B:I,8,FALSE),LocalAreas.csv!B:I,7,FALSE),200029)</f>
        <v>rg:None</v>
      </c>
      <c r="E135" s="8" t="str">
        <f t="shared" si="15"/>
        <v>rg:{'id':'rg:None'}</v>
      </c>
      <c r="F135" s="9" t="s">
        <v>7055</v>
      </c>
      <c r="G135" s="9" t="str">
        <f ca="1">INDEX(DistrictEquipmentTypes.csv!F:F,RANDBETWEEN(2,COUNTA(DistrictEquipmentTypes.csv!D:D)),1)</f>
        <v>200001</v>
      </c>
      <c r="H135" s="8" t="str">
        <f t="shared" ca="1" si="16"/>
        <v>rg:{ 'id': '200001'}</v>
      </c>
      <c r="I135" s="8">
        <f t="shared" ca="1" si="17"/>
        <v>5</v>
      </c>
      <c r="J135" s="8">
        <f t="shared" ca="1" si="18"/>
        <v>41</v>
      </c>
      <c r="K135" s="8" t="str">
        <f t="shared" ca="1" si="19"/>
        <v>2017-03-31</v>
      </c>
      <c r="L135" s="8" t="str">
        <f t="shared" ca="1" si="20"/>
        <v>2017-04-25</v>
      </c>
    </row>
    <row r="136" spans="1:12" x14ac:dyDescent="0.3">
      <c r="A136" s="8" t="s">
        <v>5668</v>
      </c>
      <c r="B136" s="8">
        <f t="shared" si="14"/>
        <v>600134</v>
      </c>
      <c r="C136" s="1" t="s">
        <v>6895</v>
      </c>
      <c r="D136" s="9" t="str">
        <f>IFERROR(VLOOKUP(VLOOKUP(VLOOKUP(C136,Project.csv!F:Q,12,FALSE),ServiceAreas.csv!B:I,8,FALSE),LocalAreas.csv!B:I,7,FALSE),200029)</f>
        <v>rg:None</v>
      </c>
      <c r="E136" s="8" t="str">
        <f t="shared" si="15"/>
        <v>rg:{'id':'rg:None'}</v>
      </c>
      <c r="F136" s="9" t="s">
        <v>7055</v>
      </c>
      <c r="G136" s="9" t="str">
        <f ca="1">INDEX(DistrictEquipmentTypes.csv!F:F,RANDBETWEEN(2,COUNTA(DistrictEquipmentTypes.csv!D:D)),1)</f>
        <v>200009</v>
      </c>
      <c r="H136" s="8" t="str">
        <f t="shared" ca="1" si="16"/>
        <v>rg:{ 'id': '200009'}</v>
      </c>
      <c r="I136" s="8">
        <f t="shared" ca="1" si="17"/>
        <v>1</v>
      </c>
      <c r="J136" s="8">
        <f t="shared" ca="1" si="18"/>
        <v>74</v>
      </c>
      <c r="K136" s="8" t="str">
        <f t="shared" ca="1" si="19"/>
        <v>2017-04-14</v>
      </c>
      <c r="L136" s="8" t="str">
        <f t="shared" ca="1" si="20"/>
        <v>2017-04-23</v>
      </c>
    </row>
    <row r="137" spans="1:12" x14ac:dyDescent="0.3">
      <c r="A137" s="8" t="s">
        <v>5668</v>
      </c>
      <c r="B137" s="8">
        <f t="shared" si="14"/>
        <v>600135</v>
      </c>
      <c r="C137" s="1" t="s">
        <v>7035</v>
      </c>
      <c r="D137" s="9" t="str">
        <f>IFERROR(VLOOKUP(VLOOKUP(VLOOKUP(C137,Project.csv!F:Q,12,FALSE),ServiceAreas.csv!B:I,8,FALSE),LocalAreas.csv!B:I,7,FALSE),200029)</f>
        <v>rg:None</v>
      </c>
      <c r="E137" s="8" t="str">
        <f t="shared" si="15"/>
        <v>rg:{'id':'rg:None'}</v>
      </c>
      <c r="F137" s="9" t="s">
        <v>7055</v>
      </c>
      <c r="G137" s="9" t="str">
        <f ca="1">INDEX(DistrictEquipmentTypes.csv!F:F,RANDBETWEEN(2,COUNTA(DistrictEquipmentTypes.csv!D:D)),1)</f>
        <v>200006</v>
      </c>
      <c r="H137" s="8" t="str">
        <f t="shared" ca="1" si="16"/>
        <v>rg:{ 'id': '200006'}</v>
      </c>
      <c r="I137" s="8">
        <f t="shared" ca="1" si="17"/>
        <v>1</v>
      </c>
      <c r="J137" s="8">
        <f t="shared" ca="1" si="18"/>
        <v>20</v>
      </c>
      <c r="K137" s="8" t="str">
        <f t="shared" ca="1" si="19"/>
        <v>2017-04-04</v>
      </c>
      <c r="L137" s="8" t="str">
        <f t="shared" ca="1" si="20"/>
        <v>2017-04-06</v>
      </c>
    </row>
    <row r="138" spans="1:12" x14ac:dyDescent="0.3">
      <c r="A138" s="8" t="s">
        <v>5668</v>
      </c>
      <c r="B138" s="8">
        <f t="shared" si="14"/>
        <v>600136</v>
      </c>
      <c r="C138" s="1" t="s">
        <v>6933</v>
      </c>
      <c r="D138" s="9" t="str">
        <f>IFERROR(VLOOKUP(VLOOKUP(VLOOKUP(C138,Project.csv!F:Q,12,FALSE),ServiceAreas.csv!B:I,8,FALSE),LocalAreas.csv!B:I,7,FALSE),200029)</f>
        <v>rg:None</v>
      </c>
      <c r="E138" s="8" t="str">
        <f t="shared" si="15"/>
        <v>rg:{'id':'rg:None'}</v>
      </c>
      <c r="F138" s="9" t="s">
        <v>7055</v>
      </c>
      <c r="G138" s="9" t="str">
        <f ca="1">INDEX(DistrictEquipmentTypes.csv!F:F,RANDBETWEEN(2,COUNTA(DistrictEquipmentTypes.csv!D:D)),1)</f>
        <v>200007</v>
      </c>
      <c r="H138" s="8" t="str">
        <f t="shared" ca="1" si="16"/>
        <v>rg:{ 'id': '200007'}</v>
      </c>
      <c r="I138" s="8">
        <f t="shared" ca="1" si="17"/>
        <v>5</v>
      </c>
      <c r="J138" s="8">
        <f t="shared" ca="1" si="18"/>
        <v>60</v>
      </c>
      <c r="K138" s="8" t="str">
        <f t="shared" ca="1" si="19"/>
        <v>2017-04-26</v>
      </c>
      <c r="L138" s="8" t="str">
        <f t="shared" ca="1" si="20"/>
        <v>2017-06-02</v>
      </c>
    </row>
    <row r="139" spans="1:12" x14ac:dyDescent="0.3">
      <c r="A139" s="8" t="s">
        <v>5668</v>
      </c>
      <c r="B139" s="8">
        <f t="shared" si="14"/>
        <v>600137</v>
      </c>
      <c r="C139" s="1" t="s">
        <v>7036</v>
      </c>
      <c r="D139" s="9" t="str">
        <f>IFERROR(VLOOKUP(VLOOKUP(VLOOKUP(C139,Project.csv!F:Q,12,FALSE),ServiceAreas.csv!B:I,8,FALSE),LocalAreas.csv!B:I,7,FALSE),200029)</f>
        <v>rg:None</v>
      </c>
      <c r="E139" s="8" t="str">
        <f t="shared" si="15"/>
        <v>rg:{'id':'rg:None'}</v>
      </c>
      <c r="F139" s="9" t="s">
        <v>7055</v>
      </c>
      <c r="G139" s="9" t="str">
        <f ca="1">INDEX(DistrictEquipmentTypes.csv!F:F,RANDBETWEEN(2,COUNTA(DistrictEquipmentTypes.csv!D:D)),1)</f>
        <v>200005</v>
      </c>
      <c r="H139" s="8" t="str">
        <f t="shared" ca="1" si="16"/>
        <v>rg:{ 'id': '200005'}</v>
      </c>
      <c r="I139" s="8">
        <f t="shared" ca="1" si="17"/>
        <v>4</v>
      </c>
      <c r="J139" s="8">
        <f t="shared" ca="1" si="18"/>
        <v>83</v>
      </c>
      <c r="K139" s="8" t="str">
        <f t="shared" ca="1" si="19"/>
        <v>2017-04-27</v>
      </c>
      <c r="L139" s="8" t="str">
        <f t="shared" ca="1" si="20"/>
        <v>2017-06-07</v>
      </c>
    </row>
    <row r="140" spans="1:12" x14ac:dyDescent="0.3">
      <c r="A140" s="8" t="s">
        <v>5668</v>
      </c>
      <c r="B140" s="8">
        <f t="shared" si="14"/>
        <v>600138</v>
      </c>
      <c r="C140" s="1" t="s">
        <v>7037</v>
      </c>
      <c r="D140" s="9" t="str">
        <f>IFERROR(VLOOKUP(VLOOKUP(VLOOKUP(C140,Project.csv!F:Q,12,FALSE),ServiceAreas.csv!B:I,8,FALSE),LocalAreas.csv!B:I,7,FALSE),200029)</f>
        <v>rg:None</v>
      </c>
      <c r="E140" s="8" t="str">
        <f t="shared" si="15"/>
        <v>rg:{'id':'rg:None'}</v>
      </c>
      <c r="F140" s="9" t="s">
        <v>7055</v>
      </c>
      <c r="G140" s="9" t="str">
        <f ca="1">INDEX(DistrictEquipmentTypes.csv!F:F,RANDBETWEEN(2,COUNTA(DistrictEquipmentTypes.csv!D:D)),1)</f>
        <v>200009</v>
      </c>
      <c r="H140" s="8" t="str">
        <f t="shared" ca="1" si="16"/>
        <v>rg:{ 'id': '200009'}</v>
      </c>
      <c r="I140" s="8">
        <f t="shared" ca="1" si="17"/>
        <v>1</v>
      </c>
      <c r="J140" s="8">
        <f t="shared" ca="1" si="18"/>
        <v>93</v>
      </c>
      <c r="K140" s="8" t="str">
        <f t="shared" ca="1" si="19"/>
        <v>2017-04-26</v>
      </c>
      <c r="L140" s="8" t="str">
        <f t="shared" ca="1" si="20"/>
        <v>2017-05-07</v>
      </c>
    </row>
    <row r="141" spans="1:12" x14ac:dyDescent="0.3">
      <c r="A141" s="8" t="s">
        <v>5668</v>
      </c>
      <c r="B141" s="8">
        <f t="shared" si="14"/>
        <v>600139</v>
      </c>
      <c r="C141" s="1" t="s">
        <v>7038</v>
      </c>
      <c r="D141" s="9" t="str">
        <f>IFERROR(VLOOKUP(VLOOKUP(VLOOKUP(C141,Project.csv!F:Q,12,FALSE),ServiceAreas.csv!B:I,8,FALSE),LocalAreas.csv!B:I,7,FALSE),200029)</f>
        <v>rg:None</v>
      </c>
      <c r="E141" s="8" t="str">
        <f t="shared" si="15"/>
        <v>rg:{'id':'rg:None'}</v>
      </c>
      <c r="F141" s="9" t="s">
        <v>7055</v>
      </c>
      <c r="G141" s="9" t="str">
        <f ca="1">INDEX(DistrictEquipmentTypes.csv!F:F,RANDBETWEEN(2,COUNTA(DistrictEquipmentTypes.csv!D:D)),1)</f>
        <v>200007</v>
      </c>
      <c r="H141" s="8" t="str">
        <f t="shared" ca="1" si="16"/>
        <v>rg:{ 'id': '200007'}</v>
      </c>
      <c r="I141" s="8">
        <f t="shared" ca="1" si="17"/>
        <v>1</v>
      </c>
      <c r="J141" s="8">
        <f t="shared" ca="1" si="18"/>
        <v>72</v>
      </c>
      <c r="K141" s="8" t="str">
        <f t="shared" ca="1" si="19"/>
        <v>2017-04-13</v>
      </c>
      <c r="L141" s="8" t="str">
        <f t="shared" ca="1" si="20"/>
        <v>2017-04-22</v>
      </c>
    </row>
    <row r="142" spans="1:12" x14ac:dyDescent="0.3">
      <c r="A142" s="8" t="s">
        <v>5668</v>
      </c>
      <c r="B142" s="8">
        <f t="shared" si="14"/>
        <v>600140</v>
      </c>
      <c r="C142" s="1" t="s">
        <v>6926</v>
      </c>
      <c r="D142" s="9" t="str">
        <f>IFERROR(VLOOKUP(VLOOKUP(VLOOKUP(C142,Project.csv!F:Q,12,FALSE),ServiceAreas.csv!B:I,8,FALSE),LocalAreas.csv!B:I,7,FALSE),200029)</f>
        <v>rg:None</v>
      </c>
      <c r="E142" s="8" t="str">
        <f t="shared" si="15"/>
        <v>rg:{'id':'rg:None'}</v>
      </c>
      <c r="F142" s="9" t="s">
        <v>7055</v>
      </c>
      <c r="G142" s="9" t="str">
        <f ca="1">INDEX(DistrictEquipmentTypes.csv!F:F,RANDBETWEEN(2,COUNTA(DistrictEquipmentTypes.csv!D:D)),1)</f>
        <v>200009</v>
      </c>
      <c r="H142" s="8" t="str">
        <f t="shared" ca="1" si="16"/>
        <v>rg:{ 'id': '200009'}</v>
      </c>
      <c r="I142" s="8">
        <f t="shared" ca="1" si="17"/>
        <v>1</v>
      </c>
      <c r="J142" s="8">
        <f t="shared" ca="1" si="18"/>
        <v>81</v>
      </c>
      <c r="K142" s="8" t="str">
        <f t="shared" ca="1" si="19"/>
        <v>2017-04-24</v>
      </c>
      <c r="L142" s="8" t="str">
        <f t="shared" ca="1" si="20"/>
        <v>2017-05-04</v>
      </c>
    </row>
    <row r="143" spans="1:12" x14ac:dyDescent="0.3">
      <c r="A143" s="8" t="s">
        <v>5668</v>
      </c>
      <c r="B143" s="8">
        <f t="shared" si="14"/>
        <v>600141</v>
      </c>
      <c r="C143" s="1" t="s">
        <v>7039</v>
      </c>
      <c r="D143" s="9" t="str">
        <f>IFERROR(VLOOKUP(VLOOKUP(VLOOKUP(C143,Project.csv!F:Q,12,FALSE),ServiceAreas.csv!B:I,8,FALSE),LocalAreas.csv!B:I,7,FALSE),200029)</f>
        <v>rg:None</v>
      </c>
      <c r="E143" s="8" t="str">
        <f t="shared" si="15"/>
        <v>rg:{'id':'rg:None'}</v>
      </c>
      <c r="F143" s="9" t="s">
        <v>7055</v>
      </c>
      <c r="G143" s="9" t="str">
        <f ca="1">INDEX(DistrictEquipmentTypes.csv!F:F,RANDBETWEEN(2,COUNTA(DistrictEquipmentTypes.csv!D:D)),1)</f>
        <v>200009</v>
      </c>
      <c r="H143" s="8" t="str">
        <f t="shared" ca="1" si="16"/>
        <v>rg:{ 'id': '200009'}</v>
      </c>
      <c r="I143" s="8">
        <f t="shared" ca="1" si="17"/>
        <v>3</v>
      </c>
      <c r="J143" s="8">
        <f t="shared" ca="1" si="18"/>
        <v>78</v>
      </c>
      <c r="K143" s="8" t="str">
        <f t="shared" ca="1" si="19"/>
        <v>2017-04-19</v>
      </c>
      <c r="L143" s="8" t="str">
        <f t="shared" ca="1" si="20"/>
        <v>2017-05-18</v>
      </c>
    </row>
    <row r="144" spans="1:12" x14ac:dyDescent="0.3">
      <c r="A144" s="8" t="s">
        <v>5668</v>
      </c>
      <c r="B144" s="8">
        <f t="shared" si="14"/>
        <v>600142</v>
      </c>
      <c r="C144" s="1" t="s">
        <v>7040</v>
      </c>
      <c r="D144" s="9" t="str">
        <f>IFERROR(VLOOKUP(VLOOKUP(VLOOKUP(C144,Project.csv!F:Q,12,FALSE),ServiceAreas.csv!B:I,8,FALSE),LocalAreas.csv!B:I,7,FALSE),200029)</f>
        <v>rg:None</v>
      </c>
      <c r="E144" s="8" t="str">
        <f t="shared" si="15"/>
        <v>rg:{'id':'rg:None'}</v>
      </c>
      <c r="F144" s="9" t="s">
        <v>7056</v>
      </c>
      <c r="G144" s="9" t="str">
        <f ca="1">INDEX(DistrictEquipmentTypes.csv!F:F,RANDBETWEEN(2,COUNTA(DistrictEquipmentTypes.csv!D:D)),1)</f>
        <v>200004</v>
      </c>
      <c r="H144" s="8" t="str">
        <f t="shared" ca="1" si="16"/>
        <v>rg:{ 'id': '200004'}</v>
      </c>
      <c r="I144" s="8">
        <f t="shared" ca="1" si="17"/>
        <v>2</v>
      </c>
      <c r="J144" s="8">
        <f t="shared" ca="1" si="18"/>
        <v>40</v>
      </c>
      <c r="K144" s="8" t="str">
        <f t="shared" ca="1" si="19"/>
        <v>2017-05-13</v>
      </c>
      <c r="L144" s="8" t="str">
        <f t="shared" ca="1" si="20"/>
        <v>2017-05-23</v>
      </c>
    </row>
    <row r="145" spans="1:12" x14ac:dyDescent="0.3">
      <c r="A145" s="8" t="s">
        <v>5668</v>
      </c>
      <c r="B145" s="8">
        <f t="shared" si="14"/>
        <v>600143</v>
      </c>
      <c r="C145" s="1" t="s">
        <v>7041</v>
      </c>
      <c r="D145" s="9" t="str">
        <f>IFERROR(VLOOKUP(VLOOKUP(VLOOKUP(C145,Project.csv!F:Q,12,FALSE),ServiceAreas.csv!B:I,8,FALSE),LocalAreas.csv!B:I,7,FALSE),200029)</f>
        <v>rg:None</v>
      </c>
      <c r="E145" s="8" t="str">
        <f t="shared" si="15"/>
        <v>rg:{'id':'rg:None'}</v>
      </c>
      <c r="F145" s="9" t="s">
        <v>7056</v>
      </c>
      <c r="G145" s="9" t="str">
        <f ca="1">INDEX(DistrictEquipmentTypes.csv!F:F,RANDBETWEEN(2,COUNTA(DistrictEquipmentTypes.csv!D:D)),1)</f>
        <v>200003</v>
      </c>
      <c r="H145" s="8" t="str">
        <f t="shared" ca="1" si="16"/>
        <v>rg:{ 'id': '200003'}</v>
      </c>
      <c r="I145" s="8">
        <f t="shared" ca="1" si="17"/>
        <v>1</v>
      </c>
      <c r="J145" s="8">
        <f t="shared" ca="1" si="18"/>
        <v>63</v>
      </c>
      <c r="K145" s="8" t="str">
        <f t="shared" ca="1" si="19"/>
        <v>2017-03-31</v>
      </c>
      <c r="L145" s="8" t="str">
        <f t="shared" ca="1" si="20"/>
        <v>2017-04-07</v>
      </c>
    </row>
    <row r="146" spans="1:12" x14ac:dyDescent="0.3">
      <c r="A146" s="8" t="s">
        <v>5668</v>
      </c>
      <c r="B146" s="8">
        <f t="shared" si="14"/>
        <v>600144</v>
      </c>
      <c r="C146" s="1" t="s">
        <v>7042</v>
      </c>
      <c r="D146" s="9" t="str">
        <f>IFERROR(VLOOKUP(VLOOKUP(VLOOKUP(C146,Project.csv!F:Q,12,FALSE),ServiceAreas.csv!B:I,8,FALSE),LocalAreas.csv!B:I,7,FALSE),200029)</f>
        <v>rg:None</v>
      </c>
      <c r="E146" s="8" t="str">
        <f t="shared" si="15"/>
        <v>rg:{'id':'rg:None'}</v>
      </c>
      <c r="F146" s="9" t="s">
        <v>7056</v>
      </c>
      <c r="G146" s="9" t="str">
        <f ca="1">INDEX(DistrictEquipmentTypes.csv!F:F,RANDBETWEEN(2,COUNTA(DistrictEquipmentTypes.csv!D:D)),1)</f>
        <v>200000</v>
      </c>
      <c r="H146" s="8" t="str">
        <f t="shared" ca="1" si="16"/>
        <v>rg:{ 'id': '200000'}</v>
      </c>
      <c r="I146" s="8">
        <f t="shared" ca="1" si="17"/>
        <v>1</v>
      </c>
      <c r="J146" s="8">
        <f t="shared" ca="1" si="18"/>
        <v>77</v>
      </c>
      <c r="K146" s="8" t="str">
        <f t="shared" ca="1" si="19"/>
        <v>2017-04-28</v>
      </c>
      <c r="L146" s="8" t="str">
        <f t="shared" ca="1" si="20"/>
        <v>2017-05-07</v>
      </c>
    </row>
    <row r="147" spans="1:12" x14ac:dyDescent="0.3">
      <c r="A147" s="8" t="s">
        <v>5668</v>
      </c>
      <c r="B147" s="8">
        <f t="shared" si="14"/>
        <v>600145</v>
      </c>
      <c r="C147" s="1" t="s">
        <v>7043</v>
      </c>
      <c r="D147" s="9" t="str">
        <f>IFERROR(VLOOKUP(VLOOKUP(VLOOKUP(C147,Project.csv!F:Q,12,FALSE),ServiceAreas.csv!B:I,8,FALSE),LocalAreas.csv!B:I,7,FALSE),200029)</f>
        <v>rg:None</v>
      </c>
      <c r="E147" s="8" t="str">
        <f t="shared" si="15"/>
        <v>rg:{'id':'rg:None'}</v>
      </c>
      <c r="F147" s="9" t="s">
        <v>7056</v>
      </c>
      <c r="G147" s="9" t="str">
        <f ca="1">INDEX(DistrictEquipmentTypes.csv!F:F,RANDBETWEEN(2,COUNTA(DistrictEquipmentTypes.csv!D:D)),1)</f>
        <v>200000</v>
      </c>
      <c r="H147" s="8" t="str">
        <f t="shared" ca="1" si="16"/>
        <v>rg:{ 'id': '200000'}</v>
      </c>
      <c r="I147" s="8">
        <f t="shared" ca="1" si="17"/>
        <v>1</v>
      </c>
      <c r="J147" s="8">
        <f t="shared" ca="1" si="18"/>
        <v>60</v>
      </c>
      <c r="K147" s="8" t="str">
        <f t="shared" ca="1" si="19"/>
        <v>2017-05-16</v>
      </c>
      <c r="L147" s="8" t="str">
        <f t="shared" ca="1" si="20"/>
        <v>2017-05-23</v>
      </c>
    </row>
    <row r="148" spans="1:12" x14ac:dyDescent="0.3">
      <c r="A148" s="8" t="s">
        <v>5668</v>
      </c>
      <c r="B148" s="8">
        <f t="shared" si="14"/>
        <v>600146</v>
      </c>
      <c r="C148" s="1" t="s">
        <v>7044</v>
      </c>
      <c r="D148" s="9" t="str">
        <f>IFERROR(VLOOKUP(VLOOKUP(VLOOKUP(C148,Project.csv!F:Q,12,FALSE),ServiceAreas.csv!B:I,8,FALSE),LocalAreas.csv!B:I,7,FALSE),200029)</f>
        <v>rg:None</v>
      </c>
      <c r="E148" s="8" t="str">
        <f t="shared" si="15"/>
        <v>rg:{'id':'rg:None'}</v>
      </c>
      <c r="F148" s="9" t="s">
        <v>7055</v>
      </c>
      <c r="G148" s="9" t="str">
        <f ca="1">INDEX(DistrictEquipmentTypes.csv!F:F,RANDBETWEEN(2,COUNTA(DistrictEquipmentTypes.csv!D:D)),1)</f>
        <v>200000</v>
      </c>
      <c r="H148" s="8" t="str">
        <f t="shared" ca="1" si="16"/>
        <v>rg:{ 'id': '200000'}</v>
      </c>
      <c r="I148" s="8">
        <f t="shared" ca="1" si="17"/>
        <v>1</v>
      </c>
      <c r="J148" s="8">
        <f t="shared" ca="1" si="18"/>
        <v>80</v>
      </c>
      <c r="K148" s="8" t="str">
        <f t="shared" ca="1" si="19"/>
        <v>2017-04-07</v>
      </c>
      <c r="L148" s="8" t="str">
        <f t="shared" ca="1" si="20"/>
        <v>2017-04-17</v>
      </c>
    </row>
    <row r="149" spans="1:12" x14ac:dyDescent="0.3">
      <c r="A149" s="8" t="s">
        <v>5668</v>
      </c>
      <c r="B149" s="8">
        <f t="shared" si="14"/>
        <v>600147</v>
      </c>
      <c r="C149" s="1" t="s">
        <v>6915</v>
      </c>
      <c r="D149" s="9" t="str">
        <f>IFERROR(VLOOKUP(VLOOKUP(VLOOKUP(C149,Project.csv!F:Q,12,FALSE),ServiceAreas.csv!B:I,8,FALSE),LocalAreas.csv!B:I,7,FALSE),200029)</f>
        <v>rg:None</v>
      </c>
      <c r="E149" s="8" t="str">
        <f t="shared" si="15"/>
        <v>rg:{'id':'rg:None'}</v>
      </c>
      <c r="F149" s="9" t="s">
        <v>7056</v>
      </c>
      <c r="G149" s="9" t="str">
        <f ca="1">INDEX(DistrictEquipmentTypes.csv!F:F,RANDBETWEEN(2,COUNTA(DistrictEquipmentTypes.csv!D:D)),1)</f>
        <v>200007</v>
      </c>
      <c r="H149" s="8" t="str">
        <f t="shared" ca="1" si="16"/>
        <v>rg:{ 'id': '200007'}</v>
      </c>
      <c r="I149" s="8">
        <f t="shared" ca="1" si="17"/>
        <v>1</v>
      </c>
      <c r="J149" s="8">
        <f t="shared" ca="1" si="18"/>
        <v>34</v>
      </c>
      <c r="K149" s="8" t="str">
        <f t="shared" ca="1" si="19"/>
        <v>2017-05-06</v>
      </c>
      <c r="L149" s="8" t="str">
        <f t="shared" ca="1" si="20"/>
        <v>2017-05-10</v>
      </c>
    </row>
    <row r="150" spans="1:12" x14ac:dyDescent="0.3">
      <c r="A150" s="8" t="s">
        <v>5668</v>
      </c>
      <c r="B150" s="8">
        <f t="shared" si="14"/>
        <v>600148</v>
      </c>
      <c r="C150" s="1" t="s">
        <v>7045</v>
      </c>
      <c r="D150" s="9" t="str">
        <f>IFERROR(VLOOKUP(VLOOKUP(VLOOKUP(C150,Project.csv!F:Q,12,FALSE),ServiceAreas.csv!B:I,8,FALSE),LocalAreas.csv!B:I,7,FALSE),200029)</f>
        <v>rg:None</v>
      </c>
      <c r="E150" s="8" t="str">
        <f t="shared" si="15"/>
        <v>rg:{'id':'rg:None'}</v>
      </c>
      <c r="F150" s="9" t="s">
        <v>7056</v>
      </c>
      <c r="G150" s="9" t="str">
        <f ca="1">INDEX(DistrictEquipmentTypes.csv!F:F,RANDBETWEEN(2,COUNTA(DistrictEquipmentTypes.csv!D:D)),1)</f>
        <v>200000</v>
      </c>
      <c r="H150" s="8" t="str">
        <f t="shared" ca="1" si="16"/>
        <v>rg:{ 'id': '200000'}</v>
      </c>
      <c r="I150" s="8">
        <f t="shared" ca="1" si="17"/>
        <v>1</v>
      </c>
      <c r="J150" s="8">
        <f t="shared" ca="1" si="18"/>
        <v>16</v>
      </c>
      <c r="K150" s="8" t="str">
        <f t="shared" ca="1" si="19"/>
        <v>2017-05-17</v>
      </c>
      <c r="L150" s="8" t="str">
        <f t="shared" ca="1" si="20"/>
        <v>2017-05-19</v>
      </c>
    </row>
    <row r="151" spans="1:12" x14ac:dyDescent="0.3">
      <c r="A151" s="8" t="s">
        <v>5668</v>
      </c>
      <c r="B151" s="8">
        <f t="shared" si="14"/>
        <v>600149</v>
      </c>
      <c r="C151" s="1" t="s">
        <v>6900</v>
      </c>
      <c r="D151" s="9" t="str">
        <f>IFERROR(VLOOKUP(VLOOKUP(VLOOKUP(C151,Project.csv!F:Q,12,FALSE),ServiceAreas.csv!B:I,8,FALSE),LocalAreas.csv!B:I,7,FALSE),200029)</f>
        <v>rg:None</v>
      </c>
      <c r="E151" s="8" t="str">
        <f t="shared" si="15"/>
        <v>rg:{'id':'rg:None'}</v>
      </c>
      <c r="F151" s="9" t="s">
        <v>7055</v>
      </c>
      <c r="G151" s="9" t="str">
        <f ca="1">INDEX(DistrictEquipmentTypes.csv!F:F,RANDBETWEEN(2,COUNTA(DistrictEquipmentTypes.csv!D:D)),1)</f>
        <v>200003</v>
      </c>
      <c r="H151" s="8" t="str">
        <f t="shared" ca="1" si="16"/>
        <v>rg:{ 'id': '200003'}</v>
      </c>
      <c r="I151" s="8">
        <f t="shared" ca="1" si="17"/>
        <v>1</v>
      </c>
      <c r="J151" s="8">
        <f t="shared" ca="1" si="18"/>
        <v>44</v>
      </c>
      <c r="K151" s="8" t="str">
        <f t="shared" ca="1" si="19"/>
        <v>2017-05-16</v>
      </c>
      <c r="L151" s="8" t="str">
        <f t="shared" ca="1" si="20"/>
        <v>2017-05-21</v>
      </c>
    </row>
    <row r="152" spans="1:12" x14ac:dyDescent="0.3">
      <c r="A152" s="8" t="s">
        <v>5668</v>
      </c>
      <c r="B152" s="8">
        <f t="shared" si="14"/>
        <v>600150</v>
      </c>
      <c r="C152" s="1" t="s">
        <v>6918</v>
      </c>
      <c r="D152" s="9" t="str">
        <f>IFERROR(VLOOKUP(VLOOKUP(VLOOKUP(C152,Project.csv!F:Q,12,FALSE),ServiceAreas.csv!B:I,8,FALSE),LocalAreas.csv!B:I,7,FALSE),200029)</f>
        <v>rg:None</v>
      </c>
      <c r="E152" s="8" t="str">
        <f t="shared" si="15"/>
        <v>rg:{'id':'rg:None'}</v>
      </c>
      <c r="F152" s="9" t="s">
        <v>7055</v>
      </c>
      <c r="G152" s="9" t="str">
        <f ca="1">INDEX(DistrictEquipmentTypes.csv!F:F,RANDBETWEEN(2,COUNTA(DistrictEquipmentTypes.csv!D:D)),1)</f>
        <v>200006</v>
      </c>
      <c r="H152" s="8" t="str">
        <f t="shared" ca="1" si="16"/>
        <v>rg:{ 'id': '200006'}</v>
      </c>
      <c r="I152" s="8">
        <f t="shared" ca="1" si="17"/>
        <v>2</v>
      </c>
      <c r="J152" s="8">
        <f t="shared" ca="1" si="18"/>
        <v>93</v>
      </c>
      <c r="K152" s="8" t="str">
        <f t="shared" ca="1" si="19"/>
        <v>2017-04-11</v>
      </c>
      <c r="L152" s="8" t="str">
        <f t="shared" ca="1" si="20"/>
        <v>2017-05-04</v>
      </c>
    </row>
    <row r="153" spans="1:12" x14ac:dyDescent="0.3">
      <c r="A153" s="8" t="s">
        <v>5668</v>
      </c>
      <c r="B153" s="8">
        <f t="shared" si="14"/>
        <v>600151</v>
      </c>
      <c r="C153" s="1" t="s">
        <v>7046</v>
      </c>
      <c r="D153" s="9" t="str">
        <f>IFERROR(VLOOKUP(VLOOKUP(VLOOKUP(C153,Project.csv!F:Q,12,FALSE),ServiceAreas.csv!B:I,8,FALSE),LocalAreas.csv!B:I,7,FALSE),200029)</f>
        <v>rg:None</v>
      </c>
      <c r="E153" s="8" t="str">
        <f t="shared" si="15"/>
        <v>rg:{'id':'rg:None'}</v>
      </c>
      <c r="F153" s="9" t="s">
        <v>7055</v>
      </c>
      <c r="G153" s="9" t="str">
        <f ca="1">INDEX(DistrictEquipmentTypes.csv!F:F,RANDBETWEEN(2,COUNTA(DistrictEquipmentTypes.csv!D:D)),1)</f>
        <v>200004</v>
      </c>
      <c r="H153" s="8" t="str">
        <f t="shared" ca="1" si="16"/>
        <v>rg:{ 'id': '200004'}</v>
      </c>
      <c r="I153" s="8">
        <f t="shared" ca="1" si="17"/>
        <v>1</v>
      </c>
      <c r="J153" s="8">
        <f t="shared" ca="1" si="18"/>
        <v>54</v>
      </c>
      <c r="K153" s="8" t="str">
        <f t="shared" ca="1" si="19"/>
        <v>2017-04-26</v>
      </c>
      <c r="L153" s="8" t="str">
        <f t="shared" ca="1" si="20"/>
        <v>2017-05-02</v>
      </c>
    </row>
    <row r="154" spans="1:12" x14ac:dyDescent="0.3">
      <c r="A154" s="8" t="s">
        <v>5668</v>
      </c>
      <c r="B154" s="8">
        <f t="shared" si="14"/>
        <v>600152</v>
      </c>
      <c r="C154" s="1" t="s">
        <v>7047</v>
      </c>
      <c r="D154" s="9" t="str">
        <f>IFERROR(VLOOKUP(VLOOKUP(VLOOKUP(C154,Project.csv!F:Q,12,FALSE),ServiceAreas.csv!B:I,8,FALSE),LocalAreas.csv!B:I,7,FALSE),200029)</f>
        <v>rg:None</v>
      </c>
      <c r="E154" s="8" t="str">
        <f t="shared" si="15"/>
        <v>rg:{'id':'rg:None'}</v>
      </c>
      <c r="F154" s="9" t="s">
        <v>7055</v>
      </c>
      <c r="G154" s="9" t="str">
        <f ca="1">INDEX(DistrictEquipmentTypes.csv!F:F,RANDBETWEEN(2,COUNTA(DistrictEquipmentTypes.csv!D:D)),1)</f>
        <v>200009</v>
      </c>
      <c r="H154" s="8" t="str">
        <f t="shared" ca="1" si="16"/>
        <v>rg:{ 'id': '200009'}</v>
      </c>
      <c r="I154" s="8">
        <f t="shared" ca="1" si="17"/>
        <v>1</v>
      </c>
      <c r="J154" s="8">
        <f t="shared" ca="1" si="18"/>
        <v>57</v>
      </c>
      <c r="K154" s="8" t="str">
        <f t="shared" ca="1" si="19"/>
        <v>2017-04-22</v>
      </c>
      <c r="L154" s="8" t="str">
        <f t="shared" ca="1" si="20"/>
        <v>2017-04-29</v>
      </c>
    </row>
    <row r="155" spans="1:12" x14ac:dyDescent="0.3">
      <c r="A155" s="8" t="s">
        <v>5668</v>
      </c>
      <c r="B155" s="8">
        <f t="shared" si="14"/>
        <v>600153</v>
      </c>
      <c r="C155" s="1" t="s">
        <v>7048</v>
      </c>
      <c r="D155" s="9" t="str">
        <f>IFERROR(VLOOKUP(VLOOKUP(VLOOKUP(C155,Project.csv!F:Q,12,FALSE),ServiceAreas.csv!B:I,8,FALSE),LocalAreas.csv!B:I,7,FALSE),200029)</f>
        <v>rg:None</v>
      </c>
      <c r="E155" s="8" t="str">
        <f t="shared" si="15"/>
        <v>rg:{'id':'rg:None'}</v>
      </c>
      <c r="F155" s="9" t="s">
        <v>7055</v>
      </c>
      <c r="G155" s="9" t="str">
        <f ca="1">INDEX(DistrictEquipmentTypes.csv!F:F,RANDBETWEEN(2,COUNTA(DistrictEquipmentTypes.csv!D:D)),1)</f>
        <v>200006</v>
      </c>
      <c r="H155" s="8" t="str">
        <f t="shared" ca="1" si="16"/>
        <v>rg:{ 'id': '200006'}</v>
      </c>
      <c r="I155" s="8">
        <f t="shared" ca="1" si="17"/>
        <v>3</v>
      </c>
      <c r="J155" s="8">
        <f t="shared" ca="1" si="18"/>
        <v>50</v>
      </c>
      <c r="K155" s="8" t="str">
        <f t="shared" ca="1" si="19"/>
        <v>2017-04-08</v>
      </c>
      <c r="L155" s="8" t="str">
        <f t="shared" ca="1" si="20"/>
        <v>2017-04-26</v>
      </c>
    </row>
    <row r="156" spans="1:12" x14ac:dyDescent="0.3">
      <c r="A156" s="8" t="s">
        <v>5668</v>
      </c>
      <c r="B156" s="8">
        <f t="shared" si="14"/>
        <v>600154</v>
      </c>
      <c r="C156" s="1" t="s">
        <v>7049</v>
      </c>
      <c r="D156" s="9">
        <f>IFERROR(VLOOKUP(VLOOKUP(VLOOKUP(C156,Project.csv!F:Q,12,FALSE),ServiceAreas.csv!B:I,8,FALSE),LocalAreas.csv!B:I,7,FALSE),200029)</f>
        <v>200029</v>
      </c>
      <c r="E156" s="8" t="str">
        <f t="shared" si="15"/>
        <v>rg:{'id':'200029'}</v>
      </c>
      <c r="F156" s="9" t="s">
        <v>7055</v>
      </c>
      <c r="G156" s="9" t="str">
        <f ca="1">INDEX(DistrictEquipmentTypes.csv!F:F,RANDBETWEEN(2,COUNTA(DistrictEquipmentTypes.csv!D:D)),1)</f>
        <v>200009</v>
      </c>
      <c r="H156" s="8" t="str">
        <f t="shared" ca="1" si="16"/>
        <v>rg:{ 'id': '200009'}</v>
      </c>
      <c r="I156" s="8">
        <f t="shared" ca="1" si="17"/>
        <v>1</v>
      </c>
      <c r="J156" s="8">
        <f t="shared" ca="1" si="18"/>
        <v>23</v>
      </c>
      <c r="K156" s="8" t="str">
        <f t="shared" ca="1" si="19"/>
        <v>2017-04-30</v>
      </c>
      <c r="L156" s="8" t="str">
        <f t="shared" ca="1" si="20"/>
        <v>2017-05-02</v>
      </c>
    </row>
    <row r="157" spans="1:12" x14ac:dyDescent="0.3">
      <c r="A157" s="8" t="s">
        <v>5668</v>
      </c>
      <c r="B157" s="8">
        <f t="shared" si="14"/>
        <v>600155</v>
      </c>
      <c r="C157" s="1" t="s">
        <v>7050</v>
      </c>
      <c r="D157" s="9">
        <f>IFERROR(VLOOKUP(VLOOKUP(VLOOKUP(C157,Project.csv!F:Q,12,FALSE),ServiceAreas.csv!B:I,8,FALSE),LocalAreas.csv!B:I,7,FALSE),200029)</f>
        <v>200029</v>
      </c>
      <c r="E157" s="8" t="str">
        <f t="shared" si="15"/>
        <v>rg:{'id':'200029'}</v>
      </c>
      <c r="F157" s="9" t="s">
        <v>7055</v>
      </c>
      <c r="G157" s="9" t="str">
        <f ca="1">INDEX(DistrictEquipmentTypes.csv!F:F,RANDBETWEEN(2,COUNTA(DistrictEquipmentTypes.csv!D:D)),1)</f>
        <v>200001</v>
      </c>
      <c r="H157" s="8" t="str">
        <f t="shared" ca="1" si="16"/>
        <v>rg:{ 'id': '200001'}</v>
      </c>
      <c r="I157" s="8">
        <f t="shared" ca="1" si="17"/>
        <v>1</v>
      </c>
      <c r="J157" s="8">
        <f t="shared" ca="1" si="18"/>
        <v>75</v>
      </c>
      <c r="K157" s="8" t="str">
        <f t="shared" ca="1" si="19"/>
        <v>2017-04-21</v>
      </c>
      <c r="L157" s="8" t="str">
        <f t="shared" ca="1" si="20"/>
        <v>2017-04-30</v>
      </c>
    </row>
    <row r="158" spans="1:12" x14ac:dyDescent="0.3">
      <c r="A158" s="8" t="s">
        <v>5668</v>
      </c>
      <c r="B158" s="8">
        <f t="shared" si="14"/>
        <v>600156</v>
      </c>
      <c r="C158" s="1" t="s">
        <v>7051</v>
      </c>
      <c r="D158" s="9">
        <f>IFERROR(VLOOKUP(VLOOKUP(VLOOKUP(C158,Project.csv!F:Q,12,FALSE),ServiceAreas.csv!B:I,8,FALSE),LocalAreas.csv!B:I,7,FALSE),200029)</f>
        <v>200029</v>
      </c>
      <c r="E158" s="8" t="str">
        <f t="shared" si="15"/>
        <v>rg:{'id':'200029'}</v>
      </c>
      <c r="F158" s="9" t="s">
        <v>7055</v>
      </c>
      <c r="G158" s="9" t="str">
        <f ca="1">INDEX(DistrictEquipmentTypes.csv!F:F,RANDBETWEEN(2,COUNTA(DistrictEquipmentTypes.csv!D:D)),1)</f>
        <v>200004</v>
      </c>
      <c r="H158" s="8" t="str">
        <f t="shared" ca="1" si="16"/>
        <v>rg:{ 'id': '200004'}</v>
      </c>
      <c r="I158" s="8">
        <f t="shared" ca="1" si="17"/>
        <v>1</v>
      </c>
      <c r="J158" s="8">
        <f t="shared" ca="1" si="18"/>
        <v>64</v>
      </c>
      <c r="K158" s="8" t="str">
        <f t="shared" ca="1" si="19"/>
        <v>2017-04-27</v>
      </c>
      <c r="L158" s="8" t="str">
        <f t="shared" ca="1" si="20"/>
        <v>2017-05-05</v>
      </c>
    </row>
    <row r="159" spans="1:12" x14ac:dyDescent="0.3">
      <c r="A159" s="8" t="s">
        <v>5668</v>
      </c>
      <c r="B159" s="8">
        <f t="shared" si="14"/>
        <v>600157</v>
      </c>
      <c r="C159" s="1" t="s">
        <v>7052</v>
      </c>
      <c r="D159" s="9">
        <f>IFERROR(VLOOKUP(VLOOKUP(VLOOKUP(C159,Project.csv!F:Q,12,FALSE),ServiceAreas.csv!B:I,8,FALSE),LocalAreas.csv!B:I,7,FALSE),200029)</f>
        <v>200029</v>
      </c>
      <c r="E159" s="8" t="str">
        <f t="shared" si="15"/>
        <v>rg:{'id':'200029'}</v>
      </c>
      <c r="F159" s="9" t="s">
        <v>7056</v>
      </c>
      <c r="G159" s="9" t="str">
        <f ca="1">INDEX(DistrictEquipmentTypes.csv!F:F,RANDBETWEEN(2,COUNTA(DistrictEquipmentTypes.csv!D:D)),1)</f>
        <v>200003</v>
      </c>
      <c r="H159" s="8" t="str">
        <f t="shared" ca="1" si="16"/>
        <v>rg:{ 'id': '200003'}</v>
      </c>
      <c r="I159" s="8">
        <f t="shared" ca="1" si="17"/>
        <v>1</v>
      </c>
      <c r="J159" s="8">
        <f t="shared" ca="1" si="18"/>
        <v>97</v>
      </c>
      <c r="K159" s="8" t="str">
        <f t="shared" ca="1" si="19"/>
        <v>2017-04-09</v>
      </c>
      <c r="L159" s="8" t="str">
        <f t="shared" ca="1" si="20"/>
        <v>2017-04-21</v>
      </c>
    </row>
    <row r="160" spans="1:12" x14ac:dyDescent="0.3">
      <c r="A160" s="8" t="s">
        <v>5668</v>
      </c>
      <c r="B160" s="8">
        <f t="shared" si="14"/>
        <v>600158</v>
      </c>
      <c r="C160" s="1" t="s">
        <v>7053</v>
      </c>
      <c r="D160" s="9">
        <f>IFERROR(VLOOKUP(VLOOKUP(VLOOKUP(C160,Project.csv!F:Q,12,FALSE),ServiceAreas.csv!B:I,8,FALSE),LocalAreas.csv!B:I,7,FALSE),200029)</f>
        <v>200029</v>
      </c>
      <c r="E160" s="8" t="str">
        <f t="shared" si="15"/>
        <v>rg:{'id':'200029'}</v>
      </c>
      <c r="F160" s="9" t="s">
        <v>7055</v>
      </c>
      <c r="G160" s="9" t="str">
        <f ca="1">INDEX(DistrictEquipmentTypes.csv!F:F,RANDBETWEEN(2,COUNTA(DistrictEquipmentTypes.csv!D:D)),1)</f>
        <v>200002</v>
      </c>
      <c r="H160" s="8" t="str">
        <f t="shared" ca="1" si="16"/>
        <v>rg:{ 'id': '200002'}</v>
      </c>
      <c r="I160" s="8">
        <f t="shared" ca="1" si="17"/>
        <v>1</v>
      </c>
      <c r="J160" s="8">
        <f t="shared" ca="1" si="18"/>
        <v>88</v>
      </c>
      <c r="K160" s="8" t="str">
        <f t="shared" ca="1" si="19"/>
        <v>2017-05-05</v>
      </c>
      <c r="L160" s="8" t="str">
        <f t="shared" ca="1" si="20"/>
        <v>2017-05-16</v>
      </c>
    </row>
    <row r="161" spans="1:12" x14ac:dyDescent="0.3">
      <c r="A161" s="8" t="s">
        <v>5668</v>
      </c>
      <c r="B161" s="8">
        <f t="shared" si="14"/>
        <v>600159</v>
      </c>
      <c r="C161" s="1" t="s">
        <v>6928</v>
      </c>
      <c r="D161" s="9">
        <f>IFERROR(VLOOKUP(VLOOKUP(VLOOKUP(C161,Project.csv!F:Q,12,FALSE),ServiceAreas.csv!B:I,8,FALSE),LocalAreas.csv!B:I,7,FALSE),200029)</f>
        <v>200029</v>
      </c>
      <c r="E161" s="8" t="str">
        <f t="shared" si="15"/>
        <v>rg:{'id':'200029'}</v>
      </c>
      <c r="F161" s="9" t="s">
        <v>7055</v>
      </c>
      <c r="G161" s="9" t="str">
        <f ca="1">INDEX(DistrictEquipmentTypes.csv!F:F,RANDBETWEEN(2,COUNTA(DistrictEquipmentTypes.csv!D:D)),1)</f>
        <v>200000</v>
      </c>
      <c r="H161" s="8" t="str">
        <f t="shared" ca="1" si="16"/>
        <v>rg:{ 'id': '200000'}</v>
      </c>
      <c r="I161" s="8">
        <f t="shared" ca="1" si="17"/>
        <v>1</v>
      </c>
      <c r="J161" s="8">
        <f t="shared" ca="1" si="18"/>
        <v>8</v>
      </c>
      <c r="K161" s="8" t="str">
        <f t="shared" ca="1" si="19"/>
        <v>2017-04-14</v>
      </c>
      <c r="L161" s="8" t="str">
        <f t="shared" ca="1" si="20"/>
        <v>2017-04-15</v>
      </c>
    </row>
    <row r="162" spans="1:12" x14ac:dyDescent="0.3">
      <c r="A162" s="8" t="s">
        <v>5668</v>
      </c>
      <c r="B162" s="8">
        <f t="shared" si="14"/>
        <v>600160</v>
      </c>
      <c r="C162" s="1" t="s">
        <v>7054</v>
      </c>
      <c r="D162" s="9">
        <f>IFERROR(VLOOKUP(VLOOKUP(VLOOKUP(C162,Project.csv!F:Q,12,FALSE),ServiceAreas.csv!B:I,8,FALSE),LocalAreas.csv!B:I,7,FALSE),200029)</f>
        <v>200029</v>
      </c>
      <c r="E162" s="8" t="str">
        <f t="shared" si="15"/>
        <v>rg:{'id':'200029'}</v>
      </c>
      <c r="F162" s="9" t="s">
        <v>7055</v>
      </c>
      <c r="G162" s="9" t="str">
        <f ca="1">INDEX(DistrictEquipmentTypes.csv!F:F,RANDBETWEEN(2,COUNTA(DistrictEquipmentTypes.csv!D:D)),1)</f>
        <v>200007</v>
      </c>
      <c r="H162" s="8" t="str">
        <f t="shared" ca="1" si="16"/>
        <v>rg:{ 'id': '200007'}</v>
      </c>
      <c r="I162" s="8">
        <f t="shared" ca="1" si="17"/>
        <v>1</v>
      </c>
      <c r="J162" s="8">
        <f t="shared" ca="1" si="18"/>
        <v>22</v>
      </c>
      <c r="K162" s="8" t="str">
        <f t="shared" ca="1" si="19"/>
        <v>2017-04-09</v>
      </c>
      <c r="L162" s="8" t="str">
        <f t="shared" ca="1" si="20"/>
        <v>2017-04-11</v>
      </c>
    </row>
    <row r="163" spans="1:12" x14ac:dyDescent="0.3">
      <c r="A163" s="8" t="s">
        <v>5668</v>
      </c>
      <c r="B163" s="8">
        <f t="shared" si="14"/>
        <v>600161</v>
      </c>
      <c r="C163" s="1" t="s">
        <v>6892</v>
      </c>
      <c r="D163" s="9">
        <f>IFERROR(VLOOKUP(VLOOKUP(VLOOKUP(C163,Project.csv!F:Q,12,FALSE),ServiceAreas.csv!B:I,8,FALSE),LocalAreas.csv!B:I,7,FALSE),200029)</f>
        <v>200029</v>
      </c>
      <c r="E163" s="8" t="str">
        <f t="shared" si="15"/>
        <v>rg:{'id':'200029'}</v>
      </c>
      <c r="F163" s="9" t="s">
        <v>7056</v>
      </c>
      <c r="G163" s="9" t="str">
        <f ca="1">INDEX(DistrictEquipmentTypes.csv!F:F,RANDBETWEEN(2,COUNTA(DistrictEquipmentTypes.csv!D:D)),1)</f>
        <v>200000</v>
      </c>
      <c r="H163" s="8" t="str">
        <f t="shared" ca="1" si="16"/>
        <v>rg:{ 'id': '200000'}</v>
      </c>
      <c r="I163" s="8">
        <f t="shared" ca="1" si="17"/>
        <v>1</v>
      </c>
      <c r="J163" s="8">
        <f t="shared" ca="1" si="18"/>
        <v>37</v>
      </c>
      <c r="K163" s="8" t="str">
        <f t="shared" ca="1" si="19"/>
        <v>2017-04-22</v>
      </c>
      <c r="L163" s="8" t="str">
        <f t="shared" ca="1" si="20"/>
        <v>2017-04-26</v>
      </c>
    </row>
    <row r="164" spans="1:12" x14ac:dyDescent="0.3">
      <c r="A164" s="8" t="s">
        <v>5668</v>
      </c>
      <c r="B164" s="8">
        <f t="shared" si="14"/>
        <v>600162</v>
      </c>
      <c r="C164" s="1" t="s">
        <v>6937</v>
      </c>
      <c r="D164" s="9" t="str">
        <f>IFERROR(VLOOKUP(VLOOKUP(VLOOKUP(C164,Project.csv!F:Q,12,FALSE),ServiceAreas.csv!B:I,8,FALSE),LocalAreas.csv!B:I,7,FALSE),200029)</f>
        <v>rg:None</v>
      </c>
      <c r="E164" s="8" t="str">
        <f t="shared" si="15"/>
        <v>rg:{'id':'rg:None'}</v>
      </c>
      <c r="F164" s="9" t="s">
        <v>7055</v>
      </c>
      <c r="G164" s="9" t="str">
        <f ca="1">INDEX(DistrictEquipmentTypes.csv!F:F,RANDBETWEEN(2,COUNTA(DistrictEquipmentTypes.csv!D:D)),1)</f>
        <v>200001</v>
      </c>
      <c r="H164" s="8" t="str">
        <f t="shared" ca="1" si="16"/>
        <v>rg:{ 'id': '200001'}</v>
      </c>
      <c r="I164" s="8">
        <f t="shared" ca="1" si="17"/>
        <v>1</v>
      </c>
      <c r="J164" s="8">
        <f t="shared" ca="1" si="18"/>
        <v>11</v>
      </c>
      <c r="K164" s="8" t="str">
        <f t="shared" ca="1" si="19"/>
        <v>2017-05-02</v>
      </c>
      <c r="L164" s="8" t="str">
        <f t="shared" ca="1" si="20"/>
        <v>2017-05-03</v>
      </c>
    </row>
    <row r="165" spans="1:12" x14ac:dyDescent="0.3">
      <c r="A165" s="8" t="s">
        <v>5668</v>
      </c>
      <c r="B165" s="8">
        <f t="shared" si="14"/>
        <v>600163</v>
      </c>
      <c r="C165" s="1" t="s">
        <v>6932</v>
      </c>
      <c r="D165" s="9" t="str">
        <f>IFERROR(VLOOKUP(VLOOKUP(VLOOKUP(C165,Project.csv!F:Q,12,FALSE),ServiceAreas.csv!B:I,8,FALSE),LocalAreas.csv!B:I,7,FALSE),200029)</f>
        <v>rg:None</v>
      </c>
      <c r="E165" s="8" t="str">
        <f t="shared" si="15"/>
        <v>rg:{'id':'rg:None'}</v>
      </c>
      <c r="F165" s="9" t="s">
        <v>7055</v>
      </c>
      <c r="G165" s="9" t="str">
        <f ca="1">INDEX(DistrictEquipmentTypes.csv!F:F,RANDBETWEEN(2,COUNTA(DistrictEquipmentTypes.csv!D:D)),1)</f>
        <v>200004</v>
      </c>
      <c r="H165" s="8" t="str">
        <f t="shared" ca="1" si="16"/>
        <v>rg:{ 'id': '200004'}</v>
      </c>
      <c r="I165" s="8">
        <f t="shared" ca="1" si="17"/>
        <v>4</v>
      </c>
      <c r="J165" s="8">
        <f t="shared" ca="1" si="18"/>
        <v>41</v>
      </c>
      <c r="K165" s="8" t="str">
        <f t="shared" ca="1" si="19"/>
        <v>2017-04-04</v>
      </c>
      <c r="L165" s="8" t="str">
        <f t="shared" ca="1" si="20"/>
        <v>2017-04-24</v>
      </c>
    </row>
    <row r="166" spans="1:12" x14ac:dyDescent="0.3">
      <c r="A166" s="8" t="s">
        <v>5668</v>
      </c>
      <c r="B166" s="8">
        <f t="shared" si="14"/>
        <v>600164</v>
      </c>
      <c r="C166" s="1" t="s">
        <v>6938</v>
      </c>
      <c r="D166" s="9" t="str">
        <f>IFERROR(VLOOKUP(VLOOKUP(VLOOKUP(C166,Project.csv!F:Q,12,FALSE),ServiceAreas.csv!B:I,8,FALSE),LocalAreas.csv!B:I,7,FALSE),200029)</f>
        <v>rg:None</v>
      </c>
      <c r="E166" s="8" t="str">
        <f t="shared" si="15"/>
        <v>rg:{'id':'rg:None'}</v>
      </c>
      <c r="F166" s="9" t="s">
        <v>7056</v>
      </c>
      <c r="G166" s="9" t="str">
        <f ca="1">INDEX(DistrictEquipmentTypes.csv!F:F,RANDBETWEEN(2,COUNTA(DistrictEquipmentTypes.csv!D:D)),1)</f>
        <v>200001</v>
      </c>
      <c r="H166" s="8" t="str">
        <f t="shared" ca="1" si="16"/>
        <v>rg:{ 'id': '200001'}</v>
      </c>
      <c r="I166" s="8">
        <f t="shared" ca="1" si="17"/>
        <v>5</v>
      </c>
      <c r="J166" s="8">
        <f t="shared" ca="1" si="18"/>
        <v>12</v>
      </c>
      <c r="K166" s="8" t="str">
        <f t="shared" ca="1" si="19"/>
        <v>2017-04-30</v>
      </c>
      <c r="L166" s="8" t="str">
        <f t="shared" ca="1" si="20"/>
        <v>2017-05-07</v>
      </c>
    </row>
    <row r="167" spans="1:12" x14ac:dyDescent="0.3">
      <c r="A167" s="8" t="s">
        <v>5668</v>
      </c>
      <c r="B167" s="8">
        <f t="shared" si="14"/>
        <v>600165</v>
      </c>
      <c r="C167" s="1" t="s">
        <v>6939</v>
      </c>
      <c r="D167" s="9" t="str">
        <f>IFERROR(VLOOKUP(VLOOKUP(VLOOKUP(C167,Project.csv!F:Q,12,FALSE),ServiceAreas.csv!B:I,8,FALSE),LocalAreas.csv!B:I,7,FALSE),200029)</f>
        <v>rg:None</v>
      </c>
      <c r="E167" s="8" t="str">
        <f t="shared" si="15"/>
        <v>rg:{'id':'rg:None'}</v>
      </c>
      <c r="F167" s="9" t="s">
        <v>7055</v>
      </c>
      <c r="G167" s="9" t="str">
        <f ca="1">INDEX(DistrictEquipmentTypes.csv!F:F,RANDBETWEEN(2,COUNTA(DistrictEquipmentTypes.csv!D:D)),1)</f>
        <v>200009</v>
      </c>
      <c r="H167" s="8" t="str">
        <f t="shared" ca="1" si="16"/>
        <v>rg:{ 'id': '200009'}</v>
      </c>
      <c r="I167" s="8">
        <f t="shared" ca="1" si="17"/>
        <v>1</v>
      </c>
      <c r="J167" s="8">
        <f t="shared" ca="1" si="18"/>
        <v>36</v>
      </c>
      <c r="K167" s="8" t="str">
        <f t="shared" ca="1" si="19"/>
        <v>2017-03-30</v>
      </c>
      <c r="L167" s="8" t="str">
        <f t="shared" ca="1" si="20"/>
        <v>2017-04-03</v>
      </c>
    </row>
    <row r="168" spans="1:12" x14ac:dyDescent="0.3">
      <c r="A168" s="8" t="s">
        <v>5668</v>
      </c>
      <c r="B168" s="8">
        <f t="shared" si="14"/>
        <v>600166</v>
      </c>
      <c r="C168" s="1" t="s">
        <v>6940</v>
      </c>
      <c r="D168" s="9" t="str">
        <f>IFERROR(VLOOKUP(VLOOKUP(VLOOKUP(C168,Project.csv!F:Q,12,FALSE),ServiceAreas.csv!B:I,8,FALSE),LocalAreas.csv!B:I,7,FALSE),200029)</f>
        <v>rg:None</v>
      </c>
      <c r="E168" s="8" t="str">
        <f t="shared" si="15"/>
        <v>rg:{'id':'rg:None'}</v>
      </c>
      <c r="F168" s="9" t="s">
        <v>7055</v>
      </c>
      <c r="G168" s="9" t="str">
        <f ca="1">INDEX(DistrictEquipmentTypes.csv!F:F,RANDBETWEEN(2,COUNTA(DistrictEquipmentTypes.csv!D:D)),1)</f>
        <v>200009</v>
      </c>
      <c r="H168" s="8" t="str">
        <f t="shared" ca="1" si="16"/>
        <v>rg:{ 'id': '200009'}</v>
      </c>
      <c r="I168" s="8">
        <f t="shared" ca="1" si="17"/>
        <v>1</v>
      </c>
      <c r="J168" s="8">
        <f t="shared" ca="1" si="18"/>
        <v>47</v>
      </c>
      <c r="K168" s="8" t="str">
        <f t="shared" ca="1" si="19"/>
        <v>2017-04-19</v>
      </c>
      <c r="L168" s="8" t="str">
        <f t="shared" ca="1" si="20"/>
        <v>2017-04-24</v>
      </c>
    </row>
    <row r="169" spans="1:12" x14ac:dyDescent="0.3">
      <c r="A169" s="8" t="s">
        <v>5668</v>
      </c>
      <c r="B169" s="8">
        <f t="shared" si="14"/>
        <v>600167</v>
      </c>
      <c r="C169" s="1" t="s">
        <v>6941</v>
      </c>
      <c r="D169" s="9" t="str">
        <f>IFERROR(VLOOKUP(VLOOKUP(VLOOKUP(C169,Project.csv!F:Q,12,FALSE),ServiceAreas.csv!B:I,8,FALSE),LocalAreas.csv!B:I,7,FALSE),200029)</f>
        <v>rg:None</v>
      </c>
      <c r="E169" s="8" t="str">
        <f t="shared" si="15"/>
        <v>rg:{'id':'rg:None'}</v>
      </c>
      <c r="F169" s="9" t="s">
        <v>7055</v>
      </c>
      <c r="G169" s="9" t="str">
        <f ca="1">INDEX(DistrictEquipmentTypes.csv!F:F,RANDBETWEEN(2,COUNTA(DistrictEquipmentTypes.csv!D:D)),1)</f>
        <v>200001</v>
      </c>
      <c r="H169" s="8" t="str">
        <f t="shared" ca="1" si="16"/>
        <v>rg:{ 'id': '200001'}</v>
      </c>
      <c r="I169" s="8">
        <f t="shared" ca="1" si="17"/>
        <v>1</v>
      </c>
      <c r="J169" s="8">
        <f t="shared" ca="1" si="18"/>
        <v>57</v>
      </c>
      <c r="K169" s="8" t="str">
        <f t="shared" ca="1" si="19"/>
        <v>2017-05-12</v>
      </c>
      <c r="L169" s="8" t="str">
        <f t="shared" ca="1" si="20"/>
        <v>2017-05-19</v>
      </c>
    </row>
    <row r="170" spans="1:12" x14ac:dyDescent="0.3">
      <c r="A170" s="8" t="s">
        <v>5668</v>
      </c>
      <c r="B170" s="8">
        <f t="shared" si="14"/>
        <v>600168</v>
      </c>
      <c r="C170" s="1" t="s">
        <v>6942</v>
      </c>
      <c r="D170" s="9" t="str">
        <f>IFERROR(VLOOKUP(VLOOKUP(VLOOKUP(C170,Project.csv!F:Q,12,FALSE),ServiceAreas.csv!B:I,8,FALSE),LocalAreas.csv!B:I,7,FALSE),200029)</f>
        <v>rg:None</v>
      </c>
      <c r="E170" s="8" t="str">
        <f t="shared" si="15"/>
        <v>rg:{'id':'rg:None'}</v>
      </c>
      <c r="F170" s="9" t="s">
        <v>7056</v>
      </c>
      <c r="G170" s="9" t="str">
        <f ca="1">INDEX(DistrictEquipmentTypes.csv!F:F,RANDBETWEEN(2,COUNTA(DistrictEquipmentTypes.csv!D:D)),1)</f>
        <v>200003</v>
      </c>
      <c r="H170" s="8" t="str">
        <f t="shared" ca="1" si="16"/>
        <v>rg:{ 'id': '200003'}</v>
      </c>
      <c r="I170" s="8">
        <f t="shared" ca="1" si="17"/>
        <v>5</v>
      </c>
      <c r="J170" s="8">
        <f t="shared" ca="1" si="18"/>
        <v>19</v>
      </c>
      <c r="K170" s="8" t="str">
        <f t="shared" ca="1" si="19"/>
        <v>2017-04-23</v>
      </c>
      <c r="L170" s="8" t="str">
        <f t="shared" ca="1" si="20"/>
        <v>2017-05-04</v>
      </c>
    </row>
    <row r="171" spans="1:12" x14ac:dyDescent="0.3">
      <c r="A171" s="8" t="s">
        <v>5668</v>
      </c>
      <c r="B171" s="8">
        <f t="shared" si="14"/>
        <v>600169</v>
      </c>
      <c r="C171" s="1" t="s">
        <v>6921</v>
      </c>
      <c r="D171" s="9" t="str">
        <f>IFERROR(VLOOKUP(VLOOKUP(VLOOKUP(C171,Project.csv!F:Q,12,FALSE),ServiceAreas.csv!B:I,8,FALSE),LocalAreas.csv!B:I,7,FALSE),200029)</f>
        <v>rg:None</v>
      </c>
      <c r="E171" s="8" t="str">
        <f t="shared" si="15"/>
        <v>rg:{'id':'rg:None'}</v>
      </c>
      <c r="F171" s="9" t="s">
        <v>7055</v>
      </c>
      <c r="G171" s="9" t="str">
        <f ca="1">INDEX(DistrictEquipmentTypes.csv!F:F,RANDBETWEEN(2,COUNTA(DistrictEquipmentTypes.csv!D:D)),1)</f>
        <v>200006</v>
      </c>
      <c r="H171" s="8" t="str">
        <f t="shared" ca="1" si="16"/>
        <v>rg:{ 'id': '200006'}</v>
      </c>
      <c r="I171" s="8">
        <f t="shared" ca="1" si="17"/>
        <v>1</v>
      </c>
      <c r="J171" s="8">
        <f t="shared" ca="1" si="18"/>
        <v>22</v>
      </c>
      <c r="K171" s="8" t="str">
        <f t="shared" ca="1" si="19"/>
        <v>2017-04-12</v>
      </c>
      <c r="L171" s="8" t="str">
        <f t="shared" ca="1" si="20"/>
        <v>2017-04-14</v>
      </c>
    </row>
    <row r="172" spans="1:12" x14ac:dyDescent="0.3">
      <c r="A172" s="8" t="s">
        <v>5668</v>
      </c>
      <c r="B172" s="8">
        <f t="shared" si="14"/>
        <v>600170</v>
      </c>
      <c r="C172" s="1" t="s">
        <v>6943</v>
      </c>
      <c r="D172" s="9" t="str">
        <f>IFERROR(VLOOKUP(VLOOKUP(VLOOKUP(C172,Project.csv!F:Q,12,FALSE),ServiceAreas.csv!B:I,8,FALSE),LocalAreas.csv!B:I,7,FALSE),200029)</f>
        <v>rg:None</v>
      </c>
      <c r="E172" s="8" t="str">
        <f t="shared" si="15"/>
        <v>rg:{'id':'rg:None'}</v>
      </c>
      <c r="F172" s="9" t="s">
        <v>7055</v>
      </c>
      <c r="G172" s="9" t="str">
        <f ca="1">INDEX(DistrictEquipmentTypes.csv!F:F,RANDBETWEEN(2,COUNTA(DistrictEquipmentTypes.csv!D:D)),1)</f>
        <v>200007</v>
      </c>
      <c r="H172" s="8" t="str">
        <f t="shared" ca="1" si="16"/>
        <v>rg:{ 'id': '200007'}</v>
      </c>
      <c r="I172" s="8">
        <f t="shared" ca="1" si="17"/>
        <v>1</v>
      </c>
      <c r="J172" s="8">
        <f t="shared" ca="1" si="18"/>
        <v>25</v>
      </c>
      <c r="K172" s="8" t="str">
        <f t="shared" ca="1" si="19"/>
        <v>2017-05-05</v>
      </c>
      <c r="L172" s="8" t="str">
        <f t="shared" ca="1" si="20"/>
        <v>2017-05-08</v>
      </c>
    </row>
    <row r="173" spans="1:12" x14ac:dyDescent="0.3">
      <c r="A173" s="8" t="s">
        <v>5668</v>
      </c>
      <c r="B173" s="8">
        <f t="shared" si="14"/>
        <v>600171</v>
      </c>
      <c r="C173" s="1" t="s">
        <v>6899</v>
      </c>
      <c r="D173" s="9" t="str">
        <f>IFERROR(VLOOKUP(VLOOKUP(VLOOKUP(C173,Project.csv!F:Q,12,FALSE),ServiceAreas.csv!B:I,8,FALSE),LocalAreas.csv!B:I,7,FALSE),200029)</f>
        <v>rg:None</v>
      </c>
      <c r="E173" s="8" t="str">
        <f t="shared" si="15"/>
        <v>rg:{'id':'rg:None'}</v>
      </c>
      <c r="F173" s="9" t="s">
        <v>7055</v>
      </c>
      <c r="G173" s="9" t="str">
        <f ca="1">INDEX(DistrictEquipmentTypes.csv!F:F,RANDBETWEEN(2,COUNTA(DistrictEquipmentTypes.csv!D:D)),1)</f>
        <v>200005</v>
      </c>
      <c r="H173" s="8" t="str">
        <f t="shared" ca="1" si="16"/>
        <v>rg:{ 'id': '200005'}</v>
      </c>
      <c r="I173" s="8">
        <f t="shared" ca="1" si="17"/>
        <v>1</v>
      </c>
      <c r="J173" s="8">
        <f t="shared" ca="1" si="18"/>
        <v>38</v>
      </c>
      <c r="K173" s="8" t="str">
        <f t="shared" ca="1" si="19"/>
        <v>2017-04-15</v>
      </c>
      <c r="L173" s="8" t="str">
        <f t="shared" ca="1" si="20"/>
        <v>2017-04-19</v>
      </c>
    </row>
    <row r="174" spans="1:12" x14ac:dyDescent="0.3">
      <c r="A174" s="8" t="s">
        <v>5668</v>
      </c>
      <c r="B174" s="8">
        <f t="shared" si="14"/>
        <v>600172</v>
      </c>
      <c r="C174" s="1" t="s">
        <v>6944</v>
      </c>
      <c r="D174" s="9" t="str">
        <f>IFERROR(VLOOKUP(VLOOKUP(VLOOKUP(C174,Project.csv!F:Q,12,FALSE),ServiceAreas.csv!B:I,8,FALSE),LocalAreas.csv!B:I,7,FALSE),200029)</f>
        <v>rg:None</v>
      </c>
      <c r="E174" s="8" t="str">
        <f t="shared" si="15"/>
        <v>rg:{'id':'rg:None'}</v>
      </c>
      <c r="F174" s="9" t="s">
        <v>7055</v>
      </c>
      <c r="G174" s="9" t="str">
        <f ca="1">INDEX(DistrictEquipmentTypes.csv!F:F,RANDBETWEEN(2,COUNTA(DistrictEquipmentTypes.csv!D:D)),1)</f>
        <v>200003</v>
      </c>
      <c r="H174" s="8" t="str">
        <f t="shared" ca="1" si="16"/>
        <v>rg:{ 'id': '200003'}</v>
      </c>
      <c r="I174" s="8">
        <f t="shared" ca="1" si="17"/>
        <v>1</v>
      </c>
      <c r="J174" s="8">
        <f t="shared" ca="1" si="18"/>
        <v>74</v>
      </c>
      <c r="K174" s="8" t="str">
        <f t="shared" ca="1" si="19"/>
        <v>2017-05-02</v>
      </c>
      <c r="L174" s="8" t="str">
        <f t="shared" ca="1" si="20"/>
        <v>2017-05-11</v>
      </c>
    </row>
    <row r="175" spans="1:12" x14ac:dyDescent="0.3">
      <c r="A175" s="8" t="s">
        <v>5668</v>
      </c>
      <c r="B175" s="8">
        <f t="shared" si="14"/>
        <v>600173</v>
      </c>
      <c r="C175" s="1" t="s">
        <v>6945</v>
      </c>
      <c r="D175" s="9" t="str">
        <f>IFERROR(VLOOKUP(VLOOKUP(VLOOKUP(C175,Project.csv!F:Q,12,FALSE),ServiceAreas.csv!B:I,8,FALSE),LocalAreas.csv!B:I,7,FALSE),200029)</f>
        <v>rg:None</v>
      </c>
      <c r="E175" s="8" t="str">
        <f t="shared" si="15"/>
        <v>rg:{'id':'rg:None'}</v>
      </c>
      <c r="F175" s="9" t="s">
        <v>7055</v>
      </c>
      <c r="G175" s="9" t="str">
        <f ca="1">INDEX(DistrictEquipmentTypes.csv!F:F,RANDBETWEEN(2,COUNTA(DistrictEquipmentTypes.csv!D:D)),1)</f>
        <v>200002</v>
      </c>
      <c r="H175" s="8" t="str">
        <f t="shared" ca="1" si="16"/>
        <v>rg:{ 'id': '200002'}</v>
      </c>
      <c r="I175" s="8">
        <f t="shared" ca="1" si="17"/>
        <v>1</v>
      </c>
      <c r="J175" s="8">
        <f t="shared" ca="1" si="18"/>
        <v>19</v>
      </c>
      <c r="K175" s="8" t="str">
        <f t="shared" ca="1" si="19"/>
        <v>2017-05-23</v>
      </c>
      <c r="L175" s="8" t="str">
        <f t="shared" ca="1" si="20"/>
        <v>2017-05-25</v>
      </c>
    </row>
    <row r="176" spans="1:12" x14ac:dyDescent="0.3">
      <c r="A176" s="8" t="s">
        <v>5668</v>
      </c>
      <c r="B176" s="8">
        <f t="shared" si="14"/>
        <v>600174</v>
      </c>
      <c r="C176" s="1" t="s">
        <v>6946</v>
      </c>
      <c r="D176" s="9" t="str">
        <f>IFERROR(VLOOKUP(VLOOKUP(VLOOKUP(C176,Project.csv!F:Q,12,FALSE),ServiceAreas.csv!B:I,8,FALSE),LocalAreas.csv!B:I,7,FALSE),200029)</f>
        <v>rg:None</v>
      </c>
      <c r="E176" s="8" t="str">
        <f t="shared" si="15"/>
        <v>rg:{'id':'rg:None'}</v>
      </c>
      <c r="F176" s="9" t="s">
        <v>7055</v>
      </c>
      <c r="G176" s="9" t="str">
        <f ca="1">INDEX(DistrictEquipmentTypes.csv!F:F,RANDBETWEEN(2,COUNTA(DistrictEquipmentTypes.csv!D:D)),1)</f>
        <v>200000</v>
      </c>
      <c r="H176" s="8" t="str">
        <f t="shared" ca="1" si="16"/>
        <v>rg:{ 'id': '200000'}</v>
      </c>
      <c r="I176" s="8">
        <f t="shared" ca="1" si="17"/>
        <v>1</v>
      </c>
      <c r="J176" s="8">
        <f t="shared" ca="1" si="18"/>
        <v>85</v>
      </c>
      <c r="K176" s="8" t="str">
        <f t="shared" ca="1" si="19"/>
        <v>2017-04-28</v>
      </c>
      <c r="L176" s="8" t="str">
        <f t="shared" ca="1" si="20"/>
        <v>2017-05-08</v>
      </c>
    </row>
    <row r="177" spans="1:12" x14ac:dyDescent="0.3">
      <c r="A177" s="8" t="s">
        <v>5668</v>
      </c>
      <c r="B177" s="8">
        <f t="shared" si="14"/>
        <v>600175</v>
      </c>
      <c r="C177" s="1" t="s">
        <v>6947</v>
      </c>
      <c r="D177" s="9" t="str">
        <f>IFERROR(VLOOKUP(VLOOKUP(VLOOKUP(C177,Project.csv!F:Q,12,FALSE),ServiceAreas.csv!B:I,8,FALSE),LocalAreas.csv!B:I,7,FALSE),200029)</f>
        <v>rg:None</v>
      </c>
      <c r="E177" s="8" t="str">
        <f t="shared" si="15"/>
        <v>rg:{'id':'rg:None'}</v>
      </c>
      <c r="F177" s="9" t="s">
        <v>7055</v>
      </c>
      <c r="G177" s="9" t="str">
        <f ca="1">INDEX(DistrictEquipmentTypes.csv!F:F,RANDBETWEEN(2,COUNTA(DistrictEquipmentTypes.csv!D:D)),1)</f>
        <v>200005</v>
      </c>
      <c r="H177" s="8" t="str">
        <f t="shared" ca="1" si="16"/>
        <v>rg:{ 'id': '200005'}</v>
      </c>
      <c r="I177" s="8">
        <f t="shared" ca="1" si="17"/>
        <v>1</v>
      </c>
      <c r="J177" s="8">
        <f t="shared" ca="1" si="18"/>
        <v>30</v>
      </c>
      <c r="K177" s="8" t="str">
        <f t="shared" ca="1" si="19"/>
        <v>2017-04-05</v>
      </c>
      <c r="L177" s="8" t="str">
        <f t="shared" ca="1" si="20"/>
        <v>2017-04-08</v>
      </c>
    </row>
    <row r="178" spans="1:12" x14ac:dyDescent="0.3">
      <c r="A178" s="8" t="s">
        <v>5668</v>
      </c>
      <c r="B178" s="8">
        <f t="shared" si="14"/>
        <v>600176</v>
      </c>
      <c r="C178" s="1" t="s">
        <v>6934</v>
      </c>
      <c r="D178" s="9" t="str">
        <f>IFERROR(VLOOKUP(VLOOKUP(VLOOKUP(C178,Project.csv!F:Q,12,FALSE),ServiceAreas.csv!B:I,8,FALSE),LocalAreas.csv!B:I,7,FALSE),200029)</f>
        <v>rg:None</v>
      </c>
      <c r="E178" s="8" t="str">
        <f t="shared" si="15"/>
        <v>rg:{'id':'rg:None'}</v>
      </c>
      <c r="F178" s="9" t="s">
        <v>7055</v>
      </c>
      <c r="G178" s="9" t="str">
        <f ca="1">INDEX(DistrictEquipmentTypes.csv!F:F,RANDBETWEEN(2,COUNTA(DistrictEquipmentTypes.csv!D:D)),1)</f>
        <v>200003</v>
      </c>
      <c r="H178" s="8" t="str">
        <f t="shared" ca="1" si="16"/>
        <v>rg:{ 'id': '200003'}</v>
      </c>
      <c r="I178" s="8">
        <f t="shared" ca="1" si="17"/>
        <v>3</v>
      </c>
      <c r="J178" s="8">
        <f t="shared" ca="1" si="18"/>
        <v>42</v>
      </c>
      <c r="K178" s="8" t="str">
        <f t="shared" ca="1" si="19"/>
        <v>2017-05-14</v>
      </c>
      <c r="L178" s="8" t="str">
        <f t="shared" ca="1" si="20"/>
        <v>2017-05-29</v>
      </c>
    </row>
    <row r="179" spans="1:12" x14ac:dyDescent="0.3">
      <c r="A179" s="8" t="s">
        <v>5668</v>
      </c>
      <c r="B179" s="8">
        <f t="shared" si="14"/>
        <v>600177</v>
      </c>
      <c r="C179" s="1" t="s">
        <v>6948</v>
      </c>
      <c r="D179" s="9" t="str">
        <f>IFERROR(VLOOKUP(VLOOKUP(VLOOKUP(C179,Project.csv!F:Q,12,FALSE),ServiceAreas.csv!B:I,8,FALSE),LocalAreas.csv!B:I,7,FALSE),200029)</f>
        <v>rg:None</v>
      </c>
      <c r="E179" s="8" t="str">
        <f t="shared" si="15"/>
        <v>rg:{'id':'rg:None'}</v>
      </c>
      <c r="F179" s="9" t="s">
        <v>7055</v>
      </c>
      <c r="G179" s="9" t="str">
        <f ca="1">INDEX(DistrictEquipmentTypes.csv!F:F,RANDBETWEEN(2,COUNTA(DistrictEquipmentTypes.csv!D:D)),1)</f>
        <v>200004</v>
      </c>
      <c r="H179" s="8" t="str">
        <f t="shared" ca="1" si="16"/>
        <v>rg:{ 'id': '200004'}</v>
      </c>
      <c r="I179" s="8">
        <f t="shared" ca="1" si="17"/>
        <v>1</v>
      </c>
      <c r="J179" s="8">
        <f t="shared" ca="1" si="18"/>
        <v>43</v>
      </c>
      <c r="K179" s="8" t="str">
        <f t="shared" ca="1" si="19"/>
        <v>2017-05-01</v>
      </c>
      <c r="L179" s="8" t="str">
        <f t="shared" ca="1" si="20"/>
        <v>2017-05-06</v>
      </c>
    </row>
    <row r="180" spans="1:12" x14ac:dyDescent="0.3">
      <c r="A180" s="8" t="s">
        <v>5668</v>
      </c>
      <c r="B180" s="8">
        <f t="shared" si="14"/>
        <v>600178</v>
      </c>
      <c r="C180" s="1" t="s">
        <v>6917</v>
      </c>
      <c r="D180" s="9" t="str">
        <f>IFERROR(VLOOKUP(VLOOKUP(VLOOKUP(C180,Project.csv!F:Q,12,FALSE),ServiceAreas.csv!B:I,8,FALSE),LocalAreas.csv!B:I,7,FALSE),200029)</f>
        <v>rg:None</v>
      </c>
      <c r="E180" s="8" t="str">
        <f t="shared" si="15"/>
        <v>rg:{'id':'rg:None'}</v>
      </c>
      <c r="F180" s="9" t="s">
        <v>7055</v>
      </c>
      <c r="G180" s="9" t="str">
        <f ca="1">INDEX(DistrictEquipmentTypes.csv!F:F,RANDBETWEEN(2,COUNTA(DistrictEquipmentTypes.csv!D:D)),1)</f>
        <v>200001</v>
      </c>
      <c r="H180" s="8" t="str">
        <f t="shared" ca="1" si="16"/>
        <v>rg:{ 'id': '200001'}</v>
      </c>
      <c r="I180" s="8">
        <f t="shared" ca="1" si="17"/>
        <v>1</v>
      </c>
      <c r="J180" s="8">
        <f t="shared" ca="1" si="18"/>
        <v>62</v>
      </c>
      <c r="K180" s="8" t="str">
        <f t="shared" ca="1" si="19"/>
        <v>2017-05-01</v>
      </c>
      <c r="L180" s="8" t="str">
        <f t="shared" ca="1" si="20"/>
        <v>2017-05-08</v>
      </c>
    </row>
    <row r="181" spans="1:12" x14ac:dyDescent="0.3">
      <c r="A181" s="8" t="s">
        <v>5668</v>
      </c>
      <c r="B181" s="8">
        <f t="shared" si="14"/>
        <v>600179</v>
      </c>
      <c r="C181" s="1" t="s">
        <v>6949</v>
      </c>
      <c r="D181" s="9" t="str">
        <f>IFERROR(VLOOKUP(VLOOKUP(VLOOKUP(C181,Project.csv!F:Q,12,FALSE),ServiceAreas.csv!B:I,8,FALSE),LocalAreas.csv!B:I,7,FALSE),200029)</f>
        <v>rg:None</v>
      </c>
      <c r="E181" s="8" t="str">
        <f t="shared" si="15"/>
        <v>rg:{'id':'rg:None'}</v>
      </c>
      <c r="F181" s="9" t="s">
        <v>7055</v>
      </c>
      <c r="G181" s="9" t="str">
        <f ca="1">INDEX(DistrictEquipmentTypes.csv!F:F,RANDBETWEEN(2,COUNTA(DistrictEquipmentTypes.csv!D:D)),1)</f>
        <v>200001</v>
      </c>
      <c r="H181" s="8" t="str">
        <f t="shared" ca="1" si="16"/>
        <v>rg:{ 'id': '200001'}</v>
      </c>
      <c r="I181" s="8">
        <f t="shared" ca="1" si="17"/>
        <v>1</v>
      </c>
      <c r="J181" s="8">
        <f t="shared" ca="1" si="18"/>
        <v>58</v>
      </c>
      <c r="K181" s="8" t="str">
        <f t="shared" ca="1" si="19"/>
        <v>2017-04-21</v>
      </c>
      <c r="L181" s="8" t="str">
        <f t="shared" ca="1" si="20"/>
        <v>2017-04-28</v>
      </c>
    </row>
    <row r="182" spans="1:12" x14ac:dyDescent="0.3">
      <c r="A182" s="8" t="s">
        <v>5668</v>
      </c>
      <c r="B182" s="8">
        <f t="shared" si="14"/>
        <v>600180</v>
      </c>
      <c r="C182" s="1" t="s">
        <v>6894</v>
      </c>
      <c r="D182" s="9" t="str">
        <f>IFERROR(VLOOKUP(VLOOKUP(VLOOKUP(C182,Project.csv!F:Q,12,FALSE),ServiceAreas.csv!B:I,8,FALSE),LocalAreas.csv!B:I,7,FALSE),200029)</f>
        <v>rg:None</v>
      </c>
      <c r="E182" s="8" t="str">
        <f t="shared" si="15"/>
        <v>rg:{'id':'rg:None'}</v>
      </c>
      <c r="F182" s="9" t="s">
        <v>7055</v>
      </c>
      <c r="G182" s="9" t="str">
        <f ca="1">INDEX(DistrictEquipmentTypes.csv!F:F,RANDBETWEEN(2,COUNTA(DistrictEquipmentTypes.csv!D:D)),1)</f>
        <v>200009</v>
      </c>
      <c r="H182" s="8" t="str">
        <f t="shared" ca="1" si="16"/>
        <v>rg:{ 'id': '200009'}</v>
      </c>
      <c r="I182" s="8">
        <f t="shared" ca="1" si="17"/>
        <v>1</v>
      </c>
      <c r="J182" s="8">
        <f t="shared" ca="1" si="18"/>
        <v>32</v>
      </c>
      <c r="K182" s="8" t="str">
        <f t="shared" ca="1" si="19"/>
        <v>2017-05-21</v>
      </c>
      <c r="L182" s="8" t="str">
        <f t="shared" ca="1" si="20"/>
        <v>2017-05-25</v>
      </c>
    </row>
    <row r="183" spans="1:12" x14ac:dyDescent="0.3">
      <c r="A183" s="8" t="s">
        <v>5668</v>
      </c>
      <c r="B183" s="8">
        <f t="shared" si="14"/>
        <v>600181</v>
      </c>
      <c r="C183" s="1" t="s">
        <v>6950</v>
      </c>
      <c r="D183" s="9" t="str">
        <f>IFERROR(VLOOKUP(VLOOKUP(VLOOKUP(C183,Project.csv!F:Q,12,FALSE),ServiceAreas.csv!B:I,8,FALSE),LocalAreas.csv!B:I,7,FALSE),200029)</f>
        <v>rg:None</v>
      </c>
      <c r="E183" s="8" t="str">
        <f t="shared" si="15"/>
        <v>rg:{'id':'rg:None'}</v>
      </c>
      <c r="F183" s="9" t="s">
        <v>7055</v>
      </c>
      <c r="G183" s="9" t="str">
        <f ca="1">INDEX(DistrictEquipmentTypes.csv!F:F,RANDBETWEEN(2,COUNTA(DistrictEquipmentTypes.csv!D:D)),1)</f>
        <v>200001</v>
      </c>
      <c r="H183" s="8" t="str">
        <f t="shared" ca="1" si="16"/>
        <v>rg:{ 'id': '200001'}</v>
      </c>
      <c r="I183" s="8">
        <f t="shared" ca="1" si="17"/>
        <v>1</v>
      </c>
      <c r="J183" s="8">
        <f t="shared" ca="1" si="18"/>
        <v>55</v>
      </c>
      <c r="K183" s="8" t="str">
        <f t="shared" ca="1" si="19"/>
        <v>2017-05-21</v>
      </c>
      <c r="L183" s="8" t="str">
        <f t="shared" ca="1" si="20"/>
        <v>2017-05-27</v>
      </c>
    </row>
    <row r="184" spans="1:12" x14ac:dyDescent="0.3">
      <c r="A184" s="8" t="s">
        <v>5668</v>
      </c>
      <c r="B184" s="8">
        <f t="shared" si="14"/>
        <v>600182</v>
      </c>
      <c r="C184" s="1" t="s">
        <v>6901</v>
      </c>
      <c r="D184" s="9" t="str">
        <f>IFERROR(VLOOKUP(VLOOKUP(VLOOKUP(C184,Project.csv!F:Q,12,FALSE),ServiceAreas.csv!B:I,8,FALSE),LocalAreas.csv!B:I,7,FALSE),200029)</f>
        <v>rg:None</v>
      </c>
      <c r="E184" s="8" t="str">
        <f t="shared" si="15"/>
        <v>rg:{'id':'rg:None'}</v>
      </c>
      <c r="F184" s="9" t="s">
        <v>7055</v>
      </c>
      <c r="G184" s="9" t="str">
        <f ca="1">INDEX(DistrictEquipmentTypes.csv!F:F,RANDBETWEEN(2,COUNTA(DistrictEquipmentTypes.csv!D:D)),1)</f>
        <v>200006</v>
      </c>
      <c r="H184" s="8" t="str">
        <f t="shared" ca="1" si="16"/>
        <v>rg:{ 'id': '200006'}</v>
      </c>
      <c r="I184" s="8">
        <f t="shared" ca="1" si="17"/>
        <v>1</v>
      </c>
      <c r="J184" s="8">
        <f t="shared" ca="1" si="18"/>
        <v>79</v>
      </c>
      <c r="K184" s="8" t="str">
        <f t="shared" ca="1" si="19"/>
        <v>2017-04-22</v>
      </c>
      <c r="L184" s="8" t="str">
        <f t="shared" ca="1" si="20"/>
        <v>2017-05-01</v>
      </c>
    </row>
    <row r="185" spans="1:12" x14ac:dyDescent="0.3">
      <c r="A185" s="8" t="s">
        <v>5668</v>
      </c>
      <c r="B185" s="8">
        <f t="shared" si="14"/>
        <v>600183</v>
      </c>
      <c r="C185" s="1" t="s">
        <v>6951</v>
      </c>
      <c r="D185" s="9" t="str">
        <f>IFERROR(VLOOKUP(VLOOKUP(VLOOKUP(C185,Project.csv!F:Q,12,FALSE),ServiceAreas.csv!B:I,8,FALSE),LocalAreas.csv!B:I,7,FALSE),200029)</f>
        <v>rg:None</v>
      </c>
      <c r="E185" s="8" t="str">
        <f t="shared" si="15"/>
        <v>rg:{'id':'rg:None'}</v>
      </c>
      <c r="F185" s="9" t="s">
        <v>7055</v>
      </c>
      <c r="G185" s="9" t="str">
        <f ca="1">INDEX(DistrictEquipmentTypes.csv!F:F,RANDBETWEEN(2,COUNTA(DistrictEquipmentTypes.csv!D:D)),1)</f>
        <v>200001</v>
      </c>
      <c r="H185" s="8" t="str">
        <f t="shared" ca="1" si="16"/>
        <v>rg:{ 'id': '200001'}</v>
      </c>
      <c r="I185" s="8">
        <f t="shared" ca="1" si="17"/>
        <v>1</v>
      </c>
      <c r="J185" s="8">
        <f t="shared" ca="1" si="18"/>
        <v>80</v>
      </c>
      <c r="K185" s="8" t="str">
        <f t="shared" ca="1" si="19"/>
        <v>2017-04-24</v>
      </c>
      <c r="L185" s="8" t="str">
        <f t="shared" ca="1" si="20"/>
        <v>2017-05-04</v>
      </c>
    </row>
    <row r="186" spans="1:12" x14ac:dyDescent="0.3">
      <c r="A186" s="8" t="s">
        <v>5668</v>
      </c>
      <c r="B186" s="8">
        <f t="shared" si="14"/>
        <v>600184</v>
      </c>
      <c r="C186" s="1" t="s">
        <v>6893</v>
      </c>
      <c r="D186" s="9" t="str">
        <f>IFERROR(VLOOKUP(VLOOKUP(VLOOKUP(C186,Project.csv!F:Q,12,FALSE),ServiceAreas.csv!B:I,8,FALSE),LocalAreas.csv!B:I,7,FALSE),200029)</f>
        <v>rg:None</v>
      </c>
      <c r="E186" s="8" t="str">
        <f t="shared" si="15"/>
        <v>rg:{'id':'rg:None'}</v>
      </c>
      <c r="F186" s="9" t="s">
        <v>7055</v>
      </c>
      <c r="G186" s="9" t="str">
        <f ca="1">INDEX(DistrictEquipmentTypes.csv!F:F,RANDBETWEEN(2,COUNTA(DistrictEquipmentTypes.csv!D:D)),1)</f>
        <v>200001</v>
      </c>
      <c r="H186" s="8" t="str">
        <f t="shared" ca="1" si="16"/>
        <v>rg:{ 'id': '200001'}</v>
      </c>
      <c r="I186" s="8">
        <f t="shared" ca="1" si="17"/>
        <v>1</v>
      </c>
      <c r="J186" s="8">
        <f t="shared" ca="1" si="18"/>
        <v>12</v>
      </c>
      <c r="K186" s="8" t="str">
        <f t="shared" ca="1" si="19"/>
        <v>2017-05-18</v>
      </c>
      <c r="L186" s="8" t="str">
        <f t="shared" ca="1" si="20"/>
        <v>2017-05-19</v>
      </c>
    </row>
    <row r="187" spans="1:12" x14ac:dyDescent="0.3">
      <c r="A187" s="8" t="s">
        <v>5668</v>
      </c>
      <c r="B187" s="8">
        <f t="shared" si="14"/>
        <v>600185</v>
      </c>
      <c r="C187" s="1" t="s">
        <v>6952</v>
      </c>
      <c r="D187" s="9" t="str">
        <f>IFERROR(VLOOKUP(VLOOKUP(VLOOKUP(C187,Project.csv!F:Q,12,FALSE),ServiceAreas.csv!B:I,8,FALSE),LocalAreas.csv!B:I,7,FALSE),200029)</f>
        <v>rg:None</v>
      </c>
      <c r="E187" s="8" t="str">
        <f t="shared" si="15"/>
        <v>rg:{'id':'rg:None'}</v>
      </c>
      <c r="F187" s="9" t="s">
        <v>7055</v>
      </c>
      <c r="G187" s="9" t="str">
        <f ca="1">INDEX(DistrictEquipmentTypes.csv!F:F,RANDBETWEEN(2,COUNTA(DistrictEquipmentTypes.csv!D:D)),1)</f>
        <v>200003</v>
      </c>
      <c r="H187" s="8" t="str">
        <f t="shared" ca="1" si="16"/>
        <v>rg:{ 'id': '200003'}</v>
      </c>
      <c r="I187" s="8">
        <f t="shared" ca="1" si="17"/>
        <v>1</v>
      </c>
      <c r="J187" s="8">
        <f t="shared" ca="1" si="18"/>
        <v>96</v>
      </c>
      <c r="K187" s="8" t="str">
        <f t="shared" ca="1" si="19"/>
        <v>2017-04-01</v>
      </c>
      <c r="L187" s="8" t="str">
        <f t="shared" ca="1" si="20"/>
        <v>2017-04-13</v>
      </c>
    </row>
    <row r="188" spans="1:12" x14ac:dyDescent="0.3">
      <c r="A188" s="8" t="s">
        <v>5668</v>
      </c>
      <c r="B188" s="8">
        <f t="shared" si="14"/>
        <v>600186</v>
      </c>
      <c r="C188" s="1" t="s">
        <v>6953</v>
      </c>
      <c r="D188" s="9" t="str">
        <f>IFERROR(VLOOKUP(VLOOKUP(VLOOKUP(C188,Project.csv!F:Q,12,FALSE),ServiceAreas.csv!B:I,8,FALSE),LocalAreas.csv!B:I,7,FALSE),200029)</f>
        <v>rg:None</v>
      </c>
      <c r="E188" s="8" t="str">
        <f t="shared" si="15"/>
        <v>rg:{'id':'rg:None'}</v>
      </c>
      <c r="F188" s="9" t="s">
        <v>7055</v>
      </c>
      <c r="G188" s="9" t="str">
        <f ca="1">INDEX(DistrictEquipmentTypes.csv!F:F,RANDBETWEEN(2,COUNTA(DistrictEquipmentTypes.csv!D:D)),1)</f>
        <v>200000</v>
      </c>
      <c r="H188" s="8" t="str">
        <f t="shared" ca="1" si="16"/>
        <v>rg:{ 'id': '200000'}</v>
      </c>
      <c r="I188" s="8">
        <f t="shared" ca="1" si="17"/>
        <v>1</v>
      </c>
      <c r="J188" s="8">
        <f t="shared" ca="1" si="18"/>
        <v>12</v>
      </c>
      <c r="K188" s="8" t="str">
        <f t="shared" ca="1" si="19"/>
        <v>2017-04-18</v>
      </c>
      <c r="L188" s="8" t="str">
        <f t="shared" ca="1" si="20"/>
        <v>2017-04-19</v>
      </c>
    </row>
    <row r="189" spans="1:12" x14ac:dyDescent="0.3">
      <c r="A189" s="8" t="s">
        <v>5668</v>
      </c>
      <c r="B189" s="8">
        <f t="shared" si="14"/>
        <v>600187</v>
      </c>
      <c r="C189" s="1" t="s">
        <v>6912</v>
      </c>
      <c r="D189" s="9" t="str">
        <f>IFERROR(VLOOKUP(VLOOKUP(VLOOKUP(C189,Project.csv!F:Q,12,FALSE),ServiceAreas.csv!B:I,8,FALSE),LocalAreas.csv!B:I,7,FALSE),200029)</f>
        <v>rg:None</v>
      </c>
      <c r="E189" s="8" t="str">
        <f t="shared" si="15"/>
        <v>rg:{'id':'rg:None'}</v>
      </c>
      <c r="F189" s="9" t="s">
        <v>7055</v>
      </c>
      <c r="G189" s="9" t="str">
        <f ca="1">INDEX(DistrictEquipmentTypes.csv!F:F,RANDBETWEEN(2,COUNTA(DistrictEquipmentTypes.csv!D:D)),1)</f>
        <v>200007</v>
      </c>
      <c r="H189" s="8" t="str">
        <f t="shared" ca="1" si="16"/>
        <v>rg:{ 'id': '200007'}</v>
      </c>
      <c r="I189" s="8">
        <f t="shared" ca="1" si="17"/>
        <v>1</v>
      </c>
      <c r="J189" s="8">
        <f t="shared" ca="1" si="18"/>
        <v>25</v>
      </c>
      <c r="K189" s="8" t="str">
        <f t="shared" ca="1" si="19"/>
        <v>2017-04-01</v>
      </c>
      <c r="L189" s="8" t="str">
        <f t="shared" ca="1" si="20"/>
        <v>2017-04-04</v>
      </c>
    </row>
    <row r="190" spans="1:12" x14ac:dyDescent="0.3">
      <c r="A190" s="8" t="s">
        <v>5668</v>
      </c>
      <c r="B190" s="8">
        <f t="shared" si="14"/>
        <v>600188</v>
      </c>
      <c r="C190" s="1" t="s">
        <v>6954</v>
      </c>
      <c r="D190" s="9" t="str">
        <f>IFERROR(VLOOKUP(VLOOKUP(VLOOKUP(C190,Project.csv!F:Q,12,FALSE),ServiceAreas.csv!B:I,8,FALSE),LocalAreas.csv!B:I,7,FALSE),200029)</f>
        <v>rg:None</v>
      </c>
      <c r="E190" s="8" t="str">
        <f t="shared" si="15"/>
        <v>rg:{'id':'rg:None'}</v>
      </c>
      <c r="F190" s="9" t="s">
        <v>7055</v>
      </c>
      <c r="G190" s="9" t="str">
        <f ca="1">INDEX(DistrictEquipmentTypes.csv!F:F,RANDBETWEEN(2,COUNTA(DistrictEquipmentTypes.csv!D:D)),1)</f>
        <v>200006</v>
      </c>
      <c r="H190" s="8" t="str">
        <f t="shared" ca="1" si="16"/>
        <v>rg:{ 'id': '200006'}</v>
      </c>
      <c r="I190" s="8">
        <f t="shared" ca="1" si="17"/>
        <v>1</v>
      </c>
      <c r="J190" s="8">
        <f t="shared" ca="1" si="18"/>
        <v>34</v>
      </c>
      <c r="K190" s="8" t="str">
        <f t="shared" ca="1" si="19"/>
        <v>2017-04-19</v>
      </c>
      <c r="L190" s="8" t="str">
        <f t="shared" ca="1" si="20"/>
        <v>2017-04-23</v>
      </c>
    </row>
    <row r="191" spans="1:12" x14ac:dyDescent="0.3">
      <c r="A191" s="8" t="s">
        <v>5668</v>
      </c>
      <c r="B191" s="8">
        <f t="shared" si="14"/>
        <v>600189</v>
      </c>
      <c r="C191" s="1" t="s">
        <v>6927</v>
      </c>
      <c r="D191" s="9" t="str">
        <f>IFERROR(VLOOKUP(VLOOKUP(VLOOKUP(C191,Project.csv!F:Q,12,FALSE),ServiceAreas.csv!B:I,8,FALSE),LocalAreas.csv!B:I,7,FALSE),200029)</f>
        <v>rg:None</v>
      </c>
      <c r="E191" s="8" t="str">
        <f t="shared" si="15"/>
        <v>rg:{'id':'rg:None'}</v>
      </c>
      <c r="F191" s="9" t="s">
        <v>7055</v>
      </c>
      <c r="G191" s="9" t="str">
        <f ca="1">INDEX(DistrictEquipmentTypes.csv!F:F,RANDBETWEEN(2,COUNTA(DistrictEquipmentTypes.csv!D:D)),1)</f>
        <v>200000</v>
      </c>
      <c r="H191" s="8" t="str">
        <f t="shared" ca="1" si="16"/>
        <v>rg:{ 'id': '200000'}</v>
      </c>
      <c r="I191" s="8">
        <f t="shared" ca="1" si="17"/>
        <v>1</v>
      </c>
      <c r="J191" s="8">
        <f t="shared" ca="1" si="18"/>
        <v>74</v>
      </c>
      <c r="K191" s="8" t="str">
        <f t="shared" ca="1" si="19"/>
        <v>2017-04-16</v>
      </c>
      <c r="L191" s="8" t="str">
        <f t="shared" ca="1" si="20"/>
        <v>2017-04-25</v>
      </c>
    </row>
    <row r="192" spans="1:12" x14ac:dyDescent="0.3">
      <c r="A192" s="8" t="s">
        <v>5668</v>
      </c>
      <c r="B192" s="8">
        <f t="shared" si="14"/>
        <v>600190</v>
      </c>
      <c r="C192" s="1" t="s">
        <v>6955</v>
      </c>
      <c r="D192" s="9">
        <f>IFERROR(VLOOKUP(VLOOKUP(VLOOKUP(C192,Project.csv!F:Q,12,FALSE),ServiceAreas.csv!B:I,8,FALSE),LocalAreas.csv!B:I,7,FALSE),200029)</f>
        <v>200029</v>
      </c>
      <c r="E192" s="8" t="str">
        <f t="shared" si="15"/>
        <v>rg:{'id':'200029'}</v>
      </c>
      <c r="F192" s="9" t="s">
        <v>7055</v>
      </c>
      <c r="G192" s="9" t="str">
        <f ca="1">INDEX(DistrictEquipmentTypes.csv!F:F,RANDBETWEEN(2,COUNTA(DistrictEquipmentTypes.csv!D:D)),1)</f>
        <v>200007</v>
      </c>
      <c r="H192" s="8" t="str">
        <f t="shared" ca="1" si="16"/>
        <v>rg:{ 'id': '200007'}</v>
      </c>
      <c r="I192" s="8">
        <f t="shared" ca="1" si="17"/>
        <v>1</v>
      </c>
      <c r="J192" s="8">
        <f t="shared" ca="1" si="18"/>
        <v>10</v>
      </c>
      <c r="K192" s="8" t="str">
        <f t="shared" ca="1" si="19"/>
        <v>2017-04-07</v>
      </c>
      <c r="L192" s="8" t="str">
        <f t="shared" ca="1" si="20"/>
        <v>2017-04-08</v>
      </c>
    </row>
    <row r="193" spans="1:12" x14ac:dyDescent="0.3">
      <c r="A193" s="8" t="s">
        <v>5668</v>
      </c>
      <c r="B193" s="8">
        <f t="shared" si="14"/>
        <v>600191</v>
      </c>
      <c r="C193" s="1" t="s">
        <v>6956</v>
      </c>
      <c r="D193" s="9">
        <f>IFERROR(VLOOKUP(VLOOKUP(VLOOKUP(C193,Project.csv!F:Q,12,FALSE),ServiceAreas.csv!B:I,8,FALSE),LocalAreas.csv!B:I,7,FALSE),200029)</f>
        <v>200029</v>
      </c>
      <c r="E193" s="8" t="str">
        <f t="shared" si="15"/>
        <v>rg:{'id':'200029'}</v>
      </c>
      <c r="F193" s="9" t="s">
        <v>7055</v>
      </c>
      <c r="G193" s="9" t="str">
        <f ca="1">INDEX(DistrictEquipmentTypes.csv!F:F,RANDBETWEEN(2,COUNTA(DistrictEquipmentTypes.csv!D:D)),1)</f>
        <v>200009</v>
      </c>
      <c r="H193" s="8" t="str">
        <f t="shared" ca="1" si="16"/>
        <v>rg:{ 'id': '200009'}</v>
      </c>
      <c r="I193" s="8">
        <f t="shared" ca="1" si="17"/>
        <v>1</v>
      </c>
      <c r="J193" s="8">
        <f t="shared" ca="1" si="18"/>
        <v>57</v>
      </c>
      <c r="K193" s="8" t="str">
        <f t="shared" ca="1" si="19"/>
        <v>2017-04-19</v>
      </c>
      <c r="L193" s="8" t="str">
        <f t="shared" ca="1" si="20"/>
        <v>2017-04-26</v>
      </c>
    </row>
    <row r="194" spans="1:12" x14ac:dyDescent="0.3">
      <c r="A194" s="8" t="s">
        <v>5668</v>
      </c>
      <c r="B194" s="8">
        <f t="shared" si="14"/>
        <v>600192</v>
      </c>
      <c r="C194" s="1" t="s">
        <v>6957</v>
      </c>
      <c r="D194" s="9">
        <f>IFERROR(VLOOKUP(VLOOKUP(VLOOKUP(C194,Project.csv!F:Q,12,FALSE),ServiceAreas.csv!B:I,8,FALSE),LocalAreas.csv!B:I,7,FALSE),200029)</f>
        <v>200029</v>
      </c>
      <c r="E194" s="8" t="str">
        <f t="shared" si="15"/>
        <v>rg:{'id':'200029'}</v>
      </c>
      <c r="F194" s="9" t="s">
        <v>7055</v>
      </c>
      <c r="G194" s="9" t="str">
        <f ca="1">INDEX(DistrictEquipmentTypes.csv!F:F,RANDBETWEEN(2,COUNTA(DistrictEquipmentTypes.csv!D:D)),1)</f>
        <v>200006</v>
      </c>
      <c r="H194" s="8" t="str">
        <f t="shared" ca="1" si="16"/>
        <v>rg:{ 'id': '200006'}</v>
      </c>
      <c r="I194" s="8">
        <f t="shared" ca="1" si="17"/>
        <v>4</v>
      </c>
      <c r="J194" s="8">
        <f t="shared" ca="1" si="18"/>
        <v>8</v>
      </c>
      <c r="K194" s="8" t="str">
        <f t="shared" ca="1" si="19"/>
        <v>2017-05-22</v>
      </c>
      <c r="L194" s="8" t="str">
        <f t="shared" ca="1" si="20"/>
        <v>2017-05-26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6958</v>
      </c>
      <c r="D195" s="9">
        <f>IFERROR(VLOOKUP(VLOOKUP(VLOOKUP(C195,Project.csv!F:Q,12,FALSE),ServiceAreas.csv!B:I,8,FALSE),LocalAreas.csv!B:I,7,FALSE),200029)</f>
        <v>200029</v>
      </c>
      <c r="E195" s="8" t="str">
        <f t="shared" ref="E195:E258" si="22" xml:space="preserve"> "rg:{'id':'" &amp; D195 &amp; "'}"</f>
        <v>rg:{'id':'200029'}</v>
      </c>
      <c r="F195" s="9" t="s">
        <v>7055</v>
      </c>
      <c r="G195" s="9" t="str">
        <f ca="1">INDEX(DistrictEquipmentTypes.csv!F:F,RANDBETWEEN(2,COUNTA(DistrictEquipmentTypes.csv!D:D)),1)</f>
        <v>200004</v>
      </c>
      <c r="H195" s="8" t="str">
        <f t="shared" ref="H195:H258" ca="1" si="23">"rg:{ 'id': '"&amp;G195&amp;"'}"</f>
        <v>rg:{ 'id': '200004'}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31</v>
      </c>
      <c r="K195" s="8" t="str">
        <f t="shared" ref="K195:K258" ca="1" si="26">TEXT(TODAY()+RANDBETWEEN(1,56),"YYYY-MM-DD")</f>
        <v>2017-05-03</v>
      </c>
      <c r="L195" s="8" t="str">
        <f t="shared" ref="L195:L258" ca="1" si="27">TEXT(K195+(I195*J195)/8,"YYYY-MM-DD")</f>
        <v>2017-05-06</v>
      </c>
    </row>
    <row r="196" spans="1:12" x14ac:dyDescent="0.3">
      <c r="A196" s="8" t="s">
        <v>5668</v>
      </c>
      <c r="B196" s="8">
        <f t="shared" si="21"/>
        <v>600194</v>
      </c>
      <c r="C196" s="1" t="s">
        <v>6959</v>
      </c>
      <c r="D196" s="9">
        <f>IFERROR(VLOOKUP(VLOOKUP(VLOOKUP(C196,Project.csv!F:Q,12,FALSE),ServiceAreas.csv!B:I,8,FALSE),LocalAreas.csv!B:I,7,FALSE),200029)</f>
        <v>200029</v>
      </c>
      <c r="E196" s="8" t="str">
        <f t="shared" si="22"/>
        <v>rg:{'id':'200029'}</v>
      </c>
      <c r="F196" s="9" t="s">
        <v>7055</v>
      </c>
      <c r="G196" s="9" t="str">
        <f ca="1">INDEX(DistrictEquipmentTypes.csv!F:F,RANDBETWEEN(2,COUNTA(DistrictEquipmentTypes.csv!D:D)),1)</f>
        <v>200009</v>
      </c>
      <c r="H196" s="8" t="str">
        <f t="shared" ca="1" si="23"/>
        <v>rg:{ 'id': '200009'}</v>
      </c>
      <c r="I196" s="8">
        <f t="shared" ca="1" si="24"/>
        <v>1</v>
      </c>
      <c r="J196" s="8">
        <f t="shared" ca="1" si="25"/>
        <v>39</v>
      </c>
      <c r="K196" s="8" t="str">
        <f t="shared" ca="1" si="26"/>
        <v>2017-04-21</v>
      </c>
      <c r="L196" s="8" t="str">
        <f t="shared" ca="1" si="27"/>
        <v>2017-04-25</v>
      </c>
    </row>
    <row r="197" spans="1:12" x14ac:dyDescent="0.3">
      <c r="A197" s="8" t="s">
        <v>5668</v>
      </c>
      <c r="B197" s="8">
        <f t="shared" si="21"/>
        <v>600195</v>
      </c>
      <c r="C197" s="1" t="s">
        <v>6903</v>
      </c>
      <c r="D197" s="9">
        <f>IFERROR(VLOOKUP(VLOOKUP(VLOOKUP(C197,Project.csv!F:Q,12,FALSE),ServiceAreas.csv!B:I,8,FALSE),LocalAreas.csv!B:I,7,FALSE),200029)</f>
        <v>200029</v>
      </c>
      <c r="E197" s="8" t="str">
        <f t="shared" si="22"/>
        <v>rg:{'id':'200029'}</v>
      </c>
      <c r="F197" s="9" t="s">
        <v>7055</v>
      </c>
      <c r="G197" s="9" t="str">
        <f ca="1">INDEX(DistrictEquipmentTypes.csv!F:F,RANDBETWEEN(2,COUNTA(DistrictEquipmentTypes.csv!D:D)),1)</f>
        <v>200003</v>
      </c>
      <c r="H197" s="8" t="str">
        <f t="shared" ca="1" si="23"/>
        <v>rg:{ 'id': '200003'}</v>
      </c>
      <c r="I197" s="8">
        <f t="shared" ca="1" si="24"/>
        <v>1</v>
      </c>
      <c r="J197" s="8">
        <f t="shared" ca="1" si="25"/>
        <v>87</v>
      </c>
      <c r="K197" s="8" t="str">
        <f t="shared" ca="1" si="26"/>
        <v>2017-05-14</v>
      </c>
      <c r="L197" s="8" t="str">
        <f t="shared" ca="1" si="27"/>
        <v>2017-05-24</v>
      </c>
    </row>
    <row r="198" spans="1:12" x14ac:dyDescent="0.3">
      <c r="A198" s="8" t="s">
        <v>5668</v>
      </c>
      <c r="B198" s="8">
        <f t="shared" si="21"/>
        <v>600196</v>
      </c>
      <c r="C198" s="1" t="s">
        <v>6909</v>
      </c>
      <c r="D198" s="9">
        <f>IFERROR(VLOOKUP(VLOOKUP(VLOOKUP(C198,Project.csv!F:Q,12,FALSE),ServiceAreas.csv!B:I,8,FALSE),LocalAreas.csv!B:I,7,FALSE),200029)</f>
        <v>200029</v>
      </c>
      <c r="E198" s="8" t="str">
        <f t="shared" si="22"/>
        <v>rg:{'id':'200029'}</v>
      </c>
      <c r="F198" s="9" t="s">
        <v>7055</v>
      </c>
      <c r="G198" s="9" t="str">
        <f ca="1">INDEX(DistrictEquipmentTypes.csv!F:F,RANDBETWEEN(2,COUNTA(DistrictEquipmentTypes.csv!D:D)),1)</f>
        <v>200002</v>
      </c>
      <c r="H198" s="8" t="str">
        <f t="shared" ca="1" si="23"/>
        <v>rg:{ 'id': '200002'}</v>
      </c>
      <c r="I198" s="8">
        <f t="shared" ca="1" si="24"/>
        <v>1</v>
      </c>
      <c r="J198" s="8">
        <f t="shared" ca="1" si="25"/>
        <v>16</v>
      </c>
      <c r="K198" s="8" t="str">
        <f t="shared" ca="1" si="26"/>
        <v>2017-05-21</v>
      </c>
      <c r="L198" s="8" t="str">
        <f t="shared" ca="1" si="27"/>
        <v>2017-05-23</v>
      </c>
    </row>
    <row r="199" spans="1:12" x14ac:dyDescent="0.3">
      <c r="A199" s="8" t="s">
        <v>5668</v>
      </c>
      <c r="B199" s="8">
        <f t="shared" si="21"/>
        <v>600197</v>
      </c>
      <c r="C199" s="1" t="s">
        <v>6960</v>
      </c>
      <c r="D199" s="9" t="str">
        <f>IFERROR(VLOOKUP(VLOOKUP(VLOOKUP(C199,Project.csv!F:Q,12,FALSE),ServiceAreas.csv!B:I,8,FALSE),LocalAreas.csv!B:I,7,FALSE),200029)</f>
        <v>rg:None</v>
      </c>
      <c r="E199" s="8" t="str">
        <f t="shared" si="22"/>
        <v>rg:{'id':'rg:None'}</v>
      </c>
      <c r="F199" s="9" t="s">
        <v>7055</v>
      </c>
      <c r="G199" s="9" t="str">
        <f ca="1">INDEX(DistrictEquipmentTypes.csv!F:F,RANDBETWEEN(2,COUNTA(DistrictEquipmentTypes.csv!D:D)),1)</f>
        <v>200002</v>
      </c>
      <c r="H199" s="8" t="str">
        <f t="shared" ca="1" si="23"/>
        <v>rg:{ 'id': '200002'}</v>
      </c>
      <c r="I199" s="8">
        <f t="shared" ca="1" si="24"/>
        <v>1</v>
      </c>
      <c r="J199" s="8">
        <f t="shared" ca="1" si="25"/>
        <v>75</v>
      </c>
      <c r="K199" s="8" t="str">
        <f t="shared" ca="1" si="26"/>
        <v>2017-05-13</v>
      </c>
      <c r="L199" s="8" t="str">
        <f t="shared" ca="1" si="27"/>
        <v>2017-05-22</v>
      </c>
    </row>
    <row r="200" spans="1:12" x14ac:dyDescent="0.3">
      <c r="A200" s="8" t="s">
        <v>5668</v>
      </c>
      <c r="B200" s="8">
        <f t="shared" si="21"/>
        <v>600198</v>
      </c>
      <c r="C200" s="1" t="s">
        <v>6961</v>
      </c>
      <c r="D200" s="9" t="str">
        <f>IFERROR(VLOOKUP(VLOOKUP(VLOOKUP(C200,Project.csv!F:Q,12,FALSE),ServiceAreas.csv!B:I,8,FALSE),LocalAreas.csv!B:I,7,FALSE),200029)</f>
        <v>rg:None</v>
      </c>
      <c r="E200" s="8" t="str">
        <f t="shared" si="22"/>
        <v>rg:{'id':'rg:None'}</v>
      </c>
      <c r="F200" s="9" t="s">
        <v>7055</v>
      </c>
      <c r="G200" s="9" t="str">
        <f ca="1">INDEX(DistrictEquipmentTypes.csv!F:F,RANDBETWEEN(2,COUNTA(DistrictEquipmentTypes.csv!D:D)),1)</f>
        <v>200007</v>
      </c>
      <c r="H200" s="8" t="str">
        <f t="shared" ca="1" si="23"/>
        <v>rg:{ 'id': '200007'}</v>
      </c>
      <c r="I200" s="8">
        <f t="shared" ca="1" si="24"/>
        <v>1</v>
      </c>
      <c r="J200" s="8">
        <f t="shared" ca="1" si="25"/>
        <v>4</v>
      </c>
      <c r="K200" s="8" t="str">
        <f t="shared" ca="1" si="26"/>
        <v>2017-05-15</v>
      </c>
      <c r="L200" s="8" t="str">
        <f t="shared" ca="1" si="27"/>
        <v>2017-05-15</v>
      </c>
    </row>
    <row r="201" spans="1:12" x14ac:dyDescent="0.3">
      <c r="A201" s="8" t="s">
        <v>5668</v>
      </c>
      <c r="B201" s="8">
        <f t="shared" si="21"/>
        <v>600199</v>
      </c>
      <c r="C201" s="1" t="s">
        <v>6962</v>
      </c>
      <c r="D201" s="9" t="str">
        <f>IFERROR(VLOOKUP(VLOOKUP(VLOOKUP(C201,Project.csv!F:Q,12,FALSE),ServiceAreas.csv!B:I,8,FALSE),LocalAreas.csv!B:I,7,FALSE),200029)</f>
        <v>rg:None</v>
      </c>
      <c r="E201" s="8" t="str">
        <f t="shared" si="22"/>
        <v>rg:{'id':'rg:None'}</v>
      </c>
      <c r="F201" s="9" t="s">
        <v>7055</v>
      </c>
      <c r="G201" s="9" t="str">
        <f ca="1">INDEX(DistrictEquipmentTypes.csv!F:F,RANDBETWEEN(2,COUNTA(DistrictEquipmentTypes.csv!D:D)),1)</f>
        <v>200001</v>
      </c>
      <c r="H201" s="8" t="str">
        <f t="shared" ca="1" si="23"/>
        <v>rg:{ 'id': '200001'}</v>
      </c>
      <c r="I201" s="8">
        <f t="shared" ca="1" si="24"/>
        <v>1</v>
      </c>
      <c r="J201" s="8">
        <f t="shared" ca="1" si="25"/>
        <v>20</v>
      </c>
      <c r="K201" s="8" t="str">
        <f t="shared" ca="1" si="26"/>
        <v>2017-04-28</v>
      </c>
      <c r="L201" s="8" t="str">
        <f t="shared" ca="1" si="27"/>
        <v>2017-04-30</v>
      </c>
    </row>
    <row r="202" spans="1:12" x14ac:dyDescent="0.3">
      <c r="A202" s="8" t="s">
        <v>5668</v>
      </c>
      <c r="B202" s="8">
        <f t="shared" si="21"/>
        <v>600200</v>
      </c>
      <c r="C202" s="1" t="s">
        <v>6929</v>
      </c>
      <c r="D202" s="9" t="str">
        <f>IFERROR(VLOOKUP(VLOOKUP(VLOOKUP(C202,Project.csv!F:Q,12,FALSE),ServiceAreas.csv!B:I,8,FALSE),LocalAreas.csv!B:I,7,FALSE),200029)</f>
        <v>rg:None</v>
      </c>
      <c r="E202" s="8" t="str">
        <f t="shared" si="22"/>
        <v>rg:{'id':'rg:None'}</v>
      </c>
      <c r="F202" s="9" t="s">
        <v>7055</v>
      </c>
      <c r="G202" s="9" t="str">
        <f ca="1">INDEX(DistrictEquipmentTypes.csv!F:F,RANDBETWEEN(2,COUNTA(DistrictEquipmentTypes.csv!D:D)),1)</f>
        <v>200009</v>
      </c>
      <c r="H202" s="8" t="str">
        <f t="shared" ca="1" si="23"/>
        <v>rg:{ 'id': '200009'}</v>
      </c>
      <c r="I202" s="8">
        <f t="shared" ca="1" si="24"/>
        <v>2</v>
      </c>
      <c r="J202" s="8">
        <f t="shared" ca="1" si="25"/>
        <v>32</v>
      </c>
      <c r="K202" s="8" t="str">
        <f t="shared" ca="1" si="26"/>
        <v>2017-05-13</v>
      </c>
      <c r="L202" s="8" t="str">
        <f t="shared" ca="1" si="27"/>
        <v>2017-05-21</v>
      </c>
    </row>
    <row r="203" spans="1:12" x14ac:dyDescent="0.3">
      <c r="A203" s="8" t="s">
        <v>5668</v>
      </c>
      <c r="B203" s="8">
        <f t="shared" si="21"/>
        <v>600201</v>
      </c>
      <c r="C203" s="1" t="s">
        <v>6924</v>
      </c>
      <c r="D203" s="9" t="str">
        <f>IFERROR(VLOOKUP(VLOOKUP(VLOOKUP(C203,Project.csv!F:Q,12,FALSE),ServiceAreas.csv!B:I,8,FALSE),LocalAreas.csv!B:I,7,FALSE),200029)</f>
        <v>rg:None</v>
      </c>
      <c r="E203" s="8" t="str">
        <f t="shared" si="22"/>
        <v>rg:{'id':'rg:None'}</v>
      </c>
      <c r="F203" s="9" t="s">
        <v>7055</v>
      </c>
      <c r="G203" s="9" t="str">
        <f ca="1">INDEX(DistrictEquipmentTypes.csv!F:F,RANDBETWEEN(2,COUNTA(DistrictEquipmentTypes.csv!D:D)),1)</f>
        <v>200007</v>
      </c>
      <c r="H203" s="8" t="str">
        <f t="shared" ca="1" si="23"/>
        <v>rg:{ 'id': '200007'}</v>
      </c>
      <c r="I203" s="8">
        <f t="shared" ca="1" si="24"/>
        <v>1</v>
      </c>
      <c r="J203" s="8">
        <f t="shared" ca="1" si="25"/>
        <v>48</v>
      </c>
      <c r="K203" s="8" t="str">
        <f t="shared" ca="1" si="26"/>
        <v>2017-05-03</v>
      </c>
      <c r="L203" s="8" t="str">
        <f t="shared" ca="1" si="27"/>
        <v>2017-05-09</v>
      </c>
    </row>
    <row r="204" spans="1:12" x14ac:dyDescent="0.3">
      <c r="A204" s="8" t="s">
        <v>5668</v>
      </c>
      <c r="B204" s="8">
        <f t="shared" si="21"/>
        <v>600202</v>
      </c>
      <c r="C204" s="1" t="s">
        <v>6931</v>
      </c>
      <c r="D204" s="9" t="str">
        <f>IFERROR(VLOOKUP(VLOOKUP(VLOOKUP(C204,Project.csv!F:Q,12,FALSE),ServiceAreas.csv!B:I,8,FALSE),LocalAreas.csv!B:I,7,FALSE),200029)</f>
        <v>rg:None</v>
      </c>
      <c r="E204" s="8" t="str">
        <f t="shared" si="22"/>
        <v>rg:{'id':'rg:None'}</v>
      </c>
      <c r="F204" s="9" t="s">
        <v>7055</v>
      </c>
      <c r="G204" s="9" t="str">
        <f ca="1">INDEX(DistrictEquipmentTypes.csv!F:F,RANDBETWEEN(2,COUNTA(DistrictEquipmentTypes.csv!D:D)),1)</f>
        <v>200006</v>
      </c>
      <c r="H204" s="8" t="str">
        <f t="shared" ca="1" si="23"/>
        <v>rg:{ 'id': '200006'}</v>
      </c>
      <c r="I204" s="8">
        <f t="shared" ca="1" si="24"/>
        <v>1</v>
      </c>
      <c r="J204" s="8">
        <f t="shared" ca="1" si="25"/>
        <v>14</v>
      </c>
      <c r="K204" s="8" t="str">
        <f t="shared" ca="1" si="26"/>
        <v>2017-04-24</v>
      </c>
      <c r="L204" s="8" t="str">
        <f t="shared" ca="1" si="27"/>
        <v>2017-04-25</v>
      </c>
    </row>
    <row r="205" spans="1:12" x14ac:dyDescent="0.3">
      <c r="A205" s="8" t="s">
        <v>5668</v>
      </c>
      <c r="B205" s="8">
        <f t="shared" si="21"/>
        <v>600203</v>
      </c>
      <c r="C205" s="1" t="s">
        <v>6963</v>
      </c>
      <c r="D205" s="9" t="str">
        <f>IFERROR(VLOOKUP(VLOOKUP(VLOOKUP(C205,Project.csv!F:Q,12,FALSE),ServiceAreas.csv!B:I,8,FALSE),LocalAreas.csv!B:I,7,FALSE),200029)</f>
        <v>rg:None</v>
      </c>
      <c r="E205" s="8" t="str">
        <f t="shared" si="22"/>
        <v>rg:{'id':'rg:None'}</v>
      </c>
      <c r="F205" s="9" t="s">
        <v>7055</v>
      </c>
      <c r="G205" s="9" t="str">
        <f ca="1">INDEX(DistrictEquipmentTypes.csv!F:F,RANDBETWEEN(2,COUNTA(DistrictEquipmentTypes.csv!D:D)),1)</f>
        <v>200003</v>
      </c>
      <c r="H205" s="8" t="str">
        <f t="shared" ca="1" si="23"/>
        <v>rg:{ 'id': '200003'}</v>
      </c>
      <c r="I205" s="8">
        <f t="shared" ca="1" si="24"/>
        <v>1</v>
      </c>
      <c r="J205" s="8">
        <f t="shared" ca="1" si="25"/>
        <v>92</v>
      </c>
      <c r="K205" s="8" t="str">
        <f t="shared" ca="1" si="26"/>
        <v>2017-04-03</v>
      </c>
      <c r="L205" s="8" t="str">
        <f t="shared" ca="1" si="27"/>
        <v>2017-04-14</v>
      </c>
    </row>
    <row r="206" spans="1:12" x14ac:dyDescent="0.3">
      <c r="A206" s="8" t="s">
        <v>5668</v>
      </c>
      <c r="B206" s="8">
        <f t="shared" si="21"/>
        <v>600204</v>
      </c>
      <c r="C206" s="1" t="s">
        <v>6914</v>
      </c>
      <c r="D206" s="9" t="str">
        <f>IFERROR(VLOOKUP(VLOOKUP(VLOOKUP(C206,Project.csv!F:Q,12,FALSE),ServiceAreas.csv!B:I,8,FALSE),LocalAreas.csv!B:I,7,FALSE),200029)</f>
        <v>rg:None</v>
      </c>
      <c r="E206" s="8" t="str">
        <f t="shared" si="22"/>
        <v>rg:{'id':'rg:None'}</v>
      </c>
      <c r="F206" s="9" t="s">
        <v>7055</v>
      </c>
      <c r="G206" s="9" t="str">
        <f ca="1">INDEX(DistrictEquipmentTypes.csv!F:F,RANDBETWEEN(2,COUNTA(DistrictEquipmentTypes.csv!D:D)),1)</f>
        <v>200005</v>
      </c>
      <c r="H206" s="8" t="str">
        <f t="shared" ca="1" si="23"/>
        <v>rg:{ 'id': '200005'}</v>
      </c>
      <c r="I206" s="8">
        <f t="shared" ca="1" si="24"/>
        <v>1</v>
      </c>
      <c r="J206" s="8">
        <f t="shared" ca="1" si="25"/>
        <v>9</v>
      </c>
      <c r="K206" s="8" t="str">
        <f t="shared" ca="1" si="26"/>
        <v>2017-05-12</v>
      </c>
      <c r="L206" s="8" t="str">
        <f t="shared" ca="1" si="27"/>
        <v>2017-05-13</v>
      </c>
    </row>
    <row r="207" spans="1:12" x14ac:dyDescent="0.3">
      <c r="A207" s="8" t="s">
        <v>5668</v>
      </c>
      <c r="B207" s="8">
        <f t="shared" si="21"/>
        <v>600205</v>
      </c>
      <c r="C207" s="1" t="s">
        <v>6964</v>
      </c>
      <c r="D207" s="9" t="str">
        <f>IFERROR(VLOOKUP(VLOOKUP(VLOOKUP(C207,Project.csv!F:Q,12,FALSE),ServiceAreas.csv!B:I,8,FALSE),LocalAreas.csv!B:I,7,FALSE),200029)</f>
        <v>rg:None</v>
      </c>
      <c r="E207" s="8" t="str">
        <f t="shared" si="22"/>
        <v>rg:{'id':'rg:None'}</v>
      </c>
      <c r="F207" s="9" t="s">
        <v>7055</v>
      </c>
      <c r="G207" s="9" t="str">
        <f ca="1">INDEX(DistrictEquipmentTypes.csv!F:F,RANDBETWEEN(2,COUNTA(DistrictEquipmentTypes.csv!D:D)),1)</f>
        <v>200007</v>
      </c>
      <c r="H207" s="8" t="str">
        <f t="shared" ca="1" si="23"/>
        <v>rg:{ 'id': '200007'}</v>
      </c>
      <c r="I207" s="8">
        <f t="shared" ca="1" si="24"/>
        <v>1</v>
      </c>
      <c r="J207" s="8">
        <f t="shared" ca="1" si="25"/>
        <v>83</v>
      </c>
      <c r="K207" s="8" t="str">
        <f t="shared" ca="1" si="26"/>
        <v>2017-04-12</v>
      </c>
      <c r="L207" s="8" t="str">
        <f t="shared" ca="1" si="27"/>
        <v>2017-04-22</v>
      </c>
    </row>
    <row r="208" spans="1:12" x14ac:dyDescent="0.3">
      <c r="A208" s="8" t="s">
        <v>5668</v>
      </c>
      <c r="B208" s="8">
        <f t="shared" si="21"/>
        <v>600206</v>
      </c>
      <c r="C208" s="1" t="s">
        <v>6965</v>
      </c>
      <c r="D208" s="9" t="str">
        <f>IFERROR(VLOOKUP(VLOOKUP(VLOOKUP(C208,Project.csv!F:Q,12,FALSE),ServiceAreas.csv!B:I,8,FALSE),LocalAreas.csv!B:I,7,FALSE),200029)</f>
        <v>rg:None</v>
      </c>
      <c r="E208" s="8" t="str">
        <f t="shared" si="22"/>
        <v>rg:{'id':'rg:None'}</v>
      </c>
      <c r="F208" s="9" t="s">
        <v>7055</v>
      </c>
      <c r="G208" s="9" t="str">
        <f ca="1">INDEX(DistrictEquipmentTypes.csv!F:F,RANDBETWEEN(2,COUNTA(DistrictEquipmentTypes.csv!D:D)),1)</f>
        <v>200005</v>
      </c>
      <c r="H208" s="8" t="str">
        <f t="shared" ca="1" si="23"/>
        <v>rg:{ 'id': '200005'}</v>
      </c>
      <c r="I208" s="8">
        <f t="shared" ca="1" si="24"/>
        <v>1</v>
      </c>
      <c r="J208" s="8">
        <f t="shared" ca="1" si="25"/>
        <v>48</v>
      </c>
      <c r="K208" s="8" t="str">
        <f t="shared" ca="1" si="26"/>
        <v>2017-03-31</v>
      </c>
      <c r="L208" s="8" t="str">
        <f t="shared" ca="1" si="27"/>
        <v>2017-04-06</v>
      </c>
    </row>
    <row r="209" spans="1:12" x14ac:dyDescent="0.3">
      <c r="A209" s="8" t="s">
        <v>5668</v>
      </c>
      <c r="B209" s="8">
        <f t="shared" si="21"/>
        <v>600207</v>
      </c>
      <c r="C209" s="1" t="s">
        <v>6966</v>
      </c>
      <c r="D209" s="9" t="str">
        <f>IFERROR(VLOOKUP(VLOOKUP(VLOOKUP(C209,Project.csv!F:Q,12,FALSE),ServiceAreas.csv!B:I,8,FALSE),LocalAreas.csv!B:I,7,FALSE),200029)</f>
        <v>rg:None</v>
      </c>
      <c r="E209" s="8" t="str">
        <f t="shared" si="22"/>
        <v>rg:{'id':'rg:None'}</v>
      </c>
      <c r="F209" s="9" t="s">
        <v>7055</v>
      </c>
      <c r="G209" s="9" t="str">
        <f ca="1">INDEX(DistrictEquipmentTypes.csv!F:F,RANDBETWEEN(2,COUNTA(DistrictEquipmentTypes.csv!D:D)),1)</f>
        <v>200007</v>
      </c>
      <c r="H209" s="8" t="str">
        <f t="shared" ca="1" si="23"/>
        <v>rg:{ 'id': '200007'}</v>
      </c>
      <c r="I209" s="8">
        <f t="shared" ca="1" si="24"/>
        <v>1</v>
      </c>
      <c r="J209" s="8">
        <f t="shared" ca="1" si="25"/>
        <v>98</v>
      </c>
      <c r="K209" s="8" t="str">
        <f t="shared" ca="1" si="26"/>
        <v>2017-03-31</v>
      </c>
      <c r="L209" s="8" t="str">
        <f t="shared" ca="1" si="27"/>
        <v>2017-04-12</v>
      </c>
    </row>
    <row r="210" spans="1:12" x14ac:dyDescent="0.3">
      <c r="A210" s="8" t="s">
        <v>5668</v>
      </c>
      <c r="B210" s="8">
        <f t="shared" si="21"/>
        <v>600208</v>
      </c>
      <c r="C210" s="1" t="s">
        <v>6967</v>
      </c>
      <c r="D210" s="9" t="str">
        <f>IFERROR(VLOOKUP(VLOOKUP(VLOOKUP(C210,Project.csv!F:Q,12,FALSE),ServiceAreas.csv!B:I,8,FALSE),LocalAreas.csv!B:I,7,FALSE),200029)</f>
        <v>rg:None</v>
      </c>
      <c r="E210" s="8" t="str">
        <f t="shared" si="22"/>
        <v>rg:{'id':'rg:None'}</v>
      </c>
      <c r="F210" s="9" t="s">
        <v>7055</v>
      </c>
      <c r="G210" s="9" t="str">
        <f ca="1">INDEX(DistrictEquipmentTypes.csv!F:F,RANDBETWEEN(2,COUNTA(DistrictEquipmentTypes.csv!D:D)),1)</f>
        <v>200004</v>
      </c>
      <c r="H210" s="8" t="str">
        <f t="shared" ca="1" si="23"/>
        <v>rg:{ 'id': '200004'}</v>
      </c>
      <c r="I210" s="8">
        <f t="shared" ca="1" si="24"/>
        <v>1</v>
      </c>
      <c r="J210" s="8">
        <f t="shared" ca="1" si="25"/>
        <v>64</v>
      </c>
      <c r="K210" s="8" t="str">
        <f t="shared" ca="1" si="26"/>
        <v>2017-05-16</v>
      </c>
      <c r="L210" s="8" t="str">
        <f t="shared" ca="1" si="27"/>
        <v>2017-05-24</v>
      </c>
    </row>
    <row r="211" spans="1:12" x14ac:dyDescent="0.3">
      <c r="A211" s="8" t="s">
        <v>5668</v>
      </c>
      <c r="B211" s="8">
        <f t="shared" si="21"/>
        <v>600209</v>
      </c>
      <c r="C211" s="1" t="s">
        <v>6906</v>
      </c>
      <c r="D211" s="9" t="str">
        <f>IFERROR(VLOOKUP(VLOOKUP(VLOOKUP(C211,Project.csv!F:Q,12,FALSE),ServiceAreas.csv!B:I,8,FALSE),LocalAreas.csv!B:I,7,FALSE),200029)</f>
        <v>rg:None</v>
      </c>
      <c r="E211" s="8" t="str">
        <f t="shared" si="22"/>
        <v>rg:{'id':'rg:None'}</v>
      </c>
      <c r="F211" s="9" t="s">
        <v>7055</v>
      </c>
      <c r="G211" s="9" t="str">
        <f ca="1">INDEX(DistrictEquipmentTypes.csv!F:F,RANDBETWEEN(2,COUNTA(DistrictEquipmentTypes.csv!D:D)),1)</f>
        <v>200003</v>
      </c>
      <c r="H211" s="8" t="str">
        <f t="shared" ca="1" si="23"/>
        <v>rg:{ 'id': '200003'}</v>
      </c>
      <c r="I211" s="8">
        <f t="shared" ca="1" si="24"/>
        <v>1</v>
      </c>
      <c r="J211" s="8">
        <f t="shared" ca="1" si="25"/>
        <v>23</v>
      </c>
      <c r="K211" s="8" t="str">
        <f t="shared" ca="1" si="26"/>
        <v>2017-05-24</v>
      </c>
      <c r="L211" s="8" t="str">
        <f t="shared" ca="1" si="27"/>
        <v>2017-05-26</v>
      </c>
    </row>
    <row r="212" spans="1:12" x14ac:dyDescent="0.3">
      <c r="A212" s="8" t="s">
        <v>5668</v>
      </c>
      <c r="B212" s="8">
        <f t="shared" si="21"/>
        <v>600210</v>
      </c>
      <c r="C212" s="1" t="s">
        <v>6968</v>
      </c>
      <c r="D212" s="9" t="str">
        <f>IFERROR(VLOOKUP(VLOOKUP(VLOOKUP(C212,Project.csv!F:Q,12,FALSE),ServiceAreas.csv!B:I,8,FALSE),LocalAreas.csv!B:I,7,FALSE),200029)</f>
        <v>rg:None</v>
      </c>
      <c r="E212" s="8" t="str">
        <f t="shared" si="22"/>
        <v>rg:{'id':'rg:None'}</v>
      </c>
      <c r="F212" s="9" t="s">
        <v>7055</v>
      </c>
      <c r="G212" s="9" t="str">
        <f ca="1">INDEX(DistrictEquipmentTypes.csv!F:F,RANDBETWEEN(2,COUNTA(DistrictEquipmentTypes.csv!D:D)),1)</f>
        <v>200009</v>
      </c>
      <c r="H212" s="8" t="str">
        <f t="shared" ca="1" si="23"/>
        <v>rg:{ 'id': '200009'}</v>
      </c>
      <c r="I212" s="8">
        <f t="shared" ca="1" si="24"/>
        <v>1</v>
      </c>
      <c r="J212" s="8">
        <f t="shared" ca="1" si="25"/>
        <v>58</v>
      </c>
      <c r="K212" s="8" t="str">
        <f t="shared" ca="1" si="26"/>
        <v>2017-05-15</v>
      </c>
      <c r="L212" s="8" t="str">
        <f t="shared" ca="1" si="27"/>
        <v>2017-05-22</v>
      </c>
    </row>
    <row r="213" spans="1:12" x14ac:dyDescent="0.3">
      <c r="A213" s="8" t="s">
        <v>5668</v>
      </c>
      <c r="B213" s="8">
        <f t="shared" si="21"/>
        <v>600211</v>
      </c>
      <c r="C213" s="1" t="s">
        <v>6969</v>
      </c>
      <c r="D213" s="9" t="str">
        <f>IFERROR(VLOOKUP(VLOOKUP(VLOOKUP(C213,Project.csv!F:Q,12,FALSE),ServiceAreas.csv!B:I,8,FALSE),LocalAreas.csv!B:I,7,FALSE),200029)</f>
        <v>rg:None</v>
      </c>
      <c r="E213" s="8" t="str">
        <f t="shared" si="22"/>
        <v>rg:{'id':'rg:None'}</v>
      </c>
      <c r="F213" s="9" t="s">
        <v>7055</v>
      </c>
      <c r="G213" s="9" t="str">
        <f ca="1">INDEX(DistrictEquipmentTypes.csv!F:F,RANDBETWEEN(2,COUNTA(DistrictEquipmentTypes.csv!D:D)),1)</f>
        <v>200007</v>
      </c>
      <c r="H213" s="8" t="str">
        <f t="shared" ca="1" si="23"/>
        <v>rg:{ 'id': '200007'}</v>
      </c>
      <c r="I213" s="8">
        <f t="shared" ca="1" si="24"/>
        <v>5</v>
      </c>
      <c r="J213" s="8">
        <f t="shared" ca="1" si="25"/>
        <v>4</v>
      </c>
      <c r="K213" s="8" t="str">
        <f t="shared" ca="1" si="26"/>
        <v>2017-04-28</v>
      </c>
      <c r="L213" s="8" t="str">
        <f t="shared" ca="1" si="27"/>
        <v>2017-04-30</v>
      </c>
    </row>
    <row r="214" spans="1:12" x14ac:dyDescent="0.3">
      <c r="A214" s="8" t="s">
        <v>5668</v>
      </c>
      <c r="B214" s="8">
        <f t="shared" si="21"/>
        <v>600212</v>
      </c>
      <c r="C214" s="1" t="s">
        <v>6970</v>
      </c>
      <c r="D214" s="9" t="str">
        <f>IFERROR(VLOOKUP(VLOOKUP(VLOOKUP(C214,Project.csv!F:Q,12,FALSE),ServiceAreas.csv!B:I,8,FALSE),LocalAreas.csv!B:I,7,FALSE),200029)</f>
        <v>rg:None</v>
      </c>
      <c r="E214" s="8" t="str">
        <f t="shared" si="22"/>
        <v>rg:{'id':'rg:None'}</v>
      </c>
      <c r="F214" s="9" t="s">
        <v>7055</v>
      </c>
      <c r="G214" s="9" t="str">
        <f ca="1">INDEX(DistrictEquipmentTypes.csv!F:F,RANDBETWEEN(2,COUNTA(DistrictEquipmentTypes.csv!D:D)),1)</f>
        <v>200002</v>
      </c>
      <c r="H214" s="8" t="str">
        <f t="shared" ca="1" si="23"/>
        <v>rg:{ 'id': '200002'}</v>
      </c>
      <c r="I214" s="8">
        <f t="shared" ca="1" si="24"/>
        <v>1</v>
      </c>
      <c r="J214" s="8">
        <f t="shared" ca="1" si="25"/>
        <v>29</v>
      </c>
      <c r="K214" s="8" t="str">
        <f t="shared" ca="1" si="26"/>
        <v>2017-04-04</v>
      </c>
      <c r="L214" s="8" t="str">
        <f t="shared" ca="1" si="27"/>
        <v>2017-04-07</v>
      </c>
    </row>
    <row r="215" spans="1:12" x14ac:dyDescent="0.3">
      <c r="A215" s="8" t="s">
        <v>5668</v>
      </c>
      <c r="B215" s="8">
        <f t="shared" si="21"/>
        <v>600213</v>
      </c>
      <c r="C215" s="1" t="s">
        <v>6911</v>
      </c>
      <c r="D215" s="9" t="str">
        <f>IFERROR(VLOOKUP(VLOOKUP(VLOOKUP(C215,Project.csv!F:Q,12,FALSE),ServiceAreas.csv!B:I,8,FALSE),LocalAreas.csv!B:I,7,FALSE),200029)</f>
        <v>rg:None</v>
      </c>
      <c r="E215" s="8" t="str">
        <f t="shared" si="22"/>
        <v>rg:{'id':'rg:None'}</v>
      </c>
      <c r="F215" s="9" t="s">
        <v>7055</v>
      </c>
      <c r="G215" s="9" t="str">
        <f ca="1">INDEX(DistrictEquipmentTypes.csv!F:F,RANDBETWEEN(2,COUNTA(DistrictEquipmentTypes.csv!D:D)),1)</f>
        <v>200009</v>
      </c>
      <c r="H215" s="8" t="str">
        <f t="shared" ca="1" si="23"/>
        <v>rg:{ 'id': '200009'}</v>
      </c>
      <c r="I215" s="8">
        <f t="shared" ca="1" si="24"/>
        <v>1</v>
      </c>
      <c r="J215" s="8">
        <f t="shared" ca="1" si="25"/>
        <v>29</v>
      </c>
      <c r="K215" s="8" t="str">
        <f t="shared" ca="1" si="26"/>
        <v>2017-05-08</v>
      </c>
      <c r="L215" s="8" t="str">
        <f t="shared" ca="1" si="27"/>
        <v>2017-05-11</v>
      </c>
    </row>
    <row r="216" spans="1:12" x14ac:dyDescent="0.3">
      <c r="A216" s="8" t="s">
        <v>5668</v>
      </c>
      <c r="B216" s="8">
        <f t="shared" si="21"/>
        <v>600214</v>
      </c>
      <c r="C216" s="1" t="s">
        <v>6910</v>
      </c>
      <c r="D216" s="9" t="str">
        <f>IFERROR(VLOOKUP(VLOOKUP(VLOOKUP(C216,Project.csv!F:Q,12,FALSE),ServiceAreas.csv!B:I,8,FALSE),LocalAreas.csv!B:I,7,FALSE),200029)</f>
        <v>rg:None</v>
      </c>
      <c r="E216" s="8" t="str">
        <f t="shared" si="22"/>
        <v>rg:{'id':'rg:None'}</v>
      </c>
      <c r="F216" s="9" t="s">
        <v>7055</v>
      </c>
      <c r="G216" s="9" t="str">
        <f ca="1">INDEX(DistrictEquipmentTypes.csv!F:F,RANDBETWEEN(2,COUNTA(DistrictEquipmentTypes.csv!D:D)),1)</f>
        <v>200006</v>
      </c>
      <c r="H216" s="8" t="str">
        <f t="shared" ca="1" si="23"/>
        <v>rg:{ 'id': '200006'}</v>
      </c>
      <c r="I216" s="8">
        <f t="shared" ca="1" si="24"/>
        <v>2</v>
      </c>
      <c r="J216" s="8">
        <f t="shared" ca="1" si="25"/>
        <v>28</v>
      </c>
      <c r="K216" s="8" t="str">
        <f t="shared" ca="1" si="26"/>
        <v>2017-04-15</v>
      </c>
      <c r="L216" s="8" t="str">
        <f t="shared" ca="1" si="27"/>
        <v>2017-04-22</v>
      </c>
    </row>
    <row r="217" spans="1:12" x14ac:dyDescent="0.3">
      <c r="A217" s="8" t="s">
        <v>5668</v>
      </c>
      <c r="B217" s="8">
        <f t="shared" si="21"/>
        <v>600215</v>
      </c>
      <c r="C217" s="1" t="s">
        <v>6971</v>
      </c>
      <c r="D217" s="9" t="str">
        <f>IFERROR(VLOOKUP(VLOOKUP(VLOOKUP(C217,Project.csv!F:Q,12,FALSE),ServiceAreas.csv!B:I,8,FALSE),LocalAreas.csv!B:I,7,FALSE),200029)</f>
        <v>rg:None</v>
      </c>
      <c r="E217" s="8" t="str">
        <f t="shared" si="22"/>
        <v>rg:{'id':'rg:None'}</v>
      </c>
      <c r="F217" s="9" t="s">
        <v>7055</v>
      </c>
      <c r="G217" s="9" t="str">
        <f ca="1">INDEX(DistrictEquipmentTypes.csv!F:F,RANDBETWEEN(2,COUNTA(DistrictEquipmentTypes.csv!D:D)),1)</f>
        <v>200006</v>
      </c>
      <c r="H217" s="8" t="str">
        <f t="shared" ca="1" si="23"/>
        <v>rg:{ 'id': '200006'}</v>
      </c>
      <c r="I217" s="8">
        <f t="shared" ca="1" si="24"/>
        <v>5</v>
      </c>
      <c r="J217" s="8">
        <f t="shared" ca="1" si="25"/>
        <v>15</v>
      </c>
      <c r="K217" s="8" t="str">
        <f t="shared" ca="1" si="26"/>
        <v>2017-04-03</v>
      </c>
      <c r="L217" s="8" t="str">
        <f t="shared" ca="1" si="27"/>
        <v>2017-04-12</v>
      </c>
    </row>
    <row r="218" spans="1:12" x14ac:dyDescent="0.3">
      <c r="A218" s="8" t="s">
        <v>5668</v>
      </c>
      <c r="B218" s="8">
        <f t="shared" si="21"/>
        <v>600216</v>
      </c>
      <c r="C218" s="1" t="s">
        <v>6972</v>
      </c>
      <c r="D218" s="9" t="str">
        <f>IFERROR(VLOOKUP(VLOOKUP(VLOOKUP(C218,Project.csv!F:Q,12,FALSE),ServiceAreas.csv!B:I,8,FALSE),LocalAreas.csv!B:I,7,FALSE),200029)</f>
        <v>rg:None</v>
      </c>
      <c r="E218" s="8" t="str">
        <f t="shared" si="22"/>
        <v>rg:{'id':'rg:None'}</v>
      </c>
      <c r="F218" s="9" t="s">
        <v>7055</v>
      </c>
      <c r="G218" s="9" t="str">
        <f ca="1">INDEX(DistrictEquipmentTypes.csv!F:F,RANDBETWEEN(2,COUNTA(DistrictEquipmentTypes.csv!D:D)),1)</f>
        <v>200005</v>
      </c>
      <c r="H218" s="8" t="str">
        <f t="shared" ca="1" si="23"/>
        <v>rg:{ 'id': '200005'}</v>
      </c>
      <c r="I218" s="8">
        <f t="shared" ca="1" si="24"/>
        <v>1</v>
      </c>
      <c r="J218" s="8">
        <f t="shared" ca="1" si="25"/>
        <v>35</v>
      </c>
      <c r="K218" s="8" t="str">
        <f t="shared" ca="1" si="26"/>
        <v>2017-05-06</v>
      </c>
      <c r="L218" s="8" t="str">
        <f t="shared" ca="1" si="27"/>
        <v>2017-05-10</v>
      </c>
    </row>
    <row r="219" spans="1:12" x14ac:dyDescent="0.3">
      <c r="A219" s="8" t="s">
        <v>5668</v>
      </c>
      <c r="B219" s="8">
        <f t="shared" si="21"/>
        <v>600217</v>
      </c>
      <c r="C219" s="1" t="s">
        <v>6973</v>
      </c>
      <c r="D219" s="9" t="str">
        <f>IFERROR(VLOOKUP(VLOOKUP(VLOOKUP(C219,Project.csv!F:Q,12,FALSE),ServiceAreas.csv!B:I,8,FALSE),LocalAreas.csv!B:I,7,FALSE),200029)</f>
        <v>rg:None</v>
      </c>
      <c r="E219" s="8" t="str">
        <f t="shared" si="22"/>
        <v>rg:{'id':'rg:None'}</v>
      </c>
      <c r="F219" s="9" t="s">
        <v>7055</v>
      </c>
      <c r="G219" s="9" t="str">
        <f ca="1">INDEX(DistrictEquipmentTypes.csv!F:F,RANDBETWEEN(2,COUNTA(DistrictEquipmentTypes.csv!D:D)),1)</f>
        <v>200006</v>
      </c>
      <c r="H219" s="8" t="str">
        <f t="shared" ca="1" si="23"/>
        <v>rg:{ 'id': '200006'}</v>
      </c>
      <c r="I219" s="8">
        <f t="shared" ca="1" si="24"/>
        <v>1</v>
      </c>
      <c r="J219" s="8">
        <f t="shared" ca="1" si="25"/>
        <v>33</v>
      </c>
      <c r="K219" s="8" t="str">
        <f t="shared" ca="1" si="26"/>
        <v>2017-04-25</v>
      </c>
      <c r="L219" s="8" t="str">
        <f t="shared" ca="1" si="27"/>
        <v>2017-04-29</v>
      </c>
    </row>
    <row r="220" spans="1:12" x14ac:dyDescent="0.3">
      <c r="A220" s="8" t="s">
        <v>5668</v>
      </c>
      <c r="B220" s="8">
        <f t="shared" si="21"/>
        <v>600218</v>
      </c>
      <c r="C220" s="1" t="s">
        <v>6974</v>
      </c>
      <c r="D220" s="9" t="str">
        <f>IFERROR(VLOOKUP(VLOOKUP(VLOOKUP(C220,Project.csv!F:Q,12,FALSE),ServiceAreas.csv!B:I,8,FALSE),LocalAreas.csv!B:I,7,FALSE),200029)</f>
        <v>rg:None</v>
      </c>
      <c r="E220" s="8" t="str">
        <f t="shared" si="22"/>
        <v>rg:{'id':'rg:None'}</v>
      </c>
      <c r="F220" s="9" t="s">
        <v>7055</v>
      </c>
      <c r="G220" s="9" t="str">
        <f ca="1">INDEX(DistrictEquipmentTypes.csv!F:F,RANDBETWEEN(2,COUNTA(DistrictEquipmentTypes.csv!D:D)),1)</f>
        <v>200003</v>
      </c>
      <c r="H220" s="8" t="str">
        <f t="shared" ca="1" si="23"/>
        <v>rg:{ 'id': '200003'}</v>
      </c>
      <c r="I220" s="8">
        <f t="shared" ca="1" si="24"/>
        <v>1</v>
      </c>
      <c r="J220" s="8">
        <f t="shared" ca="1" si="25"/>
        <v>96</v>
      </c>
      <c r="K220" s="8" t="str">
        <f t="shared" ca="1" si="26"/>
        <v>2017-03-31</v>
      </c>
      <c r="L220" s="8" t="str">
        <f t="shared" ca="1" si="27"/>
        <v>2017-04-12</v>
      </c>
    </row>
    <row r="221" spans="1:12" x14ac:dyDescent="0.3">
      <c r="A221" s="8" t="s">
        <v>5668</v>
      </c>
      <c r="B221" s="8">
        <f t="shared" si="21"/>
        <v>600219</v>
      </c>
      <c r="C221" s="1" t="s">
        <v>6975</v>
      </c>
      <c r="D221" s="9" t="str">
        <f>IFERROR(VLOOKUP(VLOOKUP(VLOOKUP(C221,Project.csv!F:Q,12,FALSE),ServiceAreas.csv!B:I,8,FALSE),LocalAreas.csv!B:I,7,FALSE),200029)</f>
        <v>rg:None</v>
      </c>
      <c r="E221" s="8" t="str">
        <f t="shared" si="22"/>
        <v>rg:{'id':'rg:None'}</v>
      </c>
      <c r="F221" s="9" t="s">
        <v>7055</v>
      </c>
      <c r="G221" s="9" t="str">
        <f ca="1">INDEX(DistrictEquipmentTypes.csv!F:F,RANDBETWEEN(2,COUNTA(DistrictEquipmentTypes.csv!D:D)),1)</f>
        <v>200007</v>
      </c>
      <c r="H221" s="8" t="str">
        <f t="shared" ca="1" si="23"/>
        <v>rg:{ 'id': '200007'}</v>
      </c>
      <c r="I221" s="8">
        <f t="shared" ca="1" si="24"/>
        <v>1</v>
      </c>
      <c r="J221" s="8">
        <f t="shared" ca="1" si="25"/>
        <v>75</v>
      </c>
      <c r="K221" s="8" t="str">
        <f t="shared" ca="1" si="26"/>
        <v>2017-04-04</v>
      </c>
      <c r="L221" s="8" t="str">
        <f t="shared" ca="1" si="27"/>
        <v>2017-04-13</v>
      </c>
    </row>
    <row r="222" spans="1:12" x14ac:dyDescent="0.3">
      <c r="A222" s="8" t="s">
        <v>5668</v>
      </c>
      <c r="B222" s="8">
        <f t="shared" si="21"/>
        <v>600220</v>
      </c>
      <c r="C222" s="1" t="s">
        <v>6976</v>
      </c>
      <c r="D222" s="9" t="str">
        <f>IFERROR(VLOOKUP(VLOOKUP(VLOOKUP(C222,Project.csv!F:Q,12,FALSE),ServiceAreas.csv!B:I,8,FALSE),LocalAreas.csv!B:I,7,FALSE),200029)</f>
        <v>rg:None</v>
      </c>
      <c r="E222" s="8" t="str">
        <f t="shared" si="22"/>
        <v>rg:{'id':'rg:None'}</v>
      </c>
      <c r="F222" s="9" t="s">
        <v>7055</v>
      </c>
      <c r="G222" s="9" t="str">
        <f ca="1">INDEX(DistrictEquipmentTypes.csv!F:F,RANDBETWEEN(2,COUNTA(DistrictEquipmentTypes.csv!D:D)),1)</f>
        <v>200009</v>
      </c>
      <c r="H222" s="8" t="str">
        <f t="shared" ca="1" si="23"/>
        <v>rg:{ 'id': '200009'}</v>
      </c>
      <c r="I222" s="8">
        <f t="shared" ca="1" si="24"/>
        <v>1</v>
      </c>
      <c r="J222" s="8">
        <f t="shared" ca="1" si="25"/>
        <v>92</v>
      </c>
      <c r="K222" s="8" t="str">
        <f t="shared" ca="1" si="26"/>
        <v>2017-04-26</v>
      </c>
      <c r="L222" s="8" t="str">
        <f t="shared" ca="1" si="27"/>
        <v>2017-05-07</v>
      </c>
    </row>
    <row r="223" spans="1:12" x14ac:dyDescent="0.3">
      <c r="A223" s="8" t="s">
        <v>5668</v>
      </c>
      <c r="B223" s="8">
        <f t="shared" si="21"/>
        <v>600221</v>
      </c>
      <c r="C223" s="1" t="s">
        <v>6977</v>
      </c>
      <c r="D223" s="9" t="str">
        <f>IFERROR(VLOOKUP(VLOOKUP(VLOOKUP(C223,Project.csv!F:Q,12,FALSE),ServiceAreas.csv!B:I,8,FALSE),LocalAreas.csv!B:I,7,FALSE),200029)</f>
        <v>rg:None</v>
      </c>
      <c r="E223" s="8" t="str">
        <f t="shared" si="22"/>
        <v>rg:{'id':'rg:None'}</v>
      </c>
      <c r="F223" s="9" t="s">
        <v>7055</v>
      </c>
      <c r="G223" s="9" t="str">
        <f ca="1">INDEX(DistrictEquipmentTypes.csv!F:F,RANDBETWEEN(2,COUNTA(DistrictEquipmentTypes.csv!D:D)),1)</f>
        <v>200009</v>
      </c>
      <c r="H223" s="8" t="str">
        <f t="shared" ca="1" si="23"/>
        <v>rg:{ 'id': '200009'}</v>
      </c>
      <c r="I223" s="8">
        <f t="shared" ca="1" si="24"/>
        <v>1</v>
      </c>
      <c r="J223" s="8">
        <f t="shared" ca="1" si="25"/>
        <v>29</v>
      </c>
      <c r="K223" s="8" t="str">
        <f t="shared" ca="1" si="26"/>
        <v>2017-04-28</v>
      </c>
      <c r="L223" s="8" t="str">
        <f t="shared" ca="1" si="27"/>
        <v>2017-05-01</v>
      </c>
    </row>
    <row r="224" spans="1:12" x14ac:dyDescent="0.3">
      <c r="A224" s="8" t="s">
        <v>5668</v>
      </c>
      <c r="B224" s="8">
        <f t="shared" si="21"/>
        <v>600222</v>
      </c>
      <c r="C224" s="1" t="s">
        <v>6978</v>
      </c>
      <c r="D224" s="9" t="str">
        <f>IFERROR(VLOOKUP(VLOOKUP(VLOOKUP(C224,Project.csv!F:Q,12,FALSE),ServiceAreas.csv!B:I,8,FALSE),LocalAreas.csv!B:I,7,FALSE),200029)</f>
        <v>rg:None</v>
      </c>
      <c r="E224" s="8" t="str">
        <f t="shared" si="22"/>
        <v>rg:{'id':'rg:None'}</v>
      </c>
      <c r="F224" s="9" t="s">
        <v>7055</v>
      </c>
      <c r="G224" s="9" t="str">
        <f ca="1">INDEX(DistrictEquipmentTypes.csv!F:F,RANDBETWEEN(2,COUNTA(DistrictEquipmentTypes.csv!D:D)),1)</f>
        <v>200000</v>
      </c>
      <c r="H224" s="8" t="str">
        <f t="shared" ca="1" si="23"/>
        <v>rg:{ 'id': '200000'}</v>
      </c>
      <c r="I224" s="8">
        <f t="shared" ca="1" si="24"/>
        <v>1</v>
      </c>
      <c r="J224" s="8">
        <f t="shared" ca="1" si="25"/>
        <v>48</v>
      </c>
      <c r="K224" s="8" t="str">
        <f t="shared" ca="1" si="26"/>
        <v>2017-05-18</v>
      </c>
      <c r="L224" s="8" t="str">
        <f t="shared" ca="1" si="27"/>
        <v>2017-05-24</v>
      </c>
    </row>
    <row r="225" spans="1:12" x14ac:dyDescent="0.3">
      <c r="A225" s="8" t="s">
        <v>5668</v>
      </c>
      <c r="B225" s="8">
        <f t="shared" si="21"/>
        <v>600223</v>
      </c>
      <c r="C225" s="1" t="s">
        <v>6979</v>
      </c>
      <c r="D225" s="9" t="str">
        <f>IFERROR(VLOOKUP(VLOOKUP(VLOOKUP(C225,Project.csv!F:Q,12,FALSE),ServiceAreas.csv!B:I,8,FALSE),LocalAreas.csv!B:I,7,FALSE),200029)</f>
        <v>rg:None</v>
      </c>
      <c r="E225" s="8" t="str">
        <f t="shared" si="22"/>
        <v>rg:{'id':'rg:None'}</v>
      </c>
      <c r="F225" s="9" t="s">
        <v>7055</v>
      </c>
      <c r="G225" s="9" t="str">
        <f ca="1">INDEX(DistrictEquipmentTypes.csv!F:F,RANDBETWEEN(2,COUNTA(DistrictEquipmentTypes.csv!D:D)),1)</f>
        <v>200006</v>
      </c>
      <c r="H225" s="8" t="str">
        <f t="shared" ca="1" si="23"/>
        <v>rg:{ 'id': '200006'}</v>
      </c>
      <c r="I225" s="8">
        <f t="shared" ca="1" si="24"/>
        <v>1</v>
      </c>
      <c r="J225" s="8">
        <f t="shared" ca="1" si="25"/>
        <v>24</v>
      </c>
      <c r="K225" s="8" t="str">
        <f t="shared" ca="1" si="26"/>
        <v>2017-04-09</v>
      </c>
      <c r="L225" s="8" t="str">
        <f t="shared" ca="1" si="27"/>
        <v>2017-04-12</v>
      </c>
    </row>
    <row r="226" spans="1:12" x14ac:dyDescent="0.3">
      <c r="A226" s="8" t="s">
        <v>5668</v>
      </c>
      <c r="B226" s="8">
        <f t="shared" si="21"/>
        <v>600224</v>
      </c>
      <c r="C226" s="1" t="s">
        <v>6980</v>
      </c>
      <c r="D226" s="9" t="str">
        <f>IFERROR(VLOOKUP(VLOOKUP(VLOOKUP(C226,Project.csv!F:Q,12,FALSE),ServiceAreas.csv!B:I,8,FALSE),LocalAreas.csv!B:I,7,FALSE),200029)</f>
        <v>rg:None</v>
      </c>
      <c r="E226" s="8" t="str">
        <f t="shared" si="22"/>
        <v>rg:{'id':'rg:None'}</v>
      </c>
      <c r="F226" s="9" t="s">
        <v>7055</v>
      </c>
      <c r="G226" s="9" t="str">
        <f ca="1">INDEX(DistrictEquipmentTypes.csv!F:F,RANDBETWEEN(2,COUNTA(DistrictEquipmentTypes.csv!D:D)),1)</f>
        <v>200000</v>
      </c>
      <c r="H226" s="8" t="str">
        <f t="shared" ca="1" si="23"/>
        <v>rg:{ 'id': '200000'}</v>
      </c>
      <c r="I226" s="8">
        <f t="shared" ca="1" si="24"/>
        <v>1</v>
      </c>
      <c r="J226" s="8">
        <f t="shared" ca="1" si="25"/>
        <v>76</v>
      </c>
      <c r="K226" s="8" t="str">
        <f t="shared" ca="1" si="26"/>
        <v>2017-05-24</v>
      </c>
      <c r="L226" s="8" t="str">
        <f t="shared" ca="1" si="27"/>
        <v>2017-06-02</v>
      </c>
    </row>
    <row r="227" spans="1:12" x14ac:dyDescent="0.3">
      <c r="A227" s="8" t="s">
        <v>5668</v>
      </c>
      <c r="B227" s="8">
        <f t="shared" si="21"/>
        <v>600225</v>
      </c>
      <c r="C227" s="1" t="s">
        <v>6981</v>
      </c>
      <c r="D227" s="9" t="str">
        <f>IFERROR(VLOOKUP(VLOOKUP(VLOOKUP(C227,Project.csv!F:Q,12,FALSE),ServiceAreas.csv!B:I,8,FALSE),LocalAreas.csv!B:I,7,FALSE),200029)</f>
        <v>rg:None</v>
      </c>
      <c r="E227" s="8" t="str">
        <f t="shared" si="22"/>
        <v>rg:{'id':'rg:None'}</v>
      </c>
      <c r="F227" s="9" t="s">
        <v>7055</v>
      </c>
      <c r="G227" s="9" t="str">
        <f ca="1">INDEX(DistrictEquipmentTypes.csv!F:F,RANDBETWEEN(2,COUNTA(DistrictEquipmentTypes.csv!D:D)),1)</f>
        <v>200003</v>
      </c>
      <c r="H227" s="8" t="str">
        <f t="shared" ca="1" si="23"/>
        <v>rg:{ 'id': '200003'}</v>
      </c>
      <c r="I227" s="8">
        <f t="shared" ca="1" si="24"/>
        <v>1</v>
      </c>
      <c r="J227" s="8">
        <f t="shared" ca="1" si="25"/>
        <v>7</v>
      </c>
      <c r="K227" s="8" t="str">
        <f t="shared" ca="1" si="26"/>
        <v>2017-05-11</v>
      </c>
      <c r="L227" s="8" t="str">
        <f t="shared" ca="1" si="27"/>
        <v>2017-05-11</v>
      </c>
    </row>
    <row r="228" spans="1:12" x14ac:dyDescent="0.3">
      <c r="A228" s="8" t="s">
        <v>5668</v>
      </c>
      <c r="B228" s="8">
        <f t="shared" si="21"/>
        <v>600226</v>
      </c>
      <c r="C228" s="1" t="s">
        <v>6982</v>
      </c>
      <c r="D228" s="9" t="str">
        <f>IFERROR(VLOOKUP(VLOOKUP(VLOOKUP(C228,Project.csv!F:Q,12,FALSE),ServiceAreas.csv!B:I,8,FALSE),LocalAreas.csv!B:I,7,FALSE),200029)</f>
        <v>rg:None</v>
      </c>
      <c r="E228" s="8" t="str">
        <f t="shared" si="22"/>
        <v>rg:{'id':'rg:None'}</v>
      </c>
      <c r="F228" s="9" t="s">
        <v>7055</v>
      </c>
      <c r="G228" s="9" t="str">
        <f ca="1">INDEX(DistrictEquipmentTypes.csv!F:F,RANDBETWEEN(2,COUNTA(DistrictEquipmentTypes.csv!D:D)),1)</f>
        <v>200009</v>
      </c>
      <c r="H228" s="8" t="str">
        <f t="shared" ca="1" si="23"/>
        <v>rg:{ 'id': '200009'}</v>
      </c>
      <c r="I228" s="8">
        <f t="shared" ca="1" si="24"/>
        <v>3</v>
      </c>
      <c r="J228" s="8">
        <f t="shared" ca="1" si="25"/>
        <v>52</v>
      </c>
      <c r="K228" s="8" t="str">
        <f t="shared" ca="1" si="26"/>
        <v>2017-04-13</v>
      </c>
      <c r="L228" s="8" t="str">
        <f t="shared" ca="1" si="27"/>
        <v>2017-05-02</v>
      </c>
    </row>
    <row r="229" spans="1:12" x14ac:dyDescent="0.3">
      <c r="A229" s="8" t="s">
        <v>5668</v>
      </c>
      <c r="B229" s="8">
        <f t="shared" si="21"/>
        <v>600227</v>
      </c>
      <c r="C229" s="1" t="s">
        <v>6916</v>
      </c>
      <c r="D229" s="9" t="str">
        <f>IFERROR(VLOOKUP(VLOOKUP(VLOOKUP(C229,Project.csv!F:Q,12,FALSE),ServiceAreas.csv!B:I,8,FALSE),LocalAreas.csv!B:I,7,FALSE),200029)</f>
        <v>rg:None</v>
      </c>
      <c r="E229" s="8" t="str">
        <f t="shared" si="22"/>
        <v>rg:{'id':'rg:None'}</v>
      </c>
      <c r="F229" s="9" t="s">
        <v>7055</v>
      </c>
      <c r="G229" s="9" t="str">
        <f ca="1">INDEX(DistrictEquipmentTypes.csv!F:F,RANDBETWEEN(2,COUNTA(DistrictEquipmentTypes.csv!D:D)),1)</f>
        <v>200006</v>
      </c>
      <c r="H229" s="8" t="str">
        <f t="shared" ca="1" si="23"/>
        <v>rg:{ 'id': '200006'}</v>
      </c>
      <c r="I229" s="8">
        <f t="shared" ca="1" si="24"/>
        <v>2</v>
      </c>
      <c r="J229" s="8">
        <f t="shared" ca="1" si="25"/>
        <v>25</v>
      </c>
      <c r="K229" s="8" t="str">
        <f t="shared" ca="1" si="26"/>
        <v>2017-05-12</v>
      </c>
      <c r="L229" s="8" t="str">
        <f t="shared" ca="1" si="27"/>
        <v>2017-05-18</v>
      </c>
    </row>
    <row r="230" spans="1:12" x14ac:dyDescent="0.3">
      <c r="A230" s="8" t="s">
        <v>5668</v>
      </c>
      <c r="B230" s="8">
        <f t="shared" si="21"/>
        <v>600228</v>
      </c>
      <c r="C230" s="1" t="s">
        <v>6983</v>
      </c>
      <c r="D230" s="9" t="str">
        <f>IFERROR(VLOOKUP(VLOOKUP(VLOOKUP(C230,Project.csv!F:Q,12,FALSE),ServiceAreas.csv!B:I,8,FALSE),LocalAreas.csv!B:I,7,FALSE),200029)</f>
        <v>rg:None</v>
      </c>
      <c r="E230" s="8" t="str">
        <f t="shared" si="22"/>
        <v>rg:{'id':'rg:None'}</v>
      </c>
      <c r="F230" s="9" t="s">
        <v>7055</v>
      </c>
      <c r="G230" s="9" t="str">
        <f ca="1">INDEX(DistrictEquipmentTypes.csv!F:F,RANDBETWEEN(2,COUNTA(DistrictEquipmentTypes.csv!D:D)),1)</f>
        <v>200005</v>
      </c>
      <c r="H230" s="8" t="str">
        <f t="shared" ca="1" si="23"/>
        <v>rg:{ 'id': '200005'}</v>
      </c>
      <c r="I230" s="8">
        <f t="shared" ca="1" si="24"/>
        <v>1</v>
      </c>
      <c r="J230" s="8">
        <f t="shared" ca="1" si="25"/>
        <v>97</v>
      </c>
      <c r="K230" s="8" t="str">
        <f t="shared" ca="1" si="26"/>
        <v>2017-05-21</v>
      </c>
      <c r="L230" s="8" t="str">
        <f t="shared" ca="1" si="27"/>
        <v>2017-06-02</v>
      </c>
    </row>
    <row r="231" spans="1:12" x14ac:dyDescent="0.3">
      <c r="A231" s="8" t="s">
        <v>5668</v>
      </c>
      <c r="B231" s="8">
        <f t="shared" si="21"/>
        <v>600229</v>
      </c>
      <c r="C231" s="1" t="s">
        <v>6984</v>
      </c>
      <c r="D231" s="9" t="str">
        <f>IFERROR(VLOOKUP(VLOOKUP(VLOOKUP(C231,Project.csv!F:Q,12,FALSE),ServiceAreas.csv!B:I,8,FALSE),LocalAreas.csv!B:I,7,FALSE),200029)</f>
        <v>rg:None</v>
      </c>
      <c r="E231" s="8" t="str">
        <f t="shared" si="22"/>
        <v>rg:{'id':'rg:None'}</v>
      </c>
      <c r="F231" s="9" t="s">
        <v>7055</v>
      </c>
      <c r="G231" s="9" t="str">
        <f ca="1">INDEX(DistrictEquipmentTypes.csv!F:F,RANDBETWEEN(2,COUNTA(DistrictEquipmentTypes.csv!D:D)),1)</f>
        <v>200007</v>
      </c>
      <c r="H231" s="8" t="str">
        <f t="shared" ca="1" si="23"/>
        <v>rg:{ 'id': '200007'}</v>
      </c>
      <c r="I231" s="8">
        <f t="shared" ca="1" si="24"/>
        <v>4</v>
      </c>
      <c r="J231" s="8">
        <f t="shared" ca="1" si="25"/>
        <v>63</v>
      </c>
      <c r="K231" s="8" t="str">
        <f t="shared" ca="1" si="26"/>
        <v>2017-04-08</v>
      </c>
      <c r="L231" s="8" t="str">
        <f t="shared" ca="1" si="27"/>
        <v>2017-05-09</v>
      </c>
    </row>
    <row r="232" spans="1:12" x14ac:dyDescent="0.3">
      <c r="A232" s="8" t="s">
        <v>5668</v>
      </c>
      <c r="B232" s="8">
        <f t="shared" si="21"/>
        <v>600230</v>
      </c>
      <c r="C232" s="1" t="s">
        <v>6985</v>
      </c>
      <c r="D232" s="9" t="str">
        <f>IFERROR(VLOOKUP(VLOOKUP(VLOOKUP(C232,Project.csv!F:Q,12,FALSE),ServiceAreas.csv!B:I,8,FALSE),LocalAreas.csv!B:I,7,FALSE),200029)</f>
        <v>rg:None</v>
      </c>
      <c r="E232" s="8" t="str">
        <f t="shared" si="22"/>
        <v>rg:{'id':'rg:None'}</v>
      </c>
      <c r="F232" s="9" t="s">
        <v>7055</v>
      </c>
      <c r="G232" s="9" t="str">
        <f ca="1">INDEX(DistrictEquipmentTypes.csv!F:F,RANDBETWEEN(2,COUNTA(DistrictEquipmentTypes.csv!D:D)),1)</f>
        <v>200001</v>
      </c>
      <c r="H232" s="8" t="str">
        <f t="shared" ca="1" si="23"/>
        <v>rg:{ 'id': '200001'}</v>
      </c>
      <c r="I232" s="8">
        <f t="shared" ca="1" si="24"/>
        <v>1</v>
      </c>
      <c r="J232" s="8">
        <f t="shared" ca="1" si="25"/>
        <v>10</v>
      </c>
      <c r="K232" s="8" t="str">
        <f t="shared" ca="1" si="26"/>
        <v>2017-05-09</v>
      </c>
      <c r="L232" s="8" t="str">
        <f t="shared" ca="1" si="27"/>
        <v>2017-05-10</v>
      </c>
    </row>
    <row r="233" spans="1:12" x14ac:dyDescent="0.3">
      <c r="A233" s="8" t="s">
        <v>5668</v>
      </c>
      <c r="B233" s="8">
        <f t="shared" si="21"/>
        <v>600231</v>
      </c>
      <c r="C233" s="1" t="s">
        <v>6922</v>
      </c>
      <c r="D233" s="9" t="str">
        <f>IFERROR(VLOOKUP(VLOOKUP(VLOOKUP(C233,Project.csv!F:Q,12,FALSE),ServiceAreas.csv!B:I,8,FALSE),LocalAreas.csv!B:I,7,FALSE),200029)</f>
        <v>rg:None</v>
      </c>
      <c r="E233" s="8" t="str">
        <f t="shared" si="22"/>
        <v>rg:{'id':'rg:None'}</v>
      </c>
      <c r="F233" s="9" t="s">
        <v>7055</v>
      </c>
      <c r="G233" s="9" t="str">
        <f ca="1">INDEX(DistrictEquipmentTypes.csv!F:F,RANDBETWEEN(2,COUNTA(DistrictEquipmentTypes.csv!D:D)),1)</f>
        <v>200009</v>
      </c>
      <c r="H233" s="8" t="str">
        <f t="shared" ca="1" si="23"/>
        <v>rg:{ 'id': '200009'}</v>
      </c>
      <c r="I233" s="8">
        <f t="shared" ca="1" si="24"/>
        <v>1</v>
      </c>
      <c r="J233" s="8">
        <f t="shared" ca="1" si="25"/>
        <v>41</v>
      </c>
      <c r="K233" s="8" t="str">
        <f t="shared" ca="1" si="26"/>
        <v>2017-05-18</v>
      </c>
      <c r="L233" s="8" t="str">
        <f t="shared" ca="1" si="27"/>
        <v>2017-05-23</v>
      </c>
    </row>
    <row r="234" spans="1:12" x14ac:dyDescent="0.3">
      <c r="A234" s="8" t="s">
        <v>5668</v>
      </c>
      <c r="B234" s="8">
        <f t="shared" si="21"/>
        <v>600232</v>
      </c>
      <c r="C234" s="1" t="s">
        <v>6986</v>
      </c>
      <c r="D234" s="9" t="str">
        <f>IFERROR(VLOOKUP(VLOOKUP(VLOOKUP(C234,Project.csv!F:Q,12,FALSE),ServiceAreas.csv!B:I,8,FALSE),LocalAreas.csv!B:I,7,FALSE),200029)</f>
        <v>rg:None</v>
      </c>
      <c r="E234" s="8" t="str">
        <f t="shared" si="22"/>
        <v>rg:{'id':'rg:None'}</v>
      </c>
      <c r="F234" s="9" t="s">
        <v>7055</v>
      </c>
      <c r="G234" s="9" t="str">
        <f ca="1">INDEX(DistrictEquipmentTypes.csv!F:F,RANDBETWEEN(2,COUNTA(DistrictEquipmentTypes.csv!D:D)),1)</f>
        <v>200003</v>
      </c>
      <c r="H234" s="8" t="str">
        <f t="shared" ca="1" si="23"/>
        <v>rg:{ 'id': '200003'}</v>
      </c>
      <c r="I234" s="8">
        <f t="shared" ca="1" si="24"/>
        <v>2</v>
      </c>
      <c r="J234" s="8">
        <f t="shared" ca="1" si="25"/>
        <v>78</v>
      </c>
      <c r="K234" s="8" t="str">
        <f t="shared" ca="1" si="26"/>
        <v>2017-05-15</v>
      </c>
      <c r="L234" s="8" t="str">
        <f t="shared" ca="1" si="27"/>
        <v>2017-06-03</v>
      </c>
    </row>
    <row r="235" spans="1:12" x14ac:dyDescent="0.3">
      <c r="A235" s="8" t="s">
        <v>5668</v>
      </c>
      <c r="B235" s="8">
        <f t="shared" si="21"/>
        <v>600233</v>
      </c>
      <c r="C235" s="1" t="s">
        <v>6987</v>
      </c>
      <c r="D235" s="9" t="str">
        <f>IFERROR(VLOOKUP(VLOOKUP(VLOOKUP(C235,Project.csv!F:Q,12,FALSE),ServiceAreas.csv!B:I,8,FALSE),LocalAreas.csv!B:I,7,FALSE),200029)</f>
        <v>rg:None</v>
      </c>
      <c r="E235" s="8" t="str">
        <f t="shared" si="22"/>
        <v>rg:{'id':'rg:None'}</v>
      </c>
      <c r="F235" s="9" t="s">
        <v>7055</v>
      </c>
      <c r="G235" s="9" t="str">
        <f ca="1">INDEX(DistrictEquipmentTypes.csv!F:F,RANDBETWEEN(2,COUNTA(DistrictEquipmentTypes.csv!D:D)),1)</f>
        <v>200001</v>
      </c>
      <c r="H235" s="8" t="str">
        <f t="shared" ca="1" si="23"/>
        <v>rg:{ 'id': '200001'}</v>
      </c>
      <c r="I235" s="8">
        <f t="shared" ca="1" si="24"/>
        <v>1</v>
      </c>
      <c r="J235" s="8">
        <f t="shared" ca="1" si="25"/>
        <v>15</v>
      </c>
      <c r="K235" s="8" t="str">
        <f t="shared" ca="1" si="26"/>
        <v>2017-04-24</v>
      </c>
      <c r="L235" s="8" t="str">
        <f t="shared" ca="1" si="27"/>
        <v>2017-04-25</v>
      </c>
    </row>
    <row r="236" spans="1:12" x14ac:dyDescent="0.3">
      <c r="A236" s="8" t="s">
        <v>5668</v>
      </c>
      <c r="B236" s="8">
        <f t="shared" si="21"/>
        <v>600234</v>
      </c>
      <c r="C236" s="1" t="s">
        <v>6988</v>
      </c>
      <c r="D236" s="9" t="str">
        <f>IFERROR(VLOOKUP(VLOOKUP(VLOOKUP(C236,Project.csv!F:Q,12,FALSE),ServiceAreas.csv!B:I,8,FALSE),LocalAreas.csv!B:I,7,FALSE),200029)</f>
        <v>rg:None</v>
      </c>
      <c r="E236" s="8" t="str">
        <f t="shared" si="22"/>
        <v>rg:{'id':'rg:None'}</v>
      </c>
      <c r="F236" s="9" t="s">
        <v>7055</v>
      </c>
      <c r="G236" s="9" t="str">
        <f ca="1">INDEX(DistrictEquipmentTypes.csv!F:F,RANDBETWEEN(2,COUNTA(DistrictEquipmentTypes.csv!D:D)),1)</f>
        <v>200003</v>
      </c>
      <c r="H236" s="8" t="str">
        <f t="shared" ca="1" si="23"/>
        <v>rg:{ 'id': '200003'}</v>
      </c>
      <c r="I236" s="8">
        <f t="shared" ca="1" si="24"/>
        <v>1</v>
      </c>
      <c r="J236" s="8">
        <f t="shared" ca="1" si="25"/>
        <v>77</v>
      </c>
      <c r="K236" s="8" t="str">
        <f t="shared" ca="1" si="26"/>
        <v>2017-04-22</v>
      </c>
      <c r="L236" s="8" t="str">
        <f t="shared" ca="1" si="27"/>
        <v>2017-05-01</v>
      </c>
    </row>
    <row r="237" spans="1:12" x14ac:dyDescent="0.3">
      <c r="A237" s="8" t="s">
        <v>5668</v>
      </c>
      <c r="B237" s="8">
        <f t="shared" si="21"/>
        <v>600235</v>
      </c>
      <c r="C237" s="1" t="s">
        <v>6989</v>
      </c>
      <c r="D237" s="9" t="str">
        <f>IFERROR(VLOOKUP(VLOOKUP(VLOOKUP(C237,Project.csv!F:Q,12,FALSE),ServiceAreas.csv!B:I,8,FALSE),LocalAreas.csv!B:I,7,FALSE),200029)</f>
        <v>rg:None</v>
      </c>
      <c r="E237" s="8" t="str">
        <f t="shared" si="22"/>
        <v>rg:{'id':'rg:None'}</v>
      </c>
      <c r="F237" s="9" t="s">
        <v>7055</v>
      </c>
      <c r="G237" s="9" t="str">
        <f ca="1">INDEX(DistrictEquipmentTypes.csv!F:F,RANDBETWEEN(2,COUNTA(DistrictEquipmentTypes.csv!D:D)),1)</f>
        <v>200006</v>
      </c>
      <c r="H237" s="8" t="str">
        <f t="shared" ca="1" si="23"/>
        <v>rg:{ 'id': '200006'}</v>
      </c>
      <c r="I237" s="8">
        <f t="shared" ca="1" si="24"/>
        <v>1</v>
      </c>
      <c r="J237" s="8">
        <f t="shared" ca="1" si="25"/>
        <v>11</v>
      </c>
      <c r="K237" s="8" t="str">
        <f t="shared" ca="1" si="26"/>
        <v>2017-04-26</v>
      </c>
      <c r="L237" s="8" t="str">
        <f t="shared" ca="1" si="27"/>
        <v>2017-04-27</v>
      </c>
    </row>
    <row r="238" spans="1:12" x14ac:dyDescent="0.3">
      <c r="A238" s="8" t="s">
        <v>5668</v>
      </c>
      <c r="B238" s="8">
        <f t="shared" si="21"/>
        <v>600236</v>
      </c>
      <c r="C238" s="1" t="s">
        <v>6990</v>
      </c>
      <c r="D238" s="9" t="str">
        <f>IFERROR(VLOOKUP(VLOOKUP(VLOOKUP(C238,Project.csv!F:Q,12,FALSE),ServiceAreas.csv!B:I,8,FALSE),LocalAreas.csv!B:I,7,FALSE),200029)</f>
        <v>rg:None</v>
      </c>
      <c r="E238" s="8" t="str">
        <f t="shared" si="22"/>
        <v>rg:{'id':'rg:None'}</v>
      </c>
      <c r="F238" s="9" t="s">
        <v>7055</v>
      </c>
      <c r="G238" s="9" t="str">
        <f ca="1">INDEX(DistrictEquipmentTypes.csv!F:F,RANDBETWEEN(2,COUNTA(DistrictEquipmentTypes.csv!D:D)),1)</f>
        <v>200004</v>
      </c>
      <c r="H238" s="8" t="str">
        <f t="shared" ca="1" si="23"/>
        <v>rg:{ 'id': '200004'}</v>
      </c>
      <c r="I238" s="8">
        <f t="shared" ca="1" si="24"/>
        <v>1</v>
      </c>
      <c r="J238" s="8">
        <f t="shared" ca="1" si="25"/>
        <v>84</v>
      </c>
      <c r="K238" s="8" t="str">
        <f t="shared" ca="1" si="26"/>
        <v>2017-04-24</v>
      </c>
      <c r="L238" s="8" t="str">
        <f t="shared" ca="1" si="27"/>
        <v>2017-05-04</v>
      </c>
    </row>
    <row r="239" spans="1:12" x14ac:dyDescent="0.3">
      <c r="A239" s="8" t="s">
        <v>5668</v>
      </c>
      <c r="B239" s="8">
        <f t="shared" si="21"/>
        <v>600237</v>
      </c>
      <c r="C239" s="1" t="s">
        <v>6991</v>
      </c>
      <c r="D239" s="9" t="str">
        <f>IFERROR(VLOOKUP(VLOOKUP(VLOOKUP(C239,Project.csv!F:Q,12,FALSE),ServiceAreas.csv!B:I,8,FALSE),LocalAreas.csv!B:I,7,FALSE),200029)</f>
        <v>rg:None</v>
      </c>
      <c r="E239" s="8" t="str">
        <f t="shared" si="22"/>
        <v>rg:{'id':'rg:None'}</v>
      </c>
      <c r="F239" s="9" t="s">
        <v>7055</v>
      </c>
      <c r="G239" s="9" t="str">
        <f ca="1">INDEX(DistrictEquipmentTypes.csv!F:F,RANDBETWEEN(2,COUNTA(DistrictEquipmentTypes.csv!D:D)),1)</f>
        <v>200009</v>
      </c>
      <c r="H239" s="8" t="str">
        <f t="shared" ca="1" si="23"/>
        <v>rg:{ 'id': '200009'}</v>
      </c>
      <c r="I239" s="8">
        <f t="shared" ca="1" si="24"/>
        <v>3</v>
      </c>
      <c r="J239" s="8">
        <f t="shared" ca="1" si="25"/>
        <v>86</v>
      </c>
      <c r="K239" s="8" t="str">
        <f t="shared" ca="1" si="26"/>
        <v>2017-05-05</v>
      </c>
      <c r="L239" s="8" t="str">
        <f t="shared" ca="1" si="27"/>
        <v>2017-06-06</v>
      </c>
    </row>
    <row r="240" spans="1:12" x14ac:dyDescent="0.3">
      <c r="A240" s="8" t="s">
        <v>5668</v>
      </c>
      <c r="B240" s="8">
        <f t="shared" si="21"/>
        <v>600238</v>
      </c>
      <c r="C240" s="1" t="s">
        <v>6992</v>
      </c>
      <c r="D240" s="9" t="str">
        <f>IFERROR(VLOOKUP(VLOOKUP(VLOOKUP(C240,Project.csv!F:Q,12,FALSE),ServiceAreas.csv!B:I,8,FALSE),LocalAreas.csv!B:I,7,FALSE),200029)</f>
        <v>rg:None</v>
      </c>
      <c r="E240" s="8" t="str">
        <f t="shared" si="22"/>
        <v>rg:{'id':'rg:None'}</v>
      </c>
      <c r="F240" s="9" t="s">
        <v>7055</v>
      </c>
      <c r="G240" s="9" t="str">
        <f ca="1">INDEX(DistrictEquipmentTypes.csv!F:F,RANDBETWEEN(2,COUNTA(DistrictEquipmentTypes.csv!D:D)),1)</f>
        <v>200006</v>
      </c>
      <c r="H240" s="8" t="str">
        <f t="shared" ca="1" si="23"/>
        <v>rg:{ 'id': '200006'}</v>
      </c>
      <c r="I240" s="8">
        <f t="shared" ca="1" si="24"/>
        <v>1</v>
      </c>
      <c r="J240" s="8">
        <f t="shared" ca="1" si="25"/>
        <v>38</v>
      </c>
      <c r="K240" s="8" t="str">
        <f t="shared" ca="1" si="26"/>
        <v>2017-05-17</v>
      </c>
      <c r="L240" s="8" t="str">
        <f t="shared" ca="1" si="27"/>
        <v>2017-05-21</v>
      </c>
    </row>
    <row r="241" spans="1:12" x14ac:dyDescent="0.3">
      <c r="A241" s="8" t="s">
        <v>5668</v>
      </c>
      <c r="B241" s="8">
        <f t="shared" si="21"/>
        <v>600239</v>
      </c>
      <c r="C241" s="1" t="s">
        <v>6902</v>
      </c>
      <c r="D241" s="9" t="str">
        <f>IFERROR(VLOOKUP(VLOOKUP(VLOOKUP(C241,Project.csv!F:Q,12,FALSE),ServiceAreas.csv!B:I,8,FALSE),LocalAreas.csv!B:I,7,FALSE),200029)</f>
        <v>rg:None</v>
      </c>
      <c r="E241" s="8" t="str">
        <f t="shared" si="22"/>
        <v>rg:{'id':'rg:None'}</v>
      </c>
      <c r="F241" s="9" t="s">
        <v>7055</v>
      </c>
      <c r="G241" s="9" t="str">
        <f ca="1">INDEX(DistrictEquipmentTypes.csv!F:F,RANDBETWEEN(2,COUNTA(DistrictEquipmentTypes.csv!D:D)),1)</f>
        <v>200004</v>
      </c>
      <c r="H241" s="8" t="str">
        <f t="shared" ca="1" si="23"/>
        <v>rg:{ 'id': '200004'}</v>
      </c>
      <c r="I241" s="8">
        <f t="shared" ca="1" si="24"/>
        <v>3</v>
      </c>
      <c r="J241" s="8">
        <f t="shared" ca="1" si="25"/>
        <v>56</v>
      </c>
      <c r="K241" s="8" t="str">
        <f t="shared" ca="1" si="26"/>
        <v>2017-05-21</v>
      </c>
      <c r="L241" s="8" t="str">
        <f t="shared" ca="1" si="27"/>
        <v>2017-06-11</v>
      </c>
    </row>
    <row r="242" spans="1:12" x14ac:dyDescent="0.3">
      <c r="A242" s="8" t="s">
        <v>5668</v>
      </c>
      <c r="B242" s="8">
        <f t="shared" si="21"/>
        <v>600240</v>
      </c>
      <c r="C242" s="1" t="s">
        <v>6897</v>
      </c>
      <c r="D242" s="9" t="str">
        <f>IFERROR(VLOOKUP(VLOOKUP(VLOOKUP(C242,Project.csv!F:Q,12,FALSE),ServiceAreas.csv!B:I,8,FALSE),LocalAreas.csv!B:I,7,FALSE),200029)</f>
        <v>rg:None</v>
      </c>
      <c r="E242" s="8" t="str">
        <f t="shared" si="22"/>
        <v>rg:{'id':'rg:None'}</v>
      </c>
      <c r="F242" s="9" t="s">
        <v>7055</v>
      </c>
      <c r="G242" s="9" t="str">
        <f ca="1">INDEX(DistrictEquipmentTypes.csv!F:F,RANDBETWEEN(2,COUNTA(DistrictEquipmentTypes.csv!D:D)),1)</f>
        <v>200004</v>
      </c>
      <c r="H242" s="8" t="str">
        <f t="shared" ca="1" si="23"/>
        <v>rg:{ 'id': '200004'}</v>
      </c>
      <c r="I242" s="8">
        <f t="shared" ca="1" si="24"/>
        <v>4</v>
      </c>
      <c r="J242" s="8">
        <f t="shared" ca="1" si="25"/>
        <v>79</v>
      </c>
      <c r="K242" s="8" t="str">
        <f t="shared" ca="1" si="26"/>
        <v>2017-05-10</v>
      </c>
      <c r="L242" s="8" t="str">
        <f t="shared" ca="1" si="27"/>
        <v>2017-06-18</v>
      </c>
    </row>
    <row r="243" spans="1:12" x14ac:dyDescent="0.3">
      <c r="A243" s="8" t="s">
        <v>5668</v>
      </c>
      <c r="B243" s="8">
        <f t="shared" si="21"/>
        <v>600241</v>
      </c>
      <c r="C243" s="1" t="s">
        <v>6993</v>
      </c>
      <c r="D243" s="9" t="str">
        <f>IFERROR(VLOOKUP(VLOOKUP(VLOOKUP(C243,Project.csv!F:Q,12,FALSE),ServiceAreas.csv!B:I,8,FALSE),LocalAreas.csv!B:I,7,FALSE),200029)</f>
        <v>rg:None</v>
      </c>
      <c r="E243" s="8" t="str">
        <f t="shared" si="22"/>
        <v>rg:{'id':'rg:None'}</v>
      </c>
      <c r="F243" s="9" t="s">
        <v>7055</v>
      </c>
      <c r="G243" s="9" t="str">
        <f ca="1">INDEX(DistrictEquipmentTypes.csv!F:F,RANDBETWEEN(2,COUNTA(DistrictEquipmentTypes.csv!D:D)),1)</f>
        <v>200002</v>
      </c>
      <c r="H243" s="8" t="str">
        <f t="shared" ca="1" si="23"/>
        <v>rg:{ 'id': '200002'}</v>
      </c>
      <c r="I243" s="8">
        <f t="shared" ca="1" si="24"/>
        <v>1</v>
      </c>
      <c r="J243" s="8">
        <f t="shared" ca="1" si="25"/>
        <v>20</v>
      </c>
      <c r="K243" s="8" t="str">
        <f t="shared" ca="1" si="26"/>
        <v>2017-04-04</v>
      </c>
      <c r="L243" s="8" t="str">
        <f t="shared" ca="1" si="27"/>
        <v>2017-04-06</v>
      </c>
    </row>
    <row r="244" spans="1:12" x14ac:dyDescent="0.3">
      <c r="A244" s="8" t="s">
        <v>5668</v>
      </c>
      <c r="B244" s="8">
        <f t="shared" si="21"/>
        <v>600242</v>
      </c>
      <c r="C244" s="1" t="s">
        <v>6994</v>
      </c>
      <c r="D244" s="9" t="str">
        <f>IFERROR(VLOOKUP(VLOOKUP(VLOOKUP(C244,Project.csv!F:Q,12,FALSE),ServiceAreas.csv!B:I,8,FALSE),LocalAreas.csv!B:I,7,FALSE),200029)</f>
        <v>rg:None</v>
      </c>
      <c r="E244" s="8" t="str">
        <f t="shared" si="22"/>
        <v>rg:{'id':'rg:None'}</v>
      </c>
      <c r="F244" s="9" t="s">
        <v>7055</v>
      </c>
      <c r="G244" s="9" t="str">
        <f ca="1">INDEX(DistrictEquipmentTypes.csv!F:F,RANDBETWEEN(2,COUNTA(DistrictEquipmentTypes.csv!D:D)),1)</f>
        <v>200006</v>
      </c>
      <c r="H244" s="8" t="str">
        <f t="shared" ca="1" si="23"/>
        <v>rg:{ 'id': '200006'}</v>
      </c>
      <c r="I244" s="8">
        <f t="shared" ca="1" si="24"/>
        <v>5</v>
      </c>
      <c r="J244" s="8">
        <f t="shared" ca="1" si="25"/>
        <v>35</v>
      </c>
      <c r="K244" s="8" t="str">
        <f t="shared" ca="1" si="26"/>
        <v>2017-05-04</v>
      </c>
      <c r="L244" s="8" t="str">
        <f t="shared" ca="1" si="27"/>
        <v>2017-05-25</v>
      </c>
    </row>
    <row r="245" spans="1:12" x14ac:dyDescent="0.3">
      <c r="A245" s="8" t="s">
        <v>5668</v>
      </c>
      <c r="B245" s="8">
        <f t="shared" si="21"/>
        <v>600243</v>
      </c>
      <c r="C245" s="1" t="s">
        <v>6995</v>
      </c>
      <c r="D245" s="9" t="str">
        <f>IFERROR(VLOOKUP(VLOOKUP(VLOOKUP(C245,Project.csv!F:Q,12,FALSE),ServiceAreas.csv!B:I,8,FALSE),LocalAreas.csv!B:I,7,FALSE),200029)</f>
        <v>rg:None</v>
      </c>
      <c r="E245" s="8" t="str">
        <f t="shared" si="22"/>
        <v>rg:{'id':'rg:None'}</v>
      </c>
      <c r="F245" s="9" t="s">
        <v>7055</v>
      </c>
      <c r="G245" s="9" t="str">
        <f ca="1">INDEX(DistrictEquipmentTypes.csv!F:F,RANDBETWEEN(2,COUNTA(DistrictEquipmentTypes.csv!D:D)),1)</f>
        <v>200006</v>
      </c>
      <c r="H245" s="8" t="str">
        <f t="shared" ca="1" si="23"/>
        <v>rg:{ 'id': '200006'}</v>
      </c>
      <c r="I245" s="8">
        <f t="shared" ca="1" si="24"/>
        <v>1</v>
      </c>
      <c r="J245" s="8">
        <f t="shared" ca="1" si="25"/>
        <v>67</v>
      </c>
      <c r="K245" s="8" t="str">
        <f t="shared" ca="1" si="26"/>
        <v>2017-04-28</v>
      </c>
      <c r="L245" s="8" t="str">
        <f t="shared" ca="1" si="27"/>
        <v>2017-05-06</v>
      </c>
    </row>
    <row r="246" spans="1:12" x14ac:dyDescent="0.3">
      <c r="A246" s="8" t="s">
        <v>5668</v>
      </c>
      <c r="B246" s="8">
        <f t="shared" si="21"/>
        <v>600244</v>
      </c>
      <c r="C246" s="1" t="s">
        <v>6996</v>
      </c>
      <c r="D246" s="9" t="str">
        <f>IFERROR(VLOOKUP(VLOOKUP(VLOOKUP(C246,Project.csv!F:Q,12,FALSE),ServiceAreas.csv!B:I,8,FALSE),LocalAreas.csv!B:I,7,FALSE),200029)</f>
        <v>rg:None</v>
      </c>
      <c r="E246" s="8" t="str">
        <f t="shared" si="22"/>
        <v>rg:{'id':'rg:None'}</v>
      </c>
      <c r="F246" s="9" t="s">
        <v>7055</v>
      </c>
      <c r="G246" s="9" t="str">
        <f ca="1">INDEX(DistrictEquipmentTypes.csv!F:F,RANDBETWEEN(2,COUNTA(DistrictEquipmentTypes.csv!D:D)),1)</f>
        <v>200006</v>
      </c>
      <c r="H246" s="8" t="str">
        <f t="shared" ca="1" si="23"/>
        <v>rg:{ 'id': '200006'}</v>
      </c>
      <c r="I246" s="8">
        <f t="shared" ca="1" si="24"/>
        <v>1</v>
      </c>
      <c r="J246" s="8">
        <f t="shared" ca="1" si="25"/>
        <v>37</v>
      </c>
      <c r="K246" s="8" t="str">
        <f t="shared" ca="1" si="26"/>
        <v>2017-04-07</v>
      </c>
      <c r="L246" s="8" t="str">
        <f t="shared" ca="1" si="27"/>
        <v>2017-04-11</v>
      </c>
    </row>
    <row r="247" spans="1:12" x14ac:dyDescent="0.3">
      <c r="A247" s="8" t="s">
        <v>5668</v>
      </c>
      <c r="B247" s="8">
        <f t="shared" si="21"/>
        <v>600245</v>
      </c>
      <c r="C247" s="1" t="s">
        <v>6896</v>
      </c>
      <c r="D247" s="9" t="str">
        <f>IFERROR(VLOOKUP(VLOOKUP(VLOOKUP(C247,Project.csv!F:Q,12,FALSE),ServiceAreas.csv!B:I,8,FALSE),LocalAreas.csv!B:I,7,FALSE),200029)</f>
        <v>rg:None</v>
      </c>
      <c r="E247" s="8" t="str">
        <f t="shared" si="22"/>
        <v>rg:{'id':'rg:None'}</v>
      </c>
      <c r="F247" s="9" t="s">
        <v>7055</v>
      </c>
      <c r="G247" s="9" t="str">
        <f ca="1">INDEX(DistrictEquipmentTypes.csv!F:F,RANDBETWEEN(2,COUNTA(DistrictEquipmentTypes.csv!D:D)),1)</f>
        <v>200005</v>
      </c>
      <c r="H247" s="8" t="str">
        <f t="shared" ca="1" si="23"/>
        <v>rg:{ 'id': '200005'}</v>
      </c>
      <c r="I247" s="8">
        <f t="shared" ca="1" si="24"/>
        <v>1</v>
      </c>
      <c r="J247" s="8">
        <f t="shared" ca="1" si="25"/>
        <v>65</v>
      </c>
      <c r="K247" s="8" t="str">
        <f t="shared" ca="1" si="26"/>
        <v>2017-05-12</v>
      </c>
      <c r="L247" s="8" t="str">
        <f t="shared" ca="1" si="27"/>
        <v>2017-05-20</v>
      </c>
    </row>
    <row r="248" spans="1:12" x14ac:dyDescent="0.3">
      <c r="A248" s="8" t="s">
        <v>5668</v>
      </c>
      <c r="B248" s="8">
        <f t="shared" si="21"/>
        <v>600246</v>
      </c>
      <c r="C248" s="1" t="s">
        <v>6997</v>
      </c>
      <c r="D248" s="9" t="str">
        <f>IFERROR(VLOOKUP(VLOOKUP(VLOOKUP(C248,Project.csv!F:Q,12,FALSE),ServiceAreas.csv!B:I,8,FALSE),LocalAreas.csv!B:I,7,FALSE),200029)</f>
        <v>rg:None</v>
      </c>
      <c r="E248" s="8" t="str">
        <f t="shared" si="22"/>
        <v>rg:{'id':'rg:None'}</v>
      </c>
      <c r="F248" s="9" t="s">
        <v>7055</v>
      </c>
      <c r="G248" s="9" t="str">
        <f ca="1">INDEX(DistrictEquipmentTypes.csv!F:F,RANDBETWEEN(2,COUNTA(DistrictEquipmentTypes.csv!D:D)),1)</f>
        <v>200006</v>
      </c>
      <c r="H248" s="8" t="str">
        <f t="shared" ca="1" si="23"/>
        <v>rg:{ 'id': '200006'}</v>
      </c>
      <c r="I248" s="8">
        <f t="shared" ca="1" si="24"/>
        <v>1</v>
      </c>
      <c r="J248" s="8">
        <f t="shared" ca="1" si="25"/>
        <v>26</v>
      </c>
      <c r="K248" s="8" t="str">
        <f t="shared" ca="1" si="26"/>
        <v>2017-04-28</v>
      </c>
      <c r="L248" s="8" t="str">
        <f t="shared" ca="1" si="27"/>
        <v>2017-05-01</v>
      </c>
    </row>
    <row r="249" spans="1:12" x14ac:dyDescent="0.3">
      <c r="A249" s="8" t="s">
        <v>5668</v>
      </c>
      <c r="B249" s="8">
        <f t="shared" si="21"/>
        <v>600247</v>
      </c>
      <c r="C249" s="1" t="s">
        <v>6998</v>
      </c>
      <c r="D249" s="9" t="str">
        <f>IFERROR(VLOOKUP(VLOOKUP(VLOOKUP(C249,Project.csv!F:Q,12,FALSE),ServiceAreas.csv!B:I,8,FALSE),LocalAreas.csv!B:I,7,FALSE),200029)</f>
        <v>rg:None</v>
      </c>
      <c r="E249" s="8" t="str">
        <f t="shared" si="22"/>
        <v>rg:{'id':'rg:None'}</v>
      </c>
      <c r="F249" s="9" t="s">
        <v>7055</v>
      </c>
      <c r="G249" s="9" t="str">
        <f ca="1">INDEX(DistrictEquipmentTypes.csv!F:F,RANDBETWEEN(2,COUNTA(DistrictEquipmentTypes.csv!D:D)),1)</f>
        <v>200001</v>
      </c>
      <c r="H249" s="8" t="str">
        <f t="shared" ca="1" si="23"/>
        <v>rg:{ 'id': '200001'}</v>
      </c>
      <c r="I249" s="8">
        <f t="shared" ca="1" si="24"/>
        <v>1</v>
      </c>
      <c r="J249" s="8">
        <f t="shared" ca="1" si="25"/>
        <v>32</v>
      </c>
      <c r="K249" s="8" t="str">
        <f t="shared" ca="1" si="26"/>
        <v>2017-04-05</v>
      </c>
      <c r="L249" s="8" t="str">
        <f t="shared" ca="1" si="27"/>
        <v>2017-04-09</v>
      </c>
    </row>
    <row r="250" spans="1:12" x14ac:dyDescent="0.3">
      <c r="A250" s="8" t="s">
        <v>5668</v>
      </c>
      <c r="B250" s="8">
        <f t="shared" si="21"/>
        <v>600248</v>
      </c>
      <c r="C250" s="1" t="s">
        <v>6999</v>
      </c>
      <c r="D250" s="9" t="str">
        <f>IFERROR(VLOOKUP(VLOOKUP(VLOOKUP(C250,Project.csv!F:Q,12,FALSE),ServiceAreas.csv!B:I,8,FALSE),LocalAreas.csv!B:I,7,FALSE),200029)</f>
        <v>rg:None</v>
      </c>
      <c r="E250" s="8" t="str">
        <f t="shared" si="22"/>
        <v>rg:{'id':'rg:None'}</v>
      </c>
      <c r="F250" s="9" t="s">
        <v>7055</v>
      </c>
      <c r="G250" s="9" t="str">
        <f ca="1">INDEX(DistrictEquipmentTypes.csv!F:F,RANDBETWEEN(2,COUNTA(DistrictEquipmentTypes.csv!D:D)),1)</f>
        <v>200006</v>
      </c>
      <c r="H250" s="8" t="str">
        <f t="shared" ca="1" si="23"/>
        <v>rg:{ 'id': '200006'}</v>
      </c>
      <c r="I250" s="8">
        <f t="shared" ca="1" si="24"/>
        <v>1</v>
      </c>
      <c r="J250" s="8">
        <f t="shared" ca="1" si="25"/>
        <v>70</v>
      </c>
      <c r="K250" s="8" t="str">
        <f t="shared" ca="1" si="26"/>
        <v>2017-05-17</v>
      </c>
      <c r="L250" s="8" t="str">
        <f t="shared" ca="1" si="27"/>
        <v>2017-05-25</v>
      </c>
    </row>
    <row r="251" spans="1:12" x14ac:dyDescent="0.3">
      <c r="A251" s="8" t="s">
        <v>5668</v>
      </c>
      <c r="B251" s="8">
        <f t="shared" si="21"/>
        <v>600249</v>
      </c>
      <c r="C251" s="1" t="s">
        <v>6908</v>
      </c>
      <c r="D251" s="9" t="str">
        <f>IFERROR(VLOOKUP(VLOOKUP(VLOOKUP(C251,Project.csv!F:Q,12,FALSE),ServiceAreas.csv!B:I,8,FALSE),LocalAreas.csv!B:I,7,FALSE),200029)</f>
        <v>rg:None</v>
      </c>
      <c r="E251" s="8" t="str">
        <f t="shared" si="22"/>
        <v>rg:{'id':'rg:None'}</v>
      </c>
      <c r="F251" s="9" t="s">
        <v>7055</v>
      </c>
      <c r="G251" s="9" t="str">
        <f ca="1">INDEX(DistrictEquipmentTypes.csv!F:F,RANDBETWEEN(2,COUNTA(DistrictEquipmentTypes.csv!D:D)),1)</f>
        <v>200003</v>
      </c>
      <c r="H251" s="8" t="str">
        <f t="shared" ca="1" si="23"/>
        <v>rg:{ 'id': '200003'}</v>
      </c>
      <c r="I251" s="8">
        <f t="shared" ca="1" si="24"/>
        <v>2</v>
      </c>
      <c r="J251" s="8">
        <f t="shared" ca="1" si="25"/>
        <v>57</v>
      </c>
      <c r="K251" s="8" t="str">
        <f t="shared" ca="1" si="26"/>
        <v>2017-05-08</v>
      </c>
      <c r="L251" s="8" t="str">
        <f t="shared" ca="1" si="27"/>
        <v>2017-05-22</v>
      </c>
    </row>
    <row r="252" spans="1:12" x14ac:dyDescent="0.3">
      <c r="A252" s="8" t="s">
        <v>5668</v>
      </c>
      <c r="B252" s="8">
        <f t="shared" si="21"/>
        <v>600250</v>
      </c>
      <c r="C252" s="1" t="s">
        <v>7000</v>
      </c>
      <c r="D252" s="9" t="str">
        <f>IFERROR(VLOOKUP(VLOOKUP(VLOOKUP(C252,Project.csv!F:Q,12,FALSE),ServiceAreas.csv!B:I,8,FALSE),LocalAreas.csv!B:I,7,FALSE),200029)</f>
        <v>rg:None</v>
      </c>
      <c r="E252" s="8" t="str">
        <f t="shared" si="22"/>
        <v>rg:{'id':'rg:None'}</v>
      </c>
      <c r="F252" s="9" t="s">
        <v>7055</v>
      </c>
      <c r="G252" s="9" t="str">
        <f ca="1">INDEX(DistrictEquipmentTypes.csv!F:F,RANDBETWEEN(2,COUNTA(DistrictEquipmentTypes.csv!D:D)),1)</f>
        <v>200009</v>
      </c>
      <c r="H252" s="8" t="str">
        <f t="shared" ca="1" si="23"/>
        <v>rg:{ 'id': '200009'}</v>
      </c>
      <c r="I252" s="8">
        <f t="shared" ca="1" si="24"/>
        <v>1</v>
      </c>
      <c r="J252" s="8">
        <f t="shared" ca="1" si="25"/>
        <v>52</v>
      </c>
      <c r="K252" s="8" t="str">
        <f t="shared" ca="1" si="26"/>
        <v>2017-04-15</v>
      </c>
      <c r="L252" s="8" t="str">
        <f t="shared" ca="1" si="27"/>
        <v>2017-04-21</v>
      </c>
    </row>
    <row r="253" spans="1:12" x14ac:dyDescent="0.3">
      <c r="A253" s="8" t="s">
        <v>5668</v>
      </c>
      <c r="B253" s="8">
        <f t="shared" si="21"/>
        <v>600251</v>
      </c>
      <c r="C253" s="1" t="s">
        <v>7001</v>
      </c>
      <c r="D253" s="9" t="str">
        <f>IFERROR(VLOOKUP(VLOOKUP(VLOOKUP(C253,Project.csv!F:Q,12,FALSE),ServiceAreas.csv!B:I,8,FALSE),LocalAreas.csv!B:I,7,FALSE),200029)</f>
        <v>rg:None</v>
      </c>
      <c r="E253" s="8" t="str">
        <f t="shared" si="22"/>
        <v>rg:{'id':'rg:None'}</v>
      </c>
      <c r="F253" s="9" t="s">
        <v>7055</v>
      </c>
      <c r="G253" s="9" t="str">
        <f ca="1">INDEX(DistrictEquipmentTypes.csv!F:F,RANDBETWEEN(2,COUNTA(DistrictEquipmentTypes.csv!D:D)),1)</f>
        <v>200009</v>
      </c>
      <c r="H253" s="8" t="str">
        <f t="shared" ca="1" si="23"/>
        <v>rg:{ 'id': '200009'}</v>
      </c>
      <c r="I253" s="8">
        <f t="shared" ca="1" si="24"/>
        <v>1</v>
      </c>
      <c r="J253" s="8">
        <f t="shared" ca="1" si="25"/>
        <v>77</v>
      </c>
      <c r="K253" s="8" t="str">
        <f t="shared" ca="1" si="26"/>
        <v>2017-05-19</v>
      </c>
      <c r="L253" s="8" t="str">
        <f t="shared" ca="1" si="27"/>
        <v>2017-05-28</v>
      </c>
    </row>
    <row r="254" spans="1:12" x14ac:dyDescent="0.3">
      <c r="A254" s="8" t="s">
        <v>5668</v>
      </c>
      <c r="B254" s="8">
        <f t="shared" si="21"/>
        <v>600252</v>
      </c>
      <c r="C254" s="1" t="s">
        <v>7002</v>
      </c>
      <c r="D254" s="9" t="str">
        <f>IFERROR(VLOOKUP(VLOOKUP(VLOOKUP(C254,Project.csv!F:Q,12,FALSE),ServiceAreas.csv!B:I,8,FALSE),LocalAreas.csv!B:I,7,FALSE),200029)</f>
        <v>rg:None</v>
      </c>
      <c r="E254" s="8" t="str">
        <f t="shared" si="22"/>
        <v>rg:{'id':'rg:None'}</v>
      </c>
      <c r="F254" s="9" t="s">
        <v>7055</v>
      </c>
      <c r="G254" s="9" t="str">
        <f ca="1">INDEX(DistrictEquipmentTypes.csv!F:F,RANDBETWEEN(2,COUNTA(DistrictEquipmentTypes.csv!D:D)),1)</f>
        <v>200005</v>
      </c>
      <c r="H254" s="8" t="str">
        <f t="shared" ca="1" si="23"/>
        <v>rg:{ 'id': '200005'}</v>
      </c>
      <c r="I254" s="8">
        <f t="shared" ca="1" si="24"/>
        <v>1</v>
      </c>
      <c r="J254" s="8">
        <f t="shared" ca="1" si="25"/>
        <v>100</v>
      </c>
      <c r="K254" s="8" t="str">
        <f t="shared" ca="1" si="26"/>
        <v>2017-04-09</v>
      </c>
      <c r="L254" s="8" t="str">
        <f t="shared" ca="1" si="27"/>
        <v>2017-04-21</v>
      </c>
    </row>
    <row r="255" spans="1:12" x14ac:dyDescent="0.3">
      <c r="A255" s="8" t="s">
        <v>5668</v>
      </c>
      <c r="B255" s="8">
        <f t="shared" si="21"/>
        <v>600253</v>
      </c>
      <c r="C255" s="1" t="s">
        <v>7003</v>
      </c>
      <c r="D255" s="9" t="str">
        <f>IFERROR(VLOOKUP(VLOOKUP(VLOOKUP(C255,Project.csv!F:Q,12,FALSE),ServiceAreas.csv!B:I,8,FALSE),LocalAreas.csv!B:I,7,FALSE),200029)</f>
        <v>rg:None</v>
      </c>
      <c r="E255" s="8" t="str">
        <f t="shared" si="22"/>
        <v>rg:{'id':'rg:None'}</v>
      </c>
      <c r="F255" s="9" t="s">
        <v>7055</v>
      </c>
      <c r="G255" s="9" t="str">
        <f ca="1">INDEX(DistrictEquipmentTypes.csv!F:F,RANDBETWEEN(2,COUNTA(DistrictEquipmentTypes.csv!D:D)),1)</f>
        <v>200002</v>
      </c>
      <c r="H255" s="8" t="str">
        <f t="shared" ca="1" si="23"/>
        <v>rg:{ 'id': '200002'}</v>
      </c>
      <c r="I255" s="8">
        <f t="shared" ca="1" si="24"/>
        <v>1</v>
      </c>
      <c r="J255" s="8">
        <f t="shared" ca="1" si="25"/>
        <v>89</v>
      </c>
      <c r="K255" s="8" t="str">
        <f t="shared" ca="1" si="26"/>
        <v>2017-04-14</v>
      </c>
      <c r="L255" s="8" t="str">
        <f t="shared" ca="1" si="27"/>
        <v>2017-04-25</v>
      </c>
    </row>
    <row r="256" spans="1:12" x14ac:dyDescent="0.3">
      <c r="A256" s="8" t="s">
        <v>5668</v>
      </c>
      <c r="B256" s="8">
        <f t="shared" si="21"/>
        <v>600254</v>
      </c>
      <c r="C256" s="1" t="s">
        <v>7004</v>
      </c>
      <c r="D256" s="9" t="str">
        <f>IFERROR(VLOOKUP(VLOOKUP(VLOOKUP(C256,Project.csv!F:Q,12,FALSE),ServiceAreas.csv!B:I,8,FALSE),LocalAreas.csv!B:I,7,FALSE),200029)</f>
        <v>rg:None</v>
      </c>
      <c r="E256" s="8" t="str">
        <f t="shared" si="22"/>
        <v>rg:{'id':'rg:None'}</v>
      </c>
      <c r="F256" s="9" t="s">
        <v>7055</v>
      </c>
      <c r="G256" s="9" t="str">
        <f ca="1">INDEX(DistrictEquipmentTypes.csv!F:F,RANDBETWEEN(2,COUNTA(DistrictEquipmentTypes.csv!D:D)),1)</f>
        <v>200003</v>
      </c>
      <c r="H256" s="8" t="str">
        <f t="shared" ca="1" si="23"/>
        <v>rg:{ 'id': '200003'}</v>
      </c>
      <c r="I256" s="8">
        <f t="shared" ca="1" si="24"/>
        <v>2</v>
      </c>
      <c r="J256" s="8">
        <f t="shared" ca="1" si="25"/>
        <v>32</v>
      </c>
      <c r="K256" s="8" t="str">
        <f t="shared" ca="1" si="26"/>
        <v>2017-05-24</v>
      </c>
      <c r="L256" s="8" t="str">
        <f t="shared" ca="1" si="27"/>
        <v>2017-06-01</v>
      </c>
    </row>
    <row r="257" spans="1:12" x14ac:dyDescent="0.3">
      <c r="A257" s="8" t="s">
        <v>5668</v>
      </c>
      <c r="B257" s="8">
        <f t="shared" si="21"/>
        <v>600255</v>
      </c>
      <c r="C257" s="1" t="s">
        <v>6913</v>
      </c>
      <c r="D257" s="9" t="str">
        <f>IFERROR(VLOOKUP(VLOOKUP(VLOOKUP(C257,Project.csv!F:Q,12,FALSE),ServiceAreas.csv!B:I,8,FALSE),LocalAreas.csv!B:I,7,FALSE),200029)</f>
        <v>rg:None</v>
      </c>
      <c r="E257" s="8" t="str">
        <f t="shared" si="22"/>
        <v>rg:{'id':'rg:None'}</v>
      </c>
      <c r="F257" s="9" t="s">
        <v>7055</v>
      </c>
      <c r="G257" s="9" t="str">
        <f ca="1">INDEX(DistrictEquipmentTypes.csv!F:F,RANDBETWEEN(2,COUNTA(DistrictEquipmentTypes.csv!D:D)),1)</f>
        <v>200001</v>
      </c>
      <c r="H257" s="8" t="str">
        <f t="shared" ca="1" si="23"/>
        <v>rg:{ 'id': '200001'}</v>
      </c>
      <c r="I257" s="8">
        <f t="shared" ca="1" si="24"/>
        <v>1</v>
      </c>
      <c r="J257" s="8">
        <f t="shared" ca="1" si="25"/>
        <v>79</v>
      </c>
      <c r="K257" s="8" t="str">
        <f t="shared" ca="1" si="26"/>
        <v>2017-05-06</v>
      </c>
      <c r="L257" s="8" t="str">
        <f t="shared" ca="1" si="27"/>
        <v>2017-05-15</v>
      </c>
    </row>
    <row r="258" spans="1:12" x14ac:dyDescent="0.3">
      <c r="A258" s="8" t="s">
        <v>5668</v>
      </c>
      <c r="B258" s="8">
        <f t="shared" si="21"/>
        <v>600256</v>
      </c>
      <c r="C258" s="1" t="s">
        <v>7005</v>
      </c>
      <c r="D258" s="9" t="str">
        <f>IFERROR(VLOOKUP(VLOOKUP(VLOOKUP(C258,Project.csv!F:Q,12,FALSE),ServiceAreas.csv!B:I,8,FALSE),LocalAreas.csv!B:I,7,FALSE),200029)</f>
        <v>rg:None</v>
      </c>
      <c r="E258" s="8" t="str">
        <f t="shared" si="22"/>
        <v>rg:{'id':'rg:None'}</v>
      </c>
      <c r="F258" s="9" t="s">
        <v>7055</v>
      </c>
      <c r="G258" s="9" t="str">
        <f ca="1">INDEX(DistrictEquipmentTypes.csv!F:F,RANDBETWEEN(2,COUNTA(DistrictEquipmentTypes.csv!D:D)),1)</f>
        <v>200004</v>
      </c>
      <c r="H258" s="8" t="str">
        <f t="shared" ca="1" si="23"/>
        <v>rg:{ 'id': '200004'}</v>
      </c>
      <c r="I258" s="8">
        <f t="shared" ca="1" si="24"/>
        <v>1</v>
      </c>
      <c r="J258" s="8">
        <f t="shared" ca="1" si="25"/>
        <v>76</v>
      </c>
      <c r="K258" s="8" t="str">
        <f t="shared" ca="1" si="26"/>
        <v>2017-04-09</v>
      </c>
      <c r="L258" s="8" t="str">
        <f t="shared" ca="1" si="27"/>
        <v>2017-04-18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7006</v>
      </c>
      <c r="D259" s="9" t="str">
        <f>IFERROR(VLOOKUP(VLOOKUP(VLOOKUP(C259,Project.csv!F:Q,12,FALSE),ServiceAreas.csv!B:I,8,FALSE),LocalAreas.csv!B:I,7,FALSE),200029)</f>
        <v>rg:None</v>
      </c>
      <c r="E259" s="8" t="str">
        <f t="shared" ref="E259:E322" si="29" xml:space="preserve"> "rg:{'id':'" &amp; D259 &amp; "'}"</f>
        <v>rg:{'id':'rg:None'}</v>
      </c>
      <c r="F259" s="9" t="s">
        <v>7055</v>
      </c>
      <c r="G259" s="9" t="str">
        <f ca="1">INDEX(DistrictEquipmentTypes.csv!F:F,RANDBETWEEN(2,COUNTA(DistrictEquipmentTypes.csv!D:D)),1)</f>
        <v>200006</v>
      </c>
      <c r="H259" s="8" t="str">
        <f t="shared" ref="H259:H322" ca="1" si="30">"rg:{ 'id': '"&amp;G259&amp;"'}"</f>
        <v>rg:{ 'id': '200006'}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29</v>
      </c>
      <c r="K259" s="8" t="str">
        <f t="shared" ref="K259:K322" ca="1" si="33">TEXT(TODAY()+RANDBETWEEN(1,56),"YYYY-MM-DD")</f>
        <v>2017-05-03</v>
      </c>
      <c r="L259" s="8" t="str">
        <f t="shared" ref="L259:L322" ca="1" si="34">TEXT(K259+(I259*J259)/8,"YYYY-MM-DD")</f>
        <v>2017-05-06</v>
      </c>
    </row>
    <row r="260" spans="1:12" x14ac:dyDescent="0.3">
      <c r="A260" s="8" t="s">
        <v>5668</v>
      </c>
      <c r="B260" s="8">
        <f t="shared" si="28"/>
        <v>600258</v>
      </c>
      <c r="C260" s="1" t="s">
        <v>7007</v>
      </c>
      <c r="D260" s="9" t="str">
        <f>IFERROR(VLOOKUP(VLOOKUP(VLOOKUP(C260,Project.csv!F:Q,12,FALSE),ServiceAreas.csv!B:I,8,FALSE),LocalAreas.csv!B:I,7,FALSE),200029)</f>
        <v>rg:None</v>
      </c>
      <c r="E260" s="8" t="str">
        <f t="shared" si="29"/>
        <v>rg:{'id':'rg:None'}</v>
      </c>
      <c r="F260" s="9" t="s">
        <v>7055</v>
      </c>
      <c r="G260" s="9" t="str">
        <f ca="1">INDEX(DistrictEquipmentTypes.csv!F:F,RANDBETWEEN(2,COUNTA(DistrictEquipmentTypes.csv!D:D)),1)</f>
        <v>200007</v>
      </c>
      <c r="H260" s="8" t="str">
        <f t="shared" ca="1" si="30"/>
        <v>rg:{ 'id': '200007'}</v>
      </c>
      <c r="I260" s="8">
        <f t="shared" ca="1" si="31"/>
        <v>2</v>
      </c>
      <c r="J260" s="8">
        <f t="shared" ca="1" si="32"/>
        <v>62</v>
      </c>
      <c r="K260" s="8" t="str">
        <f t="shared" ca="1" si="33"/>
        <v>2017-04-09</v>
      </c>
      <c r="L260" s="8" t="str">
        <f t="shared" ca="1" si="34"/>
        <v>2017-04-24</v>
      </c>
    </row>
    <row r="261" spans="1:12" x14ac:dyDescent="0.3">
      <c r="A261" s="8" t="s">
        <v>5668</v>
      </c>
      <c r="B261" s="8">
        <f t="shared" si="28"/>
        <v>600259</v>
      </c>
      <c r="C261" s="1" t="s">
        <v>7008</v>
      </c>
      <c r="D261" s="9" t="str">
        <f>IFERROR(VLOOKUP(VLOOKUP(VLOOKUP(C261,Project.csv!F:Q,12,FALSE),ServiceAreas.csv!B:I,8,FALSE),LocalAreas.csv!B:I,7,FALSE),200029)</f>
        <v>rg:None</v>
      </c>
      <c r="E261" s="8" t="str">
        <f t="shared" si="29"/>
        <v>rg:{'id':'rg:None'}</v>
      </c>
      <c r="F261" s="9" t="s">
        <v>7055</v>
      </c>
      <c r="G261" s="9" t="str">
        <f ca="1">INDEX(DistrictEquipmentTypes.csv!F:F,RANDBETWEEN(2,COUNTA(DistrictEquipmentTypes.csv!D:D)),1)</f>
        <v>200006</v>
      </c>
      <c r="H261" s="8" t="str">
        <f t="shared" ca="1" si="30"/>
        <v>rg:{ 'id': '200006'}</v>
      </c>
      <c r="I261" s="8">
        <f t="shared" ca="1" si="31"/>
        <v>1</v>
      </c>
      <c r="J261" s="8">
        <f t="shared" ca="1" si="32"/>
        <v>86</v>
      </c>
      <c r="K261" s="8" t="str">
        <f t="shared" ca="1" si="33"/>
        <v>2017-05-04</v>
      </c>
      <c r="L261" s="8" t="str">
        <f t="shared" ca="1" si="34"/>
        <v>2017-05-14</v>
      </c>
    </row>
    <row r="262" spans="1:12" x14ac:dyDescent="0.3">
      <c r="A262" s="8" t="s">
        <v>5668</v>
      </c>
      <c r="B262" s="8">
        <f t="shared" si="28"/>
        <v>600260</v>
      </c>
      <c r="C262" s="1" t="s">
        <v>7009</v>
      </c>
      <c r="D262" s="9" t="str">
        <f>IFERROR(VLOOKUP(VLOOKUP(VLOOKUP(C262,Project.csv!F:Q,12,FALSE),ServiceAreas.csv!B:I,8,FALSE),LocalAreas.csv!B:I,7,FALSE),200029)</f>
        <v>rg:None</v>
      </c>
      <c r="E262" s="8" t="str">
        <f t="shared" si="29"/>
        <v>rg:{'id':'rg:None'}</v>
      </c>
      <c r="F262" s="9" t="s">
        <v>7055</v>
      </c>
      <c r="G262" s="9" t="str">
        <f ca="1">INDEX(DistrictEquipmentTypes.csv!F:F,RANDBETWEEN(2,COUNTA(DistrictEquipmentTypes.csv!D:D)),1)</f>
        <v>200006</v>
      </c>
      <c r="H262" s="8" t="str">
        <f t="shared" ca="1" si="30"/>
        <v>rg:{ 'id': '200006'}</v>
      </c>
      <c r="I262" s="8">
        <f t="shared" ca="1" si="31"/>
        <v>1</v>
      </c>
      <c r="J262" s="8">
        <f t="shared" ca="1" si="32"/>
        <v>28</v>
      </c>
      <c r="K262" s="8" t="str">
        <f t="shared" ca="1" si="33"/>
        <v>2017-03-31</v>
      </c>
      <c r="L262" s="8" t="str">
        <f t="shared" ca="1" si="34"/>
        <v>2017-04-03</v>
      </c>
    </row>
    <row r="263" spans="1:12" x14ac:dyDescent="0.3">
      <c r="A263" s="8" t="s">
        <v>5668</v>
      </c>
      <c r="B263" s="8">
        <f t="shared" si="28"/>
        <v>600261</v>
      </c>
      <c r="C263" s="1" t="s">
        <v>6920</v>
      </c>
      <c r="D263" s="9" t="str">
        <f>IFERROR(VLOOKUP(VLOOKUP(VLOOKUP(C263,Project.csv!F:Q,12,FALSE),ServiceAreas.csv!B:I,8,FALSE),LocalAreas.csv!B:I,7,FALSE),200029)</f>
        <v>rg:None</v>
      </c>
      <c r="E263" s="8" t="str">
        <f t="shared" si="29"/>
        <v>rg:{'id':'rg:None'}</v>
      </c>
      <c r="F263" s="9" t="s">
        <v>7055</v>
      </c>
      <c r="G263" s="9" t="str">
        <f ca="1">INDEX(DistrictEquipmentTypes.csv!F:F,RANDBETWEEN(2,COUNTA(DistrictEquipmentTypes.csv!D:D)),1)</f>
        <v>200009</v>
      </c>
      <c r="H263" s="8" t="str">
        <f t="shared" ca="1" si="30"/>
        <v>rg:{ 'id': '200009'}</v>
      </c>
      <c r="I263" s="8">
        <f t="shared" ca="1" si="31"/>
        <v>1</v>
      </c>
      <c r="J263" s="8">
        <f t="shared" ca="1" si="32"/>
        <v>39</v>
      </c>
      <c r="K263" s="8" t="str">
        <f t="shared" ca="1" si="33"/>
        <v>2017-05-22</v>
      </c>
      <c r="L263" s="8" t="str">
        <f t="shared" ca="1" si="34"/>
        <v>2017-05-26</v>
      </c>
    </row>
    <row r="264" spans="1:12" x14ac:dyDescent="0.3">
      <c r="A264" s="8" t="s">
        <v>5668</v>
      </c>
      <c r="B264" s="8">
        <f t="shared" si="28"/>
        <v>600262</v>
      </c>
      <c r="C264" s="1" t="s">
        <v>7010</v>
      </c>
      <c r="D264" s="9" t="str">
        <f>IFERROR(VLOOKUP(VLOOKUP(VLOOKUP(C264,Project.csv!F:Q,12,FALSE),ServiceAreas.csv!B:I,8,FALSE),LocalAreas.csv!B:I,7,FALSE),200029)</f>
        <v>rg:None</v>
      </c>
      <c r="E264" s="8" t="str">
        <f t="shared" si="29"/>
        <v>rg:{'id':'rg:None'}</v>
      </c>
      <c r="F264" s="9" t="s">
        <v>7055</v>
      </c>
      <c r="G264" s="9" t="str">
        <f ca="1">INDEX(DistrictEquipmentTypes.csv!F:F,RANDBETWEEN(2,COUNTA(DistrictEquipmentTypes.csv!D:D)),1)</f>
        <v>200006</v>
      </c>
      <c r="H264" s="8" t="str">
        <f t="shared" ca="1" si="30"/>
        <v>rg:{ 'id': '200006'}</v>
      </c>
      <c r="I264" s="8">
        <f t="shared" ca="1" si="31"/>
        <v>1</v>
      </c>
      <c r="J264" s="8">
        <f t="shared" ca="1" si="32"/>
        <v>17</v>
      </c>
      <c r="K264" s="8" t="str">
        <f t="shared" ca="1" si="33"/>
        <v>2017-04-09</v>
      </c>
      <c r="L264" s="8" t="str">
        <f t="shared" ca="1" si="34"/>
        <v>2017-04-11</v>
      </c>
    </row>
    <row r="265" spans="1:12" x14ac:dyDescent="0.3">
      <c r="A265" s="8" t="s">
        <v>5668</v>
      </c>
      <c r="B265" s="8">
        <f t="shared" si="28"/>
        <v>600263</v>
      </c>
      <c r="C265" s="1" t="s">
        <v>6904</v>
      </c>
      <c r="D265" s="9" t="str">
        <f>IFERROR(VLOOKUP(VLOOKUP(VLOOKUP(C265,Project.csv!F:Q,12,FALSE),ServiceAreas.csv!B:I,8,FALSE),LocalAreas.csv!B:I,7,FALSE),200029)</f>
        <v>rg:None</v>
      </c>
      <c r="E265" s="8" t="str">
        <f t="shared" si="29"/>
        <v>rg:{'id':'rg:None'}</v>
      </c>
      <c r="F265" s="9" t="s">
        <v>7055</v>
      </c>
      <c r="G265" s="9" t="str">
        <f ca="1">INDEX(DistrictEquipmentTypes.csv!F:F,RANDBETWEEN(2,COUNTA(DistrictEquipmentTypes.csv!D:D)),1)</f>
        <v>200006</v>
      </c>
      <c r="H265" s="8" t="str">
        <f t="shared" ca="1" si="30"/>
        <v>rg:{ 'id': '200006'}</v>
      </c>
      <c r="I265" s="8">
        <f t="shared" ca="1" si="31"/>
        <v>1</v>
      </c>
      <c r="J265" s="8">
        <f t="shared" ca="1" si="32"/>
        <v>90</v>
      </c>
      <c r="K265" s="8" t="str">
        <f t="shared" ca="1" si="33"/>
        <v>2017-04-10</v>
      </c>
      <c r="L265" s="8" t="str">
        <f t="shared" ca="1" si="34"/>
        <v>2017-04-21</v>
      </c>
    </row>
    <row r="266" spans="1:12" x14ac:dyDescent="0.3">
      <c r="A266" s="8" t="s">
        <v>5668</v>
      </c>
      <c r="B266" s="8">
        <f t="shared" si="28"/>
        <v>600264</v>
      </c>
      <c r="C266" s="1" t="s">
        <v>7011</v>
      </c>
      <c r="D266" s="9" t="str">
        <f>IFERROR(VLOOKUP(VLOOKUP(VLOOKUP(C266,Project.csv!F:Q,12,FALSE),ServiceAreas.csv!B:I,8,FALSE),LocalAreas.csv!B:I,7,FALSE),200029)</f>
        <v>rg:None</v>
      </c>
      <c r="E266" s="8" t="str">
        <f t="shared" si="29"/>
        <v>rg:{'id':'rg:None'}</v>
      </c>
      <c r="F266" s="9" t="s">
        <v>7055</v>
      </c>
      <c r="G266" s="9" t="str">
        <f ca="1">INDEX(DistrictEquipmentTypes.csv!F:F,RANDBETWEEN(2,COUNTA(DistrictEquipmentTypes.csv!D:D)),1)</f>
        <v>200007</v>
      </c>
      <c r="H266" s="8" t="str">
        <f t="shared" ca="1" si="30"/>
        <v>rg:{ 'id': '200007'}</v>
      </c>
      <c r="I266" s="8">
        <f t="shared" ca="1" si="31"/>
        <v>1</v>
      </c>
      <c r="J266" s="8">
        <f t="shared" ca="1" si="32"/>
        <v>48</v>
      </c>
      <c r="K266" s="8" t="str">
        <f t="shared" ca="1" si="33"/>
        <v>2017-05-08</v>
      </c>
      <c r="L266" s="8" t="str">
        <f t="shared" ca="1" si="34"/>
        <v>2017-05-14</v>
      </c>
    </row>
    <row r="267" spans="1:12" x14ac:dyDescent="0.3">
      <c r="A267" s="8" t="s">
        <v>5668</v>
      </c>
      <c r="B267" s="8">
        <f t="shared" si="28"/>
        <v>600265</v>
      </c>
      <c r="C267" s="1" t="s">
        <v>7012</v>
      </c>
      <c r="D267" s="9" t="str">
        <f>IFERROR(VLOOKUP(VLOOKUP(VLOOKUP(C267,Project.csv!F:Q,12,FALSE),ServiceAreas.csv!B:I,8,FALSE),LocalAreas.csv!B:I,7,FALSE),200029)</f>
        <v>rg:None</v>
      </c>
      <c r="E267" s="8" t="str">
        <f t="shared" si="29"/>
        <v>rg:{'id':'rg:None'}</v>
      </c>
      <c r="F267" s="9" t="s">
        <v>7055</v>
      </c>
      <c r="G267" s="9" t="str">
        <f ca="1">INDEX(DistrictEquipmentTypes.csv!F:F,RANDBETWEEN(2,COUNTA(DistrictEquipmentTypes.csv!D:D)),1)</f>
        <v>200007</v>
      </c>
      <c r="H267" s="8" t="str">
        <f t="shared" ca="1" si="30"/>
        <v>rg:{ 'id': '200007'}</v>
      </c>
      <c r="I267" s="8">
        <f t="shared" ca="1" si="31"/>
        <v>1</v>
      </c>
      <c r="J267" s="8">
        <f t="shared" ca="1" si="32"/>
        <v>18</v>
      </c>
      <c r="K267" s="8" t="str">
        <f t="shared" ca="1" si="33"/>
        <v>2017-04-14</v>
      </c>
      <c r="L267" s="8" t="str">
        <f t="shared" ca="1" si="34"/>
        <v>2017-04-16</v>
      </c>
    </row>
    <row r="268" spans="1:12" x14ac:dyDescent="0.3">
      <c r="A268" s="8" t="s">
        <v>5668</v>
      </c>
      <c r="B268" s="8">
        <f t="shared" si="28"/>
        <v>600266</v>
      </c>
      <c r="C268" s="1" t="s">
        <v>6935</v>
      </c>
      <c r="D268" s="9" t="str">
        <f>IFERROR(VLOOKUP(VLOOKUP(VLOOKUP(C268,Project.csv!F:Q,12,FALSE),ServiceAreas.csv!B:I,8,FALSE),LocalAreas.csv!B:I,7,FALSE),200029)</f>
        <v>rg:None</v>
      </c>
      <c r="E268" s="8" t="str">
        <f t="shared" si="29"/>
        <v>rg:{'id':'rg:None'}</v>
      </c>
      <c r="F268" s="9" t="s">
        <v>7055</v>
      </c>
      <c r="G268" s="9" t="str">
        <f ca="1">INDEX(DistrictEquipmentTypes.csv!F:F,RANDBETWEEN(2,COUNTA(DistrictEquipmentTypes.csv!D:D)),1)</f>
        <v>200009</v>
      </c>
      <c r="H268" s="8" t="str">
        <f t="shared" ca="1" si="30"/>
        <v>rg:{ 'id': '200009'}</v>
      </c>
      <c r="I268" s="8">
        <f t="shared" ca="1" si="31"/>
        <v>1</v>
      </c>
      <c r="J268" s="8">
        <f t="shared" ca="1" si="32"/>
        <v>85</v>
      </c>
      <c r="K268" s="8" t="str">
        <f t="shared" ca="1" si="33"/>
        <v>2017-05-11</v>
      </c>
      <c r="L268" s="8" t="str">
        <f t="shared" ca="1" si="34"/>
        <v>2017-05-21</v>
      </c>
    </row>
    <row r="269" spans="1:12" x14ac:dyDescent="0.3">
      <c r="A269" s="8" t="s">
        <v>5668</v>
      </c>
      <c r="B269" s="8">
        <f t="shared" si="28"/>
        <v>600267</v>
      </c>
      <c r="C269" s="1" t="s">
        <v>6905</v>
      </c>
      <c r="D269" s="9">
        <f>IFERROR(VLOOKUP(VLOOKUP(VLOOKUP(C269,Project.csv!F:Q,12,FALSE),ServiceAreas.csv!B:I,8,FALSE),LocalAreas.csv!B:I,7,FALSE),200029)</f>
        <v>200029</v>
      </c>
      <c r="E269" s="8" t="str">
        <f t="shared" si="29"/>
        <v>rg:{'id':'200029'}</v>
      </c>
      <c r="F269" s="9" t="s">
        <v>7055</v>
      </c>
      <c r="G269" s="9" t="str">
        <f ca="1">INDEX(DistrictEquipmentTypes.csv!F:F,RANDBETWEEN(2,COUNTA(DistrictEquipmentTypes.csv!D:D)),1)</f>
        <v>200000</v>
      </c>
      <c r="H269" s="8" t="str">
        <f t="shared" ca="1" si="30"/>
        <v>rg:{ 'id': '200000'}</v>
      </c>
      <c r="I269" s="8">
        <f t="shared" ca="1" si="31"/>
        <v>5</v>
      </c>
      <c r="J269" s="8">
        <f t="shared" ca="1" si="32"/>
        <v>59</v>
      </c>
      <c r="K269" s="8" t="str">
        <f t="shared" ca="1" si="33"/>
        <v>2017-04-10</v>
      </c>
      <c r="L269" s="8" t="str">
        <f t="shared" ca="1" si="34"/>
        <v>2017-05-16</v>
      </c>
    </row>
    <row r="270" spans="1:12" x14ac:dyDescent="0.3">
      <c r="A270" s="8" t="s">
        <v>5668</v>
      </c>
      <c r="B270" s="8">
        <f t="shared" si="28"/>
        <v>600268</v>
      </c>
      <c r="C270" s="1" t="s">
        <v>7013</v>
      </c>
      <c r="D270" s="9">
        <f>IFERROR(VLOOKUP(VLOOKUP(VLOOKUP(C270,Project.csv!F:Q,12,FALSE),ServiceAreas.csv!B:I,8,FALSE),LocalAreas.csv!B:I,7,FALSE),200029)</f>
        <v>200029</v>
      </c>
      <c r="E270" s="8" t="str">
        <f t="shared" si="29"/>
        <v>rg:{'id':'200029'}</v>
      </c>
      <c r="F270" s="9" t="s">
        <v>7055</v>
      </c>
      <c r="G270" s="9" t="str">
        <f ca="1">INDEX(DistrictEquipmentTypes.csv!F:F,RANDBETWEEN(2,COUNTA(DistrictEquipmentTypes.csv!D:D)),1)</f>
        <v>200000</v>
      </c>
      <c r="H270" s="8" t="str">
        <f t="shared" ca="1" si="30"/>
        <v>rg:{ 'id': '200000'}</v>
      </c>
      <c r="I270" s="8">
        <f t="shared" ca="1" si="31"/>
        <v>1</v>
      </c>
      <c r="J270" s="8">
        <f t="shared" ca="1" si="32"/>
        <v>45</v>
      </c>
      <c r="K270" s="8" t="str">
        <f t="shared" ca="1" si="33"/>
        <v>2017-04-12</v>
      </c>
      <c r="L270" s="8" t="str">
        <f t="shared" ca="1" si="34"/>
        <v>2017-04-17</v>
      </c>
    </row>
    <row r="271" spans="1:12" x14ac:dyDescent="0.3">
      <c r="A271" s="8" t="s">
        <v>5668</v>
      </c>
      <c r="B271" s="8">
        <f t="shared" si="28"/>
        <v>600269</v>
      </c>
      <c r="C271" s="1" t="s">
        <v>7014</v>
      </c>
      <c r="D271" s="9">
        <f>IFERROR(VLOOKUP(VLOOKUP(VLOOKUP(C271,Project.csv!F:Q,12,FALSE),ServiceAreas.csv!B:I,8,FALSE),LocalAreas.csv!B:I,7,FALSE),200029)</f>
        <v>200029</v>
      </c>
      <c r="E271" s="8" t="str">
        <f t="shared" si="29"/>
        <v>rg:{'id':'200029'}</v>
      </c>
      <c r="F271" s="9" t="s">
        <v>7055</v>
      </c>
      <c r="G271" s="9" t="str">
        <f ca="1">INDEX(DistrictEquipmentTypes.csv!F:F,RANDBETWEEN(2,COUNTA(DistrictEquipmentTypes.csv!D:D)),1)</f>
        <v>200002</v>
      </c>
      <c r="H271" s="8" t="str">
        <f t="shared" ca="1" si="30"/>
        <v>rg:{ 'id': '200002'}</v>
      </c>
      <c r="I271" s="8">
        <f t="shared" ca="1" si="31"/>
        <v>5</v>
      </c>
      <c r="J271" s="8">
        <f t="shared" ca="1" si="32"/>
        <v>32</v>
      </c>
      <c r="K271" s="8" t="str">
        <f t="shared" ca="1" si="33"/>
        <v>2017-04-05</v>
      </c>
      <c r="L271" s="8" t="str">
        <f t="shared" ca="1" si="34"/>
        <v>2017-04-25</v>
      </c>
    </row>
    <row r="272" spans="1:12" x14ac:dyDescent="0.3">
      <c r="A272" s="8" t="s">
        <v>5668</v>
      </c>
      <c r="B272" s="8">
        <f t="shared" si="28"/>
        <v>600270</v>
      </c>
      <c r="C272" s="1" t="s">
        <v>7015</v>
      </c>
      <c r="D272" s="9">
        <f>IFERROR(VLOOKUP(VLOOKUP(VLOOKUP(C272,Project.csv!F:Q,12,FALSE),ServiceAreas.csv!B:I,8,FALSE),LocalAreas.csv!B:I,7,FALSE),200029)</f>
        <v>200029</v>
      </c>
      <c r="E272" s="8" t="str">
        <f t="shared" si="29"/>
        <v>rg:{'id':'200029'}</v>
      </c>
      <c r="F272" s="9" t="s">
        <v>7055</v>
      </c>
      <c r="G272" s="9" t="str">
        <f ca="1">INDEX(DistrictEquipmentTypes.csv!F:F,RANDBETWEEN(2,COUNTA(DistrictEquipmentTypes.csv!D:D)),1)</f>
        <v>200006</v>
      </c>
      <c r="H272" s="8" t="str">
        <f t="shared" ca="1" si="30"/>
        <v>rg:{ 'id': '200006'}</v>
      </c>
      <c r="I272" s="8">
        <f t="shared" ca="1" si="31"/>
        <v>1</v>
      </c>
      <c r="J272" s="8">
        <f t="shared" ca="1" si="32"/>
        <v>5</v>
      </c>
      <c r="K272" s="8" t="str">
        <f t="shared" ca="1" si="33"/>
        <v>2017-04-07</v>
      </c>
      <c r="L272" s="8" t="str">
        <f t="shared" ca="1" si="34"/>
        <v>2017-04-07</v>
      </c>
    </row>
    <row r="273" spans="1:12" x14ac:dyDescent="0.3">
      <c r="A273" s="8" t="s">
        <v>5668</v>
      </c>
      <c r="B273" s="8">
        <f t="shared" si="28"/>
        <v>600271</v>
      </c>
      <c r="C273" s="1" t="s">
        <v>7016</v>
      </c>
      <c r="D273" s="9">
        <f>IFERROR(VLOOKUP(VLOOKUP(VLOOKUP(C273,Project.csv!F:Q,12,FALSE),ServiceAreas.csv!B:I,8,FALSE),LocalAreas.csv!B:I,7,FALSE),200029)</f>
        <v>200029</v>
      </c>
      <c r="E273" s="8" t="str">
        <f t="shared" si="29"/>
        <v>rg:{'id':'200029'}</v>
      </c>
      <c r="F273" s="9" t="s">
        <v>7055</v>
      </c>
      <c r="G273" s="9" t="str">
        <f ca="1">INDEX(DistrictEquipmentTypes.csv!F:F,RANDBETWEEN(2,COUNTA(DistrictEquipmentTypes.csv!D:D)),1)</f>
        <v>200004</v>
      </c>
      <c r="H273" s="8" t="str">
        <f t="shared" ca="1" si="30"/>
        <v>rg:{ 'id': '200004'}</v>
      </c>
      <c r="I273" s="8">
        <f t="shared" ca="1" si="31"/>
        <v>1</v>
      </c>
      <c r="J273" s="8">
        <f t="shared" ca="1" si="32"/>
        <v>52</v>
      </c>
      <c r="K273" s="8" t="str">
        <f t="shared" ca="1" si="33"/>
        <v>2017-05-07</v>
      </c>
      <c r="L273" s="8" t="str">
        <f t="shared" ca="1" si="34"/>
        <v>2017-05-13</v>
      </c>
    </row>
    <row r="274" spans="1:12" x14ac:dyDescent="0.3">
      <c r="A274" s="8" t="s">
        <v>5668</v>
      </c>
      <c r="B274" s="8">
        <f t="shared" si="28"/>
        <v>600272</v>
      </c>
      <c r="C274" s="1" t="s">
        <v>7017</v>
      </c>
      <c r="D274" s="9">
        <f>IFERROR(VLOOKUP(VLOOKUP(VLOOKUP(C274,Project.csv!F:Q,12,FALSE),ServiceAreas.csv!B:I,8,FALSE),LocalAreas.csv!B:I,7,FALSE),200029)</f>
        <v>200029</v>
      </c>
      <c r="E274" s="8" t="str">
        <f t="shared" si="29"/>
        <v>rg:{'id':'200029'}</v>
      </c>
      <c r="F274" s="9" t="s">
        <v>7055</v>
      </c>
      <c r="G274" s="9" t="str">
        <f ca="1">INDEX(DistrictEquipmentTypes.csv!F:F,RANDBETWEEN(2,COUNTA(DistrictEquipmentTypes.csv!D:D)),1)</f>
        <v>200009</v>
      </c>
      <c r="H274" s="8" t="str">
        <f t="shared" ca="1" si="30"/>
        <v>rg:{ 'id': '200009'}</v>
      </c>
      <c r="I274" s="8">
        <f t="shared" ca="1" si="31"/>
        <v>1</v>
      </c>
      <c r="J274" s="8">
        <f t="shared" ca="1" si="32"/>
        <v>61</v>
      </c>
      <c r="K274" s="8" t="str">
        <f t="shared" ca="1" si="33"/>
        <v>2017-05-10</v>
      </c>
      <c r="L274" s="8" t="str">
        <f t="shared" ca="1" si="34"/>
        <v>2017-05-17</v>
      </c>
    </row>
    <row r="275" spans="1:12" x14ac:dyDescent="0.3">
      <c r="A275" s="8" t="s">
        <v>5668</v>
      </c>
      <c r="B275" s="8">
        <f t="shared" si="28"/>
        <v>600273</v>
      </c>
      <c r="C275" s="1" t="s">
        <v>7018</v>
      </c>
      <c r="D275" s="9">
        <f>IFERROR(VLOOKUP(VLOOKUP(VLOOKUP(C275,Project.csv!F:Q,12,FALSE),ServiceAreas.csv!B:I,8,FALSE),LocalAreas.csv!B:I,7,FALSE),200029)</f>
        <v>200029</v>
      </c>
      <c r="E275" s="8" t="str">
        <f t="shared" si="29"/>
        <v>rg:{'id':'200029'}</v>
      </c>
      <c r="F275" s="9" t="s">
        <v>7055</v>
      </c>
      <c r="G275" s="9" t="str">
        <f ca="1">INDEX(DistrictEquipmentTypes.csv!F:F,RANDBETWEEN(2,COUNTA(DistrictEquipmentTypes.csv!D:D)),1)</f>
        <v>200009</v>
      </c>
      <c r="H275" s="8" t="str">
        <f t="shared" ca="1" si="30"/>
        <v>rg:{ 'id': '200009'}</v>
      </c>
      <c r="I275" s="8">
        <f t="shared" ca="1" si="31"/>
        <v>1</v>
      </c>
      <c r="J275" s="8">
        <f t="shared" ca="1" si="32"/>
        <v>37</v>
      </c>
      <c r="K275" s="8" t="str">
        <f t="shared" ca="1" si="33"/>
        <v>2017-05-04</v>
      </c>
      <c r="L275" s="8" t="str">
        <f t="shared" ca="1" si="34"/>
        <v>2017-05-08</v>
      </c>
    </row>
    <row r="276" spans="1:12" x14ac:dyDescent="0.3">
      <c r="A276" s="8" t="s">
        <v>5668</v>
      </c>
      <c r="B276" s="8">
        <f t="shared" si="28"/>
        <v>600274</v>
      </c>
      <c r="C276" s="1" t="s">
        <v>7019</v>
      </c>
      <c r="D276" s="9" t="str">
        <f>IFERROR(VLOOKUP(VLOOKUP(VLOOKUP(C276,Project.csv!F:Q,12,FALSE),ServiceAreas.csv!B:I,8,FALSE),LocalAreas.csv!B:I,7,FALSE),200029)</f>
        <v>rg:None</v>
      </c>
      <c r="E276" s="8" t="str">
        <f t="shared" si="29"/>
        <v>rg:{'id':'rg:None'}</v>
      </c>
      <c r="F276" s="9" t="s">
        <v>7055</v>
      </c>
      <c r="G276" s="9" t="str">
        <f ca="1">INDEX(DistrictEquipmentTypes.csv!F:F,RANDBETWEEN(2,COUNTA(DistrictEquipmentTypes.csv!D:D)),1)</f>
        <v>200000</v>
      </c>
      <c r="H276" s="8" t="str">
        <f t="shared" ca="1" si="30"/>
        <v>rg:{ 'id': '200000'}</v>
      </c>
      <c r="I276" s="8">
        <f t="shared" ca="1" si="31"/>
        <v>1</v>
      </c>
      <c r="J276" s="8">
        <f t="shared" ca="1" si="32"/>
        <v>16</v>
      </c>
      <c r="K276" s="8" t="str">
        <f t="shared" ca="1" si="33"/>
        <v>2017-05-22</v>
      </c>
      <c r="L276" s="8" t="str">
        <f t="shared" ca="1" si="34"/>
        <v>2017-05-24</v>
      </c>
    </row>
    <row r="277" spans="1:12" x14ac:dyDescent="0.3">
      <c r="A277" s="8" t="s">
        <v>5668</v>
      </c>
      <c r="B277" s="8">
        <f t="shared" si="28"/>
        <v>600275</v>
      </c>
      <c r="C277" s="1" t="s">
        <v>6898</v>
      </c>
      <c r="D277" s="9" t="str">
        <f>IFERROR(VLOOKUP(VLOOKUP(VLOOKUP(C277,Project.csv!F:Q,12,FALSE),ServiceAreas.csv!B:I,8,FALSE),LocalAreas.csv!B:I,7,FALSE),200029)</f>
        <v>rg:None</v>
      </c>
      <c r="E277" s="8" t="str">
        <f t="shared" si="29"/>
        <v>rg:{'id':'rg:None'}</v>
      </c>
      <c r="F277" s="9" t="s">
        <v>7055</v>
      </c>
      <c r="G277" s="9" t="str">
        <f ca="1">INDEX(DistrictEquipmentTypes.csv!F:F,RANDBETWEEN(2,COUNTA(DistrictEquipmentTypes.csv!D:D)),1)</f>
        <v>200005</v>
      </c>
      <c r="H277" s="8" t="str">
        <f t="shared" ca="1" si="30"/>
        <v>rg:{ 'id': '200005'}</v>
      </c>
      <c r="I277" s="8">
        <f t="shared" ca="1" si="31"/>
        <v>1</v>
      </c>
      <c r="J277" s="8">
        <f t="shared" ca="1" si="32"/>
        <v>90</v>
      </c>
      <c r="K277" s="8" t="str">
        <f t="shared" ca="1" si="33"/>
        <v>2017-03-30</v>
      </c>
      <c r="L277" s="8" t="str">
        <f t="shared" ca="1" si="34"/>
        <v>2017-04-10</v>
      </c>
    </row>
    <row r="278" spans="1:12" x14ac:dyDescent="0.3">
      <c r="A278" s="8" t="s">
        <v>5668</v>
      </c>
      <c r="B278" s="8">
        <f t="shared" si="28"/>
        <v>600276</v>
      </c>
      <c r="C278" s="1" t="s">
        <v>7020</v>
      </c>
      <c r="D278" s="9" t="str">
        <f>IFERROR(VLOOKUP(VLOOKUP(VLOOKUP(C278,Project.csv!F:Q,12,FALSE),ServiceAreas.csv!B:I,8,FALSE),LocalAreas.csv!B:I,7,FALSE),200029)</f>
        <v>rg:None</v>
      </c>
      <c r="E278" s="8" t="str">
        <f t="shared" si="29"/>
        <v>rg:{'id':'rg:None'}</v>
      </c>
      <c r="F278" s="9" t="s">
        <v>7055</v>
      </c>
      <c r="G278" s="9" t="str">
        <f ca="1">INDEX(DistrictEquipmentTypes.csv!F:F,RANDBETWEEN(2,COUNTA(DistrictEquipmentTypes.csv!D:D)),1)</f>
        <v>200000</v>
      </c>
      <c r="H278" s="8" t="str">
        <f t="shared" ca="1" si="30"/>
        <v>rg:{ 'id': '200000'}</v>
      </c>
      <c r="I278" s="8">
        <f t="shared" ca="1" si="31"/>
        <v>1</v>
      </c>
      <c r="J278" s="8">
        <f t="shared" ca="1" si="32"/>
        <v>67</v>
      </c>
      <c r="K278" s="8" t="str">
        <f t="shared" ca="1" si="33"/>
        <v>2017-04-25</v>
      </c>
      <c r="L278" s="8" t="str">
        <f t="shared" ca="1" si="34"/>
        <v>2017-05-03</v>
      </c>
    </row>
    <row r="279" spans="1:12" x14ac:dyDescent="0.3">
      <c r="A279" s="8" t="s">
        <v>5668</v>
      </c>
      <c r="B279" s="8">
        <f t="shared" si="28"/>
        <v>600277</v>
      </c>
      <c r="C279" s="1" t="s">
        <v>6925</v>
      </c>
      <c r="D279" s="9" t="str">
        <f>IFERROR(VLOOKUP(VLOOKUP(VLOOKUP(C279,Project.csv!F:Q,12,FALSE),ServiceAreas.csv!B:I,8,FALSE),LocalAreas.csv!B:I,7,FALSE),200029)</f>
        <v>rg:None</v>
      </c>
      <c r="E279" s="8" t="str">
        <f t="shared" si="29"/>
        <v>rg:{'id':'rg:None'}</v>
      </c>
      <c r="F279" s="9" t="s">
        <v>7055</v>
      </c>
      <c r="G279" s="9" t="str">
        <f ca="1">INDEX(DistrictEquipmentTypes.csv!F:F,RANDBETWEEN(2,COUNTA(DistrictEquipmentTypes.csv!D:D)),1)</f>
        <v>200001</v>
      </c>
      <c r="H279" s="8" t="str">
        <f t="shared" ca="1" si="30"/>
        <v>rg:{ 'id': '200001'}</v>
      </c>
      <c r="I279" s="8">
        <f t="shared" ca="1" si="31"/>
        <v>4</v>
      </c>
      <c r="J279" s="8">
        <f t="shared" ca="1" si="32"/>
        <v>30</v>
      </c>
      <c r="K279" s="8" t="str">
        <f t="shared" ca="1" si="33"/>
        <v>2017-05-24</v>
      </c>
      <c r="L279" s="8" t="str">
        <f t="shared" ca="1" si="34"/>
        <v>2017-06-08</v>
      </c>
    </row>
    <row r="280" spans="1:12" x14ac:dyDescent="0.3">
      <c r="A280" s="8" t="s">
        <v>5668</v>
      </c>
      <c r="B280" s="8">
        <f t="shared" si="28"/>
        <v>600278</v>
      </c>
      <c r="C280" s="1" t="s">
        <v>6919</v>
      </c>
      <c r="D280" s="9" t="str">
        <f>IFERROR(VLOOKUP(VLOOKUP(VLOOKUP(C280,Project.csv!F:Q,12,FALSE),ServiceAreas.csv!B:I,8,FALSE),LocalAreas.csv!B:I,7,FALSE),200029)</f>
        <v>rg:None</v>
      </c>
      <c r="E280" s="8" t="str">
        <f t="shared" si="29"/>
        <v>rg:{'id':'rg:None'}</v>
      </c>
      <c r="F280" s="9" t="s">
        <v>7055</v>
      </c>
      <c r="G280" s="9" t="str">
        <f ca="1">INDEX(DistrictEquipmentTypes.csv!F:F,RANDBETWEEN(2,COUNTA(DistrictEquipmentTypes.csv!D:D)),1)</f>
        <v>200009</v>
      </c>
      <c r="H280" s="8" t="str">
        <f t="shared" ca="1" si="30"/>
        <v>rg:{ 'id': '200009'}</v>
      </c>
      <c r="I280" s="8">
        <f t="shared" ca="1" si="31"/>
        <v>1</v>
      </c>
      <c r="J280" s="8">
        <f t="shared" ca="1" si="32"/>
        <v>30</v>
      </c>
      <c r="K280" s="8" t="str">
        <f t="shared" ca="1" si="33"/>
        <v>2017-04-07</v>
      </c>
      <c r="L280" s="8" t="str">
        <f t="shared" ca="1" si="34"/>
        <v>2017-04-10</v>
      </c>
    </row>
    <row r="281" spans="1:12" x14ac:dyDescent="0.3">
      <c r="A281" s="8" t="s">
        <v>5668</v>
      </c>
      <c r="B281" s="8">
        <f t="shared" si="28"/>
        <v>600279</v>
      </c>
      <c r="C281" s="1" t="s">
        <v>7021</v>
      </c>
      <c r="D281" s="9" t="str">
        <f>IFERROR(VLOOKUP(VLOOKUP(VLOOKUP(C281,Project.csv!F:Q,12,FALSE),ServiceAreas.csv!B:I,8,FALSE),LocalAreas.csv!B:I,7,FALSE),200029)</f>
        <v>rg:None</v>
      </c>
      <c r="E281" s="8" t="str">
        <f t="shared" si="29"/>
        <v>rg:{'id':'rg:None'}</v>
      </c>
      <c r="F281" s="9" t="s">
        <v>7055</v>
      </c>
      <c r="G281" s="9" t="str">
        <f ca="1">INDEX(DistrictEquipmentTypes.csv!F:F,RANDBETWEEN(2,COUNTA(DistrictEquipmentTypes.csv!D:D)),1)</f>
        <v>200002</v>
      </c>
      <c r="H281" s="8" t="str">
        <f t="shared" ca="1" si="30"/>
        <v>rg:{ 'id': '200002'}</v>
      </c>
      <c r="I281" s="8">
        <f t="shared" ca="1" si="31"/>
        <v>1</v>
      </c>
      <c r="J281" s="8">
        <f t="shared" ca="1" si="32"/>
        <v>65</v>
      </c>
      <c r="K281" s="8" t="str">
        <f t="shared" ca="1" si="33"/>
        <v>2017-04-26</v>
      </c>
      <c r="L281" s="8" t="str">
        <f t="shared" ca="1" si="34"/>
        <v>2017-05-04</v>
      </c>
    </row>
    <row r="282" spans="1:12" x14ac:dyDescent="0.3">
      <c r="A282" s="8" t="s">
        <v>5668</v>
      </c>
      <c r="B282" s="8">
        <f t="shared" si="28"/>
        <v>600280</v>
      </c>
      <c r="C282" s="1" t="s">
        <v>7022</v>
      </c>
      <c r="D282" s="9" t="str">
        <f>IFERROR(VLOOKUP(VLOOKUP(VLOOKUP(C282,Project.csv!F:Q,12,FALSE),ServiceAreas.csv!B:I,8,FALSE),LocalAreas.csv!B:I,7,FALSE),200029)</f>
        <v>rg:None</v>
      </c>
      <c r="E282" s="8" t="str">
        <f t="shared" si="29"/>
        <v>rg:{'id':'rg:None'}</v>
      </c>
      <c r="F282" s="9" t="s">
        <v>7055</v>
      </c>
      <c r="G282" s="9" t="str">
        <f ca="1">INDEX(DistrictEquipmentTypes.csv!F:F,RANDBETWEEN(2,COUNTA(DistrictEquipmentTypes.csv!D:D)),1)</f>
        <v>200005</v>
      </c>
      <c r="H282" s="8" t="str">
        <f t="shared" ca="1" si="30"/>
        <v>rg:{ 'id': '200005'}</v>
      </c>
      <c r="I282" s="8">
        <f t="shared" ca="1" si="31"/>
        <v>1</v>
      </c>
      <c r="J282" s="8">
        <f t="shared" ca="1" si="32"/>
        <v>9</v>
      </c>
      <c r="K282" s="8" t="str">
        <f t="shared" ca="1" si="33"/>
        <v>2017-05-05</v>
      </c>
      <c r="L282" s="8" t="str">
        <f t="shared" ca="1" si="34"/>
        <v>2017-05-06</v>
      </c>
    </row>
    <row r="283" spans="1:12" x14ac:dyDescent="0.3">
      <c r="A283" s="8" t="s">
        <v>5668</v>
      </c>
      <c r="B283" s="8">
        <f t="shared" si="28"/>
        <v>600281</v>
      </c>
      <c r="C283" s="1" t="s">
        <v>6907</v>
      </c>
      <c r="D283" s="9" t="str">
        <f>IFERROR(VLOOKUP(VLOOKUP(VLOOKUP(C283,Project.csv!F:Q,12,FALSE),ServiceAreas.csv!B:I,8,FALSE),LocalAreas.csv!B:I,7,FALSE),200029)</f>
        <v>rg:None</v>
      </c>
      <c r="E283" s="8" t="str">
        <f t="shared" si="29"/>
        <v>rg:{'id':'rg:None'}</v>
      </c>
      <c r="F283" s="9" t="s">
        <v>7055</v>
      </c>
      <c r="G283" s="9" t="str">
        <f ca="1">INDEX(DistrictEquipmentTypes.csv!F:F,RANDBETWEEN(2,COUNTA(DistrictEquipmentTypes.csv!D:D)),1)</f>
        <v>200006</v>
      </c>
      <c r="H283" s="8" t="str">
        <f t="shared" ca="1" si="30"/>
        <v>rg:{ 'id': '200006'}</v>
      </c>
      <c r="I283" s="8">
        <f t="shared" ca="1" si="31"/>
        <v>1</v>
      </c>
      <c r="J283" s="8">
        <f t="shared" ca="1" si="32"/>
        <v>30</v>
      </c>
      <c r="K283" s="8" t="str">
        <f t="shared" ca="1" si="33"/>
        <v>2017-05-01</v>
      </c>
      <c r="L283" s="8" t="str">
        <f t="shared" ca="1" si="34"/>
        <v>2017-05-04</v>
      </c>
    </row>
    <row r="284" spans="1:12" x14ac:dyDescent="0.3">
      <c r="A284" s="8" t="s">
        <v>5668</v>
      </c>
      <c r="B284" s="8">
        <f t="shared" si="28"/>
        <v>600282</v>
      </c>
      <c r="C284" s="1" t="s">
        <v>7023</v>
      </c>
      <c r="D284" s="9" t="str">
        <f>IFERROR(VLOOKUP(VLOOKUP(VLOOKUP(C284,Project.csv!F:Q,12,FALSE),ServiceAreas.csv!B:I,8,FALSE),LocalAreas.csv!B:I,7,FALSE),200029)</f>
        <v>rg:None</v>
      </c>
      <c r="E284" s="8" t="str">
        <f t="shared" si="29"/>
        <v>rg:{'id':'rg:None'}</v>
      </c>
      <c r="F284" s="9" t="s">
        <v>7055</v>
      </c>
      <c r="G284" s="9" t="str">
        <f ca="1">INDEX(DistrictEquipmentTypes.csv!F:F,RANDBETWEEN(2,COUNTA(DistrictEquipmentTypes.csv!D:D)),1)</f>
        <v>200005</v>
      </c>
      <c r="H284" s="8" t="str">
        <f t="shared" ca="1" si="30"/>
        <v>rg:{ 'id': '200005'}</v>
      </c>
      <c r="I284" s="8">
        <f t="shared" ca="1" si="31"/>
        <v>1</v>
      </c>
      <c r="J284" s="8">
        <f t="shared" ca="1" si="32"/>
        <v>58</v>
      </c>
      <c r="K284" s="8" t="str">
        <f t="shared" ca="1" si="33"/>
        <v>2017-04-24</v>
      </c>
      <c r="L284" s="8" t="str">
        <f t="shared" ca="1" si="34"/>
        <v>2017-05-01</v>
      </c>
    </row>
    <row r="285" spans="1:12" x14ac:dyDescent="0.3">
      <c r="A285" s="8" t="s">
        <v>5668</v>
      </c>
      <c r="B285" s="8">
        <f t="shared" si="28"/>
        <v>600283</v>
      </c>
      <c r="C285" s="1" t="s">
        <v>7024</v>
      </c>
      <c r="D285" s="9" t="str">
        <f>IFERROR(VLOOKUP(VLOOKUP(VLOOKUP(C285,Project.csv!F:Q,12,FALSE),ServiceAreas.csv!B:I,8,FALSE),LocalAreas.csv!B:I,7,FALSE),200029)</f>
        <v>rg:None</v>
      </c>
      <c r="E285" s="8" t="str">
        <f t="shared" si="29"/>
        <v>rg:{'id':'rg:None'}</v>
      </c>
      <c r="F285" s="9" t="s">
        <v>7055</v>
      </c>
      <c r="G285" s="9" t="str">
        <f ca="1">INDEX(DistrictEquipmentTypes.csv!F:F,RANDBETWEEN(2,COUNTA(DistrictEquipmentTypes.csv!D:D)),1)</f>
        <v>200003</v>
      </c>
      <c r="H285" s="8" t="str">
        <f t="shared" ca="1" si="30"/>
        <v>rg:{ 'id': '200003'}</v>
      </c>
      <c r="I285" s="8">
        <f t="shared" ca="1" si="31"/>
        <v>5</v>
      </c>
      <c r="J285" s="8">
        <f t="shared" ca="1" si="32"/>
        <v>68</v>
      </c>
      <c r="K285" s="8" t="str">
        <f t="shared" ca="1" si="33"/>
        <v>2017-04-18</v>
      </c>
      <c r="L285" s="8" t="str">
        <f t="shared" ca="1" si="34"/>
        <v>2017-05-30</v>
      </c>
    </row>
    <row r="286" spans="1:12" x14ac:dyDescent="0.3">
      <c r="A286" s="8" t="s">
        <v>5668</v>
      </c>
      <c r="B286" s="8">
        <f t="shared" si="28"/>
        <v>600284</v>
      </c>
      <c r="C286" s="1" t="s">
        <v>7025</v>
      </c>
      <c r="D286" s="9" t="str">
        <f>IFERROR(VLOOKUP(VLOOKUP(VLOOKUP(C286,Project.csv!F:Q,12,FALSE),ServiceAreas.csv!B:I,8,FALSE),LocalAreas.csv!B:I,7,FALSE),200029)</f>
        <v>rg:None</v>
      </c>
      <c r="E286" s="8" t="str">
        <f t="shared" si="29"/>
        <v>rg:{'id':'rg:None'}</v>
      </c>
      <c r="F286" s="9" t="s">
        <v>7055</v>
      </c>
      <c r="G286" s="9" t="str">
        <f ca="1">INDEX(DistrictEquipmentTypes.csv!F:F,RANDBETWEEN(2,COUNTA(DistrictEquipmentTypes.csv!D:D)),1)</f>
        <v>200002</v>
      </c>
      <c r="H286" s="8" t="str">
        <f t="shared" ca="1" si="30"/>
        <v>rg:{ 'id': '200002'}</v>
      </c>
      <c r="I286" s="8">
        <f t="shared" ca="1" si="31"/>
        <v>1</v>
      </c>
      <c r="J286" s="8">
        <f t="shared" ca="1" si="32"/>
        <v>22</v>
      </c>
      <c r="K286" s="8" t="str">
        <f t="shared" ca="1" si="33"/>
        <v>2017-05-13</v>
      </c>
      <c r="L286" s="8" t="str">
        <f t="shared" ca="1" si="34"/>
        <v>2017-05-15</v>
      </c>
    </row>
    <row r="287" spans="1:12" x14ac:dyDescent="0.3">
      <c r="A287" s="8" t="s">
        <v>5668</v>
      </c>
      <c r="B287" s="8">
        <f t="shared" si="28"/>
        <v>600285</v>
      </c>
      <c r="C287" s="1" t="s">
        <v>6923</v>
      </c>
      <c r="D287" s="9" t="str">
        <f>IFERROR(VLOOKUP(VLOOKUP(VLOOKUP(C287,Project.csv!F:Q,12,FALSE),ServiceAreas.csv!B:I,8,FALSE),LocalAreas.csv!B:I,7,FALSE),200029)</f>
        <v>rg:None</v>
      </c>
      <c r="E287" s="8" t="str">
        <f t="shared" si="29"/>
        <v>rg:{'id':'rg:None'}</v>
      </c>
      <c r="F287" s="9" t="s">
        <v>7055</v>
      </c>
      <c r="G287" s="9" t="str">
        <f ca="1">INDEX(DistrictEquipmentTypes.csv!F:F,RANDBETWEEN(2,COUNTA(DistrictEquipmentTypes.csv!D:D)),1)</f>
        <v>200009</v>
      </c>
      <c r="H287" s="8" t="str">
        <f t="shared" ca="1" si="30"/>
        <v>rg:{ 'id': '200009'}</v>
      </c>
      <c r="I287" s="8">
        <f t="shared" ca="1" si="31"/>
        <v>3</v>
      </c>
      <c r="J287" s="8">
        <f t="shared" ca="1" si="32"/>
        <v>93</v>
      </c>
      <c r="K287" s="8" t="str">
        <f t="shared" ca="1" si="33"/>
        <v>2017-04-11</v>
      </c>
      <c r="L287" s="8" t="str">
        <f t="shared" ca="1" si="34"/>
        <v>2017-05-15</v>
      </c>
    </row>
    <row r="288" spans="1:12" x14ac:dyDescent="0.3">
      <c r="A288" s="8" t="s">
        <v>5668</v>
      </c>
      <c r="B288" s="8">
        <f t="shared" si="28"/>
        <v>600286</v>
      </c>
      <c r="C288" s="1" t="s">
        <v>7026</v>
      </c>
      <c r="D288" s="9" t="str">
        <f>IFERROR(VLOOKUP(VLOOKUP(VLOOKUP(C288,Project.csv!F:Q,12,FALSE),ServiceAreas.csv!B:I,8,FALSE),LocalAreas.csv!B:I,7,FALSE),200029)</f>
        <v>rg:None</v>
      </c>
      <c r="E288" s="8" t="str">
        <f t="shared" si="29"/>
        <v>rg:{'id':'rg:None'}</v>
      </c>
      <c r="F288" s="9" t="s">
        <v>7055</v>
      </c>
      <c r="G288" s="9" t="str">
        <f ca="1">INDEX(DistrictEquipmentTypes.csv!F:F,RANDBETWEEN(2,COUNTA(DistrictEquipmentTypes.csv!D:D)),1)</f>
        <v>200006</v>
      </c>
      <c r="H288" s="8" t="str">
        <f t="shared" ca="1" si="30"/>
        <v>rg:{ 'id': '200006'}</v>
      </c>
      <c r="I288" s="8">
        <f t="shared" ca="1" si="31"/>
        <v>1</v>
      </c>
      <c r="J288" s="8">
        <f t="shared" ca="1" si="32"/>
        <v>44</v>
      </c>
      <c r="K288" s="8" t="str">
        <f t="shared" ca="1" si="33"/>
        <v>2017-04-28</v>
      </c>
      <c r="L288" s="8" t="str">
        <f t="shared" ca="1" si="34"/>
        <v>2017-05-03</v>
      </c>
    </row>
    <row r="289" spans="1:12" x14ac:dyDescent="0.3">
      <c r="A289" s="8" t="s">
        <v>5668</v>
      </c>
      <c r="B289" s="8">
        <f t="shared" si="28"/>
        <v>600287</v>
      </c>
      <c r="C289" s="1" t="s">
        <v>7027</v>
      </c>
      <c r="D289" s="9" t="str">
        <f>IFERROR(VLOOKUP(VLOOKUP(VLOOKUP(C289,Project.csv!F:Q,12,FALSE),ServiceAreas.csv!B:I,8,FALSE),LocalAreas.csv!B:I,7,FALSE),200029)</f>
        <v>rg:None</v>
      </c>
      <c r="E289" s="8" t="str">
        <f t="shared" si="29"/>
        <v>rg:{'id':'rg:None'}</v>
      </c>
      <c r="F289" s="9" t="s">
        <v>7055</v>
      </c>
      <c r="G289" s="9" t="str">
        <f ca="1">INDEX(DistrictEquipmentTypes.csv!F:F,RANDBETWEEN(2,COUNTA(DistrictEquipmentTypes.csv!D:D)),1)</f>
        <v>200005</v>
      </c>
      <c r="H289" s="8" t="str">
        <f t="shared" ca="1" si="30"/>
        <v>rg:{ 'id': '200005'}</v>
      </c>
      <c r="I289" s="8">
        <f t="shared" ca="1" si="31"/>
        <v>1</v>
      </c>
      <c r="J289" s="8">
        <f t="shared" ca="1" si="32"/>
        <v>79</v>
      </c>
      <c r="K289" s="8" t="str">
        <f t="shared" ca="1" si="33"/>
        <v>2017-04-28</v>
      </c>
      <c r="L289" s="8" t="str">
        <f t="shared" ca="1" si="34"/>
        <v>2017-05-07</v>
      </c>
    </row>
    <row r="290" spans="1:12" x14ac:dyDescent="0.3">
      <c r="A290" s="8" t="s">
        <v>5668</v>
      </c>
      <c r="B290" s="8">
        <f t="shared" si="28"/>
        <v>600288</v>
      </c>
      <c r="C290" s="1" t="s">
        <v>6930</v>
      </c>
      <c r="D290" s="9" t="str">
        <f>IFERROR(VLOOKUP(VLOOKUP(VLOOKUP(C290,Project.csv!F:Q,12,FALSE),ServiceAreas.csv!B:I,8,FALSE),LocalAreas.csv!B:I,7,FALSE),200029)</f>
        <v>rg:None</v>
      </c>
      <c r="E290" s="8" t="str">
        <f t="shared" si="29"/>
        <v>rg:{'id':'rg:None'}</v>
      </c>
      <c r="F290" s="9" t="s">
        <v>7055</v>
      </c>
      <c r="G290" s="9" t="str">
        <f ca="1">INDEX(DistrictEquipmentTypes.csv!F:F,RANDBETWEEN(2,COUNTA(DistrictEquipmentTypes.csv!D:D)),1)</f>
        <v>200001</v>
      </c>
      <c r="H290" s="8" t="str">
        <f t="shared" ca="1" si="30"/>
        <v>rg:{ 'id': '200001'}</v>
      </c>
      <c r="I290" s="8">
        <f t="shared" ca="1" si="31"/>
        <v>1</v>
      </c>
      <c r="J290" s="8">
        <f t="shared" ca="1" si="32"/>
        <v>7</v>
      </c>
      <c r="K290" s="8" t="str">
        <f t="shared" ca="1" si="33"/>
        <v>2017-05-24</v>
      </c>
      <c r="L290" s="8" t="str">
        <f t="shared" ca="1" si="34"/>
        <v>2017-05-24</v>
      </c>
    </row>
    <row r="291" spans="1:12" x14ac:dyDescent="0.3">
      <c r="A291" s="8" t="s">
        <v>5668</v>
      </c>
      <c r="B291" s="8">
        <f t="shared" si="28"/>
        <v>600289</v>
      </c>
      <c r="C291" s="1" t="s">
        <v>7028</v>
      </c>
      <c r="D291" s="9" t="str">
        <f>IFERROR(VLOOKUP(VLOOKUP(VLOOKUP(C291,Project.csv!F:Q,12,FALSE),ServiceAreas.csv!B:I,8,FALSE),LocalAreas.csv!B:I,7,FALSE),200029)</f>
        <v>rg:None</v>
      </c>
      <c r="E291" s="8" t="str">
        <f t="shared" si="29"/>
        <v>rg:{'id':'rg:None'}</v>
      </c>
      <c r="F291" s="9" t="s">
        <v>7055</v>
      </c>
      <c r="G291" s="9" t="str">
        <f ca="1">INDEX(DistrictEquipmentTypes.csv!F:F,RANDBETWEEN(2,COUNTA(DistrictEquipmentTypes.csv!D:D)),1)</f>
        <v>200000</v>
      </c>
      <c r="H291" s="8" t="str">
        <f t="shared" ca="1" si="30"/>
        <v>rg:{ 'id': '200000'}</v>
      </c>
      <c r="I291" s="8">
        <f t="shared" ca="1" si="31"/>
        <v>1</v>
      </c>
      <c r="J291" s="8">
        <f t="shared" ca="1" si="32"/>
        <v>86</v>
      </c>
      <c r="K291" s="8" t="str">
        <f t="shared" ca="1" si="33"/>
        <v>2017-05-04</v>
      </c>
      <c r="L291" s="8" t="str">
        <f t="shared" ca="1" si="34"/>
        <v>2017-05-14</v>
      </c>
    </row>
    <row r="292" spans="1:12" x14ac:dyDescent="0.3">
      <c r="A292" s="8" t="s">
        <v>5668</v>
      </c>
      <c r="B292" s="8">
        <f t="shared" si="28"/>
        <v>600290</v>
      </c>
      <c r="C292" s="1" t="s">
        <v>7029</v>
      </c>
      <c r="D292" s="9" t="str">
        <f>IFERROR(VLOOKUP(VLOOKUP(VLOOKUP(C292,Project.csv!F:Q,12,FALSE),ServiceAreas.csv!B:I,8,FALSE),LocalAreas.csv!B:I,7,FALSE),200029)</f>
        <v>rg:None</v>
      </c>
      <c r="E292" s="8" t="str">
        <f t="shared" si="29"/>
        <v>rg:{'id':'rg:None'}</v>
      </c>
      <c r="F292" s="9" t="s">
        <v>7055</v>
      </c>
      <c r="G292" s="9" t="str">
        <f ca="1">INDEX(DistrictEquipmentTypes.csv!F:F,RANDBETWEEN(2,COUNTA(DistrictEquipmentTypes.csv!D:D)),1)</f>
        <v>200006</v>
      </c>
      <c r="H292" s="8" t="str">
        <f t="shared" ca="1" si="30"/>
        <v>rg:{ 'id': '200006'}</v>
      </c>
      <c r="I292" s="8">
        <f t="shared" ca="1" si="31"/>
        <v>4</v>
      </c>
      <c r="J292" s="8">
        <f t="shared" ca="1" si="32"/>
        <v>17</v>
      </c>
      <c r="K292" s="8" t="str">
        <f t="shared" ca="1" si="33"/>
        <v>2017-04-25</v>
      </c>
      <c r="L292" s="8" t="str">
        <f t="shared" ca="1" si="34"/>
        <v>2017-05-03</v>
      </c>
    </row>
    <row r="293" spans="1:12" x14ac:dyDescent="0.3">
      <c r="A293" s="8" t="s">
        <v>5668</v>
      </c>
      <c r="B293" s="8">
        <f t="shared" si="28"/>
        <v>600291</v>
      </c>
      <c r="C293" s="1" t="s">
        <v>7030</v>
      </c>
      <c r="D293" s="9" t="str">
        <f>IFERROR(VLOOKUP(VLOOKUP(VLOOKUP(C293,Project.csv!F:Q,12,FALSE),ServiceAreas.csv!B:I,8,FALSE),LocalAreas.csv!B:I,7,FALSE),200029)</f>
        <v>rg:None</v>
      </c>
      <c r="E293" s="8" t="str">
        <f t="shared" si="29"/>
        <v>rg:{'id':'rg:None'}</v>
      </c>
      <c r="F293" s="9" t="s">
        <v>7055</v>
      </c>
      <c r="G293" s="9" t="str">
        <f ca="1">INDEX(DistrictEquipmentTypes.csv!F:F,RANDBETWEEN(2,COUNTA(DistrictEquipmentTypes.csv!D:D)),1)</f>
        <v>200001</v>
      </c>
      <c r="H293" s="8" t="str">
        <f t="shared" ca="1" si="30"/>
        <v>rg:{ 'id': '200001'}</v>
      </c>
      <c r="I293" s="8">
        <f t="shared" ca="1" si="31"/>
        <v>1</v>
      </c>
      <c r="J293" s="8">
        <f t="shared" ca="1" si="32"/>
        <v>91</v>
      </c>
      <c r="K293" s="8" t="str">
        <f t="shared" ca="1" si="33"/>
        <v>2017-04-22</v>
      </c>
      <c r="L293" s="8" t="str">
        <f t="shared" ca="1" si="34"/>
        <v>2017-05-03</v>
      </c>
    </row>
    <row r="294" spans="1:12" x14ac:dyDescent="0.3">
      <c r="A294" s="8" t="s">
        <v>5668</v>
      </c>
      <c r="B294" s="8">
        <f t="shared" si="28"/>
        <v>600292</v>
      </c>
      <c r="C294" s="1" t="s">
        <v>7031</v>
      </c>
      <c r="D294" s="9" t="str">
        <f>IFERROR(VLOOKUP(VLOOKUP(VLOOKUP(C294,Project.csv!F:Q,12,FALSE),ServiceAreas.csv!B:I,8,FALSE),LocalAreas.csv!B:I,7,FALSE),200029)</f>
        <v>rg:None</v>
      </c>
      <c r="E294" s="8" t="str">
        <f t="shared" si="29"/>
        <v>rg:{'id':'rg:None'}</v>
      </c>
      <c r="F294" s="9" t="s">
        <v>7055</v>
      </c>
      <c r="G294" s="9" t="str">
        <f ca="1">INDEX(DistrictEquipmentTypes.csv!F:F,RANDBETWEEN(2,COUNTA(DistrictEquipmentTypes.csv!D:D)),1)</f>
        <v>200009</v>
      </c>
      <c r="H294" s="8" t="str">
        <f t="shared" ca="1" si="30"/>
        <v>rg:{ 'id': '200009'}</v>
      </c>
      <c r="I294" s="8">
        <f t="shared" ca="1" si="31"/>
        <v>1</v>
      </c>
      <c r="J294" s="8">
        <f t="shared" ca="1" si="32"/>
        <v>7</v>
      </c>
      <c r="K294" s="8" t="str">
        <f t="shared" ca="1" si="33"/>
        <v>2017-04-29</v>
      </c>
      <c r="L294" s="8" t="str">
        <f t="shared" ca="1" si="34"/>
        <v>2017-04-29</v>
      </c>
    </row>
    <row r="295" spans="1:12" x14ac:dyDescent="0.3">
      <c r="A295" s="8" t="s">
        <v>5668</v>
      </c>
      <c r="B295" s="8">
        <f t="shared" si="28"/>
        <v>600293</v>
      </c>
      <c r="C295" s="1" t="s">
        <v>7032</v>
      </c>
      <c r="D295" s="9" t="str">
        <f>IFERROR(VLOOKUP(VLOOKUP(VLOOKUP(C295,Project.csv!F:Q,12,FALSE),ServiceAreas.csv!B:I,8,FALSE),LocalAreas.csv!B:I,7,FALSE),200029)</f>
        <v>rg:None</v>
      </c>
      <c r="E295" s="8" t="str">
        <f t="shared" si="29"/>
        <v>rg:{'id':'rg:None'}</v>
      </c>
      <c r="F295" s="9" t="s">
        <v>7055</v>
      </c>
      <c r="G295" s="9" t="str">
        <f ca="1">INDEX(DistrictEquipmentTypes.csv!F:F,RANDBETWEEN(2,COUNTA(DistrictEquipmentTypes.csv!D:D)),1)</f>
        <v>200000</v>
      </c>
      <c r="H295" s="8" t="str">
        <f t="shared" ca="1" si="30"/>
        <v>rg:{ 'id': '200000'}</v>
      </c>
      <c r="I295" s="8">
        <f t="shared" ca="1" si="31"/>
        <v>1</v>
      </c>
      <c r="J295" s="8">
        <f t="shared" ca="1" si="32"/>
        <v>88</v>
      </c>
      <c r="K295" s="8" t="str">
        <f t="shared" ca="1" si="33"/>
        <v>2017-05-14</v>
      </c>
      <c r="L295" s="8" t="str">
        <f t="shared" ca="1" si="34"/>
        <v>2017-05-25</v>
      </c>
    </row>
    <row r="296" spans="1:12" x14ac:dyDescent="0.3">
      <c r="A296" s="8" t="s">
        <v>5668</v>
      </c>
      <c r="B296" s="8">
        <f t="shared" si="28"/>
        <v>600294</v>
      </c>
      <c r="C296" s="1" t="s">
        <v>7033</v>
      </c>
      <c r="D296" s="9" t="str">
        <f>IFERROR(VLOOKUP(VLOOKUP(VLOOKUP(C296,Project.csv!F:Q,12,FALSE),ServiceAreas.csv!B:I,8,FALSE),LocalAreas.csv!B:I,7,FALSE),200029)</f>
        <v>rg:None</v>
      </c>
      <c r="E296" s="8" t="str">
        <f t="shared" si="29"/>
        <v>rg:{'id':'rg:None'}</v>
      </c>
      <c r="F296" s="9" t="s">
        <v>7055</v>
      </c>
      <c r="G296" s="9" t="str">
        <f ca="1">INDEX(DistrictEquipmentTypes.csv!F:F,RANDBETWEEN(2,COUNTA(DistrictEquipmentTypes.csv!D:D)),1)</f>
        <v>200000</v>
      </c>
      <c r="H296" s="8" t="str">
        <f t="shared" ca="1" si="30"/>
        <v>rg:{ 'id': '200000'}</v>
      </c>
      <c r="I296" s="8">
        <f t="shared" ca="1" si="31"/>
        <v>1</v>
      </c>
      <c r="J296" s="8">
        <f t="shared" ca="1" si="32"/>
        <v>56</v>
      </c>
      <c r="K296" s="8" t="str">
        <f t="shared" ca="1" si="33"/>
        <v>2017-04-21</v>
      </c>
      <c r="L296" s="8" t="str">
        <f t="shared" ca="1" si="34"/>
        <v>2017-04-28</v>
      </c>
    </row>
    <row r="297" spans="1:12" x14ac:dyDescent="0.3">
      <c r="A297" s="8" t="s">
        <v>5668</v>
      </c>
      <c r="B297" s="8">
        <f t="shared" si="28"/>
        <v>600295</v>
      </c>
      <c r="C297" s="1" t="s">
        <v>7034</v>
      </c>
      <c r="D297" s="9" t="str">
        <f>IFERROR(VLOOKUP(VLOOKUP(VLOOKUP(C297,Project.csv!F:Q,12,FALSE),ServiceAreas.csv!B:I,8,FALSE),LocalAreas.csv!B:I,7,FALSE),200029)</f>
        <v>rg:None</v>
      </c>
      <c r="E297" s="8" t="str">
        <f t="shared" si="29"/>
        <v>rg:{'id':'rg:None'}</v>
      </c>
      <c r="F297" s="9" t="s">
        <v>7055</v>
      </c>
      <c r="G297" s="9" t="str">
        <f ca="1">INDEX(DistrictEquipmentTypes.csv!F:F,RANDBETWEEN(2,COUNTA(DistrictEquipmentTypes.csv!D:D)),1)</f>
        <v>200000</v>
      </c>
      <c r="H297" s="8" t="str">
        <f t="shared" ca="1" si="30"/>
        <v>rg:{ 'id': '200000'}</v>
      </c>
      <c r="I297" s="8">
        <f t="shared" ca="1" si="31"/>
        <v>1</v>
      </c>
      <c r="J297" s="8">
        <f t="shared" ca="1" si="32"/>
        <v>95</v>
      </c>
      <c r="K297" s="8" t="str">
        <f t="shared" ca="1" si="33"/>
        <v>2017-04-27</v>
      </c>
      <c r="L297" s="8" t="str">
        <f t="shared" ca="1" si="34"/>
        <v>2017-05-08</v>
      </c>
    </row>
    <row r="298" spans="1:12" x14ac:dyDescent="0.3">
      <c r="A298" s="8" t="s">
        <v>5668</v>
      </c>
      <c r="B298" s="8">
        <f t="shared" si="28"/>
        <v>600296</v>
      </c>
      <c r="C298" s="1" t="s">
        <v>6895</v>
      </c>
      <c r="D298" s="9" t="str">
        <f>IFERROR(VLOOKUP(VLOOKUP(VLOOKUP(C298,Project.csv!F:Q,12,FALSE),ServiceAreas.csv!B:I,8,FALSE),LocalAreas.csv!B:I,7,FALSE),200029)</f>
        <v>rg:None</v>
      </c>
      <c r="E298" s="8" t="str">
        <f t="shared" si="29"/>
        <v>rg:{'id':'rg:None'}</v>
      </c>
      <c r="F298" s="9" t="s">
        <v>7055</v>
      </c>
      <c r="G298" s="9" t="str">
        <f ca="1">INDEX(DistrictEquipmentTypes.csv!F:F,RANDBETWEEN(2,COUNTA(DistrictEquipmentTypes.csv!D:D)),1)</f>
        <v>200009</v>
      </c>
      <c r="H298" s="8" t="str">
        <f t="shared" ca="1" si="30"/>
        <v>rg:{ 'id': '200009'}</v>
      </c>
      <c r="I298" s="8">
        <f t="shared" ca="1" si="31"/>
        <v>1</v>
      </c>
      <c r="J298" s="8">
        <f t="shared" ca="1" si="32"/>
        <v>49</v>
      </c>
      <c r="K298" s="8" t="str">
        <f t="shared" ca="1" si="33"/>
        <v>2017-05-19</v>
      </c>
      <c r="L298" s="8" t="str">
        <f t="shared" ca="1" si="34"/>
        <v>2017-05-25</v>
      </c>
    </row>
    <row r="299" spans="1:12" x14ac:dyDescent="0.3">
      <c r="A299" s="8" t="s">
        <v>5668</v>
      </c>
      <c r="B299" s="8">
        <f t="shared" si="28"/>
        <v>600297</v>
      </c>
      <c r="C299" s="1" t="s">
        <v>7035</v>
      </c>
      <c r="D299" s="9" t="str">
        <f>IFERROR(VLOOKUP(VLOOKUP(VLOOKUP(C299,Project.csv!F:Q,12,FALSE),ServiceAreas.csv!B:I,8,FALSE),LocalAreas.csv!B:I,7,FALSE),200029)</f>
        <v>rg:None</v>
      </c>
      <c r="E299" s="8" t="str">
        <f t="shared" si="29"/>
        <v>rg:{'id':'rg:None'}</v>
      </c>
      <c r="F299" s="9" t="s">
        <v>7055</v>
      </c>
      <c r="G299" s="9" t="str">
        <f ca="1">INDEX(DistrictEquipmentTypes.csv!F:F,RANDBETWEEN(2,COUNTA(DistrictEquipmentTypes.csv!D:D)),1)</f>
        <v>200001</v>
      </c>
      <c r="H299" s="8" t="str">
        <f t="shared" ca="1" si="30"/>
        <v>rg:{ 'id': '200001'}</v>
      </c>
      <c r="I299" s="8">
        <f t="shared" ca="1" si="31"/>
        <v>4</v>
      </c>
      <c r="J299" s="8">
        <f t="shared" ca="1" si="32"/>
        <v>89</v>
      </c>
      <c r="K299" s="8" t="str">
        <f t="shared" ca="1" si="33"/>
        <v>2017-04-23</v>
      </c>
      <c r="L299" s="8" t="str">
        <f t="shared" ca="1" si="34"/>
        <v>2017-06-06</v>
      </c>
    </row>
    <row r="300" spans="1:12" x14ac:dyDescent="0.3">
      <c r="A300" s="8" t="s">
        <v>5668</v>
      </c>
      <c r="B300" s="8">
        <f t="shared" si="28"/>
        <v>600298</v>
      </c>
      <c r="C300" s="1" t="s">
        <v>6933</v>
      </c>
      <c r="D300" s="9" t="str">
        <f>IFERROR(VLOOKUP(VLOOKUP(VLOOKUP(C300,Project.csv!F:Q,12,FALSE),ServiceAreas.csv!B:I,8,FALSE),LocalAreas.csv!B:I,7,FALSE),200029)</f>
        <v>rg:None</v>
      </c>
      <c r="E300" s="8" t="str">
        <f t="shared" si="29"/>
        <v>rg:{'id':'rg:None'}</v>
      </c>
      <c r="F300" s="9" t="s">
        <v>7055</v>
      </c>
      <c r="G300" s="9" t="str">
        <f ca="1">INDEX(DistrictEquipmentTypes.csv!F:F,RANDBETWEEN(2,COUNTA(DistrictEquipmentTypes.csv!D:D)),1)</f>
        <v>200006</v>
      </c>
      <c r="H300" s="8" t="str">
        <f t="shared" ca="1" si="30"/>
        <v>rg:{ 'id': '200006'}</v>
      </c>
      <c r="I300" s="8">
        <f t="shared" ca="1" si="31"/>
        <v>5</v>
      </c>
      <c r="J300" s="8">
        <f t="shared" ca="1" si="32"/>
        <v>79</v>
      </c>
      <c r="K300" s="8" t="str">
        <f t="shared" ca="1" si="33"/>
        <v>2017-04-08</v>
      </c>
      <c r="L300" s="8" t="str">
        <f t="shared" ca="1" si="34"/>
        <v>2017-05-27</v>
      </c>
    </row>
    <row r="301" spans="1:12" x14ac:dyDescent="0.3">
      <c r="A301" s="8" t="s">
        <v>5668</v>
      </c>
      <c r="B301" s="8">
        <f t="shared" si="28"/>
        <v>600299</v>
      </c>
      <c r="C301" s="1" t="s">
        <v>7036</v>
      </c>
      <c r="D301" s="9" t="str">
        <f>IFERROR(VLOOKUP(VLOOKUP(VLOOKUP(C301,Project.csv!F:Q,12,FALSE),ServiceAreas.csv!B:I,8,FALSE),LocalAreas.csv!B:I,7,FALSE),200029)</f>
        <v>rg:None</v>
      </c>
      <c r="E301" s="8" t="str">
        <f t="shared" si="29"/>
        <v>rg:{'id':'rg:None'}</v>
      </c>
      <c r="F301" s="9" t="s">
        <v>7055</v>
      </c>
      <c r="G301" s="9" t="str">
        <f ca="1">INDEX(DistrictEquipmentTypes.csv!F:F,RANDBETWEEN(2,COUNTA(DistrictEquipmentTypes.csv!D:D)),1)</f>
        <v>200001</v>
      </c>
      <c r="H301" s="8" t="str">
        <f t="shared" ca="1" si="30"/>
        <v>rg:{ 'id': '200001'}</v>
      </c>
      <c r="I301" s="8">
        <f t="shared" ca="1" si="31"/>
        <v>1</v>
      </c>
      <c r="J301" s="8">
        <f t="shared" ca="1" si="32"/>
        <v>26</v>
      </c>
      <c r="K301" s="8" t="str">
        <f t="shared" ca="1" si="33"/>
        <v>2017-05-13</v>
      </c>
      <c r="L301" s="8" t="str">
        <f t="shared" ca="1" si="34"/>
        <v>2017-05-16</v>
      </c>
    </row>
    <row r="302" spans="1:12" x14ac:dyDescent="0.3">
      <c r="A302" s="8" t="s">
        <v>5668</v>
      </c>
      <c r="B302" s="8">
        <f t="shared" si="28"/>
        <v>600300</v>
      </c>
      <c r="C302" s="1" t="s">
        <v>7037</v>
      </c>
      <c r="D302" s="9" t="str">
        <f>IFERROR(VLOOKUP(VLOOKUP(VLOOKUP(C302,Project.csv!F:Q,12,FALSE),ServiceAreas.csv!B:I,8,FALSE),LocalAreas.csv!B:I,7,FALSE),200029)</f>
        <v>rg:None</v>
      </c>
      <c r="E302" s="8" t="str">
        <f t="shared" si="29"/>
        <v>rg:{'id':'rg:None'}</v>
      </c>
      <c r="F302" s="9" t="s">
        <v>7055</v>
      </c>
      <c r="G302" s="9" t="str">
        <f ca="1">INDEX(DistrictEquipmentTypes.csv!F:F,RANDBETWEEN(2,COUNTA(DistrictEquipmentTypes.csv!D:D)),1)</f>
        <v>200003</v>
      </c>
      <c r="H302" s="8" t="str">
        <f t="shared" ca="1" si="30"/>
        <v>rg:{ 'id': '200003'}</v>
      </c>
      <c r="I302" s="8">
        <f t="shared" ca="1" si="31"/>
        <v>1</v>
      </c>
      <c r="J302" s="8">
        <f t="shared" ca="1" si="32"/>
        <v>72</v>
      </c>
      <c r="K302" s="8" t="str">
        <f t="shared" ca="1" si="33"/>
        <v>2017-04-19</v>
      </c>
      <c r="L302" s="8" t="str">
        <f t="shared" ca="1" si="34"/>
        <v>2017-04-28</v>
      </c>
    </row>
    <row r="303" spans="1:12" x14ac:dyDescent="0.3">
      <c r="A303" s="8" t="s">
        <v>5668</v>
      </c>
      <c r="B303" s="8">
        <f t="shared" si="28"/>
        <v>600301</v>
      </c>
      <c r="C303" s="1" t="s">
        <v>7038</v>
      </c>
      <c r="D303" s="9" t="str">
        <f>IFERROR(VLOOKUP(VLOOKUP(VLOOKUP(C303,Project.csv!F:Q,12,FALSE),ServiceAreas.csv!B:I,8,FALSE),LocalAreas.csv!B:I,7,FALSE),200029)</f>
        <v>rg:None</v>
      </c>
      <c r="E303" s="8" t="str">
        <f t="shared" si="29"/>
        <v>rg:{'id':'rg:None'}</v>
      </c>
      <c r="F303" s="9" t="s">
        <v>7055</v>
      </c>
      <c r="G303" s="9" t="str">
        <f ca="1">INDEX(DistrictEquipmentTypes.csv!F:F,RANDBETWEEN(2,COUNTA(DistrictEquipmentTypes.csv!D:D)),1)</f>
        <v>200004</v>
      </c>
      <c r="H303" s="8" t="str">
        <f t="shared" ca="1" si="30"/>
        <v>rg:{ 'id': '200004'}</v>
      </c>
      <c r="I303" s="8">
        <f t="shared" ca="1" si="31"/>
        <v>1</v>
      </c>
      <c r="J303" s="8">
        <f t="shared" ca="1" si="32"/>
        <v>91</v>
      </c>
      <c r="K303" s="8" t="str">
        <f t="shared" ca="1" si="33"/>
        <v>2017-04-03</v>
      </c>
      <c r="L303" s="8" t="str">
        <f t="shared" ca="1" si="34"/>
        <v>2017-04-14</v>
      </c>
    </row>
    <row r="304" spans="1:12" x14ac:dyDescent="0.3">
      <c r="A304" s="8" t="s">
        <v>5668</v>
      </c>
      <c r="B304" s="8">
        <f t="shared" si="28"/>
        <v>600302</v>
      </c>
      <c r="C304" s="1" t="s">
        <v>6926</v>
      </c>
      <c r="D304" s="9" t="str">
        <f>IFERROR(VLOOKUP(VLOOKUP(VLOOKUP(C304,Project.csv!F:Q,12,FALSE),ServiceAreas.csv!B:I,8,FALSE),LocalAreas.csv!B:I,7,FALSE),200029)</f>
        <v>rg:None</v>
      </c>
      <c r="E304" s="8" t="str">
        <f t="shared" si="29"/>
        <v>rg:{'id':'rg:None'}</v>
      </c>
      <c r="F304" s="9" t="s">
        <v>7055</v>
      </c>
      <c r="G304" s="9" t="str">
        <f ca="1">INDEX(DistrictEquipmentTypes.csv!F:F,RANDBETWEEN(2,COUNTA(DistrictEquipmentTypes.csv!D:D)),1)</f>
        <v>200003</v>
      </c>
      <c r="H304" s="8" t="str">
        <f t="shared" ca="1" si="30"/>
        <v>rg:{ 'id': '200003'}</v>
      </c>
      <c r="I304" s="8">
        <f t="shared" ca="1" si="31"/>
        <v>3</v>
      </c>
      <c r="J304" s="8">
        <f t="shared" ca="1" si="32"/>
        <v>82</v>
      </c>
      <c r="K304" s="8" t="str">
        <f t="shared" ca="1" si="33"/>
        <v>2017-05-24</v>
      </c>
      <c r="L304" s="8" t="str">
        <f t="shared" ca="1" si="34"/>
        <v>2017-06-23</v>
      </c>
    </row>
    <row r="305" spans="1:12" x14ac:dyDescent="0.3">
      <c r="A305" s="8" t="s">
        <v>5668</v>
      </c>
      <c r="B305" s="8">
        <f t="shared" si="28"/>
        <v>600303</v>
      </c>
      <c r="C305" s="1" t="s">
        <v>7039</v>
      </c>
      <c r="D305" s="9" t="str">
        <f>IFERROR(VLOOKUP(VLOOKUP(VLOOKUP(C305,Project.csv!F:Q,12,FALSE),ServiceAreas.csv!B:I,8,FALSE),LocalAreas.csv!B:I,7,FALSE),200029)</f>
        <v>rg:None</v>
      </c>
      <c r="E305" s="8" t="str">
        <f t="shared" si="29"/>
        <v>rg:{'id':'rg:None'}</v>
      </c>
      <c r="F305" s="9" t="s">
        <v>7055</v>
      </c>
      <c r="G305" s="9" t="str">
        <f ca="1">INDEX(DistrictEquipmentTypes.csv!F:F,RANDBETWEEN(2,COUNTA(DistrictEquipmentTypes.csv!D:D)),1)</f>
        <v>200006</v>
      </c>
      <c r="H305" s="8" t="str">
        <f t="shared" ca="1" si="30"/>
        <v>rg:{ 'id': '200006'}</v>
      </c>
      <c r="I305" s="8">
        <f t="shared" ca="1" si="31"/>
        <v>1</v>
      </c>
      <c r="J305" s="8">
        <f t="shared" ca="1" si="32"/>
        <v>24</v>
      </c>
      <c r="K305" s="8" t="str">
        <f t="shared" ca="1" si="33"/>
        <v>2017-05-15</v>
      </c>
      <c r="L305" s="8" t="str">
        <f t="shared" ca="1" si="34"/>
        <v>2017-05-18</v>
      </c>
    </row>
    <row r="306" spans="1:12" x14ac:dyDescent="0.3">
      <c r="A306" s="8" t="s">
        <v>5668</v>
      </c>
      <c r="B306" s="8">
        <f t="shared" si="28"/>
        <v>600304</v>
      </c>
      <c r="C306" s="1" t="s">
        <v>7040</v>
      </c>
      <c r="D306" s="9" t="str">
        <f>IFERROR(VLOOKUP(VLOOKUP(VLOOKUP(C306,Project.csv!F:Q,12,FALSE),ServiceAreas.csv!B:I,8,FALSE),LocalAreas.csv!B:I,7,FALSE),200029)</f>
        <v>rg:None</v>
      </c>
      <c r="E306" s="8" t="str">
        <f t="shared" si="29"/>
        <v>rg:{'id':'rg:None'}</v>
      </c>
      <c r="F306" s="9" t="s">
        <v>7055</v>
      </c>
      <c r="G306" s="9" t="str">
        <f ca="1">INDEX(DistrictEquipmentTypes.csv!F:F,RANDBETWEEN(2,COUNTA(DistrictEquipmentTypes.csv!D:D)),1)</f>
        <v>200003</v>
      </c>
      <c r="H306" s="8" t="str">
        <f t="shared" ca="1" si="30"/>
        <v>rg:{ 'id': '200003'}</v>
      </c>
      <c r="I306" s="8">
        <f t="shared" ca="1" si="31"/>
        <v>1</v>
      </c>
      <c r="J306" s="8">
        <f t="shared" ca="1" si="32"/>
        <v>69</v>
      </c>
      <c r="K306" s="8" t="str">
        <f t="shared" ca="1" si="33"/>
        <v>2017-05-08</v>
      </c>
      <c r="L306" s="8" t="str">
        <f t="shared" ca="1" si="34"/>
        <v>2017-05-16</v>
      </c>
    </row>
    <row r="307" spans="1:12" x14ac:dyDescent="0.3">
      <c r="A307" s="8" t="s">
        <v>5668</v>
      </c>
      <c r="B307" s="8">
        <f t="shared" si="28"/>
        <v>600305</v>
      </c>
      <c r="C307" s="1" t="s">
        <v>7041</v>
      </c>
      <c r="D307" s="9" t="str">
        <f>IFERROR(VLOOKUP(VLOOKUP(VLOOKUP(C307,Project.csv!F:Q,12,FALSE),ServiceAreas.csv!B:I,8,FALSE),LocalAreas.csv!B:I,7,FALSE),200029)</f>
        <v>rg:None</v>
      </c>
      <c r="E307" s="8" t="str">
        <f t="shared" si="29"/>
        <v>rg:{'id':'rg:None'}</v>
      </c>
      <c r="F307" s="9" t="s">
        <v>7055</v>
      </c>
      <c r="G307" s="9" t="str">
        <f ca="1">INDEX(DistrictEquipmentTypes.csv!F:F,RANDBETWEEN(2,COUNTA(DistrictEquipmentTypes.csv!D:D)),1)</f>
        <v>200006</v>
      </c>
      <c r="H307" s="8" t="str">
        <f t="shared" ca="1" si="30"/>
        <v>rg:{ 'id': '200006'}</v>
      </c>
      <c r="I307" s="8">
        <f t="shared" ca="1" si="31"/>
        <v>1</v>
      </c>
      <c r="J307" s="8">
        <f t="shared" ca="1" si="32"/>
        <v>68</v>
      </c>
      <c r="K307" s="8" t="str">
        <f t="shared" ca="1" si="33"/>
        <v>2017-05-21</v>
      </c>
      <c r="L307" s="8" t="str">
        <f t="shared" ca="1" si="34"/>
        <v>2017-05-29</v>
      </c>
    </row>
    <row r="308" spans="1:12" x14ac:dyDescent="0.3">
      <c r="A308" s="8" t="s">
        <v>5668</v>
      </c>
      <c r="B308" s="8">
        <f t="shared" si="28"/>
        <v>600306</v>
      </c>
      <c r="C308" s="1" t="s">
        <v>7042</v>
      </c>
      <c r="D308" s="9" t="str">
        <f>IFERROR(VLOOKUP(VLOOKUP(VLOOKUP(C308,Project.csv!F:Q,12,FALSE),ServiceAreas.csv!B:I,8,FALSE),LocalAreas.csv!B:I,7,FALSE),200029)</f>
        <v>rg:None</v>
      </c>
      <c r="E308" s="8" t="str">
        <f t="shared" si="29"/>
        <v>rg:{'id':'rg:None'}</v>
      </c>
      <c r="F308" s="9" t="s">
        <v>7055</v>
      </c>
      <c r="G308" s="9" t="str">
        <f ca="1">INDEX(DistrictEquipmentTypes.csv!F:F,RANDBETWEEN(2,COUNTA(DistrictEquipmentTypes.csv!D:D)),1)</f>
        <v>200007</v>
      </c>
      <c r="H308" s="8" t="str">
        <f t="shared" ca="1" si="30"/>
        <v>rg:{ 'id': '200007'}</v>
      </c>
      <c r="I308" s="8">
        <f t="shared" ca="1" si="31"/>
        <v>1</v>
      </c>
      <c r="J308" s="8">
        <f t="shared" ca="1" si="32"/>
        <v>61</v>
      </c>
      <c r="K308" s="8" t="str">
        <f t="shared" ca="1" si="33"/>
        <v>2017-04-04</v>
      </c>
      <c r="L308" s="8" t="str">
        <f t="shared" ca="1" si="34"/>
        <v>2017-04-11</v>
      </c>
    </row>
    <row r="309" spans="1:12" x14ac:dyDescent="0.3">
      <c r="A309" s="8" t="s">
        <v>5668</v>
      </c>
      <c r="B309" s="8">
        <f t="shared" si="28"/>
        <v>600307</v>
      </c>
      <c r="C309" s="1" t="s">
        <v>7043</v>
      </c>
      <c r="D309" s="9" t="str">
        <f>IFERROR(VLOOKUP(VLOOKUP(VLOOKUP(C309,Project.csv!F:Q,12,FALSE),ServiceAreas.csv!B:I,8,FALSE),LocalAreas.csv!B:I,7,FALSE),200029)</f>
        <v>rg:None</v>
      </c>
      <c r="E309" s="8" t="str">
        <f t="shared" si="29"/>
        <v>rg:{'id':'rg:None'}</v>
      </c>
      <c r="F309" s="9" t="s">
        <v>7055</v>
      </c>
      <c r="G309" s="9" t="str">
        <f ca="1">INDEX(DistrictEquipmentTypes.csv!F:F,RANDBETWEEN(2,COUNTA(DistrictEquipmentTypes.csv!D:D)),1)</f>
        <v>200009</v>
      </c>
      <c r="H309" s="8" t="str">
        <f t="shared" ca="1" si="30"/>
        <v>rg:{ 'id': '200009'}</v>
      </c>
      <c r="I309" s="8">
        <f t="shared" ca="1" si="31"/>
        <v>1</v>
      </c>
      <c r="J309" s="8">
        <f t="shared" ca="1" si="32"/>
        <v>81</v>
      </c>
      <c r="K309" s="8" t="str">
        <f t="shared" ca="1" si="33"/>
        <v>2017-04-19</v>
      </c>
      <c r="L309" s="8" t="str">
        <f t="shared" ca="1" si="34"/>
        <v>2017-04-29</v>
      </c>
    </row>
    <row r="310" spans="1:12" x14ac:dyDescent="0.3">
      <c r="A310" s="8" t="s">
        <v>5668</v>
      </c>
      <c r="B310" s="8">
        <f t="shared" si="28"/>
        <v>600308</v>
      </c>
      <c r="C310" s="1" t="s">
        <v>7044</v>
      </c>
      <c r="D310" s="9" t="str">
        <f>IFERROR(VLOOKUP(VLOOKUP(VLOOKUP(C310,Project.csv!F:Q,12,FALSE),ServiceAreas.csv!B:I,8,FALSE),LocalAreas.csv!B:I,7,FALSE),200029)</f>
        <v>rg:None</v>
      </c>
      <c r="E310" s="8" t="str">
        <f t="shared" si="29"/>
        <v>rg:{'id':'rg:None'}</v>
      </c>
      <c r="F310" s="9" t="s">
        <v>7055</v>
      </c>
      <c r="G310" s="9" t="str">
        <f ca="1">INDEX(DistrictEquipmentTypes.csv!F:F,RANDBETWEEN(2,COUNTA(DistrictEquipmentTypes.csv!D:D)),1)</f>
        <v>200002</v>
      </c>
      <c r="H310" s="8" t="str">
        <f t="shared" ca="1" si="30"/>
        <v>rg:{ 'id': '200002'}</v>
      </c>
      <c r="I310" s="8">
        <f t="shared" ca="1" si="31"/>
        <v>1</v>
      </c>
      <c r="J310" s="8">
        <f t="shared" ca="1" si="32"/>
        <v>74</v>
      </c>
      <c r="K310" s="8" t="str">
        <f t="shared" ca="1" si="33"/>
        <v>2017-05-14</v>
      </c>
      <c r="L310" s="8" t="str">
        <f t="shared" ca="1" si="34"/>
        <v>2017-05-23</v>
      </c>
    </row>
    <row r="311" spans="1:12" x14ac:dyDescent="0.3">
      <c r="A311" s="8" t="s">
        <v>5668</v>
      </c>
      <c r="B311" s="8">
        <f t="shared" si="28"/>
        <v>600309</v>
      </c>
      <c r="C311" s="1" t="s">
        <v>6915</v>
      </c>
      <c r="D311" s="9" t="str">
        <f>IFERROR(VLOOKUP(VLOOKUP(VLOOKUP(C311,Project.csv!F:Q,12,FALSE),ServiceAreas.csv!B:I,8,FALSE),LocalAreas.csv!B:I,7,FALSE),200029)</f>
        <v>rg:None</v>
      </c>
      <c r="E311" s="8" t="str">
        <f t="shared" si="29"/>
        <v>rg:{'id':'rg:None'}</v>
      </c>
      <c r="F311" s="9" t="s">
        <v>7055</v>
      </c>
      <c r="G311" s="9" t="str">
        <f ca="1">INDEX(DistrictEquipmentTypes.csv!F:F,RANDBETWEEN(2,COUNTA(DistrictEquipmentTypes.csv!D:D)),1)</f>
        <v>200003</v>
      </c>
      <c r="H311" s="8" t="str">
        <f t="shared" ca="1" si="30"/>
        <v>rg:{ 'id': '200003'}</v>
      </c>
      <c r="I311" s="8">
        <f t="shared" ca="1" si="31"/>
        <v>1</v>
      </c>
      <c r="J311" s="8">
        <f t="shared" ca="1" si="32"/>
        <v>37</v>
      </c>
      <c r="K311" s="8" t="str">
        <f t="shared" ca="1" si="33"/>
        <v>2017-04-25</v>
      </c>
      <c r="L311" s="8" t="str">
        <f t="shared" ca="1" si="34"/>
        <v>2017-04-29</v>
      </c>
    </row>
    <row r="312" spans="1:12" x14ac:dyDescent="0.3">
      <c r="A312" s="8" t="s">
        <v>5668</v>
      </c>
      <c r="B312" s="8">
        <f t="shared" si="28"/>
        <v>600310</v>
      </c>
      <c r="C312" s="1" t="s">
        <v>7045</v>
      </c>
      <c r="D312" s="9" t="str">
        <f>IFERROR(VLOOKUP(VLOOKUP(VLOOKUP(C312,Project.csv!F:Q,12,FALSE),ServiceAreas.csv!B:I,8,FALSE),LocalAreas.csv!B:I,7,FALSE),200029)</f>
        <v>rg:None</v>
      </c>
      <c r="E312" s="8" t="str">
        <f t="shared" si="29"/>
        <v>rg:{'id':'rg:None'}</v>
      </c>
      <c r="F312" s="9" t="s">
        <v>7055</v>
      </c>
      <c r="G312" s="9" t="str">
        <f ca="1">INDEX(DistrictEquipmentTypes.csv!F:F,RANDBETWEEN(2,COUNTA(DistrictEquipmentTypes.csv!D:D)),1)</f>
        <v>200003</v>
      </c>
      <c r="H312" s="8" t="str">
        <f t="shared" ca="1" si="30"/>
        <v>rg:{ 'id': '200003'}</v>
      </c>
      <c r="I312" s="8">
        <f t="shared" ca="1" si="31"/>
        <v>1</v>
      </c>
      <c r="J312" s="8">
        <f t="shared" ca="1" si="32"/>
        <v>55</v>
      </c>
      <c r="K312" s="8" t="str">
        <f t="shared" ca="1" si="33"/>
        <v>2017-04-18</v>
      </c>
      <c r="L312" s="8" t="str">
        <f t="shared" ca="1" si="34"/>
        <v>2017-04-24</v>
      </c>
    </row>
    <row r="313" spans="1:12" x14ac:dyDescent="0.3">
      <c r="A313" s="8" t="s">
        <v>5668</v>
      </c>
      <c r="B313" s="8">
        <f t="shared" si="28"/>
        <v>600311</v>
      </c>
      <c r="C313" s="1" t="s">
        <v>6900</v>
      </c>
      <c r="D313" s="9" t="str">
        <f>IFERROR(VLOOKUP(VLOOKUP(VLOOKUP(C313,Project.csv!F:Q,12,FALSE),ServiceAreas.csv!B:I,8,FALSE),LocalAreas.csv!B:I,7,FALSE),200029)</f>
        <v>rg:None</v>
      </c>
      <c r="E313" s="8" t="str">
        <f t="shared" si="29"/>
        <v>rg:{'id':'rg:None'}</v>
      </c>
      <c r="F313" s="9" t="s">
        <v>7055</v>
      </c>
      <c r="G313" s="9" t="str">
        <f ca="1">INDEX(DistrictEquipmentTypes.csv!F:F,RANDBETWEEN(2,COUNTA(DistrictEquipmentTypes.csv!D:D)),1)</f>
        <v>200002</v>
      </c>
      <c r="H313" s="8" t="str">
        <f t="shared" ca="1" si="30"/>
        <v>rg:{ 'id': '200002'}</v>
      </c>
      <c r="I313" s="8">
        <f t="shared" ca="1" si="31"/>
        <v>1</v>
      </c>
      <c r="J313" s="8">
        <f t="shared" ca="1" si="32"/>
        <v>20</v>
      </c>
      <c r="K313" s="8" t="str">
        <f t="shared" ca="1" si="33"/>
        <v>2017-04-11</v>
      </c>
      <c r="L313" s="8" t="str">
        <f t="shared" ca="1" si="34"/>
        <v>2017-04-13</v>
      </c>
    </row>
    <row r="314" spans="1:12" x14ac:dyDescent="0.3">
      <c r="A314" s="8" t="s">
        <v>5668</v>
      </c>
      <c r="B314" s="8">
        <f t="shared" si="28"/>
        <v>600312</v>
      </c>
      <c r="C314" s="1" t="s">
        <v>6918</v>
      </c>
      <c r="D314" s="9" t="str">
        <f>IFERROR(VLOOKUP(VLOOKUP(VLOOKUP(C314,Project.csv!F:Q,12,FALSE),ServiceAreas.csv!B:I,8,FALSE),LocalAreas.csv!B:I,7,FALSE),200029)</f>
        <v>rg:None</v>
      </c>
      <c r="E314" s="8" t="str">
        <f t="shared" si="29"/>
        <v>rg:{'id':'rg:None'}</v>
      </c>
      <c r="F314" s="9" t="s">
        <v>7055</v>
      </c>
      <c r="G314" s="9" t="str">
        <f ca="1">INDEX(DistrictEquipmentTypes.csv!F:F,RANDBETWEEN(2,COUNTA(DistrictEquipmentTypes.csv!D:D)),1)</f>
        <v>200006</v>
      </c>
      <c r="H314" s="8" t="str">
        <f t="shared" ca="1" si="30"/>
        <v>rg:{ 'id': '200006'}</v>
      </c>
      <c r="I314" s="8">
        <f t="shared" ca="1" si="31"/>
        <v>1</v>
      </c>
      <c r="J314" s="8">
        <f t="shared" ca="1" si="32"/>
        <v>38</v>
      </c>
      <c r="K314" s="8" t="str">
        <f t="shared" ca="1" si="33"/>
        <v>2017-04-21</v>
      </c>
      <c r="L314" s="8" t="str">
        <f t="shared" ca="1" si="34"/>
        <v>2017-04-25</v>
      </c>
    </row>
    <row r="315" spans="1:12" x14ac:dyDescent="0.3">
      <c r="A315" s="8" t="s">
        <v>5668</v>
      </c>
      <c r="B315" s="8">
        <f t="shared" si="28"/>
        <v>600313</v>
      </c>
      <c r="C315" s="1" t="s">
        <v>7046</v>
      </c>
      <c r="D315" s="9" t="str">
        <f>IFERROR(VLOOKUP(VLOOKUP(VLOOKUP(C315,Project.csv!F:Q,12,FALSE),ServiceAreas.csv!B:I,8,FALSE),LocalAreas.csv!B:I,7,FALSE),200029)</f>
        <v>rg:None</v>
      </c>
      <c r="E315" s="8" t="str">
        <f t="shared" si="29"/>
        <v>rg:{'id':'rg:None'}</v>
      </c>
      <c r="F315" s="9" t="s">
        <v>7055</v>
      </c>
      <c r="G315" s="9" t="str">
        <f ca="1">INDEX(DistrictEquipmentTypes.csv!F:F,RANDBETWEEN(2,COUNTA(DistrictEquipmentTypes.csv!D:D)),1)</f>
        <v>200000</v>
      </c>
      <c r="H315" s="8" t="str">
        <f t="shared" ca="1" si="30"/>
        <v>rg:{ 'id': '200000'}</v>
      </c>
      <c r="I315" s="8">
        <f t="shared" ca="1" si="31"/>
        <v>1</v>
      </c>
      <c r="J315" s="8">
        <f t="shared" ca="1" si="32"/>
        <v>38</v>
      </c>
      <c r="K315" s="8" t="str">
        <f t="shared" ca="1" si="33"/>
        <v>2017-04-20</v>
      </c>
      <c r="L315" s="8" t="str">
        <f t="shared" ca="1" si="34"/>
        <v>2017-04-24</v>
      </c>
    </row>
    <row r="316" spans="1:12" x14ac:dyDescent="0.3">
      <c r="A316" s="8" t="s">
        <v>5668</v>
      </c>
      <c r="B316" s="8">
        <f t="shared" si="28"/>
        <v>600314</v>
      </c>
      <c r="C316" s="1" t="s">
        <v>7047</v>
      </c>
      <c r="D316" s="9" t="str">
        <f>IFERROR(VLOOKUP(VLOOKUP(VLOOKUP(C316,Project.csv!F:Q,12,FALSE),ServiceAreas.csv!B:I,8,FALSE),LocalAreas.csv!B:I,7,FALSE),200029)</f>
        <v>rg:None</v>
      </c>
      <c r="E316" s="8" t="str">
        <f t="shared" si="29"/>
        <v>rg:{'id':'rg:None'}</v>
      </c>
      <c r="F316" s="9" t="s">
        <v>7055</v>
      </c>
      <c r="G316" s="9" t="str">
        <f ca="1">INDEX(DistrictEquipmentTypes.csv!F:F,RANDBETWEEN(2,COUNTA(DistrictEquipmentTypes.csv!D:D)),1)</f>
        <v>200009</v>
      </c>
      <c r="H316" s="8" t="str">
        <f t="shared" ca="1" si="30"/>
        <v>rg:{ 'id': '200009'}</v>
      </c>
      <c r="I316" s="8">
        <f t="shared" ca="1" si="31"/>
        <v>1</v>
      </c>
      <c r="J316" s="8">
        <f t="shared" ca="1" si="32"/>
        <v>19</v>
      </c>
      <c r="K316" s="8" t="str">
        <f t="shared" ca="1" si="33"/>
        <v>2017-04-01</v>
      </c>
      <c r="L316" s="8" t="str">
        <f t="shared" ca="1" si="34"/>
        <v>2017-04-03</v>
      </c>
    </row>
    <row r="317" spans="1:12" x14ac:dyDescent="0.3">
      <c r="A317" s="8" t="s">
        <v>5668</v>
      </c>
      <c r="B317" s="8">
        <f t="shared" si="28"/>
        <v>600315</v>
      </c>
      <c r="C317" s="1" t="s">
        <v>7048</v>
      </c>
      <c r="D317" s="9" t="str">
        <f>IFERROR(VLOOKUP(VLOOKUP(VLOOKUP(C317,Project.csv!F:Q,12,FALSE),ServiceAreas.csv!B:I,8,FALSE),LocalAreas.csv!B:I,7,FALSE),200029)</f>
        <v>rg:None</v>
      </c>
      <c r="E317" s="8" t="str">
        <f t="shared" si="29"/>
        <v>rg:{'id':'rg:None'}</v>
      </c>
      <c r="F317" s="9" t="s">
        <v>7055</v>
      </c>
      <c r="G317" s="9" t="str">
        <f ca="1">INDEX(DistrictEquipmentTypes.csv!F:F,RANDBETWEEN(2,COUNTA(DistrictEquipmentTypes.csv!D:D)),1)</f>
        <v>200006</v>
      </c>
      <c r="H317" s="8" t="str">
        <f t="shared" ca="1" si="30"/>
        <v>rg:{ 'id': '200006'}</v>
      </c>
      <c r="I317" s="8">
        <f t="shared" ca="1" si="31"/>
        <v>5</v>
      </c>
      <c r="J317" s="8">
        <f t="shared" ca="1" si="32"/>
        <v>71</v>
      </c>
      <c r="K317" s="8" t="str">
        <f t="shared" ca="1" si="33"/>
        <v>2017-04-23</v>
      </c>
      <c r="L317" s="8" t="str">
        <f t="shared" ca="1" si="34"/>
        <v>2017-06-06</v>
      </c>
    </row>
    <row r="318" spans="1:12" x14ac:dyDescent="0.3">
      <c r="A318" s="8" t="s">
        <v>5668</v>
      </c>
      <c r="B318" s="8">
        <f t="shared" si="28"/>
        <v>600316</v>
      </c>
      <c r="C318" s="1" t="s">
        <v>7049</v>
      </c>
      <c r="D318" s="9">
        <f>IFERROR(VLOOKUP(VLOOKUP(VLOOKUP(C318,Project.csv!F:Q,12,FALSE),ServiceAreas.csv!B:I,8,FALSE),LocalAreas.csv!B:I,7,FALSE),200029)</f>
        <v>200029</v>
      </c>
      <c r="E318" s="8" t="str">
        <f t="shared" si="29"/>
        <v>rg:{'id':'200029'}</v>
      </c>
      <c r="F318" s="9" t="s">
        <v>7055</v>
      </c>
      <c r="G318" s="9" t="str">
        <f ca="1">INDEX(DistrictEquipmentTypes.csv!F:F,RANDBETWEEN(2,COUNTA(DistrictEquipmentTypes.csv!D:D)),1)</f>
        <v>200000</v>
      </c>
      <c r="H318" s="8" t="str">
        <f t="shared" ca="1" si="30"/>
        <v>rg:{ 'id': '200000'}</v>
      </c>
      <c r="I318" s="8">
        <f t="shared" ca="1" si="31"/>
        <v>1</v>
      </c>
      <c r="J318" s="8">
        <f t="shared" ca="1" si="32"/>
        <v>52</v>
      </c>
      <c r="K318" s="8" t="str">
        <f t="shared" ca="1" si="33"/>
        <v>2017-04-17</v>
      </c>
      <c r="L318" s="8" t="str">
        <f t="shared" ca="1" si="34"/>
        <v>2017-04-23</v>
      </c>
    </row>
    <row r="319" spans="1:12" x14ac:dyDescent="0.3">
      <c r="A319" s="8" t="s">
        <v>5668</v>
      </c>
      <c r="B319" s="8">
        <f t="shared" si="28"/>
        <v>600317</v>
      </c>
      <c r="C319" s="1" t="s">
        <v>7050</v>
      </c>
      <c r="D319" s="9">
        <f>IFERROR(VLOOKUP(VLOOKUP(VLOOKUP(C319,Project.csv!F:Q,12,FALSE),ServiceAreas.csv!B:I,8,FALSE),LocalAreas.csv!B:I,7,FALSE),200029)</f>
        <v>200029</v>
      </c>
      <c r="E319" s="8" t="str">
        <f t="shared" si="29"/>
        <v>rg:{'id':'200029'}</v>
      </c>
      <c r="F319" s="9" t="s">
        <v>7055</v>
      </c>
      <c r="G319" s="9" t="str">
        <f ca="1">INDEX(DistrictEquipmentTypes.csv!F:F,RANDBETWEEN(2,COUNTA(DistrictEquipmentTypes.csv!D:D)),1)</f>
        <v>200009</v>
      </c>
      <c r="H319" s="8" t="str">
        <f t="shared" ca="1" si="30"/>
        <v>rg:{ 'id': '200009'}</v>
      </c>
      <c r="I319" s="8">
        <f t="shared" ca="1" si="31"/>
        <v>1</v>
      </c>
      <c r="J319" s="8">
        <f t="shared" ca="1" si="32"/>
        <v>51</v>
      </c>
      <c r="K319" s="8" t="str">
        <f t="shared" ca="1" si="33"/>
        <v>2017-05-04</v>
      </c>
      <c r="L319" s="8" t="str">
        <f t="shared" ca="1" si="34"/>
        <v>2017-05-10</v>
      </c>
    </row>
    <row r="320" spans="1:12" x14ac:dyDescent="0.3">
      <c r="A320" s="8" t="s">
        <v>5668</v>
      </c>
      <c r="B320" s="8">
        <f t="shared" si="28"/>
        <v>600318</v>
      </c>
      <c r="C320" s="1" t="s">
        <v>7051</v>
      </c>
      <c r="D320" s="9">
        <f>IFERROR(VLOOKUP(VLOOKUP(VLOOKUP(C320,Project.csv!F:Q,12,FALSE),ServiceAreas.csv!B:I,8,FALSE),LocalAreas.csv!B:I,7,FALSE),200029)</f>
        <v>200029</v>
      </c>
      <c r="E320" s="8" t="str">
        <f t="shared" si="29"/>
        <v>rg:{'id':'200029'}</v>
      </c>
      <c r="F320" s="9" t="s">
        <v>7055</v>
      </c>
      <c r="G320" s="9" t="str">
        <f ca="1">INDEX(DistrictEquipmentTypes.csv!F:F,RANDBETWEEN(2,COUNTA(DistrictEquipmentTypes.csv!D:D)),1)</f>
        <v>200006</v>
      </c>
      <c r="H320" s="8" t="str">
        <f t="shared" ca="1" si="30"/>
        <v>rg:{ 'id': '200006'}</v>
      </c>
      <c r="I320" s="8">
        <f t="shared" ca="1" si="31"/>
        <v>2</v>
      </c>
      <c r="J320" s="8">
        <f t="shared" ca="1" si="32"/>
        <v>7</v>
      </c>
      <c r="K320" s="8" t="str">
        <f t="shared" ca="1" si="33"/>
        <v>2017-04-12</v>
      </c>
      <c r="L320" s="8" t="str">
        <f t="shared" ca="1" si="34"/>
        <v>2017-04-13</v>
      </c>
    </row>
    <row r="321" spans="1:12" x14ac:dyDescent="0.3">
      <c r="A321" s="8" t="s">
        <v>5668</v>
      </c>
      <c r="B321" s="8">
        <f t="shared" si="28"/>
        <v>600319</v>
      </c>
      <c r="C321" s="1" t="s">
        <v>7052</v>
      </c>
      <c r="D321" s="9">
        <f>IFERROR(VLOOKUP(VLOOKUP(VLOOKUP(C321,Project.csv!F:Q,12,FALSE),ServiceAreas.csv!B:I,8,FALSE),LocalAreas.csv!B:I,7,FALSE),200029)</f>
        <v>200029</v>
      </c>
      <c r="E321" s="8" t="str">
        <f t="shared" si="29"/>
        <v>rg:{'id':'200029'}</v>
      </c>
      <c r="F321" s="9" t="s">
        <v>7055</v>
      </c>
      <c r="G321" s="9" t="str">
        <f ca="1">INDEX(DistrictEquipmentTypes.csv!F:F,RANDBETWEEN(2,COUNTA(DistrictEquipmentTypes.csv!D:D)),1)</f>
        <v>200007</v>
      </c>
      <c r="H321" s="8" t="str">
        <f t="shared" ca="1" si="30"/>
        <v>rg:{ 'id': '200007'}</v>
      </c>
      <c r="I321" s="8">
        <f t="shared" ca="1" si="31"/>
        <v>1</v>
      </c>
      <c r="J321" s="8">
        <f t="shared" ca="1" si="32"/>
        <v>76</v>
      </c>
      <c r="K321" s="8" t="str">
        <f t="shared" ca="1" si="33"/>
        <v>2017-04-07</v>
      </c>
      <c r="L321" s="8" t="str">
        <f t="shared" ca="1" si="34"/>
        <v>2017-04-16</v>
      </c>
    </row>
    <row r="322" spans="1:12" x14ac:dyDescent="0.3">
      <c r="A322" s="8" t="s">
        <v>5668</v>
      </c>
      <c r="B322" s="8">
        <f t="shared" si="28"/>
        <v>600320</v>
      </c>
      <c r="C322" s="1" t="s">
        <v>7053</v>
      </c>
      <c r="D322" s="9">
        <f>IFERROR(VLOOKUP(VLOOKUP(VLOOKUP(C322,Project.csv!F:Q,12,FALSE),ServiceAreas.csv!B:I,8,FALSE),LocalAreas.csv!B:I,7,FALSE),200029)</f>
        <v>200029</v>
      </c>
      <c r="E322" s="8" t="str">
        <f t="shared" si="29"/>
        <v>rg:{'id':'200029'}</v>
      </c>
      <c r="F322" s="9" t="s">
        <v>7055</v>
      </c>
      <c r="G322" s="9" t="str">
        <f ca="1">INDEX(DistrictEquipmentTypes.csv!F:F,RANDBETWEEN(2,COUNTA(DistrictEquipmentTypes.csv!D:D)),1)</f>
        <v>200003</v>
      </c>
      <c r="H322" s="8" t="str">
        <f t="shared" ca="1" si="30"/>
        <v>rg:{ 'id': '200003'}</v>
      </c>
      <c r="I322" s="8">
        <f t="shared" ca="1" si="31"/>
        <v>1</v>
      </c>
      <c r="J322" s="8">
        <f t="shared" ca="1" si="32"/>
        <v>12</v>
      </c>
      <c r="K322" s="8" t="str">
        <f t="shared" ca="1" si="33"/>
        <v>2017-05-13</v>
      </c>
      <c r="L322" s="8" t="str">
        <f t="shared" ca="1" si="34"/>
        <v>2017-05-14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6928</v>
      </c>
      <c r="D323" s="9">
        <f>IFERROR(VLOOKUP(VLOOKUP(VLOOKUP(C323,Project.csv!F:Q,12,FALSE),ServiceAreas.csv!B:I,8,FALSE),LocalAreas.csv!B:I,7,FALSE),200029)</f>
        <v>200029</v>
      </c>
      <c r="E323" s="8" t="str">
        <f t="shared" ref="E323:E325" si="36" xml:space="preserve"> "rg:{'id':'" &amp; D323 &amp; "'}"</f>
        <v>rg:{'id':'200029'}</v>
      </c>
      <c r="F323" s="9" t="s">
        <v>7055</v>
      </c>
      <c r="G323" s="9" t="str">
        <f ca="1">INDEX(DistrictEquipmentTypes.csv!F:F,RANDBETWEEN(2,COUNTA(DistrictEquipmentTypes.csv!D:D)),1)</f>
        <v>200001</v>
      </c>
      <c r="H323" s="8" t="str">
        <f t="shared" ref="H323:H325" ca="1" si="37">"rg:{ 'id': '"&amp;G323&amp;"'}"</f>
        <v>rg:{ 'id': '200001'}</v>
      </c>
      <c r="I323" s="8">
        <f t="shared" ref="I323:I325" ca="1" si="38">IF(RANDBETWEEN(1,5)&gt;1,1,RANDBETWEEN(2,5))</f>
        <v>3</v>
      </c>
      <c r="J323" s="8">
        <f t="shared" ref="J323:J325" ca="1" si="39">RANDBETWEEN(4,100)</f>
        <v>52</v>
      </c>
      <c r="K323" s="8" t="str">
        <f t="shared" ref="K323:K325" ca="1" si="40">TEXT(TODAY()+RANDBETWEEN(1,56),"YYYY-MM-DD")</f>
        <v>2017-05-01</v>
      </c>
      <c r="L323" s="8" t="str">
        <f t="shared" ref="L323:L325" ca="1" si="41">TEXT(K323+(I323*J323)/8,"YYYY-MM-DD")</f>
        <v>2017-05-20</v>
      </c>
    </row>
    <row r="324" spans="1:12" x14ac:dyDescent="0.3">
      <c r="A324" s="8" t="s">
        <v>5668</v>
      </c>
      <c r="B324" s="8">
        <f t="shared" si="35"/>
        <v>600322</v>
      </c>
      <c r="C324" s="1" t="s">
        <v>7054</v>
      </c>
      <c r="D324" s="9">
        <f>IFERROR(VLOOKUP(VLOOKUP(VLOOKUP(C324,Project.csv!F:Q,12,FALSE),ServiceAreas.csv!B:I,8,FALSE),LocalAreas.csv!B:I,7,FALSE),200029)</f>
        <v>200029</v>
      </c>
      <c r="E324" s="8" t="str">
        <f t="shared" si="36"/>
        <v>rg:{'id':'200029'}</v>
      </c>
      <c r="F324" s="9" t="s">
        <v>7055</v>
      </c>
      <c r="G324" s="9" t="str">
        <f ca="1">INDEX(DistrictEquipmentTypes.csv!F:F,RANDBETWEEN(2,COUNTA(DistrictEquipmentTypes.csv!D:D)),1)</f>
        <v>200000</v>
      </c>
      <c r="H324" s="8" t="str">
        <f t="shared" ca="1" si="37"/>
        <v>rg:{ 'id': '200000'}</v>
      </c>
      <c r="I324" s="8">
        <f t="shared" ca="1" si="38"/>
        <v>5</v>
      </c>
      <c r="J324" s="8">
        <f t="shared" ca="1" si="39"/>
        <v>44</v>
      </c>
      <c r="K324" s="8" t="str">
        <f t="shared" ca="1" si="40"/>
        <v>2017-04-16</v>
      </c>
      <c r="L324" s="8" t="str">
        <f t="shared" ca="1" si="41"/>
        <v>2017-05-13</v>
      </c>
    </row>
    <row r="325" spans="1:12" x14ac:dyDescent="0.3">
      <c r="A325" s="8" t="s">
        <v>5668</v>
      </c>
      <c r="B325" s="8">
        <f t="shared" si="35"/>
        <v>600323</v>
      </c>
      <c r="C325" s="1" t="s">
        <v>6892</v>
      </c>
      <c r="D325" s="9">
        <f>IFERROR(VLOOKUP(VLOOKUP(VLOOKUP(C325,Project.csv!F:Q,12,FALSE),ServiceAreas.csv!B:I,8,FALSE),LocalAreas.csv!B:I,7,FALSE),200029)</f>
        <v>200029</v>
      </c>
      <c r="E325" s="8" t="str">
        <f t="shared" si="36"/>
        <v>rg:{'id':'200029'}</v>
      </c>
      <c r="F325" s="9" t="s">
        <v>7055</v>
      </c>
      <c r="G325" s="9" t="str">
        <f ca="1">INDEX(DistrictEquipmentTypes.csv!F:F,RANDBETWEEN(2,COUNTA(DistrictEquipmentTypes.csv!D:D)),1)</f>
        <v>200000</v>
      </c>
      <c r="H325" s="8" t="str">
        <f t="shared" ca="1" si="37"/>
        <v>rg:{ 'id': '200000'}</v>
      </c>
      <c r="I325" s="8">
        <f t="shared" ca="1" si="38"/>
        <v>1</v>
      </c>
      <c r="J325" s="8">
        <f t="shared" ca="1" si="39"/>
        <v>15</v>
      </c>
      <c r="K325" s="8" t="str">
        <f t="shared" ca="1" si="40"/>
        <v>2017-05-15</v>
      </c>
      <c r="L325" s="8" t="str">
        <f t="shared" ca="1" si="41"/>
        <v>2017-05-16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workbookViewId="0">
      <pane ySplit="1" topLeftCell="A16" activePane="bottomLeft" state="frozen"/>
      <selection pane="bottomLeft" activeCell="C27" sqref="C27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8" x14ac:dyDescent="0.3">
      <c r="A1" t="s">
        <v>68</v>
      </c>
      <c r="B1" t="s">
        <v>7884</v>
      </c>
      <c r="C1" t="s">
        <v>7771</v>
      </c>
      <c r="D1" t="s">
        <v>7772</v>
      </c>
      <c r="E1" t="s">
        <v>7773</v>
      </c>
      <c r="F1" t="s">
        <v>7774</v>
      </c>
      <c r="G1" t="s">
        <v>7775</v>
      </c>
      <c r="H1" t="s">
        <v>5325</v>
      </c>
    </row>
    <row r="2" spans="1:8" x14ac:dyDescent="0.3">
      <c r="A2" t="s">
        <v>7883</v>
      </c>
      <c r="B2" t="s">
        <v>7776</v>
      </c>
      <c r="C2" t="s">
        <v>7777</v>
      </c>
      <c r="D2">
        <v>2</v>
      </c>
      <c r="E2" t="s">
        <v>7778</v>
      </c>
      <c r="F2" t="s">
        <v>6663</v>
      </c>
      <c r="H2">
        <v>200000</v>
      </c>
    </row>
    <row r="3" spans="1:8" x14ac:dyDescent="0.3">
      <c r="A3" t="s">
        <v>7883</v>
      </c>
      <c r="B3" t="s">
        <v>7776</v>
      </c>
      <c r="C3" t="s">
        <v>7869</v>
      </c>
      <c r="D3">
        <v>3</v>
      </c>
      <c r="E3" t="s">
        <v>7779</v>
      </c>
      <c r="F3" t="s">
        <v>6664</v>
      </c>
      <c r="H3">
        <f>H2+1</f>
        <v>200001</v>
      </c>
    </row>
    <row r="4" spans="1:8" x14ac:dyDescent="0.3">
      <c r="A4" t="s">
        <v>7883</v>
      </c>
      <c r="B4" t="s">
        <v>7776</v>
      </c>
      <c r="C4" t="s">
        <v>7869</v>
      </c>
      <c r="D4">
        <v>1</v>
      </c>
      <c r="E4" t="s">
        <v>7780</v>
      </c>
      <c r="F4" t="s">
        <v>6665</v>
      </c>
      <c r="H4">
        <f t="shared" ref="H4:H54" si="0">H3+1</f>
        <v>200002</v>
      </c>
    </row>
    <row r="5" spans="1:8" x14ac:dyDescent="0.3">
      <c r="A5" t="s">
        <v>7883</v>
      </c>
      <c r="B5" t="s">
        <v>7781</v>
      </c>
      <c r="C5" t="s">
        <v>7777</v>
      </c>
      <c r="D5">
        <v>2</v>
      </c>
      <c r="E5" t="s">
        <v>7778</v>
      </c>
      <c r="F5" t="s">
        <v>6663</v>
      </c>
      <c r="H5">
        <f t="shared" si="0"/>
        <v>200003</v>
      </c>
    </row>
    <row r="6" spans="1:8" x14ac:dyDescent="0.3">
      <c r="A6" t="s">
        <v>7883</v>
      </c>
      <c r="B6" t="s">
        <v>7781</v>
      </c>
      <c r="C6" t="s">
        <v>7869</v>
      </c>
      <c r="D6">
        <v>3</v>
      </c>
      <c r="E6" t="s">
        <v>7779</v>
      </c>
      <c r="F6" t="s">
        <v>6664</v>
      </c>
      <c r="H6">
        <f t="shared" si="0"/>
        <v>200004</v>
      </c>
    </row>
    <row r="7" spans="1:8" x14ac:dyDescent="0.3">
      <c r="A7" t="s">
        <v>7883</v>
      </c>
      <c r="B7" t="s">
        <v>7781</v>
      </c>
      <c r="C7" t="s">
        <v>7869</v>
      </c>
      <c r="D7">
        <v>1</v>
      </c>
      <c r="E7" t="s">
        <v>7780</v>
      </c>
      <c r="F7" t="s">
        <v>6665</v>
      </c>
      <c r="H7">
        <f t="shared" si="0"/>
        <v>200005</v>
      </c>
    </row>
    <row r="8" spans="1:8" x14ac:dyDescent="0.3">
      <c r="A8" t="s">
        <v>7883</v>
      </c>
      <c r="B8" t="s">
        <v>7782</v>
      </c>
      <c r="C8" t="s">
        <v>7777</v>
      </c>
      <c r="D8">
        <v>1</v>
      </c>
      <c r="E8" t="s">
        <v>7783</v>
      </c>
      <c r="F8" t="s">
        <v>7784</v>
      </c>
      <c r="H8">
        <f t="shared" si="0"/>
        <v>200006</v>
      </c>
    </row>
    <row r="9" spans="1:8" x14ac:dyDescent="0.3">
      <c r="A9" t="s">
        <v>7883</v>
      </c>
      <c r="B9" t="s">
        <v>7782</v>
      </c>
      <c r="C9" t="s">
        <v>7869</v>
      </c>
      <c r="D9">
        <v>2</v>
      </c>
      <c r="E9" t="s">
        <v>7785</v>
      </c>
      <c r="F9" t="s">
        <v>7056</v>
      </c>
      <c r="H9">
        <f t="shared" si="0"/>
        <v>200007</v>
      </c>
    </row>
    <row r="10" spans="1:8" x14ac:dyDescent="0.3">
      <c r="A10" t="s">
        <v>7883</v>
      </c>
      <c r="B10" t="s">
        <v>7782</v>
      </c>
      <c r="C10" t="s">
        <v>7869</v>
      </c>
      <c r="D10">
        <v>3</v>
      </c>
      <c r="E10" t="s">
        <v>7786</v>
      </c>
      <c r="F10" t="s">
        <v>7057</v>
      </c>
      <c r="H10">
        <f t="shared" si="0"/>
        <v>200008</v>
      </c>
    </row>
    <row r="11" spans="1:8" x14ac:dyDescent="0.3">
      <c r="A11" t="s">
        <v>7883</v>
      </c>
      <c r="B11" t="s">
        <v>7787</v>
      </c>
      <c r="C11" t="s">
        <v>7777</v>
      </c>
      <c r="D11">
        <v>1</v>
      </c>
      <c r="E11" t="s">
        <v>7788</v>
      </c>
      <c r="F11" t="s">
        <v>7789</v>
      </c>
      <c r="H11">
        <f t="shared" si="0"/>
        <v>200009</v>
      </c>
    </row>
    <row r="12" spans="1:8" x14ac:dyDescent="0.3">
      <c r="A12" t="s">
        <v>7883</v>
      </c>
      <c r="B12" t="s">
        <v>7787</v>
      </c>
      <c r="C12" t="s">
        <v>7869</v>
      </c>
      <c r="D12">
        <v>2</v>
      </c>
      <c r="E12" t="s">
        <v>5324</v>
      </c>
      <c r="F12" t="s">
        <v>7790</v>
      </c>
      <c r="H12">
        <f t="shared" si="0"/>
        <v>200010</v>
      </c>
    </row>
    <row r="13" spans="1:8" x14ac:dyDescent="0.3">
      <c r="A13" t="s">
        <v>7883</v>
      </c>
      <c r="B13" t="s">
        <v>7791</v>
      </c>
      <c r="C13" t="s">
        <v>7869</v>
      </c>
      <c r="D13">
        <v>1</v>
      </c>
      <c r="E13" t="s">
        <v>7792</v>
      </c>
      <c r="F13" t="s">
        <v>7792</v>
      </c>
      <c r="G13" t="s">
        <v>7793</v>
      </c>
      <c r="H13">
        <f t="shared" si="0"/>
        <v>200011</v>
      </c>
    </row>
    <row r="14" spans="1:8" x14ac:dyDescent="0.3">
      <c r="A14" t="s">
        <v>7883</v>
      </c>
      <c r="B14" t="s">
        <v>7791</v>
      </c>
      <c r="C14" t="s">
        <v>7869</v>
      </c>
      <c r="D14">
        <v>2</v>
      </c>
      <c r="E14" t="s">
        <v>7794</v>
      </c>
      <c r="F14" t="s">
        <v>7794</v>
      </c>
      <c r="H14">
        <f t="shared" si="0"/>
        <v>200012</v>
      </c>
    </row>
    <row r="15" spans="1:8" x14ac:dyDescent="0.3">
      <c r="A15" t="s">
        <v>7883</v>
      </c>
      <c r="B15" t="s">
        <v>7791</v>
      </c>
      <c r="C15" t="s">
        <v>7869</v>
      </c>
      <c r="D15">
        <v>3</v>
      </c>
      <c r="E15" t="s">
        <v>7795</v>
      </c>
      <c r="F15" t="s">
        <v>7795</v>
      </c>
      <c r="H15">
        <f t="shared" si="0"/>
        <v>200013</v>
      </c>
    </row>
    <row r="16" spans="1:8" x14ac:dyDescent="0.3">
      <c r="A16" t="s">
        <v>7883</v>
      </c>
      <c r="B16" t="s">
        <v>7791</v>
      </c>
      <c r="C16" t="s">
        <v>7869</v>
      </c>
      <c r="D16">
        <v>4</v>
      </c>
      <c r="E16" t="s">
        <v>7796</v>
      </c>
      <c r="F16" t="s">
        <v>7797</v>
      </c>
      <c r="H16">
        <f t="shared" si="0"/>
        <v>200014</v>
      </c>
    </row>
    <row r="17" spans="1:8" x14ac:dyDescent="0.3">
      <c r="A17" t="s">
        <v>7883</v>
      </c>
      <c r="B17" t="s">
        <v>7791</v>
      </c>
      <c r="C17" t="s">
        <v>7869</v>
      </c>
      <c r="D17">
        <v>5</v>
      </c>
      <c r="E17" t="s">
        <v>7798</v>
      </c>
      <c r="F17" t="s">
        <v>7799</v>
      </c>
      <c r="H17">
        <f t="shared" si="0"/>
        <v>200015</v>
      </c>
    </row>
    <row r="18" spans="1:8" x14ac:dyDescent="0.3">
      <c r="A18" t="s">
        <v>7883</v>
      </c>
      <c r="B18" t="s">
        <v>7791</v>
      </c>
      <c r="C18" t="s">
        <v>7869</v>
      </c>
      <c r="D18">
        <v>6</v>
      </c>
      <c r="E18" t="s">
        <v>7800</v>
      </c>
      <c r="F18" t="s">
        <v>7801</v>
      </c>
      <c r="H18">
        <f t="shared" si="0"/>
        <v>200016</v>
      </c>
    </row>
    <row r="19" spans="1:8" x14ac:dyDescent="0.3">
      <c r="A19" t="s">
        <v>7883</v>
      </c>
      <c r="B19" t="s">
        <v>7802</v>
      </c>
      <c r="C19" t="s">
        <v>7777</v>
      </c>
      <c r="D19">
        <v>1</v>
      </c>
      <c r="E19" t="s">
        <v>7803</v>
      </c>
      <c r="F19" t="s">
        <v>7804</v>
      </c>
      <c r="G19" t="s">
        <v>7793</v>
      </c>
      <c r="H19">
        <f t="shared" si="0"/>
        <v>200017</v>
      </c>
    </row>
    <row r="20" spans="1:8" x14ac:dyDescent="0.3">
      <c r="A20" t="s">
        <v>7883</v>
      </c>
      <c r="B20" t="s">
        <v>7802</v>
      </c>
      <c r="C20" t="s">
        <v>7869</v>
      </c>
      <c r="D20">
        <v>2</v>
      </c>
      <c r="E20" t="s">
        <v>7886</v>
      </c>
      <c r="F20" t="s">
        <v>7885</v>
      </c>
      <c r="H20">
        <f t="shared" si="0"/>
        <v>200018</v>
      </c>
    </row>
    <row r="21" spans="1:8" x14ac:dyDescent="0.3">
      <c r="A21" t="s">
        <v>7883</v>
      </c>
      <c r="B21" t="s">
        <v>7802</v>
      </c>
      <c r="C21" t="s">
        <v>7869</v>
      </c>
      <c r="D21">
        <v>3</v>
      </c>
      <c r="E21" t="s">
        <v>7805</v>
      </c>
      <c r="F21" t="s">
        <v>7806</v>
      </c>
      <c r="H21">
        <f t="shared" si="0"/>
        <v>200019</v>
      </c>
    </row>
    <row r="22" spans="1:8" x14ac:dyDescent="0.3">
      <c r="A22" t="s">
        <v>7883</v>
      </c>
      <c r="B22" t="s">
        <v>7802</v>
      </c>
      <c r="C22" t="s">
        <v>7869</v>
      </c>
      <c r="D22">
        <v>4</v>
      </c>
      <c r="E22" t="s">
        <v>5324</v>
      </c>
      <c r="F22" t="s">
        <v>7807</v>
      </c>
      <c r="H22">
        <f t="shared" si="0"/>
        <v>200020</v>
      </c>
    </row>
    <row r="23" spans="1:8" x14ac:dyDescent="0.3">
      <c r="A23" t="s">
        <v>7883</v>
      </c>
      <c r="B23" t="s">
        <v>7808</v>
      </c>
      <c r="C23" t="s">
        <v>7777</v>
      </c>
      <c r="D23">
        <v>1</v>
      </c>
      <c r="E23" t="s">
        <v>7783</v>
      </c>
      <c r="F23" t="s">
        <v>7784</v>
      </c>
      <c r="H23">
        <f t="shared" si="0"/>
        <v>200021</v>
      </c>
    </row>
    <row r="24" spans="1:8" x14ac:dyDescent="0.3">
      <c r="A24" t="s">
        <v>7883</v>
      </c>
      <c r="B24" t="s">
        <v>7808</v>
      </c>
      <c r="C24" t="s">
        <v>7869</v>
      </c>
      <c r="D24">
        <v>2</v>
      </c>
      <c r="E24" t="s">
        <v>7785</v>
      </c>
      <c r="F24" t="s">
        <v>7056</v>
      </c>
      <c r="H24">
        <f t="shared" si="0"/>
        <v>200022</v>
      </c>
    </row>
    <row r="25" spans="1:8" x14ac:dyDescent="0.3">
      <c r="A25" t="s">
        <v>7883</v>
      </c>
      <c r="B25" t="s">
        <v>7808</v>
      </c>
      <c r="C25" t="s">
        <v>7869</v>
      </c>
      <c r="D25">
        <v>3</v>
      </c>
      <c r="E25" t="s">
        <v>7786</v>
      </c>
      <c r="F25" t="s">
        <v>7057</v>
      </c>
      <c r="H25">
        <f t="shared" si="0"/>
        <v>200023</v>
      </c>
    </row>
    <row r="26" spans="1:8" x14ac:dyDescent="0.3">
      <c r="A26" t="s">
        <v>7883</v>
      </c>
      <c r="B26" t="s">
        <v>7809</v>
      </c>
      <c r="C26" t="s">
        <v>7777</v>
      </c>
      <c r="D26">
        <v>1</v>
      </c>
      <c r="E26" t="s">
        <v>7810</v>
      </c>
      <c r="F26" t="s">
        <v>7810</v>
      </c>
      <c r="H26">
        <f t="shared" si="0"/>
        <v>200024</v>
      </c>
    </row>
    <row r="27" spans="1:8" x14ac:dyDescent="0.3">
      <c r="A27" t="s">
        <v>7883</v>
      </c>
      <c r="B27" t="s">
        <v>7809</v>
      </c>
      <c r="C27" t="s">
        <v>7869</v>
      </c>
      <c r="D27">
        <v>2</v>
      </c>
      <c r="E27" t="s">
        <v>7785</v>
      </c>
      <c r="F27" t="s">
        <v>7056</v>
      </c>
      <c r="H27">
        <f t="shared" si="0"/>
        <v>200025</v>
      </c>
    </row>
    <row r="28" spans="1:8" x14ac:dyDescent="0.3">
      <c r="A28" t="s">
        <v>7883</v>
      </c>
      <c r="B28" t="s">
        <v>7811</v>
      </c>
      <c r="C28" t="s">
        <v>7869</v>
      </c>
      <c r="D28">
        <v>1</v>
      </c>
      <c r="E28" t="s">
        <v>7812</v>
      </c>
      <c r="F28" t="s">
        <v>7813</v>
      </c>
      <c r="H28">
        <f t="shared" si="0"/>
        <v>200026</v>
      </c>
    </row>
    <row r="29" spans="1:8" x14ac:dyDescent="0.3">
      <c r="A29" t="s">
        <v>7883</v>
      </c>
      <c r="B29" t="s">
        <v>7811</v>
      </c>
      <c r="C29" t="s">
        <v>7869</v>
      </c>
      <c r="D29">
        <v>2</v>
      </c>
      <c r="E29" t="s">
        <v>7814</v>
      </c>
      <c r="F29" t="s">
        <v>7815</v>
      </c>
      <c r="H29">
        <f t="shared" si="0"/>
        <v>200027</v>
      </c>
    </row>
    <row r="30" spans="1:8" x14ac:dyDescent="0.3">
      <c r="A30" t="s">
        <v>7883</v>
      </c>
      <c r="B30" t="s">
        <v>7811</v>
      </c>
      <c r="C30" t="s">
        <v>7869</v>
      </c>
      <c r="D30">
        <v>3</v>
      </c>
      <c r="E30" t="s">
        <v>7816</v>
      </c>
      <c r="F30" t="s">
        <v>7817</v>
      </c>
      <c r="H30">
        <f t="shared" si="0"/>
        <v>200028</v>
      </c>
    </row>
    <row r="31" spans="1:8" x14ac:dyDescent="0.3">
      <c r="A31" t="s">
        <v>7883</v>
      </c>
      <c r="B31" t="s">
        <v>5672</v>
      </c>
      <c r="C31" t="s">
        <v>7869</v>
      </c>
      <c r="D31">
        <v>1</v>
      </c>
      <c r="E31" t="s">
        <v>7818</v>
      </c>
      <c r="F31" t="s">
        <v>7819</v>
      </c>
      <c r="H31">
        <f t="shared" si="0"/>
        <v>200029</v>
      </c>
    </row>
    <row r="32" spans="1:8" x14ac:dyDescent="0.3">
      <c r="A32" t="s">
        <v>7883</v>
      </c>
      <c r="B32" t="s">
        <v>5672</v>
      </c>
      <c r="C32" t="s">
        <v>7869</v>
      </c>
      <c r="D32">
        <v>2</v>
      </c>
      <c r="E32" t="s">
        <v>7820</v>
      </c>
      <c r="F32" t="s">
        <v>7821</v>
      </c>
      <c r="H32">
        <f t="shared" si="0"/>
        <v>200030</v>
      </c>
    </row>
    <row r="33" spans="1:8" x14ac:dyDescent="0.3">
      <c r="A33" t="s">
        <v>7883</v>
      </c>
      <c r="B33" t="s">
        <v>5672</v>
      </c>
      <c r="C33" t="s">
        <v>7869</v>
      </c>
      <c r="D33">
        <v>3</v>
      </c>
      <c r="E33" t="s">
        <v>7822</v>
      </c>
      <c r="F33" t="s">
        <v>7823</v>
      </c>
      <c r="H33">
        <f t="shared" si="0"/>
        <v>200031</v>
      </c>
    </row>
    <row r="34" spans="1:8" x14ac:dyDescent="0.3">
      <c r="A34" t="s">
        <v>7883</v>
      </c>
      <c r="B34" t="s">
        <v>5672</v>
      </c>
      <c r="C34" t="s">
        <v>7869</v>
      </c>
      <c r="D34">
        <v>4</v>
      </c>
      <c r="E34" t="s">
        <v>7824</v>
      </c>
      <c r="F34" t="s">
        <v>7825</v>
      </c>
      <c r="H34">
        <f t="shared" si="0"/>
        <v>200032</v>
      </c>
    </row>
    <row r="35" spans="1:8" x14ac:dyDescent="0.3">
      <c r="A35" t="s">
        <v>7883</v>
      </c>
      <c r="B35" t="s">
        <v>5672</v>
      </c>
      <c r="C35" t="s">
        <v>7869</v>
      </c>
      <c r="D35">
        <v>5</v>
      </c>
      <c r="E35" t="s">
        <v>7826</v>
      </c>
      <c r="F35" t="s">
        <v>7827</v>
      </c>
      <c r="H35">
        <f t="shared" si="0"/>
        <v>200033</v>
      </c>
    </row>
    <row r="36" spans="1:8" x14ac:dyDescent="0.3">
      <c r="A36" t="s">
        <v>7883</v>
      </c>
      <c r="B36" t="s">
        <v>7828</v>
      </c>
      <c r="C36" t="s">
        <v>7869</v>
      </c>
      <c r="E36" t="s">
        <v>7829</v>
      </c>
      <c r="F36" t="s">
        <v>7830</v>
      </c>
      <c r="H36">
        <f t="shared" si="0"/>
        <v>200034</v>
      </c>
    </row>
    <row r="37" spans="1:8" x14ac:dyDescent="0.3">
      <c r="A37" t="s">
        <v>7883</v>
      </c>
      <c r="B37" t="s">
        <v>7828</v>
      </c>
      <c r="C37" t="s">
        <v>7869</v>
      </c>
      <c r="E37" t="s">
        <v>7831</v>
      </c>
      <c r="F37" t="s">
        <v>7832</v>
      </c>
      <c r="H37">
        <f t="shared" si="0"/>
        <v>200035</v>
      </c>
    </row>
    <row r="38" spans="1:8" x14ac:dyDescent="0.3">
      <c r="A38" t="s">
        <v>7883</v>
      </c>
      <c r="B38" t="s">
        <v>7828</v>
      </c>
      <c r="C38" t="s">
        <v>7869</v>
      </c>
      <c r="E38" t="s">
        <v>7833</v>
      </c>
      <c r="F38" t="s">
        <v>7834</v>
      </c>
      <c r="H38">
        <f t="shared" si="0"/>
        <v>200036</v>
      </c>
    </row>
    <row r="39" spans="1:8" x14ac:dyDescent="0.3">
      <c r="A39" t="s">
        <v>7883</v>
      </c>
      <c r="B39" t="s">
        <v>7828</v>
      </c>
      <c r="C39" t="s">
        <v>7869</v>
      </c>
      <c r="E39" t="s">
        <v>7835</v>
      </c>
      <c r="F39" t="s">
        <v>7836</v>
      </c>
      <c r="H39">
        <f t="shared" si="0"/>
        <v>200037</v>
      </c>
    </row>
    <row r="40" spans="1:8" x14ac:dyDescent="0.3">
      <c r="A40" t="s">
        <v>7883</v>
      </c>
      <c r="B40" t="s">
        <v>7828</v>
      </c>
      <c r="C40" t="s">
        <v>7869</v>
      </c>
      <c r="E40" t="s">
        <v>7837</v>
      </c>
      <c r="F40" t="s">
        <v>7838</v>
      </c>
      <c r="H40">
        <f t="shared" si="0"/>
        <v>200038</v>
      </c>
    </row>
    <row r="41" spans="1:8" x14ac:dyDescent="0.3">
      <c r="A41" t="s">
        <v>7883</v>
      </c>
      <c r="B41" t="s">
        <v>7828</v>
      </c>
      <c r="C41" t="s">
        <v>7869</v>
      </c>
      <c r="E41" t="s">
        <v>7839</v>
      </c>
      <c r="F41" t="s">
        <v>7840</v>
      </c>
      <c r="H41">
        <f t="shared" si="0"/>
        <v>200039</v>
      </c>
    </row>
    <row r="42" spans="1:8" x14ac:dyDescent="0.3">
      <c r="A42" t="s">
        <v>7883</v>
      </c>
      <c r="B42" t="s">
        <v>7828</v>
      </c>
      <c r="C42" t="s">
        <v>7869</v>
      </c>
      <c r="E42" t="s">
        <v>2837</v>
      </c>
      <c r="F42" t="s">
        <v>7841</v>
      </c>
      <c r="H42">
        <f t="shared" si="0"/>
        <v>200040</v>
      </c>
    </row>
    <row r="43" spans="1:8" x14ac:dyDescent="0.3">
      <c r="A43" t="s">
        <v>7883</v>
      </c>
      <c r="B43" t="s">
        <v>7828</v>
      </c>
      <c r="C43" t="s">
        <v>7869</v>
      </c>
      <c r="E43" t="s">
        <v>7842</v>
      </c>
      <c r="F43" t="s">
        <v>7843</v>
      </c>
      <c r="H43">
        <f t="shared" si="0"/>
        <v>200041</v>
      </c>
    </row>
    <row r="44" spans="1:8" x14ac:dyDescent="0.3">
      <c r="A44" t="s">
        <v>7883</v>
      </c>
      <c r="B44" t="s">
        <v>7844</v>
      </c>
      <c r="C44" t="s">
        <v>7869</v>
      </c>
      <c r="E44" t="s">
        <v>7845</v>
      </c>
      <c r="F44" t="s">
        <v>7845</v>
      </c>
      <c r="H44">
        <f t="shared" si="0"/>
        <v>200042</v>
      </c>
    </row>
    <row r="45" spans="1:8" x14ac:dyDescent="0.3">
      <c r="A45" t="s">
        <v>7883</v>
      </c>
      <c r="B45" t="s">
        <v>7844</v>
      </c>
      <c r="C45" t="s">
        <v>7869</v>
      </c>
      <c r="E45" t="s">
        <v>7846</v>
      </c>
      <c r="F45" t="s">
        <v>7847</v>
      </c>
      <c r="H45">
        <f t="shared" si="0"/>
        <v>200043</v>
      </c>
    </row>
    <row r="46" spans="1:8" x14ac:dyDescent="0.3">
      <c r="A46" t="s">
        <v>7883</v>
      </c>
      <c r="B46" t="s">
        <v>7844</v>
      </c>
      <c r="C46" t="s">
        <v>7869</v>
      </c>
      <c r="E46" t="s">
        <v>7848</v>
      </c>
      <c r="F46" t="s">
        <v>7849</v>
      </c>
      <c r="H46">
        <f t="shared" si="0"/>
        <v>200044</v>
      </c>
    </row>
    <row r="47" spans="1:8" x14ac:dyDescent="0.3">
      <c r="A47" t="s">
        <v>7883</v>
      </c>
      <c r="B47" t="s">
        <v>7844</v>
      </c>
      <c r="C47" t="s">
        <v>7869</v>
      </c>
      <c r="E47" t="s">
        <v>7850</v>
      </c>
      <c r="F47" t="s">
        <v>7851</v>
      </c>
      <c r="H47">
        <f t="shared" si="0"/>
        <v>200045</v>
      </c>
    </row>
    <row r="48" spans="1:8" x14ac:dyDescent="0.3">
      <c r="A48" t="s">
        <v>7883</v>
      </c>
      <c r="B48" t="s">
        <v>7852</v>
      </c>
      <c r="C48" t="s">
        <v>7869</v>
      </c>
      <c r="E48" t="s">
        <v>7845</v>
      </c>
      <c r="F48" t="s">
        <v>7845</v>
      </c>
      <c r="H48">
        <f t="shared" si="0"/>
        <v>200046</v>
      </c>
    </row>
    <row r="49" spans="1:8" x14ac:dyDescent="0.3">
      <c r="A49" t="s">
        <v>7883</v>
      </c>
      <c r="B49" t="s">
        <v>7853</v>
      </c>
      <c r="C49" t="s">
        <v>7869</v>
      </c>
      <c r="E49" t="s">
        <v>7854</v>
      </c>
      <c r="F49" t="s">
        <v>7855</v>
      </c>
      <c r="H49">
        <f t="shared" si="0"/>
        <v>200047</v>
      </c>
    </row>
    <row r="50" spans="1:8" x14ac:dyDescent="0.3">
      <c r="A50" t="s">
        <v>7883</v>
      </c>
      <c r="B50" t="s">
        <v>7853</v>
      </c>
      <c r="C50" t="s">
        <v>7869</v>
      </c>
      <c r="E50" t="s">
        <v>7856</v>
      </c>
      <c r="F50" t="s">
        <v>7857</v>
      </c>
      <c r="H50">
        <f t="shared" si="0"/>
        <v>200048</v>
      </c>
    </row>
    <row r="51" spans="1:8" x14ac:dyDescent="0.3">
      <c r="A51" t="s">
        <v>7883</v>
      </c>
      <c r="B51" t="s">
        <v>7858</v>
      </c>
      <c r="C51" t="s">
        <v>7869</v>
      </c>
      <c r="E51" t="s">
        <v>7859</v>
      </c>
      <c r="F51" t="s">
        <v>7859</v>
      </c>
      <c r="H51">
        <f t="shared" si="0"/>
        <v>200049</v>
      </c>
    </row>
    <row r="52" spans="1:8" x14ac:dyDescent="0.3">
      <c r="A52" t="s">
        <v>7883</v>
      </c>
      <c r="B52" t="s">
        <v>7858</v>
      </c>
      <c r="C52" t="s">
        <v>7869</v>
      </c>
      <c r="E52" t="s">
        <v>7848</v>
      </c>
      <c r="F52" t="s">
        <v>7849</v>
      </c>
      <c r="H52">
        <f t="shared" si="0"/>
        <v>200050</v>
      </c>
    </row>
    <row r="53" spans="1:8" x14ac:dyDescent="0.3">
      <c r="A53" t="s">
        <v>7883</v>
      </c>
      <c r="B53" t="s">
        <v>7860</v>
      </c>
      <c r="C53" t="s">
        <v>7869</v>
      </c>
      <c r="E53" t="s">
        <v>7861</v>
      </c>
      <c r="F53" t="s">
        <v>7862</v>
      </c>
      <c r="H53">
        <f t="shared" si="0"/>
        <v>200051</v>
      </c>
    </row>
    <row r="54" spans="1:8" x14ac:dyDescent="0.3">
      <c r="A54" t="s">
        <v>7883</v>
      </c>
      <c r="B54" t="s">
        <v>7860</v>
      </c>
      <c r="C54" t="s">
        <v>7869</v>
      </c>
      <c r="E54" t="s">
        <v>7863</v>
      </c>
      <c r="F54" t="s">
        <v>7863</v>
      </c>
      <c r="H54">
        <f t="shared" si="0"/>
        <v>200052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7864</v>
      </c>
      <c r="E1" t="s">
        <v>7865</v>
      </c>
      <c r="F1" t="s">
        <v>7866</v>
      </c>
      <c r="G1" t="s">
        <v>7867</v>
      </c>
      <c r="H1" t="s">
        <v>7868</v>
      </c>
      <c r="I1" t="s">
        <v>5638</v>
      </c>
      <c r="J1" t="s">
        <v>5639</v>
      </c>
      <c r="K1" t="s">
        <v>7870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7869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7869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7869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7869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7869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7869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7777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topLeftCell="A49" workbookViewId="0">
      <selection activeCell="E2" sqref="E2:E78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6936</v>
      </c>
      <c r="C1" t="s">
        <v>5644</v>
      </c>
      <c r="D1" t="s">
        <v>5325</v>
      </c>
      <c r="E1" t="s">
        <v>7874</v>
      </c>
      <c r="F1" t="s">
        <v>7871</v>
      </c>
      <c r="G1" t="s">
        <v>75</v>
      </c>
      <c r="H1" t="s">
        <v>7876</v>
      </c>
      <c r="I1" t="s">
        <v>7872</v>
      </c>
      <c r="J1" t="s">
        <v>7881</v>
      </c>
      <c r="K1" t="s">
        <v>7769</v>
      </c>
    </row>
    <row r="2" spans="1:11" x14ac:dyDescent="0.3">
      <c r="A2" t="s">
        <v>7873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VLOOKUP(E2,ServiceAreas.csv!C:J,8,FALSE)</f>
        <v>200009</v>
      </c>
      <c r="G2" t="str">
        <f>"rg:{ 'id': '"&amp;F2&amp;"'}"</f>
        <v>rg:{ 'id': '200009'}</v>
      </c>
      <c r="H2" t="s">
        <v>7878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7873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VLOOKUP(E3,ServiceAreas.csv!C:J,8,FALSE)</f>
        <v>200009</v>
      </c>
      <c r="G3" t="str">
        <f t="shared" ref="G3:G7" si="1">"rg:{ 'id': '"&amp;F3&amp;"'}"</f>
        <v>rg:{ 'id': '200009'}</v>
      </c>
      <c r="H3" t="s">
        <v>7878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7873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VLOOKUP(E4,ServiceAreas.csv!C:J,8,FALSE)</f>
        <v>200009</v>
      </c>
      <c r="G4" t="str">
        <f t="shared" si="1"/>
        <v>rg:{ 'id': '200009'}</v>
      </c>
      <c r="H4" t="s">
        <v>7878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7873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VLOOKUP(E5,ServiceAreas.csv!C:J,8,FALSE)</f>
        <v>200009</v>
      </c>
      <c r="G5" t="str">
        <f t="shared" si="1"/>
        <v>rg:{ 'id': '200009'}</v>
      </c>
      <c r="H5" t="s">
        <v>7878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7873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VLOOKUP(E6,ServiceAreas.csv!C:J,8,FALSE)</f>
        <v>200009</v>
      </c>
      <c r="G6" t="str">
        <f t="shared" si="1"/>
        <v>rg:{ 'id': '200009'}</v>
      </c>
      <c r="H6" t="s">
        <v>7878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7873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VLOOKUP(E7,ServiceAreas.csv!C:J,8,FALSE)</f>
        <v>200009</v>
      </c>
      <c r="G7" t="str">
        <f t="shared" si="1"/>
        <v>rg:{ 'id': '200009'}</v>
      </c>
      <c r="H7" t="s">
        <v>7878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7873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VLOOKUP(E8,ServiceAreas.csv!C:J,8,FALSE)</f>
        <v>200009</v>
      </c>
      <c r="G8" t="str">
        <f>"rg:{ 'id': '"&amp;F8&amp;"'}"</f>
        <v>rg:{ 'id': '200009'}</v>
      </c>
      <c r="H8" t="s">
        <v>7878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7873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VLOOKUP(E9,ServiceAreas.csv!C:J,8,FALSE)</f>
        <v>200006</v>
      </c>
      <c r="G9" t="str">
        <f>"rg:{ 'id': '"&amp;F9&amp;"'}"</f>
        <v>rg:{ 'id': '200006'}</v>
      </c>
      <c r="H9" t="s">
        <v>7878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7873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VLOOKUP(E10,ServiceAreas.csv!C:J,8,FALSE)</f>
        <v>200006</v>
      </c>
      <c r="G10" t="str">
        <f t="shared" ref="G10:G14" si="5">"rg:{ 'id': '"&amp;F10&amp;"'}"</f>
        <v>rg:{ 'id': '200006'}</v>
      </c>
      <c r="H10" t="s">
        <v>7878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7873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VLOOKUP(E11,ServiceAreas.csv!C:J,8,FALSE)</f>
        <v>200006</v>
      </c>
      <c r="G11" t="str">
        <f t="shared" si="5"/>
        <v>rg:{ 'id': '200006'}</v>
      </c>
      <c r="H11" t="s">
        <v>7878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7873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VLOOKUP(E12,ServiceAreas.csv!C:J,8,FALSE)</f>
        <v>200006</v>
      </c>
      <c r="G12" t="str">
        <f t="shared" si="5"/>
        <v>rg:{ 'id': '200006'}</v>
      </c>
      <c r="H12" t="s">
        <v>7878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7873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VLOOKUP(E13,ServiceAreas.csv!C:J,8,FALSE)</f>
        <v>200006</v>
      </c>
      <c r="G13" t="str">
        <f t="shared" si="5"/>
        <v>rg:{ 'id': '200006'}</v>
      </c>
      <c r="H13" t="s">
        <v>7878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7873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VLOOKUP(E14,ServiceAreas.csv!C:J,8,FALSE)</f>
        <v>200006</v>
      </c>
      <c r="G14" t="str">
        <f t="shared" si="5"/>
        <v>rg:{ 'id': '200006'}</v>
      </c>
      <c r="H14" t="s">
        <v>7878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7873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VLOOKUP(E15,ServiceAreas.csv!C:J,8,FALSE)</f>
        <v>200006</v>
      </c>
      <c r="G15" t="str">
        <f>"rg:{ 'id': '"&amp;F15&amp;"'}"</f>
        <v>rg:{ 'id': '200006'}</v>
      </c>
      <c r="H15" t="s">
        <v>7878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7873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VLOOKUP(E16,ServiceAreas.csv!C:J,8,FALSE)</f>
        <v>200006</v>
      </c>
      <c r="G16" t="str">
        <f>"rg:{ 'id': '"&amp;F16&amp;"'}"</f>
        <v>rg:{ 'id': '200006'}</v>
      </c>
      <c r="H16" t="s">
        <v>7877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7873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VLOOKUP(E17,ServiceAreas.csv!C:J,8,FALSE)</f>
        <v>200006</v>
      </c>
      <c r="G17" t="str">
        <f t="shared" ref="G17:G21" si="6">"rg:{ 'id': '"&amp;F17&amp;"'}"</f>
        <v>rg:{ 'id': '200006'}</v>
      </c>
      <c r="H17" t="s">
        <v>7877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7873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VLOOKUP(E18,ServiceAreas.csv!C:J,8,FALSE)</f>
        <v>200006</v>
      </c>
      <c r="G18" t="str">
        <f t="shared" si="6"/>
        <v>rg:{ 'id': '200006'}</v>
      </c>
      <c r="H18" t="s">
        <v>7877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7873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VLOOKUP(E19,ServiceAreas.csv!C:J,8,FALSE)</f>
        <v>200006</v>
      </c>
      <c r="G19" t="str">
        <f t="shared" si="6"/>
        <v>rg:{ 'id': '200006'}</v>
      </c>
      <c r="H19" t="s">
        <v>7877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7873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VLOOKUP(E20,ServiceAreas.csv!C:J,8,FALSE)</f>
        <v>200006</v>
      </c>
      <c r="G20" t="str">
        <f t="shared" si="6"/>
        <v>rg:{ 'id': '200006'}</v>
      </c>
      <c r="H20" t="s">
        <v>7877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7873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VLOOKUP(E21,ServiceAreas.csv!C:J,8,FALSE)</f>
        <v>200006</v>
      </c>
      <c r="G21" t="str">
        <f t="shared" si="6"/>
        <v>rg:{ 'id': '200006'}</v>
      </c>
      <c r="H21" t="s">
        <v>7877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7873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VLOOKUP(E22,ServiceAreas.csv!C:J,8,FALSE)</f>
        <v>200006</v>
      </c>
      <c r="G22" t="str">
        <f>"rg:{ 'id': '"&amp;F22&amp;"'}"</f>
        <v>rg:{ 'id': '200006'}</v>
      </c>
      <c r="H22" t="s">
        <v>7877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7873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VLOOKUP(E23,ServiceAreas.csv!C:J,8,FALSE)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7873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VLOOKUP(E24,ServiceAreas.csv!C:J,8,FALSE)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7873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VLOOKUP(E25,ServiceAreas.csv!C:J,8,FALSE)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7873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VLOOKUP(E26,ServiceAreas.csv!C:J,8,FALSE)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7873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VLOOKUP(E27,ServiceAreas.csv!C:J,8,FALSE)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7873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VLOOKUP(E28,ServiceAreas.csv!C:J,8,FALSE)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7873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VLOOKUP(E29,ServiceAreas.csv!C:J,8,FALSE)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7873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VLOOKUP(E30,ServiceAreas.csv!C:J,8,FALSE)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7873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VLOOKUP(E31,ServiceAreas.csv!C:J,8,FALSE)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7873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VLOOKUP(E32,ServiceAreas.csv!C:J,8,FALSE)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7873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VLOOKUP(E33,ServiceAreas.csv!C:J,8,FALSE)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7873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VLOOKUP(E34,ServiceAreas.csv!C:J,8,FALSE)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7873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VLOOKUP(E35,ServiceAreas.csv!C:J,8,FALSE)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7873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VLOOKUP(E36,ServiceAreas.csv!C:J,8,FALSE)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7873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VLOOKUP(E37,ServiceAreas.csv!C:J,8,FALSE)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7873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VLOOKUP(E38,ServiceAreas.csv!C:J,8,FALSE)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7873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VLOOKUP(E39,ServiceAreas.csv!C:J,8,FALSE)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7873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VLOOKUP(E40,ServiceAreas.csv!C:J,8,FALSE)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7873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VLOOKUP(E41,ServiceAreas.csv!C:J,8,FALSE)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7873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VLOOKUP(E42,ServiceAreas.csv!C:J,8,FALSE)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7873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VLOOKUP(E43,ServiceAreas.csv!C:J,8,FALSE)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7873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VLOOKUP(E44,ServiceAreas.csv!C:J,8,FALSE)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7873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VLOOKUP(E45,ServiceAreas.csv!C:J,8,FALSE)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7873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VLOOKUP(E46,ServiceAreas.csv!C:J,8,FALSE)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7873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VLOOKUP(E47,ServiceAreas.csv!C:J,8,FALSE)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7873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VLOOKUP(E48,ServiceAreas.csv!C:J,8,FALSE)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7873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VLOOKUP(E49,ServiceAreas.csv!C:J,8,FALSE)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7873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VLOOKUP(E50,ServiceAreas.csv!C:J,8,FALSE)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7873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VLOOKUP(E51,ServiceAreas.csv!C:J,8,FALSE)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7873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VLOOKUP(E52,ServiceAreas.csv!C:J,8,FALSE)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7873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VLOOKUP(E53,ServiceAreas.csv!C:J,8,FALSE)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7873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VLOOKUP(E54,ServiceAreas.csv!C:J,8,FALSE)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7873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VLOOKUP(E55,ServiceAreas.csv!C:J,8,FALSE)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7873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VLOOKUP(E56,ServiceAreas.csv!C:J,8,FALSE)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7873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VLOOKUP(E57,ServiceAreas.csv!C:J,8,FALSE)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7873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VLOOKUP(E58,ServiceAreas.csv!C:J,8,FALSE)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7873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VLOOKUP(E59,ServiceAreas.csv!C:J,8,FALSE)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7873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VLOOKUP(E60,ServiceAreas.csv!C:J,8,FALSE)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7873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VLOOKUP(E61,ServiceAreas.csv!C:J,8,FALSE)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7873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VLOOKUP(E62,ServiceAreas.csv!C:J,8,FALSE)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7873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VLOOKUP(E63,ServiceAreas.csv!C:J,8,FALSE)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7873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VLOOKUP(E64,ServiceAreas.csv!C:J,8,FALSE)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7873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VLOOKUP(E65,ServiceAreas.csv!C:J,8,FALSE)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7873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VLOOKUP(E66,ServiceAreas.csv!C:J,8,FALSE)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7873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VLOOKUP(E67,ServiceAreas.csv!C:J,8,FALSE)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7873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VLOOKUP(E68,ServiceAreas.csv!C:J,8,FALSE)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7873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VLOOKUP(E69,ServiceAreas.csv!C:J,8,FALSE)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7873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VLOOKUP(E70,ServiceAreas.csv!C:J,8,FALSE)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7873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VLOOKUP(E71,ServiceAreas.csv!C:J,8,FALSE)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7873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VLOOKUP(E72,ServiceAreas.csv!C:J,8,FALSE)</f>
        <v>200009</v>
      </c>
      <c r="G72" t="str">
        <f>"rg:{ 'id': '"&amp;F72&amp;"'}"</f>
        <v>rg:{ 'id': '200009'}</v>
      </c>
      <c r="H72" t="s">
        <v>7877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7873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VLOOKUP(E73,ServiceAreas.csv!C:J,8,FALSE)</f>
        <v>200009</v>
      </c>
      <c r="G73" t="str">
        <f t="shared" ref="G73:G77" si="19">"rg:{ 'id': '"&amp;F73&amp;"'}"</f>
        <v>rg:{ 'id': '200009'}</v>
      </c>
      <c r="H73" t="s">
        <v>7877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7873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VLOOKUP(E74,ServiceAreas.csv!C:J,8,FALSE)</f>
        <v>200009</v>
      </c>
      <c r="G74" t="str">
        <f t="shared" si="19"/>
        <v>rg:{ 'id': '200009'}</v>
      </c>
      <c r="H74" t="s">
        <v>7877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7873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VLOOKUP(E75,ServiceAreas.csv!C:J,8,FALSE)</f>
        <v>200009</v>
      </c>
      <c r="G75" t="str">
        <f t="shared" si="19"/>
        <v>rg:{ 'id': '200009'}</v>
      </c>
      <c r="H75" t="s">
        <v>7877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7873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VLOOKUP(E76,ServiceAreas.csv!C:J,8,FALSE)</f>
        <v>200009</v>
      </c>
      <c r="G76" t="str">
        <f t="shared" si="19"/>
        <v>rg:{ 'id': '200009'}</v>
      </c>
      <c r="H76" t="s">
        <v>7877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7873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VLOOKUP(E77,ServiceAreas.csv!C:J,8,FALSE)</f>
        <v>200009</v>
      </c>
      <c r="G77" t="str">
        <f t="shared" si="19"/>
        <v>rg:{ 'id': '200009'}</v>
      </c>
      <c r="H77" t="s">
        <v>7877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7873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VLOOKUP(E78,ServiceAreas.csv!C:J,8,FALSE)</f>
        <v>200009</v>
      </c>
      <c r="G78" t="str">
        <f>"rg:{ 'id': '"&amp;F78&amp;"'}"</f>
        <v>rg:{ 'id': '200009'}</v>
      </c>
      <c r="H78" t="s">
        <v>7877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V1" sqref="V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22892642</v>
      </c>
      <c r="H2">
        <f ca="1">RANDBETWEEN(100,1000)</f>
        <v>222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12275910</v>
      </c>
      <c r="H3">
        <f t="shared" ref="H3:H11" ca="1" si="1">RANDBETWEEN(100,1000)</f>
        <v>455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46242032</v>
      </c>
      <c r="H4">
        <f t="shared" ca="1" si="1"/>
        <v>735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41875237</v>
      </c>
      <c r="H5">
        <f t="shared" ca="1" si="1"/>
        <v>867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38413861</v>
      </c>
      <c r="H6">
        <f t="shared" ca="1" si="1"/>
        <v>832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43720754</v>
      </c>
      <c r="H7">
        <f t="shared" ca="1" si="1"/>
        <v>805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17482752</v>
      </c>
      <c r="H8">
        <f t="shared" ca="1" si="1"/>
        <v>112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20672697</v>
      </c>
      <c r="H9">
        <f t="shared" ca="1" si="1"/>
        <v>966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11254839</v>
      </c>
      <c r="H10">
        <f t="shared" ca="1" si="1"/>
        <v>335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43090725</v>
      </c>
      <c r="H11">
        <f t="shared" ca="1" si="1"/>
        <v>764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6880</v>
      </c>
      <c r="Q1" t="s">
        <v>6881</v>
      </c>
      <c r="R1" t="s">
        <v>6882</v>
      </c>
      <c r="S1" t="s">
        <v>6879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EDW112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MCA070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CLO020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ARB091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ARG028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ASH067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FBA067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BIC013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BRA032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HEA013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selection activeCell="C10" sqref="C10"/>
    </sheetView>
  </sheetViews>
  <sheetFormatPr defaultRowHeight="14.4" x14ac:dyDescent="0.3"/>
  <cols>
    <col min="1" max="1" width="10.5546875" bestFit="1" customWidth="1"/>
    <col min="2" max="3" width="10.5546875" customWidth="1"/>
    <col min="4" max="4" width="17.88671875" customWidth="1"/>
    <col min="5" max="5" width="13.3320312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7890</v>
      </c>
      <c r="C1" t="s">
        <v>5326</v>
      </c>
      <c r="D1" t="s">
        <v>75</v>
      </c>
      <c r="E1" t="s">
        <v>5666</v>
      </c>
      <c r="F1" t="s">
        <v>73</v>
      </c>
      <c r="G1" t="s">
        <v>70</v>
      </c>
      <c r="H1" t="s">
        <v>71</v>
      </c>
      <c r="I1" t="s">
        <v>5325</v>
      </c>
      <c r="J1" t="s">
        <v>7875</v>
      </c>
    </row>
    <row r="2" spans="1:10" x14ac:dyDescent="0.3">
      <c r="A2" t="s">
        <v>74</v>
      </c>
      <c r="B2" t="str">
        <f>J2</f>
        <v>200001</v>
      </c>
      <c r="C2" t="s">
        <v>2951</v>
      </c>
      <c r="D2" t="s">
        <v>6514</v>
      </c>
      <c r="E2">
        <v>1</v>
      </c>
      <c r="F2" t="s">
        <v>2923</v>
      </c>
      <c r="G2" s="2" t="s">
        <v>6512</v>
      </c>
      <c r="H2" t="s">
        <v>76</v>
      </c>
      <c r="I2" s="3">
        <v>200000</v>
      </c>
      <c r="J2" t="str">
        <f>MID(D2,13,6)</f>
        <v>200001</v>
      </c>
    </row>
    <row r="3" spans="1:10" x14ac:dyDescent="0.3">
      <c r="A3" t="s">
        <v>74</v>
      </c>
      <c r="B3" t="str">
        <f t="shared" ref="B3:B31" si="0">J3</f>
        <v>200001</v>
      </c>
      <c r="C3" t="s">
        <v>2951</v>
      </c>
      <c r="D3" t="s">
        <v>6514</v>
      </c>
      <c r="E3">
        <v>2</v>
      </c>
      <c r="F3" t="s">
        <v>2924</v>
      </c>
      <c r="G3" s="2" t="s">
        <v>6512</v>
      </c>
      <c r="H3" t="s">
        <v>76</v>
      </c>
      <c r="I3" s="3">
        <v>200001</v>
      </c>
      <c r="J3" t="str">
        <f t="shared" ref="J3:J31" si="1">MID(D3,13,6)</f>
        <v>200001</v>
      </c>
    </row>
    <row r="4" spans="1:10" x14ac:dyDescent="0.3">
      <c r="A4" t="s">
        <v>74</v>
      </c>
      <c r="B4" t="str">
        <f t="shared" si="0"/>
        <v>200001</v>
      </c>
      <c r="C4" t="s">
        <v>2951</v>
      </c>
      <c r="D4" t="s">
        <v>6514</v>
      </c>
      <c r="E4">
        <v>3</v>
      </c>
      <c r="F4" t="s">
        <v>2925</v>
      </c>
      <c r="G4" s="2" t="s">
        <v>6512</v>
      </c>
      <c r="H4" t="s">
        <v>76</v>
      </c>
      <c r="I4" s="3">
        <v>200002</v>
      </c>
      <c r="J4" t="str">
        <f t="shared" si="1"/>
        <v>200001</v>
      </c>
    </row>
    <row r="5" spans="1:10" x14ac:dyDescent="0.3">
      <c r="A5" t="s">
        <v>74</v>
      </c>
      <c r="B5" t="str">
        <f t="shared" si="0"/>
        <v>200000</v>
      </c>
      <c r="C5" t="s">
        <v>2928</v>
      </c>
      <c r="D5" t="s">
        <v>6533</v>
      </c>
      <c r="E5">
        <v>4</v>
      </c>
      <c r="F5" t="s">
        <v>2926</v>
      </c>
      <c r="G5" s="2" t="s">
        <v>6512</v>
      </c>
      <c r="H5" t="s">
        <v>76</v>
      </c>
      <c r="I5" s="3">
        <v>200003</v>
      </c>
      <c r="J5" t="str">
        <f t="shared" si="1"/>
        <v>200000</v>
      </c>
    </row>
    <row r="6" spans="1:10" x14ac:dyDescent="0.3">
      <c r="A6" t="s">
        <v>74</v>
      </c>
      <c r="B6" t="str">
        <f t="shared" si="0"/>
        <v>200000</v>
      </c>
      <c r="C6" t="s">
        <v>2928</v>
      </c>
      <c r="D6" t="s">
        <v>6533</v>
      </c>
      <c r="E6">
        <v>5</v>
      </c>
      <c r="F6" t="s">
        <v>2927</v>
      </c>
      <c r="G6" s="2" t="s">
        <v>6512</v>
      </c>
      <c r="H6" t="s">
        <v>76</v>
      </c>
      <c r="I6" s="3">
        <v>200004</v>
      </c>
      <c r="J6" t="str">
        <f t="shared" si="1"/>
        <v>200000</v>
      </c>
    </row>
    <row r="7" spans="1:10" x14ac:dyDescent="0.3">
      <c r="A7" t="s">
        <v>74</v>
      </c>
      <c r="B7" t="str">
        <f t="shared" si="0"/>
        <v>200000</v>
      </c>
      <c r="C7" t="s">
        <v>2928</v>
      </c>
      <c r="D7" t="s">
        <v>6533</v>
      </c>
      <c r="E7">
        <v>6</v>
      </c>
      <c r="F7" t="s">
        <v>2928</v>
      </c>
      <c r="G7" s="2" t="s">
        <v>6512</v>
      </c>
      <c r="H7" t="s">
        <v>76</v>
      </c>
      <c r="I7" s="3">
        <v>200005</v>
      </c>
      <c r="J7" t="str">
        <f t="shared" si="1"/>
        <v>200000</v>
      </c>
    </row>
    <row r="8" spans="1:10" x14ac:dyDescent="0.3">
      <c r="A8" t="s">
        <v>74</v>
      </c>
      <c r="B8" t="str">
        <f t="shared" si="0"/>
        <v>200000</v>
      </c>
      <c r="C8" t="s">
        <v>2928</v>
      </c>
      <c r="D8" t="s">
        <v>6533</v>
      </c>
      <c r="E8">
        <v>7</v>
      </c>
      <c r="F8" t="s">
        <v>10</v>
      </c>
      <c r="G8" s="2" t="s">
        <v>6512</v>
      </c>
      <c r="H8" t="s">
        <v>76</v>
      </c>
      <c r="I8" s="3">
        <v>200006</v>
      </c>
      <c r="J8" t="str">
        <f t="shared" si="1"/>
        <v>200000</v>
      </c>
    </row>
    <row r="9" spans="1:10" x14ac:dyDescent="0.3">
      <c r="A9" t="s">
        <v>74</v>
      </c>
      <c r="B9" t="str">
        <f t="shared" si="0"/>
        <v>200004</v>
      </c>
      <c r="C9" t="s">
        <v>2953</v>
      </c>
      <c r="D9" t="s">
        <v>6537</v>
      </c>
      <c r="E9">
        <v>8</v>
      </c>
      <c r="F9" t="s">
        <v>2929</v>
      </c>
      <c r="G9" s="2" t="s">
        <v>6512</v>
      </c>
      <c r="H9" t="s">
        <v>76</v>
      </c>
      <c r="I9" s="3">
        <v>200007</v>
      </c>
      <c r="J9" t="str">
        <f t="shared" si="1"/>
        <v>200004</v>
      </c>
    </row>
    <row r="10" spans="1:10" x14ac:dyDescent="0.3">
      <c r="A10" t="s">
        <v>74</v>
      </c>
      <c r="B10" t="str">
        <f t="shared" si="0"/>
        <v>200003</v>
      </c>
      <c r="C10" t="s">
        <v>22</v>
      </c>
      <c r="D10" t="s">
        <v>6541</v>
      </c>
      <c r="E10">
        <v>9</v>
      </c>
      <c r="F10" t="s">
        <v>2930</v>
      </c>
      <c r="G10" s="2" t="s">
        <v>6512</v>
      </c>
      <c r="H10" t="s">
        <v>76</v>
      </c>
      <c r="I10" s="3">
        <v>200008</v>
      </c>
      <c r="J10" t="str">
        <f t="shared" si="1"/>
        <v>200003</v>
      </c>
    </row>
    <row r="11" spans="1:10" x14ac:dyDescent="0.3">
      <c r="A11" t="s">
        <v>74</v>
      </c>
      <c r="B11" t="str">
        <f t="shared" si="0"/>
        <v>200003</v>
      </c>
      <c r="C11" t="s">
        <v>22</v>
      </c>
      <c r="D11" t="s">
        <v>6541</v>
      </c>
      <c r="E11">
        <v>10</v>
      </c>
      <c r="F11" t="s">
        <v>2931</v>
      </c>
      <c r="G11" s="2" t="s">
        <v>6512</v>
      </c>
      <c r="H11" t="s">
        <v>76</v>
      </c>
      <c r="I11" s="3">
        <v>200009</v>
      </c>
      <c r="J11" t="str">
        <f t="shared" si="1"/>
        <v>200003</v>
      </c>
    </row>
    <row r="12" spans="1:10" x14ac:dyDescent="0.3">
      <c r="A12" t="s">
        <v>74</v>
      </c>
      <c r="B12" t="str">
        <f t="shared" si="0"/>
        <v>200002</v>
      </c>
      <c r="C12" t="s">
        <v>2952</v>
      </c>
      <c r="D12" t="s">
        <v>6526</v>
      </c>
      <c r="E12">
        <v>11</v>
      </c>
      <c r="F12" t="s">
        <v>13</v>
      </c>
      <c r="G12" s="2" t="s">
        <v>6512</v>
      </c>
      <c r="H12" t="s">
        <v>76</v>
      </c>
      <c r="I12" s="3">
        <v>200010</v>
      </c>
      <c r="J12" t="str">
        <f t="shared" si="1"/>
        <v>200002</v>
      </c>
    </row>
    <row r="13" spans="1:10" x14ac:dyDescent="0.3">
      <c r="A13" t="s">
        <v>74</v>
      </c>
      <c r="B13" t="str">
        <f t="shared" si="0"/>
        <v>200002</v>
      </c>
      <c r="C13" t="s">
        <v>2952</v>
      </c>
      <c r="D13" t="s">
        <v>6526</v>
      </c>
      <c r="E13">
        <v>12</v>
      </c>
      <c r="F13" t="s">
        <v>2932</v>
      </c>
      <c r="G13" s="2" t="s">
        <v>6512</v>
      </c>
      <c r="H13" t="s">
        <v>76</v>
      </c>
      <c r="I13" s="3">
        <v>200011</v>
      </c>
      <c r="J13" t="str">
        <f t="shared" si="1"/>
        <v>200002</v>
      </c>
    </row>
    <row r="14" spans="1:10" x14ac:dyDescent="0.3">
      <c r="A14" t="s">
        <v>74</v>
      </c>
      <c r="B14" t="str">
        <f t="shared" si="0"/>
        <v>200004</v>
      </c>
      <c r="C14" t="s">
        <v>2953</v>
      </c>
      <c r="D14" t="s">
        <v>6537</v>
      </c>
      <c r="E14">
        <v>13</v>
      </c>
      <c r="F14" t="s">
        <v>2933</v>
      </c>
      <c r="G14" s="2" t="s">
        <v>6512</v>
      </c>
      <c r="H14" t="s">
        <v>76</v>
      </c>
      <c r="I14" s="3">
        <v>200012</v>
      </c>
      <c r="J14" t="str">
        <f t="shared" si="1"/>
        <v>200004</v>
      </c>
    </row>
    <row r="15" spans="1:10" x14ac:dyDescent="0.3">
      <c r="A15" t="s">
        <v>74</v>
      </c>
      <c r="B15" t="str">
        <f t="shared" si="0"/>
        <v>200005</v>
      </c>
      <c r="C15" t="s">
        <v>2954</v>
      </c>
      <c r="D15" t="s">
        <v>6521</v>
      </c>
      <c r="E15">
        <v>14</v>
      </c>
      <c r="F15" t="s">
        <v>2934</v>
      </c>
      <c r="G15" s="2" t="s">
        <v>6512</v>
      </c>
      <c r="H15" t="s">
        <v>76</v>
      </c>
      <c r="I15" s="3">
        <v>200013</v>
      </c>
      <c r="J15" t="str">
        <f t="shared" si="1"/>
        <v>200005</v>
      </c>
    </row>
    <row r="16" spans="1:10" x14ac:dyDescent="0.3">
      <c r="A16" t="s">
        <v>74</v>
      </c>
      <c r="B16" t="str">
        <f t="shared" si="0"/>
        <v>200005</v>
      </c>
      <c r="C16" t="s">
        <v>2954</v>
      </c>
      <c r="D16" t="s">
        <v>6521</v>
      </c>
      <c r="E16">
        <v>15</v>
      </c>
      <c r="F16" t="s">
        <v>2935</v>
      </c>
      <c r="G16" s="2" t="s">
        <v>6512</v>
      </c>
      <c r="H16" t="s">
        <v>76</v>
      </c>
      <c r="I16" s="3">
        <v>200014</v>
      </c>
      <c r="J16" t="str">
        <f t="shared" si="1"/>
        <v>200005</v>
      </c>
    </row>
    <row r="17" spans="1:10" x14ac:dyDescent="0.3">
      <c r="A17" t="s">
        <v>74</v>
      </c>
      <c r="B17" t="str">
        <f t="shared" si="0"/>
        <v>200006</v>
      </c>
      <c r="C17" t="s">
        <v>2955</v>
      </c>
      <c r="D17" t="s">
        <v>6518</v>
      </c>
      <c r="E17">
        <v>16</v>
      </c>
      <c r="F17" t="s">
        <v>2936</v>
      </c>
      <c r="G17" s="2" t="s">
        <v>6512</v>
      </c>
      <c r="H17" t="s">
        <v>76</v>
      </c>
      <c r="I17" s="3">
        <v>200015</v>
      </c>
      <c r="J17" t="str">
        <f t="shared" si="1"/>
        <v>200006</v>
      </c>
    </row>
    <row r="18" spans="1:10" x14ac:dyDescent="0.3">
      <c r="A18" t="s">
        <v>74</v>
      </c>
      <c r="B18" t="str">
        <f t="shared" si="0"/>
        <v>200006</v>
      </c>
      <c r="C18" t="s">
        <v>2955</v>
      </c>
      <c r="D18" t="s">
        <v>6518</v>
      </c>
      <c r="E18">
        <v>17</v>
      </c>
      <c r="F18" t="s">
        <v>2937</v>
      </c>
      <c r="G18" s="2" t="s">
        <v>6512</v>
      </c>
      <c r="H18" t="s">
        <v>76</v>
      </c>
      <c r="I18" s="3">
        <v>200016</v>
      </c>
      <c r="J18" t="str">
        <f t="shared" si="1"/>
        <v>200006</v>
      </c>
    </row>
    <row r="19" spans="1:10" x14ac:dyDescent="0.3">
      <c r="A19" t="s">
        <v>74</v>
      </c>
      <c r="B19" t="str">
        <f t="shared" si="0"/>
        <v>200006</v>
      </c>
      <c r="C19" t="s">
        <v>2955</v>
      </c>
      <c r="D19" t="s">
        <v>6518</v>
      </c>
      <c r="E19">
        <v>18</v>
      </c>
      <c r="F19" t="s">
        <v>2938</v>
      </c>
      <c r="G19" s="2" t="s">
        <v>6512</v>
      </c>
      <c r="H19" t="s">
        <v>76</v>
      </c>
      <c r="I19" s="3">
        <v>200017</v>
      </c>
      <c r="J19" t="str">
        <f t="shared" si="1"/>
        <v>200006</v>
      </c>
    </row>
    <row r="20" spans="1:10" x14ac:dyDescent="0.3">
      <c r="A20" t="s">
        <v>74</v>
      </c>
      <c r="B20" t="str">
        <f t="shared" si="0"/>
        <v>200008</v>
      </c>
      <c r="C20" t="s">
        <v>2939</v>
      </c>
      <c r="D20" t="s">
        <v>6519</v>
      </c>
      <c r="E20">
        <v>19</v>
      </c>
      <c r="F20" t="s">
        <v>2939</v>
      </c>
      <c r="G20" s="2" t="s">
        <v>6512</v>
      </c>
      <c r="H20" t="s">
        <v>76</v>
      </c>
      <c r="I20" s="3">
        <v>200018</v>
      </c>
      <c r="J20" t="str">
        <f t="shared" si="1"/>
        <v>200008</v>
      </c>
    </row>
    <row r="21" spans="1:10" x14ac:dyDescent="0.3">
      <c r="A21" t="s">
        <v>74</v>
      </c>
      <c r="B21" t="str">
        <f t="shared" si="0"/>
        <v>200008</v>
      </c>
      <c r="C21" t="s">
        <v>2939</v>
      </c>
      <c r="D21" t="s">
        <v>6519</v>
      </c>
      <c r="E21">
        <v>20</v>
      </c>
      <c r="F21" t="s">
        <v>2940</v>
      </c>
      <c r="G21" s="2" t="s">
        <v>6512</v>
      </c>
      <c r="H21" t="s">
        <v>76</v>
      </c>
      <c r="I21" s="3">
        <v>200019</v>
      </c>
      <c r="J21" t="str">
        <f t="shared" si="1"/>
        <v>200008</v>
      </c>
    </row>
    <row r="22" spans="1:10" x14ac:dyDescent="0.3">
      <c r="A22" t="s">
        <v>74</v>
      </c>
      <c r="B22" t="str">
        <f t="shared" si="0"/>
        <v>200007</v>
      </c>
      <c r="C22" t="s">
        <v>2956</v>
      </c>
      <c r="D22" t="s">
        <v>6534</v>
      </c>
      <c r="E22">
        <v>21</v>
      </c>
      <c r="F22" t="s">
        <v>2941</v>
      </c>
      <c r="G22" s="2" t="s">
        <v>6512</v>
      </c>
      <c r="H22" t="s">
        <v>76</v>
      </c>
      <c r="I22" s="3">
        <v>200020</v>
      </c>
      <c r="J22" t="str">
        <f t="shared" si="1"/>
        <v>200007</v>
      </c>
    </row>
    <row r="23" spans="1:10" x14ac:dyDescent="0.3">
      <c r="A23" t="s">
        <v>74</v>
      </c>
      <c r="B23" t="str">
        <f t="shared" si="0"/>
        <v>200007</v>
      </c>
      <c r="C23" t="s">
        <v>2956</v>
      </c>
      <c r="D23" t="s">
        <v>6534</v>
      </c>
      <c r="E23">
        <v>22</v>
      </c>
      <c r="F23" t="s">
        <v>2942</v>
      </c>
      <c r="G23" s="2" t="s">
        <v>6512</v>
      </c>
      <c r="H23" t="s">
        <v>76</v>
      </c>
      <c r="I23" s="3">
        <v>200021</v>
      </c>
      <c r="J23" t="str">
        <f t="shared" si="1"/>
        <v>200007</v>
      </c>
    </row>
    <row r="24" spans="1:10" x14ac:dyDescent="0.3">
      <c r="A24" t="s">
        <v>74</v>
      </c>
      <c r="B24" t="str">
        <f t="shared" si="0"/>
        <v>200008</v>
      </c>
      <c r="C24" t="s">
        <v>2939</v>
      </c>
      <c r="D24" t="s">
        <v>6519</v>
      </c>
      <c r="E24">
        <v>23</v>
      </c>
      <c r="F24" t="s">
        <v>2943</v>
      </c>
      <c r="G24" s="2" t="s">
        <v>6512</v>
      </c>
      <c r="H24" t="s">
        <v>76</v>
      </c>
      <c r="I24" s="3">
        <v>200022</v>
      </c>
      <c r="J24" t="str">
        <f t="shared" si="1"/>
        <v>200008</v>
      </c>
    </row>
    <row r="25" spans="1:10" x14ac:dyDescent="0.3">
      <c r="A25" t="s">
        <v>74</v>
      </c>
      <c r="B25" t="str">
        <f t="shared" si="0"/>
        <v>200009</v>
      </c>
      <c r="C25" t="s">
        <v>2957</v>
      </c>
      <c r="D25" t="s">
        <v>6515</v>
      </c>
      <c r="E25">
        <v>24</v>
      </c>
      <c r="F25" t="s">
        <v>2944</v>
      </c>
      <c r="G25" s="2" t="s">
        <v>6512</v>
      </c>
      <c r="H25" t="s">
        <v>76</v>
      </c>
      <c r="I25" s="3">
        <v>200023</v>
      </c>
      <c r="J25" t="str">
        <f t="shared" si="1"/>
        <v>200009</v>
      </c>
    </row>
    <row r="26" spans="1:10" x14ac:dyDescent="0.3">
      <c r="A26" t="s">
        <v>74</v>
      </c>
      <c r="B26" t="str">
        <f t="shared" si="0"/>
        <v>200009</v>
      </c>
      <c r="C26" t="s">
        <v>2957</v>
      </c>
      <c r="D26" t="s">
        <v>6515</v>
      </c>
      <c r="E26">
        <v>25</v>
      </c>
      <c r="F26" t="s">
        <v>2945</v>
      </c>
      <c r="G26" s="2" t="s">
        <v>6512</v>
      </c>
      <c r="H26" t="s">
        <v>76</v>
      </c>
      <c r="I26" s="3">
        <v>200024</v>
      </c>
      <c r="J26" t="str">
        <f t="shared" si="1"/>
        <v>200009</v>
      </c>
    </row>
    <row r="27" spans="1:10" x14ac:dyDescent="0.3">
      <c r="A27" t="s">
        <v>74</v>
      </c>
      <c r="B27" t="str">
        <f t="shared" si="0"/>
        <v>200010</v>
      </c>
      <c r="C27" t="s">
        <v>2946</v>
      </c>
      <c r="D27" t="s">
        <v>6516</v>
      </c>
      <c r="E27">
        <v>26</v>
      </c>
      <c r="F27" t="s">
        <v>2946</v>
      </c>
      <c r="G27" s="2" t="s">
        <v>6512</v>
      </c>
      <c r="H27" t="s">
        <v>76</v>
      </c>
      <c r="I27" s="3">
        <v>200025</v>
      </c>
      <c r="J27" t="str">
        <f t="shared" si="1"/>
        <v>200010</v>
      </c>
    </row>
    <row r="28" spans="1:10" x14ac:dyDescent="0.3">
      <c r="A28" t="s">
        <v>74</v>
      </c>
      <c r="B28" t="str">
        <f t="shared" si="0"/>
        <v>200010</v>
      </c>
      <c r="C28" t="s">
        <v>2946</v>
      </c>
      <c r="D28" t="s">
        <v>6516</v>
      </c>
      <c r="E28">
        <v>27</v>
      </c>
      <c r="F28" t="s">
        <v>2947</v>
      </c>
      <c r="G28" s="2" t="s">
        <v>6512</v>
      </c>
      <c r="H28" t="s">
        <v>76</v>
      </c>
      <c r="I28" s="3">
        <v>200026</v>
      </c>
      <c r="J28" t="str">
        <f t="shared" si="1"/>
        <v>200010</v>
      </c>
    </row>
    <row r="29" spans="1:10" x14ac:dyDescent="0.3">
      <c r="A29" t="s">
        <v>74</v>
      </c>
      <c r="B29" t="str">
        <f t="shared" si="0"/>
        <v>200009</v>
      </c>
      <c r="C29" t="s">
        <v>2957</v>
      </c>
      <c r="D29" t="s">
        <v>6515</v>
      </c>
      <c r="E29">
        <v>28</v>
      </c>
      <c r="F29" t="s">
        <v>2948</v>
      </c>
      <c r="G29" s="2" t="s">
        <v>6512</v>
      </c>
      <c r="H29" t="s">
        <v>76</v>
      </c>
      <c r="I29" s="3">
        <v>200027</v>
      </c>
      <c r="J29" t="str">
        <f t="shared" si="1"/>
        <v>200009</v>
      </c>
    </row>
    <row r="30" spans="1:10" x14ac:dyDescent="0.3">
      <c r="A30" t="s">
        <v>74</v>
      </c>
      <c r="B30" t="str">
        <f t="shared" si="0"/>
        <v>200011</v>
      </c>
      <c r="C30" t="s">
        <v>2949</v>
      </c>
      <c r="D30" t="s">
        <v>6530</v>
      </c>
      <c r="E30">
        <v>99</v>
      </c>
      <c r="F30" t="s">
        <v>2949</v>
      </c>
      <c r="G30" s="2" t="s">
        <v>6512</v>
      </c>
      <c r="H30" t="s">
        <v>76</v>
      </c>
      <c r="I30" s="3">
        <v>200028</v>
      </c>
      <c r="J30" t="str">
        <f t="shared" si="1"/>
        <v>200011</v>
      </c>
    </row>
    <row r="31" spans="1:10" x14ac:dyDescent="0.3">
      <c r="A31" t="s">
        <v>74</v>
      </c>
      <c r="B31" t="str">
        <f t="shared" si="0"/>
        <v>200012</v>
      </c>
      <c r="C31" t="s">
        <v>2950</v>
      </c>
      <c r="D31" t="s">
        <v>6528</v>
      </c>
      <c r="E31">
        <v>999</v>
      </c>
      <c r="F31" t="s">
        <v>2950</v>
      </c>
      <c r="G31" s="2" t="s">
        <v>6512</v>
      </c>
      <c r="H31" t="s">
        <v>76</v>
      </c>
      <c r="I31" s="3">
        <v>200029</v>
      </c>
      <c r="J31" t="str">
        <f t="shared" si="1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8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2" width="10.5546875" customWidth="1"/>
    <col min="3" max="3" width="17.44140625" bestFit="1" customWidth="1"/>
    <col min="4" max="4" width="17.88671875" customWidth="1"/>
    <col min="5" max="5" width="18" customWidth="1"/>
    <col min="6" max="6" width="15.33203125" bestFit="1" customWidth="1"/>
    <col min="7" max="7" width="11" customWidth="1"/>
  </cols>
  <sheetData>
    <row r="1" spans="1:11" x14ac:dyDescent="0.3">
      <c r="A1" t="s">
        <v>68</v>
      </c>
      <c r="B1" t="s">
        <v>7891</v>
      </c>
      <c r="C1" t="s">
        <v>5377</v>
      </c>
      <c r="D1" t="s">
        <v>5378</v>
      </c>
      <c r="E1" t="s">
        <v>73</v>
      </c>
      <c r="F1" t="s">
        <v>7892</v>
      </c>
      <c r="G1" t="s">
        <v>70</v>
      </c>
      <c r="H1" t="s">
        <v>71</v>
      </c>
      <c r="I1" t="s">
        <v>5325</v>
      </c>
      <c r="J1" t="s">
        <v>6936</v>
      </c>
      <c r="K1" t="s">
        <v>7880</v>
      </c>
    </row>
    <row r="2" spans="1:11" x14ac:dyDescent="0.3">
      <c r="A2" t="s">
        <v>5376</v>
      </c>
      <c r="B2">
        <f>_xlfn.NUMBERVALUE(MID(D2,13,6))</f>
        <v>200000</v>
      </c>
      <c r="C2" t="s">
        <v>2923</v>
      </c>
      <c r="D2" t="s">
        <v>6533</v>
      </c>
      <c r="E2" t="s">
        <v>5345</v>
      </c>
      <c r="F2">
        <v>1</v>
      </c>
      <c r="G2" s="2" t="s">
        <v>6512</v>
      </c>
      <c r="H2" t="s">
        <v>76</v>
      </c>
      <c r="I2" s="3">
        <v>200064</v>
      </c>
      <c r="J2" t="str">
        <f t="shared" ref="J2:J33" si="0">E2</f>
        <v>Cobble Hill</v>
      </c>
      <c r="K2" t="str">
        <f t="shared" ref="K2:K33" si="1">C2</f>
        <v>South Island</v>
      </c>
    </row>
    <row r="3" spans="1:11" x14ac:dyDescent="0.3">
      <c r="A3" t="s">
        <v>5376</v>
      </c>
      <c r="B3">
        <f t="shared" ref="B3:B66" si="2">_xlfn.NUMBERVALUE(MID(D3,13,6))</f>
        <v>200000</v>
      </c>
      <c r="C3" t="s">
        <v>2923</v>
      </c>
      <c r="D3" t="s">
        <v>6533</v>
      </c>
      <c r="E3" t="s">
        <v>5354</v>
      </c>
      <c r="F3">
        <v>2</v>
      </c>
      <c r="G3" s="2" t="s">
        <v>6512</v>
      </c>
      <c r="H3" t="s">
        <v>76</v>
      </c>
      <c r="I3" s="3">
        <v>200065</v>
      </c>
      <c r="J3" t="str">
        <f t="shared" si="0"/>
        <v>Lake Cowichan</v>
      </c>
      <c r="K3" t="str">
        <f t="shared" si="1"/>
        <v>South Island</v>
      </c>
    </row>
    <row r="4" spans="1:11" x14ac:dyDescent="0.3">
      <c r="A4" t="s">
        <v>5376</v>
      </c>
      <c r="B4">
        <f t="shared" si="2"/>
        <v>200000</v>
      </c>
      <c r="C4" t="s">
        <v>2923</v>
      </c>
      <c r="D4" t="s">
        <v>6533</v>
      </c>
      <c r="E4" t="s">
        <v>3297</v>
      </c>
      <c r="F4">
        <v>3</v>
      </c>
      <c r="G4" s="2" t="s">
        <v>6512</v>
      </c>
      <c r="H4" t="s">
        <v>76</v>
      </c>
      <c r="I4" s="3">
        <v>200066</v>
      </c>
      <c r="J4" t="str">
        <f t="shared" si="0"/>
        <v>Duncan</v>
      </c>
      <c r="K4" t="str">
        <f t="shared" si="1"/>
        <v>South Island</v>
      </c>
    </row>
    <row r="5" spans="1:11" x14ac:dyDescent="0.3">
      <c r="A5" t="s">
        <v>5376</v>
      </c>
      <c r="B5">
        <f t="shared" si="2"/>
        <v>200000</v>
      </c>
      <c r="C5" t="s">
        <v>2923</v>
      </c>
      <c r="D5" t="s">
        <v>6533</v>
      </c>
      <c r="E5" t="s">
        <v>5388</v>
      </c>
      <c r="F5">
        <v>4</v>
      </c>
      <c r="G5" s="2" t="s">
        <v>6512</v>
      </c>
      <c r="H5" t="s">
        <v>76</v>
      </c>
      <c r="I5" s="3">
        <v>200067</v>
      </c>
      <c r="J5" t="str">
        <f t="shared" si="0"/>
        <v>Saanich Peninsula</v>
      </c>
      <c r="K5" t="str">
        <f t="shared" si="1"/>
        <v>South Island</v>
      </c>
    </row>
    <row r="6" spans="1:11" x14ac:dyDescent="0.3">
      <c r="A6" t="s">
        <v>5376</v>
      </c>
      <c r="B6">
        <f t="shared" si="2"/>
        <v>200000</v>
      </c>
      <c r="C6" t="s">
        <v>2923</v>
      </c>
      <c r="D6" t="s">
        <v>6533</v>
      </c>
      <c r="E6" t="s">
        <v>6486</v>
      </c>
      <c r="F6">
        <v>5</v>
      </c>
      <c r="G6" s="2" t="s">
        <v>6512</v>
      </c>
      <c r="H6" t="s">
        <v>76</v>
      </c>
      <c r="I6" s="3">
        <v>200068</v>
      </c>
      <c r="J6" t="str">
        <f t="shared" si="0"/>
        <v>Western Communities</v>
      </c>
      <c r="K6" t="str">
        <f t="shared" si="1"/>
        <v>South Island</v>
      </c>
    </row>
    <row r="7" spans="1:11" x14ac:dyDescent="0.3">
      <c r="A7" t="s">
        <v>5376</v>
      </c>
      <c r="B7">
        <f t="shared" si="2"/>
        <v>200001</v>
      </c>
      <c r="C7" t="s">
        <v>2924</v>
      </c>
      <c r="D7" t="s">
        <v>6514</v>
      </c>
      <c r="E7" t="s">
        <v>6458</v>
      </c>
      <c r="F7">
        <v>6</v>
      </c>
      <c r="G7" s="2" t="s">
        <v>6512</v>
      </c>
      <c r="H7" t="s">
        <v>76</v>
      </c>
      <c r="I7" s="3">
        <v>200005</v>
      </c>
      <c r="J7" t="str">
        <f t="shared" si="0"/>
        <v>Nanaimo/Ladysmith/Lantzville</v>
      </c>
      <c r="K7" t="str">
        <f t="shared" si="1"/>
        <v>Central  Island</v>
      </c>
    </row>
    <row r="8" spans="1:11" x14ac:dyDescent="0.3">
      <c r="A8" t="s">
        <v>5376</v>
      </c>
      <c r="B8">
        <f t="shared" si="2"/>
        <v>200001</v>
      </c>
      <c r="C8" t="s">
        <v>2924</v>
      </c>
      <c r="D8" t="s">
        <v>6514</v>
      </c>
      <c r="E8" t="s">
        <v>6459</v>
      </c>
      <c r="F8">
        <v>7</v>
      </c>
      <c r="G8" s="2" t="s">
        <v>6512</v>
      </c>
      <c r="H8" t="s">
        <v>76</v>
      </c>
      <c r="I8" s="3">
        <v>200006</v>
      </c>
      <c r="J8" t="str">
        <f t="shared" si="0"/>
        <v>Parksville/Qualicum</v>
      </c>
      <c r="K8" t="str">
        <f t="shared" si="1"/>
        <v>Central  Island</v>
      </c>
    </row>
    <row r="9" spans="1:11" x14ac:dyDescent="0.3">
      <c r="A9" t="s">
        <v>5376</v>
      </c>
      <c r="B9">
        <f t="shared" si="2"/>
        <v>200001</v>
      </c>
      <c r="C9" t="s">
        <v>2924</v>
      </c>
      <c r="D9" t="s">
        <v>6514</v>
      </c>
      <c r="E9" t="s">
        <v>3722</v>
      </c>
      <c r="F9">
        <v>8</v>
      </c>
      <c r="G9" s="2" t="s">
        <v>6512</v>
      </c>
      <c r="H9" t="s">
        <v>76</v>
      </c>
      <c r="I9" s="3">
        <v>200007</v>
      </c>
      <c r="J9" t="str">
        <f t="shared" si="0"/>
        <v>Port Alberni</v>
      </c>
      <c r="K9" t="str">
        <f t="shared" si="1"/>
        <v>Central  Island</v>
      </c>
    </row>
    <row r="10" spans="1:11" x14ac:dyDescent="0.3">
      <c r="A10" t="s">
        <v>5376</v>
      </c>
      <c r="B10">
        <f t="shared" si="2"/>
        <v>200001</v>
      </c>
      <c r="C10" t="s">
        <v>2924</v>
      </c>
      <c r="D10" t="s">
        <v>6514</v>
      </c>
      <c r="E10" t="s">
        <v>6460</v>
      </c>
      <c r="F10">
        <v>9</v>
      </c>
      <c r="G10" s="2" t="s">
        <v>6512</v>
      </c>
      <c r="H10" t="s">
        <v>76</v>
      </c>
      <c r="I10" s="3">
        <v>200008</v>
      </c>
      <c r="J10" t="str">
        <f t="shared" si="0"/>
        <v>Ucluelet/Tofino</v>
      </c>
      <c r="K10" t="str">
        <f t="shared" si="1"/>
        <v>Central  Island</v>
      </c>
    </row>
    <row r="11" spans="1:11" x14ac:dyDescent="0.3">
      <c r="A11" t="s">
        <v>5376</v>
      </c>
      <c r="B11">
        <f t="shared" si="2"/>
        <v>200001</v>
      </c>
      <c r="C11" t="s">
        <v>2924</v>
      </c>
      <c r="D11" t="s">
        <v>6514</v>
      </c>
      <c r="E11" t="s">
        <v>5351</v>
      </c>
      <c r="F11">
        <v>10</v>
      </c>
      <c r="G11" s="2" t="s">
        <v>6512</v>
      </c>
      <c r="H11" t="s">
        <v>76</v>
      </c>
      <c r="I11" s="3">
        <v>200009</v>
      </c>
      <c r="J11" t="str">
        <f t="shared" si="0"/>
        <v>Gabriola Island</v>
      </c>
      <c r="K11" t="str">
        <f t="shared" si="1"/>
        <v>Central  Island</v>
      </c>
    </row>
    <row r="12" spans="1:11" x14ac:dyDescent="0.3">
      <c r="A12" t="s">
        <v>5376</v>
      </c>
      <c r="B12">
        <f t="shared" si="2"/>
        <v>200002</v>
      </c>
      <c r="C12" t="s">
        <v>2925</v>
      </c>
      <c r="D12" t="s">
        <v>6526</v>
      </c>
      <c r="E12" t="s">
        <v>4783</v>
      </c>
      <c r="F12">
        <v>11</v>
      </c>
      <c r="G12" s="2" t="s">
        <v>6512</v>
      </c>
      <c r="H12" t="s">
        <v>76</v>
      </c>
      <c r="I12" s="3">
        <v>200038</v>
      </c>
      <c r="J12" t="str">
        <f t="shared" si="0"/>
        <v>Courtenay</v>
      </c>
      <c r="K12" t="str">
        <f t="shared" si="1"/>
        <v>North  Island</v>
      </c>
    </row>
    <row r="13" spans="1:11" x14ac:dyDescent="0.3">
      <c r="A13" t="s">
        <v>5376</v>
      </c>
      <c r="B13">
        <f t="shared" si="2"/>
        <v>200002</v>
      </c>
      <c r="C13" t="s">
        <v>2925</v>
      </c>
      <c r="D13" t="s">
        <v>6526</v>
      </c>
      <c r="E13" t="s">
        <v>5343</v>
      </c>
      <c r="F13">
        <v>12</v>
      </c>
      <c r="G13" s="2" t="s">
        <v>6512</v>
      </c>
      <c r="H13" t="s">
        <v>76</v>
      </c>
      <c r="I13" s="3">
        <v>200039</v>
      </c>
      <c r="J13" t="str">
        <f t="shared" si="0"/>
        <v>Campbell River</v>
      </c>
      <c r="K13" t="str">
        <f t="shared" si="1"/>
        <v>North  Island</v>
      </c>
    </row>
    <row r="14" spans="1:11" x14ac:dyDescent="0.3">
      <c r="A14" t="s">
        <v>5376</v>
      </c>
      <c r="B14">
        <f t="shared" si="2"/>
        <v>200002</v>
      </c>
      <c r="C14" t="s">
        <v>2925</v>
      </c>
      <c r="D14" t="s">
        <v>6526</v>
      </c>
      <c r="E14" t="s">
        <v>3769</v>
      </c>
      <c r="F14">
        <v>13</v>
      </c>
      <c r="G14" s="2" t="s">
        <v>6512</v>
      </c>
      <c r="H14" t="s">
        <v>76</v>
      </c>
      <c r="I14" s="3">
        <v>200040</v>
      </c>
      <c r="J14" t="str">
        <f t="shared" si="0"/>
        <v>Port Hardy</v>
      </c>
      <c r="K14" t="str">
        <f t="shared" si="1"/>
        <v>North  Island</v>
      </c>
    </row>
    <row r="15" spans="1:11" x14ac:dyDescent="0.3">
      <c r="A15" t="s">
        <v>5376</v>
      </c>
      <c r="B15">
        <f t="shared" si="2"/>
        <v>200002</v>
      </c>
      <c r="C15" t="s">
        <v>2925</v>
      </c>
      <c r="D15" t="s">
        <v>6526</v>
      </c>
      <c r="E15" t="s">
        <v>5352</v>
      </c>
      <c r="F15">
        <v>14</v>
      </c>
      <c r="G15" s="2" t="s">
        <v>6512</v>
      </c>
      <c r="H15" t="s">
        <v>76</v>
      </c>
      <c r="I15" s="3">
        <v>200041</v>
      </c>
      <c r="J15" t="str">
        <f t="shared" si="0"/>
        <v>Gold River</v>
      </c>
      <c r="K15" t="str">
        <f t="shared" si="1"/>
        <v>North  Island</v>
      </c>
    </row>
    <row r="16" spans="1:11" x14ac:dyDescent="0.3">
      <c r="A16" t="s">
        <v>5376</v>
      </c>
      <c r="B16">
        <f t="shared" si="2"/>
        <v>200004</v>
      </c>
      <c r="C16" t="s">
        <v>2927</v>
      </c>
      <c r="D16" t="s">
        <v>6537</v>
      </c>
      <c r="E16" t="s">
        <v>5356</v>
      </c>
      <c r="F16">
        <v>15</v>
      </c>
      <c r="G16" s="2" t="s">
        <v>6512</v>
      </c>
      <c r="H16" t="s">
        <v>76</v>
      </c>
      <c r="I16" s="3">
        <v>200081</v>
      </c>
      <c r="J16" t="str">
        <f t="shared" si="0"/>
        <v>Powell River</v>
      </c>
      <c r="K16" t="str">
        <f t="shared" si="1"/>
        <v>Sunshine Coast</v>
      </c>
    </row>
    <row r="17" spans="1:11" x14ac:dyDescent="0.3">
      <c r="A17" t="s">
        <v>5376</v>
      </c>
      <c r="B17">
        <f t="shared" si="2"/>
        <v>200005</v>
      </c>
      <c r="C17" t="s">
        <v>2928</v>
      </c>
      <c r="D17" t="s">
        <v>6521</v>
      </c>
      <c r="E17" t="s">
        <v>6473</v>
      </c>
      <c r="F17">
        <v>16</v>
      </c>
      <c r="G17" s="2" t="s">
        <v>6512</v>
      </c>
      <c r="H17" t="s">
        <v>76</v>
      </c>
      <c r="I17" s="3">
        <v>200029</v>
      </c>
      <c r="J17" t="str">
        <f t="shared" si="0"/>
        <v>Lower Mainland-Surrey/Langley</v>
      </c>
      <c r="K17" t="str">
        <f t="shared" si="1"/>
        <v>Lower Mainland</v>
      </c>
    </row>
    <row r="18" spans="1:11" x14ac:dyDescent="0.3">
      <c r="A18" t="s">
        <v>5376</v>
      </c>
      <c r="B18">
        <f t="shared" si="2"/>
        <v>200005</v>
      </c>
      <c r="C18" t="s">
        <v>2928</v>
      </c>
      <c r="D18" t="s">
        <v>6521</v>
      </c>
      <c r="E18" t="s">
        <v>6474</v>
      </c>
      <c r="F18">
        <v>17</v>
      </c>
      <c r="G18" s="2" t="s">
        <v>6512</v>
      </c>
      <c r="H18" t="s">
        <v>76</v>
      </c>
      <c r="I18" s="3">
        <v>200030</v>
      </c>
      <c r="J18" t="str">
        <f t="shared" si="0"/>
        <v>Lower Mainland-Coquitlam/Burnaby/Van</v>
      </c>
      <c r="K18" t="str">
        <f t="shared" si="1"/>
        <v>Lower Mainland</v>
      </c>
    </row>
    <row r="19" spans="1:11" x14ac:dyDescent="0.3">
      <c r="A19" t="s">
        <v>5376</v>
      </c>
      <c r="B19">
        <f t="shared" si="2"/>
        <v>200005</v>
      </c>
      <c r="C19" t="s">
        <v>2928</v>
      </c>
      <c r="D19" t="s">
        <v>6521</v>
      </c>
      <c r="E19" t="s">
        <v>6475</v>
      </c>
      <c r="F19">
        <v>18</v>
      </c>
      <c r="G19" s="2" t="s">
        <v>6512</v>
      </c>
      <c r="H19" t="s">
        <v>76</v>
      </c>
      <c r="I19" s="3">
        <v>200031</v>
      </c>
      <c r="J19" t="str">
        <f t="shared" si="0"/>
        <v>Lower Mainland-Delta/Richmond</v>
      </c>
      <c r="K19" t="str">
        <f t="shared" si="1"/>
        <v>Lower Mainland</v>
      </c>
    </row>
    <row r="20" spans="1:11" x14ac:dyDescent="0.3">
      <c r="A20" t="s">
        <v>5376</v>
      </c>
      <c r="B20">
        <f t="shared" si="2"/>
        <v>200006</v>
      </c>
      <c r="C20" t="s">
        <v>10</v>
      </c>
      <c r="D20" t="s">
        <v>6518</v>
      </c>
      <c r="E20" t="s">
        <v>6467</v>
      </c>
      <c r="F20">
        <v>19</v>
      </c>
      <c r="G20" s="2" t="s">
        <v>6512</v>
      </c>
      <c r="H20" t="s">
        <v>76</v>
      </c>
      <c r="I20" s="3">
        <v>200020</v>
      </c>
      <c r="J20" t="str">
        <f t="shared" si="0"/>
        <v>Chilliwack/Rosedale</v>
      </c>
      <c r="K20" t="str">
        <f t="shared" si="1"/>
        <v>Fraser Valley</v>
      </c>
    </row>
    <row r="21" spans="1:11" x14ac:dyDescent="0.3">
      <c r="A21" t="s">
        <v>5376</v>
      </c>
      <c r="B21">
        <f t="shared" si="2"/>
        <v>200006</v>
      </c>
      <c r="C21" t="s">
        <v>10</v>
      </c>
      <c r="D21" t="s">
        <v>6518</v>
      </c>
      <c r="E21" t="s">
        <v>6468</v>
      </c>
      <c r="F21">
        <v>20</v>
      </c>
      <c r="G21" s="2" t="s">
        <v>6512</v>
      </c>
      <c r="H21" t="s">
        <v>76</v>
      </c>
      <c r="I21" s="3">
        <v>200021</v>
      </c>
      <c r="J21" t="str">
        <f t="shared" si="0"/>
        <v>Hope/Allison Pass</v>
      </c>
      <c r="K21" t="str">
        <f t="shared" si="1"/>
        <v>Fraser Valley</v>
      </c>
    </row>
    <row r="22" spans="1:11" x14ac:dyDescent="0.3">
      <c r="A22" t="s">
        <v>5376</v>
      </c>
      <c r="B22">
        <f t="shared" si="2"/>
        <v>200006</v>
      </c>
      <c r="C22" t="s">
        <v>10</v>
      </c>
      <c r="D22" t="s">
        <v>6518</v>
      </c>
      <c r="E22" t="s">
        <v>3104</v>
      </c>
      <c r="F22">
        <v>21</v>
      </c>
      <c r="G22" s="2" t="s">
        <v>6512</v>
      </c>
      <c r="H22" t="s">
        <v>76</v>
      </c>
      <c r="I22" s="3">
        <v>200022</v>
      </c>
      <c r="J22" t="str">
        <f t="shared" si="0"/>
        <v>Abbotsford</v>
      </c>
      <c r="K22" t="str">
        <f t="shared" si="1"/>
        <v>Fraser Valley</v>
      </c>
    </row>
    <row r="23" spans="1:11" x14ac:dyDescent="0.3">
      <c r="A23" t="s">
        <v>5376</v>
      </c>
      <c r="B23">
        <f t="shared" si="2"/>
        <v>200007</v>
      </c>
      <c r="C23" t="s">
        <v>2929</v>
      </c>
      <c r="D23" t="s">
        <v>6534</v>
      </c>
      <c r="E23" t="s">
        <v>6487</v>
      </c>
      <c r="F23">
        <v>22</v>
      </c>
      <c r="G23" s="2" t="s">
        <v>6512</v>
      </c>
      <c r="H23" t="s">
        <v>76</v>
      </c>
      <c r="I23" s="3">
        <v>200069</v>
      </c>
      <c r="J23" t="str">
        <f t="shared" si="0"/>
        <v>Penticton Rd. Management Area</v>
      </c>
      <c r="K23" t="str">
        <f t="shared" si="1"/>
        <v>South Okanagan</v>
      </c>
    </row>
    <row r="24" spans="1:11" x14ac:dyDescent="0.3">
      <c r="A24" t="s">
        <v>5376</v>
      </c>
      <c r="B24">
        <f t="shared" si="2"/>
        <v>200007</v>
      </c>
      <c r="C24" t="s">
        <v>2929</v>
      </c>
      <c r="D24" t="s">
        <v>6534</v>
      </c>
      <c r="E24" t="s">
        <v>6488</v>
      </c>
      <c r="F24">
        <v>23</v>
      </c>
      <c r="G24" s="2" t="s">
        <v>6512</v>
      </c>
      <c r="H24" t="s">
        <v>76</v>
      </c>
      <c r="I24" s="3">
        <v>200070</v>
      </c>
      <c r="J24" t="str">
        <f t="shared" si="0"/>
        <v>Kelowna Road Management Area</v>
      </c>
      <c r="K24" t="str">
        <f t="shared" si="1"/>
        <v>South Okanagan</v>
      </c>
    </row>
    <row r="25" spans="1:11" x14ac:dyDescent="0.3">
      <c r="A25" t="s">
        <v>5376</v>
      </c>
      <c r="B25">
        <f t="shared" si="2"/>
        <v>200007</v>
      </c>
      <c r="C25" t="s">
        <v>2929</v>
      </c>
      <c r="D25" t="s">
        <v>6534</v>
      </c>
      <c r="E25" t="s">
        <v>6489</v>
      </c>
      <c r="F25">
        <v>24</v>
      </c>
      <c r="G25" s="2" t="s">
        <v>6512</v>
      </c>
      <c r="H25" t="s">
        <v>76</v>
      </c>
      <c r="I25" s="3">
        <v>200071</v>
      </c>
      <c r="J25" t="str">
        <f t="shared" si="0"/>
        <v>Princeton Road Management Area</v>
      </c>
      <c r="K25" t="str">
        <f t="shared" si="1"/>
        <v>South Okanagan</v>
      </c>
    </row>
    <row r="26" spans="1:11" x14ac:dyDescent="0.3">
      <c r="A26" t="s">
        <v>5376</v>
      </c>
      <c r="B26">
        <f t="shared" si="2"/>
        <v>200007</v>
      </c>
      <c r="C26" t="s">
        <v>2929</v>
      </c>
      <c r="D26" t="s">
        <v>6534</v>
      </c>
      <c r="E26" t="s">
        <v>6490</v>
      </c>
      <c r="F26">
        <v>25</v>
      </c>
      <c r="G26" s="2" t="s">
        <v>6512</v>
      </c>
      <c r="H26" t="s">
        <v>76</v>
      </c>
      <c r="I26" s="3">
        <v>200072</v>
      </c>
      <c r="J26" t="str">
        <f t="shared" si="0"/>
        <v>Oliver/Osoyoos Rd. Mgmt. Area</v>
      </c>
      <c r="K26" t="str">
        <f t="shared" si="1"/>
        <v>South Okanagan</v>
      </c>
    </row>
    <row r="27" spans="1:11" x14ac:dyDescent="0.3">
      <c r="A27" t="s">
        <v>5376</v>
      </c>
      <c r="B27">
        <f t="shared" si="2"/>
        <v>200007</v>
      </c>
      <c r="C27" t="s">
        <v>2929</v>
      </c>
      <c r="D27" t="s">
        <v>6534</v>
      </c>
      <c r="E27" t="s">
        <v>6491</v>
      </c>
      <c r="F27">
        <v>26</v>
      </c>
      <c r="G27" s="2" t="s">
        <v>6512</v>
      </c>
      <c r="H27" t="s">
        <v>76</v>
      </c>
      <c r="I27" s="3">
        <v>200073</v>
      </c>
      <c r="J27" t="str">
        <f t="shared" si="0"/>
        <v>Peachland/Westbank Rd.Mgt.Area</v>
      </c>
      <c r="K27" t="str">
        <f t="shared" si="1"/>
        <v>South Okanagan</v>
      </c>
    </row>
    <row r="28" spans="1:11" x14ac:dyDescent="0.3">
      <c r="A28" t="s">
        <v>5376</v>
      </c>
      <c r="B28">
        <f t="shared" si="2"/>
        <v>200008</v>
      </c>
      <c r="C28" t="s">
        <v>2930</v>
      </c>
      <c r="D28" t="s">
        <v>6519</v>
      </c>
      <c r="E28" t="s">
        <v>6469</v>
      </c>
      <c r="F28">
        <v>27</v>
      </c>
      <c r="G28" s="2" t="s">
        <v>6512</v>
      </c>
      <c r="H28" t="s">
        <v>76</v>
      </c>
      <c r="I28" s="3">
        <v>200023</v>
      </c>
      <c r="J28" t="str">
        <f t="shared" si="0"/>
        <v>Castlegar And Area</v>
      </c>
      <c r="K28" t="str">
        <f t="shared" si="1"/>
        <v>Kootenay Boundary</v>
      </c>
    </row>
    <row r="29" spans="1:11" x14ac:dyDescent="0.3">
      <c r="A29" t="s">
        <v>5376</v>
      </c>
      <c r="B29">
        <f t="shared" si="2"/>
        <v>200008</v>
      </c>
      <c r="C29" t="s">
        <v>2930</v>
      </c>
      <c r="D29" t="s">
        <v>6519</v>
      </c>
      <c r="E29" t="s">
        <v>6470</v>
      </c>
      <c r="F29">
        <v>28</v>
      </c>
      <c r="G29" s="2" t="s">
        <v>6512</v>
      </c>
      <c r="H29" t="s">
        <v>76</v>
      </c>
      <c r="I29" s="3">
        <v>200024</v>
      </c>
      <c r="J29" t="str">
        <f t="shared" si="0"/>
        <v>Grand Forks And Area</v>
      </c>
      <c r="K29" t="str">
        <f t="shared" si="1"/>
        <v>Kootenay Boundary</v>
      </c>
    </row>
    <row r="30" spans="1:11" x14ac:dyDescent="0.3">
      <c r="A30" t="s">
        <v>5376</v>
      </c>
      <c r="B30">
        <f t="shared" si="2"/>
        <v>200008</v>
      </c>
      <c r="C30" t="s">
        <v>2930</v>
      </c>
      <c r="D30" t="s">
        <v>6519</v>
      </c>
      <c r="E30" t="s">
        <v>6471</v>
      </c>
      <c r="F30">
        <v>29</v>
      </c>
      <c r="G30" s="2" t="s">
        <v>6512</v>
      </c>
      <c r="H30" t="s">
        <v>76</v>
      </c>
      <c r="I30" s="3">
        <v>200025</v>
      </c>
      <c r="J30" t="str">
        <f t="shared" si="0"/>
        <v>Rock Creek And Area</v>
      </c>
      <c r="K30" t="str">
        <f t="shared" si="1"/>
        <v>Kootenay Boundary</v>
      </c>
    </row>
    <row r="31" spans="1:11" x14ac:dyDescent="0.3">
      <c r="A31" t="s">
        <v>5376</v>
      </c>
      <c r="B31">
        <f t="shared" si="2"/>
        <v>200008</v>
      </c>
      <c r="C31" t="s">
        <v>2930</v>
      </c>
      <c r="D31" t="s">
        <v>6519</v>
      </c>
      <c r="E31" t="s">
        <v>6472</v>
      </c>
      <c r="F31">
        <v>30</v>
      </c>
      <c r="G31" s="2" t="s">
        <v>6512</v>
      </c>
      <c r="H31" t="s">
        <v>76</v>
      </c>
      <c r="I31" s="3">
        <v>200026</v>
      </c>
      <c r="J31" t="str">
        <f t="shared" si="0"/>
        <v>Rossland And Area</v>
      </c>
      <c r="K31" t="str">
        <f t="shared" si="1"/>
        <v>Kootenay Boundary</v>
      </c>
    </row>
    <row r="32" spans="1:11" x14ac:dyDescent="0.3">
      <c r="A32" t="s">
        <v>5376</v>
      </c>
      <c r="B32">
        <f t="shared" si="2"/>
        <v>200009</v>
      </c>
      <c r="C32" t="s">
        <v>2931</v>
      </c>
      <c r="D32" t="s">
        <v>6515</v>
      </c>
      <c r="E32" t="s">
        <v>6461</v>
      </c>
      <c r="F32">
        <v>31</v>
      </c>
      <c r="G32" s="2" t="s">
        <v>6512</v>
      </c>
      <c r="H32" t="s">
        <v>76</v>
      </c>
      <c r="I32" s="3">
        <v>200010</v>
      </c>
      <c r="J32" t="str">
        <f t="shared" si="0"/>
        <v>Central Koot., New Denver</v>
      </c>
      <c r="K32" t="str">
        <f t="shared" si="1"/>
        <v>Central Kootenay</v>
      </c>
    </row>
    <row r="33" spans="1:11" x14ac:dyDescent="0.3">
      <c r="A33" t="s">
        <v>5376</v>
      </c>
      <c r="B33">
        <f t="shared" si="2"/>
        <v>200009</v>
      </c>
      <c r="C33" t="s">
        <v>2931</v>
      </c>
      <c r="D33" t="s">
        <v>6515</v>
      </c>
      <c r="E33" t="s">
        <v>6462</v>
      </c>
      <c r="F33">
        <v>32</v>
      </c>
      <c r="G33" s="2" t="s">
        <v>6512</v>
      </c>
      <c r="H33" t="s">
        <v>76</v>
      </c>
      <c r="I33" s="3">
        <v>200011</v>
      </c>
      <c r="J33" t="str">
        <f t="shared" si="0"/>
        <v>Central Koot., Nakusp</v>
      </c>
      <c r="K33" t="str">
        <f t="shared" si="1"/>
        <v>Central Kootenay</v>
      </c>
    </row>
    <row r="34" spans="1:11" x14ac:dyDescent="0.3">
      <c r="A34" t="s">
        <v>5376</v>
      </c>
      <c r="B34">
        <f t="shared" si="2"/>
        <v>200009</v>
      </c>
      <c r="C34" t="s">
        <v>2931</v>
      </c>
      <c r="D34" t="s">
        <v>6515</v>
      </c>
      <c r="E34" t="s">
        <v>5346</v>
      </c>
      <c r="F34">
        <v>33</v>
      </c>
      <c r="G34" s="2" t="s">
        <v>6512</v>
      </c>
      <c r="H34" t="s">
        <v>76</v>
      </c>
      <c r="I34" s="3">
        <v>200012</v>
      </c>
      <c r="J34" t="str">
        <f t="shared" ref="J34:J65" si="3">E34</f>
        <v>Creston</v>
      </c>
      <c r="K34" t="str">
        <f t="shared" ref="K34:K65" si="4">C34</f>
        <v>Central Kootenay</v>
      </c>
    </row>
    <row r="35" spans="1:11" x14ac:dyDescent="0.3">
      <c r="A35" t="s">
        <v>5376</v>
      </c>
      <c r="B35">
        <f t="shared" si="2"/>
        <v>200009</v>
      </c>
      <c r="C35" t="s">
        <v>2931</v>
      </c>
      <c r="D35" t="s">
        <v>6515</v>
      </c>
      <c r="E35" t="s">
        <v>6463</v>
      </c>
      <c r="F35">
        <v>34</v>
      </c>
      <c r="G35" s="2" t="s">
        <v>6512</v>
      </c>
      <c r="H35" t="s">
        <v>76</v>
      </c>
      <c r="I35" s="3">
        <v>200013</v>
      </c>
      <c r="J35" t="str">
        <f t="shared" si="3"/>
        <v>Central Kootenay Nelson</v>
      </c>
      <c r="K35" t="str">
        <f t="shared" si="4"/>
        <v>Central Kootenay</v>
      </c>
    </row>
    <row r="36" spans="1:11" x14ac:dyDescent="0.3">
      <c r="A36" t="s">
        <v>5376</v>
      </c>
      <c r="B36">
        <f t="shared" si="2"/>
        <v>200009</v>
      </c>
      <c r="C36" t="s">
        <v>2931</v>
      </c>
      <c r="D36" t="s">
        <v>6515</v>
      </c>
      <c r="E36" t="s">
        <v>6464</v>
      </c>
      <c r="F36">
        <v>35</v>
      </c>
      <c r="G36" s="2" t="s">
        <v>6512</v>
      </c>
      <c r="H36" t="s">
        <v>76</v>
      </c>
      <c r="I36" s="3">
        <v>200014</v>
      </c>
      <c r="J36" t="str">
        <f t="shared" si="3"/>
        <v>Out Of District</v>
      </c>
      <c r="K36" t="str">
        <f t="shared" si="4"/>
        <v>Central Kootenay</v>
      </c>
    </row>
    <row r="37" spans="1:11" x14ac:dyDescent="0.3">
      <c r="A37" t="s">
        <v>5376</v>
      </c>
      <c r="B37">
        <f t="shared" si="2"/>
        <v>200009</v>
      </c>
      <c r="C37" t="s">
        <v>2931</v>
      </c>
      <c r="D37" t="s">
        <v>6515</v>
      </c>
      <c r="E37" t="s">
        <v>6465</v>
      </c>
      <c r="F37">
        <v>36</v>
      </c>
      <c r="G37" s="2" t="s">
        <v>6512</v>
      </c>
      <c r="H37" t="s">
        <v>76</v>
      </c>
      <c r="I37" s="3">
        <v>200015</v>
      </c>
      <c r="J37" t="str">
        <f t="shared" si="3"/>
        <v>Central Kootenay Salmo</v>
      </c>
      <c r="K37" t="str">
        <f t="shared" si="4"/>
        <v>Central Kootenay</v>
      </c>
    </row>
    <row r="38" spans="1:11" x14ac:dyDescent="0.3">
      <c r="A38" t="s">
        <v>5376</v>
      </c>
      <c r="B38">
        <f t="shared" si="2"/>
        <v>200010</v>
      </c>
      <c r="C38" t="s">
        <v>13</v>
      </c>
      <c r="D38" t="s">
        <v>6516</v>
      </c>
      <c r="E38" t="s">
        <v>3578</v>
      </c>
      <c r="F38">
        <v>37</v>
      </c>
      <c r="G38" s="2" t="s">
        <v>6512</v>
      </c>
      <c r="H38" t="s">
        <v>76</v>
      </c>
      <c r="I38" s="3">
        <v>200016</v>
      </c>
      <c r="J38" t="str">
        <f t="shared" si="3"/>
        <v>Cranbrook</v>
      </c>
      <c r="K38" t="str">
        <f t="shared" si="4"/>
        <v>East Kootenay</v>
      </c>
    </row>
    <row r="39" spans="1:11" x14ac:dyDescent="0.3">
      <c r="A39" t="s">
        <v>5376</v>
      </c>
      <c r="B39">
        <f t="shared" si="2"/>
        <v>200010</v>
      </c>
      <c r="C39" t="s">
        <v>13</v>
      </c>
      <c r="D39" t="s">
        <v>6516</v>
      </c>
      <c r="E39" t="s">
        <v>6466</v>
      </c>
      <c r="F39">
        <v>38</v>
      </c>
      <c r="G39" s="2" t="s">
        <v>6512</v>
      </c>
      <c r="H39" t="s">
        <v>76</v>
      </c>
      <c r="I39" s="3">
        <v>200017</v>
      </c>
      <c r="J39" t="str">
        <f t="shared" si="3"/>
        <v>Fernie/Sparwood</v>
      </c>
      <c r="K39" t="str">
        <f t="shared" si="4"/>
        <v>East Kootenay</v>
      </c>
    </row>
    <row r="40" spans="1:11" x14ac:dyDescent="0.3">
      <c r="A40" t="s">
        <v>5376</v>
      </c>
      <c r="B40">
        <f t="shared" si="2"/>
        <v>200010</v>
      </c>
      <c r="C40" t="s">
        <v>13</v>
      </c>
      <c r="D40" t="s">
        <v>6516</v>
      </c>
      <c r="E40" t="s">
        <v>4486</v>
      </c>
      <c r="F40">
        <v>39</v>
      </c>
      <c r="G40" s="2" t="s">
        <v>6512</v>
      </c>
      <c r="H40" t="s">
        <v>76</v>
      </c>
      <c r="I40" s="3">
        <v>200018</v>
      </c>
      <c r="J40" t="str">
        <f t="shared" si="3"/>
        <v>Invermere</v>
      </c>
      <c r="K40" t="str">
        <f t="shared" si="4"/>
        <v>East Kootenay</v>
      </c>
    </row>
    <row r="41" spans="1:11" x14ac:dyDescent="0.3">
      <c r="A41" t="s">
        <v>5376</v>
      </c>
      <c r="B41">
        <f t="shared" si="2"/>
        <v>200011</v>
      </c>
      <c r="C41" t="s">
        <v>2932</v>
      </c>
      <c r="D41" t="s">
        <v>6530</v>
      </c>
      <c r="E41" t="s">
        <v>5359</v>
      </c>
      <c r="F41">
        <v>40</v>
      </c>
      <c r="G41" s="2" t="s">
        <v>6512</v>
      </c>
      <c r="H41" t="s">
        <v>76</v>
      </c>
      <c r="I41" s="3">
        <v>200056</v>
      </c>
      <c r="J41" t="str">
        <f t="shared" si="3"/>
        <v>Revelstoke</v>
      </c>
      <c r="K41" t="str">
        <f t="shared" si="4"/>
        <v>Selkirk</v>
      </c>
    </row>
    <row r="42" spans="1:11" x14ac:dyDescent="0.3">
      <c r="A42" t="s">
        <v>5376</v>
      </c>
      <c r="B42">
        <f t="shared" si="2"/>
        <v>200011</v>
      </c>
      <c r="C42" t="s">
        <v>2932</v>
      </c>
      <c r="D42" t="s">
        <v>6530</v>
      </c>
      <c r="E42" t="s">
        <v>5231</v>
      </c>
      <c r="F42">
        <v>41</v>
      </c>
      <c r="G42" s="2" t="s">
        <v>6512</v>
      </c>
      <c r="H42" t="s">
        <v>76</v>
      </c>
      <c r="I42" s="3">
        <v>200057</v>
      </c>
      <c r="J42" t="str">
        <f t="shared" si="3"/>
        <v>Golden</v>
      </c>
      <c r="K42" t="str">
        <f t="shared" si="4"/>
        <v>Selkirk</v>
      </c>
    </row>
    <row r="43" spans="1:11" x14ac:dyDescent="0.3">
      <c r="A43" t="s">
        <v>5376</v>
      </c>
      <c r="B43">
        <f t="shared" si="2"/>
        <v>200012</v>
      </c>
      <c r="C43" t="s">
        <v>2933</v>
      </c>
      <c r="D43" t="s">
        <v>6528</v>
      </c>
      <c r="E43" t="s">
        <v>6478</v>
      </c>
      <c r="F43">
        <v>42</v>
      </c>
      <c r="G43" s="2" t="s">
        <v>6512</v>
      </c>
      <c r="H43" t="s">
        <v>76</v>
      </c>
      <c r="I43" s="3">
        <v>200046</v>
      </c>
      <c r="J43" t="str">
        <f t="shared" si="3"/>
        <v>Chase/Celista</v>
      </c>
      <c r="K43" t="str">
        <f t="shared" si="4"/>
        <v>Okanagan - Shuswap</v>
      </c>
    </row>
    <row r="44" spans="1:11" x14ac:dyDescent="0.3">
      <c r="A44" t="s">
        <v>5376</v>
      </c>
      <c r="B44">
        <f t="shared" si="2"/>
        <v>200012</v>
      </c>
      <c r="C44" t="s">
        <v>2933</v>
      </c>
      <c r="D44" t="s">
        <v>6528</v>
      </c>
      <c r="E44" t="s">
        <v>5348</v>
      </c>
      <c r="F44">
        <v>43</v>
      </c>
      <c r="G44" s="2" t="s">
        <v>6512</v>
      </c>
      <c r="H44" t="s">
        <v>76</v>
      </c>
      <c r="I44" s="3">
        <v>200047</v>
      </c>
      <c r="J44" t="str">
        <f t="shared" si="3"/>
        <v>Enderby</v>
      </c>
      <c r="K44" t="str">
        <f t="shared" si="4"/>
        <v>Okanagan - Shuswap</v>
      </c>
    </row>
    <row r="45" spans="1:11" x14ac:dyDescent="0.3">
      <c r="A45" t="s">
        <v>5376</v>
      </c>
      <c r="B45">
        <f t="shared" si="2"/>
        <v>200012</v>
      </c>
      <c r="C45" t="s">
        <v>2933</v>
      </c>
      <c r="D45" t="s">
        <v>6528</v>
      </c>
      <c r="E45" t="s">
        <v>5349</v>
      </c>
      <c r="F45">
        <v>44</v>
      </c>
      <c r="G45" s="2" t="s">
        <v>6512</v>
      </c>
      <c r="H45" t="s">
        <v>76</v>
      </c>
      <c r="I45" s="3">
        <v>200048</v>
      </c>
      <c r="J45" t="str">
        <f t="shared" si="3"/>
        <v>Falkland</v>
      </c>
      <c r="K45" t="str">
        <f t="shared" si="4"/>
        <v>Okanagan - Shuswap</v>
      </c>
    </row>
    <row r="46" spans="1:11" x14ac:dyDescent="0.3">
      <c r="A46" t="s">
        <v>5376</v>
      </c>
      <c r="B46">
        <f t="shared" si="2"/>
        <v>200012</v>
      </c>
      <c r="C46" t="s">
        <v>2933</v>
      </c>
      <c r="D46" t="s">
        <v>6528</v>
      </c>
      <c r="E46" t="s">
        <v>6479</v>
      </c>
      <c r="F46">
        <v>45</v>
      </c>
      <c r="G46" s="2" t="s">
        <v>6512</v>
      </c>
      <c r="H46" t="s">
        <v>76</v>
      </c>
      <c r="I46" s="3">
        <v>200049</v>
      </c>
      <c r="J46" t="str">
        <f t="shared" si="3"/>
        <v>Lumby/Cherryville</v>
      </c>
      <c r="K46" t="str">
        <f t="shared" si="4"/>
        <v>Okanagan - Shuswap</v>
      </c>
    </row>
    <row r="47" spans="1:11" x14ac:dyDescent="0.3">
      <c r="A47" t="s">
        <v>5376</v>
      </c>
      <c r="B47">
        <f t="shared" si="2"/>
        <v>200012</v>
      </c>
      <c r="C47" t="s">
        <v>2933</v>
      </c>
      <c r="D47" t="s">
        <v>6528</v>
      </c>
      <c r="E47" t="s">
        <v>24</v>
      </c>
      <c r="F47">
        <v>46</v>
      </c>
      <c r="G47" s="2" t="s">
        <v>6512</v>
      </c>
      <c r="H47" t="s">
        <v>76</v>
      </c>
      <c r="I47" s="3">
        <v>200050</v>
      </c>
      <c r="J47" t="str">
        <f t="shared" si="3"/>
        <v>Salmon Arm</v>
      </c>
      <c r="K47" t="str">
        <f t="shared" si="4"/>
        <v>Okanagan - Shuswap</v>
      </c>
    </row>
    <row r="48" spans="1:11" x14ac:dyDescent="0.3">
      <c r="A48" t="s">
        <v>5376</v>
      </c>
      <c r="B48">
        <f t="shared" si="2"/>
        <v>200012</v>
      </c>
      <c r="C48" t="s">
        <v>2933</v>
      </c>
      <c r="D48" t="s">
        <v>6528</v>
      </c>
      <c r="E48" t="s">
        <v>4332</v>
      </c>
      <c r="F48">
        <v>47</v>
      </c>
      <c r="G48" s="2" t="s">
        <v>6512</v>
      </c>
      <c r="H48" t="s">
        <v>76</v>
      </c>
      <c r="I48" s="3">
        <v>200051</v>
      </c>
      <c r="J48" t="str">
        <f t="shared" si="3"/>
        <v>Sicamous</v>
      </c>
      <c r="K48" t="str">
        <f t="shared" si="4"/>
        <v>Okanagan - Shuswap</v>
      </c>
    </row>
    <row r="49" spans="1:11" x14ac:dyDescent="0.3">
      <c r="A49" t="s">
        <v>5376</v>
      </c>
      <c r="B49">
        <f t="shared" si="2"/>
        <v>200012</v>
      </c>
      <c r="C49" t="s">
        <v>2933</v>
      </c>
      <c r="D49" t="s">
        <v>6528</v>
      </c>
      <c r="E49" t="s">
        <v>48</v>
      </c>
      <c r="F49">
        <v>48</v>
      </c>
      <c r="G49" s="2" t="s">
        <v>6512</v>
      </c>
      <c r="H49" t="s">
        <v>76</v>
      </c>
      <c r="I49" s="3">
        <v>200052</v>
      </c>
      <c r="J49" t="str">
        <f t="shared" si="3"/>
        <v>Vernon</v>
      </c>
      <c r="K49" t="str">
        <f t="shared" si="4"/>
        <v>Okanagan - Shuswap</v>
      </c>
    </row>
    <row r="50" spans="1:11" x14ac:dyDescent="0.3">
      <c r="A50" t="s">
        <v>5376</v>
      </c>
      <c r="B50">
        <f t="shared" si="2"/>
        <v>200013</v>
      </c>
      <c r="C50" t="s">
        <v>2934</v>
      </c>
      <c r="D50" t="s">
        <v>6523</v>
      </c>
      <c r="E50" t="s">
        <v>5355</v>
      </c>
      <c r="F50">
        <v>49</v>
      </c>
      <c r="G50" s="2" t="s">
        <v>6512</v>
      </c>
      <c r="H50" t="s">
        <v>76</v>
      </c>
      <c r="I50" s="3">
        <v>200034</v>
      </c>
      <c r="J50" t="str">
        <f t="shared" si="3"/>
        <v>Merritt</v>
      </c>
      <c r="K50" t="str">
        <f t="shared" si="4"/>
        <v>Nicola</v>
      </c>
    </row>
    <row r="51" spans="1:11" x14ac:dyDescent="0.3">
      <c r="A51" t="s">
        <v>5376</v>
      </c>
      <c r="B51">
        <f t="shared" si="2"/>
        <v>200014</v>
      </c>
      <c r="C51" t="s">
        <v>2935</v>
      </c>
      <c r="D51" t="s">
        <v>6538</v>
      </c>
      <c r="E51" t="s">
        <v>5341</v>
      </c>
      <c r="F51">
        <v>50</v>
      </c>
      <c r="G51" s="2" t="s">
        <v>6512</v>
      </c>
      <c r="H51" t="s">
        <v>76</v>
      </c>
      <c r="I51" s="3">
        <v>200082</v>
      </c>
      <c r="J51" t="str">
        <f t="shared" si="3"/>
        <v>Barriere</v>
      </c>
      <c r="K51" t="str">
        <f t="shared" si="4"/>
        <v>Thompson</v>
      </c>
    </row>
    <row r="52" spans="1:11" x14ac:dyDescent="0.3">
      <c r="A52" t="s">
        <v>5376</v>
      </c>
      <c r="B52">
        <f t="shared" si="2"/>
        <v>200014</v>
      </c>
      <c r="C52" t="s">
        <v>2935</v>
      </c>
      <c r="D52" t="s">
        <v>6538</v>
      </c>
      <c r="E52" t="s">
        <v>3689</v>
      </c>
      <c r="F52">
        <v>51</v>
      </c>
      <c r="G52" s="2" t="s">
        <v>6512</v>
      </c>
      <c r="H52" t="s">
        <v>76</v>
      </c>
      <c r="I52" s="3">
        <v>200083</v>
      </c>
      <c r="J52" t="str">
        <f t="shared" si="3"/>
        <v>Clearwater</v>
      </c>
      <c r="K52" t="str">
        <f t="shared" si="4"/>
        <v>Thompson</v>
      </c>
    </row>
    <row r="53" spans="1:11" x14ac:dyDescent="0.3">
      <c r="A53" t="s">
        <v>5376</v>
      </c>
      <c r="B53">
        <f t="shared" si="2"/>
        <v>200014</v>
      </c>
      <c r="C53" t="s">
        <v>2935</v>
      </c>
      <c r="D53" t="s">
        <v>6538</v>
      </c>
      <c r="E53" t="s">
        <v>6493</v>
      </c>
      <c r="F53">
        <v>52</v>
      </c>
      <c r="G53" s="2" t="s">
        <v>6512</v>
      </c>
      <c r="H53" t="s">
        <v>76</v>
      </c>
      <c r="I53" s="3">
        <v>200084</v>
      </c>
      <c r="J53" t="str">
        <f t="shared" si="3"/>
        <v>Kamloops &amp; Savona</v>
      </c>
      <c r="K53" t="str">
        <f t="shared" si="4"/>
        <v>Thompson</v>
      </c>
    </row>
    <row r="54" spans="1:11" x14ac:dyDescent="0.3">
      <c r="A54" t="s">
        <v>5376</v>
      </c>
      <c r="B54">
        <f t="shared" si="2"/>
        <v>200015</v>
      </c>
      <c r="C54" t="s">
        <v>2936</v>
      </c>
      <c r="D54" t="s">
        <v>6532</v>
      </c>
      <c r="E54" t="s">
        <v>6483</v>
      </c>
      <c r="F54">
        <v>53</v>
      </c>
      <c r="G54" s="2" t="s">
        <v>6512</v>
      </c>
      <c r="H54" t="s">
        <v>76</v>
      </c>
      <c r="I54" s="3">
        <v>200060</v>
      </c>
      <c r="J54" t="str">
        <f t="shared" si="3"/>
        <v>100 Mile-Clinton</v>
      </c>
      <c r="K54" t="str">
        <f t="shared" si="4"/>
        <v>South Cariboo</v>
      </c>
    </row>
    <row r="55" spans="1:11" x14ac:dyDescent="0.3">
      <c r="A55" t="s">
        <v>5376</v>
      </c>
      <c r="B55">
        <f t="shared" si="2"/>
        <v>200015</v>
      </c>
      <c r="C55" t="s">
        <v>2936</v>
      </c>
      <c r="D55" t="s">
        <v>6532</v>
      </c>
      <c r="E55" t="s">
        <v>6484</v>
      </c>
      <c r="F55">
        <v>54</v>
      </c>
      <c r="G55" s="2" t="s">
        <v>6512</v>
      </c>
      <c r="H55" t="s">
        <v>76</v>
      </c>
      <c r="I55" s="3">
        <v>200061</v>
      </c>
      <c r="J55" t="str">
        <f t="shared" si="3"/>
        <v>Lillooet-Goldbridge</v>
      </c>
      <c r="K55" t="str">
        <f t="shared" si="4"/>
        <v>South Cariboo</v>
      </c>
    </row>
    <row r="56" spans="1:11" x14ac:dyDescent="0.3">
      <c r="A56" t="s">
        <v>5376</v>
      </c>
      <c r="B56">
        <f t="shared" si="2"/>
        <v>200015</v>
      </c>
      <c r="C56" t="s">
        <v>2936</v>
      </c>
      <c r="D56" t="s">
        <v>6532</v>
      </c>
      <c r="E56" t="s">
        <v>6485</v>
      </c>
      <c r="F56">
        <v>55</v>
      </c>
      <c r="G56" s="2" t="s">
        <v>6512</v>
      </c>
      <c r="H56" t="s">
        <v>76</v>
      </c>
      <c r="I56" s="3">
        <v>200062</v>
      </c>
      <c r="J56" t="str">
        <f t="shared" si="3"/>
        <v>20 Mile-Spences Bridge</v>
      </c>
      <c r="K56" t="str">
        <f t="shared" si="4"/>
        <v>South Cariboo</v>
      </c>
    </row>
    <row r="57" spans="1:11" x14ac:dyDescent="0.3">
      <c r="A57" t="s">
        <v>5376</v>
      </c>
      <c r="B57">
        <f t="shared" si="2"/>
        <v>200015</v>
      </c>
      <c r="C57" t="s">
        <v>2936</v>
      </c>
      <c r="D57" t="s">
        <v>6532</v>
      </c>
      <c r="E57" t="s">
        <v>5342</v>
      </c>
      <c r="F57">
        <v>56</v>
      </c>
      <c r="G57" s="2" t="s">
        <v>6512</v>
      </c>
      <c r="H57" t="s">
        <v>76</v>
      </c>
      <c r="I57" s="3">
        <v>200063</v>
      </c>
      <c r="J57" t="str">
        <f t="shared" si="3"/>
        <v>Bridge Lake</v>
      </c>
      <c r="K57" t="str">
        <f t="shared" si="4"/>
        <v>South Cariboo</v>
      </c>
    </row>
    <row r="58" spans="1:11" x14ac:dyDescent="0.3">
      <c r="A58" t="s">
        <v>5376</v>
      </c>
      <c r="B58">
        <f t="shared" si="2"/>
        <v>200016</v>
      </c>
      <c r="C58" t="s">
        <v>2937</v>
      </c>
      <c r="D58" t="s">
        <v>6513</v>
      </c>
      <c r="E58" t="s">
        <v>2955</v>
      </c>
      <c r="F58">
        <v>57</v>
      </c>
      <c r="G58" s="2" t="s">
        <v>6512</v>
      </c>
      <c r="H58" t="s">
        <v>76</v>
      </c>
      <c r="I58" s="3">
        <v>200003</v>
      </c>
      <c r="J58" t="str">
        <f t="shared" si="3"/>
        <v>Cariboo</v>
      </c>
      <c r="K58" t="str">
        <f t="shared" si="4"/>
        <v>Central Cariboo</v>
      </c>
    </row>
    <row r="59" spans="1:11" x14ac:dyDescent="0.3">
      <c r="A59" t="s">
        <v>5376</v>
      </c>
      <c r="B59">
        <f t="shared" si="2"/>
        <v>200016</v>
      </c>
      <c r="C59" t="s">
        <v>2937</v>
      </c>
      <c r="D59" t="s">
        <v>6513</v>
      </c>
      <c r="E59" t="s">
        <v>6457</v>
      </c>
      <c r="F59">
        <v>58</v>
      </c>
      <c r="G59" s="2" t="s">
        <v>6512</v>
      </c>
      <c r="H59" t="s">
        <v>76</v>
      </c>
      <c r="I59" s="3">
        <v>200004</v>
      </c>
      <c r="J59" t="str">
        <f t="shared" si="3"/>
        <v>Chilcotin</v>
      </c>
      <c r="K59" t="str">
        <f t="shared" si="4"/>
        <v>Central Cariboo</v>
      </c>
    </row>
    <row r="60" spans="1:11" x14ac:dyDescent="0.3">
      <c r="A60" t="s">
        <v>5376</v>
      </c>
      <c r="B60">
        <f t="shared" si="2"/>
        <v>200017</v>
      </c>
      <c r="C60" t="s">
        <v>2938</v>
      </c>
      <c r="D60" t="s">
        <v>6524</v>
      </c>
      <c r="E60" t="s">
        <v>6476</v>
      </c>
      <c r="F60">
        <v>59</v>
      </c>
      <c r="G60" s="2" t="s">
        <v>6512</v>
      </c>
      <c r="H60" t="s">
        <v>76</v>
      </c>
      <c r="I60" s="3">
        <v>200035</v>
      </c>
      <c r="J60" t="str">
        <f t="shared" si="3"/>
        <v>North Cariboo District</v>
      </c>
      <c r="K60" t="str">
        <f t="shared" si="4"/>
        <v>North Cariboo</v>
      </c>
    </row>
    <row r="61" spans="1:11" x14ac:dyDescent="0.3">
      <c r="A61" t="s">
        <v>5376</v>
      </c>
      <c r="B61">
        <f t="shared" si="2"/>
        <v>200018</v>
      </c>
      <c r="C61" t="s">
        <v>2939</v>
      </c>
      <c r="D61" t="s">
        <v>6517</v>
      </c>
      <c r="E61" t="s">
        <v>15</v>
      </c>
      <c r="F61">
        <v>60</v>
      </c>
      <c r="G61" s="2" t="s">
        <v>6512</v>
      </c>
      <c r="H61" t="s">
        <v>76</v>
      </c>
      <c r="I61" s="3">
        <v>200019</v>
      </c>
      <c r="J61" t="str">
        <f t="shared" si="3"/>
        <v>Prince George</v>
      </c>
      <c r="K61" t="str">
        <f t="shared" si="4"/>
        <v>Fort George</v>
      </c>
    </row>
    <row r="62" spans="1:11" x14ac:dyDescent="0.3">
      <c r="A62" t="s">
        <v>5376</v>
      </c>
      <c r="B62">
        <f t="shared" si="2"/>
        <v>200019</v>
      </c>
      <c r="C62" t="s">
        <v>2940</v>
      </c>
      <c r="D62" t="s">
        <v>6529</v>
      </c>
      <c r="E62" t="s">
        <v>6480</v>
      </c>
      <c r="F62">
        <v>61</v>
      </c>
      <c r="G62" s="2" t="s">
        <v>6512</v>
      </c>
      <c r="H62" t="s">
        <v>76</v>
      </c>
      <c r="I62" s="3">
        <v>200053</v>
      </c>
      <c r="J62" t="str">
        <f t="shared" si="3"/>
        <v>Crescent Spur To Horsey Creek</v>
      </c>
      <c r="K62" t="str">
        <f t="shared" si="4"/>
        <v>Robson</v>
      </c>
    </row>
    <row r="63" spans="1:11" x14ac:dyDescent="0.3">
      <c r="A63" t="s">
        <v>5376</v>
      </c>
      <c r="B63">
        <f t="shared" si="2"/>
        <v>200019</v>
      </c>
      <c r="C63" t="s">
        <v>2940</v>
      </c>
      <c r="D63" t="s">
        <v>6529</v>
      </c>
      <c r="E63" t="s">
        <v>6481</v>
      </c>
      <c r="F63">
        <v>62</v>
      </c>
      <c r="G63" s="2" t="s">
        <v>6512</v>
      </c>
      <c r="H63" t="s">
        <v>76</v>
      </c>
      <c r="I63" s="3">
        <v>200054</v>
      </c>
      <c r="J63" t="str">
        <f t="shared" si="3"/>
        <v>Horsey Ck-Border S To Albreda</v>
      </c>
      <c r="K63" t="str">
        <f t="shared" si="4"/>
        <v>Robson</v>
      </c>
    </row>
    <row r="64" spans="1:11" x14ac:dyDescent="0.3">
      <c r="A64" t="s">
        <v>5376</v>
      </c>
      <c r="B64">
        <f t="shared" si="2"/>
        <v>200019</v>
      </c>
      <c r="C64" t="s">
        <v>2940</v>
      </c>
      <c r="D64" t="s">
        <v>6529</v>
      </c>
      <c r="E64" t="s">
        <v>6482</v>
      </c>
      <c r="F64">
        <v>63</v>
      </c>
      <c r="G64" s="2" t="s">
        <v>6512</v>
      </c>
      <c r="H64" t="s">
        <v>76</v>
      </c>
      <c r="I64" s="3">
        <v>200055</v>
      </c>
      <c r="J64" t="str">
        <f t="shared" si="3"/>
        <v>Albreda To Mcmurphy</v>
      </c>
      <c r="K64" t="str">
        <f t="shared" si="4"/>
        <v>Robson</v>
      </c>
    </row>
    <row r="65" spans="1:11" x14ac:dyDescent="0.3">
      <c r="A65" t="s">
        <v>5376</v>
      </c>
      <c r="B65">
        <f t="shared" si="2"/>
        <v>200020</v>
      </c>
      <c r="C65" t="s">
        <v>2941</v>
      </c>
      <c r="D65" t="s">
        <v>6535</v>
      </c>
      <c r="E65" t="s">
        <v>5131</v>
      </c>
      <c r="F65">
        <v>64</v>
      </c>
      <c r="G65" s="2" t="s">
        <v>6512</v>
      </c>
      <c r="H65" t="s">
        <v>76</v>
      </c>
      <c r="I65" s="3">
        <v>200074</v>
      </c>
      <c r="J65" t="str">
        <f t="shared" si="3"/>
        <v>Chetwynd</v>
      </c>
      <c r="K65" t="str">
        <f t="shared" si="4"/>
        <v>South Peace</v>
      </c>
    </row>
    <row r="66" spans="1:11" x14ac:dyDescent="0.3">
      <c r="A66" t="s">
        <v>5376</v>
      </c>
      <c r="B66">
        <f t="shared" si="2"/>
        <v>200020</v>
      </c>
      <c r="C66" t="s">
        <v>2941</v>
      </c>
      <c r="D66" t="s">
        <v>6535</v>
      </c>
      <c r="E66" t="s">
        <v>17</v>
      </c>
      <c r="F66">
        <v>65</v>
      </c>
      <c r="G66" s="2" t="s">
        <v>6512</v>
      </c>
      <c r="H66" t="s">
        <v>76</v>
      </c>
      <c r="I66" s="3">
        <v>200075</v>
      </c>
      <c r="J66" t="str">
        <f t="shared" ref="J66:J88" si="5">E66</f>
        <v>Dawson Creek</v>
      </c>
      <c r="K66" t="str">
        <f t="shared" ref="K66:K88" si="6">C66</f>
        <v>South Peace</v>
      </c>
    </row>
    <row r="67" spans="1:11" x14ac:dyDescent="0.3">
      <c r="A67" t="s">
        <v>5376</v>
      </c>
      <c r="B67">
        <f t="shared" ref="B67:B88" si="7">_xlfn.NUMBERVALUE(MID(D67,13,6))</f>
        <v>200020</v>
      </c>
      <c r="C67" t="s">
        <v>2941</v>
      </c>
      <c r="D67" t="s">
        <v>6535</v>
      </c>
      <c r="E67" t="s">
        <v>5361</v>
      </c>
      <c r="F67">
        <v>66</v>
      </c>
      <c r="G67" s="2" t="s">
        <v>6512</v>
      </c>
      <c r="H67" t="s">
        <v>76</v>
      </c>
      <c r="I67" s="3">
        <v>200076</v>
      </c>
      <c r="J67" t="str">
        <f t="shared" si="5"/>
        <v>Tumbler Ridge</v>
      </c>
      <c r="K67" t="str">
        <f t="shared" si="6"/>
        <v>South Peace</v>
      </c>
    </row>
    <row r="68" spans="1:11" x14ac:dyDescent="0.3">
      <c r="A68" t="s">
        <v>5376</v>
      </c>
      <c r="B68">
        <f t="shared" si="7"/>
        <v>200021</v>
      </c>
      <c r="C68" t="s">
        <v>2942</v>
      </c>
      <c r="D68" t="s">
        <v>6527</v>
      </c>
      <c r="E68" t="s">
        <v>5344</v>
      </c>
      <c r="F68">
        <v>67</v>
      </c>
      <c r="G68" s="2" t="s">
        <v>6512</v>
      </c>
      <c r="H68" t="s">
        <v>76</v>
      </c>
      <c r="I68" s="3">
        <v>200042</v>
      </c>
      <c r="J68" t="str">
        <f t="shared" si="5"/>
        <v>Clayhurst</v>
      </c>
      <c r="K68" t="str">
        <f t="shared" si="6"/>
        <v>North Peace</v>
      </c>
    </row>
    <row r="69" spans="1:11" x14ac:dyDescent="0.3">
      <c r="A69" t="s">
        <v>5376</v>
      </c>
      <c r="B69">
        <f t="shared" si="7"/>
        <v>200021</v>
      </c>
      <c r="C69" t="s">
        <v>2942</v>
      </c>
      <c r="D69" t="s">
        <v>6527</v>
      </c>
      <c r="E69" t="s">
        <v>5350</v>
      </c>
      <c r="F69">
        <v>68</v>
      </c>
      <c r="G69" s="2" t="s">
        <v>6512</v>
      </c>
      <c r="H69" t="s">
        <v>76</v>
      </c>
      <c r="I69" s="3">
        <v>200043</v>
      </c>
      <c r="J69" t="str">
        <f t="shared" si="5"/>
        <v>Fort St. John</v>
      </c>
      <c r="K69" t="str">
        <f t="shared" si="6"/>
        <v>North Peace</v>
      </c>
    </row>
    <row r="70" spans="1:11" x14ac:dyDescent="0.3">
      <c r="A70" t="s">
        <v>5376</v>
      </c>
      <c r="B70">
        <f t="shared" si="7"/>
        <v>200021</v>
      </c>
      <c r="C70" t="s">
        <v>2942</v>
      </c>
      <c r="D70" t="s">
        <v>6527</v>
      </c>
      <c r="E70" t="s">
        <v>3923</v>
      </c>
      <c r="F70">
        <v>69</v>
      </c>
      <c r="G70" s="2" t="s">
        <v>6512</v>
      </c>
      <c r="H70" t="s">
        <v>76</v>
      </c>
      <c r="I70" s="3">
        <v>200044</v>
      </c>
      <c r="J70" t="str">
        <f t="shared" si="5"/>
        <v>Fort Nelson</v>
      </c>
      <c r="K70" t="str">
        <f t="shared" si="6"/>
        <v>North Peace</v>
      </c>
    </row>
    <row r="71" spans="1:11" x14ac:dyDescent="0.3">
      <c r="A71" t="s">
        <v>5376</v>
      </c>
      <c r="B71">
        <f t="shared" si="7"/>
        <v>200021</v>
      </c>
      <c r="C71" t="s">
        <v>2942</v>
      </c>
      <c r="D71" t="s">
        <v>6527</v>
      </c>
      <c r="E71" t="s">
        <v>5357</v>
      </c>
      <c r="F71">
        <v>70</v>
      </c>
      <c r="G71" s="2" t="s">
        <v>6512</v>
      </c>
      <c r="H71" t="s">
        <v>76</v>
      </c>
      <c r="I71" s="3">
        <v>200045</v>
      </c>
      <c r="J71" t="str">
        <f t="shared" si="5"/>
        <v>Prespatou</v>
      </c>
      <c r="K71" t="str">
        <f t="shared" si="6"/>
        <v>North Peace</v>
      </c>
    </row>
    <row r="72" spans="1:11" x14ac:dyDescent="0.3">
      <c r="A72" t="s">
        <v>5376</v>
      </c>
      <c r="B72">
        <f t="shared" si="7"/>
        <v>200022</v>
      </c>
      <c r="C72" t="s">
        <v>2943</v>
      </c>
      <c r="D72" t="s">
        <v>6522</v>
      </c>
      <c r="E72" t="s">
        <v>49</v>
      </c>
      <c r="F72">
        <v>71</v>
      </c>
      <c r="G72" s="2" t="s">
        <v>6512</v>
      </c>
      <c r="H72" t="s">
        <v>76</v>
      </c>
      <c r="I72" s="3">
        <v>200032</v>
      </c>
      <c r="J72" t="str">
        <f t="shared" si="5"/>
        <v>Vanderhoof</v>
      </c>
      <c r="K72" t="str">
        <f t="shared" si="6"/>
        <v>Nechako</v>
      </c>
    </row>
    <row r="73" spans="1:11" x14ac:dyDescent="0.3">
      <c r="A73" t="s">
        <v>5376</v>
      </c>
      <c r="B73">
        <f t="shared" si="7"/>
        <v>200022</v>
      </c>
      <c r="C73" t="s">
        <v>2943</v>
      </c>
      <c r="D73" t="s">
        <v>6522</v>
      </c>
      <c r="E73" t="s">
        <v>5757</v>
      </c>
      <c r="F73">
        <v>72</v>
      </c>
      <c r="G73" s="2" t="s">
        <v>6512</v>
      </c>
      <c r="H73" t="s">
        <v>76</v>
      </c>
      <c r="I73" s="3">
        <v>200033</v>
      </c>
      <c r="J73" t="str">
        <f t="shared" si="5"/>
        <v>Fort St James</v>
      </c>
      <c r="K73" t="str">
        <f t="shared" si="6"/>
        <v>Nechako</v>
      </c>
    </row>
    <row r="74" spans="1:11" x14ac:dyDescent="0.3">
      <c r="A74" t="s">
        <v>5376</v>
      </c>
      <c r="B74">
        <f t="shared" si="7"/>
        <v>200023</v>
      </c>
      <c r="C74" t="s">
        <v>2944</v>
      </c>
      <c r="D74" t="s">
        <v>6520</v>
      </c>
      <c r="E74" t="s">
        <v>4886</v>
      </c>
      <c r="F74">
        <v>73</v>
      </c>
      <c r="G74" s="2" t="s">
        <v>6512</v>
      </c>
      <c r="H74" t="s">
        <v>76</v>
      </c>
      <c r="I74" s="3">
        <v>200027</v>
      </c>
      <c r="J74" t="str">
        <f t="shared" si="5"/>
        <v>Burns Lake</v>
      </c>
      <c r="K74" t="str">
        <f t="shared" si="6"/>
        <v>Lakes</v>
      </c>
    </row>
    <row r="75" spans="1:11" x14ac:dyDescent="0.3">
      <c r="A75" t="s">
        <v>5376</v>
      </c>
      <c r="B75">
        <f t="shared" si="7"/>
        <v>200023</v>
      </c>
      <c r="C75" t="s">
        <v>2944</v>
      </c>
      <c r="D75" t="s">
        <v>6520</v>
      </c>
      <c r="E75" t="s">
        <v>4422</v>
      </c>
      <c r="F75">
        <v>74</v>
      </c>
      <c r="G75" s="2" t="s">
        <v>6512</v>
      </c>
      <c r="H75" t="s">
        <v>76</v>
      </c>
      <c r="I75" s="3">
        <v>200028</v>
      </c>
      <c r="J75" t="str">
        <f t="shared" si="5"/>
        <v>Houston</v>
      </c>
      <c r="K75" t="str">
        <f t="shared" si="6"/>
        <v>Lakes</v>
      </c>
    </row>
    <row r="76" spans="1:11" x14ac:dyDescent="0.3">
      <c r="A76" t="s">
        <v>5376</v>
      </c>
      <c r="B76">
        <f t="shared" si="7"/>
        <v>200024</v>
      </c>
      <c r="C76" t="s">
        <v>2945</v>
      </c>
      <c r="D76" t="s">
        <v>6511</v>
      </c>
      <c r="E76" t="s">
        <v>6454</v>
      </c>
      <c r="F76">
        <v>75</v>
      </c>
      <c r="G76" s="2" t="s">
        <v>6512</v>
      </c>
      <c r="H76" t="s">
        <v>76</v>
      </c>
      <c r="I76" s="3">
        <v>200000</v>
      </c>
      <c r="J76" t="str">
        <f t="shared" si="5"/>
        <v>Smithers/Telkwa</v>
      </c>
      <c r="K76" t="str">
        <f t="shared" si="6"/>
        <v>Bulkley - Nass</v>
      </c>
    </row>
    <row r="77" spans="1:11" x14ac:dyDescent="0.3">
      <c r="A77" t="s">
        <v>5376</v>
      </c>
      <c r="B77">
        <f t="shared" si="7"/>
        <v>200024</v>
      </c>
      <c r="C77" t="s">
        <v>2945</v>
      </c>
      <c r="D77" t="s">
        <v>6511</v>
      </c>
      <c r="E77" t="s">
        <v>6455</v>
      </c>
      <c r="F77">
        <v>76</v>
      </c>
      <c r="G77" s="2" t="s">
        <v>6512</v>
      </c>
      <c r="H77" t="s">
        <v>76</v>
      </c>
      <c r="I77" s="3">
        <v>200001</v>
      </c>
      <c r="J77" t="str">
        <f t="shared" si="5"/>
        <v>Hazelton/Kitwanga</v>
      </c>
      <c r="K77" t="str">
        <f t="shared" si="6"/>
        <v>Bulkley - Nass</v>
      </c>
    </row>
    <row r="78" spans="1:11" x14ac:dyDescent="0.3">
      <c r="A78" t="s">
        <v>5376</v>
      </c>
      <c r="B78">
        <f t="shared" si="7"/>
        <v>200024</v>
      </c>
      <c r="C78" t="s">
        <v>2945</v>
      </c>
      <c r="D78" t="s">
        <v>6511</v>
      </c>
      <c r="E78" t="s">
        <v>6456</v>
      </c>
      <c r="F78">
        <v>77</v>
      </c>
      <c r="G78" s="2" t="s">
        <v>6512</v>
      </c>
      <c r="H78" t="s">
        <v>76</v>
      </c>
      <c r="I78" s="3">
        <v>200002</v>
      </c>
      <c r="J78" t="str">
        <f t="shared" si="5"/>
        <v>Stewart/Meziadin</v>
      </c>
      <c r="K78" t="str">
        <f t="shared" si="6"/>
        <v>Bulkley - Nass</v>
      </c>
    </row>
    <row r="79" spans="1:11" x14ac:dyDescent="0.3">
      <c r="A79" t="s">
        <v>5376</v>
      </c>
      <c r="B79">
        <f t="shared" si="7"/>
        <v>200025</v>
      </c>
      <c r="C79" t="s">
        <v>2946</v>
      </c>
      <c r="D79" t="s">
        <v>6531</v>
      </c>
      <c r="E79" t="s">
        <v>5353</v>
      </c>
      <c r="F79">
        <v>78</v>
      </c>
      <c r="G79" s="2" t="s">
        <v>6512</v>
      </c>
      <c r="H79" t="s">
        <v>76</v>
      </c>
      <c r="I79" s="3">
        <v>200058</v>
      </c>
      <c r="J79" t="str">
        <f t="shared" si="5"/>
        <v>Kitimat</v>
      </c>
      <c r="K79" t="str">
        <f t="shared" si="6"/>
        <v>Skeena</v>
      </c>
    </row>
    <row r="80" spans="1:11" x14ac:dyDescent="0.3">
      <c r="A80" t="s">
        <v>5376</v>
      </c>
      <c r="B80">
        <f t="shared" si="7"/>
        <v>200025</v>
      </c>
      <c r="C80" t="s">
        <v>2946</v>
      </c>
      <c r="D80" t="s">
        <v>6531</v>
      </c>
      <c r="E80" t="s">
        <v>4251</v>
      </c>
      <c r="F80">
        <v>79</v>
      </c>
      <c r="G80" s="2" t="s">
        <v>6512</v>
      </c>
      <c r="H80" t="s">
        <v>76</v>
      </c>
      <c r="I80" s="3">
        <v>200059</v>
      </c>
      <c r="J80" t="str">
        <f t="shared" si="5"/>
        <v>Terrace</v>
      </c>
      <c r="K80" t="str">
        <f t="shared" si="6"/>
        <v>Skeena</v>
      </c>
    </row>
    <row r="81" spans="1:11" x14ac:dyDescent="0.3">
      <c r="A81" t="s">
        <v>5376</v>
      </c>
      <c r="B81">
        <f t="shared" si="7"/>
        <v>200026</v>
      </c>
      <c r="C81" t="s">
        <v>2947</v>
      </c>
      <c r="D81" t="s">
        <v>6525</v>
      </c>
      <c r="E81" t="s">
        <v>5358</v>
      </c>
      <c r="F81">
        <v>80</v>
      </c>
      <c r="G81" s="2" t="s">
        <v>6512</v>
      </c>
      <c r="H81" t="s">
        <v>76</v>
      </c>
      <c r="I81" s="3">
        <v>200036</v>
      </c>
      <c r="J81" t="str">
        <f t="shared" si="5"/>
        <v>Prince Rupert</v>
      </c>
      <c r="K81" t="str">
        <f t="shared" si="6"/>
        <v>North Coast</v>
      </c>
    </row>
    <row r="82" spans="1:11" x14ac:dyDescent="0.3">
      <c r="A82" t="s">
        <v>5376</v>
      </c>
      <c r="B82">
        <f t="shared" si="7"/>
        <v>200026</v>
      </c>
      <c r="C82" t="s">
        <v>2947</v>
      </c>
      <c r="D82" t="s">
        <v>6525</v>
      </c>
      <c r="E82" t="s">
        <v>6477</v>
      </c>
      <c r="F82">
        <v>81</v>
      </c>
      <c r="G82" s="2" t="s">
        <v>6512</v>
      </c>
      <c r="H82" t="s">
        <v>76</v>
      </c>
      <c r="I82" s="3">
        <v>200037</v>
      </c>
      <c r="J82" t="str">
        <f t="shared" si="5"/>
        <v>Queen Charlotte Islands</v>
      </c>
      <c r="K82" t="str">
        <f t="shared" si="6"/>
        <v>North Coast</v>
      </c>
    </row>
    <row r="83" spans="1:11" x14ac:dyDescent="0.3">
      <c r="A83" t="s">
        <v>5376</v>
      </c>
      <c r="B83">
        <f t="shared" si="7"/>
        <v>200027</v>
      </c>
      <c r="C83" t="s">
        <v>2948</v>
      </c>
      <c r="D83" t="s">
        <v>6536</v>
      </c>
      <c r="E83" t="s">
        <v>3705</v>
      </c>
      <c r="F83">
        <v>82</v>
      </c>
      <c r="G83" s="2" t="s">
        <v>6512</v>
      </c>
      <c r="H83" t="s">
        <v>76</v>
      </c>
      <c r="I83" s="3">
        <v>200077</v>
      </c>
      <c r="J83" t="str">
        <f t="shared" si="5"/>
        <v>Atlin</v>
      </c>
      <c r="K83" t="str">
        <f t="shared" si="6"/>
        <v>Stikine</v>
      </c>
    </row>
    <row r="84" spans="1:11" x14ac:dyDescent="0.3">
      <c r="A84" t="s">
        <v>5376</v>
      </c>
      <c r="B84">
        <f t="shared" si="7"/>
        <v>200027</v>
      </c>
      <c r="C84" t="s">
        <v>2948</v>
      </c>
      <c r="D84" t="s">
        <v>6536</v>
      </c>
      <c r="E84" t="s">
        <v>6492</v>
      </c>
      <c r="F84">
        <v>83</v>
      </c>
      <c r="G84" s="2" t="s">
        <v>6512</v>
      </c>
      <c r="H84" t="s">
        <v>76</v>
      </c>
      <c r="I84" s="3">
        <v>200078</v>
      </c>
      <c r="J84" t="str">
        <f t="shared" si="5"/>
        <v>Iskut &amp; Bob Quinn</v>
      </c>
      <c r="K84" t="str">
        <f t="shared" si="6"/>
        <v>Stikine</v>
      </c>
    </row>
    <row r="85" spans="1:11" x14ac:dyDescent="0.3">
      <c r="A85" t="s">
        <v>5376</v>
      </c>
      <c r="B85">
        <f t="shared" si="7"/>
        <v>200027</v>
      </c>
      <c r="C85" t="s">
        <v>2948</v>
      </c>
      <c r="D85" t="s">
        <v>6536</v>
      </c>
      <c r="E85" t="s">
        <v>5347</v>
      </c>
      <c r="F85">
        <v>84</v>
      </c>
      <c r="G85" s="2" t="s">
        <v>6512</v>
      </c>
      <c r="H85" t="s">
        <v>76</v>
      </c>
      <c r="I85" s="3">
        <v>200079</v>
      </c>
      <c r="J85" t="str">
        <f t="shared" si="5"/>
        <v>Dease Lake</v>
      </c>
      <c r="K85" t="str">
        <f t="shared" si="6"/>
        <v>Stikine</v>
      </c>
    </row>
    <row r="86" spans="1:11" x14ac:dyDescent="0.3">
      <c r="A86" t="s">
        <v>5376</v>
      </c>
      <c r="B86">
        <f t="shared" si="7"/>
        <v>200027</v>
      </c>
      <c r="C86" t="s">
        <v>2948</v>
      </c>
      <c r="D86" t="s">
        <v>6536</v>
      </c>
      <c r="E86" t="s">
        <v>5360</v>
      </c>
      <c r="F86">
        <v>85</v>
      </c>
      <c r="G86" s="2" t="s">
        <v>6512</v>
      </c>
      <c r="H86" t="s">
        <v>76</v>
      </c>
      <c r="I86" s="3">
        <v>200080</v>
      </c>
      <c r="J86" t="str">
        <f t="shared" si="5"/>
        <v>Telegraph Creek</v>
      </c>
      <c r="K86" t="str">
        <f t="shared" si="6"/>
        <v>Stikine</v>
      </c>
    </row>
    <row r="87" spans="1:11" x14ac:dyDescent="0.3">
      <c r="A87" t="s">
        <v>5376</v>
      </c>
      <c r="B87">
        <f t="shared" si="7"/>
        <v>200028</v>
      </c>
      <c r="C87" t="s">
        <v>2949</v>
      </c>
      <c r="D87" t="s">
        <v>6539</v>
      </c>
      <c r="E87" t="s">
        <v>2949</v>
      </c>
      <c r="F87">
        <v>86</v>
      </c>
      <c r="G87" s="2" t="s">
        <v>6512</v>
      </c>
      <c r="H87" t="s">
        <v>76</v>
      </c>
      <c r="I87" s="3">
        <v>200085</v>
      </c>
      <c r="J87" t="str">
        <f t="shared" si="5"/>
        <v>NON-BC</v>
      </c>
      <c r="K87" t="str">
        <f t="shared" si="6"/>
        <v>NON-BC</v>
      </c>
    </row>
    <row r="88" spans="1:11" x14ac:dyDescent="0.3">
      <c r="A88" t="s">
        <v>5376</v>
      </c>
      <c r="B88">
        <f t="shared" si="7"/>
        <v>200029</v>
      </c>
      <c r="C88" t="s">
        <v>2950</v>
      </c>
      <c r="D88" t="s">
        <v>6540</v>
      </c>
      <c r="E88" t="s">
        <v>2950</v>
      </c>
      <c r="F88">
        <v>87</v>
      </c>
      <c r="G88" s="2" t="s">
        <v>6512</v>
      </c>
      <c r="H88" t="s">
        <v>76</v>
      </c>
      <c r="I88" s="3">
        <v>200086</v>
      </c>
      <c r="J88" t="str">
        <f t="shared" si="5"/>
        <v>Unknown</v>
      </c>
      <c r="K88" t="str">
        <f t="shared" si="6"/>
        <v>Unknown</v>
      </c>
    </row>
  </sheetData>
  <sortState ref="A2:K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2017-03-29T15:08:43Z</dcterms:modified>
</cp:coreProperties>
</file>