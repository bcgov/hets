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1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3" i="48"/>
  <c r="J4" i="48"/>
  <c r="J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2" i="48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2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F180" i="27" s="1"/>
  <c r="J180" i="27" s="1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62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104" i="27"/>
  <c r="G96" i="27"/>
  <c r="G88" i="27"/>
  <c r="G80" i="27"/>
  <c r="G72" i="27"/>
  <c r="G64" i="27"/>
  <c r="G40" i="27"/>
  <c r="G32" i="27"/>
  <c r="G16" i="27"/>
  <c r="G176" i="27"/>
  <c r="G9" i="27"/>
  <c r="G94" i="27"/>
  <c r="G46" i="27"/>
  <c r="G139" i="27"/>
  <c r="G131" i="27"/>
  <c r="G123" i="27"/>
  <c r="G115" i="27"/>
  <c r="G107" i="27"/>
  <c r="G99" i="27"/>
  <c r="G91" i="27"/>
  <c r="G83" i="27"/>
  <c r="G75" i="27"/>
  <c r="G43" i="27"/>
  <c r="G19" i="27"/>
  <c r="G173" i="27"/>
  <c r="G117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39" i="27" l="1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I4" i="43"/>
  <c r="Q2" i="2"/>
  <c r="L194" i="27" l="1"/>
  <c r="M193" i="27"/>
  <c r="D115" i="51"/>
  <c r="I5" i="43"/>
  <c r="L195" i="27" l="1"/>
  <c r="M194" i="27"/>
  <c r="D116" i="51"/>
  <c r="I6" i="43"/>
  <c r="L196" i="27" l="1"/>
  <c r="M195" i="27"/>
  <c r="D117" i="51"/>
  <c r="I7" i="43"/>
  <c r="L197" i="27" l="1"/>
  <c r="M196" i="27"/>
  <c r="D118" i="51"/>
  <c r="I8" i="43"/>
  <c r="L198" i="27" l="1"/>
  <c r="M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D2" i="48"/>
  <c r="D3" i="48" l="1"/>
  <c r="D4" i="48"/>
  <c r="D124" i="51"/>
  <c r="I14" i="43"/>
  <c r="L11" i="46"/>
  <c r="L10" i="46"/>
  <c r="L9" i="46"/>
  <c r="L8" i="46"/>
  <c r="L7" i="46"/>
  <c r="L6" i="46"/>
  <c r="L5" i="46"/>
  <c r="L4" i="46"/>
  <c r="L3" i="46"/>
  <c r="L2" i="46"/>
  <c r="E4" i="42"/>
  <c r="E5" i="42"/>
  <c r="E2" i="42"/>
  <c r="E3" i="42"/>
  <c r="E1" i="42"/>
  <c r="D5" i="48" l="1"/>
  <c r="D125" i="51"/>
  <c r="I15" i="43"/>
  <c r="G3" i="48"/>
  <c r="D6" i="48" l="1"/>
  <c r="D126" i="51"/>
  <c r="I16" i="43"/>
  <c r="G2" i="48"/>
  <c r="G4" i="48"/>
  <c r="G7" i="48" l="1"/>
  <c r="G5" i="48"/>
  <c r="G6" i="48"/>
  <c r="D7" i="48"/>
  <c r="D127" i="51"/>
  <c r="I17" i="43"/>
  <c r="D8" i="48" l="1"/>
  <c r="D128" i="51"/>
  <c r="I18" i="43"/>
  <c r="D9" i="48" l="1"/>
  <c r="G8" i="48"/>
  <c r="D129" i="51"/>
  <c r="I19" i="43"/>
  <c r="J16" i="2"/>
  <c r="J15" i="2"/>
  <c r="J12" i="2"/>
  <c r="J11" i="2"/>
  <c r="J8" i="2"/>
  <c r="J7" i="2"/>
  <c r="J4" i="2"/>
  <c r="J3" i="2"/>
  <c r="C3" i="2"/>
  <c r="D10" i="48" l="1"/>
  <c r="G9" i="48"/>
  <c r="D130" i="51"/>
  <c r="I20" i="43"/>
  <c r="C4" i="2"/>
  <c r="J5" i="2"/>
  <c r="J9" i="2"/>
  <c r="J13" i="2"/>
  <c r="J6" i="2"/>
  <c r="J10" i="2"/>
  <c r="J14" i="2"/>
  <c r="D11" i="48" l="1"/>
  <c r="G10" i="48"/>
  <c r="D131" i="51"/>
  <c r="I21" i="43"/>
  <c r="C5" i="2"/>
  <c r="D12" i="48" l="1"/>
  <c r="G11" i="48"/>
  <c r="D132" i="51"/>
  <c r="I22" i="43"/>
  <c r="C6" i="2"/>
  <c r="D13" i="48" l="1"/>
  <c r="G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I24" i="43"/>
  <c r="C8" i="2"/>
  <c r="A3" i="9"/>
  <c r="D15" i="48" l="1"/>
  <c r="G14" i="48"/>
  <c r="D135" i="51"/>
  <c r="I25" i="43"/>
  <c r="C9" i="2"/>
  <c r="A4" i="9"/>
  <c r="A5" i="9" s="1"/>
  <c r="G15" i="48" l="1"/>
  <c r="D16" i="48"/>
  <c r="D136" i="51"/>
  <c r="I26" i="43"/>
  <c r="C10" i="2"/>
  <c r="A6" i="9"/>
  <c r="D17" i="48" l="1"/>
  <c r="G16" i="48"/>
  <c r="D137" i="51"/>
  <c r="I27" i="43"/>
  <c r="C11" i="2"/>
  <c r="A7" i="9"/>
  <c r="D18" i="48" l="1"/>
  <c r="G17" i="48"/>
  <c r="D138" i="51"/>
  <c r="I28" i="43"/>
  <c r="C12" i="2"/>
  <c r="A8" i="9"/>
  <c r="D19" i="48" l="1"/>
  <c r="G18" i="48"/>
  <c r="D139" i="51"/>
  <c r="I29" i="43"/>
  <c r="C13" i="2"/>
  <c r="A9" i="9"/>
  <c r="G19" i="48" l="1"/>
  <c r="D20" i="48"/>
  <c r="I30" i="43"/>
  <c r="C14" i="2"/>
  <c r="A10" i="9"/>
  <c r="G20" i="48" l="1"/>
  <c r="D21" i="48"/>
  <c r="I31" i="43"/>
  <c r="C15" i="2"/>
  <c r="A11" i="9"/>
  <c r="D22" i="48" l="1"/>
  <c r="G21" i="48"/>
  <c r="I32" i="43"/>
  <c r="C16" i="2"/>
  <c r="A12" i="9"/>
  <c r="G22" i="48" l="1"/>
  <c r="D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I35" i="43"/>
  <c r="G25" i="48" l="1"/>
  <c r="D26" i="48"/>
  <c r="C20" i="2"/>
  <c r="D27" i="48" l="1"/>
  <c r="G26" i="48"/>
  <c r="C21" i="2"/>
  <c r="I36" i="43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I37" i="43"/>
  <c r="G31" i="48" l="1"/>
  <c r="D32" i="48"/>
  <c r="C26" i="2"/>
  <c r="D33" i="48" l="1"/>
  <c r="G32" i="48"/>
  <c r="C27" i="2"/>
  <c r="I38" i="43"/>
  <c r="D34" i="48" l="1"/>
  <c r="G33" i="48"/>
  <c r="C28" i="2"/>
  <c r="G34" i="48" l="1"/>
  <c r="D35" i="48"/>
  <c r="C29" i="2"/>
  <c r="I39" i="43"/>
  <c r="D36" i="48" l="1"/>
  <c r="G35" i="48"/>
  <c r="C30" i="2"/>
  <c r="I40" i="43"/>
  <c r="D37" i="48" l="1"/>
  <c r="G36" i="48"/>
  <c r="C31" i="2"/>
  <c r="G37" i="48" l="1"/>
  <c r="D38" i="48"/>
  <c r="C32" i="2"/>
  <c r="I41" i="43"/>
  <c r="G38" i="48" l="1"/>
  <c r="D39" i="48"/>
  <c r="C33" i="2"/>
  <c r="G39" i="48" l="1"/>
  <c r="D40" i="48"/>
  <c r="C34" i="2"/>
  <c r="G40" i="48" l="1"/>
  <c r="D41" i="48"/>
  <c r="C35" i="2"/>
  <c r="I42" i="43"/>
  <c r="D42" i="48" l="1"/>
  <c r="G41" i="48"/>
  <c r="C36" i="2"/>
  <c r="D43" i="48" l="1"/>
  <c r="G42" i="48"/>
  <c r="C37" i="2"/>
  <c r="G43" i="48" l="1"/>
  <c r="D44" i="48"/>
  <c r="C38" i="2"/>
  <c r="I43" i="43"/>
  <c r="G44" i="48" l="1"/>
  <c r="D45" i="48"/>
  <c r="C39" i="2"/>
  <c r="D46" i="48" l="1"/>
  <c r="G45" i="48"/>
  <c r="C40" i="2"/>
  <c r="D47" i="48" l="1"/>
  <c r="G46" i="48"/>
  <c r="C41" i="2"/>
  <c r="I44" i="43"/>
  <c r="G47" i="48" l="1"/>
  <c r="D48" i="48"/>
  <c r="C42" i="2"/>
  <c r="I45" i="43"/>
  <c r="D49" i="48" l="1"/>
  <c r="G48" i="48"/>
  <c r="C43" i="2"/>
  <c r="I46" i="43"/>
  <c r="G49" i="48" l="1"/>
  <c r="D50" i="48"/>
  <c r="C44" i="2"/>
  <c r="I47" i="43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I48" i="43"/>
  <c r="D55" i="48" l="1"/>
  <c r="G54" i="48"/>
  <c r="C49" i="2"/>
  <c r="I49" i="43"/>
  <c r="D56" i="48" l="1"/>
  <c r="G55" i="48"/>
  <c r="C50" i="2"/>
  <c r="G56" i="48" l="1"/>
  <c r="D57" i="48"/>
  <c r="C51" i="2"/>
  <c r="I50" i="43"/>
  <c r="G57" i="48" l="1"/>
  <c r="D58" i="48"/>
  <c r="C52" i="2"/>
  <c r="D59" i="48" l="1"/>
  <c r="G58" i="48"/>
  <c r="C53" i="2"/>
  <c r="I51" i="43"/>
  <c r="D60" i="48" l="1"/>
  <c r="G59" i="48"/>
  <c r="C54" i="2"/>
  <c r="G60" i="48" l="1"/>
  <c r="D61" i="48"/>
  <c r="C55" i="2"/>
  <c r="D62" i="48" l="1"/>
  <c r="G61" i="48"/>
  <c r="C56" i="2"/>
  <c r="I52" i="43"/>
  <c r="D63" i="48" l="1"/>
  <c r="G62" i="48"/>
  <c r="C57" i="2"/>
  <c r="I53" i="43"/>
  <c r="D64" i="48" l="1"/>
  <c r="G63" i="48"/>
  <c r="C58" i="2"/>
  <c r="G64" i="48" l="1"/>
  <c r="D65" i="48"/>
  <c r="C59" i="2"/>
  <c r="I54" i="43"/>
  <c r="G65" i="48" l="1"/>
  <c r="D66" i="48"/>
  <c r="C60" i="2"/>
  <c r="G66" i="48" l="1"/>
  <c r="D67" i="48"/>
  <c r="C61" i="2"/>
  <c r="I55" i="43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I56" i="43"/>
  <c r="D72" i="48" l="1"/>
  <c r="G71" i="48"/>
  <c r="C66" i="2"/>
  <c r="I57" i="43"/>
  <c r="G72" i="48" l="1"/>
  <c r="D73" i="48"/>
  <c r="C67" i="2"/>
  <c r="I58" i="43"/>
  <c r="G73" i="48" l="1"/>
  <c r="D74" i="48"/>
  <c r="C68" i="2"/>
  <c r="D75" i="48" l="1"/>
  <c r="G74" i="48"/>
  <c r="C69" i="2"/>
  <c r="D76" i="48" l="1"/>
  <c r="G75" i="48"/>
  <c r="C70" i="2"/>
  <c r="I59" i="43"/>
  <c r="G76" i="48" l="1"/>
  <c r="D77" i="48"/>
  <c r="C71" i="2"/>
  <c r="I60" i="43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<sst xmlns="http://schemas.openxmlformats.org/spreadsheetml/2006/main" count="21345" uniqueCount="7893">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</sst>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7773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2012-12-27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15092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732105</v>
      </c>
      <c r="Q2" t="str">
        <f ca="1">TEXT(TODAY()+RANDBETWEEN(-10,350),"YYYY-MM-DD")</f>
        <v>2017-09-10</v>
      </c>
      <c r="R2" t="str">
        <f ca="1">TEXT(TODAY()+RANDBETWEEN(-10,350),"YYYY-MM-DD")</f>
        <v>2017-04-08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2007-03-16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14159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732157</v>
      </c>
      <c r="Q3" t="str">
        <f t="shared" ref="Q3:R66" ca="1" si="11">TEXT(TODAY()+RANDBETWEEN(-10,350),"YYYY-MM-DD")</f>
        <v>2017-11-04</v>
      </c>
      <c r="R3" t="str">
        <f t="shared" ca="1" si="11"/>
        <v>2018-03-03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2010-03-19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14549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732131</v>
      </c>
      <c r="Q4" t="str">
        <f t="shared" ca="1" si="11"/>
        <v>2017-03-18</v>
      </c>
      <c r="R4" t="str">
        <f t="shared" ca="1" si="11"/>
        <v>2018-02-07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2013-12-15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15458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732045</v>
      </c>
      <c r="Q5" t="str">
        <f t="shared" ca="1" si="11"/>
        <v>2017-08-16</v>
      </c>
      <c r="R5" t="str">
        <f t="shared" ca="1" si="11"/>
        <v>2017-10-17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2006-03-30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11111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732048</v>
      </c>
      <c r="Q6" t="str">
        <f t="shared" ca="1" si="11"/>
        <v>2017-03-28</v>
      </c>
      <c r="R6" t="str">
        <f t="shared" ca="1" si="11"/>
        <v>2017-07-30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2007-01-12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13892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732062</v>
      </c>
      <c r="Q7" t="str">
        <f t="shared" ca="1" si="11"/>
        <v>2017-12-15</v>
      </c>
      <c r="R7" t="str">
        <f t="shared" ca="1" si="11"/>
        <v>2017-05-18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2009-09-07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11547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732075</v>
      </c>
      <c r="Q8" t="str">
        <f t="shared" ca="1" si="11"/>
        <v>2018-02-21</v>
      </c>
      <c r="R8" t="str">
        <f t="shared" ca="1" si="11"/>
        <v>2018-02-01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2005-12-05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15458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732101</v>
      </c>
      <c r="Q9" t="str">
        <f t="shared" ca="1" si="11"/>
        <v>2017-05-19</v>
      </c>
      <c r="R9" t="str">
        <f t="shared" ca="1" si="11"/>
        <v>2018-01-26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2013-12-05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14885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732047</v>
      </c>
      <c r="Q10" t="str">
        <f t="shared" ca="1" si="11"/>
        <v>2018-03-05</v>
      </c>
      <c r="R10" t="str">
        <f t="shared" ca="1" si="11"/>
        <v>2017-05-10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2005-09-23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10483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732000</v>
      </c>
      <c r="Q11" t="str">
        <f t="shared" ca="1" si="11"/>
        <v>2017-06-09</v>
      </c>
      <c r="R11" t="str">
        <f t="shared" ca="1" si="11"/>
        <v>2018-02-24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2014-08-04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18075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732110</v>
      </c>
      <c r="Q12" t="str">
        <f t="shared" ca="1" si="11"/>
        <v>2017-05-19</v>
      </c>
      <c r="R12" t="str">
        <f t="shared" ca="1" si="11"/>
        <v>2017-11-24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2004-03-04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11520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732160</v>
      </c>
      <c r="Q13" t="str">
        <f t="shared" ca="1" si="11"/>
        <v>2017-07-31</v>
      </c>
      <c r="R13" t="str">
        <f ca="1">TEXT(TODAY()+RANDBETWEEN(-10,350),"YYYY-MM-DD")</f>
        <v>2017-03-22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2016-10-06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2004-10-30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18292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732120</v>
      </c>
      <c r="Q14" t="str">
        <f t="shared" ca="1" si="11"/>
        <v>2017-10-08</v>
      </c>
      <c r="R14" t="str">
        <f t="shared" ca="1" si="11"/>
        <v>2017-10-10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2011-08-27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10650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732045</v>
      </c>
      <c r="Q15" t="str">
        <f t="shared" ca="1" si="11"/>
        <v>2017-10-06</v>
      </c>
      <c r="R15" t="str">
        <f t="shared" ca="1" si="11"/>
        <v>2017-04-13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2008-08-07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16543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732169</v>
      </c>
      <c r="Q16" t="str">
        <f t="shared" ca="1" si="11"/>
        <v>2017-07-26</v>
      </c>
      <c r="R16" t="str">
        <f t="shared" ca="1" si="11"/>
        <v>2017-09-12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2006-02-17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10960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732132</v>
      </c>
      <c r="Q17" t="str">
        <f t="shared" ca="1" si="11"/>
        <v>2017-08-21</v>
      </c>
      <c r="R17" t="str">
        <f t="shared" ca="1" si="11"/>
        <v>2017-09-10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2015-10-05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17353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732096</v>
      </c>
      <c r="Q18" t="str">
        <f t="shared" ca="1" si="11"/>
        <v>2018-01-15</v>
      </c>
      <c r="R18" t="str">
        <f t="shared" ca="1" si="11"/>
        <v>2017-11-21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2015-03-21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7620</v>
      </c>
      <c r="M19">
        <f t="shared" ca="1" si="7"/>
        <v>12739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732011</v>
      </c>
      <c r="Q19" t="str">
        <f t="shared" ca="1" si="11"/>
        <v>2017-07-07</v>
      </c>
      <c r="R19" t="str">
        <f t="shared" ca="1" si="11"/>
        <v>2017-03-22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2006-11-18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15839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732030</v>
      </c>
      <c r="Q20" t="str">
        <f t="shared" ca="1" si="11"/>
        <v>2017-05-28</v>
      </c>
      <c r="R20" t="str">
        <f t="shared" ca="1" si="11"/>
        <v>2017-10-07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2009-02-01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19685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732024</v>
      </c>
      <c r="Q21" t="str">
        <f t="shared" ca="1" si="11"/>
        <v>2018-02-25</v>
      </c>
      <c r="R21" t="str">
        <f t="shared" ca="1" si="11"/>
        <v>2017-06-16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2004-01-12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15617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732067</v>
      </c>
      <c r="Q22" t="str">
        <f t="shared" ca="1" si="11"/>
        <v>2017-12-03</v>
      </c>
      <c r="R22" t="str">
        <f t="shared" ca="1" si="11"/>
        <v>2018-02-21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2011-10-31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12474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732156</v>
      </c>
      <c r="Q23" t="str">
        <f t="shared" ca="1" si="11"/>
        <v>2017-07-02</v>
      </c>
      <c r="R23" t="str">
        <f t="shared" ca="1" si="11"/>
        <v>2017-09-16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2015-03-07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17027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732061</v>
      </c>
      <c r="Q24" t="str">
        <f t="shared" ca="1" si="11"/>
        <v>2017-03-20</v>
      </c>
      <c r="R24" t="str">
        <f t="shared" ca="1" si="11"/>
        <v>2017-10-31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2012-08-03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13201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732133</v>
      </c>
      <c r="Q25" t="str">
        <f t="shared" ca="1" si="11"/>
        <v>2017-03-31</v>
      </c>
      <c r="R25" t="str">
        <f t="shared" ca="1" si="11"/>
        <v>2017-05-25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2004-12-23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15170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732063</v>
      </c>
      <c r="Q26" t="str">
        <f t="shared" ca="1" si="11"/>
        <v>2017-05-20</v>
      </c>
      <c r="R26" t="str">
        <f t="shared" ca="1" si="11"/>
        <v>2017-04-29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2011-07-04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19435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732094</v>
      </c>
      <c r="Q27" t="str">
        <f t="shared" ca="1" si="11"/>
        <v>2017-07-01</v>
      </c>
      <c r="R27" t="str">
        <f t="shared" ca="1" si="11"/>
        <v>2018-02-15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2009-04-06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15169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732159</v>
      </c>
      <c r="Q28" t="str">
        <f t="shared" ca="1" si="11"/>
        <v>2017-08-18</v>
      </c>
      <c r="R28" t="str">
        <f t="shared" ca="1" si="11"/>
        <v>2017-08-03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2011-03-04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13179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732031</v>
      </c>
      <c r="Q29" t="str">
        <f t="shared" ca="1" si="11"/>
        <v>2017-04-07</v>
      </c>
      <c r="R29" t="str">
        <f t="shared" ca="1" si="11"/>
        <v>2017-09-22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2009-12-13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15236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732058</v>
      </c>
      <c r="Q30" t="str">
        <f t="shared" ca="1" si="11"/>
        <v>2017-07-26</v>
      </c>
      <c r="R30" t="str">
        <f t="shared" ca="1" si="11"/>
        <v>2017-12-30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2009-05-29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19737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732101</v>
      </c>
      <c r="Q31" t="str">
        <f t="shared" ca="1" si="11"/>
        <v>2018-01-05</v>
      </c>
      <c r="R31" t="str">
        <f t="shared" ca="1" si="11"/>
        <v>2017-04-06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2007-07-05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11772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732112</v>
      </c>
      <c r="Q32" t="str">
        <f t="shared" ca="1" si="11"/>
        <v>2017-03-12</v>
      </c>
      <c r="R32" t="str">
        <f t="shared" ca="1" si="11"/>
        <v>2017-09-04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2010-09-03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16591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732047</v>
      </c>
      <c r="Q33" t="str">
        <f t="shared" ca="1" si="11"/>
        <v>2018-01-09</v>
      </c>
      <c r="R33" t="str">
        <f t="shared" ca="1" si="11"/>
        <v>2017-11-27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2008-09-17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10213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732112</v>
      </c>
      <c r="Q34" t="str">
        <f t="shared" ca="1" si="11"/>
        <v>2017-11-08</v>
      </c>
      <c r="R34" t="str">
        <f t="shared" ca="1" si="11"/>
        <v>2017-11-11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2005-03-01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19502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732077</v>
      </c>
      <c r="Q35" t="str">
        <f t="shared" ca="1" si="11"/>
        <v>2017-11-26</v>
      </c>
      <c r="R35" t="str">
        <f t="shared" ca="1" si="11"/>
        <v>2017-08-01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2014-08-10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18832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732137</v>
      </c>
      <c r="Q36" t="str">
        <f t="shared" ca="1" si="11"/>
        <v>2017-03-15</v>
      </c>
      <c r="R36" t="str">
        <f t="shared" ca="1" si="11"/>
        <v>2017-07-10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2006-05-06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15364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732155</v>
      </c>
      <c r="Q37" t="str">
        <f t="shared" ca="1" si="11"/>
        <v>2017-08-18</v>
      </c>
      <c r="R37" t="str">
        <f t="shared" ca="1" si="11"/>
        <v>2017-09-03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2013-12-07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14705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732178</v>
      </c>
      <c r="Q38" t="str">
        <f t="shared" ca="1" si="11"/>
        <v>2017-12-31</v>
      </c>
      <c r="R38" t="str">
        <f t="shared" ca="1" si="11"/>
        <v>2018-01-24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2009-03-10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14931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732066</v>
      </c>
      <c r="Q39" t="str">
        <f t="shared" ca="1" si="11"/>
        <v>2017-09-06</v>
      </c>
      <c r="R39" t="str">
        <f t="shared" ca="1" si="11"/>
        <v>2017-03-19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2010-04-02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18392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732039</v>
      </c>
      <c r="Q40" t="str">
        <f t="shared" ca="1" si="11"/>
        <v>2018-01-22</v>
      </c>
      <c r="R40" t="str">
        <f t="shared" ca="1" si="11"/>
        <v>2018-02-26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2007-10-06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11709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732032</v>
      </c>
      <c r="Q41" t="str">
        <f t="shared" ca="1" si="11"/>
        <v>2017-04-28</v>
      </c>
      <c r="R41" t="str">
        <f t="shared" ca="1" si="11"/>
        <v>2017-06-12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2012-07-30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18717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732116</v>
      </c>
      <c r="Q42" t="str">
        <f t="shared" ca="1" si="11"/>
        <v>2018-01-22</v>
      </c>
      <c r="R42" t="str">
        <f t="shared" ca="1" si="11"/>
        <v>2017-11-27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2006-02-10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19481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732139</v>
      </c>
      <c r="Q43" t="str">
        <f t="shared" ca="1" si="11"/>
        <v>2017-10-07</v>
      </c>
      <c r="R43" t="str">
        <f t="shared" ca="1" si="11"/>
        <v>2017-09-20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2008-04-03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13531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732021</v>
      </c>
      <c r="Q44" t="str">
        <f t="shared" ca="1" si="11"/>
        <v>2018-01-24</v>
      </c>
      <c r="R44" t="str">
        <f t="shared" ca="1" si="11"/>
        <v>2017-07-02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2011-11-21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18340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732088</v>
      </c>
      <c r="Q45" t="str">
        <f t="shared" ca="1" si="11"/>
        <v>2018-02-07</v>
      </c>
      <c r="R45" t="str">
        <f t="shared" ca="1" si="11"/>
        <v>2017-07-18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2003-11-03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12545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732035</v>
      </c>
      <c r="Q46" t="str">
        <f t="shared" ca="1" si="11"/>
        <v>2017-04-30</v>
      </c>
      <c r="R46" t="str">
        <f t="shared" ca="1" si="11"/>
        <v>2017-07-20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2004-05-19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11836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732196</v>
      </c>
      <c r="Q47" t="str">
        <f t="shared" ca="1" si="11"/>
        <v>2017-10-01</v>
      </c>
      <c r="R47" t="str">
        <f t="shared" ca="1" si="11"/>
        <v>2017-05-11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2004-12-02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10813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732187</v>
      </c>
      <c r="Q48" t="str">
        <f t="shared" ca="1" si="11"/>
        <v>2017-04-06</v>
      </c>
      <c r="R48" t="str">
        <f t="shared" ca="1" si="11"/>
        <v>2018-02-12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2011-12-10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16816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732152</v>
      </c>
      <c r="Q49" t="str">
        <f t="shared" ca="1" si="11"/>
        <v>2017-08-10</v>
      </c>
      <c r="R49" t="str">
        <f t="shared" ca="1" si="11"/>
        <v>2018-02-09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2008-04-04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12589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732117</v>
      </c>
      <c r="Q50" t="str">
        <f t="shared" ca="1" si="11"/>
        <v>2017-10-13</v>
      </c>
      <c r="R50" t="str">
        <f t="shared" ca="1" si="11"/>
        <v>2017-09-09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2016-06-05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13624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732171</v>
      </c>
      <c r="Q51" t="str">
        <f t="shared" ca="1" si="11"/>
        <v>2017-07-08</v>
      </c>
      <c r="R51" t="str">
        <f t="shared" ca="1" si="11"/>
        <v>2017-11-07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2014-01-02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10652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732130</v>
      </c>
      <c r="Q52" t="str">
        <f t="shared" ca="1" si="11"/>
        <v>2018-01-11</v>
      </c>
      <c r="R52" t="str">
        <f t="shared" ca="1" si="11"/>
        <v>2018-01-09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2014-03-22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16800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732108</v>
      </c>
      <c r="Q53" t="str">
        <f t="shared" ca="1" si="11"/>
        <v>2017-10-06</v>
      </c>
      <c r="R53" t="str">
        <f t="shared" ca="1" si="11"/>
        <v>2018-01-15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2011-04-03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13492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732063</v>
      </c>
      <c r="Q54" t="str">
        <f t="shared" ca="1" si="11"/>
        <v>2017-11-07</v>
      </c>
      <c r="R54" t="str">
        <f t="shared" ca="1" si="11"/>
        <v>2017-12-18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2010-01-30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10678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732054</v>
      </c>
      <c r="Q55" t="str">
        <f t="shared" ca="1" si="11"/>
        <v>2017-04-12</v>
      </c>
      <c r="R55" t="str">
        <f t="shared" ca="1" si="11"/>
        <v>2017-09-26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2005-03-17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11085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732007</v>
      </c>
      <c r="Q56" t="str">
        <f t="shared" ca="1" si="11"/>
        <v>2017-04-05</v>
      </c>
      <c r="R56" t="str">
        <f t="shared" ca="1" si="11"/>
        <v>2017-11-19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2007-07-16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14889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732068</v>
      </c>
      <c r="Q57" t="str">
        <f t="shared" ca="1" si="11"/>
        <v>2017-09-14</v>
      </c>
      <c r="R57" t="str">
        <f t="shared" ca="1" si="11"/>
        <v>2018-01-03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2006-11-07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15562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732073</v>
      </c>
      <c r="Q58" t="str">
        <f t="shared" ca="1" si="11"/>
        <v>2017-09-04</v>
      </c>
      <c r="R58" t="str">
        <f t="shared" ca="1" si="11"/>
        <v>2017-11-15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2016-03-23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17707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732184</v>
      </c>
      <c r="Q59" t="str">
        <f t="shared" ca="1" si="11"/>
        <v>2017-04-16</v>
      </c>
      <c r="R59" t="str">
        <f t="shared" ca="1" si="11"/>
        <v>2017-12-28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2010-11-16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18725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732013</v>
      </c>
      <c r="Q60" t="str">
        <f t="shared" ca="1" si="11"/>
        <v>2017-05-05</v>
      </c>
      <c r="R60" t="str">
        <f t="shared" ca="1" si="11"/>
        <v>2017-12-09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2015-01-04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17658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732038</v>
      </c>
      <c r="Q61" t="str">
        <f t="shared" ca="1" si="11"/>
        <v>2017-05-17</v>
      </c>
      <c r="R61" t="str">
        <f t="shared" ca="1" si="11"/>
        <v>2018-01-12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2015-04-15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10112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732097</v>
      </c>
      <c r="Q62" t="str">
        <f t="shared" ca="1" si="11"/>
        <v>2017-06-24</v>
      </c>
      <c r="R62" t="str">
        <f t="shared" ca="1" si="11"/>
        <v>2017-11-23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2012-02-10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13425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732035</v>
      </c>
      <c r="Q63" t="str">
        <f t="shared" ca="1" si="11"/>
        <v>2017-08-04</v>
      </c>
      <c r="R63" t="str">
        <f t="shared" ca="1" si="11"/>
        <v>2018-03-05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2011-11-23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10983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732148</v>
      </c>
      <c r="Q64" t="str">
        <f t="shared" ca="1" si="11"/>
        <v>2017-04-23</v>
      </c>
      <c r="R64" t="str">
        <f t="shared" ca="1" si="11"/>
        <v>2017-12-02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2011-05-27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15583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732027</v>
      </c>
      <c r="Q65" t="str">
        <f t="shared" ca="1" si="11"/>
        <v>2017-11-20</v>
      </c>
      <c r="R65" t="str">
        <f t="shared" ca="1" si="11"/>
        <v>2017-06-14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2017-02-06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2012-02-18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11940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732182</v>
      </c>
      <c r="Q66" t="str">
        <f t="shared" ca="1" si="11"/>
        <v>2018-02-05</v>
      </c>
      <c r="R66" t="str">
        <f t="shared" ca="1" si="11"/>
        <v>2017-05-25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2013-01-13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12144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732141</v>
      </c>
      <c r="Q67" t="str">
        <f t="shared" ref="Q67:R109" ca="1" si="25">TEXT(TODAY()+RANDBETWEEN(-10,350),"YYYY-MM-DD")</f>
        <v>2017-06-20</v>
      </c>
      <c r="R67" t="str">
        <f t="shared" ca="1" si="25"/>
        <v>2017-06-19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2012-03-27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7619</v>
      </c>
      <c r="M68">
        <f t="shared" ca="1" si="21"/>
        <v>15563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732110</v>
      </c>
      <c r="Q68" t="str">
        <f t="shared" ca="1" si="25"/>
        <v>2017-10-29</v>
      </c>
      <c r="R68" t="str">
        <f t="shared" ca="1" si="25"/>
        <v>2018-01-28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2013-01-08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13946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732175</v>
      </c>
      <c r="Q69" t="str">
        <f t="shared" ca="1" si="25"/>
        <v>2017-05-16</v>
      </c>
      <c r="R69" t="str">
        <f t="shared" ca="1" si="25"/>
        <v>2017-10-14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2014-12-15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16239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732046</v>
      </c>
      <c r="Q70" t="str">
        <f t="shared" ca="1" si="25"/>
        <v>2017-05-11</v>
      </c>
      <c r="R70" t="str">
        <f t="shared" ca="1" si="25"/>
        <v>2017-11-06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2015-12-10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17062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732053</v>
      </c>
      <c r="Q71" t="str">
        <f t="shared" ca="1" si="25"/>
        <v>2018-01-23</v>
      </c>
      <c r="R71" t="str">
        <f t="shared" ca="1" si="25"/>
        <v>2017-10-01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2014-09-17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14977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732023</v>
      </c>
      <c r="Q72" t="str">
        <f t="shared" ca="1" si="25"/>
        <v>2018-01-05</v>
      </c>
      <c r="R72" t="str">
        <f t="shared" ca="1" si="25"/>
        <v>2017-06-08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2008-04-01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18535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732168</v>
      </c>
      <c r="Q73" t="str">
        <f t="shared" ca="1" si="25"/>
        <v>2017-11-14</v>
      </c>
      <c r="R73" t="str">
        <f t="shared" ca="1" si="25"/>
        <v>2017-04-19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2010-08-21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7618</v>
      </c>
      <c r="M74">
        <f t="shared" ca="1" si="21"/>
        <v>11227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732199</v>
      </c>
      <c r="Q74" t="str">
        <f t="shared" ca="1" si="25"/>
        <v>2017-05-15</v>
      </c>
      <c r="R74" t="str">
        <f t="shared" ca="1" si="25"/>
        <v>2017-11-25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2014-10-27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19401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732094</v>
      </c>
      <c r="Q75" t="str">
        <f t="shared" ca="1" si="25"/>
        <v>2017-04-30</v>
      </c>
      <c r="R75" t="str">
        <f t="shared" ca="1" si="25"/>
        <v>2017-11-30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2010-01-25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18085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732072</v>
      </c>
      <c r="Q76" t="str">
        <f t="shared" ca="1" si="25"/>
        <v>2018-01-13</v>
      </c>
      <c r="R76" t="str">
        <f t="shared" ca="1" si="25"/>
        <v>2018-01-02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2016-11-06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2014-02-18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7617</v>
      </c>
      <c r="M77">
        <f t="shared" ca="1" si="21"/>
        <v>17117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732033</v>
      </c>
      <c r="Q77" t="str">
        <f t="shared" ca="1" si="25"/>
        <v>2017-05-20</v>
      </c>
      <c r="R77" t="str">
        <f t="shared" ca="1" si="25"/>
        <v>2017-12-31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2008-01-26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7616</v>
      </c>
      <c r="M78">
        <f t="shared" ca="1" si="21"/>
        <v>18642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732125</v>
      </c>
      <c r="Q78" t="str">
        <f t="shared" ca="1" si="25"/>
        <v>2017-07-23</v>
      </c>
      <c r="R78" t="str">
        <f t="shared" ca="1" si="25"/>
        <v>2018-01-01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2008-02-10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16616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732153</v>
      </c>
      <c r="Q79" t="str">
        <f t="shared" ca="1" si="25"/>
        <v>2017-03-22</v>
      </c>
      <c r="R79" t="str">
        <f t="shared" ca="1" si="25"/>
        <v>2017-08-23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2015-06-27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7615</v>
      </c>
      <c r="M80">
        <f t="shared" ca="1" si="21"/>
        <v>18982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732014</v>
      </c>
      <c r="Q80" t="str">
        <f t="shared" ca="1" si="25"/>
        <v>2017-06-23</v>
      </c>
      <c r="R80" t="str">
        <f t="shared" ca="1" si="25"/>
        <v>2017-07-02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2006-10-30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7614</v>
      </c>
      <c r="L81" t="s">
        <v>6662</v>
      </c>
      <c r="M81">
        <f t="shared" ca="1" si="21"/>
        <v>16008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732036</v>
      </c>
      <c r="Q81" t="str">
        <f t="shared" ca="1" si="25"/>
        <v>2017-08-22</v>
      </c>
      <c r="R81" t="str">
        <f t="shared" ca="1" si="25"/>
        <v>2017-05-14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2004-10-12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14605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732130</v>
      </c>
      <c r="Q82" t="str">
        <f t="shared" ca="1" si="25"/>
        <v>2017-03-13</v>
      </c>
      <c r="R82" t="str">
        <f t="shared" ca="1" si="25"/>
        <v>2017-11-23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2005-12-20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7613</v>
      </c>
      <c r="M83">
        <f t="shared" ca="1" si="21"/>
        <v>19999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732033</v>
      </c>
      <c r="Q83" t="str">
        <f t="shared" ca="1" si="25"/>
        <v>2017-05-12</v>
      </c>
      <c r="R83" t="str">
        <f t="shared" ca="1" si="25"/>
        <v>2018-01-23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2003-08-11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18858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732165</v>
      </c>
      <c r="Q84" t="str">
        <f t="shared" ca="1" si="25"/>
        <v>2017-05-11</v>
      </c>
      <c r="R84" t="str">
        <f t="shared" ca="1" si="25"/>
        <v>2017-07-06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2006-06-17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10209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732171</v>
      </c>
      <c r="Q85" t="str">
        <f t="shared" ca="1" si="25"/>
        <v>2017-05-01</v>
      </c>
      <c r="R85" t="str">
        <f t="shared" ca="1" si="25"/>
        <v>2017-04-28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2016-05-30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2007-07-13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15866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732160</v>
      </c>
      <c r="Q86" t="str">
        <f t="shared" ca="1" si="25"/>
        <v>2018-01-25</v>
      </c>
      <c r="R86" t="str">
        <f t="shared" ca="1" si="25"/>
        <v>2017-05-13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2010-06-08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16092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732093</v>
      </c>
      <c r="Q87" t="str">
        <f t="shared" ca="1" si="25"/>
        <v>2017-03-18</v>
      </c>
      <c r="R87" t="str">
        <f t="shared" ca="1" si="25"/>
        <v>2017-11-06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2016-12-05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2013-07-20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16251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732037</v>
      </c>
      <c r="Q88" t="str">
        <f t="shared" ca="1" si="25"/>
        <v>2017-07-08</v>
      </c>
      <c r="R88" t="str">
        <f t="shared" ca="1" si="25"/>
        <v>2018-01-27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2012-10-15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12569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732053</v>
      </c>
      <c r="Q89" t="str">
        <f t="shared" ca="1" si="25"/>
        <v>2017-09-06</v>
      </c>
      <c r="R89" t="str">
        <f t="shared" ca="1" si="25"/>
        <v>2017-08-23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2011-04-26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10934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732049</v>
      </c>
      <c r="Q90" t="str">
        <f t="shared" ca="1" si="25"/>
        <v>2017-08-27</v>
      </c>
      <c r="R90" t="str">
        <f t="shared" ca="1" si="25"/>
        <v>2017-10-23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2015-03-19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10664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732072</v>
      </c>
      <c r="Q91" t="str">
        <f t="shared" ca="1" si="25"/>
        <v>2017-05-24</v>
      </c>
      <c r="R91" t="str">
        <f t="shared" ca="1" si="25"/>
        <v>2017-04-20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2014-07-16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18272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732096</v>
      </c>
      <c r="Q92" t="str">
        <f t="shared" ca="1" si="25"/>
        <v>2017-07-03</v>
      </c>
      <c r="R92" t="str">
        <f t="shared" ca="1" si="25"/>
        <v>2017-10-01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2009-02-06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7612</v>
      </c>
      <c r="M93">
        <f t="shared" ca="1" si="21"/>
        <v>19922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732169</v>
      </c>
      <c r="Q93" t="str">
        <f t="shared" ca="1" si="25"/>
        <v>2017-08-01</v>
      </c>
      <c r="R93" t="str">
        <f t="shared" ca="1" si="25"/>
        <v>2017-10-09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2006-11-02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15955</v>
      </c>
      <c r="N94" t="str">
        <f t="shared" ca="1" si="22"/>
        <v>rg:True</v>
      </c>
      <c r="O94" t="str">
        <f t="shared" ca="1" si="23"/>
        <v>rg:True</v>
      </c>
      <c r="P94">
        <f t="shared" ca="1" si="24"/>
        <v>732137</v>
      </c>
      <c r="Q94" t="str">
        <f t="shared" ca="1" si="25"/>
        <v>2017-06-05</v>
      </c>
      <c r="R94" t="str">
        <f t="shared" ca="1" si="25"/>
        <v>2018-01-05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2008-10-21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7611</v>
      </c>
      <c r="M95">
        <f t="shared" ca="1" si="21"/>
        <v>15079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732176</v>
      </c>
      <c r="Q95" t="str">
        <f t="shared" ca="1" si="25"/>
        <v>2018-02-20</v>
      </c>
      <c r="R95" t="str">
        <f t="shared" ca="1" si="25"/>
        <v>2017-03-19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2012-08-24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15720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732180</v>
      </c>
      <c r="Q96" t="str">
        <f t="shared" ca="1" si="25"/>
        <v>2018-02-26</v>
      </c>
      <c r="R96" t="str">
        <f t="shared" ca="1" si="25"/>
        <v>2017-12-09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2012-06-13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16064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732161</v>
      </c>
      <c r="Q97" t="str">
        <f t="shared" ca="1" si="25"/>
        <v>2017-11-12</v>
      </c>
      <c r="R97" t="str">
        <f t="shared" ca="1" si="25"/>
        <v>2017-07-28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2009-11-13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11958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732176</v>
      </c>
      <c r="Q98" t="str">
        <f t="shared" ca="1" si="25"/>
        <v>2017-04-09</v>
      </c>
      <c r="R98" t="str">
        <f t="shared" ca="1" si="25"/>
        <v>2017-05-28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2011-07-21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18328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732146</v>
      </c>
      <c r="Q99" t="str">
        <f t="shared" ca="1" si="25"/>
        <v>2017-06-17</v>
      </c>
      <c r="R99" t="str">
        <f t="shared" ca="1" si="25"/>
        <v>2018-02-25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2011-03-07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11340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732092</v>
      </c>
      <c r="Q100" t="str">
        <f t="shared" ca="1" si="25"/>
        <v>2017-05-23</v>
      </c>
      <c r="R100" t="str">
        <f t="shared" ca="1" si="25"/>
        <v>2018-02-28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2009-07-27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19196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732142</v>
      </c>
      <c r="Q101" t="str">
        <f t="shared" ca="1" si="25"/>
        <v>2017-12-07</v>
      </c>
      <c r="R101" t="str">
        <f t="shared" ca="1" si="25"/>
        <v>2017-07-23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2012-10-04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17992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732067</v>
      </c>
      <c r="Q102" t="str">
        <f t="shared" ca="1" si="25"/>
        <v>2017-12-16</v>
      </c>
      <c r="R102" t="str">
        <f t="shared" ca="1" si="25"/>
        <v>2017-11-23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2016-01-12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10981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732008</v>
      </c>
      <c r="Q103" t="str">
        <f t="shared" ca="1" si="25"/>
        <v>2018-01-08</v>
      </c>
      <c r="R103" t="str">
        <f t="shared" ca="1" si="25"/>
        <v>2017-10-16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2010-09-27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7607</v>
      </c>
      <c r="M104">
        <f t="shared" ca="1" si="21"/>
        <v>16034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732152</v>
      </c>
      <c r="Q104" t="str">
        <f t="shared" ca="1" si="25"/>
        <v>2017-12-19</v>
      </c>
      <c r="R104" t="str">
        <f t="shared" ca="1" si="25"/>
        <v>2017-09-10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2015-04-03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7608</v>
      </c>
      <c r="M105">
        <f t="shared" ca="1" si="21"/>
        <v>14255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732034</v>
      </c>
      <c r="Q105" t="str">
        <f t="shared" ca="1" si="25"/>
        <v>2017-09-24</v>
      </c>
      <c r="R105" t="str">
        <f t="shared" ca="1" si="25"/>
        <v>2018-01-21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2011-03-24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7609</v>
      </c>
      <c r="M106">
        <f t="shared" ca="1" si="21"/>
        <v>11017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732003</v>
      </c>
      <c r="Q106" t="str">
        <f t="shared" ca="1" si="25"/>
        <v>2018-02-28</v>
      </c>
      <c r="R106" t="str">
        <f t="shared" ca="1" si="25"/>
        <v>2018-02-11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2014-01-12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7610</v>
      </c>
      <c r="M107">
        <f t="shared" ca="1" si="21"/>
        <v>10101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732032</v>
      </c>
      <c r="Q107" t="str">
        <f t="shared" ca="1" si="25"/>
        <v>2017-06-23</v>
      </c>
      <c r="R107" t="str">
        <f t="shared" ca="1" si="25"/>
        <v>2017-06-10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2012-09-27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12857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732197</v>
      </c>
      <c r="Q108" t="str">
        <f t="shared" ca="1" si="25"/>
        <v>2017-03-14</v>
      </c>
      <c r="R108" t="str">
        <f t="shared" ca="1" si="25"/>
        <v>2017-07-26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2003-12-15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18213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732048</v>
      </c>
      <c r="Q109" t="str">
        <f t="shared" ca="1" si="25"/>
        <v>2017-12-04</v>
      </c>
      <c r="R109" t="str">
        <f t="shared" ca="1" si="25"/>
        <v>2017-10-14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7877</v>
      </c>
      <c r="G1" t="s">
        <v>5634</v>
      </c>
      <c r="H1" t="s">
        <v>5635</v>
      </c>
      <c r="I1" t="s">
        <v>5329</v>
      </c>
      <c r="J1" t="s">
        <v>7885</v>
      </c>
      <c r="K1" t="s">
        <v>7888</v>
      </c>
      <c r="L1" t="s">
        <v>7776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VLOOKUP(VLOOKUP(E2,LocalAreas.csv!G:I,3,FALSE),ServiceAreas.csv!E:I,5,FALSE)</f>
        <v>200009</v>
      </c>
      <c r="G2" t="str">
        <f>"rg:{'id': '"&amp;E2&amp;"'}"</f>
        <v>rg:{'id': '200000'}</v>
      </c>
      <c r="H2" t="s">
        <v>7648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7062</v>
      </c>
      <c r="X2" t="s">
        <v>76</v>
      </c>
      <c r="Y2" t="s">
        <v>76</v>
      </c>
      <c r="Z2" t="s">
        <v>76</v>
      </c>
      <c r="AA2" t="s">
        <v>7409</v>
      </c>
      <c r="AB2" t="s">
        <v>7260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462.25</v>
      </c>
      <c r="AH2" s="4">
        <f>YEARFRAC(DATE("2016","4","1"),T2)</f>
        <v>11.819444444444445</v>
      </c>
      <c r="AI2">
        <f ca="1">IF(AH2&lt;1,0,RANDBETWEEN(0,200))</f>
        <v>101</v>
      </c>
      <c r="AJ2">
        <f ca="1">IF(AH2&lt;2,0,RANDBETWEEN(0,200))</f>
        <v>148</v>
      </c>
      <c r="AK2">
        <f ca="1">IF(AH2&lt;3,0,RANDBETWEEN(0,200))</f>
        <v>74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VLOOKUP(VLOOKUP(E3,LocalAreas.csv!G:I,3,FALSE),ServiceAreas.csv!E:I,5,FALSE)</f>
        <v>200009</v>
      </c>
      <c r="G3" t="str">
        <f t="shared" ref="G3:G66" si="3">"rg:{'id': '"&amp;E3&amp;"'}"</f>
        <v>rg:{'id': '200000'}</v>
      </c>
      <c r="H3" t="s">
        <v>7649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rg:True</v>
      </c>
      <c r="V3" t="str">
        <f t="shared" ref="V3:V66" ca="1" si="7">IF(U3="rg:True","This equipment should be archived","rg:None")</f>
        <v>This equipment should be archived</v>
      </c>
      <c r="W3" t="s">
        <v>7063</v>
      </c>
      <c r="X3" t="s">
        <v>76</v>
      </c>
      <c r="Y3" t="s">
        <v>76</v>
      </c>
      <c r="Z3" t="s">
        <v>76</v>
      </c>
      <c r="AA3" t="s">
        <v>7410</v>
      </c>
      <c r="AB3" t="s">
        <v>7261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149.41666666666669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15</v>
      </c>
      <c r="AJ3">
        <f t="shared" ref="AJ3:AJ66" ca="1" si="12">IF(AH3&lt;2,0,RANDBETWEEN(0,200))</f>
        <v>179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VLOOKUP(VLOOKUP(E4,LocalAreas.csv!G:I,3,FALSE),ServiceAreas.csv!E:I,5,FALSE)</f>
        <v>200009</v>
      </c>
      <c r="G4" t="str">
        <f t="shared" si="3"/>
        <v>rg:{'id': '200000'}</v>
      </c>
      <c r="H4" t="s">
        <v>7650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7064</v>
      </c>
      <c r="X4" t="s">
        <v>76</v>
      </c>
      <c r="Y4" t="s">
        <v>76</v>
      </c>
      <c r="Z4" t="s">
        <v>76</v>
      </c>
      <c r="AA4" t="s">
        <v>7411</v>
      </c>
      <c r="AB4" t="s">
        <v>7262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57.499999999999993</v>
      </c>
      <c r="AH4" s="4">
        <f t="shared" si="10"/>
        <v>1.8277777777777777</v>
      </c>
      <c r="AI4">
        <f t="shared" ca="1" si="11"/>
        <v>8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VLOOKUP(VLOOKUP(E5,LocalAreas.csv!G:I,3,FALSE),ServiceAreas.csv!E:I,5,FALSE)</f>
        <v>200009</v>
      </c>
      <c r="G5" t="str">
        <f t="shared" si="3"/>
        <v>rg:{'id': '200000'}</v>
      </c>
      <c r="H5" t="s">
        <v>7651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7065</v>
      </c>
      <c r="X5" t="s">
        <v>76</v>
      </c>
      <c r="Y5" t="s">
        <v>76</v>
      </c>
      <c r="Z5" t="s">
        <v>76</v>
      </c>
      <c r="AA5" t="s">
        <v>7412</v>
      </c>
      <c r="AB5" t="s">
        <v>7263</v>
      </c>
      <c r="AC5">
        <v>0</v>
      </c>
      <c r="AD5" t="str">
        <f t="shared" ca="1" si="8"/>
        <v>rg:True</v>
      </c>
      <c r="AE5" t="str">
        <f t="shared" ca="1" si="9"/>
        <v>Seniority overridden to test things</v>
      </c>
      <c r="AF5" s="1">
        <v>42480</v>
      </c>
      <c r="AG5" s="4">
        <f t="shared" ca="1" si="0"/>
        <v>452.58333333333331</v>
      </c>
      <c r="AH5" s="4">
        <f t="shared" si="10"/>
        <v>11.375</v>
      </c>
      <c r="AI5">
        <f t="shared" ca="1" si="11"/>
        <v>25</v>
      </c>
      <c r="AJ5">
        <f t="shared" ca="1" si="12"/>
        <v>187</v>
      </c>
      <c r="AK5">
        <f t="shared" ca="1" si="13"/>
        <v>122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VLOOKUP(VLOOKUP(E6,LocalAreas.csv!G:I,3,FALSE),ServiceAreas.csv!E:I,5,FALSE)</f>
        <v>200009</v>
      </c>
      <c r="G6" t="str">
        <f t="shared" si="3"/>
        <v>rg:{'id': '200000'}</v>
      </c>
      <c r="H6" t="s">
        <v>7652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7066</v>
      </c>
      <c r="X6" t="s">
        <v>76</v>
      </c>
      <c r="Y6" t="s">
        <v>76</v>
      </c>
      <c r="Z6" t="s">
        <v>76</v>
      </c>
      <c r="AA6" t="s">
        <v>7413</v>
      </c>
      <c r="AB6" t="s">
        <v>7264</v>
      </c>
      <c r="AC6">
        <v>0</v>
      </c>
      <c r="AD6" t="str">
        <f t="shared" ca="1" si="8"/>
        <v>rg:True</v>
      </c>
      <c r="AE6" t="str">
        <f t="shared" ca="1" si="9"/>
        <v>Seniority overridden to test things</v>
      </c>
      <c r="AF6" s="1">
        <v>42461</v>
      </c>
      <c r="AG6" s="4">
        <f t="shared" ca="1" si="0"/>
        <v>400.91666666666669</v>
      </c>
      <c r="AH6" s="4">
        <f t="shared" si="10"/>
        <v>10.108333333333333</v>
      </c>
      <c r="AI6">
        <f t="shared" ca="1" si="11"/>
        <v>16</v>
      </c>
      <c r="AJ6">
        <f t="shared" ca="1" si="12"/>
        <v>80</v>
      </c>
      <c r="AK6">
        <f t="shared" ca="1" si="13"/>
        <v>197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VLOOKUP(VLOOKUP(E7,LocalAreas.csv!G:I,3,FALSE),ServiceAreas.csv!E:I,5,FALSE)</f>
        <v>200009</v>
      </c>
      <c r="G7" t="str">
        <f t="shared" si="3"/>
        <v>rg:{'id': '200000'}</v>
      </c>
      <c r="H7" t="s">
        <v>7653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7067</v>
      </c>
      <c r="X7" t="s">
        <v>76</v>
      </c>
      <c r="Y7" t="s">
        <v>76</v>
      </c>
      <c r="Z7" t="s">
        <v>76</v>
      </c>
      <c r="AA7" t="s">
        <v>7414</v>
      </c>
      <c r="AB7" t="s">
        <v>7265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82.5</v>
      </c>
      <c r="AH7" s="4">
        <f t="shared" si="10"/>
        <v>1.7055555555555555</v>
      </c>
      <c r="AI7">
        <f t="shared" ca="1" si="11"/>
        <v>94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VLOOKUP(VLOOKUP(E8,LocalAreas.csv!G:I,3,FALSE),ServiceAreas.csv!E:I,5,FALSE)</f>
        <v>200009</v>
      </c>
      <c r="G8" t="str">
        <f t="shared" si="3"/>
        <v>rg:{'id': '200000'}</v>
      </c>
      <c r="H8" t="s">
        <v>7654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7068</v>
      </c>
      <c r="X8" t="s">
        <v>76</v>
      </c>
      <c r="Y8" t="s">
        <v>76</v>
      </c>
      <c r="Z8" t="s">
        <v>76</v>
      </c>
      <c r="AA8" t="s">
        <v>7415</v>
      </c>
      <c r="AB8" t="s">
        <v>7266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416.83333333333331</v>
      </c>
      <c r="AH8" s="4">
        <f t="shared" si="10"/>
        <v>9.65</v>
      </c>
      <c r="AI8">
        <f t="shared" ca="1" si="11"/>
        <v>98</v>
      </c>
      <c r="AJ8">
        <f t="shared" ca="1" si="12"/>
        <v>101</v>
      </c>
      <c r="AK8">
        <f t="shared" ca="1" si="13"/>
        <v>183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VLOOKUP(VLOOKUP(E9,LocalAreas.csv!G:I,3,FALSE),ServiceAreas.csv!E:I,5,FALSE)</f>
        <v>200009</v>
      </c>
      <c r="G9" t="str">
        <f t="shared" si="3"/>
        <v>rg:{'id': '200000'}</v>
      </c>
      <c r="H9" t="s">
        <v>7655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7069</v>
      </c>
      <c r="X9" t="s">
        <v>76</v>
      </c>
      <c r="Y9" t="s">
        <v>76</v>
      </c>
      <c r="Z9" t="s">
        <v>76</v>
      </c>
      <c r="AA9" t="s">
        <v>7416</v>
      </c>
      <c r="AB9" t="s">
        <v>7267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658</v>
      </c>
      <c r="AH9" s="4">
        <f t="shared" si="10"/>
        <v>8.9277777777777771</v>
      </c>
      <c r="AI9">
        <f t="shared" ca="1" si="11"/>
        <v>181</v>
      </c>
      <c r="AJ9">
        <f t="shared" ca="1" si="12"/>
        <v>182</v>
      </c>
      <c r="AK9">
        <f t="shared" ca="1" si="13"/>
        <v>4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VLOOKUP(VLOOKUP(E10,LocalAreas.csv!G:I,3,FALSE),ServiceAreas.csv!E:I,5,FALSE)</f>
        <v>200009</v>
      </c>
      <c r="G10" t="str">
        <f t="shared" si="3"/>
        <v>rg:{'id': '200000'}</v>
      </c>
      <c r="H10" t="s">
        <v>7656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7070</v>
      </c>
      <c r="X10" t="s">
        <v>76</v>
      </c>
      <c r="Y10" t="s">
        <v>76</v>
      </c>
      <c r="Z10" t="s">
        <v>76</v>
      </c>
      <c r="AA10" t="s">
        <v>7417</v>
      </c>
      <c r="AB10" t="s">
        <v>7268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455.75</v>
      </c>
      <c r="AH10" s="4">
        <f t="shared" si="10"/>
        <v>10.33611111111111</v>
      </c>
      <c r="AI10">
        <f t="shared" ca="1" si="11"/>
        <v>136</v>
      </c>
      <c r="AJ10">
        <f t="shared" ca="1" si="12"/>
        <v>165</v>
      </c>
      <c r="AK10">
        <f t="shared" ca="1" si="13"/>
        <v>136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VLOOKUP(VLOOKUP(E11,LocalAreas.csv!G:I,3,FALSE),ServiceAreas.csv!E:I,5,FALSE)</f>
        <v>200009</v>
      </c>
      <c r="G11" t="str">
        <f t="shared" si="3"/>
        <v>rg:{'id': '200000'}</v>
      </c>
      <c r="H11" t="s">
        <v>7657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7071</v>
      </c>
      <c r="X11" t="s">
        <v>76</v>
      </c>
      <c r="Y11" t="s">
        <v>76</v>
      </c>
      <c r="Z11" t="s">
        <v>76</v>
      </c>
      <c r="AA11" t="s">
        <v>7418</v>
      </c>
      <c r="AB11" t="s">
        <v>7269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185.16666666666669</v>
      </c>
      <c r="AH11" s="4">
        <f t="shared" si="10"/>
        <v>3.9388888888888891</v>
      </c>
      <c r="AI11">
        <f t="shared" ca="1" si="11"/>
        <v>65</v>
      </c>
      <c r="AJ11">
        <f t="shared" ca="1" si="12"/>
        <v>68</v>
      </c>
      <c r="AK11">
        <f t="shared" ca="1" si="13"/>
        <v>68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VLOOKUP(VLOOKUP(E12,LocalAreas.csv!G:I,3,FALSE),ServiceAreas.csv!E:I,5,FALSE)</f>
        <v>200009</v>
      </c>
      <c r="G12" t="str">
        <f t="shared" si="3"/>
        <v>rg:{'id': '200000'}</v>
      </c>
      <c r="H12" t="s">
        <v>7658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7072</v>
      </c>
      <c r="X12" t="s">
        <v>76</v>
      </c>
      <c r="Y12" t="s">
        <v>76</v>
      </c>
      <c r="Z12" t="s">
        <v>76</v>
      </c>
      <c r="AA12" t="s">
        <v>7419</v>
      </c>
      <c r="AB12" t="s">
        <v>7270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350.5</v>
      </c>
      <c r="AH12" s="4">
        <f t="shared" si="10"/>
        <v>9.25</v>
      </c>
      <c r="AI12">
        <f t="shared" ca="1" si="11"/>
        <v>16</v>
      </c>
      <c r="AJ12">
        <f t="shared" ca="1" si="12"/>
        <v>28</v>
      </c>
      <c r="AK12">
        <f t="shared" ca="1" si="13"/>
        <v>175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VLOOKUP(VLOOKUP(E13,LocalAreas.csv!G:I,3,FALSE),ServiceAreas.csv!E:I,5,FALSE)</f>
        <v>200009</v>
      </c>
      <c r="G13" t="str">
        <f t="shared" si="3"/>
        <v>rg:{'id': '200000'}</v>
      </c>
      <c r="H13" t="s">
        <v>7656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7073</v>
      </c>
      <c r="X13" t="s">
        <v>76</v>
      </c>
      <c r="Y13" t="s">
        <v>76</v>
      </c>
      <c r="Z13" t="s">
        <v>76</v>
      </c>
      <c r="AA13" t="s">
        <v>7420</v>
      </c>
      <c r="AB13" t="s">
        <v>7271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301.58333333333337</v>
      </c>
      <c r="AH13" s="4">
        <f t="shared" si="10"/>
        <v>8.1972222222222229</v>
      </c>
      <c r="AI13">
        <f t="shared" ca="1" si="11"/>
        <v>135</v>
      </c>
      <c r="AJ13">
        <f t="shared" ca="1" si="12"/>
        <v>19</v>
      </c>
      <c r="AK13">
        <f t="shared" ca="1" si="13"/>
        <v>13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VLOOKUP(VLOOKUP(E14,LocalAreas.csv!G:I,3,FALSE),ServiceAreas.csv!E:I,5,FALSE)</f>
        <v>200009</v>
      </c>
      <c r="G14" t="str">
        <f t="shared" si="3"/>
        <v>rg:{'id': '200000'}</v>
      </c>
      <c r="H14" t="s">
        <v>7659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7074</v>
      </c>
      <c r="X14" t="s">
        <v>76</v>
      </c>
      <c r="Y14" t="s">
        <v>76</v>
      </c>
      <c r="Z14" t="s">
        <v>76</v>
      </c>
      <c r="AA14" t="s">
        <v>7421</v>
      </c>
      <c r="AB14" t="s">
        <v>7272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310.5</v>
      </c>
      <c r="AH14" s="4">
        <f t="shared" si="10"/>
        <v>7.4722222222222223</v>
      </c>
      <c r="AI14">
        <f t="shared" ca="1" si="11"/>
        <v>5</v>
      </c>
      <c r="AJ14">
        <f t="shared" ca="1" si="12"/>
        <v>155</v>
      </c>
      <c r="AK14">
        <f t="shared" ca="1" si="13"/>
        <v>99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VLOOKUP(VLOOKUP(E15,LocalAreas.csv!G:I,3,FALSE),ServiceAreas.csv!E:I,5,FALSE)</f>
        <v>200009</v>
      </c>
      <c r="G15" t="str">
        <f t="shared" si="3"/>
        <v>rg:{'id': '200000'}</v>
      </c>
      <c r="H15" t="s">
        <v>7660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7075</v>
      </c>
      <c r="X15" t="s">
        <v>76</v>
      </c>
      <c r="Y15" t="s">
        <v>76</v>
      </c>
      <c r="Z15" t="s">
        <v>76</v>
      </c>
      <c r="AA15" t="s">
        <v>7422</v>
      </c>
      <c r="AB15" t="s">
        <v>7273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238.91666666666669</v>
      </c>
      <c r="AH15" s="4">
        <f t="shared" si="10"/>
        <v>4.9083333333333332</v>
      </c>
      <c r="AI15">
        <f t="shared" ca="1" si="11"/>
        <v>46</v>
      </c>
      <c r="AJ15">
        <f t="shared" ca="1" si="12"/>
        <v>161</v>
      </c>
      <c r="AK15">
        <f t="shared" ca="1" si="13"/>
        <v>68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VLOOKUP(VLOOKUP(E16,LocalAreas.csv!G:I,3,FALSE),ServiceAreas.csv!E:I,5,FALSE)</f>
        <v>200009</v>
      </c>
      <c r="G16" t="str">
        <f t="shared" si="3"/>
        <v>rg:{'id': '200000'}</v>
      </c>
      <c r="H16" t="s">
        <v>7661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7076</v>
      </c>
      <c r="X16" t="s">
        <v>76</v>
      </c>
      <c r="Y16" t="s">
        <v>76</v>
      </c>
      <c r="Z16" t="s">
        <v>76</v>
      </c>
      <c r="AA16" t="s">
        <v>7423</v>
      </c>
      <c r="AB16" t="s">
        <v>7263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162</v>
      </c>
      <c r="AH16" s="4">
        <f t="shared" si="10"/>
        <v>2.7555555555555555</v>
      </c>
      <c r="AI16">
        <f t="shared" ca="1" si="11"/>
        <v>181</v>
      </c>
      <c r="AJ16">
        <f t="shared" ca="1" si="12"/>
        <v>57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VLOOKUP(VLOOKUP(E17,LocalAreas.csv!G:I,3,FALSE),ServiceAreas.csv!E:I,5,FALSE)</f>
        <v>200009</v>
      </c>
      <c r="G17" t="str">
        <f t="shared" si="3"/>
        <v>rg:{'id': '200000'}</v>
      </c>
      <c r="H17" t="s">
        <v>7662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7077</v>
      </c>
      <c r="X17" t="s">
        <v>76</v>
      </c>
      <c r="Y17" t="s">
        <v>76</v>
      </c>
      <c r="Z17" t="s">
        <v>76</v>
      </c>
      <c r="AA17" t="s">
        <v>7424</v>
      </c>
      <c r="AB17" t="s">
        <v>7274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VLOOKUP(VLOOKUP(E18,LocalAreas.csv!G:I,3,FALSE),ServiceAreas.csv!E:I,5,FALSE)</f>
        <v>200009</v>
      </c>
      <c r="G18" t="str">
        <f t="shared" si="3"/>
        <v>rg:{'id': '200000'}</v>
      </c>
      <c r="H18" t="s">
        <v>7663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7078</v>
      </c>
      <c r="X18" t="s">
        <v>76</v>
      </c>
      <c r="Y18" t="s">
        <v>76</v>
      </c>
      <c r="Z18" t="s">
        <v>76</v>
      </c>
      <c r="AA18" t="s">
        <v>7425</v>
      </c>
      <c r="AB18" t="s">
        <v>7275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377.75</v>
      </c>
      <c r="AH18" s="4">
        <f t="shared" si="10"/>
        <v>9.4472222222222229</v>
      </c>
      <c r="AI18">
        <f t="shared" ca="1" si="11"/>
        <v>19</v>
      </c>
      <c r="AJ18">
        <f t="shared" ca="1" si="12"/>
        <v>108</v>
      </c>
      <c r="AK18">
        <f t="shared" ca="1" si="13"/>
        <v>156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VLOOKUP(VLOOKUP(E19,LocalAreas.csv!G:I,3,FALSE),ServiceAreas.csv!E:I,5,FALSE)</f>
        <v>200009</v>
      </c>
      <c r="G19" t="str">
        <f t="shared" si="3"/>
        <v>rg:{'id': '200000'}</v>
      </c>
      <c r="H19" t="s">
        <v>7664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7079</v>
      </c>
      <c r="X19" t="s">
        <v>76</v>
      </c>
      <c r="Y19" t="s">
        <v>76</v>
      </c>
      <c r="Z19" t="s">
        <v>76</v>
      </c>
      <c r="AA19" t="s">
        <v>7426</v>
      </c>
      <c r="AB19" t="s">
        <v>7276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459.25000000000006</v>
      </c>
      <c r="AH19" s="4">
        <f t="shared" si="10"/>
        <v>12.252777777777778</v>
      </c>
      <c r="AI19">
        <f t="shared" ca="1" si="11"/>
        <v>129</v>
      </c>
      <c r="AJ19">
        <f t="shared" ca="1" si="12"/>
        <v>92</v>
      </c>
      <c r="AK19">
        <f t="shared" ca="1" si="13"/>
        <v>54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VLOOKUP(VLOOKUP(E20,LocalAreas.csv!G:I,3,FALSE),ServiceAreas.csv!E:I,5,FALSE)</f>
        <v>200009</v>
      </c>
      <c r="G20" t="str">
        <f t="shared" si="3"/>
        <v>rg:{'id': '200000'}</v>
      </c>
      <c r="H20" t="s">
        <v>7665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7080</v>
      </c>
      <c r="X20" t="s">
        <v>76</v>
      </c>
      <c r="Y20" t="s">
        <v>76</v>
      </c>
      <c r="Z20" t="s">
        <v>76</v>
      </c>
      <c r="AA20" t="s">
        <v>7427</v>
      </c>
      <c r="AB20" t="s">
        <v>7277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417.75</v>
      </c>
      <c r="AH20" s="4">
        <f t="shared" si="10"/>
        <v>9.7361111111111107</v>
      </c>
      <c r="AI20">
        <f t="shared" ca="1" si="11"/>
        <v>62</v>
      </c>
      <c r="AJ20">
        <f t="shared" ca="1" si="12"/>
        <v>165</v>
      </c>
      <c r="AK20">
        <f t="shared" ca="1" si="13"/>
        <v>150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VLOOKUP(VLOOKUP(E21,LocalAreas.csv!G:I,3,FALSE),ServiceAreas.csv!E:I,5,FALSE)</f>
        <v>200009</v>
      </c>
      <c r="G21" t="str">
        <f t="shared" si="3"/>
        <v>rg:{'id': '200000'}</v>
      </c>
      <c r="H21" t="s">
        <v>7666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7081</v>
      </c>
      <c r="X21" t="s">
        <v>76</v>
      </c>
      <c r="Y21" t="s">
        <v>76</v>
      </c>
      <c r="Z21" t="s">
        <v>76</v>
      </c>
      <c r="AA21" t="s">
        <v>7428</v>
      </c>
      <c r="AB21" t="s">
        <v>7278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320.5</v>
      </c>
      <c r="AH21" s="4">
        <f t="shared" si="10"/>
        <v>7.427777777777778</v>
      </c>
      <c r="AI21">
        <f t="shared" ca="1" si="11"/>
        <v>119</v>
      </c>
      <c r="AJ21">
        <f t="shared" ca="1" si="12"/>
        <v>159</v>
      </c>
      <c r="AK21">
        <f t="shared" ca="1" si="13"/>
        <v>15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VLOOKUP(VLOOKUP(E22,LocalAreas.csv!G:I,3,FALSE),ServiceAreas.csv!E:I,5,FALSE)</f>
        <v>200009</v>
      </c>
      <c r="G22" t="str">
        <f t="shared" si="3"/>
        <v>rg:{'id': '200000'}</v>
      </c>
      <c r="H22" t="s">
        <v>7667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7082</v>
      </c>
      <c r="X22" t="s">
        <v>76</v>
      </c>
      <c r="Y22" t="s">
        <v>76</v>
      </c>
      <c r="Z22" t="s">
        <v>76</v>
      </c>
      <c r="AA22" t="s">
        <v>7429</v>
      </c>
      <c r="AB22" t="s">
        <v>7279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266.08333333333337</v>
      </c>
      <c r="AH22" s="4">
        <f t="shared" si="10"/>
        <v>6.5694444444444446</v>
      </c>
      <c r="AI22">
        <f t="shared" ca="1" si="11"/>
        <v>150</v>
      </c>
      <c r="AJ22">
        <f t="shared" ca="1" si="12"/>
        <v>27</v>
      </c>
      <c r="AK22">
        <f t="shared" ca="1" si="13"/>
        <v>30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VLOOKUP(VLOOKUP(E23,LocalAreas.csv!G:I,3,FALSE),ServiceAreas.csv!E:I,5,FALSE)</f>
        <v>200009</v>
      </c>
      <c r="G23" t="str">
        <f t="shared" si="3"/>
        <v>rg:{'id': '200000'}</v>
      </c>
      <c r="H23" t="s">
        <v>7668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7083</v>
      </c>
      <c r="X23" t="s">
        <v>76</v>
      </c>
      <c r="Y23" t="s">
        <v>76</v>
      </c>
      <c r="Z23" t="s">
        <v>76</v>
      </c>
      <c r="AA23" t="s">
        <v>7430</v>
      </c>
      <c r="AB23" t="s">
        <v>7280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166.66666666666669</v>
      </c>
      <c r="AH23" s="4">
        <f t="shared" si="10"/>
        <v>2.7333333333333334</v>
      </c>
      <c r="AI23">
        <f t="shared" ca="1" si="11"/>
        <v>59</v>
      </c>
      <c r="AJ23">
        <f t="shared" ca="1" si="12"/>
        <v>195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VLOOKUP(VLOOKUP(E24,LocalAreas.csv!G:I,3,FALSE),ServiceAreas.csv!E:I,5,FALSE)</f>
        <v>200009</v>
      </c>
      <c r="G24" t="str">
        <f t="shared" si="3"/>
        <v>rg:{'id': '200000'}</v>
      </c>
      <c r="H24" t="s">
        <v>7669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7084</v>
      </c>
      <c r="X24" t="s">
        <v>76</v>
      </c>
      <c r="Y24" t="s">
        <v>76</v>
      </c>
      <c r="Z24" t="s">
        <v>76</v>
      </c>
      <c r="AA24" t="s">
        <v>7431</v>
      </c>
      <c r="AB24" t="s">
        <v>7281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VLOOKUP(VLOOKUP(E25,LocalAreas.csv!G:I,3,FALSE),ServiceAreas.csv!E:I,5,FALSE)</f>
        <v>200009</v>
      </c>
      <c r="G25" t="str">
        <f t="shared" si="3"/>
        <v>rg:{'id': '200000'}</v>
      </c>
      <c r="H25" t="s">
        <v>7670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7085</v>
      </c>
      <c r="X25" t="s">
        <v>76</v>
      </c>
      <c r="Y25" t="s">
        <v>76</v>
      </c>
      <c r="Z25" t="s">
        <v>76</v>
      </c>
      <c r="AA25" t="s">
        <v>7432</v>
      </c>
      <c r="AB25" t="s">
        <v>7282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275.5</v>
      </c>
      <c r="AH25" s="4">
        <f t="shared" si="10"/>
        <v>6.5166666666666666</v>
      </c>
      <c r="AI25">
        <f t="shared" ca="1" si="11"/>
        <v>125</v>
      </c>
      <c r="AJ25">
        <f t="shared" ca="1" si="12"/>
        <v>26</v>
      </c>
      <c r="AK25">
        <f t="shared" ca="1" si="13"/>
        <v>89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VLOOKUP(VLOOKUP(E26,LocalAreas.csv!G:I,3,FALSE),ServiceAreas.csv!E:I,5,FALSE)</f>
        <v>200009</v>
      </c>
      <c r="G26" t="str">
        <f t="shared" si="3"/>
        <v>rg:{'id': '200000'}</v>
      </c>
      <c r="H26" t="s">
        <v>7671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7086</v>
      </c>
      <c r="X26" t="s">
        <v>76</v>
      </c>
      <c r="Y26" t="s">
        <v>76</v>
      </c>
      <c r="Z26" t="s">
        <v>76</v>
      </c>
      <c r="AA26" t="s">
        <v>7433</v>
      </c>
      <c r="AB26" t="s">
        <v>7283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394.08333333333331</v>
      </c>
      <c r="AH26" s="4">
        <f t="shared" si="10"/>
        <v>9.2138888888888886</v>
      </c>
      <c r="AI26">
        <f t="shared" ca="1" si="11"/>
        <v>10</v>
      </c>
      <c r="AJ26">
        <f t="shared" ca="1" si="12"/>
        <v>157</v>
      </c>
      <c r="AK26">
        <f t="shared" ca="1" si="13"/>
        <v>186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VLOOKUP(VLOOKUP(E27,LocalAreas.csv!G:I,3,FALSE),ServiceAreas.csv!E:I,5,FALSE)</f>
        <v>200009</v>
      </c>
      <c r="G27" t="str">
        <f t="shared" si="3"/>
        <v>rg:{'id': '200000'}</v>
      </c>
      <c r="H27" t="s">
        <v>7672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7087</v>
      </c>
      <c r="X27" t="s">
        <v>76</v>
      </c>
      <c r="Y27" t="s">
        <v>76</v>
      </c>
      <c r="Z27" t="s">
        <v>76</v>
      </c>
      <c r="AA27" t="s">
        <v>7434</v>
      </c>
      <c r="AB27" t="s">
        <v>7284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496.33333333333337</v>
      </c>
      <c r="AH27" s="4">
        <f t="shared" si="10"/>
        <v>11.988888888888889</v>
      </c>
      <c r="AI27">
        <f t="shared" ca="1" si="11"/>
        <v>155</v>
      </c>
      <c r="AJ27">
        <f t="shared" ca="1" si="12"/>
        <v>112</v>
      </c>
      <c r="AK27">
        <f t="shared" ca="1" si="13"/>
        <v>143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VLOOKUP(VLOOKUP(E28,LocalAreas.csv!G:I,3,FALSE),ServiceAreas.csv!E:I,5,FALSE)</f>
        <v>200009</v>
      </c>
      <c r="G28" t="str">
        <f t="shared" si="3"/>
        <v>rg:{'id': '200000'}</v>
      </c>
      <c r="H28" t="s">
        <v>7673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rg:True</v>
      </c>
      <c r="V28" t="str">
        <f t="shared" ca="1" si="7"/>
        <v>This equipment should be archived</v>
      </c>
      <c r="W28" t="s">
        <v>7088</v>
      </c>
      <c r="X28" t="s">
        <v>76</v>
      </c>
      <c r="Y28" t="s">
        <v>76</v>
      </c>
      <c r="Z28" t="s">
        <v>76</v>
      </c>
      <c r="AA28" t="s">
        <v>7435</v>
      </c>
      <c r="AB28" t="s">
        <v>7285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155.08333333333331</v>
      </c>
      <c r="AH28" s="4">
        <f t="shared" si="10"/>
        <v>2.1694444444444443</v>
      </c>
      <c r="AI28">
        <f t="shared" ca="1" si="11"/>
        <v>190</v>
      </c>
      <c r="AJ28">
        <f t="shared" ca="1" si="12"/>
        <v>80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VLOOKUP(VLOOKUP(E29,LocalAreas.csv!G:I,3,FALSE),ServiceAreas.csv!E:I,5,FALSE)</f>
        <v>200009</v>
      </c>
      <c r="G29" t="str">
        <f t="shared" si="3"/>
        <v>rg:{'id': '200000'}</v>
      </c>
      <c r="H29" t="s">
        <v>7674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7089</v>
      </c>
      <c r="X29" t="s">
        <v>76</v>
      </c>
      <c r="Y29" t="s">
        <v>76</v>
      </c>
      <c r="Z29" t="s">
        <v>76</v>
      </c>
      <c r="AA29" t="s">
        <v>7436</v>
      </c>
      <c r="AB29" t="s">
        <v>7286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432.91666666666669</v>
      </c>
      <c r="AH29" s="4">
        <f t="shared" si="10"/>
        <v>11.408333333333333</v>
      </c>
      <c r="AI29">
        <f t="shared" ca="1" si="11"/>
        <v>76</v>
      </c>
      <c r="AJ29">
        <f t="shared" ca="1" si="12"/>
        <v>53</v>
      </c>
      <c r="AK29">
        <f t="shared" ca="1" si="13"/>
        <v>143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VLOOKUP(VLOOKUP(E30,LocalAreas.csv!G:I,3,FALSE),ServiceAreas.csv!E:I,5,FALSE)</f>
        <v>200009</v>
      </c>
      <c r="G30" t="str">
        <f t="shared" si="3"/>
        <v>rg:{'id': '200000'}</v>
      </c>
      <c r="H30" t="s">
        <v>7675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7090</v>
      </c>
      <c r="X30" t="s">
        <v>76</v>
      </c>
      <c r="Y30" t="s">
        <v>76</v>
      </c>
      <c r="Z30" t="s">
        <v>76</v>
      </c>
      <c r="AA30" t="s">
        <v>7437</v>
      </c>
      <c r="AB30" t="s">
        <v>7287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428.75</v>
      </c>
      <c r="AH30" s="4">
        <f t="shared" si="10"/>
        <v>10.613888888888889</v>
      </c>
      <c r="AI30">
        <f t="shared" ca="1" si="11"/>
        <v>179</v>
      </c>
      <c r="AJ30">
        <f t="shared" ca="1" si="12"/>
        <v>147</v>
      </c>
      <c r="AK30">
        <f t="shared" ca="1" si="13"/>
        <v>5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VLOOKUP(VLOOKUP(E31,LocalAreas.csv!G:I,3,FALSE),ServiceAreas.csv!E:I,5,FALSE)</f>
        <v>200009</v>
      </c>
      <c r="G31" t="str">
        <f t="shared" si="3"/>
        <v>rg:{'id': '200001'}</v>
      </c>
      <c r="H31" t="s">
        <v>7676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7091</v>
      </c>
      <c r="X31" t="s">
        <v>76</v>
      </c>
      <c r="Y31" t="s">
        <v>76</v>
      </c>
      <c r="Z31" t="s">
        <v>76</v>
      </c>
      <c r="AA31" t="s">
        <v>7438</v>
      </c>
      <c r="AB31" t="s">
        <v>7288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41.083333333333329</v>
      </c>
      <c r="AH31" s="4">
        <f t="shared" si="10"/>
        <v>1.2472222222222222</v>
      </c>
      <c r="AI31">
        <f t="shared" ca="1" si="11"/>
        <v>11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VLOOKUP(VLOOKUP(E32,LocalAreas.csv!G:I,3,FALSE),ServiceAreas.csv!E:I,5,FALSE)</f>
        <v>200009</v>
      </c>
      <c r="G32" t="str">
        <f t="shared" si="3"/>
        <v>rg:{'id': '200001'}</v>
      </c>
      <c r="H32" t="s">
        <v>7677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7092</v>
      </c>
      <c r="X32" t="s">
        <v>76</v>
      </c>
      <c r="Y32" t="s">
        <v>76</v>
      </c>
      <c r="Z32" t="s">
        <v>76</v>
      </c>
      <c r="AA32" t="s">
        <v>7439</v>
      </c>
      <c r="AB32" t="s">
        <v>7289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198.91666666666669</v>
      </c>
      <c r="AH32" s="4">
        <f t="shared" si="10"/>
        <v>5.052777777777778</v>
      </c>
      <c r="AI32">
        <f t="shared" ca="1" si="11"/>
        <v>87</v>
      </c>
      <c r="AJ32">
        <f t="shared" ca="1" si="12"/>
        <v>45</v>
      </c>
      <c r="AK32">
        <f t="shared" ca="1" si="13"/>
        <v>10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VLOOKUP(VLOOKUP(E33,LocalAreas.csv!G:I,3,FALSE),ServiceAreas.csv!E:I,5,FALSE)</f>
        <v>200009</v>
      </c>
      <c r="G33" t="str">
        <f t="shared" si="3"/>
        <v>rg:{'id': '200001'}</v>
      </c>
      <c r="H33" t="s">
        <v>7678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7093</v>
      </c>
      <c r="X33" t="s">
        <v>76</v>
      </c>
      <c r="Y33" t="s">
        <v>76</v>
      </c>
      <c r="Z33" t="s">
        <v>76</v>
      </c>
      <c r="AA33" t="s">
        <v>7440</v>
      </c>
      <c r="AB33" t="s">
        <v>7290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335.83333333333331</v>
      </c>
      <c r="AH33" s="4">
        <f t="shared" si="10"/>
        <v>7.8722222222222218</v>
      </c>
      <c r="AI33">
        <f t="shared" ca="1" si="11"/>
        <v>108</v>
      </c>
      <c r="AJ33">
        <f t="shared" ca="1" si="12"/>
        <v>71</v>
      </c>
      <c r="AK33">
        <f t="shared" ca="1" si="13"/>
        <v>120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VLOOKUP(VLOOKUP(E34,LocalAreas.csv!G:I,3,FALSE),ServiceAreas.csv!E:I,5,FALSE)</f>
        <v>200009</v>
      </c>
      <c r="G34" t="str">
        <f t="shared" si="3"/>
        <v>rg:{'id': '200001'}</v>
      </c>
      <c r="H34" t="s">
        <v>7274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7094</v>
      </c>
      <c r="X34" t="s">
        <v>76</v>
      </c>
      <c r="Y34" t="s">
        <v>76</v>
      </c>
      <c r="Z34" t="s">
        <v>76</v>
      </c>
      <c r="AA34" t="s">
        <v>7441</v>
      </c>
      <c r="AB34" t="s">
        <v>7291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306.25</v>
      </c>
      <c r="AH34" s="4">
        <f t="shared" si="10"/>
        <v>5.7527777777777782</v>
      </c>
      <c r="AI34">
        <f t="shared" ca="1" si="11"/>
        <v>182</v>
      </c>
      <c r="AJ34">
        <f t="shared" ca="1" si="12"/>
        <v>174</v>
      </c>
      <c r="AK34">
        <f t="shared" ca="1" si="13"/>
        <v>45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VLOOKUP(VLOOKUP(E35,LocalAreas.csv!G:I,3,FALSE),ServiceAreas.csv!E:I,5,FALSE)</f>
        <v>200009</v>
      </c>
      <c r="G35" t="str">
        <f t="shared" si="3"/>
        <v>rg:{'id': '200001'}</v>
      </c>
      <c r="H35" t="s">
        <v>7657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7095</v>
      </c>
      <c r="X35" t="s">
        <v>76</v>
      </c>
      <c r="Y35" t="s">
        <v>76</v>
      </c>
      <c r="Z35" t="s">
        <v>76</v>
      </c>
      <c r="AA35" t="s">
        <v>7442</v>
      </c>
      <c r="AB35" t="s">
        <v>7292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326.5</v>
      </c>
      <c r="AH35" s="4">
        <f t="shared" si="10"/>
        <v>6.6388888888888893</v>
      </c>
      <c r="AI35">
        <f t="shared" ca="1" si="11"/>
        <v>185</v>
      </c>
      <c r="AJ35">
        <f t="shared" ca="1" si="12"/>
        <v>35</v>
      </c>
      <c r="AK35">
        <f t="shared" ca="1" si="13"/>
        <v>162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VLOOKUP(VLOOKUP(E36,LocalAreas.csv!G:I,3,FALSE),ServiceAreas.csv!E:I,5,FALSE)</f>
        <v>200009</v>
      </c>
      <c r="G36" t="str">
        <f t="shared" si="3"/>
        <v>rg:{'id': '200001'}</v>
      </c>
      <c r="H36" t="s">
        <v>7679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rg:True</v>
      </c>
      <c r="V36" t="str">
        <f t="shared" ca="1" si="7"/>
        <v>This equipment should be archived</v>
      </c>
      <c r="W36" t="s">
        <v>7096</v>
      </c>
      <c r="X36" t="s">
        <v>76</v>
      </c>
      <c r="Y36" t="s">
        <v>76</v>
      </c>
      <c r="Z36" t="s">
        <v>76</v>
      </c>
      <c r="AA36" t="s">
        <v>7443</v>
      </c>
      <c r="AB36" t="s">
        <v>7293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223.08333333333334</v>
      </c>
      <c r="AH36" s="4">
        <f t="shared" si="10"/>
        <v>6.0472222222222225</v>
      </c>
      <c r="AI36">
        <f t="shared" ca="1" si="11"/>
        <v>42</v>
      </c>
      <c r="AJ36">
        <f t="shared" ca="1" si="12"/>
        <v>15</v>
      </c>
      <c r="AK36">
        <f t="shared" ca="1" si="13"/>
        <v>68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VLOOKUP(VLOOKUP(E37,LocalAreas.csv!G:I,3,FALSE),ServiceAreas.csv!E:I,5,FALSE)</f>
        <v>200009</v>
      </c>
      <c r="G37" t="str">
        <f t="shared" si="3"/>
        <v>rg:{'id': '200001'}</v>
      </c>
      <c r="H37" t="s">
        <v>7653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7097</v>
      </c>
      <c r="X37" t="s">
        <v>76</v>
      </c>
      <c r="Y37" t="s">
        <v>76</v>
      </c>
      <c r="Z37" t="s">
        <v>76</v>
      </c>
      <c r="AA37" t="s">
        <v>7444</v>
      </c>
      <c r="AB37" t="s">
        <v>7294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385</v>
      </c>
      <c r="AH37" s="4">
        <f t="shared" si="10"/>
        <v>8.2222222222222214</v>
      </c>
      <c r="AI37">
        <f t="shared" ca="1" si="11"/>
        <v>145</v>
      </c>
      <c r="AJ37">
        <f t="shared" ca="1" si="12"/>
        <v>115</v>
      </c>
      <c r="AK37">
        <f t="shared" ca="1" si="13"/>
        <v>155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VLOOKUP(VLOOKUP(E38,LocalAreas.csv!G:I,3,FALSE),ServiceAreas.csv!E:I,5,FALSE)</f>
        <v>200009</v>
      </c>
      <c r="G38" t="str">
        <f t="shared" si="3"/>
        <v>rg:{'id': '200001'}</v>
      </c>
      <c r="H38" t="s">
        <v>7680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7098</v>
      </c>
      <c r="X38" t="s">
        <v>76</v>
      </c>
      <c r="Y38" t="s">
        <v>76</v>
      </c>
      <c r="Z38" t="s">
        <v>76</v>
      </c>
      <c r="AA38" t="s">
        <v>7445</v>
      </c>
      <c r="AB38" t="s">
        <v>7295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219.66666666666669</v>
      </c>
      <c r="AH38" s="4">
        <f t="shared" si="10"/>
        <v>3.3555555555555556</v>
      </c>
      <c r="AI38">
        <f t="shared" ca="1" si="11"/>
        <v>149</v>
      </c>
      <c r="AJ38">
        <f t="shared" ca="1" si="12"/>
        <v>143</v>
      </c>
      <c r="AK38">
        <f t="shared" ca="1" si="13"/>
        <v>65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VLOOKUP(VLOOKUP(E39,LocalAreas.csv!G:I,3,FALSE),ServiceAreas.csv!E:I,5,FALSE)</f>
        <v>200009</v>
      </c>
      <c r="G39" t="str">
        <f t="shared" si="3"/>
        <v>rg:{'id': '200001'}</v>
      </c>
      <c r="H39" t="s">
        <v>7681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7099</v>
      </c>
      <c r="X39" t="s">
        <v>76</v>
      </c>
      <c r="Y39" t="s">
        <v>76</v>
      </c>
      <c r="Z39" t="s">
        <v>76</v>
      </c>
      <c r="AA39" t="s">
        <v>7446</v>
      </c>
      <c r="AB39" t="s">
        <v>7296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VLOOKUP(VLOOKUP(E40,LocalAreas.csv!G:I,3,FALSE),ServiceAreas.csv!E:I,5,FALSE)</f>
        <v>200009</v>
      </c>
      <c r="G40" t="str">
        <f t="shared" si="3"/>
        <v>rg:{'id': '200001'}</v>
      </c>
      <c r="H40" t="s">
        <v>7682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7100</v>
      </c>
      <c r="X40" t="s">
        <v>76</v>
      </c>
      <c r="Y40" t="s">
        <v>76</v>
      </c>
      <c r="Z40" t="s">
        <v>76</v>
      </c>
      <c r="AA40" t="s">
        <v>7447</v>
      </c>
      <c r="AB40" t="s">
        <v>7297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183.16666666666669</v>
      </c>
      <c r="AH40" s="4">
        <f t="shared" si="10"/>
        <v>3.9388888888888891</v>
      </c>
      <c r="AI40">
        <f t="shared" ca="1" si="11"/>
        <v>118</v>
      </c>
      <c r="AJ40">
        <f t="shared" ca="1" si="12"/>
        <v>22</v>
      </c>
      <c r="AK40">
        <f t="shared" ca="1" si="13"/>
        <v>55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VLOOKUP(VLOOKUP(E41,LocalAreas.csv!G:I,3,FALSE),ServiceAreas.csv!E:I,5,FALSE)</f>
        <v>200009</v>
      </c>
      <c r="G41" t="str">
        <f t="shared" si="3"/>
        <v>rg:{'id': '200001'}</v>
      </c>
      <c r="H41" t="s">
        <v>7669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7101</v>
      </c>
      <c r="X41" t="s">
        <v>76</v>
      </c>
      <c r="Y41" t="s">
        <v>76</v>
      </c>
      <c r="Z41" t="s">
        <v>76</v>
      </c>
      <c r="AA41" t="s">
        <v>7448</v>
      </c>
      <c r="AB41" t="s">
        <v>7298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242.66666666666669</v>
      </c>
      <c r="AH41" s="4">
        <f t="shared" si="10"/>
        <v>3.3555555555555556</v>
      </c>
      <c r="AI41">
        <f t="shared" ca="1" si="11"/>
        <v>155</v>
      </c>
      <c r="AJ41">
        <f t="shared" ca="1" si="12"/>
        <v>83</v>
      </c>
      <c r="AK41">
        <f t="shared" ca="1" si="13"/>
        <v>188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VLOOKUP(VLOOKUP(E42,LocalAreas.csv!G:I,3,FALSE),ServiceAreas.csv!E:I,5,FALSE)</f>
        <v>200009</v>
      </c>
      <c r="G42" t="str">
        <f t="shared" si="3"/>
        <v>rg:{'id': '200001'}</v>
      </c>
      <c r="H42" t="s">
        <v>7648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7102</v>
      </c>
      <c r="X42" t="s">
        <v>76</v>
      </c>
      <c r="Y42" t="s">
        <v>76</v>
      </c>
      <c r="Z42" t="s">
        <v>76</v>
      </c>
      <c r="AA42" t="s">
        <v>7449</v>
      </c>
      <c r="AB42" t="s">
        <v>7299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461</v>
      </c>
      <c r="AH42" s="4">
        <f t="shared" si="10"/>
        <v>11.9</v>
      </c>
      <c r="AI42">
        <f t="shared" ca="1" si="11"/>
        <v>154</v>
      </c>
      <c r="AJ42">
        <f t="shared" ca="1" si="12"/>
        <v>79</v>
      </c>
      <c r="AK42">
        <f t="shared" ca="1" si="13"/>
        <v>79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VLOOKUP(VLOOKUP(E43,LocalAreas.csv!G:I,3,FALSE),ServiceAreas.csv!E:I,5,FALSE)</f>
        <v>200009</v>
      </c>
      <c r="G43" t="str">
        <f t="shared" si="3"/>
        <v>rg:{'id': '200001'}</v>
      </c>
      <c r="H43" t="s">
        <v>7683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7103</v>
      </c>
      <c r="X43" t="s">
        <v>76</v>
      </c>
      <c r="Y43" t="s">
        <v>76</v>
      </c>
      <c r="Z43" t="s">
        <v>76</v>
      </c>
      <c r="AA43" t="s">
        <v>7450</v>
      </c>
      <c r="AB43" t="s">
        <v>7300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120.75</v>
      </c>
      <c r="AH43" s="4">
        <f t="shared" si="10"/>
        <v>2.036111111111111</v>
      </c>
      <c r="AI43">
        <f t="shared" ca="1" si="11"/>
        <v>67</v>
      </c>
      <c r="AJ43">
        <f t="shared" ca="1" si="12"/>
        <v>112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VLOOKUP(VLOOKUP(E44,LocalAreas.csv!G:I,3,FALSE),ServiceAreas.csv!E:I,5,FALSE)</f>
        <v>200009</v>
      </c>
      <c r="G44" t="str">
        <f t="shared" si="3"/>
        <v>rg:{'id': '200001'}</v>
      </c>
      <c r="H44" t="s">
        <v>7684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7104</v>
      </c>
      <c r="X44" t="s">
        <v>76</v>
      </c>
      <c r="Y44" t="s">
        <v>76</v>
      </c>
      <c r="Z44" t="s">
        <v>76</v>
      </c>
      <c r="AA44" t="s">
        <v>7451</v>
      </c>
      <c r="AB44" t="s">
        <v>7301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206</v>
      </c>
      <c r="AH44" s="4">
        <f t="shared" si="10"/>
        <v>3.3111111111111109</v>
      </c>
      <c r="AI44">
        <f t="shared" ca="1" si="11"/>
        <v>50</v>
      </c>
      <c r="AJ44">
        <f t="shared" ca="1" si="12"/>
        <v>115</v>
      </c>
      <c r="AK44">
        <f t="shared" ca="1" si="13"/>
        <v>155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VLOOKUP(VLOOKUP(E45,LocalAreas.csv!G:I,3,FALSE),ServiceAreas.csv!E:I,5,FALSE)</f>
        <v>200009</v>
      </c>
      <c r="G45" t="str">
        <f t="shared" si="3"/>
        <v>rg:{'id': '200001'}</v>
      </c>
      <c r="H45" t="s">
        <v>7664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rg:True</v>
      </c>
      <c r="V45" t="str">
        <f t="shared" ca="1" si="7"/>
        <v>This equipment should be archived</v>
      </c>
      <c r="W45" t="s">
        <v>7105</v>
      </c>
      <c r="X45" t="s">
        <v>76</v>
      </c>
      <c r="Y45" t="s">
        <v>76</v>
      </c>
      <c r="Z45" t="s">
        <v>76</v>
      </c>
      <c r="AA45" t="s">
        <v>7452</v>
      </c>
      <c r="AB45" t="s">
        <v>7302</v>
      </c>
      <c r="AC45">
        <v>0</v>
      </c>
      <c r="AD45" t="str">
        <f t="shared" ca="1" si="8"/>
        <v>rg:True</v>
      </c>
      <c r="AE45" t="str">
        <f t="shared" ca="1" si="9"/>
        <v>Seniority overridden to test things</v>
      </c>
      <c r="AF45" s="1">
        <v>42481</v>
      </c>
      <c r="AG45" s="4">
        <f t="shared" ca="1" si="0"/>
        <v>298.91666666666669</v>
      </c>
      <c r="AH45" s="4">
        <f t="shared" si="10"/>
        <v>6.8083333333333336</v>
      </c>
      <c r="AI45">
        <f t="shared" ca="1" si="11"/>
        <v>17</v>
      </c>
      <c r="AJ45">
        <f t="shared" ca="1" si="12"/>
        <v>118</v>
      </c>
      <c r="AK45">
        <f t="shared" ca="1" si="13"/>
        <v>149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VLOOKUP(VLOOKUP(E46,LocalAreas.csv!G:I,3,FALSE),ServiceAreas.csv!E:I,5,FALSE)</f>
        <v>200009</v>
      </c>
      <c r="G46" t="str">
        <f t="shared" si="3"/>
        <v>rg:{'id': '200001'}</v>
      </c>
      <c r="H46" t="s">
        <v>7685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7106</v>
      </c>
      <c r="X46" t="s">
        <v>76</v>
      </c>
      <c r="Y46" t="s">
        <v>76</v>
      </c>
      <c r="Z46" t="s">
        <v>76</v>
      </c>
      <c r="AA46" t="s">
        <v>7453</v>
      </c>
      <c r="AB46" t="s">
        <v>7303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414.58333333333337</v>
      </c>
      <c r="AH46" s="4">
        <f t="shared" si="10"/>
        <v>9.6861111111111118</v>
      </c>
      <c r="AI46">
        <f t="shared" ca="1" si="11"/>
        <v>103</v>
      </c>
      <c r="AJ46">
        <f t="shared" ca="1" si="12"/>
        <v>169</v>
      </c>
      <c r="AK46">
        <f t="shared" ca="1" si="13"/>
        <v>100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VLOOKUP(VLOOKUP(E47,LocalAreas.csv!G:I,3,FALSE),ServiceAreas.csv!E:I,5,FALSE)</f>
        <v>200009</v>
      </c>
      <c r="G47" t="str">
        <f t="shared" si="3"/>
        <v>rg:{'id': '200001'}</v>
      </c>
      <c r="H47" t="s">
        <v>7686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7107</v>
      </c>
      <c r="X47" t="s">
        <v>76</v>
      </c>
      <c r="Y47" t="s">
        <v>76</v>
      </c>
      <c r="Z47" t="s">
        <v>76</v>
      </c>
      <c r="AA47" t="s">
        <v>7454</v>
      </c>
      <c r="AB47" t="s">
        <v>7304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112.5</v>
      </c>
      <c r="AH47" s="4">
        <f t="shared" si="10"/>
        <v>2.35</v>
      </c>
      <c r="AI47">
        <f t="shared" ca="1" si="11"/>
        <v>15</v>
      </c>
      <c r="AJ47">
        <f t="shared" ca="1" si="12"/>
        <v>111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VLOOKUP(VLOOKUP(E48,LocalAreas.csv!G:I,3,FALSE),ServiceAreas.csv!E:I,5,FALSE)</f>
        <v>200009</v>
      </c>
      <c r="G48" t="str">
        <f t="shared" si="3"/>
        <v>rg:{'id': '200001'}</v>
      </c>
      <c r="H48" t="s">
        <v>7687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7108</v>
      </c>
      <c r="X48" t="s">
        <v>76</v>
      </c>
      <c r="Y48" t="s">
        <v>76</v>
      </c>
      <c r="Z48" t="s">
        <v>76</v>
      </c>
      <c r="AA48" t="s">
        <v>7455</v>
      </c>
      <c r="AB48" t="s">
        <v>7274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454.25</v>
      </c>
      <c r="AH48" s="4">
        <f t="shared" si="10"/>
        <v>10.58611111111111</v>
      </c>
      <c r="AI48">
        <f t="shared" ca="1" si="11"/>
        <v>189</v>
      </c>
      <c r="AJ48">
        <f t="shared" ca="1" si="12"/>
        <v>73</v>
      </c>
      <c r="AK48">
        <f t="shared" ca="1" si="13"/>
        <v>148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VLOOKUP(VLOOKUP(E49,LocalAreas.csv!G:I,3,FALSE),ServiceAreas.csv!E:I,5,FALSE)</f>
        <v>200009</v>
      </c>
      <c r="G49" t="str">
        <f t="shared" si="3"/>
        <v>rg:{'id': '200001'}</v>
      </c>
      <c r="H49" t="s">
        <v>7651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7109</v>
      </c>
      <c r="X49" t="s">
        <v>76</v>
      </c>
      <c r="Y49" t="s">
        <v>76</v>
      </c>
      <c r="Z49" t="s">
        <v>76</v>
      </c>
      <c r="AA49" t="s">
        <v>7456</v>
      </c>
      <c r="AB49" t="s">
        <v>7305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270.25</v>
      </c>
      <c r="AH49" s="4">
        <f t="shared" si="10"/>
        <v>6.1638888888888888</v>
      </c>
      <c r="AI49">
        <f t="shared" ca="1" si="11"/>
        <v>169</v>
      </c>
      <c r="AJ49">
        <f t="shared" ca="1" si="12"/>
        <v>69</v>
      </c>
      <c r="AK49">
        <f t="shared" ca="1" si="13"/>
        <v>18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VLOOKUP(VLOOKUP(E50,LocalAreas.csv!G:I,3,FALSE),ServiceAreas.csv!E:I,5,FALSE)</f>
        <v>200009</v>
      </c>
      <c r="G50" t="str">
        <f t="shared" si="3"/>
        <v>rg:{'id': '200001'}</v>
      </c>
      <c r="H50" t="s">
        <v>7688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7110</v>
      </c>
      <c r="X50" t="s">
        <v>76</v>
      </c>
      <c r="Y50" t="s">
        <v>76</v>
      </c>
      <c r="Z50" t="s">
        <v>76</v>
      </c>
      <c r="AA50" t="s">
        <v>7457</v>
      </c>
      <c r="AB50" t="s">
        <v>7306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VLOOKUP(VLOOKUP(E51,LocalAreas.csv!G:I,3,FALSE),ServiceAreas.csv!E:I,5,FALSE)</f>
        <v>200009</v>
      </c>
      <c r="G51" t="str">
        <f t="shared" si="3"/>
        <v>rg:{'id': '200001'}</v>
      </c>
      <c r="H51" t="s">
        <v>7661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7111</v>
      </c>
      <c r="X51" t="s">
        <v>76</v>
      </c>
      <c r="Y51" t="s">
        <v>76</v>
      </c>
      <c r="Z51" t="s">
        <v>76</v>
      </c>
      <c r="AA51" t="s">
        <v>7458</v>
      </c>
      <c r="AB51" t="s">
        <v>7306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418.49999999999994</v>
      </c>
      <c r="AH51" s="4">
        <f t="shared" si="10"/>
        <v>10.905555555555555</v>
      </c>
      <c r="AI51">
        <f t="shared" ca="1" si="11"/>
        <v>135</v>
      </c>
      <c r="AJ51">
        <f t="shared" ca="1" si="12"/>
        <v>108</v>
      </c>
      <c r="AK51">
        <f t="shared" ca="1" si="13"/>
        <v>31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VLOOKUP(VLOOKUP(E52,LocalAreas.csv!G:I,3,FALSE),ServiceAreas.csv!E:I,5,FALSE)</f>
        <v>200009</v>
      </c>
      <c r="G52" t="str">
        <f t="shared" si="3"/>
        <v>rg:{'id': '200001'}</v>
      </c>
      <c r="H52" t="s">
        <v>7689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7112</v>
      </c>
      <c r="X52" t="s">
        <v>76</v>
      </c>
      <c r="Y52" t="s">
        <v>76</v>
      </c>
      <c r="Z52" t="s">
        <v>76</v>
      </c>
      <c r="AA52" t="s">
        <v>7459</v>
      </c>
      <c r="AB52" t="s">
        <v>7307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278.08333333333337</v>
      </c>
      <c r="AH52" s="4">
        <f t="shared" si="10"/>
        <v>6.8361111111111112</v>
      </c>
      <c r="AI52">
        <f t="shared" ca="1" si="11"/>
        <v>3</v>
      </c>
      <c r="AJ52">
        <f t="shared" ca="1" si="12"/>
        <v>83</v>
      </c>
      <c r="AK52">
        <f t="shared" ca="1" si="13"/>
        <v>133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VLOOKUP(VLOOKUP(E53,LocalAreas.csv!G:I,3,FALSE),ServiceAreas.csv!E:I,5,FALSE)</f>
        <v>200009</v>
      </c>
      <c r="G53" t="str">
        <f t="shared" si="3"/>
        <v>rg:{'id': '200001'}</v>
      </c>
      <c r="H53" t="s">
        <v>7690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7113</v>
      </c>
      <c r="X53" t="s">
        <v>76</v>
      </c>
      <c r="Y53" t="s">
        <v>76</v>
      </c>
      <c r="Z53" t="s">
        <v>76</v>
      </c>
      <c r="AA53" t="s">
        <v>7460</v>
      </c>
      <c r="AB53" t="s">
        <v>7308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VLOOKUP(VLOOKUP(E54,LocalAreas.csv!G:I,3,FALSE),ServiceAreas.csv!E:I,5,FALSE)</f>
        <v>200009</v>
      </c>
      <c r="G54" t="str">
        <f t="shared" si="3"/>
        <v>rg:{'id': '200001'}</v>
      </c>
      <c r="H54" t="s">
        <v>7691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rg:True</v>
      </c>
      <c r="V54" t="str">
        <f t="shared" ca="1" si="7"/>
        <v>This equipment should be archived</v>
      </c>
      <c r="W54" t="s">
        <v>7114</v>
      </c>
      <c r="X54" t="s">
        <v>76</v>
      </c>
      <c r="Y54" t="s">
        <v>76</v>
      </c>
      <c r="Z54" t="s">
        <v>76</v>
      </c>
      <c r="AA54" t="s">
        <v>7461</v>
      </c>
      <c r="AB54" t="s">
        <v>7309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VLOOKUP(VLOOKUP(E55,LocalAreas.csv!G:I,3,FALSE),ServiceAreas.csv!E:I,5,FALSE)</f>
        <v>200009</v>
      </c>
      <c r="G55" t="str">
        <f t="shared" si="3"/>
        <v>rg:{'id': '200001'}</v>
      </c>
      <c r="H55" t="s">
        <v>7659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7115</v>
      </c>
      <c r="X55" t="s">
        <v>76</v>
      </c>
      <c r="Y55" t="s">
        <v>76</v>
      </c>
      <c r="Z55" t="s">
        <v>76</v>
      </c>
      <c r="AA55" t="s">
        <v>7462</v>
      </c>
      <c r="AB55" t="s">
        <v>7310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394.91666666666669</v>
      </c>
      <c r="AH55" s="4">
        <f t="shared" si="10"/>
        <v>8.2638888888888893</v>
      </c>
      <c r="AI55">
        <f t="shared" ca="1" si="11"/>
        <v>184</v>
      </c>
      <c r="AJ55">
        <f t="shared" ca="1" si="12"/>
        <v>146</v>
      </c>
      <c r="AK55">
        <f t="shared" ca="1" si="13"/>
        <v>111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VLOOKUP(VLOOKUP(E56,LocalAreas.csv!G:I,3,FALSE),ServiceAreas.csv!E:I,5,FALSE)</f>
        <v>200009</v>
      </c>
      <c r="G56" t="str">
        <f t="shared" si="3"/>
        <v>rg:{'id': '200001'}</v>
      </c>
      <c r="H56" t="s">
        <v>7692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rg:True</v>
      </c>
      <c r="V56" t="str">
        <f t="shared" ca="1" si="7"/>
        <v>This equipment should be archived</v>
      </c>
      <c r="W56" t="s">
        <v>7116</v>
      </c>
      <c r="X56" t="s">
        <v>76</v>
      </c>
      <c r="Y56" t="s">
        <v>76</v>
      </c>
      <c r="Z56" t="s">
        <v>76</v>
      </c>
      <c r="AA56" t="s">
        <v>7463</v>
      </c>
      <c r="AB56" t="s">
        <v>7311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414.08333333333331</v>
      </c>
      <c r="AH56" s="4">
        <f t="shared" si="10"/>
        <v>10.736111111111111</v>
      </c>
      <c r="AI56">
        <f t="shared" ca="1" si="11"/>
        <v>150</v>
      </c>
      <c r="AJ56">
        <f t="shared" ca="1" si="12"/>
        <v>78</v>
      </c>
      <c r="AK56">
        <f t="shared" ca="1" si="13"/>
        <v>48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VLOOKUP(VLOOKUP(E57,LocalAreas.csv!G:I,3,FALSE),ServiceAreas.csv!E:I,5,FALSE)</f>
        <v>200009</v>
      </c>
      <c r="G57" t="str">
        <f t="shared" si="3"/>
        <v>rg:{'id': '200001'}</v>
      </c>
      <c r="H57" t="s">
        <v>7693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7117</v>
      </c>
      <c r="X57" t="s">
        <v>76</v>
      </c>
      <c r="Y57" t="s">
        <v>76</v>
      </c>
      <c r="Z57" t="s">
        <v>76</v>
      </c>
      <c r="AA57" t="s">
        <v>7464</v>
      </c>
      <c r="AB57" t="s">
        <v>7312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69.583333333333329</v>
      </c>
      <c r="AH57" s="4">
        <f t="shared" si="10"/>
        <v>1.9416666666666667</v>
      </c>
      <c r="AI57">
        <f t="shared" ca="1" si="11"/>
        <v>34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VLOOKUP(VLOOKUP(E58,LocalAreas.csv!G:I,3,FALSE),ServiceAreas.csv!E:I,5,FALSE)</f>
        <v>200009</v>
      </c>
      <c r="G58" t="str">
        <f t="shared" si="3"/>
        <v>rg:{'id': '200001'}</v>
      </c>
      <c r="H58" t="s">
        <v>7694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7118</v>
      </c>
      <c r="X58" t="s">
        <v>76</v>
      </c>
      <c r="Y58" t="s">
        <v>76</v>
      </c>
      <c r="Z58" t="s">
        <v>76</v>
      </c>
      <c r="AA58" t="s">
        <v>7465</v>
      </c>
      <c r="AB58" t="s">
        <v>7313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434.66666666666663</v>
      </c>
      <c r="AH58" s="4">
        <f t="shared" si="10"/>
        <v>8.8000000000000007</v>
      </c>
      <c r="AI58">
        <f t="shared" ca="1" si="11"/>
        <v>186</v>
      </c>
      <c r="AJ58">
        <f t="shared" ca="1" si="12"/>
        <v>154</v>
      </c>
      <c r="AK58">
        <f t="shared" ca="1" si="13"/>
        <v>172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VLOOKUP(VLOOKUP(E59,LocalAreas.csv!G:I,3,FALSE),ServiceAreas.csv!E:I,5,FALSE)</f>
        <v>200009</v>
      </c>
      <c r="G59" t="str">
        <f t="shared" si="3"/>
        <v>rg:{'id': '200001'}</v>
      </c>
      <c r="H59" t="s">
        <v>7695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7119</v>
      </c>
      <c r="X59" t="s">
        <v>76</v>
      </c>
      <c r="Y59" t="s">
        <v>76</v>
      </c>
      <c r="Z59" t="s">
        <v>76</v>
      </c>
      <c r="AA59" t="s">
        <v>7466</v>
      </c>
      <c r="AB59" t="s">
        <v>7260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252.5</v>
      </c>
      <c r="AH59" s="4">
        <f t="shared" si="10"/>
        <v>6.65</v>
      </c>
      <c r="AI59">
        <f t="shared" ca="1" si="11"/>
        <v>6</v>
      </c>
      <c r="AJ59">
        <f t="shared" ca="1" si="12"/>
        <v>10</v>
      </c>
      <c r="AK59">
        <f t="shared" ca="1" si="13"/>
        <v>143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VLOOKUP(VLOOKUP(E60,LocalAreas.csv!G:I,3,FALSE),ServiceAreas.csv!E:I,5,FALSE)</f>
        <v>200009</v>
      </c>
      <c r="G60" t="str">
        <f t="shared" si="3"/>
        <v>rg:{'id': '200001'}</v>
      </c>
      <c r="H60" t="s">
        <v>7696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7120</v>
      </c>
      <c r="X60" t="s">
        <v>76</v>
      </c>
      <c r="Y60" t="s">
        <v>76</v>
      </c>
      <c r="Z60" t="s">
        <v>76</v>
      </c>
      <c r="AA60" t="s">
        <v>7467</v>
      </c>
      <c r="AB60" t="s">
        <v>7314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200.25</v>
      </c>
      <c r="AH60" s="4">
        <f t="shared" si="10"/>
        <v>4.8638888888888889</v>
      </c>
      <c r="AI60">
        <f t="shared" ca="1" si="11"/>
        <v>25</v>
      </c>
      <c r="AJ60">
        <f t="shared" ca="1" si="12"/>
        <v>82</v>
      </c>
      <c r="AK60">
        <f t="shared" ca="1" si="13"/>
        <v>56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VLOOKUP(VLOOKUP(E61,LocalAreas.csv!G:I,3,FALSE),ServiceAreas.csv!E:I,5,FALSE)</f>
        <v>200009</v>
      </c>
      <c r="G61" t="str">
        <f t="shared" si="3"/>
        <v>rg:{'id': '200001'}</v>
      </c>
      <c r="H61" t="s">
        <v>7697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7121</v>
      </c>
      <c r="X61" t="s">
        <v>76</v>
      </c>
      <c r="Y61" t="s">
        <v>76</v>
      </c>
      <c r="Z61" t="s">
        <v>76</v>
      </c>
      <c r="AA61" t="s">
        <v>7468</v>
      </c>
      <c r="AB61" t="s">
        <v>7315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240.58333333333337</v>
      </c>
      <c r="AH61" s="4">
        <f t="shared" si="10"/>
        <v>4.7638888888888893</v>
      </c>
      <c r="AI61">
        <f t="shared" ca="1" si="11"/>
        <v>161</v>
      </c>
      <c r="AJ61">
        <f t="shared" ca="1" si="12"/>
        <v>3</v>
      </c>
      <c r="AK61">
        <f t="shared" ca="1" si="13"/>
        <v>129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VLOOKUP(VLOOKUP(E62,LocalAreas.csv!G:I,3,FALSE),ServiceAreas.csv!E:I,5,FALSE)</f>
        <v>200009</v>
      </c>
      <c r="G62" t="str">
        <f t="shared" si="3"/>
        <v>rg:{'id': '200001'}</v>
      </c>
      <c r="H62" t="s">
        <v>7688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7122</v>
      </c>
      <c r="X62" t="s">
        <v>76</v>
      </c>
      <c r="Y62" t="s">
        <v>76</v>
      </c>
      <c r="Z62" t="s">
        <v>76</v>
      </c>
      <c r="AA62" t="s">
        <v>7469</v>
      </c>
      <c r="AB62" t="s">
        <v>7261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VLOOKUP(VLOOKUP(E63,LocalAreas.csv!G:I,3,FALSE),ServiceAreas.csv!E:I,5,FALSE)</f>
        <v>200009</v>
      </c>
      <c r="G63" t="str">
        <f t="shared" si="3"/>
        <v>rg:{'id': '200001'}</v>
      </c>
      <c r="H63" t="s">
        <v>7665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7123</v>
      </c>
      <c r="X63" t="s">
        <v>76</v>
      </c>
      <c r="Y63" t="s">
        <v>76</v>
      </c>
      <c r="Z63" t="s">
        <v>76</v>
      </c>
      <c r="AA63" t="s">
        <v>7470</v>
      </c>
      <c r="AB63" t="s">
        <v>7316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232</v>
      </c>
      <c r="AH63" s="4">
        <f t="shared" si="10"/>
        <v>5.1222222222222218</v>
      </c>
      <c r="AI63">
        <f t="shared" ca="1" si="11"/>
        <v>96</v>
      </c>
      <c r="AJ63">
        <f t="shared" ca="1" si="12"/>
        <v>58</v>
      </c>
      <c r="AK63">
        <f t="shared" ca="1" si="13"/>
        <v>81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VLOOKUP(VLOOKUP(E64,LocalAreas.csv!G:I,3,FALSE),ServiceAreas.csv!E:I,5,FALSE)</f>
        <v>200009</v>
      </c>
      <c r="G64" t="str">
        <f t="shared" si="3"/>
        <v>rg:{'id': '200001'}</v>
      </c>
      <c r="H64" t="s">
        <v>7698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7124</v>
      </c>
      <c r="X64" t="s">
        <v>76</v>
      </c>
      <c r="Y64" t="s">
        <v>76</v>
      </c>
      <c r="Z64" t="s">
        <v>76</v>
      </c>
      <c r="AA64" t="s">
        <v>7471</v>
      </c>
      <c r="AB64" t="s">
        <v>7317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174.41666666666666</v>
      </c>
      <c r="AH64" s="4">
        <f t="shared" si="10"/>
        <v>3.8027777777777776</v>
      </c>
      <c r="AI64">
        <f t="shared" ca="1" si="11"/>
        <v>66</v>
      </c>
      <c r="AJ64">
        <f t="shared" ca="1" si="12"/>
        <v>32</v>
      </c>
      <c r="AK64">
        <f t="shared" ca="1" si="13"/>
        <v>83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VLOOKUP(VLOOKUP(E65,LocalAreas.csv!G:I,3,FALSE),ServiceAreas.csv!E:I,5,FALSE)</f>
        <v>200009</v>
      </c>
      <c r="G65" t="str">
        <f t="shared" si="3"/>
        <v>rg:{'id': '200001'}</v>
      </c>
      <c r="H65" t="s">
        <v>7699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7125</v>
      </c>
      <c r="X65" t="s">
        <v>76</v>
      </c>
      <c r="Y65" t="s">
        <v>76</v>
      </c>
      <c r="Z65" t="s">
        <v>76</v>
      </c>
      <c r="AA65" t="s">
        <v>7472</v>
      </c>
      <c r="AB65" t="s">
        <v>7311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VLOOKUP(VLOOKUP(E66,LocalAreas.csv!G:I,3,FALSE),ServiceAreas.csv!E:I,5,FALSE)</f>
        <v>200009</v>
      </c>
      <c r="G66" t="str">
        <f t="shared" si="3"/>
        <v>rg:{'id': '200001'}</v>
      </c>
      <c r="H66" t="s">
        <v>7700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7126</v>
      </c>
      <c r="X66" t="s">
        <v>76</v>
      </c>
      <c r="Y66" t="s">
        <v>76</v>
      </c>
      <c r="Z66" t="s">
        <v>76</v>
      </c>
      <c r="AA66" t="s">
        <v>7473</v>
      </c>
      <c r="AB66" t="s">
        <v>7318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293.16666666666669</v>
      </c>
      <c r="AH66" s="4">
        <f t="shared" si="10"/>
        <v>8.1833333333333336</v>
      </c>
      <c r="AI66">
        <f t="shared" ca="1" si="11"/>
        <v>56</v>
      </c>
      <c r="AJ66">
        <f t="shared" ca="1" si="12"/>
        <v>8</v>
      </c>
      <c r="AK66">
        <f t="shared" ca="1" si="13"/>
        <v>79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VLOOKUP(VLOOKUP(E67,LocalAreas.csv!G:I,3,FALSE),ServiceAreas.csv!E:I,5,FALSE)</f>
        <v>200009</v>
      </c>
      <c r="G67" t="str">
        <f t="shared" ref="G67:G130" si="17">"rg:{'id': '"&amp;E67&amp;"'}"</f>
        <v>rg:{'id': '200001'}</v>
      </c>
      <c r="H67" t="s">
        <v>7701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7127</v>
      </c>
      <c r="X67" t="s">
        <v>76</v>
      </c>
      <c r="Y67" t="s">
        <v>76</v>
      </c>
      <c r="Z67" t="s">
        <v>76</v>
      </c>
      <c r="AA67" t="s">
        <v>7474</v>
      </c>
      <c r="AB67" t="s">
        <v>7319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427.33333333333337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46</v>
      </c>
      <c r="AJ67">
        <f t="shared" ref="AJ67:AJ130" ca="1" si="26">IF(AH67&lt;2,0,RANDBETWEEN(0,200))</f>
        <v>25</v>
      </c>
      <c r="AK67">
        <f t="shared" ref="AK67:AK130" ca="1" si="27">IF(AH67&lt;3,0,RANDBETWEEN(0,200))</f>
        <v>180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VLOOKUP(VLOOKUP(E68,LocalAreas.csv!G:I,3,FALSE),ServiceAreas.csv!E:I,5,FALSE)</f>
        <v>200009</v>
      </c>
      <c r="G68" t="str">
        <f t="shared" si="17"/>
        <v>rg:{'id': '200001'}</v>
      </c>
      <c r="H68" t="s">
        <v>7702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7128</v>
      </c>
      <c r="X68" t="s">
        <v>76</v>
      </c>
      <c r="Y68" t="s">
        <v>76</v>
      </c>
      <c r="Z68" t="s">
        <v>76</v>
      </c>
      <c r="AA68" t="s">
        <v>7475</v>
      </c>
      <c r="AB68" t="s">
        <v>7320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441.08333333333331</v>
      </c>
      <c r="AH68" s="4">
        <f t="shared" si="24"/>
        <v>10.491666666666667</v>
      </c>
      <c r="AI68">
        <f t="shared" ca="1" si="25"/>
        <v>197</v>
      </c>
      <c r="AJ68">
        <f t="shared" ca="1" si="26"/>
        <v>108</v>
      </c>
      <c r="AK68">
        <f t="shared" ca="1" si="27"/>
        <v>74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VLOOKUP(VLOOKUP(E69,LocalAreas.csv!G:I,3,FALSE),ServiceAreas.csv!E:I,5,FALSE)</f>
        <v>200009</v>
      </c>
      <c r="G69" t="str">
        <f t="shared" si="17"/>
        <v>rg:{'id': '200001'}</v>
      </c>
      <c r="H69" t="s">
        <v>7703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7129</v>
      </c>
      <c r="X69" t="s">
        <v>76</v>
      </c>
      <c r="Y69" t="s">
        <v>76</v>
      </c>
      <c r="Z69" t="s">
        <v>76</v>
      </c>
      <c r="AA69" t="s">
        <v>7476</v>
      </c>
      <c r="AB69" t="s">
        <v>7321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404.16666666666663</v>
      </c>
      <c r="AH69" s="4">
        <f t="shared" si="24"/>
        <v>4.9805555555555552</v>
      </c>
      <c r="AI69">
        <f t="shared" ca="1" si="25"/>
        <v>53</v>
      </c>
      <c r="AJ69">
        <f t="shared" ca="1" si="26"/>
        <v>131</v>
      </c>
      <c r="AK69">
        <f t="shared" ca="1" si="27"/>
        <v>132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VLOOKUP(VLOOKUP(E70,LocalAreas.csv!G:I,3,FALSE),ServiceAreas.csv!E:I,5,FALSE)</f>
        <v>200009</v>
      </c>
      <c r="G70" t="str">
        <f t="shared" si="17"/>
        <v>rg:{'id': '200001'}</v>
      </c>
      <c r="H70" t="s">
        <v>7704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7130</v>
      </c>
      <c r="X70" t="s">
        <v>76</v>
      </c>
      <c r="Y70" t="s">
        <v>76</v>
      </c>
      <c r="Z70" t="s">
        <v>76</v>
      </c>
      <c r="AA70" t="s">
        <v>7477</v>
      </c>
      <c r="AB70" t="s">
        <v>7300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544.16666666666674</v>
      </c>
      <c r="AH70" s="4">
        <f t="shared" si="24"/>
        <v>7.7694444444444448</v>
      </c>
      <c r="AI70">
        <f t="shared" ca="1" si="25"/>
        <v>73</v>
      </c>
      <c r="AJ70">
        <f t="shared" ca="1" si="26"/>
        <v>120</v>
      </c>
      <c r="AK70">
        <f t="shared" ca="1" si="27"/>
        <v>41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VLOOKUP(VLOOKUP(E71,LocalAreas.csv!G:I,3,FALSE),ServiceAreas.csv!E:I,5,FALSE)</f>
        <v>200009</v>
      </c>
      <c r="G71" t="str">
        <f t="shared" si="17"/>
        <v>rg:{'id': '200001'}</v>
      </c>
      <c r="H71" t="s">
        <v>7705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7131</v>
      </c>
      <c r="X71" t="s">
        <v>76</v>
      </c>
      <c r="Y71" t="s">
        <v>76</v>
      </c>
      <c r="Z71" t="s">
        <v>76</v>
      </c>
      <c r="AA71" t="s">
        <v>7478</v>
      </c>
      <c r="AB71" t="s">
        <v>7262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659.66666666666663</v>
      </c>
      <c r="AH71" s="4">
        <f t="shared" si="24"/>
        <v>9.9499999999999993</v>
      </c>
      <c r="AI71">
        <f t="shared" ca="1" si="25"/>
        <v>11</v>
      </c>
      <c r="AJ71">
        <f t="shared" ca="1" si="26"/>
        <v>158</v>
      </c>
      <c r="AK71">
        <f t="shared" ca="1" si="27"/>
        <v>19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VLOOKUP(VLOOKUP(E72,LocalAreas.csv!G:I,3,FALSE),ServiceAreas.csv!E:I,5,FALSE)</f>
        <v>200009</v>
      </c>
      <c r="G72" t="str">
        <f t="shared" si="17"/>
        <v>rg:{'id': '200001'}</v>
      </c>
      <c r="H72" t="s">
        <v>7706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rg:False</v>
      </c>
      <c r="V72" t="str">
        <f t="shared" ca="1" si="21"/>
        <v>rg:None</v>
      </c>
      <c r="W72" t="s">
        <v>7132</v>
      </c>
      <c r="X72" t="s">
        <v>76</v>
      </c>
      <c r="Y72" t="s">
        <v>76</v>
      </c>
      <c r="Z72" t="s">
        <v>76</v>
      </c>
      <c r="AA72" t="s">
        <v>7479</v>
      </c>
      <c r="AB72" t="s">
        <v>7322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457.66666666666669</v>
      </c>
      <c r="AH72" s="4">
        <f t="shared" si="24"/>
        <v>6.2166666666666668</v>
      </c>
      <c r="AI72">
        <f t="shared" ca="1" si="25"/>
        <v>51</v>
      </c>
      <c r="AJ72">
        <f t="shared" ca="1" si="26"/>
        <v>172</v>
      </c>
      <c r="AK72">
        <f t="shared" ca="1" si="27"/>
        <v>31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VLOOKUP(VLOOKUP(E73,LocalAreas.csv!G:I,3,FALSE),ServiceAreas.csv!E:I,5,FALSE)</f>
        <v>200009</v>
      </c>
      <c r="G73" t="str">
        <f t="shared" si="17"/>
        <v>rg:{'id': '200001'}</v>
      </c>
      <c r="H73" t="s">
        <v>7707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7133</v>
      </c>
      <c r="X73" t="s">
        <v>76</v>
      </c>
      <c r="Y73" t="s">
        <v>76</v>
      </c>
      <c r="Z73" t="s">
        <v>76</v>
      </c>
      <c r="AA73" t="s">
        <v>7480</v>
      </c>
      <c r="AB73" t="s">
        <v>7323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310.33333333333337</v>
      </c>
      <c r="AH73" s="4">
        <f t="shared" si="24"/>
        <v>3.0722222222222224</v>
      </c>
      <c r="AI73">
        <f t="shared" ca="1" si="25"/>
        <v>88</v>
      </c>
      <c r="AJ73">
        <f t="shared" ca="1" si="26"/>
        <v>163</v>
      </c>
      <c r="AK73">
        <f t="shared" ca="1" si="27"/>
        <v>127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VLOOKUP(VLOOKUP(E74,LocalAreas.csv!G:I,3,FALSE),ServiceAreas.csv!E:I,5,FALSE)</f>
        <v>200009</v>
      </c>
      <c r="G74" t="str">
        <f t="shared" si="17"/>
        <v>rg:{'id': '200001'}</v>
      </c>
      <c r="H74" t="s">
        <v>7708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7134</v>
      </c>
      <c r="X74" t="s">
        <v>76</v>
      </c>
      <c r="Y74" t="s">
        <v>76</v>
      </c>
      <c r="Z74" t="s">
        <v>76</v>
      </c>
      <c r="AA74" t="s">
        <v>7481</v>
      </c>
      <c r="AB74" t="s">
        <v>7291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141</v>
      </c>
      <c r="AH74" s="4">
        <f t="shared" si="24"/>
        <v>1.8555555555555556</v>
      </c>
      <c r="AI74">
        <f t="shared" ca="1" si="25"/>
        <v>89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VLOOKUP(VLOOKUP(E75,LocalAreas.csv!G:I,3,FALSE),ServiceAreas.csv!E:I,5,FALSE)</f>
        <v>200009</v>
      </c>
      <c r="G75" t="str">
        <f t="shared" si="17"/>
        <v>rg:{'id': '200001'}</v>
      </c>
      <c r="H75" t="s">
        <v>7709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7135</v>
      </c>
      <c r="X75" t="s">
        <v>76</v>
      </c>
      <c r="Y75" t="s">
        <v>76</v>
      </c>
      <c r="Z75" t="s">
        <v>76</v>
      </c>
      <c r="AA75" t="s">
        <v>7482</v>
      </c>
      <c r="AB75" t="s">
        <v>7324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379.83333333333331</v>
      </c>
      <c r="AH75" s="4">
        <f t="shared" si="24"/>
        <v>4.9694444444444441</v>
      </c>
      <c r="AI75">
        <f t="shared" ca="1" si="25"/>
        <v>49</v>
      </c>
      <c r="AJ75">
        <f t="shared" ca="1" si="26"/>
        <v>78</v>
      </c>
      <c r="AK75">
        <f t="shared" ca="1" si="27"/>
        <v>118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VLOOKUP(VLOOKUP(E76,LocalAreas.csv!G:I,3,FALSE),ServiceAreas.csv!E:I,5,FALSE)</f>
        <v>200009</v>
      </c>
      <c r="G76" t="str">
        <f t="shared" si="17"/>
        <v>rg:{'id': '200001'}</v>
      </c>
      <c r="H76" t="s">
        <v>7655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7136</v>
      </c>
      <c r="X76" t="s">
        <v>76</v>
      </c>
      <c r="Y76" t="s">
        <v>76</v>
      </c>
      <c r="Z76" t="s">
        <v>76</v>
      </c>
      <c r="AA76" t="s">
        <v>7483</v>
      </c>
      <c r="AB76" t="s">
        <v>7325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510.83333333333337</v>
      </c>
      <c r="AH76" s="4">
        <f t="shared" si="24"/>
        <v>6.2750000000000004</v>
      </c>
      <c r="AI76">
        <f t="shared" ca="1" si="25"/>
        <v>142</v>
      </c>
      <c r="AJ76">
        <f t="shared" ca="1" si="26"/>
        <v>199</v>
      </c>
      <c r="AK76">
        <f t="shared" ca="1" si="27"/>
        <v>62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VLOOKUP(VLOOKUP(E77,LocalAreas.csv!G:I,3,FALSE),ServiceAreas.csv!E:I,5,FALSE)</f>
        <v>200009</v>
      </c>
      <c r="G77" t="str">
        <f t="shared" si="17"/>
        <v>rg:{'id': '200001'}</v>
      </c>
      <c r="H77" t="s">
        <v>7710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7137</v>
      </c>
      <c r="X77" t="s">
        <v>76</v>
      </c>
      <c r="Y77" t="s">
        <v>76</v>
      </c>
      <c r="Z77" t="s">
        <v>76</v>
      </c>
      <c r="AA77" t="s">
        <v>7484</v>
      </c>
      <c r="AB77" t="s">
        <v>7326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223.66666666666666</v>
      </c>
      <c r="AH77" s="4">
        <f t="shared" si="24"/>
        <v>2.3777777777777778</v>
      </c>
      <c r="AI77">
        <f t="shared" ca="1" si="25"/>
        <v>163</v>
      </c>
      <c r="AJ77">
        <f t="shared" ca="1" si="26"/>
        <v>80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VLOOKUP(VLOOKUP(E78,LocalAreas.csv!G:I,3,FALSE),ServiceAreas.csv!E:I,5,FALSE)</f>
        <v>200009</v>
      </c>
      <c r="G78" t="str">
        <f t="shared" si="17"/>
        <v>rg:{'id': '200001'}</v>
      </c>
      <c r="H78" t="s">
        <v>7682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7138</v>
      </c>
      <c r="X78" t="s">
        <v>76</v>
      </c>
      <c r="Y78" t="s">
        <v>76</v>
      </c>
      <c r="Z78" t="s">
        <v>76</v>
      </c>
      <c r="AA78" t="s">
        <v>7485</v>
      </c>
      <c r="AB78" t="s">
        <v>7327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108.83333333333334</v>
      </c>
      <c r="AH78" s="4">
        <f t="shared" si="24"/>
        <v>1.125</v>
      </c>
      <c r="AI78">
        <f t="shared" ca="1" si="25"/>
        <v>124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VLOOKUP(VLOOKUP(E79,LocalAreas.csv!G:I,3,FALSE),ServiceAreas.csv!E:I,5,FALSE)</f>
        <v>200009</v>
      </c>
      <c r="G79" t="str">
        <f t="shared" si="17"/>
        <v>rg:{'id': '200001'}</v>
      </c>
      <c r="H79" t="s">
        <v>7699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7139</v>
      </c>
      <c r="X79" t="s">
        <v>76</v>
      </c>
      <c r="Y79" t="s">
        <v>76</v>
      </c>
      <c r="Z79" t="s">
        <v>76</v>
      </c>
      <c r="AA79" t="s">
        <v>7486</v>
      </c>
      <c r="AB79" t="s">
        <v>7328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VLOOKUP(VLOOKUP(E80,LocalAreas.csv!G:I,3,FALSE),ServiceAreas.csv!E:I,5,FALSE)</f>
        <v>200009</v>
      </c>
      <c r="G80" t="str">
        <f t="shared" si="17"/>
        <v>rg:{'id': '200001'}</v>
      </c>
      <c r="H80" t="s">
        <v>7276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7140</v>
      </c>
      <c r="X80" t="s">
        <v>76</v>
      </c>
      <c r="Y80" t="s">
        <v>76</v>
      </c>
      <c r="Z80" t="s">
        <v>76</v>
      </c>
      <c r="AA80" t="s">
        <v>7487</v>
      </c>
      <c r="AB80" t="s">
        <v>7329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280.16666666666669</v>
      </c>
      <c r="AH80" s="4">
        <f t="shared" si="24"/>
        <v>4.3361111111111112</v>
      </c>
      <c r="AI80">
        <f t="shared" ca="1" si="25"/>
        <v>58</v>
      </c>
      <c r="AJ80">
        <f t="shared" ca="1" si="26"/>
        <v>0</v>
      </c>
      <c r="AK80">
        <f t="shared" ca="1" si="27"/>
        <v>2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VLOOKUP(VLOOKUP(E81,LocalAreas.csv!G:I,3,FALSE),ServiceAreas.csv!E:I,5,FALSE)</f>
        <v>200009</v>
      </c>
      <c r="G81" t="str">
        <f t="shared" si="17"/>
        <v>rg:{'id': '200001'}</v>
      </c>
      <c r="H81" t="s">
        <v>7711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7141</v>
      </c>
      <c r="X81" t="s">
        <v>76</v>
      </c>
      <c r="Y81" t="s">
        <v>76</v>
      </c>
      <c r="Z81" t="s">
        <v>76</v>
      </c>
      <c r="AA81" t="s">
        <v>7488</v>
      </c>
      <c r="AB81" t="s">
        <v>7272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594</v>
      </c>
      <c r="AH81" s="4">
        <f t="shared" si="24"/>
        <v>7.2888888888888888</v>
      </c>
      <c r="AI81">
        <f t="shared" ca="1" si="25"/>
        <v>153</v>
      </c>
      <c r="AJ81">
        <f t="shared" ca="1" si="26"/>
        <v>121</v>
      </c>
      <c r="AK81">
        <f t="shared" ca="1" si="27"/>
        <v>196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VLOOKUP(VLOOKUP(E82,LocalAreas.csv!G:I,3,FALSE),ServiceAreas.csv!E:I,5,FALSE)</f>
        <v>200009</v>
      </c>
      <c r="G82" t="str">
        <f t="shared" si="17"/>
        <v>rg:{'id': '200001'}</v>
      </c>
      <c r="H82" t="s">
        <v>7666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7142</v>
      </c>
      <c r="X82" t="s">
        <v>76</v>
      </c>
      <c r="Y82" t="s">
        <v>76</v>
      </c>
      <c r="Z82" t="s">
        <v>76</v>
      </c>
      <c r="AA82" t="s">
        <v>7489</v>
      </c>
      <c r="AB82" t="s">
        <v>7330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VLOOKUP(VLOOKUP(E83,LocalAreas.csv!G:I,3,FALSE),ServiceAreas.csv!E:I,5,FALSE)</f>
        <v>200009</v>
      </c>
      <c r="G83" t="str">
        <f t="shared" si="17"/>
        <v>rg:{'id': '200001'}</v>
      </c>
      <c r="H83" t="s">
        <v>7712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7143</v>
      </c>
      <c r="X83" t="s">
        <v>76</v>
      </c>
      <c r="Y83" t="s">
        <v>76</v>
      </c>
      <c r="Z83" t="s">
        <v>76</v>
      </c>
      <c r="AA83" t="s">
        <v>7490</v>
      </c>
      <c r="AB83" t="s">
        <v>7331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VLOOKUP(VLOOKUP(E84,LocalAreas.csv!G:I,3,FALSE),ServiceAreas.csv!E:I,5,FALSE)</f>
        <v>200009</v>
      </c>
      <c r="G84" t="str">
        <f t="shared" si="17"/>
        <v>rg:{'id': '200001'}</v>
      </c>
      <c r="H84" t="s">
        <v>7713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7144</v>
      </c>
      <c r="X84" t="s">
        <v>76</v>
      </c>
      <c r="Y84" t="s">
        <v>76</v>
      </c>
      <c r="Z84" t="s">
        <v>76</v>
      </c>
      <c r="AA84" t="s">
        <v>7491</v>
      </c>
      <c r="AB84" t="s">
        <v>7332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167.16666666666666</v>
      </c>
      <c r="AH84" s="4">
        <f t="shared" si="24"/>
        <v>2.1361111111111111</v>
      </c>
      <c r="AI84">
        <f t="shared" ca="1" si="25"/>
        <v>86</v>
      </c>
      <c r="AJ84">
        <f t="shared" ca="1" si="26"/>
        <v>31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VLOOKUP(VLOOKUP(E85,LocalAreas.csv!G:I,3,FALSE),ServiceAreas.csv!E:I,5,FALSE)</f>
        <v>200009</v>
      </c>
      <c r="G85" t="str">
        <f t="shared" si="17"/>
        <v>rg:{'id': '200001'}</v>
      </c>
      <c r="H85" t="s">
        <v>7684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7145</v>
      </c>
      <c r="X85" t="s">
        <v>76</v>
      </c>
      <c r="Y85" t="s">
        <v>76</v>
      </c>
      <c r="Z85" t="s">
        <v>76</v>
      </c>
      <c r="AA85" t="s">
        <v>7492</v>
      </c>
      <c r="AB85" t="s">
        <v>7333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680.66666666666674</v>
      </c>
      <c r="AH85" s="4">
        <f t="shared" si="24"/>
        <v>9.6388888888888893</v>
      </c>
      <c r="AI85">
        <f t="shared" ca="1" si="25"/>
        <v>119</v>
      </c>
      <c r="AJ85">
        <f t="shared" ca="1" si="26"/>
        <v>92</v>
      </c>
      <c r="AK85">
        <f t="shared" ca="1" si="27"/>
        <v>96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VLOOKUP(VLOOKUP(E86,LocalAreas.csv!G:I,3,FALSE),ServiceAreas.csv!E:I,5,FALSE)</f>
        <v>200009</v>
      </c>
      <c r="G86" t="str">
        <f t="shared" si="17"/>
        <v>rg:{'id': '200001'}</v>
      </c>
      <c r="H86" t="s">
        <v>7714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rg:True</v>
      </c>
      <c r="V86" t="str">
        <f t="shared" ca="1" si="21"/>
        <v>This equipment should be archived</v>
      </c>
      <c r="W86" t="s">
        <v>7146</v>
      </c>
      <c r="X86" t="s">
        <v>76</v>
      </c>
      <c r="Y86" t="s">
        <v>76</v>
      </c>
      <c r="Z86" t="s">
        <v>76</v>
      </c>
      <c r="AA86" t="s">
        <v>7493</v>
      </c>
      <c r="AB86" t="s">
        <v>7334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644.5</v>
      </c>
      <c r="AH86" s="4">
        <f t="shared" si="24"/>
        <v>8.8638888888888889</v>
      </c>
      <c r="AI86">
        <f t="shared" ca="1" si="25"/>
        <v>160</v>
      </c>
      <c r="AJ86">
        <f t="shared" ca="1" si="26"/>
        <v>43</v>
      </c>
      <c r="AK86">
        <f t="shared" ca="1" si="27"/>
        <v>135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VLOOKUP(VLOOKUP(E87,LocalAreas.csv!G:I,3,FALSE),ServiceAreas.csv!E:I,5,FALSE)</f>
        <v>200009</v>
      </c>
      <c r="G87" t="str">
        <f t="shared" si="17"/>
        <v>rg:{'id': '200001'}</v>
      </c>
      <c r="H87" t="s">
        <v>7715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7147</v>
      </c>
      <c r="X87" t="s">
        <v>76</v>
      </c>
      <c r="Y87" t="s">
        <v>76</v>
      </c>
      <c r="Z87" t="s">
        <v>76</v>
      </c>
      <c r="AA87" t="s">
        <v>7494</v>
      </c>
      <c r="AB87" t="s">
        <v>7335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431.33333333333331</v>
      </c>
      <c r="AH87" s="4">
        <f t="shared" si="24"/>
        <v>5.4833333333333334</v>
      </c>
      <c r="AI87">
        <f t="shared" ca="1" si="25"/>
        <v>130</v>
      </c>
      <c r="AJ87">
        <f t="shared" ca="1" si="26"/>
        <v>104</v>
      </c>
      <c r="AK87">
        <f t="shared" ca="1" si="27"/>
        <v>73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VLOOKUP(VLOOKUP(E88,LocalAreas.csv!G:I,3,FALSE),ServiceAreas.csv!E:I,5,FALSE)</f>
        <v>200009</v>
      </c>
      <c r="G88" t="str">
        <f t="shared" si="17"/>
        <v>rg:{'id': '200001'}</v>
      </c>
      <c r="H88" t="s">
        <v>7716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7148</v>
      </c>
      <c r="X88" t="s">
        <v>76</v>
      </c>
      <c r="Y88" t="s">
        <v>76</v>
      </c>
      <c r="Z88" t="s">
        <v>76</v>
      </c>
      <c r="AA88" t="s">
        <v>7495</v>
      </c>
      <c r="AB88" t="s">
        <v>7336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580.16666666666674</v>
      </c>
      <c r="AH88" s="4">
        <f t="shared" si="24"/>
        <v>8.3527777777777779</v>
      </c>
      <c r="AI88">
        <f t="shared" ca="1" si="25"/>
        <v>46</v>
      </c>
      <c r="AJ88">
        <f t="shared" ca="1" si="26"/>
        <v>10</v>
      </c>
      <c r="AK88">
        <f t="shared" ca="1" si="27"/>
        <v>181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VLOOKUP(VLOOKUP(E89,LocalAreas.csv!G:I,3,FALSE),ServiceAreas.csv!E:I,5,FALSE)</f>
        <v>200009</v>
      </c>
      <c r="G89" t="str">
        <f t="shared" si="17"/>
        <v>rg:{'id': '200001'}</v>
      </c>
      <c r="H89" t="s">
        <v>7717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7149</v>
      </c>
      <c r="X89" t="s">
        <v>76</v>
      </c>
      <c r="Y89" t="s">
        <v>76</v>
      </c>
      <c r="Z89" t="s">
        <v>76</v>
      </c>
      <c r="AA89" t="s">
        <v>7496</v>
      </c>
      <c r="AB89" t="s">
        <v>7337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VLOOKUP(VLOOKUP(E90,LocalAreas.csv!G:I,3,FALSE),ServiceAreas.csv!E:I,5,FALSE)</f>
        <v>200009</v>
      </c>
      <c r="G90" t="str">
        <f t="shared" si="17"/>
        <v>rg:{'id': '200001'}</v>
      </c>
      <c r="H90" t="s">
        <v>7697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7150</v>
      </c>
      <c r="X90" t="s">
        <v>76</v>
      </c>
      <c r="Y90" t="s">
        <v>76</v>
      </c>
      <c r="Z90" t="s">
        <v>76</v>
      </c>
      <c r="AA90" t="s">
        <v>7497</v>
      </c>
      <c r="AB90" t="s">
        <v>7287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349.83333333333337</v>
      </c>
      <c r="AH90" s="4">
        <f t="shared" si="24"/>
        <v>4.0472222222222225</v>
      </c>
      <c r="AI90">
        <f t="shared" ca="1" si="25"/>
        <v>160</v>
      </c>
      <c r="AJ90">
        <f t="shared" ca="1" si="26"/>
        <v>119</v>
      </c>
      <c r="AK90">
        <f t="shared" ca="1" si="27"/>
        <v>42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VLOOKUP(VLOOKUP(E91,LocalAreas.csv!G:I,3,FALSE),ServiceAreas.csv!E:I,5,FALSE)</f>
        <v>200009</v>
      </c>
      <c r="G91" t="str">
        <f t="shared" si="17"/>
        <v>rg:{'id': '200001'}</v>
      </c>
      <c r="H91" t="s">
        <v>7718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7151</v>
      </c>
      <c r="X91" t="s">
        <v>76</v>
      </c>
      <c r="Y91" t="s">
        <v>76</v>
      </c>
      <c r="Z91" t="s">
        <v>76</v>
      </c>
      <c r="AA91" t="s">
        <v>7498</v>
      </c>
      <c r="AB91" t="s">
        <v>7338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510.66666666666669</v>
      </c>
      <c r="AH91" s="4">
        <f t="shared" si="24"/>
        <v>5.9611111111111112</v>
      </c>
      <c r="AI91">
        <f t="shared" ca="1" si="25"/>
        <v>173</v>
      </c>
      <c r="AJ91">
        <f t="shared" ca="1" si="26"/>
        <v>86</v>
      </c>
      <c r="AK91">
        <f t="shared" ca="1" si="27"/>
        <v>200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VLOOKUP(VLOOKUP(E92,LocalAreas.csv!G:I,3,FALSE),ServiceAreas.csv!E:I,5,FALSE)</f>
        <v>200009</v>
      </c>
      <c r="G92" t="str">
        <f t="shared" si="17"/>
        <v>rg:{'id': '200001'}</v>
      </c>
      <c r="H92" t="s">
        <v>7719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7152</v>
      </c>
      <c r="X92" t="s">
        <v>76</v>
      </c>
      <c r="Y92" t="s">
        <v>76</v>
      </c>
      <c r="Z92" t="s">
        <v>76</v>
      </c>
      <c r="AA92" t="s">
        <v>7499</v>
      </c>
      <c r="AB92" t="s">
        <v>7332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725.83333333333337</v>
      </c>
      <c r="AH92" s="4">
        <f t="shared" si="24"/>
        <v>10.291666666666666</v>
      </c>
      <c r="AI92">
        <f t="shared" ca="1" si="25"/>
        <v>191</v>
      </c>
      <c r="AJ92">
        <f t="shared" ca="1" si="26"/>
        <v>15</v>
      </c>
      <c r="AK92">
        <f t="shared" ca="1" si="27"/>
        <v>119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VLOOKUP(VLOOKUP(E93,LocalAreas.csv!G:I,3,FALSE),ServiceAreas.csv!E:I,5,FALSE)</f>
        <v>200009</v>
      </c>
      <c r="G93" t="str">
        <f t="shared" si="17"/>
        <v>rg:{'id': '200001'}</v>
      </c>
      <c r="H93" t="s">
        <v>7653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7153</v>
      </c>
      <c r="X93" t="s">
        <v>76</v>
      </c>
      <c r="Y93" t="s">
        <v>76</v>
      </c>
      <c r="Z93" t="s">
        <v>76</v>
      </c>
      <c r="AA93" t="s">
        <v>7500</v>
      </c>
      <c r="AB93" t="s">
        <v>7263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VLOOKUP(VLOOKUP(E94,LocalAreas.csv!G:I,3,FALSE),ServiceAreas.csv!E:I,5,FALSE)</f>
        <v>200009</v>
      </c>
      <c r="G94" t="str">
        <f t="shared" si="17"/>
        <v>rg:{'id': '200001'}</v>
      </c>
      <c r="H94" t="s">
        <v>7692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7154</v>
      </c>
      <c r="X94" t="s">
        <v>76</v>
      </c>
      <c r="Y94" t="s">
        <v>76</v>
      </c>
      <c r="Z94" t="s">
        <v>76</v>
      </c>
      <c r="AA94" t="s">
        <v>7501</v>
      </c>
      <c r="AB94" t="s">
        <v>7339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394.83333333333337</v>
      </c>
      <c r="AH94" s="4">
        <f t="shared" si="24"/>
        <v>4.291666666666667</v>
      </c>
      <c r="AI94">
        <f t="shared" ca="1" si="25"/>
        <v>121</v>
      </c>
      <c r="AJ94">
        <f t="shared" ca="1" si="26"/>
        <v>153</v>
      </c>
      <c r="AK94">
        <f t="shared" ca="1" si="27"/>
        <v>138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VLOOKUP(VLOOKUP(E95,LocalAreas.csv!G:I,3,FALSE),ServiceAreas.csv!E:I,5,FALSE)</f>
        <v>200009</v>
      </c>
      <c r="G95" t="str">
        <f t="shared" si="17"/>
        <v>rg:{'id': '200001'}</v>
      </c>
      <c r="H95" t="s">
        <v>7720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7155</v>
      </c>
      <c r="X95" t="s">
        <v>76</v>
      </c>
      <c r="Y95" t="s">
        <v>76</v>
      </c>
      <c r="Z95" t="s">
        <v>76</v>
      </c>
      <c r="AA95" t="s">
        <v>7502</v>
      </c>
      <c r="AB95" t="s">
        <v>7305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421.83333333333337</v>
      </c>
      <c r="AH95" s="4">
        <f t="shared" si="24"/>
        <v>5.5027777777777782</v>
      </c>
      <c r="AI95">
        <f t="shared" ca="1" si="25"/>
        <v>110</v>
      </c>
      <c r="AJ95">
        <f t="shared" ca="1" si="26"/>
        <v>70</v>
      </c>
      <c r="AK95">
        <f t="shared" ca="1" si="27"/>
        <v>95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VLOOKUP(VLOOKUP(E96,LocalAreas.csv!G:I,3,FALSE),ServiceAreas.csv!E:I,5,FALSE)</f>
        <v>200009</v>
      </c>
      <c r="G96" t="str">
        <f t="shared" si="17"/>
        <v>rg:{'id': '200001'}</v>
      </c>
      <c r="H96" t="s">
        <v>7721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7156</v>
      </c>
      <c r="X96" t="s">
        <v>76</v>
      </c>
      <c r="Y96" t="s">
        <v>76</v>
      </c>
      <c r="Z96" t="s">
        <v>76</v>
      </c>
      <c r="AA96" t="s">
        <v>7503</v>
      </c>
      <c r="AB96" t="s">
        <v>7340</v>
      </c>
      <c r="AC96">
        <v>0</v>
      </c>
      <c r="AD96" t="str">
        <f t="shared" ca="1" si="22"/>
        <v>rg:True</v>
      </c>
      <c r="AE96" t="str">
        <f t="shared" ca="1" si="23"/>
        <v>Seniority overridden to test things</v>
      </c>
      <c r="AF96" s="1">
        <v>42481</v>
      </c>
      <c r="AG96" s="4">
        <f t="shared" ca="1" si="14"/>
        <v>613.5</v>
      </c>
      <c r="AH96" s="4">
        <f t="shared" si="24"/>
        <v>9.2583333333333329</v>
      </c>
      <c r="AI96">
        <f t="shared" ca="1" si="25"/>
        <v>120</v>
      </c>
      <c r="AJ96">
        <f t="shared" ca="1" si="26"/>
        <v>25</v>
      </c>
      <c r="AK96">
        <f t="shared" ca="1" si="27"/>
        <v>29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VLOOKUP(VLOOKUP(E97,LocalAreas.csv!G:I,3,FALSE),ServiceAreas.csv!E:I,5,FALSE)</f>
        <v>200009</v>
      </c>
      <c r="G97" t="str">
        <f t="shared" si="17"/>
        <v>rg:{'id': '200001'}</v>
      </c>
      <c r="H97" t="s">
        <v>7667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7157</v>
      </c>
      <c r="X97" t="s">
        <v>76</v>
      </c>
      <c r="Y97" t="s">
        <v>76</v>
      </c>
      <c r="Z97" t="s">
        <v>76</v>
      </c>
      <c r="AA97" t="s">
        <v>7504</v>
      </c>
      <c r="AB97" t="s">
        <v>7341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238.66666666666669</v>
      </c>
      <c r="AH97" s="4">
        <f t="shared" si="24"/>
        <v>2.2555555555555555</v>
      </c>
      <c r="AI97">
        <f t="shared" ca="1" si="25"/>
        <v>199</v>
      </c>
      <c r="AJ97">
        <f t="shared" ca="1" si="26"/>
        <v>111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VLOOKUP(VLOOKUP(E98,LocalAreas.csv!G:I,3,FALSE),ServiceAreas.csv!E:I,5,FALSE)</f>
        <v>200009</v>
      </c>
      <c r="G98" t="str">
        <f t="shared" si="17"/>
        <v>rg:{'id': '200001'}</v>
      </c>
      <c r="H98" t="s">
        <v>7722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7158</v>
      </c>
      <c r="X98" t="s">
        <v>76</v>
      </c>
      <c r="Y98" t="s">
        <v>76</v>
      </c>
      <c r="Z98" t="s">
        <v>76</v>
      </c>
      <c r="AA98" t="s">
        <v>7505</v>
      </c>
      <c r="AB98" t="s">
        <v>7342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592.5</v>
      </c>
      <c r="AH98" s="4">
        <f t="shared" si="24"/>
        <v>7.8361111111111112</v>
      </c>
      <c r="AI98">
        <f t="shared" ca="1" si="25"/>
        <v>104</v>
      </c>
      <c r="AJ98">
        <f t="shared" ca="1" si="26"/>
        <v>114</v>
      </c>
      <c r="AK98">
        <f t="shared" ca="1" si="27"/>
        <v>149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VLOOKUP(VLOOKUP(E99,LocalAreas.csv!G:I,3,FALSE),ServiceAreas.csv!E:I,5,FALSE)</f>
        <v>200009</v>
      </c>
      <c r="G99" t="str">
        <f t="shared" si="17"/>
        <v>rg:{'id': '200001'}</v>
      </c>
      <c r="H99" t="s">
        <v>7723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7159</v>
      </c>
      <c r="X99" t="s">
        <v>76</v>
      </c>
      <c r="Y99" t="s">
        <v>76</v>
      </c>
      <c r="Z99" t="s">
        <v>76</v>
      </c>
      <c r="AA99" t="s">
        <v>7506</v>
      </c>
      <c r="AB99" t="s">
        <v>7343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478.66666666666663</v>
      </c>
      <c r="AH99" s="4">
        <f t="shared" si="24"/>
        <v>5.8</v>
      </c>
      <c r="AI99">
        <f t="shared" ca="1" si="25"/>
        <v>64</v>
      </c>
      <c r="AJ99">
        <f t="shared" ca="1" si="26"/>
        <v>150</v>
      </c>
      <c r="AK99">
        <f t="shared" ca="1" si="27"/>
        <v>178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VLOOKUP(VLOOKUP(E100,LocalAreas.csv!G:I,3,FALSE),ServiceAreas.csv!E:I,5,FALSE)</f>
        <v>200009</v>
      </c>
      <c r="G100" t="str">
        <f t="shared" si="17"/>
        <v>rg:{'id': '200001'}</v>
      </c>
      <c r="H100" t="s">
        <v>7724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7160</v>
      </c>
      <c r="X100" t="s">
        <v>76</v>
      </c>
      <c r="Y100" t="s">
        <v>76</v>
      </c>
      <c r="Z100" t="s">
        <v>76</v>
      </c>
      <c r="AA100" t="s">
        <v>7507</v>
      </c>
      <c r="AB100" t="s">
        <v>7344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280.16666666666663</v>
      </c>
      <c r="AH100" s="4">
        <f t="shared" si="24"/>
        <v>3.2361111111111112</v>
      </c>
      <c r="AI100">
        <f t="shared" ca="1" si="25"/>
        <v>0</v>
      </c>
      <c r="AJ100">
        <f t="shared" ca="1" si="26"/>
        <v>195</v>
      </c>
      <c r="AK100">
        <f t="shared" ca="1" si="27"/>
        <v>63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VLOOKUP(VLOOKUP(E101,LocalAreas.csv!G:I,3,FALSE),ServiceAreas.csv!E:I,5,FALSE)</f>
        <v>200009</v>
      </c>
      <c r="G101" t="str">
        <f t="shared" si="17"/>
        <v>rg:{'id': '200001'}</v>
      </c>
      <c r="H101" t="s">
        <v>7672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7161</v>
      </c>
      <c r="X101" t="s">
        <v>76</v>
      </c>
      <c r="Y101" t="s">
        <v>76</v>
      </c>
      <c r="Z101" t="s">
        <v>76</v>
      </c>
      <c r="AA101" t="s">
        <v>7508</v>
      </c>
      <c r="AB101" t="s">
        <v>7345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662.16666666666663</v>
      </c>
      <c r="AH101" s="4">
        <f t="shared" si="24"/>
        <v>9.5972222222222214</v>
      </c>
      <c r="AI101">
        <f t="shared" ca="1" si="25"/>
        <v>63</v>
      </c>
      <c r="AJ101">
        <f t="shared" ca="1" si="26"/>
        <v>82</v>
      </c>
      <c r="AK101">
        <f t="shared" ca="1" si="27"/>
        <v>114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VLOOKUP(VLOOKUP(E102,LocalAreas.csv!G:I,3,FALSE),ServiceAreas.csv!E:I,5,FALSE)</f>
        <v>200009</v>
      </c>
      <c r="G102" t="str">
        <f t="shared" si="17"/>
        <v>rg:{'id': '200001'}</v>
      </c>
      <c r="H102" t="s">
        <v>7725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7162</v>
      </c>
      <c r="X102" t="s">
        <v>76</v>
      </c>
      <c r="Y102" t="s">
        <v>76</v>
      </c>
      <c r="Z102" t="s">
        <v>76</v>
      </c>
      <c r="AA102" t="s">
        <v>7509</v>
      </c>
      <c r="AB102" t="s">
        <v>7290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622.16666666666674</v>
      </c>
      <c r="AH102" s="4">
        <f t="shared" si="24"/>
        <v>8.8638888888888889</v>
      </c>
      <c r="AI102">
        <f t="shared" ca="1" si="25"/>
        <v>82</v>
      </c>
      <c r="AJ102">
        <f t="shared" ca="1" si="26"/>
        <v>162</v>
      </c>
      <c r="AK102">
        <f t="shared" ca="1" si="27"/>
        <v>27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VLOOKUP(VLOOKUP(E103,LocalAreas.csv!G:I,3,FALSE),ServiceAreas.csv!E:I,5,FALSE)</f>
        <v>200009</v>
      </c>
      <c r="G103" t="str">
        <f t="shared" si="17"/>
        <v>rg:{'id': '200001'}</v>
      </c>
      <c r="H103" t="s">
        <v>7664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7163</v>
      </c>
      <c r="X103" t="s">
        <v>76</v>
      </c>
      <c r="Y103" t="s">
        <v>76</v>
      </c>
      <c r="Z103" t="s">
        <v>76</v>
      </c>
      <c r="AA103" t="s">
        <v>7510</v>
      </c>
      <c r="AB103" t="s">
        <v>7346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576</v>
      </c>
      <c r="AH103" s="4">
        <f t="shared" si="24"/>
        <v>6.927777777777778</v>
      </c>
      <c r="AI103">
        <f t="shared" ca="1" si="25"/>
        <v>187</v>
      </c>
      <c r="AJ103">
        <f t="shared" ca="1" si="26"/>
        <v>100</v>
      </c>
      <c r="AK103">
        <f t="shared" ca="1" si="27"/>
        <v>194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VLOOKUP(VLOOKUP(E104,LocalAreas.csv!G:I,3,FALSE),ServiceAreas.csv!E:I,5,FALSE)</f>
        <v>200009</v>
      </c>
      <c r="G104" t="str">
        <f t="shared" si="17"/>
        <v>rg:{'id': '200001'}</v>
      </c>
      <c r="H104" t="s">
        <v>7726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7164</v>
      </c>
      <c r="X104" t="s">
        <v>76</v>
      </c>
      <c r="Y104" t="s">
        <v>76</v>
      </c>
      <c r="Z104" t="s">
        <v>76</v>
      </c>
      <c r="AA104" t="s">
        <v>7511</v>
      </c>
      <c r="AB104" t="s">
        <v>7347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444.16666666666669</v>
      </c>
      <c r="AH104" s="4">
        <f t="shared" si="24"/>
        <v>5.4249999999999998</v>
      </c>
      <c r="AI104">
        <f t="shared" ca="1" si="25"/>
        <v>82</v>
      </c>
      <c r="AJ104">
        <f t="shared" ca="1" si="26"/>
        <v>106</v>
      </c>
      <c r="AK104">
        <f t="shared" ca="1" si="27"/>
        <v>168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VLOOKUP(VLOOKUP(E105,LocalAreas.csv!G:I,3,FALSE),ServiceAreas.csv!E:I,5,FALSE)</f>
        <v>200009</v>
      </c>
      <c r="G105" t="str">
        <f t="shared" si="17"/>
        <v>rg:{'id': '200001'}</v>
      </c>
      <c r="H105" t="s">
        <v>7727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7165</v>
      </c>
      <c r="X105" t="s">
        <v>76</v>
      </c>
      <c r="Y105" t="s">
        <v>76</v>
      </c>
      <c r="Z105" t="s">
        <v>76</v>
      </c>
      <c r="AA105" t="s">
        <v>7512</v>
      </c>
      <c r="AB105" t="s">
        <v>7348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860.16666666666663</v>
      </c>
      <c r="AH105" s="4">
        <f t="shared" si="24"/>
        <v>12.319444444444445</v>
      </c>
      <c r="AI105">
        <f t="shared" ca="1" si="25"/>
        <v>41</v>
      </c>
      <c r="AJ105">
        <f t="shared" ca="1" si="26"/>
        <v>196</v>
      </c>
      <c r="AK105">
        <f t="shared" ca="1" si="27"/>
        <v>126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VLOOKUP(VLOOKUP(E106,LocalAreas.csv!G:I,3,FALSE),ServiceAreas.csv!E:I,5,FALSE)</f>
        <v>200009</v>
      </c>
      <c r="G106" t="str">
        <f t="shared" si="17"/>
        <v>rg:{'id': '200001'}</v>
      </c>
      <c r="H106" t="s">
        <v>7728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7166</v>
      </c>
      <c r="X106" t="s">
        <v>76</v>
      </c>
      <c r="Y106" t="s">
        <v>76</v>
      </c>
      <c r="Z106" t="s">
        <v>76</v>
      </c>
      <c r="AA106" t="s">
        <v>7513</v>
      </c>
      <c r="AB106" t="s">
        <v>7349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548</v>
      </c>
      <c r="AH106" s="4">
        <f t="shared" si="24"/>
        <v>7.6388888888888893</v>
      </c>
      <c r="AI106">
        <f t="shared" ca="1" si="25"/>
        <v>132</v>
      </c>
      <c r="AJ106">
        <f t="shared" ca="1" si="26"/>
        <v>37</v>
      </c>
      <c r="AK106">
        <f t="shared" ca="1" si="27"/>
        <v>100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VLOOKUP(VLOOKUP(E107,LocalAreas.csv!G:I,3,FALSE),ServiceAreas.csv!E:I,5,FALSE)</f>
        <v>200009</v>
      </c>
      <c r="G107" t="str">
        <f t="shared" si="17"/>
        <v>rg:{'id': '200001'}</v>
      </c>
      <c r="H107" t="s">
        <v>7687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7167</v>
      </c>
      <c r="X107" t="s">
        <v>76</v>
      </c>
      <c r="Y107" t="s">
        <v>76</v>
      </c>
      <c r="Z107" t="s">
        <v>76</v>
      </c>
      <c r="AA107" t="s">
        <v>7514</v>
      </c>
      <c r="AB107" t="s">
        <v>7335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341.16666666666663</v>
      </c>
      <c r="AH107" s="4">
        <f t="shared" si="24"/>
        <v>3.7694444444444444</v>
      </c>
      <c r="AI107">
        <f t="shared" ca="1" si="25"/>
        <v>123</v>
      </c>
      <c r="AJ107">
        <f t="shared" ca="1" si="26"/>
        <v>81</v>
      </c>
      <c r="AK107">
        <f t="shared" ca="1" si="27"/>
        <v>141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VLOOKUP(VLOOKUP(E108,LocalAreas.csv!G:I,3,FALSE),ServiceAreas.csv!E:I,5,FALSE)</f>
        <v>200009</v>
      </c>
      <c r="G108" t="str">
        <f t="shared" si="17"/>
        <v>rg:{'id': '200001'}</v>
      </c>
      <c r="H108" t="s">
        <v>7679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7168</v>
      </c>
      <c r="X108" t="s">
        <v>76</v>
      </c>
      <c r="Y108" t="s">
        <v>76</v>
      </c>
      <c r="Z108" t="s">
        <v>76</v>
      </c>
      <c r="AA108" t="s">
        <v>7515</v>
      </c>
      <c r="AB108" t="s">
        <v>7346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440.83333333333337</v>
      </c>
      <c r="AH108" s="4">
        <f t="shared" si="24"/>
        <v>4.7583333333333337</v>
      </c>
      <c r="AI108">
        <f t="shared" ca="1" si="25"/>
        <v>103</v>
      </c>
      <c r="AJ108">
        <f t="shared" ca="1" si="26"/>
        <v>194</v>
      </c>
      <c r="AK108">
        <f t="shared" ca="1" si="27"/>
        <v>169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VLOOKUP(VLOOKUP(E109,LocalAreas.csv!G:I,3,FALSE),ServiceAreas.csv!E:I,5,FALSE)</f>
        <v>200009</v>
      </c>
      <c r="G109" t="str">
        <f t="shared" si="17"/>
        <v>rg:{'id': '200001'}</v>
      </c>
      <c r="H109" t="s">
        <v>7695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rg:True</v>
      </c>
      <c r="V109" t="str">
        <f t="shared" ca="1" si="21"/>
        <v>This equipment should be archived</v>
      </c>
      <c r="W109" t="s">
        <v>7169</v>
      </c>
      <c r="X109" t="s">
        <v>76</v>
      </c>
      <c r="Y109" t="s">
        <v>76</v>
      </c>
      <c r="Z109" t="s">
        <v>76</v>
      </c>
      <c r="AA109" t="s">
        <v>7516</v>
      </c>
      <c r="AB109" t="s">
        <v>7350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258.66666666666669</v>
      </c>
      <c r="AH109" s="4">
        <f t="shared" si="24"/>
        <v>6.0333333333333332</v>
      </c>
      <c r="AI109">
        <f t="shared" ca="1" si="25"/>
        <v>182</v>
      </c>
      <c r="AJ109">
        <f t="shared" ca="1" si="26"/>
        <v>47</v>
      </c>
      <c r="AK109">
        <f t="shared" ca="1" si="27"/>
        <v>4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VLOOKUP(VLOOKUP(E110,LocalAreas.csv!G:I,3,FALSE),ServiceAreas.csv!E:I,5,FALSE)</f>
        <v>200009</v>
      </c>
      <c r="G110" t="str">
        <f t="shared" si="17"/>
        <v>rg:{'id': '200001'}</v>
      </c>
      <c r="H110" t="s">
        <v>7729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7170</v>
      </c>
      <c r="X110" t="s">
        <v>76</v>
      </c>
      <c r="Y110" t="s">
        <v>76</v>
      </c>
      <c r="Z110" t="s">
        <v>76</v>
      </c>
      <c r="AA110" t="s">
        <v>7517</v>
      </c>
      <c r="AB110" t="s">
        <v>7351</v>
      </c>
      <c r="AC110">
        <v>0</v>
      </c>
      <c r="AD110" t="str">
        <f t="shared" ca="1" si="22"/>
        <v>rg:False</v>
      </c>
      <c r="AE110" t="str">
        <f t="shared" ca="1" si="23"/>
        <v>rg:None</v>
      </c>
      <c r="AF110" s="1">
        <v>42481</v>
      </c>
      <c r="AG110" s="4">
        <f t="shared" ca="1" si="14"/>
        <v>79.833333333333329</v>
      </c>
      <c r="AH110" s="4">
        <f t="shared" si="24"/>
        <v>1.7722222222222221</v>
      </c>
      <c r="AI110">
        <f t="shared" ca="1" si="25"/>
        <v>80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VLOOKUP(VLOOKUP(E111,LocalAreas.csv!G:I,3,FALSE),ServiceAreas.csv!E:I,5,FALSE)</f>
        <v>200009</v>
      </c>
      <c r="G111" t="str">
        <f t="shared" si="17"/>
        <v>rg:{'id': '200001'}</v>
      </c>
      <c r="H111" t="s">
        <v>7730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7171</v>
      </c>
      <c r="X111" t="s">
        <v>76</v>
      </c>
      <c r="Y111" t="s">
        <v>76</v>
      </c>
      <c r="Z111" t="s">
        <v>76</v>
      </c>
      <c r="AA111" t="s">
        <v>7518</v>
      </c>
      <c r="AB111" t="s">
        <v>7352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129.41666666666666</v>
      </c>
      <c r="AH111" s="4">
        <f t="shared" si="24"/>
        <v>2.6805555555555554</v>
      </c>
      <c r="AI111">
        <f t="shared" ca="1" si="25"/>
        <v>21</v>
      </c>
      <c r="AJ111">
        <f t="shared" ca="1" si="26"/>
        <v>126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VLOOKUP(VLOOKUP(E112,LocalAreas.csv!G:I,3,FALSE),ServiceAreas.csv!E:I,5,FALSE)</f>
        <v>200009</v>
      </c>
      <c r="G112" t="str">
        <f t="shared" si="17"/>
        <v>rg:{'id': '200001'}</v>
      </c>
      <c r="H112" t="s">
        <v>7731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7172</v>
      </c>
      <c r="X112" t="s">
        <v>76</v>
      </c>
      <c r="Y112" t="s">
        <v>76</v>
      </c>
      <c r="Z112" t="s">
        <v>76</v>
      </c>
      <c r="AA112" t="s">
        <v>7519</v>
      </c>
      <c r="AB112" t="s">
        <v>7353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421.83333333333331</v>
      </c>
      <c r="AH112" s="4">
        <f t="shared" si="24"/>
        <v>10.294444444444444</v>
      </c>
      <c r="AI112">
        <f t="shared" ca="1" si="25"/>
        <v>29</v>
      </c>
      <c r="AJ112">
        <f t="shared" ca="1" si="26"/>
        <v>132</v>
      </c>
      <c r="AK112">
        <f t="shared" ca="1" si="27"/>
        <v>178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VLOOKUP(VLOOKUP(E113,LocalAreas.csv!G:I,3,FALSE),ServiceAreas.csv!E:I,5,FALSE)</f>
        <v>200009</v>
      </c>
      <c r="G113" t="str">
        <f t="shared" si="17"/>
        <v>rg:{'id': '200001'}</v>
      </c>
      <c r="H113" t="s">
        <v>7732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7173</v>
      </c>
      <c r="X113" t="s">
        <v>76</v>
      </c>
      <c r="Y113" t="s">
        <v>76</v>
      </c>
      <c r="Z113" t="s">
        <v>76</v>
      </c>
      <c r="AA113" t="s">
        <v>7520</v>
      </c>
      <c r="AB113" t="s">
        <v>7354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283.66666666666669</v>
      </c>
      <c r="AH113" s="4">
        <f t="shared" si="24"/>
        <v>6.3</v>
      </c>
      <c r="AI113">
        <f t="shared" ca="1" si="25"/>
        <v>70</v>
      </c>
      <c r="AJ113">
        <f t="shared" ca="1" si="26"/>
        <v>181</v>
      </c>
      <c r="AK113">
        <f t="shared" ca="1" si="27"/>
        <v>33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VLOOKUP(VLOOKUP(E114,LocalAreas.csv!G:I,3,FALSE),ServiceAreas.csv!E:I,5,FALSE)</f>
        <v>200009</v>
      </c>
      <c r="G114" t="str">
        <f t="shared" si="17"/>
        <v>rg:{'id': '200001'}</v>
      </c>
      <c r="H114" t="s">
        <v>7726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7174</v>
      </c>
      <c r="X114" t="s">
        <v>76</v>
      </c>
      <c r="Y114" t="s">
        <v>76</v>
      </c>
      <c r="Z114" t="s">
        <v>76</v>
      </c>
      <c r="AA114" t="s">
        <v>7521</v>
      </c>
      <c r="AB114" t="s">
        <v>7355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358.66666666666669</v>
      </c>
      <c r="AH114" s="4">
        <f t="shared" si="24"/>
        <v>8.7666666666666675</v>
      </c>
      <c r="AI114">
        <f t="shared" ca="1" si="25"/>
        <v>35</v>
      </c>
      <c r="AJ114">
        <f t="shared" ca="1" si="26"/>
        <v>89</v>
      </c>
      <c r="AK114">
        <f t="shared" ca="1" si="27"/>
        <v>163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VLOOKUP(VLOOKUP(E115,LocalAreas.csv!G:I,3,FALSE),ServiceAreas.csv!E:I,5,FALSE)</f>
        <v>200009</v>
      </c>
      <c r="G115" t="str">
        <f t="shared" si="17"/>
        <v>rg:{'id': '200001'}</v>
      </c>
      <c r="H115" t="s">
        <v>7733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7175</v>
      </c>
      <c r="X115" t="s">
        <v>76</v>
      </c>
      <c r="Y115" t="s">
        <v>76</v>
      </c>
      <c r="Z115" t="s">
        <v>76</v>
      </c>
      <c r="AA115" t="s">
        <v>7522</v>
      </c>
      <c r="AB115" t="s">
        <v>7283</v>
      </c>
      <c r="AC115">
        <v>0</v>
      </c>
      <c r="AD115" t="str">
        <f t="shared" ca="1" si="22"/>
        <v>rg:True</v>
      </c>
      <c r="AE115" t="str">
        <f t="shared" ca="1" si="23"/>
        <v>Seniority overridden to test things</v>
      </c>
      <c r="AF115" s="1">
        <v>42481</v>
      </c>
      <c r="AG115" s="4">
        <f t="shared" ca="1" si="14"/>
        <v>432.16666666666669</v>
      </c>
      <c r="AH115" s="4">
        <f t="shared" si="24"/>
        <v>10.55</v>
      </c>
      <c r="AI115">
        <f t="shared" ca="1" si="25"/>
        <v>5</v>
      </c>
      <c r="AJ115">
        <f t="shared" ca="1" si="26"/>
        <v>185</v>
      </c>
      <c r="AK115">
        <f t="shared" ca="1" si="27"/>
        <v>157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VLOOKUP(VLOOKUP(E116,LocalAreas.csv!G:I,3,FALSE),ServiceAreas.csv!E:I,5,FALSE)</f>
        <v>200009</v>
      </c>
      <c r="G116" t="str">
        <f t="shared" si="17"/>
        <v>rg:{'id': '200001'}</v>
      </c>
      <c r="H116" t="s">
        <v>7674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rg:True</v>
      </c>
      <c r="V116" t="str">
        <f t="shared" ca="1" si="21"/>
        <v>This equipment should be archived</v>
      </c>
      <c r="W116" t="s">
        <v>7176</v>
      </c>
      <c r="X116" t="s">
        <v>76</v>
      </c>
      <c r="Y116" t="s">
        <v>76</v>
      </c>
      <c r="Z116" t="s">
        <v>76</v>
      </c>
      <c r="AA116" t="s">
        <v>7523</v>
      </c>
      <c r="AB116" t="s">
        <v>7356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273</v>
      </c>
      <c r="AH116" s="4">
        <f t="shared" si="24"/>
        <v>3.6111111111111112</v>
      </c>
      <c r="AI116">
        <f t="shared" ca="1" si="25"/>
        <v>199</v>
      </c>
      <c r="AJ116">
        <f t="shared" ca="1" si="26"/>
        <v>192</v>
      </c>
      <c r="AK116">
        <f t="shared" ca="1" si="27"/>
        <v>103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VLOOKUP(VLOOKUP(E117,LocalAreas.csv!G:I,3,FALSE),ServiceAreas.csv!E:I,5,FALSE)</f>
        <v>200009</v>
      </c>
      <c r="G117" t="str">
        <f t="shared" si="17"/>
        <v>rg:{'id': '200001'}</v>
      </c>
      <c r="H117" t="s">
        <v>7734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7177</v>
      </c>
      <c r="X117" t="s">
        <v>76</v>
      </c>
      <c r="Y117" t="s">
        <v>76</v>
      </c>
      <c r="Z117" t="s">
        <v>76</v>
      </c>
      <c r="AA117" t="s">
        <v>7524</v>
      </c>
      <c r="AB117" t="s">
        <v>7357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305.83333333333331</v>
      </c>
      <c r="AH117" s="4">
        <f t="shared" si="24"/>
        <v>6.8388888888888886</v>
      </c>
      <c r="AI117">
        <f t="shared" ca="1" si="25"/>
        <v>35</v>
      </c>
      <c r="AJ117">
        <f t="shared" ca="1" si="26"/>
        <v>117</v>
      </c>
      <c r="AK117">
        <f t="shared" ca="1" si="27"/>
        <v>150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VLOOKUP(VLOOKUP(E118,LocalAreas.csv!G:I,3,FALSE),ServiceAreas.csv!E:I,5,FALSE)</f>
        <v>200009</v>
      </c>
      <c r="G118" t="str">
        <f t="shared" si="17"/>
        <v>rg:{'id': '200001'}</v>
      </c>
      <c r="H118" t="s">
        <v>7713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rg:True</v>
      </c>
      <c r="V118" t="str">
        <f t="shared" ca="1" si="21"/>
        <v>This equipment should be archived</v>
      </c>
      <c r="W118" t="s">
        <v>7178</v>
      </c>
      <c r="X118" t="s">
        <v>76</v>
      </c>
      <c r="Y118" t="s">
        <v>76</v>
      </c>
      <c r="Z118" t="s">
        <v>76</v>
      </c>
      <c r="AA118" t="s">
        <v>7525</v>
      </c>
      <c r="AB118" t="s">
        <v>7358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206.66666666666669</v>
      </c>
      <c r="AH118" s="4">
        <f t="shared" si="24"/>
        <v>3.2555555555555555</v>
      </c>
      <c r="AI118">
        <f t="shared" ca="1" si="25"/>
        <v>194</v>
      </c>
      <c r="AJ118">
        <f t="shared" ca="1" si="26"/>
        <v>54</v>
      </c>
      <c r="AK118">
        <f t="shared" ca="1" si="27"/>
        <v>79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VLOOKUP(VLOOKUP(E119,LocalAreas.csv!G:I,3,FALSE),ServiceAreas.csv!E:I,5,FALSE)</f>
        <v>200009</v>
      </c>
      <c r="G119" t="str">
        <f t="shared" si="17"/>
        <v>rg:{'id': '200001'}</v>
      </c>
      <c r="H119" t="s">
        <v>7654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7179</v>
      </c>
      <c r="X119" t="s">
        <v>76</v>
      </c>
      <c r="Y119" t="s">
        <v>76</v>
      </c>
      <c r="Z119" t="s">
        <v>76</v>
      </c>
      <c r="AA119" t="s">
        <v>7526</v>
      </c>
      <c r="AB119" t="s">
        <v>7359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495.5</v>
      </c>
      <c r="AH119" s="4">
        <f t="shared" si="24"/>
        <v>11.472222222222221</v>
      </c>
      <c r="AI119">
        <f t="shared" ca="1" si="25"/>
        <v>174</v>
      </c>
      <c r="AJ119">
        <f t="shared" ca="1" si="26"/>
        <v>84</v>
      </c>
      <c r="AK119">
        <f t="shared" ca="1" si="27"/>
        <v>196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VLOOKUP(VLOOKUP(E120,LocalAreas.csv!G:I,3,FALSE),ServiceAreas.csv!E:I,5,FALSE)</f>
        <v>200009</v>
      </c>
      <c r="G120" t="str">
        <f t="shared" si="17"/>
        <v>rg:{'id': '200001'}</v>
      </c>
      <c r="H120" t="s">
        <v>7735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7360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279.41666666666669</v>
      </c>
      <c r="AH120" s="4">
        <f t="shared" si="24"/>
        <v>6.0027777777777782</v>
      </c>
      <c r="AI120">
        <f t="shared" ca="1" si="25"/>
        <v>36</v>
      </c>
      <c r="AJ120">
        <f t="shared" ca="1" si="26"/>
        <v>102</v>
      </c>
      <c r="AK120">
        <f t="shared" ca="1" si="27"/>
        <v>160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VLOOKUP(VLOOKUP(E121,LocalAreas.csv!G:I,3,FALSE),ServiceAreas.csv!E:I,5,FALSE)</f>
        <v>200009</v>
      </c>
      <c r="G121" t="str">
        <f t="shared" si="17"/>
        <v>rg:{'id': '200001'}</v>
      </c>
      <c r="H121" t="s">
        <v>7736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7181</v>
      </c>
      <c r="X121" t="s">
        <v>76</v>
      </c>
      <c r="Y121" t="s">
        <v>76</v>
      </c>
      <c r="Z121" t="s">
        <v>76</v>
      </c>
      <c r="AA121" t="s">
        <v>7528</v>
      </c>
      <c r="AB121" t="s">
        <v>7361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246.33333333333337</v>
      </c>
      <c r="AH121" s="4">
        <f t="shared" si="24"/>
        <v>4.8888888888888893</v>
      </c>
      <c r="AI121">
        <f t="shared" ca="1" si="25"/>
        <v>84</v>
      </c>
      <c r="AJ121">
        <f t="shared" ca="1" si="26"/>
        <v>180</v>
      </c>
      <c r="AK121">
        <f t="shared" ca="1" si="27"/>
        <v>35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VLOOKUP(VLOOKUP(E122,LocalAreas.csv!G:I,3,FALSE),ServiceAreas.csv!E:I,5,FALSE)</f>
        <v>200009</v>
      </c>
      <c r="G122" t="str">
        <f t="shared" si="17"/>
        <v>rg:{'id': '200001'}</v>
      </c>
      <c r="H122" t="s">
        <v>7671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7182</v>
      </c>
      <c r="X122" t="s">
        <v>76</v>
      </c>
      <c r="Y122" t="s">
        <v>76</v>
      </c>
      <c r="Z122" t="s">
        <v>76</v>
      </c>
      <c r="AA122" t="s">
        <v>7529</v>
      </c>
      <c r="AB122" t="s">
        <v>7362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248.66666666666669</v>
      </c>
      <c r="AH122" s="4">
        <f t="shared" si="24"/>
        <v>5.4222222222222225</v>
      </c>
      <c r="AI122">
        <f t="shared" ca="1" si="25"/>
        <v>73</v>
      </c>
      <c r="AJ122">
        <f t="shared" ca="1" si="26"/>
        <v>85</v>
      </c>
      <c r="AK122">
        <f t="shared" ca="1" si="27"/>
        <v>100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VLOOKUP(VLOOKUP(E123,LocalAreas.csv!G:I,3,FALSE),ServiceAreas.csv!E:I,5,FALSE)</f>
        <v>200009</v>
      </c>
      <c r="G123" t="str">
        <f t="shared" si="17"/>
        <v>rg:{'id': '200001'}</v>
      </c>
      <c r="H123" t="s">
        <v>7678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7183</v>
      </c>
      <c r="X123" t="s">
        <v>76</v>
      </c>
      <c r="Y123" t="s">
        <v>76</v>
      </c>
      <c r="Z123" t="s">
        <v>76</v>
      </c>
      <c r="AA123" t="s">
        <v>7530</v>
      </c>
      <c r="AB123" t="s">
        <v>7340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202.08333333333331</v>
      </c>
      <c r="AH123" s="4">
        <f t="shared" si="24"/>
        <v>2.8250000000000002</v>
      </c>
      <c r="AI123">
        <f t="shared" ca="1" si="25"/>
        <v>181</v>
      </c>
      <c r="AJ123">
        <f t="shared" ca="1" si="26"/>
        <v>171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VLOOKUP(VLOOKUP(E124,LocalAreas.csv!G:I,3,FALSE),ServiceAreas.csv!E:I,5,FALSE)</f>
        <v>200009</v>
      </c>
      <c r="G124" t="str">
        <f t="shared" si="17"/>
        <v>rg:{'id': '200001'}</v>
      </c>
      <c r="H124" t="s">
        <v>7737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7184</v>
      </c>
      <c r="X124" t="s">
        <v>76</v>
      </c>
      <c r="Y124" t="s">
        <v>76</v>
      </c>
      <c r="Z124" t="s">
        <v>76</v>
      </c>
      <c r="AA124" t="s">
        <v>7531</v>
      </c>
      <c r="AB124" t="s">
        <v>7363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VLOOKUP(VLOOKUP(E125,LocalAreas.csv!G:I,3,FALSE),ServiceAreas.csv!E:I,5,FALSE)</f>
        <v>200009</v>
      </c>
      <c r="G125" t="str">
        <f t="shared" si="17"/>
        <v>rg:{'id': '200001'}</v>
      </c>
      <c r="H125" t="s">
        <v>7738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7185</v>
      </c>
      <c r="X125" t="s">
        <v>76</v>
      </c>
      <c r="Y125" t="s">
        <v>76</v>
      </c>
      <c r="Z125" t="s">
        <v>76</v>
      </c>
      <c r="AA125" t="s">
        <v>7532</v>
      </c>
      <c r="AB125" t="s">
        <v>7364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245.66666666666669</v>
      </c>
      <c r="AH125" s="4">
        <f t="shared" si="24"/>
        <v>4.9777777777777779</v>
      </c>
      <c r="AI125">
        <f t="shared" ca="1" si="25"/>
        <v>115</v>
      </c>
      <c r="AJ125">
        <f t="shared" ca="1" si="26"/>
        <v>17</v>
      </c>
      <c r="AK125">
        <f t="shared" ca="1" si="27"/>
        <v>157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VLOOKUP(VLOOKUP(E126,LocalAreas.csv!G:I,3,FALSE),ServiceAreas.csv!E:I,5,FALSE)</f>
        <v>200009</v>
      </c>
      <c r="G126" t="str">
        <f t="shared" si="17"/>
        <v>rg:{'id': '200001'}</v>
      </c>
      <c r="H126" t="s">
        <v>7739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7186</v>
      </c>
      <c r="X126" t="s">
        <v>76</v>
      </c>
      <c r="Y126" t="s">
        <v>76</v>
      </c>
      <c r="Z126" t="s">
        <v>76</v>
      </c>
      <c r="AA126" t="s">
        <v>7533</v>
      </c>
      <c r="AB126" t="s">
        <v>7332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256.16666666666663</v>
      </c>
      <c r="AH126" s="4">
        <f t="shared" si="24"/>
        <v>4.5944444444444441</v>
      </c>
      <c r="AI126">
        <f t="shared" ca="1" si="25"/>
        <v>10</v>
      </c>
      <c r="AJ126">
        <f t="shared" ca="1" si="26"/>
        <v>196</v>
      </c>
      <c r="AK126">
        <f t="shared" ca="1" si="27"/>
        <v>149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VLOOKUP(VLOOKUP(E127,LocalAreas.csv!G:I,3,FALSE),ServiceAreas.csv!E:I,5,FALSE)</f>
        <v>200009</v>
      </c>
      <c r="G127" t="str">
        <f t="shared" si="17"/>
        <v>rg:{'id': '200001'}</v>
      </c>
      <c r="H127" t="s">
        <v>7740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7187</v>
      </c>
      <c r="X127" t="s">
        <v>76</v>
      </c>
      <c r="Y127" t="s">
        <v>76</v>
      </c>
      <c r="Z127" t="s">
        <v>76</v>
      </c>
      <c r="AA127" t="s">
        <v>7534</v>
      </c>
      <c r="AB127" t="s">
        <v>7280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379.91666666666663</v>
      </c>
      <c r="AH127" s="4">
        <f t="shared" si="24"/>
        <v>8.375</v>
      </c>
      <c r="AI127">
        <f t="shared" ca="1" si="25"/>
        <v>180</v>
      </c>
      <c r="AJ127">
        <f t="shared" ca="1" si="26"/>
        <v>118</v>
      </c>
      <c r="AK127">
        <f t="shared" ca="1" si="27"/>
        <v>88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VLOOKUP(VLOOKUP(E128,LocalAreas.csv!G:I,3,FALSE),ServiceAreas.csv!E:I,5,FALSE)</f>
        <v>200009</v>
      </c>
      <c r="G128" t="str">
        <f t="shared" si="17"/>
        <v>rg:{'id': '200001'}</v>
      </c>
      <c r="H128" t="s">
        <v>7657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7188</v>
      </c>
      <c r="X128" t="s">
        <v>76</v>
      </c>
      <c r="Y128" t="s">
        <v>76</v>
      </c>
      <c r="Z128" t="s">
        <v>76</v>
      </c>
      <c r="AA128" t="s">
        <v>7535</v>
      </c>
      <c r="AB128" t="s">
        <v>7365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246.16666666666666</v>
      </c>
      <c r="AH128" s="4">
        <f t="shared" si="24"/>
        <v>4.1055555555555552</v>
      </c>
      <c r="AI128">
        <f t="shared" ca="1" si="25"/>
        <v>166</v>
      </c>
      <c r="AJ128">
        <f t="shared" ca="1" si="26"/>
        <v>23</v>
      </c>
      <c r="AK128">
        <f t="shared" ca="1" si="27"/>
        <v>180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VLOOKUP(VLOOKUP(E129,LocalAreas.csv!G:I,3,FALSE),ServiceAreas.csv!E:I,5,FALSE)</f>
        <v>200009</v>
      </c>
      <c r="G129" t="str">
        <f t="shared" si="17"/>
        <v>rg:{'id': '200001'}</v>
      </c>
      <c r="H129" t="s">
        <v>7741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7189</v>
      </c>
      <c r="X129" t="s">
        <v>76</v>
      </c>
      <c r="Y129" t="s">
        <v>76</v>
      </c>
      <c r="Z129" t="s">
        <v>76</v>
      </c>
      <c r="AA129" t="s">
        <v>7536</v>
      </c>
      <c r="AB129" t="s">
        <v>7366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264</v>
      </c>
      <c r="AH129" s="4">
        <f t="shared" si="24"/>
        <v>5.166666666666667</v>
      </c>
      <c r="AI129">
        <f t="shared" ca="1" si="25"/>
        <v>198</v>
      </c>
      <c r="AJ129">
        <f t="shared" ca="1" si="26"/>
        <v>75</v>
      </c>
      <c r="AK129">
        <f t="shared" ca="1" si="27"/>
        <v>54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VLOOKUP(VLOOKUP(E130,LocalAreas.csv!G:I,3,FALSE),ServiceAreas.csv!E:I,5,FALSE)</f>
        <v>200009</v>
      </c>
      <c r="G130" t="str">
        <f t="shared" si="17"/>
        <v>rg:{'id': '200001'}</v>
      </c>
      <c r="H130" t="s">
        <v>7742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7190</v>
      </c>
      <c r="X130" t="s">
        <v>76</v>
      </c>
      <c r="Y130" t="s">
        <v>76</v>
      </c>
      <c r="Z130" t="s">
        <v>76</v>
      </c>
      <c r="AA130" t="s">
        <v>7537</v>
      </c>
      <c r="AB130" t="s">
        <v>7310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392.75</v>
      </c>
      <c r="AH130" s="4">
        <f t="shared" si="24"/>
        <v>7.6805555555555554</v>
      </c>
      <c r="AI130">
        <f t="shared" ca="1" si="25"/>
        <v>175</v>
      </c>
      <c r="AJ130">
        <f t="shared" ca="1" si="26"/>
        <v>159</v>
      </c>
      <c r="AK130">
        <f t="shared" ca="1" si="27"/>
        <v>153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VLOOKUP(VLOOKUP(E131,LocalAreas.csv!G:I,3,FALSE),ServiceAreas.csv!E:I,5,FALSE)</f>
        <v>200009</v>
      </c>
      <c r="G131" t="str">
        <f t="shared" ref="G131:G194" si="31">"rg:{'id': '"&amp;E131&amp;"'}"</f>
        <v>rg:{'id': '200001'}</v>
      </c>
      <c r="H131" t="s">
        <v>7696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7191</v>
      </c>
      <c r="X131" t="s">
        <v>76</v>
      </c>
      <c r="Y131" t="s">
        <v>76</v>
      </c>
      <c r="Z131" t="s">
        <v>76</v>
      </c>
      <c r="AA131" t="s">
        <v>7538</v>
      </c>
      <c r="AB131" t="s">
        <v>7367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VLOOKUP(VLOOKUP(E132,LocalAreas.csv!G:I,3,FALSE),ServiceAreas.csv!E:I,5,FALSE)</f>
        <v>200009</v>
      </c>
      <c r="G132" t="str">
        <f t="shared" si="31"/>
        <v>rg:{'id': '200001'}</v>
      </c>
      <c r="H132" t="s">
        <v>7702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7192</v>
      </c>
      <c r="X132" t="s">
        <v>76</v>
      </c>
      <c r="Y132" t="s">
        <v>76</v>
      </c>
      <c r="Z132" t="s">
        <v>76</v>
      </c>
      <c r="AA132" t="s">
        <v>7539</v>
      </c>
      <c r="AB132" t="s">
        <v>7265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VLOOKUP(VLOOKUP(E133,LocalAreas.csv!G:I,3,FALSE),ServiceAreas.csv!E:I,5,FALSE)</f>
        <v>200009</v>
      </c>
      <c r="G133" t="str">
        <f t="shared" si="31"/>
        <v>rg:{'id': '200001'}</v>
      </c>
      <c r="H133" t="s">
        <v>7654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7193</v>
      </c>
      <c r="X133" t="s">
        <v>76</v>
      </c>
      <c r="Y133" t="s">
        <v>76</v>
      </c>
      <c r="Z133" t="s">
        <v>76</v>
      </c>
      <c r="AA133" t="s">
        <v>7540</v>
      </c>
      <c r="AB133" t="s">
        <v>7368</v>
      </c>
      <c r="AC133">
        <v>0</v>
      </c>
      <c r="AD133" t="str">
        <f t="shared" ca="1" si="36"/>
        <v>rg:True</v>
      </c>
      <c r="AE133" t="str">
        <f t="shared" ca="1" si="37"/>
        <v>Seniority overridden to test things</v>
      </c>
      <c r="AF133" s="1">
        <v>42481</v>
      </c>
      <c r="AG133" s="4">
        <f t="shared" ca="1" si="28"/>
        <v>263.16666666666669</v>
      </c>
      <c r="AH133" s="4">
        <f t="shared" si="38"/>
        <v>7.3944444444444448</v>
      </c>
      <c r="AI133">
        <f t="shared" ca="1" si="39"/>
        <v>37</v>
      </c>
      <c r="AJ133">
        <f t="shared" ca="1" si="40"/>
        <v>11</v>
      </c>
      <c r="AK133">
        <f t="shared" ca="1" si="41"/>
        <v>76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VLOOKUP(VLOOKUP(E134,LocalAreas.csv!G:I,3,FALSE),ServiceAreas.csv!E:I,5,FALSE)</f>
        <v>200009</v>
      </c>
      <c r="G134" t="str">
        <f t="shared" si="31"/>
        <v>rg:{'id': '200001'}</v>
      </c>
      <c r="H134" t="s">
        <v>7729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7194</v>
      </c>
      <c r="X134" t="s">
        <v>76</v>
      </c>
      <c r="Y134" t="s">
        <v>76</v>
      </c>
      <c r="Z134" t="s">
        <v>76</v>
      </c>
      <c r="AA134" t="s">
        <v>7541</v>
      </c>
      <c r="AB134" t="s">
        <v>7369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238.33333333333337</v>
      </c>
      <c r="AH134" s="4">
        <f t="shared" si="38"/>
        <v>5.3888888888888893</v>
      </c>
      <c r="AI134">
        <f t="shared" ca="1" si="39"/>
        <v>55</v>
      </c>
      <c r="AJ134">
        <f t="shared" ca="1" si="40"/>
        <v>87</v>
      </c>
      <c r="AK134">
        <f t="shared" ca="1" si="41"/>
        <v>88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VLOOKUP(VLOOKUP(E135,LocalAreas.csv!G:I,3,FALSE),ServiceAreas.csv!E:I,5,FALSE)</f>
        <v>200009</v>
      </c>
      <c r="G135" t="str">
        <f t="shared" si="31"/>
        <v>rg:{'id': '200001'}</v>
      </c>
      <c r="H135" t="s">
        <v>7715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7195</v>
      </c>
      <c r="X135" t="s">
        <v>76</v>
      </c>
      <c r="Y135" t="s">
        <v>76</v>
      </c>
      <c r="Z135" t="s">
        <v>76</v>
      </c>
      <c r="AA135" t="s">
        <v>7542</v>
      </c>
      <c r="AB135" t="s">
        <v>7328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469.75</v>
      </c>
      <c r="AH135" s="4">
        <f t="shared" si="38"/>
        <v>12.425000000000001</v>
      </c>
      <c r="AI135">
        <f t="shared" ca="1" si="39"/>
        <v>69</v>
      </c>
      <c r="AJ135">
        <f t="shared" ca="1" si="40"/>
        <v>156</v>
      </c>
      <c r="AK135">
        <f t="shared" ca="1" si="41"/>
        <v>66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VLOOKUP(VLOOKUP(E136,LocalAreas.csv!G:I,3,FALSE),ServiceAreas.csv!E:I,5,FALSE)</f>
        <v>200009</v>
      </c>
      <c r="G136" t="str">
        <f t="shared" si="31"/>
        <v>rg:{'id': '200001'}</v>
      </c>
      <c r="H136" t="s">
        <v>7743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7196</v>
      </c>
      <c r="X136" t="s">
        <v>76</v>
      </c>
      <c r="Y136" t="s">
        <v>76</v>
      </c>
      <c r="Z136" t="s">
        <v>76</v>
      </c>
      <c r="AA136" t="s">
        <v>7543</v>
      </c>
      <c r="AB136" t="s">
        <v>7370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VLOOKUP(VLOOKUP(E137,LocalAreas.csv!G:I,3,FALSE),ServiceAreas.csv!E:I,5,FALSE)</f>
        <v>200009</v>
      </c>
      <c r="G137" t="str">
        <f t="shared" si="31"/>
        <v>rg:{'id': '200001'}</v>
      </c>
      <c r="H137" t="s">
        <v>7744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7197</v>
      </c>
      <c r="X137" t="s">
        <v>76</v>
      </c>
      <c r="Y137" t="s">
        <v>76</v>
      </c>
      <c r="Z137" t="s">
        <v>76</v>
      </c>
      <c r="AA137" t="s">
        <v>7544</v>
      </c>
      <c r="AB137" t="s">
        <v>7321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316.16666666666669</v>
      </c>
      <c r="AH137" s="4">
        <f t="shared" si="38"/>
        <v>7.6722222222222225</v>
      </c>
      <c r="AI137">
        <f t="shared" ca="1" si="39"/>
        <v>16</v>
      </c>
      <c r="AJ137">
        <f t="shared" ca="1" si="40"/>
        <v>128</v>
      </c>
      <c r="AK137">
        <f t="shared" ca="1" si="41"/>
        <v>114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VLOOKUP(VLOOKUP(E138,LocalAreas.csv!G:I,3,FALSE),ServiceAreas.csv!E:I,5,FALSE)</f>
        <v>200009</v>
      </c>
      <c r="G138" t="str">
        <f t="shared" si="31"/>
        <v>rg:{'id': '200001'}</v>
      </c>
      <c r="H138" t="s">
        <v>7672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7198</v>
      </c>
      <c r="X138" t="s">
        <v>76</v>
      </c>
      <c r="Y138" t="s">
        <v>76</v>
      </c>
      <c r="Z138" t="s">
        <v>76</v>
      </c>
      <c r="AA138" t="s">
        <v>7545</v>
      </c>
      <c r="AB138" t="s">
        <v>7371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374.08333333333337</v>
      </c>
      <c r="AH138" s="4">
        <f t="shared" si="38"/>
        <v>9.3805555555555564</v>
      </c>
      <c r="AI138">
        <f t="shared" ca="1" si="39"/>
        <v>166</v>
      </c>
      <c r="AJ138">
        <f t="shared" ca="1" si="40"/>
        <v>100</v>
      </c>
      <c r="AK138">
        <f t="shared" ca="1" si="41"/>
        <v>12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VLOOKUP(VLOOKUP(E139,LocalAreas.csv!G:I,3,FALSE),ServiceAreas.csv!E:I,5,FALSE)</f>
        <v>200009</v>
      </c>
      <c r="G139" t="str">
        <f t="shared" si="31"/>
        <v>rg:{'id': '200002'}</v>
      </c>
      <c r="H139" t="s">
        <v>7742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7199</v>
      </c>
      <c r="X139" t="s">
        <v>76</v>
      </c>
      <c r="Y139" t="s">
        <v>76</v>
      </c>
      <c r="Z139" t="s">
        <v>76</v>
      </c>
      <c r="AA139" t="s">
        <v>7546</v>
      </c>
      <c r="AB139" t="s">
        <v>7372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428.16666666666663</v>
      </c>
      <c r="AH139" s="4">
        <f t="shared" si="38"/>
        <v>4.447222222222222</v>
      </c>
      <c r="AI139">
        <f t="shared" ca="1" si="39"/>
        <v>145</v>
      </c>
      <c r="AJ139">
        <f t="shared" ca="1" si="40"/>
        <v>160</v>
      </c>
      <c r="AK139">
        <f t="shared" ca="1" si="41"/>
        <v>179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VLOOKUP(VLOOKUP(E140,LocalAreas.csv!G:I,3,FALSE),ServiceAreas.csv!E:I,5,FALSE)</f>
        <v>200009</v>
      </c>
      <c r="G140" t="str">
        <f t="shared" si="31"/>
        <v>rg:{'id': '200002'}</v>
      </c>
      <c r="H140" t="s">
        <v>7745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7200</v>
      </c>
      <c r="X140" t="s">
        <v>76</v>
      </c>
      <c r="Y140" t="s">
        <v>76</v>
      </c>
      <c r="Z140" t="s">
        <v>76</v>
      </c>
      <c r="AA140" t="s">
        <v>7547</v>
      </c>
      <c r="AB140" t="s">
        <v>7373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387.16666666666669</v>
      </c>
      <c r="AH140" s="4">
        <f t="shared" si="38"/>
        <v>6.0361111111111114</v>
      </c>
      <c r="AI140">
        <f t="shared" ca="1" si="39"/>
        <v>10</v>
      </c>
      <c r="AJ140">
        <f t="shared" ca="1" si="40"/>
        <v>65</v>
      </c>
      <c r="AK140">
        <f t="shared" ca="1" si="41"/>
        <v>0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VLOOKUP(VLOOKUP(E141,LocalAreas.csv!G:I,3,FALSE),ServiceAreas.csv!E:I,5,FALSE)</f>
        <v>200009</v>
      </c>
      <c r="G141" t="str">
        <f t="shared" si="31"/>
        <v>rg:{'id': '200002'}</v>
      </c>
      <c r="H141" t="s">
        <v>7746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rg:True</v>
      </c>
      <c r="V141" t="str">
        <f t="shared" ca="1" si="35"/>
        <v>This equipment should be archived</v>
      </c>
      <c r="W141" t="s">
        <v>7201</v>
      </c>
      <c r="X141" t="s">
        <v>76</v>
      </c>
      <c r="Y141" t="s">
        <v>76</v>
      </c>
      <c r="Z141" t="s">
        <v>76</v>
      </c>
      <c r="AA141" t="s">
        <v>7548</v>
      </c>
      <c r="AB141" t="s">
        <v>7265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437.66666666666663</v>
      </c>
      <c r="AH141" s="4">
        <f t="shared" si="38"/>
        <v>5.3555555555555552</v>
      </c>
      <c r="AI141">
        <f t="shared" ca="1" si="39"/>
        <v>146</v>
      </c>
      <c r="AJ141">
        <f t="shared" ca="1" si="40"/>
        <v>170</v>
      </c>
      <c r="AK141">
        <f t="shared" ca="1" si="41"/>
        <v>33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VLOOKUP(VLOOKUP(E142,LocalAreas.csv!G:I,3,FALSE),ServiceAreas.csv!E:I,5,FALSE)</f>
        <v>200009</v>
      </c>
      <c r="G142" t="str">
        <f t="shared" si="31"/>
        <v>rg:{'id': '200002'}</v>
      </c>
      <c r="H142" t="s">
        <v>7730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7202</v>
      </c>
      <c r="X142" t="s">
        <v>76</v>
      </c>
      <c r="Y142" t="s">
        <v>76</v>
      </c>
      <c r="Z142" t="s">
        <v>76</v>
      </c>
      <c r="AA142" t="s">
        <v>7549</v>
      </c>
      <c r="AB142" t="s">
        <v>7374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359</v>
      </c>
      <c r="AH142" s="4">
        <f t="shared" si="38"/>
        <v>4.2</v>
      </c>
      <c r="AI142">
        <f t="shared" ca="1" si="39"/>
        <v>197</v>
      </c>
      <c r="AJ142">
        <f t="shared" ca="1" si="40"/>
        <v>76</v>
      </c>
      <c r="AK142">
        <f t="shared" ca="1" si="41"/>
        <v>48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VLOOKUP(VLOOKUP(E143,LocalAreas.csv!G:I,3,FALSE),ServiceAreas.csv!E:I,5,FALSE)</f>
        <v>200009</v>
      </c>
      <c r="G143" t="str">
        <f t="shared" si="31"/>
        <v>rg:{'id': '200002'}</v>
      </c>
      <c r="H143" t="s">
        <v>7746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7203</v>
      </c>
      <c r="X143" t="s">
        <v>76</v>
      </c>
      <c r="Y143" t="s">
        <v>76</v>
      </c>
      <c r="Z143" t="s">
        <v>76</v>
      </c>
      <c r="AA143" t="s">
        <v>7550</v>
      </c>
      <c r="AB143" t="s">
        <v>7375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VLOOKUP(VLOOKUP(E144,LocalAreas.csv!G:I,3,FALSE),ServiceAreas.csv!E:I,5,FALSE)</f>
        <v>200009</v>
      </c>
      <c r="G144" t="str">
        <f t="shared" si="31"/>
        <v>rg:{'id': '200002'}</v>
      </c>
      <c r="H144" t="s">
        <v>7747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7363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526.66666666666663</v>
      </c>
      <c r="AH144" s="4">
        <f t="shared" si="38"/>
        <v>7.072222222222222</v>
      </c>
      <c r="AI144">
        <f t="shared" ca="1" si="39"/>
        <v>89</v>
      </c>
      <c r="AJ144">
        <f t="shared" ca="1" si="40"/>
        <v>113</v>
      </c>
      <c r="AK144">
        <f t="shared" ca="1" si="41"/>
        <v>105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VLOOKUP(VLOOKUP(E145,LocalAreas.csv!G:I,3,FALSE),ServiceAreas.csv!E:I,5,FALSE)</f>
        <v>200009</v>
      </c>
      <c r="G145" t="str">
        <f t="shared" si="31"/>
        <v>rg:{'id': '200002'}</v>
      </c>
      <c r="H145" t="s">
        <v>7654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7205</v>
      </c>
      <c r="X145" t="s">
        <v>76</v>
      </c>
      <c r="Y145" t="s">
        <v>76</v>
      </c>
      <c r="Z145" t="s">
        <v>76</v>
      </c>
      <c r="AA145" t="s">
        <v>7552</v>
      </c>
      <c r="AB145" t="s">
        <v>7376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197.33333333333334</v>
      </c>
      <c r="AH145" s="4">
        <f t="shared" si="38"/>
        <v>2.3833333333333333</v>
      </c>
      <c r="AI145">
        <f t="shared" ca="1" si="39"/>
        <v>139</v>
      </c>
      <c r="AJ145">
        <f t="shared" ca="1" si="40"/>
        <v>24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VLOOKUP(VLOOKUP(E146,LocalAreas.csv!G:I,3,FALSE),ServiceAreas.csv!E:I,5,FALSE)</f>
        <v>200009</v>
      </c>
      <c r="G146" t="str">
        <f t="shared" si="31"/>
        <v>rg:{'id': '200002'}</v>
      </c>
      <c r="H146" t="s">
        <v>7650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7206</v>
      </c>
      <c r="X146" t="s">
        <v>76</v>
      </c>
      <c r="Y146" t="s">
        <v>76</v>
      </c>
      <c r="Z146" t="s">
        <v>76</v>
      </c>
      <c r="AA146" t="s">
        <v>7553</v>
      </c>
      <c r="AB146" t="s">
        <v>7290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VLOOKUP(VLOOKUP(E147,LocalAreas.csv!G:I,3,FALSE),ServiceAreas.csv!E:I,5,FALSE)</f>
        <v>200009</v>
      </c>
      <c r="G147" t="str">
        <f t="shared" si="31"/>
        <v>rg:{'id': '200002'}</v>
      </c>
      <c r="H147" t="s">
        <v>7656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7207</v>
      </c>
      <c r="X147" t="s">
        <v>76</v>
      </c>
      <c r="Y147" t="s">
        <v>76</v>
      </c>
      <c r="Z147" t="s">
        <v>76</v>
      </c>
      <c r="AA147" t="s">
        <v>7554</v>
      </c>
      <c r="AB147" t="s">
        <v>7377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603.16666666666663</v>
      </c>
      <c r="AH147" s="4">
        <f t="shared" si="38"/>
        <v>8.625</v>
      </c>
      <c r="AI147">
        <f t="shared" ca="1" si="39"/>
        <v>107</v>
      </c>
      <c r="AJ147">
        <f t="shared" ca="1" si="40"/>
        <v>45</v>
      </c>
      <c r="AK147">
        <f t="shared" ca="1" si="41"/>
        <v>105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VLOOKUP(VLOOKUP(E148,LocalAreas.csv!G:I,3,FALSE),ServiceAreas.csv!E:I,5,FALSE)</f>
        <v>200009</v>
      </c>
      <c r="G148" t="str">
        <f t="shared" si="31"/>
        <v>rg:{'id': '200002'}</v>
      </c>
      <c r="H148" t="s">
        <v>7721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7208</v>
      </c>
      <c r="X148" t="s">
        <v>76</v>
      </c>
      <c r="Y148" t="s">
        <v>76</v>
      </c>
      <c r="Z148" t="s">
        <v>76</v>
      </c>
      <c r="AA148" t="s">
        <v>7555</v>
      </c>
      <c r="AB148" t="s">
        <v>7300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356.66666666666663</v>
      </c>
      <c r="AH148" s="4">
        <f t="shared" si="38"/>
        <v>4.3277777777777775</v>
      </c>
      <c r="AI148">
        <f t="shared" ca="1" si="39"/>
        <v>120</v>
      </c>
      <c r="AJ148">
        <f t="shared" ca="1" si="40"/>
        <v>170</v>
      </c>
      <c r="AK148">
        <f t="shared" ca="1" si="41"/>
        <v>1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VLOOKUP(VLOOKUP(E149,LocalAreas.csv!G:I,3,FALSE),ServiceAreas.csv!E:I,5,FALSE)</f>
        <v>200009</v>
      </c>
      <c r="G149" t="str">
        <f t="shared" si="31"/>
        <v>rg:{'id': '200002'}</v>
      </c>
      <c r="H149" t="s">
        <v>7748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7209</v>
      </c>
      <c r="X149" t="s">
        <v>76</v>
      </c>
      <c r="Y149" t="s">
        <v>76</v>
      </c>
      <c r="Z149" t="s">
        <v>76</v>
      </c>
      <c r="AA149" t="s">
        <v>7556</v>
      </c>
      <c r="AB149" t="s">
        <v>7378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694.33333333333326</v>
      </c>
      <c r="AH149" s="4">
        <f t="shared" si="38"/>
        <v>9.3944444444444439</v>
      </c>
      <c r="AI149">
        <f t="shared" ca="1" si="39"/>
        <v>14</v>
      </c>
      <c r="AJ149">
        <f t="shared" ca="1" si="40"/>
        <v>180</v>
      </c>
      <c r="AK149">
        <f t="shared" ca="1" si="41"/>
        <v>198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VLOOKUP(VLOOKUP(E150,LocalAreas.csv!G:I,3,FALSE),ServiceAreas.csv!E:I,5,FALSE)</f>
        <v>200009</v>
      </c>
      <c r="G150" t="str">
        <f t="shared" si="31"/>
        <v>rg:{'id': '200002'}</v>
      </c>
      <c r="H150" t="s">
        <v>7707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7210</v>
      </c>
      <c r="X150" t="s">
        <v>76</v>
      </c>
      <c r="Y150" t="s">
        <v>76</v>
      </c>
      <c r="Z150" t="s">
        <v>76</v>
      </c>
      <c r="AA150" t="s">
        <v>7557</v>
      </c>
      <c r="AB150" t="s">
        <v>7310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801.33333333333326</v>
      </c>
      <c r="AH150" s="4">
        <f t="shared" si="38"/>
        <v>11.722222222222221</v>
      </c>
      <c r="AI150">
        <f t="shared" ca="1" si="39"/>
        <v>68</v>
      </c>
      <c r="AJ150">
        <f t="shared" ca="1" si="40"/>
        <v>87</v>
      </c>
      <c r="AK150">
        <f t="shared" ca="1" si="41"/>
        <v>139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VLOOKUP(VLOOKUP(E151,LocalAreas.csv!G:I,3,FALSE),ServiceAreas.csv!E:I,5,FALSE)</f>
        <v>200009</v>
      </c>
      <c r="G151" t="str">
        <f t="shared" si="31"/>
        <v>rg:{'id': '200002'}</v>
      </c>
      <c r="H151" t="s">
        <v>7734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7211</v>
      </c>
      <c r="X151" t="s">
        <v>76</v>
      </c>
      <c r="Y151" t="s">
        <v>76</v>
      </c>
      <c r="Z151" t="s">
        <v>76</v>
      </c>
      <c r="AA151" t="s">
        <v>7558</v>
      </c>
      <c r="AB151" t="s">
        <v>7267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257.16666666666663</v>
      </c>
      <c r="AH151" s="4">
        <f t="shared" si="38"/>
        <v>2.3972222222222221</v>
      </c>
      <c r="AI151">
        <f t="shared" ca="1" si="39"/>
        <v>194</v>
      </c>
      <c r="AJ151">
        <f t="shared" ca="1" si="40"/>
        <v>146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VLOOKUP(VLOOKUP(E152,LocalAreas.csv!G:I,3,FALSE),ServiceAreas.csv!E:I,5,FALSE)</f>
        <v>200009</v>
      </c>
      <c r="G152" t="str">
        <f t="shared" si="31"/>
        <v>rg:{'id': '200002'}</v>
      </c>
      <c r="H152" t="s">
        <v>7749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7212</v>
      </c>
      <c r="X152" t="s">
        <v>76</v>
      </c>
      <c r="Y152" t="s">
        <v>76</v>
      </c>
      <c r="Z152" t="s">
        <v>76</v>
      </c>
      <c r="AA152" t="s">
        <v>7559</v>
      </c>
      <c r="AB152" t="s">
        <v>7379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520.5</v>
      </c>
      <c r="AH152" s="4">
        <f t="shared" si="38"/>
        <v>7.6694444444444443</v>
      </c>
      <c r="AI152">
        <f t="shared" ca="1" si="39"/>
        <v>131</v>
      </c>
      <c r="AJ152">
        <f t="shared" ca="1" si="40"/>
        <v>41</v>
      </c>
      <c r="AK152">
        <f t="shared" ca="1" si="41"/>
        <v>9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VLOOKUP(VLOOKUP(E153,LocalAreas.csv!G:I,3,FALSE),ServiceAreas.csv!E:I,5,FALSE)</f>
        <v>200009</v>
      </c>
      <c r="G153" t="str">
        <f t="shared" si="31"/>
        <v>rg:{'id': '200002'}</v>
      </c>
      <c r="H153" t="s">
        <v>7750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7213</v>
      </c>
      <c r="X153" t="s">
        <v>76</v>
      </c>
      <c r="Y153" t="s">
        <v>76</v>
      </c>
      <c r="Z153" t="s">
        <v>76</v>
      </c>
      <c r="AA153" t="s">
        <v>7560</v>
      </c>
      <c r="AB153" t="s">
        <v>7380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355.66666666666669</v>
      </c>
      <c r="AH153" s="4">
        <f t="shared" si="38"/>
        <v>3.5055555555555555</v>
      </c>
      <c r="AI153">
        <f t="shared" ca="1" si="39"/>
        <v>156</v>
      </c>
      <c r="AJ153">
        <f t="shared" ca="1" si="40"/>
        <v>151</v>
      </c>
      <c r="AK153">
        <f t="shared" ca="1" si="41"/>
        <v>129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VLOOKUP(VLOOKUP(E154,LocalAreas.csv!G:I,3,FALSE),ServiceAreas.csv!E:I,5,FALSE)</f>
        <v>200009</v>
      </c>
      <c r="G154" t="str">
        <f t="shared" si="31"/>
        <v>rg:{'id': '200002'}</v>
      </c>
      <c r="H154" t="s">
        <v>7751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7214</v>
      </c>
      <c r="X154" t="s">
        <v>76</v>
      </c>
      <c r="Y154" t="s">
        <v>76</v>
      </c>
      <c r="Z154" t="s">
        <v>76</v>
      </c>
      <c r="AA154" t="s">
        <v>7561</v>
      </c>
      <c r="AB154" t="s">
        <v>7381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412.66666666666663</v>
      </c>
      <c r="AH154" s="4">
        <f t="shared" si="38"/>
        <v>5.5444444444444443</v>
      </c>
      <c r="AI154">
        <f t="shared" ca="1" si="39"/>
        <v>144</v>
      </c>
      <c r="AJ154">
        <f t="shared" ca="1" si="40"/>
        <v>51</v>
      </c>
      <c r="AK154">
        <f t="shared" ca="1" si="41"/>
        <v>45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VLOOKUP(VLOOKUP(E155,LocalAreas.csv!G:I,3,FALSE),ServiceAreas.csv!E:I,5,FALSE)</f>
        <v>200009</v>
      </c>
      <c r="G155" t="str">
        <f t="shared" si="31"/>
        <v>rg:{'id': '200002'}</v>
      </c>
      <c r="H155" t="s">
        <v>7752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7215</v>
      </c>
      <c r="X155" t="s">
        <v>76</v>
      </c>
      <c r="Y155" t="s">
        <v>76</v>
      </c>
      <c r="Z155" t="s">
        <v>76</v>
      </c>
      <c r="AA155" t="s">
        <v>7562</v>
      </c>
      <c r="AB155" t="s">
        <v>7382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407.16666666666669</v>
      </c>
      <c r="AH155" s="4">
        <f t="shared" si="38"/>
        <v>5.0805555555555557</v>
      </c>
      <c r="AI155">
        <f t="shared" ca="1" si="39"/>
        <v>192</v>
      </c>
      <c r="AJ155">
        <f t="shared" ca="1" si="40"/>
        <v>79</v>
      </c>
      <c r="AK155">
        <f t="shared" ca="1" si="41"/>
        <v>36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VLOOKUP(VLOOKUP(E156,LocalAreas.csv!G:I,3,FALSE),ServiceAreas.csv!E:I,5,FALSE)</f>
        <v>200009</v>
      </c>
      <c r="G156" t="str">
        <f t="shared" si="31"/>
        <v>rg:{'id': '200002'}</v>
      </c>
      <c r="H156" t="s">
        <v>7655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7216</v>
      </c>
      <c r="X156" t="s">
        <v>76</v>
      </c>
      <c r="Y156" t="s">
        <v>76</v>
      </c>
      <c r="Z156" t="s">
        <v>76</v>
      </c>
      <c r="AA156" t="s">
        <v>7563</v>
      </c>
      <c r="AB156" t="s">
        <v>7383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445.16666666666669</v>
      </c>
      <c r="AH156" s="4">
        <f t="shared" si="38"/>
        <v>6.0472222222222225</v>
      </c>
      <c r="AI156">
        <f t="shared" ca="1" si="39"/>
        <v>55</v>
      </c>
      <c r="AJ156">
        <f t="shared" ca="1" si="40"/>
        <v>116</v>
      </c>
      <c r="AK156">
        <f t="shared" ca="1" si="41"/>
        <v>76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VLOOKUP(VLOOKUP(E157,LocalAreas.csv!G:I,3,FALSE),ServiceAreas.csv!E:I,5,FALSE)</f>
        <v>200009</v>
      </c>
      <c r="G157" t="str">
        <f t="shared" si="31"/>
        <v>rg:{'id': '200002'}</v>
      </c>
      <c r="H157" t="s">
        <v>7753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7217</v>
      </c>
      <c r="X157" t="s">
        <v>76</v>
      </c>
      <c r="Y157" t="s">
        <v>76</v>
      </c>
      <c r="Z157" t="s">
        <v>76</v>
      </c>
      <c r="AA157" t="s">
        <v>7564</v>
      </c>
      <c r="AB157" t="s">
        <v>7384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291.83333333333337</v>
      </c>
      <c r="AH157" s="4">
        <f t="shared" si="38"/>
        <v>3.6972222222222224</v>
      </c>
      <c r="AI157">
        <f t="shared" ca="1" si="39"/>
        <v>39</v>
      </c>
      <c r="AJ157">
        <f t="shared" ca="1" si="40"/>
        <v>118</v>
      </c>
      <c r="AK157">
        <f t="shared" ca="1" si="41"/>
        <v>53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VLOOKUP(VLOOKUP(E158,LocalAreas.csv!G:I,3,FALSE),ServiceAreas.csv!E:I,5,FALSE)</f>
        <v>200009</v>
      </c>
      <c r="G158" t="str">
        <f t="shared" si="31"/>
        <v>rg:{'id': '200002'}</v>
      </c>
      <c r="H158" t="s">
        <v>7744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7218</v>
      </c>
      <c r="X158" t="s">
        <v>76</v>
      </c>
      <c r="Y158" t="s">
        <v>76</v>
      </c>
      <c r="Z158" t="s">
        <v>76</v>
      </c>
      <c r="AA158" t="s">
        <v>7565</v>
      </c>
      <c r="AB158" t="s">
        <v>7385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317</v>
      </c>
      <c r="AH158" s="4">
        <f t="shared" si="38"/>
        <v>3.0111111111111111</v>
      </c>
      <c r="AI158">
        <f t="shared" ca="1" si="39"/>
        <v>91</v>
      </c>
      <c r="AJ158">
        <f t="shared" ca="1" si="40"/>
        <v>130</v>
      </c>
      <c r="AK158">
        <f t="shared" ca="1" si="41"/>
        <v>188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VLOOKUP(VLOOKUP(E159,LocalAreas.csv!G:I,3,FALSE),ServiceAreas.csv!E:I,5,FALSE)</f>
        <v>200009</v>
      </c>
      <c r="G159" t="str">
        <f t="shared" si="31"/>
        <v>rg:{'id': '200002'}</v>
      </c>
      <c r="H159" t="s">
        <v>7754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rg:True</v>
      </c>
      <c r="V159" t="str">
        <f t="shared" ca="1" si="35"/>
        <v>This equipment should be archived</v>
      </c>
      <c r="W159" t="s">
        <v>7219</v>
      </c>
      <c r="X159" t="s">
        <v>76</v>
      </c>
      <c r="Y159" t="s">
        <v>76</v>
      </c>
      <c r="Z159" t="s">
        <v>76</v>
      </c>
      <c r="AA159" t="s">
        <v>7566</v>
      </c>
      <c r="AB159" t="s">
        <v>7386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615.16666666666663</v>
      </c>
      <c r="AH159" s="4">
        <f t="shared" si="38"/>
        <v>8.3416666666666668</v>
      </c>
      <c r="AI159">
        <f t="shared" ca="1" si="39"/>
        <v>112</v>
      </c>
      <c r="AJ159">
        <f t="shared" ca="1" si="40"/>
        <v>91</v>
      </c>
      <c r="AK159">
        <f t="shared" ca="1" si="41"/>
        <v>141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VLOOKUP(VLOOKUP(E160,LocalAreas.csv!G:I,3,FALSE),ServiceAreas.csv!E:I,5,FALSE)</f>
        <v>200009</v>
      </c>
      <c r="G160" t="str">
        <f t="shared" si="31"/>
        <v>rg:{'id': '200002'}</v>
      </c>
      <c r="H160" t="s">
        <v>7705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7220</v>
      </c>
      <c r="X160" t="s">
        <v>76</v>
      </c>
      <c r="Y160" t="s">
        <v>76</v>
      </c>
      <c r="Z160" t="s">
        <v>76</v>
      </c>
      <c r="AA160" t="s">
        <v>7567</v>
      </c>
      <c r="AB160" t="s">
        <v>7312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617.66666666666674</v>
      </c>
      <c r="AH160" s="4">
        <f t="shared" si="38"/>
        <v>7.9222222222222225</v>
      </c>
      <c r="AI160">
        <f t="shared" ca="1" si="39"/>
        <v>174</v>
      </c>
      <c r="AJ160">
        <f t="shared" ca="1" si="40"/>
        <v>137</v>
      </c>
      <c r="AK160">
        <f t="shared" ca="1" si="41"/>
        <v>116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VLOOKUP(VLOOKUP(E161,LocalAreas.csv!G:I,3,FALSE),ServiceAreas.csv!E:I,5,FALSE)</f>
        <v>200009</v>
      </c>
      <c r="G161" t="str">
        <f t="shared" si="31"/>
        <v>rg:{'id': '200002'}</v>
      </c>
      <c r="H161" t="s">
        <v>7712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7221</v>
      </c>
      <c r="X161" t="s">
        <v>76</v>
      </c>
      <c r="Y161" t="s">
        <v>76</v>
      </c>
      <c r="Z161" t="s">
        <v>76</v>
      </c>
      <c r="AA161" t="s">
        <v>7568</v>
      </c>
      <c r="AB161" t="s">
        <v>7387</v>
      </c>
      <c r="AC161">
        <v>0</v>
      </c>
      <c r="AD161" t="str">
        <f t="shared" ca="1" si="36"/>
        <v>rg:True</v>
      </c>
      <c r="AE161" t="str">
        <f t="shared" ca="1" si="37"/>
        <v>Seniority overridden to test things</v>
      </c>
      <c r="AF161" s="1">
        <v>42481</v>
      </c>
      <c r="AG161" s="4">
        <f t="shared" ca="1" si="28"/>
        <v>464</v>
      </c>
      <c r="AH161" s="4">
        <f t="shared" si="38"/>
        <v>7.0555555555555554</v>
      </c>
      <c r="AI161">
        <f t="shared" ca="1" si="39"/>
        <v>2</v>
      </c>
      <c r="AJ161">
        <f t="shared" ca="1" si="40"/>
        <v>21</v>
      </c>
      <c r="AK161">
        <f t="shared" ca="1" si="41"/>
        <v>99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VLOOKUP(VLOOKUP(E162,LocalAreas.csv!G:I,3,FALSE),ServiceAreas.csv!E:I,5,FALSE)</f>
        <v>200009</v>
      </c>
      <c r="G162" t="str">
        <f t="shared" si="31"/>
        <v>rg:{'id': '200002'}</v>
      </c>
      <c r="H162" t="s">
        <v>7685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7222</v>
      </c>
      <c r="X162" t="s">
        <v>76</v>
      </c>
      <c r="Y162" t="s">
        <v>76</v>
      </c>
      <c r="Z162" t="s">
        <v>76</v>
      </c>
      <c r="AA162" t="s">
        <v>7569</v>
      </c>
      <c r="AB162" t="s">
        <v>7388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486.33333333333331</v>
      </c>
      <c r="AH162" s="4">
        <f t="shared" si="38"/>
        <v>6.5055555555555555</v>
      </c>
      <c r="AI162">
        <f t="shared" ca="1" si="39"/>
        <v>91</v>
      </c>
      <c r="AJ162">
        <f t="shared" ca="1" si="40"/>
        <v>80</v>
      </c>
      <c r="AK162">
        <f t="shared" ca="1" si="41"/>
        <v>117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VLOOKUP(VLOOKUP(E163,LocalAreas.csv!G:I,3,FALSE),ServiceAreas.csv!E:I,5,FALSE)</f>
        <v>200009</v>
      </c>
      <c r="G163" t="str">
        <f t="shared" si="31"/>
        <v>rg:{'id': '200002'}</v>
      </c>
      <c r="H163" t="s">
        <v>7755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7223</v>
      </c>
      <c r="X163" t="s">
        <v>76</v>
      </c>
      <c r="Y163" t="s">
        <v>76</v>
      </c>
      <c r="Z163" t="s">
        <v>76</v>
      </c>
      <c r="AA163" t="s">
        <v>7570</v>
      </c>
      <c r="AB163" t="s">
        <v>7389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469.83333333333337</v>
      </c>
      <c r="AH163" s="4">
        <f t="shared" si="38"/>
        <v>6.0861111111111112</v>
      </c>
      <c r="AI163">
        <f t="shared" ca="1" si="39"/>
        <v>35</v>
      </c>
      <c r="AJ163">
        <f t="shared" ca="1" si="40"/>
        <v>185</v>
      </c>
      <c r="AK163">
        <f t="shared" ca="1" si="41"/>
        <v>94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VLOOKUP(VLOOKUP(E164,LocalAreas.csv!G:I,3,FALSE),ServiceAreas.csv!E:I,5,FALSE)</f>
        <v>200009</v>
      </c>
      <c r="G164" t="str">
        <f t="shared" si="31"/>
        <v>rg:{'id': '200002'}</v>
      </c>
      <c r="H164" t="s">
        <v>7740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7224</v>
      </c>
      <c r="X164" t="s">
        <v>76</v>
      </c>
      <c r="Y164" t="s">
        <v>76</v>
      </c>
      <c r="Z164" t="s">
        <v>76</v>
      </c>
      <c r="AA164" t="s">
        <v>7571</v>
      </c>
      <c r="AB164" t="s">
        <v>7317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263.33333333333331</v>
      </c>
      <c r="AH164" s="4">
        <f t="shared" si="38"/>
        <v>2.9166666666666665</v>
      </c>
      <c r="AI164">
        <f t="shared" ca="1" si="39"/>
        <v>127</v>
      </c>
      <c r="AJ164">
        <f t="shared" ca="1" si="40"/>
        <v>138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VLOOKUP(VLOOKUP(E165,LocalAreas.csv!G:I,3,FALSE),ServiceAreas.csv!E:I,5,FALSE)</f>
        <v>200009</v>
      </c>
      <c r="G165" t="str">
        <f t="shared" si="31"/>
        <v>rg:{'id': '200002'}</v>
      </c>
      <c r="H165" t="s">
        <v>7738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7225</v>
      </c>
      <c r="X165" t="s">
        <v>76</v>
      </c>
      <c r="Y165" t="s">
        <v>76</v>
      </c>
      <c r="Z165" t="s">
        <v>76</v>
      </c>
      <c r="AA165" t="s">
        <v>7572</v>
      </c>
      <c r="AB165" t="s">
        <v>7390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VLOOKUP(VLOOKUP(E166,LocalAreas.csv!G:I,3,FALSE),ServiceAreas.csv!E:I,5,FALSE)</f>
        <v>200009</v>
      </c>
      <c r="G166" t="str">
        <f t="shared" si="31"/>
        <v>rg:{'id': '200002'}</v>
      </c>
      <c r="H166" t="s">
        <v>7742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rg:False</v>
      </c>
      <c r="V166" t="str">
        <f t="shared" ca="1" si="35"/>
        <v>rg:None</v>
      </c>
      <c r="W166" t="s">
        <v>7226</v>
      </c>
      <c r="X166" t="s">
        <v>76</v>
      </c>
      <c r="Y166" t="s">
        <v>76</v>
      </c>
      <c r="Z166" t="s">
        <v>76</v>
      </c>
      <c r="AA166" t="s">
        <v>7573</v>
      </c>
      <c r="AB166" t="s">
        <v>7288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507</v>
      </c>
      <c r="AH166" s="4">
        <f t="shared" si="38"/>
        <v>10.955555555555556</v>
      </c>
      <c r="AI166">
        <f t="shared" ca="1" si="39"/>
        <v>143</v>
      </c>
      <c r="AJ166">
        <f t="shared" ca="1" si="40"/>
        <v>193</v>
      </c>
      <c r="AK166">
        <f t="shared" ca="1" si="41"/>
        <v>199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VLOOKUP(VLOOKUP(E167,LocalAreas.csv!G:I,3,FALSE),ServiceAreas.csv!E:I,5,FALSE)</f>
        <v>200009</v>
      </c>
      <c r="G167" t="str">
        <f t="shared" si="31"/>
        <v>rg:{'id': '200002'}</v>
      </c>
      <c r="H167" t="s">
        <v>7741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7227</v>
      </c>
      <c r="X167" t="s">
        <v>76</v>
      </c>
      <c r="Y167" t="s">
        <v>76</v>
      </c>
      <c r="Z167" t="s">
        <v>76</v>
      </c>
      <c r="AA167" t="s">
        <v>7574</v>
      </c>
      <c r="AB167" t="s">
        <v>7329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423.58333333333331</v>
      </c>
      <c r="AH167" s="4">
        <f t="shared" si="38"/>
        <v>10.919444444444444</v>
      </c>
      <c r="AI167">
        <f t="shared" ca="1" si="39"/>
        <v>192</v>
      </c>
      <c r="AJ167">
        <f t="shared" ca="1" si="40"/>
        <v>69</v>
      </c>
      <c r="AK167">
        <f t="shared" ca="1" si="41"/>
        <v>27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VLOOKUP(VLOOKUP(E168,LocalAreas.csv!G:I,3,FALSE),ServiceAreas.csv!E:I,5,FALSE)</f>
        <v>200009</v>
      </c>
      <c r="G168" t="str">
        <f t="shared" si="31"/>
        <v>rg:{'id': '200002'}</v>
      </c>
      <c r="H168" t="s">
        <v>7727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7228</v>
      </c>
      <c r="X168" t="s">
        <v>76</v>
      </c>
      <c r="Y168" t="s">
        <v>76</v>
      </c>
      <c r="Z168" t="s">
        <v>76</v>
      </c>
      <c r="AA168" t="s">
        <v>7575</v>
      </c>
      <c r="AB168" t="s">
        <v>7391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288</v>
      </c>
      <c r="AH168" s="4">
        <f t="shared" si="38"/>
        <v>4.7222222222222223</v>
      </c>
      <c r="AI168">
        <f t="shared" ca="1" si="39"/>
        <v>199</v>
      </c>
      <c r="AJ168">
        <f t="shared" ca="1" si="40"/>
        <v>91</v>
      </c>
      <c r="AK168">
        <f t="shared" ca="1" si="41"/>
        <v>149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VLOOKUP(VLOOKUP(E169,LocalAreas.csv!G:I,3,FALSE),ServiceAreas.csv!E:I,5,FALSE)</f>
        <v>200009</v>
      </c>
      <c r="G169" t="str">
        <f t="shared" si="31"/>
        <v>rg:{'id': '200002'}</v>
      </c>
      <c r="H169" t="s">
        <v>7756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7229</v>
      </c>
      <c r="X169" t="s">
        <v>76</v>
      </c>
      <c r="Y169" t="s">
        <v>76</v>
      </c>
      <c r="Z169" t="s">
        <v>76</v>
      </c>
      <c r="AA169" t="s">
        <v>7576</v>
      </c>
      <c r="AB169" t="s">
        <v>7392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263.91666666666669</v>
      </c>
      <c r="AH169" s="4">
        <f t="shared" si="38"/>
        <v>5.9416666666666664</v>
      </c>
      <c r="AI169">
        <f t="shared" ca="1" si="39"/>
        <v>87</v>
      </c>
      <c r="AJ169">
        <f t="shared" ca="1" si="40"/>
        <v>50</v>
      </c>
      <c r="AK169">
        <f t="shared" ca="1" si="41"/>
        <v>120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VLOOKUP(VLOOKUP(E170,LocalAreas.csv!G:I,3,FALSE),ServiceAreas.csv!E:I,5,FALSE)</f>
        <v>200009</v>
      </c>
      <c r="G170" t="str">
        <f t="shared" si="31"/>
        <v>rg:{'id': '200002'}</v>
      </c>
      <c r="H170" t="s">
        <v>7727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7230</v>
      </c>
      <c r="X170" t="s">
        <v>76</v>
      </c>
      <c r="Y170" t="s">
        <v>76</v>
      </c>
      <c r="Z170" t="s">
        <v>76</v>
      </c>
      <c r="AA170" t="s">
        <v>7577</v>
      </c>
      <c r="AB170" t="s">
        <v>7375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436.08333333333331</v>
      </c>
      <c r="AH170" s="4">
        <f t="shared" si="38"/>
        <v>11.669444444444444</v>
      </c>
      <c r="AI170">
        <f t="shared" ca="1" si="39"/>
        <v>80</v>
      </c>
      <c r="AJ170">
        <f t="shared" ca="1" si="40"/>
        <v>117</v>
      </c>
      <c r="AK170">
        <f t="shared" ca="1" si="41"/>
        <v>61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VLOOKUP(VLOOKUP(E171,LocalAreas.csv!G:I,3,FALSE),ServiceAreas.csv!E:I,5,FALSE)</f>
        <v>200009</v>
      </c>
      <c r="G171" t="str">
        <f t="shared" si="31"/>
        <v>rg:{'id': '200002'}</v>
      </c>
      <c r="H171" t="s">
        <v>7682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7231</v>
      </c>
      <c r="X171" t="s">
        <v>76</v>
      </c>
      <c r="Y171" t="s">
        <v>76</v>
      </c>
      <c r="Z171" t="s">
        <v>76</v>
      </c>
      <c r="AA171" t="s">
        <v>7578</v>
      </c>
      <c r="AB171" t="s">
        <v>7342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303.83333333333337</v>
      </c>
      <c r="AH171" s="4">
        <f t="shared" si="38"/>
        <v>6.5277777777777777</v>
      </c>
      <c r="AI171">
        <f t="shared" ca="1" si="39"/>
        <v>27</v>
      </c>
      <c r="AJ171">
        <f t="shared" ca="1" si="40"/>
        <v>150</v>
      </c>
      <c r="AK171">
        <f t="shared" ca="1" si="41"/>
        <v>147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VLOOKUP(VLOOKUP(E172,LocalAreas.csv!G:I,3,FALSE),ServiceAreas.csv!E:I,5,FALSE)</f>
        <v>200009</v>
      </c>
      <c r="G172" t="str">
        <f t="shared" si="31"/>
        <v>rg:{'id': '200002'}</v>
      </c>
      <c r="H172" t="s">
        <v>7698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7232</v>
      </c>
      <c r="X172" t="s">
        <v>76</v>
      </c>
      <c r="Y172" t="s">
        <v>76</v>
      </c>
      <c r="Z172" t="s">
        <v>76</v>
      </c>
      <c r="AA172" t="s">
        <v>7579</v>
      </c>
      <c r="AB172" t="s">
        <v>7393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VLOOKUP(VLOOKUP(E173,LocalAreas.csv!G:I,3,FALSE),ServiceAreas.csv!E:I,5,FALSE)</f>
        <v>200009</v>
      </c>
      <c r="G173" t="str">
        <f t="shared" si="31"/>
        <v>rg:{'id': '200002'}</v>
      </c>
      <c r="H173" t="s">
        <v>7757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7233</v>
      </c>
      <c r="X173" t="s">
        <v>76</v>
      </c>
      <c r="Y173" t="s">
        <v>76</v>
      </c>
      <c r="Z173" t="s">
        <v>76</v>
      </c>
      <c r="AA173" t="s">
        <v>7580</v>
      </c>
      <c r="AB173" t="s">
        <v>7373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366.83333333333331</v>
      </c>
      <c r="AH173" s="4">
        <f t="shared" si="38"/>
        <v>8.8166666666666664</v>
      </c>
      <c r="AI173">
        <f t="shared" ca="1" si="39"/>
        <v>10</v>
      </c>
      <c r="AJ173">
        <f t="shared" ca="1" si="40"/>
        <v>186</v>
      </c>
      <c r="AK173">
        <f t="shared" ca="1" si="41"/>
        <v>111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VLOOKUP(VLOOKUP(E174,LocalAreas.csv!G:I,3,FALSE),ServiceAreas.csv!E:I,5,FALSE)</f>
        <v>200009</v>
      </c>
      <c r="G174" t="str">
        <f t="shared" si="31"/>
        <v>rg:{'id': '200002'}</v>
      </c>
      <c r="H174" t="s">
        <v>7654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7234</v>
      </c>
      <c r="X174" t="s">
        <v>76</v>
      </c>
      <c r="Y174" t="s">
        <v>76</v>
      </c>
      <c r="Z174" t="s">
        <v>76</v>
      </c>
      <c r="AA174" t="s">
        <v>7581</v>
      </c>
      <c r="AB174" t="s">
        <v>7278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415.08333333333337</v>
      </c>
      <c r="AH174" s="4">
        <f t="shared" si="38"/>
        <v>12.480555555555556</v>
      </c>
      <c r="AI174">
        <f t="shared" ca="1" si="39"/>
        <v>62</v>
      </c>
      <c r="AJ174">
        <f t="shared" ca="1" si="40"/>
        <v>10</v>
      </c>
      <c r="AK174">
        <f t="shared" ca="1" si="41"/>
        <v>50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VLOOKUP(VLOOKUP(E175,LocalAreas.csv!G:I,3,FALSE),ServiceAreas.csv!E:I,5,FALSE)</f>
        <v>200009</v>
      </c>
      <c r="G175" t="str">
        <f t="shared" si="31"/>
        <v>rg:{'id': '200002'}</v>
      </c>
      <c r="H175" t="s">
        <v>7758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7235</v>
      </c>
      <c r="X175" t="s">
        <v>76</v>
      </c>
      <c r="Y175" t="s">
        <v>76</v>
      </c>
      <c r="Z175" t="s">
        <v>76</v>
      </c>
      <c r="AA175" t="s">
        <v>7582</v>
      </c>
      <c r="AB175" t="s">
        <v>7295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372.33333333333337</v>
      </c>
      <c r="AH175" s="4">
        <f t="shared" si="38"/>
        <v>8.1333333333333329</v>
      </c>
      <c r="AI175">
        <f t="shared" ca="1" si="39"/>
        <v>142</v>
      </c>
      <c r="AJ175">
        <f t="shared" ca="1" si="40"/>
        <v>129</v>
      </c>
      <c r="AK175">
        <f t="shared" ca="1" si="41"/>
        <v>114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VLOOKUP(VLOOKUP(E176,LocalAreas.csv!G:I,3,FALSE),ServiceAreas.csv!E:I,5,FALSE)</f>
        <v>200009</v>
      </c>
      <c r="G176" t="str">
        <f t="shared" si="31"/>
        <v>rg:{'id': '200002'}</v>
      </c>
      <c r="H176" t="s">
        <v>7718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7236</v>
      </c>
      <c r="X176" t="s">
        <v>76</v>
      </c>
      <c r="Y176" t="s">
        <v>76</v>
      </c>
      <c r="Z176" t="s">
        <v>76</v>
      </c>
      <c r="AA176" t="s">
        <v>7583</v>
      </c>
      <c r="AB176" t="s">
        <v>7394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389.91666666666669</v>
      </c>
      <c r="AH176" s="4">
        <f t="shared" si="38"/>
        <v>9.2861111111111114</v>
      </c>
      <c r="AI176">
        <f t="shared" ca="1" si="39"/>
        <v>4</v>
      </c>
      <c r="AJ176">
        <f t="shared" ca="1" si="40"/>
        <v>189</v>
      </c>
      <c r="AK176">
        <f t="shared" ca="1" si="41"/>
        <v>141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VLOOKUP(VLOOKUP(E177,LocalAreas.csv!G:I,3,FALSE),ServiceAreas.csv!E:I,5,FALSE)</f>
        <v>200009</v>
      </c>
      <c r="G177" t="str">
        <f t="shared" si="31"/>
        <v>rg:{'id': '200002'}</v>
      </c>
      <c r="H177" t="s">
        <v>7759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7237</v>
      </c>
      <c r="X177" t="s">
        <v>76</v>
      </c>
      <c r="Y177" t="s">
        <v>76</v>
      </c>
      <c r="Z177" t="s">
        <v>76</v>
      </c>
      <c r="AA177" t="s">
        <v>7584</v>
      </c>
      <c r="AB177" t="s">
        <v>7293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456.16666666666663</v>
      </c>
      <c r="AH177" s="4">
        <f t="shared" si="38"/>
        <v>12.46111111111111</v>
      </c>
      <c r="AI177">
        <f t="shared" ca="1" si="39"/>
        <v>4</v>
      </c>
      <c r="AJ177">
        <f t="shared" ca="1" si="40"/>
        <v>175</v>
      </c>
      <c r="AK177">
        <f t="shared" ca="1" si="41"/>
        <v>68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VLOOKUP(VLOOKUP(E178,LocalAreas.csv!G:I,3,FALSE),ServiceAreas.csv!E:I,5,FALSE)</f>
        <v>200009</v>
      </c>
      <c r="G178" t="str">
        <f t="shared" si="31"/>
        <v>rg:{'id': '200002'}</v>
      </c>
      <c r="H178" t="s">
        <v>7735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7238</v>
      </c>
      <c r="X178" t="s">
        <v>76</v>
      </c>
      <c r="Y178" t="s">
        <v>76</v>
      </c>
      <c r="Z178" t="s">
        <v>76</v>
      </c>
      <c r="AA178" t="s">
        <v>7585</v>
      </c>
      <c r="AB178" t="s">
        <v>7395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289.83333333333331</v>
      </c>
      <c r="AH178" s="4">
        <f t="shared" si="38"/>
        <v>4.8722222222222218</v>
      </c>
      <c r="AI178">
        <f t="shared" ca="1" si="39"/>
        <v>133</v>
      </c>
      <c r="AJ178">
        <f t="shared" ca="1" si="40"/>
        <v>109</v>
      </c>
      <c r="AK178">
        <f t="shared" ca="1" si="41"/>
        <v>189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VLOOKUP(VLOOKUP(E179,LocalAreas.csv!G:I,3,FALSE),ServiceAreas.csv!E:I,5,FALSE)</f>
        <v>200009</v>
      </c>
      <c r="G179" t="str">
        <f t="shared" si="31"/>
        <v>rg:{'id': '200002'}</v>
      </c>
      <c r="H179" t="s">
        <v>7760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7239</v>
      </c>
      <c r="X179" t="s">
        <v>76</v>
      </c>
      <c r="Y179" t="s">
        <v>76</v>
      </c>
      <c r="Z179" t="s">
        <v>76</v>
      </c>
      <c r="AA179" t="s">
        <v>7586</v>
      </c>
      <c r="AB179" t="s">
        <v>7396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VLOOKUP(VLOOKUP(E180,LocalAreas.csv!G:I,3,FALSE),ServiceAreas.csv!E:I,5,FALSE)</f>
        <v>200009</v>
      </c>
      <c r="G180" t="str">
        <f t="shared" si="31"/>
        <v>rg:{'id': '200002'}</v>
      </c>
      <c r="H180" t="s">
        <v>7728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7274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VLOOKUP(VLOOKUP(E181,LocalAreas.csv!G:I,3,FALSE),ServiceAreas.csv!E:I,5,FALSE)</f>
        <v>200009</v>
      </c>
      <c r="G181" t="str">
        <f t="shared" si="31"/>
        <v>rg:{'id': '200002'}</v>
      </c>
      <c r="H181" t="s">
        <v>7748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7241</v>
      </c>
      <c r="X181" t="s">
        <v>76</v>
      </c>
      <c r="Y181" t="s">
        <v>76</v>
      </c>
      <c r="Z181" t="s">
        <v>76</v>
      </c>
      <c r="AA181" t="s">
        <v>7588</v>
      </c>
      <c r="AB181" t="s">
        <v>7397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205</v>
      </c>
      <c r="AH181" s="4">
        <f t="shared" si="38"/>
        <v>4.0111111111111111</v>
      </c>
      <c r="AI181">
        <f t="shared" ca="1" si="39"/>
        <v>76</v>
      </c>
      <c r="AJ181">
        <f t="shared" ca="1" si="40"/>
        <v>115</v>
      </c>
      <c r="AK181">
        <f t="shared" ca="1" si="41"/>
        <v>63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VLOOKUP(VLOOKUP(E182,LocalAreas.csv!G:I,3,FALSE),ServiceAreas.csv!E:I,5,FALSE)</f>
        <v>200009</v>
      </c>
      <c r="G182" t="str">
        <f t="shared" si="31"/>
        <v>rg:{'id': '200002'}</v>
      </c>
      <c r="H182" t="s">
        <v>7761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7242</v>
      </c>
      <c r="X182" t="s">
        <v>76</v>
      </c>
      <c r="Y182" t="s">
        <v>76</v>
      </c>
      <c r="Z182" t="s">
        <v>76</v>
      </c>
      <c r="AA182" t="s">
        <v>7589</v>
      </c>
      <c r="AB182" t="s">
        <v>7398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378.08333333333331</v>
      </c>
      <c r="AH182" s="4">
        <f t="shared" si="38"/>
        <v>6.1472222222222221</v>
      </c>
      <c r="AI182">
        <f t="shared" ca="1" si="39"/>
        <v>200</v>
      </c>
      <c r="AJ182">
        <f t="shared" ca="1" si="40"/>
        <v>197</v>
      </c>
      <c r="AK182">
        <f t="shared" ca="1" si="41"/>
        <v>184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VLOOKUP(VLOOKUP(E183,LocalAreas.csv!G:I,3,FALSE),ServiceAreas.csv!E:I,5,FALSE)</f>
        <v>200009</v>
      </c>
      <c r="G183" t="str">
        <f t="shared" si="31"/>
        <v>rg:{'id': '200002'}</v>
      </c>
      <c r="H183" t="s">
        <v>7670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7243</v>
      </c>
      <c r="X183" t="s">
        <v>76</v>
      </c>
      <c r="Y183" t="s">
        <v>76</v>
      </c>
      <c r="Z183" t="s">
        <v>76</v>
      </c>
      <c r="AA183" t="s">
        <v>7590</v>
      </c>
      <c r="AB183" t="s">
        <v>7376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326.08333333333331</v>
      </c>
      <c r="AH183" s="4">
        <f t="shared" si="38"/>
        <v>6.625</v>
      </c>
      <c r="AI183">
        <f t="shared" ca="1" si="39"/>
        <v>173</v>
      </c>
      <c r="AJ183">
        <f t="shared" ca="1" si="40"/>
        <v>178</v>
      </c>
      <c r="AK183">
        <f t="shared" ca="1" si="41"/>
        <v>31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VLOOKUP(VLOOKUP(E184,LocalAreas.csv!G:I,3,FALSE),ServiceAreas.csv!E:I,5,FALSE)</f>
        <v>200009</v>
      </c>
      <c r="G184" t="str">
        <f t="shared" si="31"/>
        <v>rg:{'id': '200002'}</v>
      </c>
      <c r="H184" t="s">
        <v>7731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7244</v>
      </c>
      <c r="X184" t="s">
        <v>76</v>
      </c>
      <c r="Y184" t="s">
        <v>76</v>
      </c>
      <c r="Z184" t="s">
        <v>76</v>
      </c>
      <c r="AA184" t="s">
        <v>7591</v>
      </c>
      <c r="AB184" t="s">
        <v>7353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298.08333333333337</v>
      </c>
      <c r="AH184" s="4">
        <f t="shared" si="38"/>
        <v>7.5027777777777782</v>
      </c>
      <c r="AI184">
        <f t="shared" ca="1" si="39"/>
        <v>46</v>
      </c>
      <c r="AJ184">
        <f t="shared" ca="1" si="40"/>
        <v>150</v>
      </c>
      <c r="AK184">
        <f t="shared" ca="1" si="41"/>
        <v>23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VLOOKUP(VLOOKUP(E185,LocalAreas.csv!G:I,3,FALSE),ServiceAreas.csv!E:I,5,FALSE)</f>
        <v>200009</v>
      </c>
      <c r="G185" t="str">
        <f t="shared" si="31"/>
        <v>rg:{'id': '200002'}</v>
      </c>
      <c r="H185" t="s">
        <v>7762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7245</v>
      </c>
      <c r="X185" t="s">
        <v>76</v>
      </c>
      <c r="Y185" t="s">
        <v>76</v>
      </c>
      <c r="Z185" t="s">
        <v>76</v>
      </c>
      <c r="AA185" t="s">
        <v>7592</v>
      </c>
      <c r="AB185" t="s">
        <v>7399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189.41666666666669</v>
      </c>
      <c r="AH185" s="4">
        <f t="shared" si="38"/>
        <v>2.7027777777777779</v>
      </c>
      <c r="AI185">
        <f t="shared" ca="1" si="39"/>
        <v>166</v>
      </c>
      <c r="AJ185">
        <f t="shared" ca="1" si="40"/>
        <v>159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VLOOKUP(VLOOKUP(E186,LocalAreas.csv!G:I,3,FALSE),ServiceAreas.csv!E:I,5,FALSE)</f>
        <v>200009</v>
      </c>
      <c r="G186" t="str">
        <f t="shared" si="31"/>
        <v>rg:{'id': '200002'}</v>
      </c>
      <c r="H186" t="s">
        <v>7763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7246</v>
      </c>
      <c r="X186" t="s">
        <v>76</v>
      </c>
      <c r="Y186" t="s">
        <v>76</v>
      </c>
      <c r="Z186" t="s">
        <v>76</v>
      </c>
      <c r="AA186" t="s">
        <v>7593</v>
      </c>
      <c r="AB186" t="s">
        <v>7284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162.33333333333334</v>
      </c>
      <c r="AH186" s="4">
        <f t="shared" si="38"/>
        <v>2.1111111111111112</v>
      </c>
      <c r="AI186">
        <f t="shared" ca="1" si="39"/>
        <v>198</v>
      </c>
      <c r="AJ186">
        <f t="shared" ca="1" si="40"/>
        <v>99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VLOOKUP(VLOOKUP(E187,LocalAreas.csv!G:I,3,FALSE),ServiceAreas.csv!E:I,5,FALSE)</f>
        <v>200009</v>
      </c>
      <c r="G187" t="str">
        <f t="shared" si="31"/>
        <v>rg:{'id': '200002'}</v>
      </c>
      <c r="H187" t="s">
        <v>7764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7247</v>
      </c>
      <c r="X187" t="s">
        <v>76</v>
      </c>
      <c r="Y187" t="s">
        <v>76</v>
      </c>
      <c r="Z187" t="s">
        <v>76</v>
      </c>
      <c r="AA187" t="s">
        <v>7594</v>
      </c>
      <c r="AB187" t="s">
        <v>7400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437.41666666666663</v>
      </c>
      <c r="AH187" s="4">
        <f t="shared" si="38"/>
        <v>11.802777777777777</v>
      </c>
      <c r="AI187">
        <f t="shared" ca="1" si="39"/>
        <v>78</v>
      </c>
      <c r="AJ187">
        <f t="shared" ca="1" si="40"/>
        <v>9</v>
      </c>
      <c r="AK187">
        <f t="shared" ca="1" si="41"/>
        <v>163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VLOOKUP(VLOOKUP(E188,LocalAreas.csv!G:I,3,FALSE),ServiceAreas.csv!E:I,5,FALSE)</f>
        <v>200009</v>
      </c>
      <c r="G188" t="str">
        <f t="shared" si="31"/>
        <v>rg:{'id': '200002'}</v>
      </c>
      <c r="H188" t="s">
        <v>7765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7248</v>
      </c>
      <c r="X188" t="s">
        <v>76</v>
      </c>
      <c r="Y188" t="s">
        <v>76</v>
      </c>
      <c r="Z188" t="s">
        <v>76</v>
      </c>
      <c r="AA188" t="s">
        <v>7595</v>
      </c>
      <c r="AB188" t="s">
        <v>7401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222.25</v>
      </c>
      <c r="AH188" s="4">
        <f t="shared" si="38"/>
        <v>5.2416666666666663</v>
      </c>
      <c r="AI188">
        <f t="shared" ca="1" si="39"/>
        <v>91</v>
      </c>
      <c r="AJ188">
        <f t="shared" ca="1" si="40"/>
        <v>32</v>
      </c>
      <c r="AK188">
        <f t="shared" ca="1" si="41"/>
        <v>72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VLOOKUP(VLOOKUP(E189,LocalAreas.csv!G:I,3,FALSE),ServiceAreas.csv!E:I,5,FALSE)</f>
        <v>200009</v>
      </c>
      <c r="G189" t="str">
        <f t="shared" si="31"/>
        <v>rg:{'id': '200002'}</v>
      </c>
      <c r="H189" t="s">
        <v>7766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7249</v>
      </c>
      <c r="X189" t="s">
        <v>76</v>
      </c>
      <c r="Y189" t="s">
        <v>76</v>
      </c>
      <c r="Z189" t="s">
        <v>76</v>
      </c>
      <c r="AA189" t="s">
        <v>7596</v>
      </c>
      <c r="AB189" t="s">
        <v>7324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238.58333333333331</v>
      </c>
      <c r="AH189" s="4">
        <f t="shared" si="38"/>
        <v>5.4194444444444443</v>
      </c>
      <c r="AI189">
        <f t="shared" ca="1" si="39"/>
        <v>2</v>
      </c>
      <c r="AJ189">
        <f t="shared" ca="1" si="40"/>
        <v>34</v>
      </c>
      <c r="AK189">
        <f t="shared" ca="1" si="41"/>
        <v>192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VLOOKUP(VLOOKUP(E190,LocalAreas.csv!G:I,3,FALSE),ServiceAreas.csv!E:I,5,FALSE)</f>
        <v>200009</v>
      </c>
      <c r="G190" t="str">
        <f t="shared" si="31"/>
        <v>rg:{'id': '200002'}</v>
      </c>
      <c r="H190" t="s">
        <v>7661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7250</v>
      </c>
      <c r="X190" t="s">
        <v>76</v>
      </c>
      <c r="Y190" t="s">
        <v>76</v>
      </c>
      <c r="Z190" t="s">
        <v>76</v>
      </c>
      <c r="AA190" t="s">
        <v>7597</v>
      </c>
      <c r="AB190" t="s">
        <v>7402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VLOOKUP(VLOOKUP(E191,LocalAreas.csv!G:I,3,FALSE),ServiceAreas.csv!E:I,5,FALSE)</f>
        <v>200009</v>
      </c>
      <c r="G191" t="str">
        <f t="shared" si="31"/>
        <v>rg:{'id': '200002'}</v>
      </c>
      <c r="H191" t="s">
        <v>7710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7251</v>
      </c>
      <c r="X191" t="s">
        <v>76</v>
      </c>
      <c r="Y191" t="s">
        <v>76</v>
      </c>
      <c r="Z191" t="s">
        <v>76</v>
      </c>
      <c r="AA191" t="s">
        <v>7598</v>
      </c>
      <c r="AB191" t="s">
        <v>7394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491</v>
      </c>
      <c r="AH191" s="4">
        <f t="shared" si="38"/>
        <v>12.533333333333333</v>
      </c>
      <c r="AI191">
        <f t="shared" ca="1" si="39"/>
        <v>103</v>
      </c>
      <c r="AJ191">
        <f t="shared" ca="1" si="40"/>
        <v>167</v>
      </c>
      <c r="AK191">
        <f t="shared" ca="1" si="41"/>
        <v>75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VLOOKUP(VLOOKUP(E192,LocalAreas.csv!G:I,3,FALSE),ServiceAreas.csv!E:I,5,FALSE)</f>
        <v>200009</v>
      </c>
      <c r="G192" t="str">
        <f t="shared" si="31"/>
        <v>rg:{'id': '200002'}</v>
      </c>
      <c r="H192" t="s">
        <v>7669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7252</v>
      </c>
      <c r="X192" t="s">
        <v>76</v>
      </c>
      <c r="Y192" t="s">
        <v>76</v>
      </c>
      <c r="Z192" t="s">
        <v>76</v>
      </c>
      <c r="AA192" t="s">
        <v>7599</v>
      </c>
      <c r="AB192" t="s">
        <v>7364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369.25</v>
      </c>
      <c r="AH192" s="4">
        <f t="shared" si="38"/>
        <v>10.108333333333333</v>
      </c>
      <c r="AI192">
        <f t="shared" ca="1" si="39"/>
        <v>11</v>
      </c>
      <c r="AJ192">
        <f t="shared" ca="1" si="40"/>
        <v>27</v>
      </c>
      <c r="AK192">
        <f t="shared" ca="1" si="41"/>
        <v>160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VLOOKUP(VLOOKUP(E193,LocalAreas.csv!G:I,3,FALSE),ServiceAreas.csv!E:I,5,FALSE)</f>
        <v>200009</v>
      </c>
      <c r="G193" t="str">
        <f t="shared" si="31"/>
        <v>rg:{'id': '200002'}</v>
      </c>
      <c r="H193" t="s">
        <v>7670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7253</v>
      </c>
      <c r="X193" t="s">
        <v>76</v>
      </c>
      <c r="Y193" t="s">
        <v>76</v>
      </c>
      <c r="Z193" t="s">
        <v>76</v>
      </c>
      <c r="AA193" t="s">
        <v>7600</v>
      </c>
      <c r="AB193" t="s">
        <v>7403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456.58333333333337</v>
      </c>
      <c r="AH193" s="4">
        <f t="shared" si="38"/>
        <v>12.397222222222222</v>
      </c>
      <c r="AI193">
        <f t="shared" ca="1" si="39"/>
        <v>122</v>
      </c>
      <c r="AJ193">
        <f t="shared" ca="1" si="40"/>
        <v>50</v>
      </c>
      <c r="AK193">
        <f t="shared" ca="1" si="41"/>
        <v>82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VLOOKUP(VLOOKUP(E194,LocalAreas.csv!G:I,3,FALSE),ServiceAreas.csv!E:I,5,FALSE)</f>
        <v>200009</v>
      </c>
      <c r="G194" t="str">
        <f t="shared" si="31"/>
        <v>rg:{'id': '200002'}</v>
      </c>
      <c r="H194" t="s">
        <v>7655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7254</v>
      </c>
      <c r="X194" t="s">
        <v>76</v>
      </c>
      <c r="Y194" t="s">
        <v>76</v>
      </c>
      <c r="Z194" t="s">
        <v>76</v>
      </c>
      <c r="AA194" t="s">
        <v>7601</v>
      </c>
      <c r="AB194" t="s">
        <v>7404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57" ca="1" si="42">IF(I194="Dump Truck",60,30)*AH194+(AVERAGE(AI194:AK194))</f>
        <v>402.5</v>
      </c>
      <c r="AH194" s="4">
        <f t="shared" si="38"/>
        <v>11.361111111111111</v>
      </c>
      <c r="AI194">
        <f t="shared" ca="1" si="39"/>
        <v>18</v>
      </c>
      <c r="AJ194">
        <f t="shared" ca="1" si="40"/>
        <v>140</v>
      </c>
      <c r="AK194">
        <f t="shared" ca="1" si="41"/>
        <v>27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VLOOKUP(VLOOKUP(E195,LocalAreas.csv!G:I,3,FALSE),ServiceAreas.csv!E:I,5,FALSE)</f>
        <v>200009</v>
      </c>
      <c r="G195" t="str">
        <f t="shared" ref="G195:G204" si="45">"rg:{'id': '"&amp;E195&amp;"'}"</f>
        <v>rg:{'id': '200002'}</v>
      </c>
      <c r="H195" t="s">
        <v>7767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7255</v>
      </c>
      <c r="X195" t="s">
        <v>76</v>
      </c>
      <c r="Y195" t="s">
        <v>76</v>
      </c>
      <c r="Z195" t="s">
        <v>76</v>
      </c>
      <c r="AA195" t="s">
        <v>7602</v>
      </c>
      <c r="AB195" t="s">
        <v>7405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294.91666666666669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51</v>
      </c>
      <c r="AJ195">
        <f t="shared" ref="AJ195:AJ204" ca="1" si="54">IF(AH195&lt;2,0,RANDBETWEEN(0,200))</f>
        <v>71</v>
      </c>
      <c r="AK195">
        <f t="shared" ref="AK195:AK204" ca="1" si="55">IF(AH195&lt;3,0,RANDBETWEEN(0,200))</f>
        <v>51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VLOOKUP(VLOOKUP(E196,LocalAreas.csv!G:I,3,FALSE),ServiceAreas.csv!E:I,5,FALSE)</f>
        <v>200009</v>
      </c>
      <c r="G196" t="str">
        <f t="shared" si="45"/>
        <v>rg:{'id': '200002'}</v>
      </c>
      <c r="H196" t="s">
        <v>7761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7256</v>
      </c>
      <c r="X196" t="s">
        <v>76</v>
      </c>
      <c r="Y196" t="s">
        <v>76</v>
      </c>
      <c r="Z196" t="s">
        <v>76</v>
      </c>
      <c r="AA196" t="s">
        <v>7603</v>
      </c>
      <c r="AB196" t="s">
        <v>7406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284.08333333333331</v>
      </c>
      <c r="AH196" s="4">
        <f t="shared" si="52"/>
        <v>4.7472222222222218</v>
      </c>
      <c r="AI196">
        <f t="shared" ca="1" si="53"/>
        <v>73</v>
      </c>
      <c r="AJ196">
        <f t="shared" ca="1" si="54"/>
        <v>194</v>
      </c>
      <c r="AK196">
        <f t="shared" ca="1" si="55"/>
        <v>158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VLOOKUP(VLOOKUP(E197,LocalAreas.csv!G:I,3,FALSE),ServiceAreas.csv!E:I,5,FALSE)</f>
        <v>200009</v>
      </c>
      <c r="G197" t="str">
        <f t="shared" si="45"/>
        <v>rg:{'id': '200002'}</v>
      </c>
      <c r="H197" t="s">
        <v>7768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7257</v>
      </c>
      <c r="X197" t="s">
        <v>76</v>
      </c>
      <c r="Y197" t="s">
        <v>76</v>
      </c>
      <c r="Z197" t="s">
        <v>76</v>
      </c>
      <c r="AA197" t="s">
        <v>7604</v>
      </c>
      <c r="AB197" t="s">
        <v>7394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382.08333333333337</v>
      </c>
      <c r="AH197" s="4">
        <f t="shared" si="52"/>
        <v>9.5805555555555557</v>
      </c>
      <c r="AI197">
        <f t="shared" ca="1" si="53"/>
        <v>97</v>
      </c>
      <c r="AJ197">
        <f t="shared" ca="1" si="54"/>
        <v>55</v>
      </c>
      <c r="AK197">
        <f t="shared" ca="1" si="55"/>
        <v>132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VLOOKUP(VLOOKUP(E198,LocalAreas.csv!G:I,3,FALSE),ServiceAreas.csv!E:I,5,FALSE)</f>
        <v>200009</v>
      </c>
      <c r="G198" t="str">
        <f t="shared" si="45"/>
        <v>rg:{'id': '200002'}</v>
      </c>
      <c r="H198" t="s">
        <v>7684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7258</v>
      </c>
      <c r="X198" t="s">
        <v>76</v>
      </c>
      <c r="Y198" t="s">
        <v>76</v>
      </c>
      <c r="Z198" t="s">
        <v>76</v>
      </c>
      <c r="AA198" t="s">
        <v>7605</v>
      </c>
      <c r="AB198" t="s">
        <v>7407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282.66666666666669</v>
      </c>
      <c r="AH198" s="4">
        <f t="shared" si="52"/>
        <v>6.4444444444444446</v>
      </c>
      <c r="AI198">
        <f t="shared" ca="1" si="53"/>
        <v>82</v>
      </c>
      <c r="AJ198">
        <f t="shared" ca="1" si="54"/>
        <v>101</v>
      </c>
      <c r="AK198">
        <f t="shared" ca="1" si="55"/>
        <v>85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VLOOKUP(VLOOKUP(E199,LocalAreas.csv!G:I,3,FALSE),ServiceAreas.csv!E:I,5,FALSE)</f>
        <v>200009</v>
      </c>
      <c r="G199" t="str">
        <f t="shared" si="45"/>
        <v>rg:{'id': '200002'}</v>
      </c>
      <c r="H199" t="s">
        <v>7769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7259</v>
      </c>
      <c r="X199" t="s">
        <v>76</v>
      </c>
      <c r="Y199" t="s">
        <v>76</v>
      </c>
      <c r="Z199" t="s">
        <v>76</v>
      </c>
      <c r="AA199" t="s">
        <v>7606</v>
      </c>
      <c r="AB199" t="s">
        <v>7408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303.25</v>
      </c>
      <c r="AH199" s="4">
        <f t="shared" si="52"/>
        <v>5.6194444444444445</v>
      </c>
      <c r="AI199">
        <f t="shared" ca="1" si="53"/>
        <v>199</v>
      </c>
      <c r="AJ199">
        <f t="shared" ca="1" si="54"/>
        <v>25</v>
      </c>
      <c r="AK199">
        <f t="shared" ca="1" si="55"/>
        <v>180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VLOOKUP(VLOOKUP(E200,LocalAreas.csv!G:I,3,FALSE),ServiceAreas.csv!E:I,5,FALSE)</f>
        <v>200009</v>
      </c>
      <c r="G200" t="str">
        <f t="shared" si="45"/>
        <v>rg:{'id': '200002'}</v>
      </c>
      <c r="H200" t="s">
        <v>7368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rg:True</v>
      </c>
      <c r="V200" t="str">
        <f t="shared" ca="1" si="49"/>
        <v>This equipment should be archived</v>
      </c>
      <c r="W200" t="s">
        <v>7637</v>
      </c>
      <c r="X200" t="s">
        <v>76</v>
      </c>
      <c r="Y200" t="s">
        <v>76</v>
      </c>
      <c r="Z200" t="s">
        <v>76</v>
      </c>
      <c r="AA200" t="s">
        <v>7639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287.66666666666669</v>
      </c>
      <c r="AH200" s="4">
        <f t="shared" si="52"/>
        <v>8.1333333333333329</v>
      </c>
      <c r="AI200">
        <f t="shared" ca="1" si="53"/>
        <v>39</v>
      </c>
      <c r="AJ200">
        <f t="shared" ca="1" si="54"/>
        <v>17</v>
      </c>
      <c r="AK200">
        <f t="shared" ca="1" si="55"/>
        <v>75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VLOOKUP(VLOOKUP(E201,LocalAreas.csv!G:I,3,FALSE),ServiceAreas.csv!E:I,5,FALSE)</f>
        <v>200009</v>
      </c>
      <c r="G201" t="str">
        <f t="shared" si="45"/>
        <v>rg:{'id': '200002'}</v>
      </c>
      <c r="H201" t="s">
        <v>7705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7636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7638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393.25000000000006</v>
      </c>
      <c r="AH201" s="4">
        <f t="shared" si="52"/>
        <v>9.2861111111111114</v>
      </c>
      <c r="AI201">
        <f t="shared" ca="1" si="53"/>
        <v>100</v>
      </c>
      <c r="AJ201">
        <f t="shared" ca="1" si="54"/>
        <v>159</v>
      </c>
      <c r="AK201">
        <f t="shared" ca="1" si="55"/>
        <v>85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VLOOKUP(VLOOKUP(E202,LocalAreas.csv!G:I,3,FALSE),ServiceAreas.csv!E:I,5,FALSE)</f>
        <v>200009</v>
      </c>
      <c r="G202" t="str">
        <f t="shared" si="45"/>
        <v>rg:{'id': '200002'}</v>
      </c>
      <c r="H202" t="s">
        <v>7725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7641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7643</v>
      </c>
      <c r="X202" t="s">
        <v>76</v>
      </c>
      <c r="Y202" t="s">
        <v>76</v>
      </c>
      <c r="Z202" t="s">
        <v>76</v>
      </c>
      <c r="AA202" t="s">
        <v>7647</v>
      </c>
      <c r="AB202" t="s">
        <v>7267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498.16666666666663</v>
      </c>
      <c r="AH202" s="4">
        <f t="shared" si="52"/>
        <v>12.46111111111111</v>
      </c>
      <c r="AI202">
        <f t="shared" ca="1" si="53"/>
        <v>84</v>
      </c>
      <c r="AJ202">
        <f t="shared" ca="1" si="54"/>
        <v>95</v>
      </c>
      <c r="AK202">
        <f t="shared" ca="1" si="55"/>
        <v>194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VLOOKUP(VLOOKUP(E203,LocalAreas.csv!G:I,3,FALSE),ServiceAreas.csv!E:I,5,FALSE)</f>
        <v>200009</v>
      </c>
      <c r="G203" t="str">
        <f t="shared" si="45"/>
        <v>rg:{'id': '200002'}</v>
      </c>
      <c r="H203" t="s">
        <v>7742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7645</v>
      </c>
      <c r="X203" t="s">
        <v>76</v>
      </c>
      <c r="Y203" t="s">
        <v>76</v>
      </c>
      <c r="Z203" t="s">
        <v>76</v>
      </c>
      <c r="AA203" t="s">
        <v>7646</v>
      </c>
      <c r="AB203" t="s">
        <v>7267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268.16666666666663</v>
      </c>
      <c r="AH203" s="4">
        <f t="shared" si="52"/>
        <v>4.8722222222222218</v>
      </c>
      <c r="AI203">
        <f t="shared" ca="1" si="53"/>
        <v>177</v>
      </c>
      <c r="AJ203">
        <f t="shared" ca="1" si="54"/>
        <v>88</v>
      </c>
      <c r="AK203">
        <f t="shared" ca="1" si="55"/>
        <v>101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VLOOKUP(VLOOKUP(E204,LocalAreas.csv!G:I,3,FALSE),ServiceAreas.csv!E:I,5,FALSE)</f>
        <v>200009</v>
      </c>
      <c r="G204" t="str">
        <f t="shared" si="45"/>
        <v>rg:{'id': '200002'}</v>
      </c>
      <c r="H204" t="s">
        <v>7270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7640</v>
      </c>
      <c r="O204" t="s">
        <v>7642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7644</v>
      </c>
      <c r="X204" t="s">
        <v>76</v>
      </c>
      <c r="Y204" t="s">
        <v>76</v>
      </c>
      <c r="Z204" t="s">
        <v>76</v>
      </c>
      <c r="AA204">
        <v>6665432</v>
      </c>
      <c r="AB204" t="s">
        <v>7267</v>
      </c>
      <c r="AC204">
        <v>0</v>
      </c>
      <c r="AD204" t="str">
        <f t="shared" ca="1" si="50"/>
        <v>rg:True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Prolink Hydrulic Thumb</v>
      </c>
      <c r="B2" t="s">
        <v>5383</v>
      </c>
      <c r="C2" t="s">
        <v>5384</v>
      </c>
      <c r="E2" t="str">
        <f ca="1">CONCATR(A2:C2,",")</f>
        <v>Prolink Hydrulic Thumb,[Edit],[Del]</v>
      </c>
    </row>
    <row r="3" spans="1:5" x14ac:dyDescent="0.3">
      <c r="A3" t="str">
        <f ca="1">VLOOKUP(RANDBETWEEN(1,10),'Lookups (2)'!A:G,7,FALSE)</f>
        <v>Track Excavator</v>
      </c>
      <c r="B3" t="s">
        <v>5383</v>
      </c>
      <c r="C3" t="s">
        <v>5384</v>
      </c>
      <c r="E3" t="str">
        <f ca="1">CONCATR(A3:C3,",")</f>
        <v>Track Excavator,[Edit],[Del]</v>
      </c>
    </row>
    <row r="4" spans="1:5" x14ac:dyDescent="0.3">
      <c r="A4" t="str">
        <f ca="1">VLOOKUP(RANDBETWEEN(1,10),'Lookups (2)'!A:G,7,FALSE)</f>
        <v>Road Builder Package</v>
      </c>
      <c r="B4" t="s">
        <v>5383</v>
      </c>
      <c r="C4" t="s">
        <v>5384</v>
      </c>
      <c r="E4" t="str">
        <f ca="1">CONCATR(A4:C4,",")</f>
        <v>Road Builder Package,[Edit],[Del]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5633</v>
      </c>
      <c r="C1" s="11" t="s">
        <v>7770</v>
      </c>
      <c r="D1" s="10" t="s">
        <v>6938</v>
      </c>
      <c r="E1" s="10" t="s">
        <v>73</v>
      </c>
      <c r="F1" t="s">
        <v>3</v>
      </c>
      <c r="G1" s="6" t="s">
        <v>6670</v>
      </c>
      <c r="H1" s="6" t="s">
        <v>6671</v>
      </c>
      <c r="I1" s="11" t="s">
        <v>7060</v>
      </c>
      <c r="J1" s="7" t="s">
        <v>6672</v>
      </c>
      <c r="K1" s="10" t="s">
        <v>7635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7" t="s">
        <v>7774</v>
      </c>
    </row>
    <row r="2" spans="1:17" x14ac:dyDescent="0.3">
      <c r="A2" t="s">
        <v>5386</v>
      </c>
      <c r="B2">
        <f ca="1">INDEX(LocalAreas.csv!G:G,RANDBETWEEN(2,88))</f>
        <v>200012</v>
      </c>
      <c r="C2" t="str">
        <f ca="1">"rg{'id': '"&amp;B2&amp;"'}'"</f>
        <v>rg{'id': '200012'}'</v>
      </c>
      <c r="D2" s="1" t="str">
        <f ca="1">MID(Names!G2,FIND(" ",Names!G2)+1,LEN(Names!G2)-FIND(" ", Names!G2))&amp;" "&amp;INDEX(PROJ_EXT_Name,RANDBETWEEN(2,12))</f>
        <v>Burdett Avenue Bypass</v>
      </c>
      <c r="E2" s="1" t="s">
        <v>6939</v>
      </c>
      <c r="F2">
        <f>IF(ISNUMBER(F1),F1+1,40000)</f>
        <v>40000</v>
      </c>
      <c r="G2">
        <f>IF(ISNUMBER(G1),G1+1,500000)</f>
        <v>500000</v>
      </c>
      <c r="H2" t="s">
        <v>6687</v>
      </c>
      <c r="I2" s="8">
        <f>IF(ISNUMBER(I1),I1+1,600000)</f>
        <v>600000</v>
      </c>
      <c r="J2" t="s">
        <v>6510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>
        <f ca="1">B2</f>
        <v>200012</v>
      </c>
    </row>
    <row r="3" spans="1:17" x14ac:dyDescent="0.3">
      <c r="A3" t="s">
        <v>5386</v>
      </c>
      <c r="B3">
        <f ca="1">INDEX(LocalAreas.csv!G:G,RANDBETWEEN(2,88))</f>
        <v>200078</v>
      </c>
      <c r="C3" t="str">
        <f t="shared" ref="C3:C49" ca="1" si="0">"rg{'id': '"&amp;B3&amp;"'}'"</f>
        <v>rg{'id': '200078'}'</v>
      </c>
      <c r="D3" s="1" t="str">
        <f ca="1">MID(Names!G3,FIND(" ",Names!G3)+1,LEN(Names!G3)-FIND(" ", Names!G3))&amp;" "&amp;INDEX(PROJ_EXT_Name,RANDBETWEEN(2,12))</f>
        <v>Brew Creek Rd HOV Lane</v>
      </c>
      <c r="E3" s="1" t="s">
        <v>6934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6687</v>
      </c>
      <c r="I3" s="8">
        <f t="shared" ref="I3:I49" si="3">IF(ISNUMBER(I2),I2+1,600000)</f>
        <v>600001</v>
      </c>
      <c r="J3" t="s">
        <v>6510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>
        <f t="shared" ref="Q3:Q66" ca="1" si="6">B3</f>
        <v>200078</v>
      </c>
    </row>
    <row r="4" spans="1:17" x14ac:dyDescent="0.3">
      <c r="A4" t="s">
        <v>5386</v>
      </c>
      <c r="B4">
        <f ca="1">INDEX(LocalAreas.csv!G:G,RANDBETWEEN(2,88))</f>
        <v>200021</v>
      </c>
      <c r="C4" t="str">
        <f t="shared" ca="1" si="0"/>
        <v>rg{'id': '200021'}'</v>
      </c>
      <c r="D4" s="1" t="str">
        <f ca="1">MID(Names!G4,FIND(" ",Names!G4)+1,LEN(Names!G4)-FIND(" ", Names!G4))&amp;" "&amp;INDEX(PROJ_EXT_Name,RANDBETWEEN(2,12))</f>
        <v>Mesa Vista Drive Bypass</v>
      </c>
      <c r="E4" s="1" t="s">
        <v>6940</v>
      </c>
      <c r="F4">
        <f t="shared" si="1"/>
        <v>40002</v>
      </c>
      <c r="G4">
        <f t="shared" si="2"/>
        <v>500002</v>
      </c>
      <c r="H4" t="s">
        <v>6687</v>
      </c>
      <c r="I4" s="8">
        <f t="shared" si="3"/>
        <v>600002</v>
      </c>
      <c r="J4" t="s">
        <v>6510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>
        <f t="shared" ca="1" si="6"/>
        <v>200021</v>
      </c>
    </row>
    <row r="5" spans="1:17" x14ac:dyDescent="0.3">
      <c r="A5" t="s">
        <v>5386</v>
      </c>
      <c r="B5">
        <f ca="1">INDEX(LocalAreas.csv!G:G,RANDBETWEEN(2,88))</f>
        <v>200008</v>
      </c>
      <c r="C5" t="str">
        <f t="shared" ca="1" si="0"/>
        <v>rg{'id': '200008'}'</v>
      </c>
      <c r="D5" s="1" t="str">
        <f ca="1">MID(Names!G5,FIND(" ",Names!G5)+1,LEN(Names!G5)-FIND(" ", Names!G5))&amp;" "&amp;INDEX(PROJ_EXT_Name,RANDBETWEEN(2,12))</f>
        <v>Burdett Avenue Building</v>
      </c>
      <c r="E5" s="1" t="s">
        <v>6941</v>
      </c>
      <c r="F5">
        <f t="shared" si="1"/>
        <v>40003</v>
      </c>
      <c r="G5">
        <f t="shared" si="2"/>
        <v>500003</v>
      </c>
      <c r="H5" t="s">
        <v>6687</v>
      </c>
      <c r="I5" s="8">
        <f t="shared" si="3"/>
        <v>600003</v>
      </c>
      <c r="J5" t="s">
        <v>6510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>
        <f t="shared" ca="1" si="6"/>
        <v>200008</v>
      </c>
    </row>
    <row r="6" spans="1:17" x14ac:dyDescent="0.3">
      <c r="A6" t="s">
        <v>5386</v>
      </c>
      <c r="B6">
        <f ca="1">INDEX(LocalAreas.csv!G:G,RANDBETWEEN(2,88))</f>
        <v>200000</v>
      </c>
      <c r="C6" t="str">
        <f t="shared" ca="1" si="0"/>
        <v>rg{'id': '200000'}'</v>
      </c>
      <c r="D6" s="1" t="str">
        <f ca="1">MID(Names!G6,FIND(" ",Names!G6)+1,LEN(Names!G6)-FIND(" ", Names!G6))&amp;" "&amp;INDEX(PROJ_EXT_Name,RANDBETWEEN(2,12))</f>
        <v>Noble Rd HOV Lane</v>
      </c>
      <c r="E6" s="1" t="s">
        <v>6942</v>
      </c>
      <c r="F6">
        <f t="shared" si="1"/>
        <v>40004</v>
      </c>
      <c r="G6">
        <f t="shared" si="2"/>
        <v>500004</v>
      </c>
      <c r="H6" t="s">
        <v>6687</v>
      </c>
      <c r="I6" s="8">
        <f t="shared" si="3"/>
        <v>600004</v>
      </c>
      <c r="J6" t="s">
        <v>6510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>
        <f t="shared" ca="1" si="6"/>
        <v>200000</v>
      </c>
    </row>
    <row r="7" spans="1:17" x14ac:dyDescent="0.3">
      <c r="A7" t="s">
        <v>5386</v>
      </c>
      <c r="B7">
        <f ca="1">INDEX(LocalAreas.csv!G:G,RANDBETWEEN(2,88))</f>
        <v>200072</v>
      </c>
      <c r="C7" t="str">
        <f t="shared" ca="1" si="0"/>
        <v>rg{'id': '200072'}'</v>
      </c>
      <c r="D7" s="1" t="str">
        <f ca="1">MID(Names!G7,FIND(" ",Names!G7)+1,LEN(Names!G7)-FIND(" ", Names!G7))&amp;" "&amp;INDEX(PROJ_EXT_Name,RANDBETWEEN(2,12))</f>
        <v>Essendene Avenue Bridge Replacement</v>
      </c>
      <c r="E7" s="1" t="s">
        <v>6943</v>
      </c>
      <c r="F7">
        <f t="shared" si="1"/>
        <v>40005</v>
      </c>
      <c r="G7">
        <f t="shared" si="2"/>
        <v>500005</v>
      </c>
      <c r="H7" t="s">
        <v>6687</v>
      </c>
      <c r="I7" s="8">
        <f t="shared" si="3"/>
        <v>600005</v>
      </c>
      <c r="J7" t="s">
        <v>6510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>
        <f t="shared" ca="1" si="6"/>
        <v>200072</v>
      </c>
    </row>
    <row r="8" spans="1:17" x14ac:dyDescent="0.3">
      <c r="A8" t="s">
        <v>5386</v>
      </c>
      <c r="B8">
        <f ca="1">INDEX(LocalAreas.csv!G:G,RANDBETWEEN(2,88))</f>
        <v>200027</v>
      </c>
      <c r="C8" t="str">
        <f t="shared" ca="1" si="0"/>
        <v>rg{'id': '200027'}'</v>
      </c>
      <c r="D8" s="1" t="str">
        <f ca="1">MID(Names!G8,FIND(" ",Names!G8)+1,LEN(Names!G8)-FIND(" ", Names!G8))&amp;" "&amp;INDEX(PROJ_EXT_Name,RANDBETWEEN(2,12))</f>
        <v>Cordova Street HOV Lane</v>
      </c>
      <c r="E8" s="1" t="s">
        <v>6944</v>
      </c>
      <c r="F8">
        <f t="shared" si="1"/>
        <v>40006</v>
      </c>
      <c r="G8">
        <f t="shared" si="2"/>
        <v>500006</v>
      </c>
      <c r="H8" t="s">
        <v>6687</v>
      </c>
      <c r="I8" s="8">
        <f t="shared" si="3"/>
        <v>600006</v>
      </c>
      <c r="J8" t="s">
        <v>6510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>
        <f t="shared" ca="1" si="6"/>
        <v>200027</v>
      </c>
    </row>
    <row r="9" spans="1:17" x14ac:dyDescent="0.3">
      <c r="A9" t="s">
        <v>5386</v>
      </c>
      <c r="B9">
        <f ca="1">INDEX(LocalAreas.csv!G:G,RANDBETWEEN(2,88))</f>
        <v>200057</v>
      </c>
      <c r="C9" t="str">
        <f t="shared" ca="1" si="0"/>
        <v>rg{'id': '200057'}'</v>
      </c>
      <c r="D9" s="1" t="str">
        <f ca="1">MID(Names!G9,FIND(" ",Names!G9)+1,LEN(Names!G9)-FIND(" ", Names!G9))&amp;" "&amp;INDEX(PROJ_EXT_Name,RANDBETWEEN(2,12))</f>
        <v>Hardy Street Building</v>
      </c>
      <c r="E9" s="1" t="s">
        <v>6923</v>
      </c>
      <c r="F9">
        <f t="shared" si="1"/>
        <v>40007</v>
      </c>
      <c r="G9">
        <f t="shared" si="2"/>
        <v>500007</v>
      </c>
      <c r="H9" t="s">
        <v>6687</v>
      </c>
      <c r="I9" s="8">
        <f t="shared" si="3"/>
        <v>600007</v>
      </c>
      <c r="J9" t="s">
        <v>6510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>
        <f t="shared" ca="1" si="6"/>
        <v>200057</v>
      </c>
    </row>
    <row r="10" spans="1:17" x14ac:dyDescent="0.3">
      <c r="A10" t="s">
        <v>5386</v>
      </c>
      <c r="B10">
        <f ca="1">INDEX(LocalAreas.csv!G:G,RANDBETWEEN(2,88))</f>
        <v>200084</v>
      </c>
      <c r="C10" t="str">
        <f t="shared" ca="1" si="0"/>
        <v>rg{'id': '200084'}'</v>
      </c>
      <c r="D10" s="1" t="str">
        <f ca="1">MID(Names!G10,FIND(" ",Names!G10)+1,LEN(Names!G10)-FIND(" ", Names!G10))&amp;" "&amp;INDEX(PROJ_EXT_Name,RANDBETWEEN(2,12))</f>
        <v>Robson St Bridge</v>
      </c>
      <c r="E10" s="1" t="s">
        <v>6945</v>
      </c>
      <c r="F10">
        <f t="shared" si="1"/>
        <v>40008</v>
      </c>
      <c r="G10">
        <f t="shared" si="2"/>
        <v>500008</v>
      </c>
      <c r="H10" t="s">
        <v>6687</v>
      </c>
      <c r="I10" s="8">
        <f t="shared" si="3"/>
        <v>600008</v>
      </c>
      <c r="J10" t="s">
        <v>6510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>
        <f t="shared" ca="1" si="6"/>
        <v>200084</v>
      </c>
    </row>
    <row r="11" spans="1:17" x14ac:dyDescent="0.3">
      <c r="A11" t="s">
        <v>5386</v>
      </c>
      <c r="B11">
        <f ca="1">INDEX(LocalAreas.csv!G:G,RANDBETWEEN(2,88))</f>
        <v>200032</v>
      </c>
      <c r="C11" t="str">
        <f t="shared" ca="1" si="0"/>
        <v>rg{'id': '200032'}'</v>
      </c>
      <c r="D11" s="1" t="str">
        <f ca="1">MID(Names!G11,FIND(" ",Names!G11)+1,LEN(Names!G11)-FIND(" ", Names!G11))&amp;" "&amp;INDEX(PROJ_EXT_Name,RANDBETWEEN(2,12))</f>
        <v>Wellington Ave Overpass</v>
      </c>
      <c r="E11" s="1" t="s">
        <v>6901</v>
      </c>
      <c r="F11">
        <f t="shared" si="1"/>
        <v>40009</v>
      </c>
      <c r="G11">
        <f t="shared" si="2"/>
        <v>500009</v>
      </c>
      <c r="H11" t="s">
        <v>6687</v>
      </c>
      <c r="I11" s="8">
        <f t="shared" si="3"/>
        <v>600009</v>
      </c>
      <c r="J11" t="s">
        <v>6510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>
        <f t="shared" ca="1" si="6"/>
        <v>200032</v>
      </c>
    </row>
    <row r="12" spans="1:17" x14ac:dyDescent="0.3">
      <c r="A12" t="s">
        <v>5386</v>
      </c>
      <c r="B12">
        <f ca="1">INDEX(LocalAreas.csv!G:G,RANDBETWEEN(2,88))</f>
        <v>200032</v>
      </c>
      <c r="C12" t="str">
        <f t="shared" ca="1" si="0"/>
        <v>rg{'id': '200032'}'</v>
      </c>
      <c r="D12" s="1" t="str">
        <f ca="1">MID(Names!G12,FIND(" ",Names!G12)+1,LEN(Names!G12)-FIND(" ", Names!G12))&amp;" "&amp;INDEX(PROJ_EXT_Name,RANDBETWEEN(2,12))</f>
        <v>Old Spallumcheen Rd Extension</v>
      </c>
      <c r="E12" s="1" t="s">
        <v>6946</v>
      </c>
      <c r="F12">
        <f t="shared" si="1"/>
        <v>40010</v>
      </c>
      <c r="G12">
        <f t="shared" si="2"/>
        <v>500010</v>
      </c>
      <c r="H12" t="s">
        <v>6687</v>
      </c>
      <c r="I12" s="8">
        <f t="shared" si="3"/>
        <v>600010</v>
      </c>
      <c r="J12" t="s">
        <v>6510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>
        <f t="shared" ca="1" si="6"/>
        <v>200032</v>
      </c>
    </row>
    <row r="13" spans="1:17" x14ac:dyDescent="0.3">
      <c r="A13" t="s">
        <v>5386</v>
      </c>
      <c r="B13">
        <f ca="1">INDEX(LocalAreas.csv!G:G,RANDBETWEEN(2,88))</f>
        <v>200083</v>
      </c>
      <c r="C13" t="str">
        <f t="shared" ca="1" si="0"/>
        <v>rg{'id': '200083'}'</v>
      </c>
      <c r="D13" s="1" t="str">
        <f ca="1">MID(Names!G13,FIND(" ",Names!G13)+1,LEN(Names!G13)-FIND(" ", Names!G13))&amp;" "&amp;INDEX(PROJ_EXT_Name,RANDBETWEEN(2,12))</f>
        <v>Noble Rd Expressway</v>
      </c>
      <c r="E13" s="1" t="s">
        <v>6947</v>
      </c>
      <c r="F13">
        <f t="shared" si="1"/>
        <v>40011</v>
      </c>
      <c r="G13">
        <f t="shared" si="2"/>
        <v>500011</v>
      </c>
      <c r="H13" t="s">
        <v>6687</v>
      </c>
      <c r="I13" s="8">
        <f t="shared" si="3"/>
        <v>600011</v>
      </c>
      <c r="J13" t="s">
        <v>6510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>
        <f t="shared" ca="1" si="6"/>
        <v>200083</v>
      </c>
    </row>
    <row r="14" spans="1:17" x14ac:dyDescent="0.3">
      <c r="A14" t="s">
        <v>5386</v>
      </c>
      <c r="B14">
        <f ca="1">INDEX(LocalAreas.csv!G:G,RANDBETWEEN(2,88))</f>
        <v>200064</v>
      </c>
      <c r="C14" t="str">
        <f t="shared" ca="1" si="0"/>
        <v>rg{'id': '200064'}'</v>
      </c>
      <c r="D14" s="1" t="str">
        <f ca="1">MID(Names!G14,FIND(" ",Names!G14)+1,LEN(Names!G14)-FIND(" ", Names!G14))&amp;" "&amp;INDEX(PROJ_EXT_Name,RANDBETWEEN(2,12))</f>
        <v>Jade St Expressway</v>
      </c>
      <c r="E14" s="1" t="s">
        <v>6948</v>
      </c>
      <c r="F14">
        <f t="shared" si="1"/>
        <v>40012</v>
      </c>
      <c r="G14">
        <f t="shared" si="2"/>
        <v>500012</v>
      </c>
      <c r="H14" t="s">
        <v>6687</v>
      </c>
      <c r="I14" s="8">
        <f t="shared" si="3"/>
        <v>600012</v>
      </c>
      <c r="J14" t="s">
        <v>6510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>
        <f t="shared" ca="1" si="6"/>
        <v>200064</v>
      </c>
    </row>
    <row r="15" spans="1:17" x14ac:dyDescent="0.3">
      <c r="A15" t="s">
        <v>5386</v>
      </c>
      <c r="B15">
        <f ca="1">INDEX(LocalAreas.csv!G:G,RANDBETWEEN(2,88))</f>
        <v>200001</v>
      </c>
      <c r="C15" t="str">
        <f t="shared" ca="1" si="0"/>
        <v>rg{'id': '200001'}'</v>
      </c>
      <c r="D15" s="1" t="str">
        <f ca="1">MID(Names!G15,FIND(" ",Names!G15)+1,LEN(Names!G15)-FIND(" ", Names!G15))&amp;" "&amp;INDEX(PROJ_EXT_Name,RANDBETWEEN(2,12))</f>
        <v>Wallace Street Building</v>
      </c>
      <c r="E15" s="1" t="s">
        <v>6949</v>
      </c>
      <c r="F15">
        <f t="shared" si="1"/>
        <v>40013</v>
      </c>
      <c r="G15">
        <f t="shared" si="2"/>
        <v>500013</v>
      </c>
      <c r="H15" t="s">
        <v>6687</v>
      </c>
      <c r="I15" s="8">
        <f t="shared" si="3"/>
        <v>600013</v>
      </c>
      <c r="J15" t="s">
        <v>6510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>
        <f t="shared" ca="1" si="6"/>
        <v>200001</v>
      </c>
    </row>
    <row r="16" spans="1:17" x14ac:dyDescent="0.3">
      <c r="A16" t="s">
        <v>5386</v>
      </c>
      <c r="B16">
        <f ca="1">INDEX(LocalAreas.csv!G:G,RANDBETWEEN(2,88))</f>
        <v>200037</v>
      </c>
      <c r="C16" t="str">
        <f t="shared" ca="1" si="0"/>
        <v>rg{'id': '200037'}'</v>
      </c>
      <c r="D16" s="1" t="str">
        <f ca="1">MID(Names!G16,FIND(" ",Names!G16)+1,LEN(Names!G16)-FIND(" ", Names!G16))&amp;" "&amp;INDEX(PROJ_EXT_Name,RANDBETWEEN(2,12))</f>
        <v>James Street Express Lane</v>
      </c>
      <c r="E16" s="1" t="s">
        <v>6936</v>
      </c>
      <c r="F16">
        <f t="shared" si="1"/>
        <v>40014</v>
      </c>
      <c r="G16">
        <f t="shared" si="2"/>
        <v>500014</v>
      </c>
      <c r="H16" t="s">
        <v>6687</v>
      </c>
      <c r="I16" s="8">
        <f t="shared" si="3"/>
        <v>600014</v>
      </c>
      <c r="J16" t="s">
        <v>6510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>
        <f t="shared" ca="1" si="6"/>
        <v>200037</v>
      </c>
    </row>
    <row r="17" spans="1:17" x14ac:dyDescent="0.3">
      <c r="A17" t="s">
        <v>5386</v>
      </c>
      <c r="B17">
        <f ca="1">INDEX(LocalAreas.csv!G:G,RANDBETWEEN(2,88))</f>
        <v>200023</v>
      </c>
      <c r="C17" t="str">
        <f t="shared" ca="1" si="0"/>
        <v>rg{'id': '200023'}'</v>
      </c>
      <c r="D17" s="1" t="str">
        <f ca="1">MID(Names!G17,FIND(" ",Names!G17)+1,LEN(Names!G17)-FIND(" ", Names!G17))&amp;" "&amp;INDEX(PROJ_EXT_Name,RANDBETWEEN(2,12))</f>
        <v>Holdom Avenue Bridge Replacement</v>
      </c>
      <c r="E17" s="1" t="s">
        <v>6950</v>
      </c>
      <c r="F17">
        <f t="shared" si="1"/>
        <v>40015</v>
      </c>
      <c r="G17">
        <f t="shared" si="2"/>
        <v>500015</v>
      </c>
      <c r="H17" t="s">
        <v>6687</v>
      </c>
      <c r="I17" s="8">
        <f t="shared" si="3"/>
        <v>600015</v>
      </c>
      <c r="J17" t="s">
        <v>6510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>
        <f t="shared" ca="1" si="6"/>
        <v>200023</v>
      </c>
    </row>
    <row r="18" spans="1:17" x14ac:dyDescent="0.3">
      <c r="A18" t="s">
        <v>5386</v>
      </c>
      <c r="B18">
        <f ca="1">INDEX(LocalAreas.csv!G:G,RANDBETWEEN(2,88))</f>
        <v>200013</v>
      </c>
      <c r="C18" t="str">
        <f t="shared" ca="1" si="0"/>
        <v>rg{'id': '200013'}'</v>
      </c>
      <c r="D18" s="1" t="str">
        <f ca="1">MID(Names!G18,FIND(" ",Names!G18)+1,LEN(Names!G18)-FIND(" ", Names!G18))&amp;" "&amp;INDEX(PROJ_EXT_Name,RANDBETWEEN(2,12))</f>
        <v>Roger Street HOV Lane</v>
      </c>
      <c r="E18" s="1" t="s">
        <v>6919</v>
      </c>
      <c r="F18">
        <f t="shared" si="1"/>
        <v>40016</v>
      </c>
      <c r="G18">
        <f t="shared" si="2"/>
        <v>500016</v>
      </c>
      <c r="H18" t="s">
        <v>6687</v>
      </c>
      <c r="I18" s="8">
        <f t="shared" si="3"/>
        <v>600016</v>
      </c>
      <c r="J18" t="s">
        <v>6510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>
        <f t="shared" ca="1" si="6"/>
        <v>200013</v>
      </c>
    </row>
    <row r="19" spans="1:17" x14ac:dyDescent="0.3">
      <c r="A19" t="s">
        <v>5386</v>
      </c>
      <c r="B19">
        <f ca="1">INDEX(LocalAreas.csv!G:G,RANDBETWEEN(2,88))</f>
        <v>200042</v>
      </c>
      <c r="C19" t="str">
        <f t="shared" ca="1" si="0"/>
        <v>rg{'id': '200042'}'</v>
      </c>
      <c r="D19" s="1" t="str">
        <f ca="1">MID(Names!G19,FIND(" ",Names!G19)+1,LEN(Names!G19)-FIND(" ", Names!G19))&amp;" "&amp;INDEX(PROJ_EXT_Name,RANDBETWEEN(2,12))</f>
        <v>Scotts Lane HOV Lane</v>
      </c>
      <c r="E19" s="1" t="s">
        <v>6951</v>
      </c>
      <c r="F19">
        <f t="shared" si="1"/>
        <v>40017</v>
      </c>
      <c r="G19">
        <f t="shared" si="2"/>
        <v>500017</v>
      </c>
      <c r="H19" t="s">
        <v>6687</v>
      </c>
      <c r="I19" s="8">
        <f t="shared" si="3"/>
        <v>600017</v>
      </c>
      <c r="J19" t="s">
        <v>6510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>
        <f t="shared" ca="1" si="6"/>
        <v>200042</v>
      </c>
    </row>
    <row r="20" spans="1:17" x14ac:dyDescent="0.3">
      <c r="A20" t="s">
        <v>5386</v>
      </c>
      <c r="B20">
        <f ca="1">INDEX(LocalAreas.csv!G:G,RANDBETWEEN(2,88))</f>
        <v>200007</v>
      </c>
      <c r="C20" t="str">
        <f t="shared" ca="1" si="0"/>
        <v>rg{'id': '200007'}'</v>
      </c>
      <c r="D20" s="1" t="str">
        <f ca="1">MID(Names!G20,FIND(" ",Names!G20)+1,LEN(Names!G20)-FIND(" ", Names!G20))&amp;" "&amp;INDEX(PROJ_EXT_Name,RANDBETWEEN(2,12))</f>
        <v>Findlay Creek Road Cloverleaf</v>
      </c>
      <c r="E20" s="1" t="s">
        <v>6896</v>
      </c>
      <c r="F20">
        <f t="shared" si="1"/>
        <v>40018</v>
      </c>
      <c r="G20">
        <f t="shared" si="2"/>
        <v>500018</v>
      </c>
      <c r="H20" t="s">
        <v>6687</v>
      </c>
      <c r="I20" s="8">
        <f t="shared" si="3"/>
        <v>600018</v>
      </c>
      <c r="J20" t="s">
        <v>6510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>
        <f t="shared" ca="1" si="6"/>
        <v>200007</v>
      </c>
    </row>
    <row r="21" spans="1:17" x14ac:dyDescent="0.3">
      <c r="A21" t="s">
        <v>5386</v>
      </c>
      <c r="B21">
        <f ca="1">INDEX(LocalAreas.csv!G:G,RANDBETWEEN(2,88))</f>
        <v>200035</v>
      </c>
      <c r="C21" t="str">
        <f t="shared" ca="1" si="0"/>
        <v>rg{'id': '200035'}'</v>
      </c>
      <c r="D21" s="1" t="str">
        <f ca="1">MID(Names!G21,FIND(" ",Names!G21)+1,LEN(Names!G21)-FIND(" ", Names!G21))&amp;" "&amp;INDEX(PROJ_EXT_Name,RANDBETWEEN(2,12))</f>
        <v>Sixth Street Extension</v>
      </c>
      <c r="E21" s="1" t="s">
        <v>6952</v>
      </c>
      <c r="F21">
        <f t="shared" si="1"/>
        <v>40019</v>
      </c>
      <c r="G21">
        <f t="shared" si="2"/>
        <v>500019</v>
      </c>
      <c r="H21" t="s">
        <v>6687</v>
      </c>
      <c r="I21" s="8">
        <f t="shared" si="3"/>
        <v>600019</v>
      </c>
      <c r="J21" t="s">
        <v>6510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>
        <f t="shared" ca="1" si="6"/>
        <v>200035</v>
      </c>
    </row>
    <row r="22" spans="1:17" x14ac:dyDescent="0.3">
      <c r="A22" t="s">
        <v>5386</v>
      </c>
      <c r="B22">
        <f ca="1">INDEX(LocalAreas.csv!G:G,RANDBETWEEN(2,88))</f>
        <v>200069</v>
      </c>
      <c r="C22" t="str">
        <f t="shared" ca="1" si="0"/>
        <v>rg{'id': '200069'}'</v>
      </c>
      <c r="D22" s="1" t="str">
        <f ca="1">MID(Names!G22,FIND(" ",Names!G22)+1,LEN(Names!G22)-FIND(" ", Names!G22))&amp;" "&amp;INDEX(PROJ_EXT_Name,RANDBETWEEN(2,12))</f>
        <v>Blanshard Overpass</v>
      </c>
      <c r="E22" s="1" t="s">
        <v>6903</v>
      </c>
      <c r="F22">
        <f t="shared" si="1"/>
        <v>40020</v>
      </c>
      <c r="G22">
        <f t="shared" si="2"/>
        <v>500020</v>
      </c>
      <c r="H22" t="s">
        <v>6687</v>
      </c>
      <c r="I22" s="8">
        <f t="shared" si="3"/>
        <v>600020</v>
      </c>
      <c r="J22" t="s">
        <v>6510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>
        <f t="shared" ca="1" si="6"/>
        <v>200069</v>
      </c>
    </row>
    <row r="23" spans="1:17" x14ac:dyDescent="0.3">
      <c r="A23" t="s">
        <v>5386</v>
      </c>
      <c r="B23">
        <f ca="1">INDEX(LocalAreas.csv!G:G,RANDBETWEEN(2,88))</f>
        <v>200002</v>
      </c>
      <c r="C23" t="str">
        <f t="shared" ca="1" si="0"/>
        <v>rg{'id': '200002'}'</v>
      </c>
      <c r="D23" s="1" t="str">
        <f ca="1">MID(Names!G23,FIND(" ",Names!G23)+1,LEN(Names!G23)-FIND(" ", Names!G23))&amp;" "&amp;INDEX(PROJ_EXT_Name,RANDBETWEEN(2,12))</f>
        <v>King George Hwy Extension</v>
      </c>
      <c r="E23" s="1" t="s">
        <v>6953</v>
      </c>
      <c r="F23">
        <f t="shared" si="1"/>
        <v>40021</v>
      </c>
      <c r="G23">
        <f t="shared" si="2"/>
        <v>500021</v>
      </c>
      <c r="H23" t="s">
        <v>6687</v>
      </c>
      <c r="I23" s="8">
        <f t="shared" si="3"/>
        <v>600021</v>
      </c>
      <c r="J23" t="s">
        <v>6510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>
        <f t="shared" ca="1" si="6"/>
        <v>200002</v>
      </c>
    </row>
    <row r="24" spans="1:17" x14ac:dyDescent="0.3">
      <c r="A24" t="s">
        <v>5386</v>
      </c>
      <c r="B24">
        <f ca="1">INDEX(LocalAreas.csv!G:G,RANDBETWEEN(2,88))</f>
        <v>200067</v>
      </c>
      <c r="C24" t="str">
        <f t="shared" ca="1" si="0"/>
        <v>rg{'id': '200067'}'</v>
      </c>
      <c r="D24" s="1" t="str">
        <f ca="1">MID(Names!G24,FIND(" ",Names!G24)+1,LEN(Names!G24)-FIND(" ", Names!G24))&amp;" "&amp;INDEX(PROJ_EXT_Name,RANDBETWEEN(2,12))</f>
        <v>Glover Road Bridge Replacement</v>
      </c>
      <c r="E24" s="1" t="s">
        <v>6895</v>
      </c>
      <c r="F24">
        <f t="shared" si="1"/>
        <v>40022</v>
      </c>
      <c r="G24">
        <f t="shared" si="2"/>
        <v>500022</v>
      </c>
      <c r="H24" t="s">
        <v>6687</v>
      </c>
      <c r="I24" s="8">
        <f t="shared" si="3"/>
        <v>600022</v>
      </c>
      <c r="J24" t="s">
        <v>6510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>
        <f t="shared" ca="1" si="6"/>
        <v>200067</v>
      </c>
    </row>
    <row r="25" spans="1:17" x14ac:dyDescent="0.3">
      <c r="A25" t="s">
        <v>5386</v>
      </c>
      <c r="B25">
        <f ca="1">INDEX(LocalAreas.csv!G:G,RANDBETWEEN(2,88))</f>
        <v>200014</v>
      </c>
      <c r="C25" t="str">
        <f t="shared" ca="1" si="0"/>
        <v>rg{'id': '200014'}'</v>
      </c>
      <c r="D25" s="1" t="str">
        <f ca="1">MID(Names!G25,FIND(" ",Names!G25)+1,LEN(Names!G25)-FIND(" ", Names!G25))&amp;" "&amp;INDEX(PROJ_EXT_Name,RANDBETWEEN(2,12))</f>
        <v>Wallace Street HOV Lane</v>
      </c>
      <c r="E25" s="1" t="s">
        <v>6954</v>
      </c>
      <c r="F25">
        <f t="shared" si="1"/>
        <v>40023</v>
      </c>
      <c r="G25">
        <f t="shared" si="2"/>
        <v>500023</v>
      </c>
      <c r="H25" t="s">
        <v>6687</v>
      </c>
      <c r="I25" s="8">
        <f t="shared" si="3"/>
        <v>600023</v>
      </c>
      <c r="J25" t="s">
        <v>6510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>
        <f t="shared" ca="1" si="6"/>
        <v>200014</v>
      </c>
    </row>
    <row r="26" spans="1:17" x14ac:dyDescent="0.3">
      <c r="A26" t="s">
        <v>5386</v>
      </c>
      <c r="B26">
        <f ca="1">INDEX(LocalAreas.csv!G:G,RANDBETWEEN(2,88))</f>
        <v>200066</v>
      </c>
      <c r="C26" t="str">
        <f t="shared" ca="1" si="0"/>
        <v>rg{'id': '200066'}'</v>
      </c>
      <c r="D26" s="1" t="str">
        <f ca="1">MID(Names!G26,FIND(" ",Names!G26)+1,LEN(Names!G26)-FIND(" ", Names!G26))&amp;" "&amp;INDEX(PROJ_EXT_Name,RANDBETWEEN(2,12))</f>
        <v>Yoho Valley Road Cloverleaf</v>
      </c>
      <c r="E26" s="1" t="s">
        <v>6955</v>
      </c>
      <c r="F26">
        <f t="shared" si="1"/>
        <v>40024</v>
      </c>
      <c r="G26">
        <f t="shared" si="2"/>
        <v>500024</v>
      </c>
      <c r="H26" t="s">
        <v>6687</v>
      </c>
      <c r="I26" s="8">
        <f t="shared" si="3"/>
        <v>600024</v>
      </c>
      <c r="J26" t="s">
        <v>6510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>
        <f t="shared" ca="1" si="6"/>
        <v>200066</v>
      </c>
    </row>
    <row r="27" spans="1:17" x14ac:dyDescent="0.3">
      <c r="A27" t="s">
        <v>5386</v>
      </c>
      <c r="B27">
        <f ca="1">INDEX(LocalAreas.csv!G:G,RANDBETWEEN(2,88))</f>
        <v>200040</v>
      </c>
      <c r="C27" t="str">
        <f t="shared" ca="1" si="0"/>
        <v>rg{'id': '200040'}'</v>
      </c>
      <c r="D27" s="1" t="str">
        <f ca="1">MID(Names!G27,FIND(" ",Names!G27)+1,LEN(Names!G27)-FIND(" ", Names!G27))&amp;" "&amp;INDEX(PROJ_EXT_Name,RANDBETWEEN(2,12))</f>
        <v>Burdett Avenue Overpass</v>
      </c>
      <c r="E27" s="1" t="s">
        <v>6914</v>
      </c>
      <c r="F27">
        <f t="shared" si="1"/>
        <v>40025</v>
      </c>
      <c r="G27">
        <f t="shared" si="2"/>
        <v>500025</v>
      </c>
      <c r="H27" t="s">
        <v>6687</v>
      </c>
      <c r="I27" s="8">
        <f t="shared" si="3"/>
        <v>600025</v>
      </c>
      <c r="J27" t="s">
        <v>6510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>
        <f t="shared" ca="1" si="6"/>
        <v>200040</v>
      </c>
    </row>
    <row r="28" spans="1:17" x14ac:dyDescent="0.3">
      <c r="A28" t="s">
        <v>5386</v>
      </c>
      <c r="B28">
        <f ca="1">INDEX(LocalAreas.csv!G:G,RANDBETWEEN(2,88))</f>
        <v>200042</v>
      </c>
      <c r="C28" t="str">
        <f t="shared" ca="1" si="0"/>
        <v>rg{'id': '200042'}'</v>
      </c>
      <c r="D28" s="1" t="str">
        <f ca="1">MID(Names!G28,FIND(" ",Names!G28)+1,LEN(Names!G28)-FIND(" ", Names!G28))&amp;" "&amp;INDEX(PROJ_EXT_Name,RANDBETWEEN(2,12))</f>
        <v>Cordova Street Bypass</v>
      </c>
      <c r="E28" s="1" t="s">
        <v>6956</v>
      </c>
      <c r="F28">
        <f t="shared" si="1"/>
        <v>40026</v>
      </c>
      <c r="G28">
        <f t="shared" si="2"/>
        <v>500026</v>
      </c>
      <c r="H28" t="s">
        <v>6687</v>
      </c>
      <c r="I28" s="8">
        <f t="shared" si="3"/>
        <v>600026</v>
      </c>
      <c r="J28" t="s">
        <v>6510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>
        <f t="shared" ca="1" si="6"/>
        <v>200042</v>
      </c>
    </row>
    <row r="29" spans="1:17" x14ac:dyDescent="0.3">
      <c r="A29" t="s">
        <v>5386</v>
      </c>
      <c r="B29">
        <f ca="1">INDEX(LocalAreas.csv!G:G,RANDBETWEEN(2,88))</f>
        <v>200020</v>
      </c>
      <c r="C29" t="str">
        <f t="shared" ca="1" si="0"/>
        <v>rg{'id': '200020'}'</v>
      </c>
      <c r="D29" s="1" t="str">
        <f ca="1">MID(Names!G29,FIND(" ",Names!G29)+1,LEN(Names!G29)-FIND(" ", Names!G29))&amp;" "&amp;INDEX(PROJ_EXT_Name,RANDBETWEEN(2,12))</f>
        <v>Glover Road Extension</v>
      </c>
      <c r="E29" s="1" t="s">
        <v>6929</v>
      </c>
      <c r="F29">
        <f t="shared" si="1"/>
        <v>40027</v>
      </c>
      <c r="G29">
        <f t="shared" si="2"/>
        <v>500027</v>
      </c>
      <c r="H29" t="s">
        <v>6687</v>
      </c>
      <c r="I29" s="8">
        <f t="shared" si="3"/>
        <v>600027</v>
      </c>
      <c r="J29" t="s">
        <v>6510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>
        <f t="shared" ca="1" si="6"/>
        <v>200020</v>
      </c>
    </row>
    <row r="30" spans="1:17" x14ac:dyDescent="0.3">
      <c r="A30" t="s">
        <v>5386</v>
      </c>
      <c r="B30">
        <f ca="1">INDEX(LocalAreas.csv!G:G,RANDBETWEEN(2,88))</f>
        <v>200051</v>
      </c>
      <c r="C30" t="str">
        <f t="shared" ca="1" si="0"/>
        <v>rg{'id': '200051'}'</v>
      </c>
      <c r="D30" s="1" t="str">
        <f ca="1">MID(Names!G30,FIND(" ",Names!G30)+1,LEN(Names!G30)-FIND(" ", Names!G30))&amp;" "&amp;INDEX(PROJ_EXT_Name,RANDBETWEEN(2,12))</f>
        <v>Scotts Lane Building</v>
      </c>
      <c r="E30" s="1" t="s">
        <v>6957</v>
      </c>
      <c r="F30">
        <f t="shared" si="1"/>
        <v>40028</v>
      </c>
      <c r="G30">
        <f t="shared" si="2"/>
        <v>500028</v>
      </c>
      <c r="H30" t="s">
        <v>6687</v>
      </c>
      <c r="I30" s="8">
        <f t="shared" si="3"/>
        <v>600028</v>
      </c>
      <c r="J30" t="s">
        <v>6510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>
        <f t="shared" ca="1" si="6"/>
        <v>200051</v>
      </c>
    </row>
    <row r="31" spans="1:17" x14ac:dyDescent="0.3">
      <c r="A31" t="s">
        <v>5386</v>
      </c>
      <c r="B31">
        <f ca="1">INDEX(LocalAreas.csv!G:G,RANDBETWEEN(2,88))</f>
        <v>200059</v>
      </c>
      <c r="C31" t="str">
        <f t="shared" ca="1" si="0"/>
        <v>rg{'id': '200059'}'</v>
      </c>
      <c r="D31" s="1" t="str">
        <f ca="1">MID(Names!G31,FIND(" ",Names!G31)+1,LEN(Names!G31)-FIND(" ", Names!G31))&amp;" "&amp;INDEX(PROJ_EXT_Name,RANDBETWEEN(2,12))</f>
        <v>Nootka Street Cloverleaf</v>
      </c>
      <c r="E31" s="1" t="s">
        <v>6958</v>
      </c>
      <c r="F31">
        <f t="shared" si="1"/>
        <v>40029</v>
      </c>
      <c r="G31">
        <f t="shared" si="2"/>
        <v>500029</v>
      </c>
      <c r="H31" t="s">
        <v>6687</v>
      </c>
      <c r="I31" s="8">
        <f t="shared" si="3"/>
        <v>600029</v>
      </c>
      <c r="J31" t="s">
        <v>6510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>
        <f t="shared" ca="1" si="6"/>
        <v>200059</v>
      </c>
    </row>
    <row r="32" spans="1:17" x14ac:dyDescent="0.3">
      <c r="A32" t="s">
        <v>5386</v>
      </c>
      <c r="B32">
        <f ca="1">INDEX(LocalAreas.csv!G:G,RANDBETWEEN(2,88))</f>
        <v>200076</v>
      </c>
      <c r="C32" t="str">
        <f t="shared" ca="1" si="0"/>
        <v>rg{'id': '200076'}'</v>
      </c>
      <c r="D32" s="1" t="str">
        <f ca="1">MID(Names!G32,FIND(" ",Names!G32)+1,LEN(Names!G32)-FIND(" ", Names!G32))&amp;" "&amp;INDEX(PROJ_EXT_Name,RANDBETWEEN(2,12))</f>
        <v>Nootka Street Cloverleaf</v>
      </c>
      <c r="E32" s="1" t="s">
        <v>6959</v>
      </c>
      <c r="F32">
        <f t="shared" si="1"/>
        <v>40030</v>
      </c>
      <c r="G32">
        <f t="shared" si="2"/>
        <v>500030</v>
      </c>
      <c r="H32" t="s">
        <v>6687</v>
      </c>
      <c r="I32" s="8">
        <f t="shared" si="3"/>
        <v>600030</v>
      </c>
      <c r="J32" t="s">
        <v>6510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>
        <f t="shared" ca="1" si="6"/>
        <v>200076</v>
      </c>
    </row>
    <row r="33" spans="1:17" x14ac:dyDescent="0.3">
      <c r="A33" t="s">
        <v>5386</v>
      </c>
      <c r="B33">
        <f ca="1">INDEX(LocalAreas.csv!G:G,RANDBETWEEN(2,88))</f>
        <v>200018</v>
      </c>
      <c r="C33" t="str">
        <f t="shared" ca="1" si="0"/>
        <v>rg{'id': '200018'}'</v>
      </c>
      <c r="D33" s="1" t="str">
        <f ca="1">MID(Names!G33,FIND(" ",Names!G33)+1,LEN(Names!G33)-FIND(" ", Names!G33))&amp;" "&amp;INDEX(PROJ_EXT_Name,RANDBETWEEN(2,12))</f>
        <v>Kinchant St Bridge Replacement</v>
      </c>
      <c r="E33" s="1" t="s">
        <v>6960</v>
      </c>
      <c r="F33">
        <f t="shared" si="1"/>
        <v>40031</v>
      </c>
      <c r="G33">
        <f t="shared" si="2"/>
        <v>500031</v>
      </c>
      <c r="H33" t="s">
        <v>6687</v>
      </c>
      <c r="I33" s="8">
        <f t="shared" si="3"/>
        <v>600031</v>
      </c>
      <c r="J33" t="s">
        <v>6510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>
        <f t="shared" ca="1" si="6"/>
        <v>200018</v>
      </c>
    </row>
    <row r="34" spans="1:17" x14ac:dyDescent="0.3">
      <c r="A34" t="s">
        <v>5386</v>
      </c>
      <c r="B34">
        <f ca="1">INDEX(LocalAreas.csv!G:G,RANDBETWEEN(2,88))</f>
        <v>200019</v>
      </c>
      <c r="C34" t="str">
        <f t="shared" ca="1" si="0"/>
        <v>rg{'id': '200019'}'</v>
      </c>
      <c r="D34" s="1" t="str">
        <f ca="1">MID(Names!G34,FIND(" ",Names!G34)+1,LEN(Names!G34)-FIND(" ", Names!G34))&amp;" "&amp;INDEX(PROJ_EXT_Name,RANDBETWEEN(2,12))</f>
        <v>Queens Bay Express Lane</v>
      </c>
      <c r="E34" s="1" t="s">
        <v>6961</v>
      </c>
      <c r="F34">
        <f t="shared" si="1"/>
        <v>40032</v>
      </c>
      <c r="G34">
        <f t="shared" si="2"/>
        <v>500032</v>
      </c>
      <c r="H34" t="s">
        <v>6687</v>
      </c>
      <c r="I34" s="8">
        <f t="shared" si="3"/>
        <v>600032</v>
      </c>
      <c r="J34" t="s">
        <v>6510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>
        <f t="shared" ca="1" si="6"/>
        <v>200019</v>
      </c>
    </row>
    <row r="35" spans="1:17" x14ac:dyDescent="0.3">
      <c r="A35" t="s">
        <v>5386</v>
      </c>
      <c r="B35">
        <f ca="1">INDEX(LocalAreas.csv!G:G,RANDBETWEEN(2,88))</f>
        <v>200051</v>
      </c>
      <c r="C35" t="str">
        <f t="shared" ca="1" si="0"/>
        <v>rg{'id': '200051'}'</v>
      </c>
      <c r="D35" s="1" t="str">
        <f ca="1">MID(Names!G35,FIND(" ",Names!G35)+1,LEN(Names!G35)-FIND(" ", Names!G35))&amp;" "&amp;INDEX(PROJ_EXT_Name,RANDBETWEEN(2,12))</f>
        <v>102nd Avenue Overpass</v>
      </c>
      <c r="E35" s="1" t="s">
        <v>6905</v>
      </c>
      <c r="F35">
        <f t="shared" si="1"/>
        <v>40033</v>
      </c>
      <c r="G35">
        <f t="shared" si="2"/>
        <v>500033</v>
      </c>
      <c r="H35" t="s">
        <v>6687</v>
      </c>
      <c r="I35" s="8">
        <f t="shared" si="3"/>
        <v>600033</v>
      </c>
      <c r="J35" t="s">
        <v>6510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>
        <f t="shared" ca="1" si="6"/>
        <v>200051</v>
      </c>
    </row>
    <row r="36" spans="1:17" x14ac:dyDescent="0.3">
      <c r="A36" t="s">
        <v>5386</v>
      </c>
      <c r="B36">
        <f ca="1">INDEX(LocalAreas.csv!G:G,RANDBETWEEN(2,88))</f>
        <v>200032</v>
      </c>
      <c r="C36" t="str">
        <f t="shared" ca="1" si="0"/>
        <v>rg{'id': '200032'}'</v>
      </c>
      <c r="D36" s="1" t="str">
        <f ca="1">MID(Names!G37,FIND(" ",Names!G37)+1,LEN(Names!G37)-FIND(" ", Names!G37))&amp;" "&amp;INDEX(PROJ_EXT_Name,RANDBETWEEN(2,12))</f>
        <v>Blanshard Expressway</v>
      </c>
      <c r="E36" s="1" t="s">
        <v>6911</v>
      </c>
      <c r="F36">
        <f>IF(ISNUMBER(#REF!),#REF!+1,40000)</f>
        <v>40000</v>
      </c>
      <c r="G36">
        <f>IF(ISNUMBER(#REF!),#REF!+1,500000)</f>
        <v>500000</v>
      </c>
      <c r="H36" t="s">
        <v>6687</v>
      </c>
      <c r="I36" s="8">
        <f>IF(ISNUMBER(#REF!),#REF!+1,600000)</f>
        <v>600000</v>
      </c>
      <c r="J36" t="s">
        <v>6510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>
        <f t="shared" ca="1" si="6"/>
        <v>200032</v>
      </c>
    </row>
    <row r="37" spans="1:17" x14ac:dyDescent="0.3">
      <c r="A37" t="s">
        <v>5386</v>
      </c>
      <c r="B37">
        <f ca="1">INDEX(LocalAreas.csv!G:G,RANDBETWEEN(2,88))</f>
        <v>200051</v>
      </c>
      <c r="C37" t="str">
        <f t="shared" ca="1" si="0"/>
        <v>rg{'id': '200051'}'</v>
      </c>
      <c r="D37" s="1" t="str">
        <f ca="1">MID(Names!G41,FIND(" ",Names!G41)+1,LEN(Names!G41)-FIND(" ", Names!G41))&amp;" "&amp;INDEX(PROJ_EXT_Name,RANDBETWEEN(2,12))</f>
        <v>Cardero St Extension</v>
      </c>
      <c r="E37" s="1" t="s">
        <v>6962</v>
      </c>
      <c r="F37">
        <f>IF(ISNUMBER(#REF!),#REF!+1,40000)</f>
        <v>40000</v>
      </c>
      <c r="G37">
        <f>IF(ISNUMBER(#REF!),#REF!+1,500000)</f>
        <v>500000</v>
      </c>
      <c r="H37" t="s">
        <v>6687</v>
      </c>
      <c r="I37" s="8">
        <f>IF(ISNUMBER(#REF!),#REF!+1,600000)</f>
        <v>600000</v>
      </c>
      <c r="J37" t="s">
        <v>6510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>
        <f t="shared" ca="1" si="6"/>
        <v>200051</v>
      </c>
    </row>
    <row r="38" spans="1:17" x14ac:dyDescent="0.3">
      <c r="A38" t="s">
        <v>5386</v>
      </c>
      <c r="B38">
        <f ca="1">INDEX(LocalAreas.csv!G:G,RANDBETWEEN(2,88))</f>
        <v>200006</v>
      </c>
      <c r="C38" t="str">
        <f t="shared" ca="1" si="0"/>
        <v>rg{'id': '200006'}'</v>
      </c>
      <c r="D38" s="1" t="str">
        <f ca="1">MID(Names!G43,FIND(" ",Names!G43)+1,LEN(Names!G43)-FIND(" ", Names!G43))&amp;" "&amp;INDEX(PROJ_EXT_Name,RANDBETWEEN(2,12))</f>
        <v>Old Spallumcheen Rd Expressway</v>
      </c>
      <c r="E38" s="1" t="s">
        <v>6963</v>
      </c>
      <c r="F38">
        <f>IF(ISNUMBER(#REF!),#REF!+1,40000)</f>
        <v>40000</v>
      </c>
      <c r="G38">
        <f>IF(ISNUMBER(#REF!),#REF!+1,500000)</f>
        <v>500000</v>
      </c>
      <c r="H38" t="s">
        <v>6687</v>
      </c>
      <c r="I38" s="8">
        <f>IF(ISNUMBER(#REF!),#REF!+1,600000)</f>
        <v>600000</v>
      </c>
      <c r="J38" t="s">
        <v>6510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>
        <f t="shared" ca="1" si="6"/>
        <v>200006</v>
      </c>
    </row>
    <row r="39" spans="1:17" x14ac:dyDescent="0.3">
      <c r="A39" t="s">
        <v>5386</v>
      </c>
      <c r="B39">
        <f ca="1">INDEX(LocalAreas.csv!G:G,RANDBETWEEN(2,88))</f>
        <v>200071</v>
      </c>
      <c r="C39" t="str">
        <f t="shared" ca="1" si="0"/>
        <v>rg{'id': '200071'}'</v>
      </c>
      <c r="D39" s="1" t="str">
        <f ca="1">MID(Names!G45,FIND(" ",Names!G45)+1,LEN(Names!G45)-FIND(" ", Names!G45))&amp;" "&amp;INDEX(PROJ_EXT_Name,RANDBETWEEN(2,12))</f>
        <v>Keith Road Upgrade</v>
      </c>
      <c r="E39" s="1" t="s">
        <v>6964</v>
      </c>
      <c r="F39">
        <f>IF(ISNUMBER(#REF!),#REF!+1,40000)</f>
        <v>40000</v>
      </c>
      <c r="G39">
        <f>IF(ISNUMBER(#REF!),#REF!+1,500000)</f>
        <v>500000</v>
      </c>
      <c r="H39" t="s">
        <v>6687</v>
      </c>
      <c r="I39" s="8">
        <f>IF(ISNUMBER(#REF!),#REF!+1,600000)</f>
        <v>600000</v>
      </c>
      <c r="J39" t="s">
        <v>6510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>
        <f t="shared" ca="1" si="6"/>
        <v>200071</v>
      </c>
    </row>
    <row r="40" spans="1:17" x14ac:dyDescent="0.3">
      <c r="A40" t="s">
        <v>5386</v>
      </c>
      <c r="B40">
        <f ca="1">INDEX(LocalAreas.csv!G:G,RANDBETWEEN(2,88))</f>
        <v>200019</v>
      </c>
      <c r="C40" t="str">
        <f t="shared" ca="1" si="0"/>
        <v>rg{'id': '200019'}'</v>
      </c>
      <c r="D40" s="1" t="str">
        <f ca="1">MID(Names!G46,FIND(" ",Names!G46)+1,LEN(Names!G46)-FIND(" ", Names!G46))&amp;" "&amp;INDEX(PROJ_EXT_Name,RANDBETWEEN(2,12))</f>
        <v>Burdett Avenue Bypass</v>
      </c>
      <c r="E40" s="1" t="s">
        <v>6931</v>
      </c>
      <c r="F40">
        <f t="shared" si="1"/>
        <v>40001</v>
      </c>
      <c r="G40">
        <f t="shared" si="2"/>
        <v>500001</v>
      </c>
      <c r="H40" t="s">
        <v>6687</v>
      </c>
      <c r="I40" s="8">
        <f t="shared" si="3"/>
        <v>600001</v>
      </c>
      <c r="J40" t="s">
        <v>6510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>
        <f t="shared" ca="1" si="6"/>
        <v>200019</v>
      </c>
    </row>
    <row r="41" spans="1:17" x14ac:dyDescent="0.3">
      <c r="A41" t="s">
        <v>5386</v>
      </c>
      <c r="B41">
        <f ca="1">INDEX(LocalAreas.csv!G:G,RANDBETWEEN(2,88))</f>
        <v>200017</v>
      </c>
      <c r="C41" t="str">
        <f t="shared" ca="1" si="0"/>
        <v>rg{'id': '200017'}'</v>
      </c>
      <c r="D41" s="1" t="str">
        <f ca="1">MID(Names!G48,FIND(" ",Names!G48)+1,LEN(Names!G48)-FIND(" ", Names!G48))&amp;" "&amp;INDEX(PROJ_EXT_Name,RANDBETWEEN(2,12))</f>
        <v>Coldstream Avenue Overpass</v>
      </c>
      <c r="E41" s="1" t="s">
        <v>6926</v>
      </c>
      <c r="F41">
        <f>IF(ISNUMBER(#REF!),#REF!+1,40000)</f>
        <v>40000</v>
      </c>
      <c r="G41">
        <f>IF(ISNUMBER(#REF!),#REF!+1,500000)</f>
        <v>500000</v>
      </c>
      <c r="H41" t="s">
        <v>6687</v>
      </c>
      <c r="I41" s="8">
        <f>IF(ISNUMBER(#REF!),#REF!+1,600000)</f>
        <v>600000</v>
      </c>
      <c r="J41" t="s">
        <v>6510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>
        <f t="shared" ca="1" si="6"/>
        <v>200017</v>
      </c>
    </row>
    <row r="42" spans="1:17" x14ac:dyDescent="0.3">
      <c r="A42" t="s">
        <v>5386</v>
      </c>
      <c r="B42">
        <f ca="1">INDEX(LocalAreas.csv!G:G,RANDBETWEEN(2,88))</f>
        <v>200059</v>
      </c>
      <c r="C42" t="str">
        <f t="shared" ca="1" si="0"/>
        <v>rg{'id': '200059'}'</v>
      </c>
      <c r="D42" s="1" t="str">
        <f ca="1">MID(Names!G51,FIND(" ",Names!G51)+1,LEN(Names!G51)-FIND(" ", Names!G51))&amp;" "&amp;INDEX(PROJ_EXT_Name,RANDBETWEEN(2,12))</f>
        <v>Hardy Street Cloverleaf</v>
      </c>
      <c r="E42" s="1" t="s">
        <v>6933</v>
      </c>
      <c r="F42">
        <f>IF(ISNUMBER(#REF!),#REF!+1,40000)</f>
        <v>40000</v>
      </c>
      <c r="G42">
        <f>IF(ISNUMBER(#REF!),#REF!+1,500000)</f>
        <v>500000</v>
      </c>
      <c r="H42" t="s">
        <v>6687</v>
      </c>
      <c r="I42" s="8">
        <f>IF(ISNUMBER(#REF!),#REF!+1,600000)</f>
        <v>600000</v>
      </c>
      <c r="J42" t="s">
        <v>6510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>
        <f t="shared" ca="1" si="6"/>
        <v>200059</v>
      </c>
    </row>
    <row r="43" spans="1:17" x14ac:dyDescent="0.3">
      <c r="A43" t="s">
        <v>5386</v>
      </c>
      <c r="B43">
        <f ca="1">INDEX(LocalAreas.csv!G:G,RANDBETWEEN(2,88))</f>
        <v>200002</v>
      </c>
      <c r="C43" t="str">
        <f t="shared" ca="1" si="0"/>
        <v>rg{'id': '200002'}'</v>
      </c>
      <c r="D43" s="1" t="str">
        <f ca="1">MID(Names!G54,FIND(" ",Names!G54)+1,LEN(Names!G54)-FIND(" ", Names!G54))&amp;" "&amp;INDEX(PROJ_EXT_Name,RANDBETWEEN(2,12))</f>
        <v>Hastings Street Extension</v>
      </c>
      <c r="E43" s="1" t="s">
        <v>6965</v>
      </c>
      <c r="F43">
        <f>IF(ISNUMBER(#REF!),#REF!+1,40000)</f>
        <v>40000</v>
      </c>
      <c r="G43">
        <f>IF(ISNUMBER(#REF!),#REF!+1,500000)</f>
        <v>500000</v>
      </c>
      <c r="H43" t="s">
        <v>6687</v>
      </c>
      <c r="I43" s="8">
        <f>IF(ISNUMBER(#REF!),#REF!+1,600000)</f>
        <v>600000</v>
      </c>
      <c r="J43" t="s">
        <v>6510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>
        <f t="shared" ca="1" si="6"/>
        <v>200002</v>
      </c>
    </row>
    <row r="44" spans="1:17" x14ac:dyDescent="0.3">
      <c r="A44" t="s">
        <v>5386</v>
      </c>
      <c r="B44">
        <f ca="1">INDEX(LocalAreas.csv!G:G,RANDBETWEEN(2,88))</f>
        <v>200083</v>
      </c>
      <c r="C44" t="str">
        <f t="shared" ca="1" si="0"/>
        <v>rg{'id': '200083'}'</v>
      </c>
      <c r="D44" s="1" t="str">
        <f ca="1">MID(Names!G57,FIND(" ",Names!G57)+1,LEN(Names!G57)-FIND(" ", Names!G57))&amp;" "&amp;INDEX(PROJ_EXT_Name,RANDBETWEEN(2,12))</f>
        <v>Alaska Hwy Expressway</v>
      </c>
      <c r="E44" s="1" t="s">
        <v>6916</v>
      </c>
      <c r="F44">
        <f>IF(ISNUMBER(#REF!),#REF!+1,40000)</f>
        <v>40000</v>
      </c>
      <c r="G44">
        <f>IF(ISNUMBER(#REF!),#REF!+1,500000)</f>
        <v>500000</v>
      </c>
      <c r="H44" t="s">
        <v>6687</v>
      </c>
      <c r="I44" s="8">
        <f>IF(ISNUMBER(#REF!),#REF!+1,600000)</f>
        <v>600000</v>
      </c>
      <c r="J44" t="s">
        <v>6510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>
        <f t="shared" ca="1" si="6"/>
        <v>200083</v>
      </c>
    </row>
    <row r="45" spans="1:17" x14ac:dyDescent="0.3">
      <c r="A45" t="s">
        <v>5386</v>
      </c>
      <c r="B45">
        <f ca="1">INDEX(LocalAreas.csv!G:G,RANDBETWEEN(2,88))</f>
        <v>200082</v>
      </c>
      <c r="C45" t="str">
        <f t="shared" ca="1" si="0"/>
        <v>rg{'id': '200082'}'</v>
      </c>
      <c r="D45" s="1" t="str">
        <f ca="1">MID(Names!G58,FIND(" ",Names!G58)+1,LEN(Names!G58)-FIND(" ", Names!G58))&amp;" "&amp;INDEX(PROJ_EXT_Name,RANDBETWEEN(2,12))</f>
        <v>Burdett Avenue Building</v>
      </c>
      <c r="E45" s="1" t="s">
        <v>6966</v>
      </c>
      <c r="F45">
        <f t="shared" si="1"/>
        <v>40001</v>
      </c>
      <c r="G45">
        <f t="shared" si="2"/>
        <v>500001</v>
      </c>
      <c r="H45" t="s">
        <v>6687</v>
      </c>
      <c r="I45" s="8">
        <f t="shared" si="3"/>
        <v>600001</v>
      </c>
      <c r="J45" t="s">
        <v>6510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>
        <f t="shared" ca="1" si="6"/>
        <v>200082</v>
      </c>
    </row>
    <row r="46" spans="1:17" x14ac:dyDescent="0.3">
      <c r="A46" t="s">
        <v>5386</v>
      </c>
      <c r="B46">
        <f ca="1">INDEX(LocalAreas.csv!G:G,RANDBETWEEN(2,88))</f>
        <v>200077</v>
      </c>
      <c r="C46" t="str">
        <f t="shared" ca="1" si="0"/>
        <v>rg{'id': '200077'}'</v>
      </c>
      <c r="D46" s="1" t="str">
        <f ca="1">MID(Names!G59,FIND(" ",Names!G59)+1,LEN(Names!G59)-FIND(" ", Names!G59))&amp;" "&amp;INDEX(PROJ_EXT_Name,RANDBETWEEN(2,12))</f>
        <v>James Street Overpass</v>
      </c>
      <c r="E46" s="1" t="s">
        <v>6967</v>
      </c>
      <c r="F46">
        <f t="shared" si="1"/>
        <v>40002</v>
      </c>
      <c r="G46">
        <f t="shared" si="2"/>
        <v>500002</v>
      </c>
      <c r="H46" t="s">
        <v>6687</v>
      </c>
      <c r="I46" s="8">
        <f t="shared" si="3"/>
        <v>600002</v>
      </c>
      <c r="J46" t="s">
        <v>6510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>
        <f t="shared" ca="1" si="6"/>
        <v>200077</v>
      </c>
    </row>
    <row r="47" spans="1:17" x14ac:dyDescent="0.3">
      <c r="A47" t="s">
        <v>5386</v>
      </c>
      <c r="B47">
        <f ca="1">INDEX(LocalAreas.csv!G:G,RANDBETWEEN(2,88))</f>
        <v>200061</v>
      </c>
      <c r="C47" t="str">
        <f t="shared" ca="1" si="0"/>
        <v>rg{'id': '200061'}'</v>
      </c>
      <c r="D47" s="1" t="str">
        <f ca="1">MID(Names!G60,FIND(" ",Names!G60)+1,LEN(Names!G60)-FIND(" ", Names!G60))&amp;" "&amp;INDEX(PROJ_EXT_Name,RANDBETWEEN(2,12))</f>
        <v>Tolmie St Express Lane</v>
      </c>
      <c r="E47" s="1" t="s">
        <v>6968</v>
      </c>
      <c r="F47">
        <f t="shared" si="1"/>
        <v>40003</v>
      </c>
      <c r="G47">
        <f t="shared" si="2"/>
        <v>500003</v>
      </c>
      <c r="H47" t="s">
        <v>6687</v>
      </c>
      <c r="I47" s="8">
        <f t="shared" si="3"/>
        <v>600003</v>
      </c>
      <c r="J47" t="s">
        <v>6510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>
        <f t="shared" ca="1" si="6"/>
        <v>200061</v>
      </c>
    </row>
    <row r="48" spans="1:17" x14ac:dyDescent="0.3">
      <c r="A48" t="s">
        <v>5386</v>
      </c>
      <c r="B48">
        <f ca="1">INDEX(LocalAreas.csv!G:G,RANDBETWEEN(2,88))</f>
        <v>200022</v>
      </c>
      <c r="C48" t="str">
        <f t="shared" ca="1" si="0"/>
        <v>rg{'id': '200022'}'</v>
      </c>
      <c r="D48" s="1" t="str">
        <f ca="1">MID(Names!G64,FIND(" ",Names!G64)+1,LEN(Names!G64)-FIND(" ", Names!G64))&amp;" "&amp;INDEX(PROJ_EXT_Name,RANDBETWEEN(2,12))</f>
        <v>Sixth Street Extension</v>
      </c>
      <c r="E48" s="1" t="s">
        <v>6969</v>
      </c>
      <c r="F48">
        <f>IF(ISNUMBER(#REF!),#REF!+1,40000)</f>
        <v>40000</v>
      </c>
      <c r="G48">
        <f>IF(ISNUMBER(#REF!),#REF!+1,500000)</f>
        <v>500000</v>
      </c>
      <c r="H48" t="s">
        <v>6687</v>
      </c>
      <c r="I48" s="8">
        <f>IF(ISNUMBER(#REF!),#REF!+1,600000)</f>
        <v>600000</v>
      </c>
      <c r="J48" t="s">
        <v>6510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>
        <f t="shared" ca="1" si="6"/>
        <v>200022</v>
      </c>
    </row>
    <row r="49" spans="1:17" x14ac:dyDescent="0.3">
      <c r="A49" t="s">
        <v>5386</v>
      </c>
      <c r="B49">
        <f ca="1">INDEX(LocalAreas.csv!G:G,RANDBETWEEN(2,88))</f>
        <v>200016</v>
      </c>
      <c r="C49" t="str">
        <f t="shared" ca="1" si="0"/>
        <v>rg{'id': '200016'}'</v>
      </c>
      <c r="D49" s="1" t="str">
        <f ca="1">MID(Names!G65,FIND(" ",Names!G65)+1,LEN(Names!G65)-FIND(" ", Names!G65))&amp;" "&amp;INDEX(PROJ_EXT_Name,RANDBETWEEN(2,12))</f>
        <v>King George Hwy Bridge Replacement</v>
      </c>
      <c r="E49" s="1" t="s">
        <v>6908</v>
      </c>
      <c r="F49">
        <f t="shared" si="1"/>
        <v>40001</v>
      </c>
      <c r="G49">
        <f t="shared" si="2"/>
        <v>500001</v>
      </c>
      <c r="H49" t="s">
        <v>6687</v>
      </c>
      <c r="I49" s="8">
        <f t="shared" si="3"/>
        <v>600001</v>
      </c>
      <c r="J49" t="s">
        <v>6510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>
        <f t="shared" ca="1" si="6"/>
        <v>200016</v>
      </c>
    </row>
    <row r="50" spans="1:17" x14ac:dyDescent="0.3">
      <c r="A50" t="s">
        <v>5386</v>
      </c>
      <c r="B50">
        <f ca="1">INDEX(LocalAreas.csv!G:G,RANDBETWEEN(2,88))</f>
        <v>200060</v>
      </c>
      <c r="C50" t="str">
        <f t="shared" ref="C50:C78" ca="1" si="7">"rg{'id': '"&amp;B50&amp;"'}'"</f>
        <v>rg{'id': '200060'}'</v>
      </c>
      <c r="D50" s="1" t="str">
        <f ca="1">MID(Names!G67,FIND(" ",Names!G67)+1,LEN(Names!G67)-FIND(" ", Names!G67))&amp;" "&amp;INDEX(PROJ_EXT_Name,RANDBETWEEN(2,12))</f>
        <v>Stum Lake Road Expressway</v>
      </c>
      <c r="E50" s="1" t="s">
        <v>6970</v>
      </c>
      <c r="F50">
        <f>IF(ISNUMBER(#REF!),#REF!+1,40000)</f>
        <v>40000</v>
      </c>
      <c r="G50">
        <f>IF(ISNUMBER(#REF!),#REF!+1,500000)</f>
        <v>500000</v>
      </c>
      <c r="H50" t="s">
        <v>6687</v>
      </c>
      <c r="I50" s="8">
        <f>IF(ISNUMBER(#REF!),#REF!+1,600000)</f>
        <v>600000</v>
      </c>
      <c r="J50" t="s">
        <v>6510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>
        <f t="shared" ca="1" si="6"/>
        <v>200060</v>
      </c>
    </row>
    <row r="51" spans="1:17" x14ac:dyDescent="0.3">
      <c r="A51" t="s">
        <v>5386</v>
      </c>
      <c r="B51">
        <f ca="1">INDEX(LocalAreas.csv!G:G,RANDBETWEEN(2,88))</f>
        <v>200016</v>
      </c>
      <c r="C51" t="str">
        <f t="shared" ca="1" si="7"/>
        <v>rg{'id': '200016'}'</v>
      </c>
      <c r="D51" s="1" t="str">
        <f ca="1">MID(Names!G69,FIND(" ",Names!G69)+1,LEN(Names!G69)-FIND(" ", Names!G69))&amp;" "&amp;INDEX(PROJ_EXT_Name,RANDBETWEEN(2,12))</f>
        <v>Tolmie St Building</v>
      </c>
      <c r="E51" s="1" t="s">
        <v>6971</v>
      </c>
      <c r="F51">
        <f>IF(ISNUMBER(#REF!),#REF!+1,40000)</f>
        <v>40000</v>
      </c>
      <c r="G51">
        <f>IF(ISNUMBER(#REF!),#REF!+1,500000)</f>
        <v>500000</v>
      </c>
      <c r="H51" t="s">
        <v>6687</v>
      </c>
      <c r="I51" s="8">
        <f>IF(ISNUMBER(#REF!),#REF!+1,600000)</f>
        <v>600000</v>
      </c>
      <c r="J51" t="s">
        <v>6510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>
        <f t="shared" ca="1" si="6"/>
        <v>200016</v>
      </c>
    </row>
    <row r="52" spans="1:17" x14ac:dyDescent="0.3">
      <c r="A52" t="s">
        <v>5386</v>
      </c>
      <c r="B52">
        <f ca="1">INDEX(LocalAreas.csv!G:G,RANDBETWEEN(2,88))</f>
        <v>200023</v>
      </c>
      <c r="C52" t="str">
        <f t="shared" ca="1" si="7"/>
        <v>rg{'id': '200023'}'</v>
      </c>
      <c r="D52" s="1" t="str">
        <f ca="1">MID(Names!G72,FIND(" ",Names!G72)+1,LEN(Names!G72)-FIND(" ", Names!G72))&amp;" "&amp;INDEX(PROJ_EXT_Name,RANDBETWEEN(2,12))</f>
        <v>Coldstream Avenue Express Lane</v>
      </c>
      <c r="E52" s="1" t="s">
        <v>6972</v>
      </c>
      <c r="F52">
        <f>IF(ISNUMBER(#REF!),#REF!+1,40000)</f>
        <v>40000</v>
      </c>
      <c r="G52">
        <f>IF(ISNUMBER(#REF!),#REF!+1,500000)</f>
        <v>500000</v>
      </c>
      <c r="H52" t="s">
        <v>6687</v>
      </c>
      <c r="I52" s="8">
        <f>IF(ISNUMBER(#REF!),#REF!+1,600000)</f>
        <v>600000</v>
      </c>
      <c r="J52" t="s">
        <v>6510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>
        <f t="shared" ca="1" si="6"/>
        <v>200023</v>
      </c>
    </row>
    <row r="53" spans="1:17" x14ac:dyDescent="0.3">
      <c r="A53" t="s">
        <v>5386</v>
      </c>
      <c r="B53">
        <f ca="1">INDEX(LocalAreas.csv!G:G,RANDBETWEEN(2,88))</f>
        <v>200018</v>
      </c>
      <c r="C53" t="str">
        <f t="shared" ca="1" si="7"/>
        <v>rg{'id': '200018'}'</v>
      </c>
      <c r="D53" s="1" t="str">
        <f ca="1">MID(Names!G73,FIND(" ",Names!G73)+1,LEN(Names!G73)-FIND(" ", Names!G73))&amp;" "&amp;INDEX(PROJ_EXT_Name,RANDBETWEEN(2,12))</f>
        <v>Lake City Way Extension</v>
      </c>
      <c r="E53" s="1" t="s">
        <v>6913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6687</v>
      </c>
      <c r="I53" s="8">
        <f t="shared" ref="I53:I75" si="12">IF(ISNUMBER(I52),I52+1,600000)</f>
        <v>600001</v>
      </c>
      <c r="J53" t="s">
        <v>6510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>
        <f t="shared" ca="1" si="6"/>
        <v>200018</v>
      </c>
    </row>
    <row r="54" spans="1:17" x14ac:dyDescent="0.3">
      <c r="A54" t="s">
        <v>5386</v>
      </c>
      <c r="B54">
        <f ca="1">INDEX(LocalAreas.csv!G:G,RANDBETWEEN(2,88))</f>
        <v>200056</v>
      </c>
      <c r="C54" t="str">
        <f t="shared" ca="1" si="7"/>
        <v>rg{'id': '200056'}'</v>
      </c>
      <c r="D54" s="1" t="str">
        <f ca="1">MID(Names!G75,FIND(" ",Names!G75)+1,LEN(Names!G75)-FIND(" ", Names!G75))&amp;" "&amp;INDEX(PROJ_EXT_Name,RANDBETWEEN(2,12))</f>
        <v>Essendene Avenue Bridge Replacement</v>
      </c>
      <c r="E54" s="1" t="s">
        <v>6912</v>
      </c>
      <c r="F54">
        <f>IF(ISNUMBER(#REF!),#REF!+1,40000)</f>
        <v>40000</v>
      </c>
      <c r="G54">
        <f>IF(ISNUMBER(#REF!),#REF!+1,500000)</f>
        <v>500000</v>
      </c>
      <c r="H54" t="s">
        <v>6687</v>
      </c>
      <c r="I54" s="8">
        <f>IF(ISNUMBER(#REF!),#REF!+1,600000)</f>
        <v>600000</v>
      </c>
      <c r="J54" t="s">
        <v>6510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>
        <f t="shared" ca="1" si="6"/>
        <v>200056</v>
      </c>
    </row>
    <row r="55" spans="1:17" x14ac:dyDescent="0.3">
      <c r="A55" t="s">
        <v>5386</v>
      </c>
      <c r="B55">
        <f ca="1">INDEX(LocalAreas.csv!G:G,RANDBETWEEN(2,88))</f>
        <v>200006</v>
      </c>
      <c r="C55" t="str">
        <f t="shared" ca="1" si="7"/>
        <v>rg{'id': '200006'}'</v>
      </c>
      <c r="D55" s="1" t="str">
        <f ca="1">MID(Names!G77,FIND(" ",Names!G77)+1,LEN(Names!G77)-FIND(" ", Names!G77))&amp;" "&amp;INDEX(PROJ_EXT_Name,RANDBETWEEN(2,12))</f>
        <v>Wallace Street HOV Lane</v>
      </c>
      <c r="E55" s="1" t="s">
        <v>6973</v>
      </c>
      <c r="F55">
        <f>IF(ISNUMBER(#REF!),#REF!+1,40000)</f>
        <v>40000</v>
      </c>
      <c r="G55">
        <f>IF(ISNUMBER(#REF!),#REF!+1,500000)</f>
        <v>500000</v>
      </c>
      <c r="H55" t="s">
        <v>6687</v>
      </c>
      <c r="I55" s="8">
        <f>IF(ISNUMBER(#REF!),#REF!+1,600000)</f>
        <v>600000</v>
      </c>
      <c r="J55" t="s">
        <v>6510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>
        <f t="shared" ca="1" si="6"/>
        <v>200006</v>
      </c>
    </row>
    <row r="56" spans="1:17" x14ac:dyDescent="0.3">
      <c r="A56" t="s">
        <v>5386</v>
      </c>
      <c r="B56">
        <f ca="1">INDEX(LocalAreas.csv!G:G,RANDBETWEEN(2,88))</f>
        <v>200037</v>
      </c>
      <c r="C56" t="str">
        <f t="shared" ca="1" si="7"/>
        <v>rg{'id': '200037'}'</v>
      </c>
      <c r="D56" s="1" t="str">
        <f ca="1">MID(Names!G81,FIND(" ",Names!G81)+1,LEN(Names!G81)-FIND(" ", Names!G81))&amp;" "&amp;INDEX(PROJ_EXT_Name,RANDBETWEEN(2,12))</f>
        <v>Shaughnessy St Bridge</v>
      </c>
      <c r="E56" s="1" t="s">
        <v>6974</v>
      </c>
      <c r="F56">
        <f>IF(ISNUMBER(#REF!),#REF!+1,40000)</f>
        <v>40000</v>
      </c>
      <c r="G56">
        <f>IF(ISNUMBER(#REF!),#REF!+1,500000)</f>
        <v>500000</v>
      </c>
      <c r="H56" t="s">
        <v>6687</v>
      </c>
      <c r="I56" s="8">
        <f>IF(ISNUMBER(#REF!),#REF!+1,600000)</f>
        <v>600000</v>
      </c>
      <c r="J56" t="s">
        <v>6510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>
        <f t="shared" ca="1" si="6"/>
        <v>200037</v>
      </c>
    </row>
    <row r="57" spans="1:17" x14ac:dyDescent="0.3">
      <c r="A57" t="s">
        <v>5386</v>
      </c>
      <c r="B57">
        <f ca="1">INDEX(LocalAreas.csv!G:G,RANDBETWEEN(2,88))</f>
        <v>200083</v>
      </c>
      <c r="C57" t="str">
        <f t="shared" ca="1" si="7"/>
        <v>rg{'id': '200083'}'</v>
      </c>
      <c r="D57" s="1" t="str">
        <f ca="1">MID(Names!G82,FIND(" ",Names!G82)+1,LEN(Names!G82)-FIND(" ", Names!G82))&amp;" "&amp;INDEX(PROJ_EXT_Name,RANDBETWEEN(2,12))</f>
        <v>Tchesinkut Lake Rd Overpass</v>
      </c>
      <c r="E57" s="1" t="s">
        <v>6975</v>
      </c>
      <c r="F57">
        <f t="shared" si="10"/>
        <v>40001</v>
      </c>
      <c r="G57">
        <f t="shared" si="11"/>
        <v>500001</v>
      </c>
      <c r="H57" t="s">
        <v>6687</v>
      </c>
      <c r="I57" s="8">
        <f t="shared" si="12"/>
        <v>600001</v>
      </c>
      <c r="J57" t="s">
        <v>6510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>
        <f t="shared" ca="1" si="6"/>
        <v>200083</v>
      </c>
    </row>
    <row r="58" spans="1:17" x14ac:dyDescent="0.3">
      <c r="A58" t="s">
        <v>5386</v>
      </c>
      <c r="B58">
        <f ca="1">INDEX(LocalAreas.csv!G:G,RANDBETWEEN(2,88))</f>
        <v>200026</v>
      </c>
      <c r="C58" t="str">
        <f t="shared" ca="1" si="7"/>
        <v>rg{'id': '200026'}'</v>
      </c>
      <c r="D58" s="1" t="str">
        <f ca="1">MID(Names!G83,FIND(" ",Names!G83)+1,LEN(Names!G83)-FIND(" ", Names!G83))&amp;" "&amp;INDEX(PROJ_EXT_Name,RANDBETWEEN(2,12))</f>
        <v>Blind Bay Road Bypass</v>
      </c>
      <c r="E58" s="1" t="s">
        <v>6976</v>
      </c>
      <c r="F58">
        <f t="shared" si="10"/>
        <v>40002</v>
      </c>
      <c r="G58">
        <f t="shared" si="11"/>
        <v>500002</v>
      </c>
      <c r="H58" t="s">
        <v>6687</v>
      </c>
      <c r="I58" s="8">
        <f t="shared" si="12"/>
        <v>600002</v>
      </c>
      <c r="J58" t="s">
        <v>6510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>
        <f t="shared" ca="1" si="6"/>
        <v>200026</v>
      </c>
    </row>
    <row r="59" spans="1:17" x14ac:dyDescent="0.3">
      <c r="A59" t="s">
        <v>5386</v>
      </c>
      <c r="B59">
        <f ca="1">INDEX(LocalAreas.csv!G:G,RANDBETWEEN(2,88))</f>
        <v>200012</v>
      </c>
      <c r="C59" t="str">
        <f t="shared" ca="1" si="7"/>
        <v>rg{'id': '200012'}'</v>
      </c>
      <c r="D59" s="1" t="str">
        <f ca="1">MID(Names!G86,FIND(" ",Names!G86)+1,LEN(Names!G86)-FIND(" ", Names!G86))&amp;" "&amp;INDEX(PROJ_EXT_Name,RANDBETWEEN(2,12))</f>
        <v>Glover Road Expressway</v>
      </c>
      <c r="E59" s="1" t="s">
        <v>6977</v>
      </c>
      <c r="F59">
        <f>IF(ISNUMBER(#REF!),#REF!+1,40000)</f>
        <v>40000</v>
      </c>
      <c r="G59">
        <f>IF(ISNUMBER(#REF!),#REF!+1,500000)</f>
        <v>500000</v>
      </c>
      <c r="H59" t="s">
        <v>6687</v>
      </c>
      <c r="I59" s="8">
        <f>IF(ISNUMBER(#REF!),#REF!+1,600000)</f>
        <v>600000</v>
      </c>
      <c r="J59" t="s">
        <v>6510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>
        <f t="shared" ca="1" si="6"/>
        <v>200012</v>
      </c>
    </row>
    <row r="60" spans="1:17" x14ac:dyDescent="0.3">
      <c r="A60" t="s">
        <v>5386</v>
      </c>
      <c r="B60">
        <f ca="1">INDEX(LocalAreas.csv!G:G,RANDBETWEEN(2,88))</f>
        <v>200019</v>
      </c>
      <c r="C60" t="str">
        <f t="shared" ca="1" si="7"/>
        <v>rg{'id': '200019'}'</v>
      </c>
      <c r="D60" s="1" t="str">
        <f ca="1">MID(Names!G87,FIND(" ",Names!G87)+1,LEN(Names!G87)-FIND(" ", Names!G87))&amp;" "&amp;INDEX(PROJ_EXT_Name,RANDBETWEEN(2,12))</f>
        <v>Wellington Ave Bridge</v>
      </c>
      <c r="E60" s="1" t="s">
        <v>6978</v>
      </c>
      <c r="F60">
        <f t="shared" si="10"/>
        <v>40001</v>
      </c>
      <c r="G60">
        <f t="shared" si="11"/>
        <v>500001</v>
      </c>
      <c r="H60" t="s">
        <v>6687</v>
      </c>
      <c r="I60" s="8">
        <f t="shared" si="12"/>
        <v>600001</v>
      </c>
      <c r="J60" t="s">
        <v>6510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>
        <f t="shared" ca="1" si="6"/>
        <v>200019</v>
      </c>
    </row>
    <row r="61" spans="1:17" x14ac:dyDescent="0.3">
      <c r="A61" t="s">
        <v>5386</v>
      </c>
      <c r="B61">
        <f ca="1">INDEX(LocalAreas.csv!G:G,RANDBETWEEN(2,88))</f>
        <v>200002</v>
      </c>
      <c r="C61" t="str">
        <f t="shared" ca="1" si="7"/>
        <v>rg{'id': '200002'}'</v>
      </c>
      <c r="D61" s="1" t="str">
        <f ca="1">MID(Names!G89,FIND(" ",Names!G89)+1,LEN(Names!G89)-FIND(" ", Names!G89))&amp;" "&amp;INDEX(PROJ_EXT_Name,RANDBETWEEN(2,12))</f>
        <v>Hastings Street HOV Lane</v>
      </c>
      <c r="E61" s="1" t="s">
        <v>6979</v>
      </c>
      <c r="F61">
        <f>IF(ISNUMBER(#REF!),#REF!+1,40000)</f>
        <v>40000</v>
      </c>
      <c r="G61">
        <f>IF(ISNUMBER(#REF!),#REF!+1,500000)</f>
        <v>500000</v>
      </c>
      <c r="H61" t="s">
        <v>6687</v>
      </c>
      <c r="I61" s="8">
        <f>IF(ISNUMBER(#REF!),#REF!+1,600000)</f>
        <v>600000</v>
      </c>
      <c r="J61" t="s">
        <v>6510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>
        <f t="shared" ca="1" si="6"/>
        <v>200002</v>
      </c>
    </row>
    <row r="62" spans="1:17" x14ac:dyDescent="0.3">
      <c r="A62" t="s">
        <v>5386</v>
      </c>
      <c r="B62">
        <f ca="1">INDEX(LocalAreas.csv!G:G,RANDBETWEEN(2,88))</f>
        <v>200011</v>
      </c>
      <c r="C62" t="str">
        <f t="shared" ca="1" si="7"/>
        <v>rg{'id': '200011'}'</v>
      </c>
      <c r="D62" s="1" t="str">
        <f ca="1">MID(Names!G90,FIND(" ",Names!G90)+1,LEN(Names!G90)-FIND(" ", Names!G90))&amp;" "&amp;INDEX(PROJ_EXT_Name,RANDBETWEEN(2,12))</f>
        <v>Tchesinkut Lake Rd Upgrade</v>
      </c>
      <c r="E62" s="1" t="s">
        <v>6980</v>
      </c>
      <c r="F62">
        <f t="shared" si="10"/>
        <v>40001</v>
      </c>
      <c r="G62">
        <f t="shared" si="11"/>
        <v>500001</v>
      </c>
      <c r="H62" t="s">
        <v>6687</v>
      </c>
      <c r="I62" s="8">
        <f t="shared" si="12"/>
        <v>600001</v>
      </c>
      <c r="J62" t="s">
        <v>6510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>
        <f t="shared" ca="1" si="6"/>
        <v>200011</v>
      </c>
    </row>
    <row r="63" spans="1:17" x14ac:dyDescent="0.3">
      <c r="A63" t="s">
        <v>5386</v>
      </c>
      <c r="B63">
        <f ca="1">INDEX(LocalAreas.csv!G:G,RANDBETWEEN(2,88))</f>
        <v>200021</v>
      </c>
      <c r="C63" t="str">
        <f t="shared" ca="1" si="7"/>
        <v>rg{'id': '200021'}'</v>
      </c>
      <c r="D63" s="1" t="str">
        <f ca="1">MID(Names!G94,FIND(" ",Names!G94)+1,LEN(Names!G94)-FIND(" ", Names!G94))&amp;" "&amp;INDEX(PROJ_EXT_Name,RANDBETWEEN(2,12))</f>
        <v>Yoho Valley Road Upgrade</v>
      </c>
      <c r="E63" s="1" t="s">
        <v>6981</v>
      </c>
      <c r="F63">
        <f>IF(ISNUMBER(#REF!),#REF!+1,40000)</f>
        <v>40000</v>
      </c>
      <c r="G63">
        <f>IF(ISNUMBER(#REF!),#REF!+1,500000)</f>
        <v>500000</v>
      </c>
      <c r="H63" t="s">
        <v>6687</v>
      </c>
      <c r="I63" s="8">
        <f>IF(ISNUMBER(#REF!),#REF!+1,600000)</f>
        <v>600000</v>
      </c>
      <c r="J63" t="s">
        <v>6510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>
        <f t="shared" ca="1" si="6"/>
        <v>200021</v>
      </c>
    </row>
    <row r="64" spans="1:17" x14ac:dyDescent="0.3">
      <c r="A64" t="s">
        <v>5386</v>
      </c>
      <c r="B64">
        <f ca="1">INDEX(LocalAreas.csv!G:G,RANDBETWEEN(2,88))</f>
        <v>200072</v>
      </c>
      <c r="C64" t="str">
        <f t="shared" ca="1" si="7"/>
        <v>rg{'id': '200072'}'</v>
      </c>
      <c r="D64" s="1" t="str">
        <f ca="1">MID(Names!G95,FIND(" ",Names!G95)+1,LEN(Names!G95)-FIND(" ", Names!G95))&amp;" "&amp;INDEX(PROJ_EXT_Name,RANDBETWEEN(2,12))</f>
        <v>Keith Road Bypass</v>
      </c>
      <c r="E64" s="1" t="s">
        <v>6982</v>
      </c>
      <c r="F64">
        <f t="shared" si="10"/>
        <v>40001</v>
      </c>
      <c r="G64">
        <f t="shared" si="11"/>
        <v>500001</v>
      </c>
      <c r="H64" t="s">
        <v>6687</v>
      </c>
      <c r="I64" s="8">
        <f t="shared" si="12"/>
        <v>600001</v>
      </c>
      <c r="J64" t="s">
        <v>6510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>
        <f t="shared" ca="1" si="6"/>
        <v>200072</v>
      </c>
    </row>
    <row r="65" spans="1:17" x14ac:dyDescent="0.3">
      <c r="A65" t="s">
        <v>5386</v>
      </c>
      <c r="B65">
        <f ca="1">INDEX(LocalAreas.csv!G:G,RANDBETWEEN(2,88))</f>
        <v>200059</v>
      </c>
      <c r="C65" t="str">
        <f t="shared" ca="1" si="7"/>
        <v>rg{'id': '200059'}'</v>
      </c>
      <c r="D65" s="1" t="str">
        <f ca="1">MID(Names!G98,FIND(" ",Names!G98)+1,LEN(Names!G98)-FIND(" ", Names!G98))&amp;" "&amp;INDEX(PROJ_EXT_Name,RANDBETWEEN(2,12))</f>
        <v>Quayside Dr Extension</v>
      </c>
      <c r="E65" s="1" t="s">
        <v>6983</v>
      </c>
      <c r="F65">
        <f>IF(ISNUMBER(#REF!),#REF!+1,40000)</f>
        <v>40000</v>
      </c>
      <c r="G65">
        <f>IF(ISNUMBER(#REF!),#REF!+1,500000)</f>
        <v>500000</v>
      </c>
      <c r="H65" t="s">
        <v>6687</v>
      </c>
      <c r="I65" s="8">
        <f>IF(ISNUMBER(#REF!),#REF!+1,600000)</f>
        <v>600000</v>
      </c>
      <c r="J65" t="s">
        <v>6510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>
        <f t="shared" ca="1" si="6"/>
        <v>200059</v>
      </c>
    </row>
    <row r="66" spans="1:17" x14ac:dyDescent="0.3">
      <c r="A66" t="s">
        <v>5386</v>
      </c>
      <c r="B66">
        <f ca="1">INDEX(LocalAreas.csv!G:G,RANDBETWEEN(2,88))</f>
        <v>200044</v>
      </c>
      <c r="C66" t="str">
        <f t="shared" ca="1" si="7"/>
        <v>rg{'id': '200044'}'</v>
      </c>
      <c r="D66" s="1" t="str">
        <f ca="1">MID(Names!G99,FIND(" ",Names!G99)+1,LEN(Names!G99)-FIND(" ", Names!G99))&amp;" "&amp;INDEX(PROJ_EXT_Name,RANDBETWEEN(2,12))</f>
        <v>Jade St Cloverleaf</v>
      </c>
      <c r="E66" s="1" t="s">
        <v>6984</v>
      </c>
      <c r="F66">
        <f t="shared" si="10"/>
        <v>40001</v>
      </c>
      <c r="G66">
        <f t="shared" si="11"/>
        <v>500001</v>
      </c>
      <c r="H66" t="s">
        <v>6687</v>
      </c>
      <c r="I66" s="8">
        <f t="shared" si="12"/>
        <v>600001</v>
      </c>
      <c r="J66" t="s">
        <v>6510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>
        <f t="shared" ca="1" si="6"/>
        <v>200044</v>
      </c>
    </row>
    <row r="67" spans="1:17" x14ac:dyDescent="0.3">
      <c r="A67" t="s">
        <v>5386</v>
      </c>
      <c r="B67">
        <f ca="1">INDEX(LocalAreas.csv!G:G,RANDBETWEEN(2,88))</f>
        <v>200043</v>
      </c>
      <c r="C67" t="str">
        <f t="shared" ca="1" si="7"/>
        <v>rg{'id': '200043'}'</v>
      </c>
      <c r="D67" s="1" t="str">
        <f ca="1">MID(Names!G101,FIND(" ",Names!G101)+1,LEN(Names!G101)-FIND(" ", Names!G101))&amp;" "&amp;INDEX(PROJ_EXT_Name,RANDBETWEEN(2,12))</f>
        <v>Robson St Expressway</v>
      </c>
      <c r="E67" s="1" t="s">
        <v>6918</v>
      </c>
      <c r="F67">
        <f>IF(ISNUMBER(#REF!),#REF!+1,40000)</f>
        <v>40000</v>
      </c>
      <c r="G67">
        <f>IF(ISNUMBER(#REF!),#REF!+1,500000)</f>
        <v>500000</v>
      </c>
      <c r="H67" t="s">
        <v>6687</v>
      </c>
      <c r="I67" s="8">
        <f>IF(ISNUMBER(#REF!),#REF!+1,600000)</f>
        <v>600000</v>
      </c>
      <c r="J67" t="s">
        <v>6510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>
        <f t="shared" ref="Q67:Q130" ca="1" si="13">B67</f>
        <v>200043</v>
      </c>
    </row>
    <row r="68" spans="1:17" x14ac:dyDescent="0.3">
      <c r="A68" t="s">
        <v>5386</v>
      </c>
      <c r="B68">
        <f ca="1">INDEX(LocalAreas.csv!G:G,RANDBETWEEN(2,88))</f>
        <v>200086</v>
      </c>
      <c r="C68" t="str">
        <f t="shared" ca="1" si="7"/>
        <v>rg{'id': '200086'}'</v>
      </c>
      <c r="D68" s="1" t="str">
        <f ca="1">MID(Names!G104,FIND(" ",Names!G104)+1,LEN(Names!G104)-FIND(" ", Names!G104))&amp;" "&amp;INDEX(PROJ_EXT_Name,RANDBETWEEN(2,12))</f>
        <v>Carlson Road HOV Lane</v>
      </c>
      <c r="E68" s="1" t="s">
        <v>6985</v>
      </c>
      <c r="F68">
        <f>IF(ISNUMBER(#REF!),#REF!+1,40000)</f>
        <v>40000</v>
      </c>
      <c r="G68">
        <f>IF(ISNUMBER(#REF!),#REF!+1,500000)</f>
        <v>500000</v>
      </c>
      <c r="H68" t="s">
        <v>6687</v>
      </c>
      <c r="I68" s="8">
        <f>IF(ISNUMBER(#REF!),#REF!+1,600000)</f>
        <v>600000</v>
      </c>
      <c r="J68" t="s">
        <v>6510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>
        <f t="shared" ca="1" si="13"/>
        <v>200086</v>
      </c>
    </row>
    <row r="69" spans="1:17" x14ac:dyDescent="0.3">
      <c r="A69" t="s">
        <v>5386</v>
      </c>
      <c r="B69">
        <f ca="1">INDEX(LocalAreas.csv!G:G,RANDBETWEEN(2,88))</f>
        <v>200028</v>
      </c>
      <c r="C69" t="str">
        <f t="shared" ca="1" si="7"/>
        <v>rg{'id': '200028'}'</v>
      </c>
      <c r="D69" s="1" t="str">
        <f ca="1">MID(Names!G107,FIND(" ",Names!G107)+1,LEN(Names!G107)-FIND(" ", Names!G107))&amp;" "&amp;INDEX(PROJ_EXT_Name,RANDBETWEEN(2,12))</f>
        <v>McGill Road Express Lane</v>
      </c>
      <c r="E69" s="1" t="s">
        <v>6986</v>
      </c>
      <c r="F69">
        <f>IF(ISNUMBER(#REF!),#REF!+1,40000)</f>
        <v>40000</v>
      </c>
      <c r="G69">
        <f>IF(ISNUMBER(#REF!),#REF!+1,500000)</f>
        <v>500000</v>
      </c>
      <c r="H69" t="s">
        <v>6687</v>
      </c>
      <c r="I69" s="8">
        <f>IF(ISNUMBER(#REF!),#REF!+1,600000)</f>
        <v>600000</v>
      </c>
      <c r="J69" t="s">
        <v>6510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>
        <f t="shared" ca="1" si="13"/>
        <v>200028</v>
      </c>
    </row>
    <row r="70" spans="1:17" x14ac:dyDescent="0.3">
      <c r="A70" t="s">
        <v>5386</v>
      </c>
      <c r="B70">
        <f ca="1">INDEX(LocalAreas.csv!G:G,RANDBETWEEN(2,88))</f>
        <v>200013</v>
      </c>
      <c r="C70" t="str">
        <f t="shared" ca="1" si="7"/>
        <v>rg{'id': '200013'}'</v>
      </c>
      <c r="D70" s="1" t="str">
        <f ca="1">MID(Names!G108,FIND(" ",Names!G108)+1,LEN(Names!G108)-FIND(" ", Names!G108))&amp;" "&amp;INDEX(PROJ_EXT_Name,RANDBETWEEN(2,12))</f>
        <v>Russell Avenue Express Lane</v>
      </c>
      <c r="E70" s="1" t="s">
        <v>6987</v>
      </c>
      <c r="F70">
        <f t="shared" si="10"/>
        <v>40001</v>
      </c>
      <c r="G70">
        <f t="shared" si="11"/>
        <v>500001</v>
      </c>
      <c r="H70" t="s">
        <v>6687</v>
      </c>
      <c r="I70" s="8">
        <f t="shared" si="12"/>
        <v>600001</v>
      </c>
      <c r="J70" t="s">
        <v>6510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>
        <f t="shared" ca="1" si="13"/>
        <v>200013</v>
      </c>
    </row>
    <row r="71" spans="1:17" x14ac:dyDescent="0.3">
      <c r="A71" t="s">
        <v>5386</v>
      </c>
      <c r="B71">
        <f ca="1">INDEX(LocalAreas.csv!G:G,RANDBETWEEN(2,88))</f>
        <v>200057</v>
      </c>
      <c r="C71" t="str">
        <f t="shared" ca="1" si="7"/>
        <v>rg{'id': '200057'}'</v>
      </c>
      <c r="D71" s="1" t="str">
        <f ca="1">MID(Names!G113,FIND(" ",Names!G113)+1,LEN(Names!G113)-FIND(" ", Names!G113))&amp;" "&amp;INDEX(PROJ_EXT_Name,RANDBETWEEN(2,12))</f>
        <v>Robson St Bridge Replacement</v>
      </c>
      <c r="E71" s="1" t="s">
        <v>6924</v>
      </c>
      <c r="F71">
        <f>IF(ISNUMBER(#REF!),#REF!+1,40000)</f>
        <v>40000</v>
      </c>
      <c r="G71">
        <f>IF(ISNUMBER(#REF!),#REF!+1,500000)</f>
        <v>500000</v>
      </c>
      <c r="H71" t="s">
        <v>6687</v>
      </c>
      <c r="I71" s="8">
        <f>IF(ISNUMBER(#REF!),#REF!+1,600000)</f>
        <v>600000</v>
      </c>
      <c r="J71" t="s">
        <v>6510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>
        <f t="shared" ca="1" si="13"/>
        <v>200057</v>
      </c>
    </row>
    <row r="72" spans="1:17" x14ac:dyDescent="0.3">
      <c r="A72" t="s">
        <v>5386</v>
      </c>
      <c r="B72">
        <f ca="1">INDEX(LocalAreas.csv!G:G,RANDBETWEEN(2,88))</f>
        <v>200069</v>
      </c>
      <c r="C72" t="str">
        <f t="shared" ca="1" si="7"/>
        <v>rg{'id': '200069'}'</v>
      </c>
      <c r="D72" s="1" t="str">
        <f ca="1">MID(Names!G120,FIND(" ",Names!G120)+1,LEN(Names!G120)-FIND(" ", Names!G120))&amp;" "&amp;INDEX(PROJ_EXT_Name,RANDBETWEEN(2,12))</f>
        <v>Haaglund Rd Overpass</v>
      </c>
      <c r="E72" s="1" t="s">
        <v>6988</v>
      </c>
      <c r="F72">
        <f>IF(ISNUMBER(#REF!),#REF!+1,40000)</f>
        <v>40000</v>
      </c>
      <c r="G72">
        <f>IF(ISNUMBER(#REF!),#REF!+1,500000)</f>
        <v>500000</v>
      </c>
      <c r="H72" t="s">
        <v>6687</v>
      </c>
      <c r="I72" s="8">
        <f>IF(ISNUMBER(#REF!),#REF!+1,600000)</f>
        <v>600000</v>
      </c>
      <c r="J72" t="s">
        <v>6510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>
        <f t="shared" ca="1" si="13"/>
        <v>200069</v>
      </c>
    </row>
    <row r="73" spans="1:17" x14ac:dyDescent="0.3">
      <c r="A73" t="s">
        <v>5386</v>
      </c>
      <c r="B73">
        <f ca="1">INDEX(LocalAreas.csv!G:G,RANDBETWEEN(2,88))</f>
        <v>200055</v>
      </c>
      <c r="C73" t="str">
        <f t="shared" ca="1" si="7"/>
        <v>rg{'id': '200055'}'</v>
      </c>
      <c r="D73" s="1" t="str">
        <f ca="1">MID(Names!G121,FIND(" ",Names!G121)+1,LEN(Names!G121)-FIND(" ", Names!G121))&amp;" "&amp;INDEX(PROJ_EXT_Name,RANDBETWEEN(2,12))</f>
        <v>Tchesinkut Lake Rd Cloverleaf</v>
      </c>
      <c r="E73" s="1" t="s">
        <v>6989</v>
      </c>
      <c r="F73">
        <f t="shared" si="10"/>
        <v>40001</v>
      </c>
      <c r="G73">
        <f t="shared" si="11"/>
        <v>500001</v>
      </c>
      <c r="H73" t="s">
        <v>6687</v>
      </c>
      <c r="I73" s="8">
        <f t="shared" si="12"/>
        <v>600001</v>
      </c>
      <c r="J73" t="s">
        <v>6510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>
        <f t="shared" ca="1" si="13"/>
        <v>200055</v>
      </c>
    </row>
    <row r="74" spans="1:17" x14ac:dyDescent="0.3">
      <c r="A74" t="s">
        <v>5386</v>
      </c>
      <c r="B74">
        <f ca="1">INDEX(LocalAreas.csv!G:G,RANDBETWEEN(2,88))</f>
        <v>200001</v>
      </c>
      <c r="C74" t="str">
        <f t="shared" ca="1" si="7"/>
        <v>rg{'id': '200001'}'</v>
      </c>
      <c r="D74" s="1" t="str">
        <f ca="1">MID(Names!G123,FIND(" ",Names!G123)+1,LEN(Names!G123)-FIND(" ", Names!G123))&amp;" "&amp;INDEX(PROJ_EXT_Name,RANDBETWEEN(2,12))</f>
        <v>Glover Road Upgrade</v>
      </c>
      <c r="E74" s="1" t="s">
        <v>6990</v>
      </c>
      <c r="F74">
        <f>IF(ISNUMBER(#REF!),#REF!+1,40000)</f>
        <v>40000</v>
      </c>
      <c r="G74">
        <f>IF(ISNUMBER(#REF!),#REF!+1,500000)</f>
        <v>500000</v>
      </c>
      <c r="H74" t="s">
        <v>6687</v>
      </c>
      <c r="I74" s="8">
        <f>IF(ISNUMBER(#REF!),#REF!+1,600000)</f>
        <v>600000</v>
      </c>
      <c r="J74" t="s">
        <v>6510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>
        <f t="shared" ca="1" si="13"/>
        <v>200001</v>
      </c>
    </row>
    <row r="75" spans="1:17" x14ac:dyDescent="0.3">
      <c r="A75" t="s">
        <v>5386</v>
      </c>
      <c r="B75">
        <f ca="1">INDEX(LocalAreas.csv!G:G,RANDBETWEEN(2,88))</f>
        <v>200084</v>
      </c>
      <c r="C75" t="str">
        <f t="shared" ca="1" si="7"/>
        <v>rg{'id': '200084'}'</v>
      </c>
      <c r="D75" s="1" t="str">
        <f ca="1">MID(Names!G124,FIND(" ",Names!G124)+1,LEN(Names!G124)-FIND(" ", Names!G124))&amp;" "&amp;INDEX(PROJ_EXT_Name,RANDBETWEEN(2,12))</f>
        <v>Stum Lake Road Overpass</v>
      </c>
      <c r="E75" s="1" t="s">
        <v>6991</v>
      </c>
      <c r="F75">
        <f t="shared" si="10"/>
        <v>40001</v>
      </c>
      <c r="G75">
        <f t="shared" si="11"/>
        <v>500001</v>
      </c>
      <c r="H75" t="s">
        <v>6687</v>
      </c>
      <c r="I75" s="8">
        <f t="shared" si="12"/>
        <v>600001</v>
      </c>
      <c r="J75" t="s">
        <v>6510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>
        <f t="shared" ca="1" si="13"/>
        <v>200084</v>
      </c>
    </row>
    <row r="76" spans="1:17" x14ac:dyDescent="0.3">
      <c r="A76" t="s">
        <v>5386</v>
      </c>
      <c r="B76">
        <f ca="1">INDEX(LocalAreas.csv!G:G,RANDBETWEEN(2,88))</f>
        <v>200037</v>
      </c>
      <c r="C76" t="str">
        <f t="shared" ca="1" si="7"/>
        <v>rg{'id': '200037'}'</v>
      </c>
      <c r="D76" s="1" t="str">
        <f ca="1">MID(Names!G126,FIND(" ",Names!G126)+1,LEN(Names!G126)-FIND(" ", Names!G126))&amp;" "&amp;INDEX(PROJ_EXT_Name,RANDBETWEEN(2,12))</f>
        <v>Shaughnessy St Extension</v>
      </c>
      <c r="E76" s="1" t="s">
        <v>6992</v>
      </c>
      <c r="F76">
        <f>IF(ISNUMBER(#REF!),#REF!+1,40000)</f>
        <v>40000</v>
      </c>
      <c r="G76">
        <f>IF(ISNUMBER(#REF!),#REF!+1,500000)</f>
        <v>500000</v>
      </c>
      <c r="H76" t="s">
        <v>6687</v>
      </c>
      <c r="I76" s="8">
        <f>IF(ISNUMBER(#REF!),#REF!+1,600000)</f>
        <v>600000</v>
      </c>
      <c r="J76" t="s">
        <v>6510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>
        <f t="shared" ca="1" si="13"/>
        <v>200037</v>
      </c>
    </row>
    <row r="77" spans="1:17" x14ac:dyDescent="0.3">
      <c r="A77" t="s">
        <v>5386</v>
      </c>
      <c r="B77">
        <f ca="1">INDEX(LocalAreas.csv!G:G,RANDBETWEEN(2,88))</f>
        <v>200008</v>
      </c>
      <c r="C77" t="str">
        <f t="shared" ca="1" si="7"/>
        <v>rg{'id': '200008'}'</v>
      </c>
      <c r="D77" s="1" t="str">
        <f ca="1">MID(Names!G128,FIND(" ",Names!G128)+1,LEN(Names!G128)-FIND(" ", Names!G128))&amp;" "&amp;INDEX(PROJ_EXT_Name,RANDBETWEEN(2,12))</f>
        <v>Shaughnessy St HOV Lane</v>
      </c>
      <c r="E77" s="1" t="s">
        <v>6993</v>
      </c>
      <c r="F77">
        <f>IF(ISNUMBER(#REF!),#REF!+1,40000)</f>
        <v>40000</v>
      </c>
      <c r="G77">
        <f>IF(ISNUMBER(#REF!),#REF!+1,500000)</f>
        <v>500000</v>
      </c>
      <c r="H77" t="s">
        <v>6687</v>
      </c>
      <c r="I77" s="8">
        <f>IF(ISNUMBER(#REF!),#REF!+1,600000)</f>
        <v>600000</v>
      </c>
      <c r="J77" t="s">
        <v>6510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>
        <f t="shared" ca="1" si="13"/>
        <v>200008</v>
      </c>
    </row>
    <row r="78" spans="1:17" x14ac:dyDescent="0.3">
      <c r="A78" t="s">
        <v>5386</v>
      </c>
      <c r="B78">
        <f ca="1">INDEX(LocalAreas.csv!G:G,RANDBETWEEN(2,88))</f>
        <v>200062</v>
      </c>
      <c r="C78" t="str">
        <f t="shared" ca="1" si="7"/>
        <v>rg{'id': '200062'}'</v>
      </c>
      <c r="D78" s="1" t="str">
        <f ca="1">MID(Names!G130,FIND(" ",Names!G130)+1,LEN(Names!G130)-FIND(" ", Names!G130))&amp;" "&amp;INDEX(PROJ_EXT_Name,RANDBETWEEN(2,12))</f>
        <v>Mesa Vista Drive Upgrade</v>
      </c>
      <c r="E78" s="1" t="s">
        <v>6994</v>
      </c>
      <c r="F78">
        <f>IF(ISNUMBER(#REF!),#REF!+1,40000)</f>
        <v>40000</v>
      </c>
      <c r="G78">
        <f>IF(ISNUMBER(#REF!),#REF!+1,500000)</f>
        <v>500000</v>
      </c>
      <c r="H78" t="s">
        <v>6687</v>
      </c>
      <c r="I78" s="8">
        <f>IF(ISNUMBER(#REF!),#REF!+1,600000)</f>
        <v>600000</v>
      </c>
      <c r="J78" t="s">
        <v>6510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>
        <f t="shared" ca="1" si="13"/>
        <v>200062</v>
      </c>
    </row>
    <row r="79" spans="1:17" x14ac:dyDescent="0.3">
      <c r="A79" t="s">
        <v>5386</v>
      </c>
      <c r="B79">
        <f ca="1">INDEX(LocalAreas.csv!G:G,RANDBETWEEN(2,88))</f>
        <v>200057</v>
      </c>
      <c r="C79" t="str">
        <f t="shared" ref="C79:C108" ca="1" si="14">"rg{'id': '"&amp;B79&amp;"'}'"</f>
        <v>rg{'id': '200057'}'</v>
      </c>
      <c r="D79" s="1" t="str">
        <f ca="1">MID(Names!G132,FIND(" ",Names!G132)+1,LEN(Names!G132)-FIND(" ", Names!G132))&amp;" "&amp;INDEX(PROJ_EXT_Name,RANDBETWEEN(2,12))</f>
        <v>Roger Street Building</v>
      </c>
      <c r="E79" s="1" t="s">
        <v>6904</v>
      </c>
      <c r="F79">
        <f>IF(ISNUMBER(#REF!),#REF!+1,40000)</f>
        <v>40000</v>
      </c>
      <c r="G79">
        <f>IF(ISNUMBER(#REF!),#REF!+1,500000)</f>
        <v>500000</v>
      </c>
      <c r="H79" t="s">
        <v>6687</v>
      </c>
      <c r="I79" s="8">
        <f>IF(ISNUMBER(#REF!),#REF!+1,600000)</f>
        <v>600000</v>
      </c>
      <c r="J79" t="s">
        <v>6510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>
        <f t="shared" ca="1" si="13"/>
        <v>200057</v>
      </c>
    </row>
    <row r="80" spans="1:17" x14ac:dyDescent="0.3">
      <c r="A80" t="s">
        <v>5386</v>
      </c>
      <c r="B80">
        <f ca="1">INDEX(LocalAreas.csv!G:G,RANDBETWEEN(2,88))</f>
        <v>200022</v>
      </c>
      <c r="C80" t="str">
        <f t="shared" ca="1" si="14"/>
        <v>rg{'id': '200022'}'</v>
      </c>
      <c r="D80" s="1" t="str">
        <f ca="1">MID(Names!G139,FIND(" ",Names!G139)+1,LEN(Names!G139)-FIND(" ", Names!G139))&amp;" "&amp;INDEX(PROJ_EXT_Name,RANDBETWEEN(2,12))</f>
        <v>Stum Lake Road Bridge</v>
      </c>
      <c r="E80" s="1" t="s">
        <v>6899</v>
      </c>
      <c r="F80">
        <f>IF(ISNUMBER(#REF!),#REF!+1,40000)</f>
        <v>40000</v>
      </c>
      <c r="G80">
        <f>IF(ISNUMBER(#REF!),#REF!+1,500000)</f>
        <v>500000</v>
      </c>
      <c r="H80" t="s">
        <v>6687</v>
      </c>
      <c r="I80" s="8">
        <f>IF(ISNUMBER(#REF!),#REF!+1,600000)</f>
        <v>600000</v>
      </c>
      <c r="J80" t="s">
        <v>6510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>
        <f t="shared" ca="1" si="13"/>
        <v>200022</v>
      </c>
    </row>
    <row r="81" spans="1:17" x14ac:dyDescent="0.3">
      <c r="A81" t="s">
        <v>5386</v>
      </c>
      <c r="B81">
        <f ca="1">INDEX(LocalAreas.csv!G:G,RANDBETWEEN(2,88))</f>
        <v>200005</v>
      </c>
      <c r="C81" t="str">
        <f t="shared" ca="1" si="14"/>
        <v>rg{'id': '200005'}'</v>
      </c>
      <c r="D81" s="1" t="str">
        <f ca="1">MID(Names!G140,FIND(" ",Names!G140)+1,LEN(Names!G140)-FIND(" ", Names!G140))&amp;" "&amp;INDEX(PROJ_EXT_Name,RANDBETWEEN(2,12))</f>
        <v>Blind Bay Road Bridge</v>
      </c>
      <c r="E81" s="1" t="s">
        <v>6995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6687</v>
      </c>
      <c r="I81" s="8">
        <f t="shared" ref="I81:I107" si="19">IF(ISNUMBER(I80),I80+1,600000)</f>
        <v>600001</v>
      </c>
      <c r="J81" t="s">
        <v>6510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6510</v>
      </c>
      <c r="O81" t="s">
        <v>6510</v>
      </c>
      <c r="P81" t="s">
        <v>6510</v>
      </c>
      <c r="Q81">
        <f t="shared" ca="1" si="13"/>
        <v>200005</v>
      </c>
    </row>
    <row r="82" spans="1:17" x14ac:dyDescent="0.3">
      <c r="A82" t="s">
        <v>5386</v>
      </c>
      <c r="B82">
        <f ca="1">INDEX(LocalAreas.csv!G:G,RANDBETWEEN(2,88))</f>
        <v>200032</v>
      </c>
      <c r="C82" t="str">
        <f t="shared" ca="1" si="14"/>
        <v>rg{'id': '200032'}'</v>
      </c>
      <c r="D82" s="1" t="str">
        <f ca="1">MID(Names!G141,FIND(" ",Names!G141)+1,LEN(Names!G141)-FIND(" ", Names!G141))&amp;" "&amp;INDEX(PROJ_EXT_Name,RANDBETWEEN(2,12))</f>
        <v>Shaughnessy St Upgrade</v>
      </c>
      <c r="E82" s="1" t="s">
        <v>6996</v>
      </c>
      <c r="F82">
        <f t="shared" si="17"/>
        <v>40002</v>
      </c>
      <c r="G82">
        <f t="shared" si="18"/>
        <v>500002</v>
      </c>
      <c r="H82" t="s">
        <v>6687</v>
      </c>
      <c r="I82" s="8">
        <f t="shared" si="19"/>
        <v>600002</v>
      </c>
      <c r="J82" t="s">
        <v>6510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6510</v>
      </c>
      <c r="O82" t="s">
        <v>6510</v>
      </c>
      <c r="P82" t="s">
        <v>6510</v>
      </c>
      <c r="Q82">
        <f t="shared" ca="1" si="13"/>
        <v>200032</v>
      </c>
    </row>
    <row r="83" spans="1:17" x14ac:dyDescent="0.3">
      <c r="A83" t="s">
        <v>5386</v>
      </c>
      <c r="B83">
        <f ca="1">INDEX(LocalAreas.csv!G:G,RANDBETWEEN(2,88))</f>
        <v>200012</v>
      </c>
      <c r="C83" t="str">
        <f t="shared" ca="1" si="14"/>
        <v>rg{'id': '200012'}'</v>
      </c>
      <c r="D83" s="1" t="str">
        <f ca="1">MID(Names!G145,FIND(" ",Names!G145)+1,LEN(Names!G145)-FIND(" ", Names!G145))&amp;" "&amp;INDEX(PROJ_EXT_Name,RANDBETWEEN(2,12))</f>
        <v>Yoho Valley Road Extension</v>
      </c>
      <c r="E83" s="1" t="s">
        <v>6997</v>
      </c>
      <c r="F83">
        <f>IF(ISNUMBER(#REF!),#REF!+1,40000)</f>
        <v>40000</v>
      </c>
      <c r="G83">
        <f>IF(ISNUMBER(#REF!),#REF!+1,500000)</f>
        <v>500000</v>
      </c>
      <c r="H83" t="s">
        <v>6687</v>
      </c>
      <c r="I83" s="8">
        <f>IF(ISNUMBER(#REF!),#REF!+1,600000)</f>
        <v>600000</v>
      </c>
      <c r="J83" t="s">
        <v>6510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6510</v>
      </c>
      <c r="O83" t="s">
        <v>6510</v>
      </c>
      <c r="P83" t="s">
        <v>6510</v>
      </c>
      <c r="Q83">
        <f t="shared" ca="1" si="13"/>
        <v>200012</v>
      </c>
    </row>
    <row r="84" spans="1:17" x14ac:dyDescent="0.3">
      <c r="A84" t="s">
        <v>5386</v>
      </c>
      <c r="B84">
        <f ca="1">INDEX(LocalAreas.csv!G:G,RANDBETWEEN(2,88))</f>
        <v>200008</v>
      </c>
      <c r="C84" t="str">
        <f t="shared" ca="1" si="14"/>
        <v>rg{'id': '200008'}'</v>
      </c>
      <c r="D84" s="1" t="str">
        <f ca="1">MID(Names!G147,FIND(" ",Names!G147)+1,LEN(Names!G147)-FIND(" ", Names!G147))&amp;" "&amp;INDEX(PROJ_EXT_Name,RANDBETWEEN(2,12))</f>
        <v>Old Spallumcheen Rd Expressway</v>
      </c>
      <c r="E84" s="1" t="s">
        <v>6998</v>
      </c>
      <c r="F84">
        <f>IF(ISNUMBER(#REF!),#REF!+1,40000)</f>
        <v>40000</v>
      </c>
      <c r="G84">
        <f>IF(ISNUMBER(#REF!),#REF!+1,500000)</f>
        <v>500000</v>
      </c>
      <c r="H84" t="s">
        <v>6687</v>
      </c>
      <c r="I84" s="8">
        <f>IF(ISNUMBER(#REF!),#REF!+1,600000)</f>
        <v>600000</v>
      </c>
      <c r="J84" t="s">
        <v>6510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6510</v>
      </c>
      <c r="O84" t="s">
        <v>6510</v>
      </c>
      <c r="P84" t="s">
        <v>6510</v>
      </c>
      <c r="Q84">
        <f t="shared" ca="1" si="13"/>
        <v>200008</v>
      </c>
    </row>
    <row r="85" spans="1:17" x14ac:dyDescent="0.3">
      <c r="A85" t="s">
        <v>5386</v>
      </c>
      <c r="B85">
        <f ca="1">INDEX(LocalAreas.csv!G:G,RANDBETWEEN(2,88))</f>
        <v>200077</v>
      </c>
      <c r="C85" t="str">
        <f t="shared" ca="1" si="14"/>
        <v>rg{'id': '200077'}'</v>
      </c>
      <c r="D85" s="1" t="str">
        <f ca="1">MID(Names!G148,FIND(" ",Names!G148)+1,LEN(Names!G148)-FIND(" ", Names!G148))&amp;" "&amp;INDEX(PROJ_EXT_Name,RANDBETWEEN(2,12))</f>
        <v>Glover Road HOV Lane</v>
      </c>
      <c r="E85" s="1" t="s">
        <v>6898</v>
      </c>
      <c r="F85">
        <f t="shared" si="17"/>
        <v>40001</v>
      </c>
      <c r="G85">
        <f t="shared" si="18"/>
        <v>500001</v>
      </c>
      <c r="H85" t="s">
        <v>6687</v>
      </c>
      <c r="I85" s="8">
        <f t="shared" si="19"/>
        <v>600001</v>
      </c>
      <c r="J85" t="s">
        <v>6510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6510</v>
      </c>
      <c r="O85" t="s">
        <v>6510</v>
      </c>
      <c r="P85" t="s">
        <v>6510</v>
      </c>
      <c r="Q85">
        <f t="shared" ca="1" si="13"/>
        <v>200077</v>
      </c>
    </row>
    <row r="86" spans="1:17" x14ac:dyDescent="0.3">
      <c r="A86" t="s">
        <v>5386</v>
      </c>
      <c r="B86">
        <f ca="1">INDEX(LocalAreas.csv!G:G,RANDBETWEEN(2,88))</f>
        <v>200010</v>
      </c>
      <c r="C86" t="str">
        <f t="shared" ca="1" si="14"/>
        <v>rg{'id': '200010'}'</v>
      </c>
      <c r="D86" s="1" t="str">
        <f ca="1">MID(Names!G149,FIND(" ",Names!G149)+1,LEN(Names!G149)-FIND(" ", Names!G149))&amp;" "&amp;INDEX(PROJ_EXT_Name,RANDBETWEEN(2,12))</f>
        <v>Coldstream Avenue Bridge Replacement</v>
      </c>
      <c r="E86" s="1" t="s">
        <v>6999</v>
      </c>
      <c r="F86">
        <f t="shared" si="17"/>
        <v>40002</v>
      </c>
      <c r="G86">
        <f t="shared" si="18"/>
        <v>500002</v>
      </c>
      <c r="H86" t="s">
        <v>6687</v>
      </c>
      <c r="I86" s="8">
        <f t="shared" si="19"/>
        <v>600002</v>
      </c>
      <c r="J86" t="s">
        <v>6510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6510</v>
      </c>
      <c r="O86" t="s">
        <v>6510</v>
      </c>
      <c r="P86" t="s">
        <v>6510</v>
      </c>
      <c r="Q86">
        <f t="shared" ca="1" si="13"/>
        <v>200010</v>
      </c>
    </row>
    <row r="87" spans="1:17" x14ac:dyDescent="0.3">
      <c r="A87" t="s">
        <v>5386</v>
      </c>
      <c r="B87">
        <f ca="1">INDEX(LocalAreas.csv!G:G,RANDBETWEEN(2,88))</f>
        <v>200016</v>
      </c>
      <c r="C87" t="str">
        <f t="shared" ca="1" si="14"/>
        <v>rg{'id': '200016'}'</v>
      </c>
      <c r="D87" s="1" t="str">
        <f ca="1">MID(Names!G17,FIND(" ",Names!G17)+1,LEN(Names!G17)-FIND(" ", Names!G17))&amp;" "&amp;INDEX(PROJ_EXT_Name,RANDBETWEEN(2,12))</f>
        <v>Holdom Avenue Express Lane</v>
      </c>
      <c r="E87" s="1" t="s">
        <v>7000</v>
      </c>
      <c r="F87">
        <f>IF(ISNUMBER(#REF!),#REF!+1,40000)</f>
        <v>40000</v>
      </c>
      <c r="G87">
        <f>IF(ISNUMBER(#REF!),#REF!+1,500000)</f>
        <v>500000</v>
      </c>
      <c r="H87" t="s">
        <v>6687</v>
      </c>
      <c r="I87" s="8">
        <f>IF(ISNUMBER(#REF!),#REF!+1,600000)</f>
        <v>600000</v>
      </c>
      <c r="J87" t="s">
        <v>6510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6510</v>
      </c>
      <c r="O87" t="s">
        <v>6510</v>
      </c>
      <c r="P87" t="s">
        <v>6510</v>
      </c>
      <c r="Q87">
        <f t="shared" ca="1" si="13"/>
        <v>200016</v>
      </c>
    </row>
    <row r="88" spans="1:17" x14ac:dyDescent="0.3">
      <c r="A88" t="s">
        <v>5386</v>
      </c>
      <c r="B88">
        <f ca="1">INDEX(LocalAreas.csv!G:G,RANDBETWEEN(2,88))</f>
        <v>200070</v>
      </c>
      <c r="C88" t="str">
        <f t="shared" ca="1" si="14"/>
        <v>rg{'id': '200070'}'</v>
      </c>
      <c r="D88" s="1" t="str">
        <f ca="1">MID(Names!G19,FIND(" ",Names!G19)+1,LEN(Names!G19)-FIND(" ", Names!G19))&amp;" "&amp;INDEX(PROJ_EXT_Name,RANDBETWEEN(2,12))</f>
        <v>Scotts Lane Expressway</v>
      </c>
      <c r="E88" s="1" t="s">
        <v>7001</v>
      </c>
      <c r="F88">
        <f>IF(ISNUMBER(#REF!),#REF!+1,40000)</f>
        <v>40000</v>
      </c>
      <c r="G88">
        <f>IF(ISNUMBER(#REF!),#REF!+1,500000)</f>
        <v>500000</v>
      </c>
      <c r="H88" t="s">
        <v>6687</v>
      </c>
      <c r="I88" s="8">
        <f>IF(ISNUMBER(#REF!),#REF!+1,600000)</f>
        <v>600000</v>
      </c>
      <c r="J88" t="s">
        <v>6510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6510</v>
      </c>
      <c r="O88" t="s">
        <v>6510</v>
      </c>
      <c r="P88" t="s">
        <v>6510</v>
      </c>
      <c r="Q88">
        <f t="shared" ca="1" si="13"/>
        <v>200070</v>
      </c>
    </row>
    <row r="89" spans="1:17" x14ac:dyDescent="0.3">
      <c r="A89" t="s">
        <v>5386</v>
      </c>
      <c r="B89">
        <f ca="1">INDEX(LocalAreas.csv!G:G,RANDBETWEEN(2,88))</f>
        <v>200030</v>
      </c>
      <c r="C89" t="str">
        <f t="shared" ca="1" si="14"/>
        <v>rg{'id': '200030'}'</v>
      </c>
      <c r="D89" s="1" t="str">
        <f ca="1">MID(Names!G20,FIND(" ",Names!G20)+1,LEN(Names!G20)-FIND(" ", Names!G20))&amp;" "&amp;INDEX(PROJ_EXT_Name,RANDBETWEEN(2,12))</f>
        <v>Findlay Creek Road HOV Lane</v>
      </c>
      <c r="E89" s="1" t="s">
        <v>6910</v>
      </c>
      <c r="F89">
        <f t="shared" si="17"/>
        <v>40001</v>
      </c>
      <c r="G89">
        <f t="shared" si="18"/>
        <v>500001</v>
      </c>
      <c r="H89" t="s">
        <v>6687</v>
      </c>
      <c r="I89" s="8">
        <f t="shared" si="19"/>
        <v>600001</v>
      </c>
      <c r="J89" t="s">
        <v>6510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6510</v>
      </c>
      <c r="O89" t="s">
        <v>6510</v>
      </c>
      <c r="P89" t="s">
        <v>6510</v>
      </c>
      <c r="Q89">
        <f t="shared" ca="1" si="13"/>
        <v>200030</v>
      </c>
    </row>
    <row r="90" spans="1:17" x14ac:dyDescent="0.3">
      <c r="A90" t="s">
        <v>5386</v>
      </c>
      <c r="B90">
        <f ca="1">INDEX(LocalAreas.csv!G:G,RANDBETWEEN(2,88))</f>
        <v>200050</v>
      </c>
      <c r="C90" t="str">
        <f t="shared" ca="1" si="14"/>
        <v>rg{'id': '200050'}'</v>
      </c>
      <c r="D90" s="1" t="str">
        <f ca="1">MID(Names!G21,FIND(" ",Names!G21)+1,LEN(Names!G21)-FIND(" ", Names!G21))&amp;" "&amp;INDEX(PROJ_EXT_Name,RANDBETWEEN(2,12))</f>
        <v>Sixth Street HOV Lane</v>
      </c>
      <c r="E90" s="1" t="s">
        <v>7002</v>
      </c>
      <c r="F90">
        <f t="shared" si="17"/>
        <v>40002</v>
      </c>
      <c r="G90">
        <f t="shared" si="18"/>
        <v>500002</v>
      </c>
      <c r="H90" t="s">
        <v>6687</v>
      </c>
      <c r="I90" s="8">
        <f t="shared" si="19"/>
        <v>600002</v>
      </c>
      <c r="J90" t="s">
        <v>6510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6510</v>
      </c>
      <c r="O90" t="s">
        <v>6510</v>
      </c>
      <c r="P90" t="s">
        <v>6510</v>
      </c>
      <c r="Q90">
        <f t="shared" ca="1" si="13"/>
        <v>200050</v>
      </c>
    </row>
    <row r="91" spans="1:17" x14ac:dyDescent="0.3">
      <c r="A91" t="s">
        <v>5386</v>
      </c>
      <c r="B91">
        <f ca="1">INDEX(LocalAreas.csv!G:G,RANDBETWEEN(2,88))</f>
        <v>200084</v>
      </c>
      <c r="C91" t="str">
        <f t="shared" ca="1" si="14"/>
        <v>rg{'id': '200084'}'</v>
      </c>
      <c r="D91" s="1" t="str">
        <f ca="1">MID(Names!G23,FIND(" ",Names!G23)+1,LEN(Names!G23)-FIND(" ", Names!G23))&amp;" "&amp;INDEX(PROJ_EXT_Name,RANDBETWEEN(2,12))</f>
        <v>King George Hwy Bridge</v>
      </c>
      <c r="E91" s="1" t="s">
        <v>7003</v>
      </c>
      <c r="F91">
        <f>IF(ISNUMBER(#REF!),#REF!+1,40000)</f>
        <v>40000</v>
      </c>
      <c r="G91">
        <f>IF(ISNUMBER(#REF!),#REF!+1,500000)</f>
        <v>500000</v>
      </c>
      <c r="H91" t="s">
        <v>6687</v>
      </c>
      <c r="I91" s="8">
        <f>IF(ISNUMBER(#REF!),#REF!+1,600000)</f>
        <v>600000</v>
      </c>
      <c r="J91" t="s">
        <v>6510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6510</v>
      </c>
      <c r="O91" t="s">
        <v>6510</v>
      </c>
      <c r="P91" t="s">
        <v>6510</v>
      </c>
      <c r="Q91">
        <f t="shared" ca="1" si="13"/>
        <v>200084</v>
      </c>
    </row>
    <row r="92" spans="1:17" x14ac:dyDescent="0.3">
      <c r="A92" t="s">
        <v>5386</v>
      </c>
      <c r="B92">
        <f ca="1">INDEX(LocalAreas.csv!G:G,RANDBETWEEN(2,88))</f>
        <v>200015</v>
      </c>
      <c r="C92" t="str">
        <f t="shared" ca="1" si="14"/>
        <v>rg{'id': '200015'}'</v>
      </c>
      <c r="D92" s="1" t="str">
        <f ca="1">MID(Names!G25,FIND(" ",Names!G25)+1,LEN(Names!G25)-FIND(" ", Names!G25))&amp;" "&amp;INDEX(PROJ_EXT_Name,RANDBETWEEN(2,12))</f>
        <v>Wallace Street HOV Lane</v>
      </c>
      <c r="E92" s="1" t="s">
        <v>7004</v>
      </c>
      <c r="F92">
        <f>IF(ISNUMBER(#REF!),#REF!+1,40000)</f>
        <v>40000</v>
      </c>
      <c r="G92">
        <f>IF(ISNUMBER(#REF!),#REF!+1,500000)</f>
        <v>500000</v>
      </c>
      <c r="H92" t="s">
        <v>6687</v>
      </c>
      <c r="I92" s="8">
        <f>IF(ISNUMBER(#REF!),#REF!+1,600000)</f>
        <v>600000</v>
      </c>
      <c r="J92" t="s">
        <v>6510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6510</v>
      </c>
      <c r="O92" t="s">
        <v>6510</v>
      </c>
      <c r="P92" t="s">
        <v>6510</v>
      </c>
      <c r="Q92">
        <f t="shared" ca="1" si="13"/>
        <v>200015</v>
      </c>
    </row>
    <row r="93" spans="1:17" x14ac:dyDescent="0.3">
      <c r="A93" t="s">
        <v>5386</v>
      </c>
      <c r="B93">
        <f ca="1">INDEX(LocalAreas.csv!G:G,RANDBETWEEN(2,88))</f>
        <v>200034</v>
      </c>
      <c r="C93" t="str">
        <f t="shared" ca="1" si="14"/>
        <v>rg{'id': '200034'}'</v>
      </c>
      <c r="D93" s="1" t="str">
        <f ca="1">MID(Names!G30,FIND(" ",Names!G30)+1,LEN(Names!G30)-FIND(" ", Names!G30))&amp;" "&amp;INDEX(PROJ_EXT_Name,RANDBETWEEN(2,12))</f>
        <v>Scotts Lane Building</v>
      </c>
      <c r="E93" s="1" t="s">
        <v>7005</v>
      </c>
      <c r="F93">
        <f>IF(ISNUMBER(#REF!),#REF!+1,40000)</f>
        <v>40000</v>
      </c>
      <c r="G93">
        <f>IF(ISNUMBER(#REF!),#REF!+1,500000)</f>
        <v>500000</v>
      </c>
      <c r="H93" t="s">
        <v>6687</v>
      </c>
      <c r="I93" s="8">
        <f>IF(ISNUMBER(#REF!),#REF!+1,600000)</f>
        <v>600000</v>
      </c>
      <c r="J93" t="s">
        <v>6510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6510</v>
      </c>
      <c r="O93" t="s">
        <v>6510</v>
      </c>
      <c r="P93" t="s">
        <v>6510</v>
      </c>
      <c r="Q93">
        <f t="shared" ca="1" si="13"/>
        <v>200034</v>
      </c>
    </row>
    <row r="94" spans="1:17" x14ac:dyDescent="0.3">
      <c r="A94" t="s">
        <v>5386</v>
      </c>
      <c r="B94">
        <f ca="1">INDEX(LocalAreas.csv!G:G,RANDBETWEEN(2,88))</f>
        <v>200021</v>
      </c>
      <c r="C94" t="str">
        <f t="shared" ca="1" si="14"/>
        <v>rg{'id': '200021'}'</v>
      </c>
      <c r="D94" s="1" t="str">
        <f ca="1">MID(Names!G31,FIND(" ",Names!G31)+1,LEN(Names!G31)-FIND(" ", Names!G31))&amp;" "&amp;INDEX(PROJ_EXT_Name,RANDBETWEEN(2,12))</f>
        <v>Nootka Street Expressway</v>
      </c>
      <c r="E94" s="1" t="s">
        <v>7006</v>
      </c>
      <c r="F94">
        <f t="shared" si="17"/>
        <v>40001</v>
      </c>
      <c r="G94">
        <f t="shared" si="18"/>
        <v>500001</v>
      </c>
      <c r="H94" t="s">
        <v>6687</v>
      </c>
      <c r="I94" s="8">
        <f t="shared" si="19"/>
        <v>600001</v>
      </c>
      <c r="J94" t="s">
        <v>6510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6510</v>
      </c>
      <c r="O94" t="s">
        <v>6510</v>
      </c>
      <c r="P94" t="s">
        <v>6510</v>
      </c>
      <c r="Q94">
        <f t="shared" ca="1" si="13"/>
        <v>200021</v>
      </c>
    </row>
    <row r="95" spans="1:17" x14ac:dyDescent="0.3">
      <c r="A95" t="s">
        <v>5386</v>
      </c>
      <c r="B95">
        <f ca="1">INDEX(LocalAreas.csv!G:G,RANDBETWEEN(2,88))</f>
        <v>200026</v>
      </c>
      <c r="C95" t="str">
        <f t="shared" ca="1" si="14"/>
        <v>rg{'id': '200026'}'</v>
      </c>
      <c r="D95" s="1" t="str">
        <f ca="1">MID(Names!G32,FIND(" ",Names!G32)+1,LEN(Names!G32)-FIND(" ", Names!G32))&amp;" "&amp;INDEX(PROJ_EXT_Name,RANDBETWEEN(2,12))</f>
        <v>Nootka Street Bypass</v>
      </c>
      <c r="E95" s="1" t="s">
        <v>6915</v>
      </c>
      <c r="F95">
        <f t="shared" si="17"/>
        <v>40002</v>
      </c>
      <c r="G95">
        <f t="shared" si="18"/>
        <v>500002</v>
      </c>
      <c r="H95" t="s">
        <v>6687</v>
      </c>
      <c r="I95" s="8">
        <f t="shared" si="19"/>
        <v>600002</v>
      </c>
      <c r="J95" t="s">
        <v>6510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6510</v>
      </c>
      <c r="O95" t="s">
        <v>6510</v>
      </c>
      <c r="P95" t="s">
        <v>6510</v>
      </c>
      <c r="Q95">
        <f t="shared" ca="1" si="13"/>
        <v>200026</v>
      </c>
    </row>
    <row r="96" spans="1:17" x14ac:dyDescent="0.3">
      <c r="A96" t="s">
        <v>5386</v>
      </c>
      <c r="B96">
        <f ca="1">INDEX(LocalAreas.csv!G:G,RANDBETWEEN(2,88))</f>
        <v>200056</v>
      </c>
      <c r="C96" t="str">
        <f t="shared" ca="1" si="14"/>
        <v>rg{'id': '200056'}'</v>
      </c>
      <c r="D96" s="1" t="str">
        <f ca="1">MID(Names!G35,FIND(" ",Names!G35)+1,LEN(Names!G35)-FIND(" ", Names!G35))&amp;" "&amp;INDEX(PROJ_EXT_Name,RANDBETWEEN(2,12))</f>
        <v>102nd Avenue HOV Lane</v>
      </c>
      <c r="E96" s="1" t="s">
        <v>7007</v>
      </c>
      <c r="F96">
        <f>IF(ISNUMBER(#REF!),#REF!+1,40000)</f>
        <v>40000</v>
      </c>
      <c r="G96">
        <f>IF(ISNUMBER(#REF!),#REF!+1,500000)</f>
        <v>500000</v>
      </c>
      <c r="H96" t="s">
        <v>6687</v>
      </c>
      <c r="I96" s="8">
        <f>IF(ISNUMBER(#REF!),#REF!+1,600000)</f>
        <v>600000</v>
      </c>
      <c r="J96" t="s">
        <v>6510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6510</v>
      </c>
      <c r="O96" t="s">
        <v>6510</v>
      </c>
      <c r="P96" t="s">
        <v>6510</v>
      </c>
      <c r="Q96">
        <f t="shared" ca="1" si="13"/>
        <v>200056</v>
      </c>
    </row>
    <row r="97" spans="1:17" x14ac:dyDescent="0.3">
      <c r="A97" t="s">
        <v>5386</v>
      </c>
      <c r="B97">
        <f ca="1">INDEX(LocalAreas.csv!G:G,RANDBETWEEN(2,88))</f>
        <v>200055</v>
      </c>
      <c r="C97" t="str">
        <f t="shared" ca="1" si="14"/>
        <v>rg{'id': '200055'}'</v>
      </c>
      <c r="D97" s="1" t="str">
        <f ca="1">MID(Names!G41,FIND(" ",Names!G41)+1,LEN(Names!G41)-FIND(" ", Names!G41))&amp;" "&amp;INDEX(PROJ_EXT_Name,RANDBETWEEN(2,12))</f>
        <v>Cardero St Building</v>
      </c>
      <c r="E97" s="1" t="s">
        <v>7008</v>
      </c>
      <c r="F97">
        <f>IF(ISNUMBER(#REF!),#REF!+1,40000)</f>
        <v>40000</v>
      </c>
      <c r="G97">
        <f>IF(ISNUMBER(#REF!),#REF!+1,500000)</f>
        <v>500000</v>
      </c>
      <c r="H97" t="s">
        <v>6687</v>
      </c>
      <c r="I97" s="8">
        <f>IF(ISNUMBER(#REF!),#REF!+1,600000)</f>
        <v>600000</v>
      </c>
      <c r="J97" t="s">
        <v>6510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6510</v>
      </c>
      <c r="O97" t="s">
        <v>6510</v>
      </c>
      <c r="P97" t="s">
        <v>6510</v>
      </c>
      <c r="Q97">
        <f t="shared" ca="1" si="13"/>
        <v>200055</v>
      </c>
    </row>
    <row r="98" spans="1:17" x14ac:dyDescent="0.3">
      <c r="A98" t="s">
        <v>5386</v>
      </c>
      <c r="B98">
        <f ca="1">INDEX(LocalAreas.csv!G:G,RANDBETWEEN(2,88))</f>
        <v>200033</v>
      </c>
      <c r="C98" t="str">
        <f t="shared" ca="1" si="14"/>
        <v>rg{'id': '200033'}'</v>
      </c>
      <c r="D98" s="1" t="str">
        <f ca="1">MID(Names!G42,FIND(" ",Names!G42)+1,LEN(Names!G42)-FIND(" ", Names!G42))&amp;" "&amp;INDEX(PROJ_EXT_Name,RANDBETWEEN(2,12))</f>
        <v>Blind Bay Road Building</v>
      </c>
      <c r="E98" s="1" t="s">
        <v>7009</v>
      </c>
      <c r="F98">
        <f t="shared" si="17"/>
        <v>40001</v>
      </c>
      <c r="G98">
        <f t="shared" si="18"/>
        <v>500001</v>
      </c>
      <c r="H98" t="s">
        <v>6687</v>
      </c>
      <c r="I98" s="8">
        <f t="shared" si="19"/>
        <v>600001</v>
      </c>
      <c r="J98" t="s">
        <v>6510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6510</v>
      </c>
      <c r="O98" t="s">
        <v>6510</v>
      </c>
      <c r="P98" t="s">
        <v>6510</v>
      </c>
      <c r="Q98">
        <f t="shared" ca="1" si="13"/>
        <v>200033</v>
      </c>
    </row>
    <row r="99" spans="1:17" x14ac:dyDescent="0.3">
      <c r="A99" t="s">
        <v>5386</v>
      </c>
      <c r="B99">
        <f ca="1">INDEX(LocalAreas.csv!G:G,RANDBETWEEN(2,88))</f>
        <v>200085</v>
      </c>
      <c r="C99" t="str">
        <f t="shared" ca="1" si="14"/>
        <v>rg{'id': '200085'}'</v>
      </c>
      <c r="D99" s="1" t="str">
        <f ca="1">MID(Names!G43,FIND(" ",Names!G43)+1,LEN(Names!G43)-FIND(" ", Names!G43))&amp;" "&amp;INDEX(PROJ_EXT_Name,RANDBETWEEN(2,12))</f>
        <v>Old Spallumcheen Rd Extension</v>
      </c>
      <c r="E99" s="1" t="s">
        <v>7010</v>
      </c>
      <c r="F99">
        <f t="shared" si="17"/>
        <v>40002</v>
      </c>
      <c r="G99">
        <f t="shared" si="18"/>
        <v>500002</v>
      </c>
      <c r="H99" t="s">
        <v>6687</v>
      </c>
      <c r="I99" s="8">
        <f t="shared" si="19"/>
        <v>600002</v>
      </c>
      <c r="J99" t="s">
        <v>6510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6510</v>
      </c>
      <c r="O99" t="s">
        <v>6510</v>
      </c>
      <c r="P99" t="s">
        <v>6510</v>
      </c>
      <c r="Q99">
        <f t="shared" ca="1" si="13"/>
        <v>200085</v>
      </c>
    </row>
    <row r="100" spans="1:17" x14ac:dyDescent="0.3">
      <c r="A100" t="s">
        <v>5386</v>
      </c>
      <c r="B100">
        <f ca="1">INDEX(LocalAreas.csv!G:G,RANDBETWEEN(2,88))</f>
        <v>200050</v>
      </c>
      <c r="C100" t="str">
        <f t="shared" ca="1" si="14"/>
        <v>rg{'id': '200050'}'</v>
      </c>
      <c r="D100" s="1" t="str">
        <f ca="1">MID(Names!G45,FIND(" ",Names!G45)+1,LEN(Names!G45)-FIND(" ", Names!G45))&amp;" "&amp;INDEX(PROJ_EXT_Name,RANDBETWEEN(2,12))</f>
        <v>Keith Road Bypass</v>
      </c>
      <c r="E100" s="1" t="s">
        <v>7011</v>
      </c>
      <c r="F100">
        <f>IF(ISNUMBER(#REF!),#REF!+1,40000)</f>
        <v>40000</v>
      </c>
      <c r="G100">
        <f>IF(ISNUMBER(#REF!),#REF!+1,500000)</f>
        <v>500000</v>
      </c>
      <c r="H100" t="s">
        <v>6687</v>
      </c>
      <c r="I100" s="8">
        <f>IF(ISNUMBER(#REF!),#REF!+1,600000)</f>
        <v>600000</v>
      </c>
      <c r="J100" t="s">
        <v>6510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6510</v>
      </c>
      <c r="O100" t="s">
        <v>6510</v>
      </c>
      <c r="P100" t="s">
        <v>6510</v>
      </c>
      <c r="Q100">
        <f t="shared" ca="1" si="13"/>
        <v>200050</v>
      </c>
    </row>
    <row r="101" spans="1:17" x14ac:dyDescent="0.3">
      <c r="A101" t="s">
        <v>5386</v>
      </c>
      <c r="B101">
        <f ca="1">INDEX(LocalAreas.csv!G:G,RANDBETWEEN(2,88))</f>
        <v>200034</v>
      </c>
      <c r="C101" t="str">
        <f t="shared" ca="1" si="14"/>
        <v>rg{'id': '200034'}'</v>
      </c>
      <c r="D101" s="1" t="str">
        <f ca="1">MID(Names!G47,FIND(" ",Names!G47)+1,LEN(Names!G47)-FIND(" ", Names!G47))&amp;" "&amp;INDEX(PROJ_EXT_Name,RANDBETWEEN(2,12))</f>
        <v>Brew Creek Rd Overpass</v>
      </c>
      <c r="E101" s="1" t="s">
        <v>6922</v>
      </c>
      <c r="F101">
        <f t="shared" si="17"/>
        <v>40001</v>
      </c>
      <c r="G101">
        <f>IF(ISNUMBER(#REF!),#REF!+1,500000)</f>
        <v>500000</v>
      </c>
      <c r="H101" t="s">
        <v>6687</v>
      </c>
      <c r="I101" s="8">
        <f>IF(ISNUMBER(#REF!),#REF!+1,600000)</f>
        <v>600000</v>
      </c>
      <c r="J101" t="s">
        <v>6510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6510</v>
      </c>
      <c r="O101" t="s">
        <v>6510</v>
      </c>
      <c r="P101" t="s">
        <v>6510</v>
      </c>
      <c r="Q101">
        <f t="shared" ca="1" si="13"/>
        <v>200034</v>
      </c>
    </row>
    <row r="102" spans="1:17" x14ac:dyDescent="0.3">
      <c r="A102" t="s">
        <v>5386</v>
      </c>
      <c r="B102">
        <f ca="1">INDEX(LocalAreas.csv!G:G,RANDBETWEEN(2,88))</f>
        <v>200086</v>
      </c>
      <c r="C102" t="str">
        <f t="shared" ca="1" si="14"/>
        <v>rg{'id': '200086'}'</v>
      </c>
      <c r="D102" s="1" t="str">
        <f ca="1">MID(Names!G48,FIND(" ",Names!G48)+1,LEN(Names!G48)-FIND(" ", Names!G48))&amp;" "&amp;INDEX(PROJ_EXT_Name,RANDBETWEEN(2,12))</f>
        <v>Coldstream Avenue HOV Lane</v>
      </c>
      <c r="E102" s="1" t="s">
        <v>7012</v>
      </c>
      <c r="F102">
        <f t="shared" si="17"/>
        <v>40002</v>
      </c>
      <c r="G102">
        <f t="shared" si="18"/>
        <v>500001</v>
      </c>
      <c r="H102" t="s">
        <v>6687</v>
      </c>
      <c r="I102" s="8">
        <f t="shared" si="19"/>
        <v>600001</v>
      </c>
      <c r="J102" t="s">
        <v>6510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6510</v>
      </c>
      <c r="O102" t="s">
        <v>6510</v>
      </c>
      <c r="P102" t="s">
        <v>6510</v>
      </c>
      <c r="Q102">
        <f t="shared" ca="1" si="13"/>
        <v>200086</v>
      </c>
    </row>
    <row r="103" spans="1:17" x14ac:dyDescent="0.3">
      <c r="A103" t="s">
        <v>5386</v>
      </c>
      <c r="B103">
        <f ca="1">INDEX(LocalAreas.csv!G:G,RANDBETWEEN(2,88))</f>
        <v>200019</v>
      </c>
      <c r="C103" t="str">
        <f t="shared" ca="1" si="14"/>
        <v>rg{'id': '200019'}'</v>
      </c>
      <c r="D103" s="1" t="str">
        <f ca="1">MID(Names!G50,FIND(" ",Names!G50)+1,LEN(Names!G50)-FIND(" ", Names!G50))&amp;" "&amp;INDEX(PROJ_EXT_Name,RANDBETWEEN(2,12))</f>
        <v>Wellington Ave Bridge</v>
      </c>
      <c r="E103" s="1" t="s">
        <v>6906</v>
      </c>
      <c r="F103">
        <f>IF(ISNUMBER(#REF!),#REF!+1,40000)</f>
        <v>40000</v>
      </c>
      <c r="G103">
        <f>IF(ISNUMBER(#REF!),#REF!+1,500000)</f>
        <v>500000</v>
      </c>
      <c r="H103" t="s">
        <v>6687</v>
      </c>
      <c r="I103" s="8">
        <f>IF(ISNUMBER(#REF!),#REF!+1,600000)</f>
        <v>600000</v>
      </c>
      <c r="J103" t="s">
        <v>6510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6510</v>
      </c>
      <c r="O103" t="s">
        <v>6510</v>
      </c>
      <c r="P103" t="s">
        <v>6510</v>
      </c>
      <c r="Q103">
        <f t="shared" ca="1" si="13"/>
        <v>200019</v>
      </c>
    </row>
    <row r="104" spans="1:17" x14ac:dyDescent="0.3">
      <c r="A104" t="s">
        <v>5386</v>
      </c>
      <c r="B104">
        <f ca="1">INDEX(LocalAreas.csv!G:G,RANDBETWEEN(2,88))</f>
        <v>200064</v>
      </c>
      <c r="C104" t="str">
        <f t="shared" ca="1" si="14"/>
        <v>rg{'id': '200064'}'</v>
      </c>
      <c r="D104" s="1" t="str">
        <f ca="1">MID(Names!G51,FIND(" ",Names!G51)+1,LEN(Names!G51)-FIND(" ", Names!G51))&amp;" "&amp;INDEX(PROJ_EXT_Name,RANDBETWEEN(2,12))</f>
        <v>Hardy Street Bridge</v>
      </c>
      <c r="E104" s="1" t="s">
        <v>7013</v>
      </c>
      <c r="F104">
        <f t="shared" si="17"/>
        <v>40001</v>
      </c>
      <c r="G104">
        <f t="shared" si="18"/>
        <v>500001</v>
      </c>
      <c r="H104" t="s">
        <v>6687</v>
      </c>
      <c r="I104" s="8">
        <f t="shared" si="19"/>
        <v>600001</v>
      </c>
      <c r="J104" t="s">
        <v>6510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6510</v>
      </c>
      <c r="O104" t="s">
        <v>6510</v>
      </c>
      <c r="P104" t="s">
        <v>6510</v>
      </c>
      <c r="Q104">
        <f t="shared" ca="1" si="13"/>
        <v>200064</v>
      </c>
    </row>
    <row r="105" spans="1:17" x14ac:dyDescent="0.3">
      <c r="A105" t="s">
        <v>5386</v>
      </c>
      <c r="B105">
        <f ca="1">INDEX(LocalAreas.csv!G:G,RANDBETWEEN(2,88))</f>
        <v>200058</v>
      </c>
      <c r="C105" t="str">
        <f t="shared" ca="1" si="14"/>
        <v>rg{'id': '200058'}'</v>
      </c>
      <c r="D105" s="1" t="str">
        <f ca="1">MID(Names!G52,FIND(" ",Names!G52)+1,LEN(Names!G52)-FIND(" ", Names!G52))&amp;" "&amp;INDEX(PROJ_EXT_Name,RANDBETWEEN(2,12))</f>
        <v>Hastings Street Expressway</v>
      </c>
      <c r="E105" s="1" t="s">
        <v>7014</v>
      </c>
      <c r="F105">
        <f t="shared" si="17"/>
        <v>40002</v>
      </c>
      <c r="G105">
        <f t="shared" si="18"/>
        <v>500002</v>
      </c>
      <c r="H105" t="s">
        <v>6687</v>
      </c>
      <c r="I105" s="8">
        <f t="shared" si="19"/>
        <v>600002</v>
      </c>
      <c r="J105" t="s">
        <v>6510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6510</v>
      </c>
      <c r="O105" t="s">
        <v>6510</v>
      </c>
      <c r="P105" t="s">
        <v>6510</v>
      </c>
      <c r="Q105">
        <f t="shared" ca="1" si="13"/>
        <v>200058</v>
      </c>
    </row>
    <row r="106" spans="1:17" x14ac:dyDescent="0.3">
      <c r="A106" t="s">
        <v>5386</v>
      </c>
      <c r="B106">
        <f ca="1">INDEX(LocalAreas.csv!G:G,RANDBETWEEN(2,88))</f>
        <v>200037</v>
      </c>
      <c r="C106" t="str">
        <f t="shared" ca="1" si="14"/>
        <v>rg{'id': '200037'}'</v>
      </c>
      <c r="D106" s="1" t="str">
        <f ca="1">MID(Names!G55,FIND(" ",Names!G55)+1,LEN(Names!G55)-FIND(" ", Names!G55))&amp;" "&amp;INDEX(PROJ_EXT_Name,RANDBETWEEN(2,12))</f>
        <v>Findlay Creek Road Expressway</v>
      </c>
      <c r="E106" s="1" t="s">
        <v>6937</v>
      </c>
      <c r="F106">
        <f>IF(ISNUMBER(#REF!),#REF!+1,40000)</f>
        <v>40000</v>
      </c>
      <c r="G106">
        <f>IF(ISNUMBER(#REF!),#REF!+1,500000)</f>
        <v>500000</v>
      </c>
      <c r="H106" t="s">
        <v>6687</v>
      </c>
      <c r="I106" s="8">
        <f>IF(ISNUMBER(#REF!),#REF!+1,600000)</f>
        <v>600000</v>
      </c>
      <c r="J106" t="s">
        <v>6510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6510</v>
      </c>
      <c r="O106" t="s">
        <v>6510</v>
      </c>
      <c r="P106" t="s">
        <v>6510</v>
      </c>
      <c r="Q106">
        <f t="shared" ca="1" si="13"/>
        <v>200037</v>
      </c>
    </row>
    <row r="107" spans="1:17" x14ac:dyDescent="0.3">
      <c r="A107" t="s">
        <v>5386</v>
      </c>
      <c r="B107">
        <f ca="1">INDEX(LocalAreas.csv!G:G,RANDBETWEEN(2,88))</f>
        <v>200047</v>
      </c>
      <c r="C107" t="str">
        <f t="shared" ca="1" si="14"/>
        <v>rg{'id': '200047'}'</v>
      </c>
      <c r="D107" s="1" t="str">
        <f ca="1">MID(Names!G56,FIND(" ",Names!G56)+1,LEN(Names!G56)-FIND(" ", Names!G56))&amp;" "&amp;INDEX(PROJ_EXT_Name,RANDBETWEEN(2,12))</f>
        <v>Burdett Avenue Building</v>
      </c>
      <c r="E107" s="1" t="s">
        <v>6907</v>
      </c>
      <c r="F107">
        <f t="shared" si="17"/>
        <v>40001</v>
      </c>
      <c r="G107">
        <f t="shared" si="18"/>
        <v>500001</v>
      </c>
      <c r="H107" t="s">
        <v>6687</v>
      </c>
      <c r="I107" s="8">
        <f t="shared" si="19"/>
        <v>600001</v>
      </c>
      <c r="J107" t="s">
        <v>6510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6510</v>
      </c>
      <c r="O107" t="s">
        <v>6510</v>
      </c>
      <c r="P107" t="s">
        <v>6510</v>
      </c>
      <c r="Q107">
        <f t="shared" ca="1" si="13"/>
        <v>200047</v>
      </c>
    </row>
    <row r="108" spans="1:17" x14ac:dyDescent="0.3">
      <c r="A108" t="s">
        <v>5386</v>
      </c>
      <c r="B108">
        <f ca="1">INDEX(LocalAreas.csv!G:G,RANDBETWEEN(2,88))</f>
        <v>200053</v>
      </c>
      <c r="C108" t="str">
        <f t="shared" ca="1" si="14"/>
        <v>rg{'id': '200053'}'</v>
      </c>
      <c r="D108" s="1" t="str">
        <f ca="1">MID(Names!G60,FIND(" ",Names!G60)+1,LEN(Names!G60)-FIND(" ", Names!G60))&amp;" "&amp;INDEX(PROJ_EXT_Name,RANDBETWEEN(2,12))</f>
        <v>Tolmie St Bridge</v>
      </c>
      <c r="E108" s="1" t="s">
        <v>7015</v>
      </c>
      <c r="F108">
        <f>IF(ISNUMBER(#REF!),#REF!+1,40000)</f>
        <v>40000</v>
      </c>
      <c r="G108">
        <f>IF(ISNUMBER(#REF!),#REF!+1,500000)</f>
        <v>500000</v>
      </c>
      <c r="H108" t="s">
        <v>6687</v>
      </c>
      <c r="I108" s="8">
        <f>IF(ISNUMBER(#REF!),#REF!+1,600000)</f>
        <v>600000</v>
      </c>
      <c r="J108" t="s">
        <v>6510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6510</v>
      </c>
      <c r="O108" t="s">
        <v>6510</v>
      </c>
      <c r="P108" t="s">
        <v>6510</v>
      </c>
      <c r="Q108">
        <f t="shared" ca="1" si="13"/>
        <v>200053</v>
      </c>
    </row>
    <row r="109" spans="1:17" x14ac:dyDescent="0.3">
      <c r="A109" t="s">
        <v>5386</v>
      </c>
      <c r="B109">
        <f ca="1">INDEX(LocalAreas.csv!G:G,RANDBETWEEN(2,88))</f>
        <v>200012</v>
      </c>
      <c r="C109" t="str">
        <f t="shared" ref="C109:C140" ca="1" si="20">"rg{'id': '"&amp;B109&amp;"'}'"</f>
        <v>rg{'id': '200012'}'</v>
      </c>
      <c r="D109" s="1" t="str">
        <f ca="1">MID(Names!G61,FIND(" ",Names!G61)+1,LEN(Names!G61)-FIND(" ", Names!G61))&amp;" "&amp;INDEX(PROJ_EXT_Name,RANDBETWEEN(2,12))</f>
        <v>Quayside Dr Overpass</v>
      </c>
      <c r="E109" s="1" t="s">
        <v>7016</v>
      </c>
      <c r="F109">
        <f t="shared" si="17"/>
        <v>40001</v>
      </c>
      <c r="G109">
        <f t="shared" ref="G109:G139" si="21">IF(ISNUMBER(G108),G108+1,500000)</f>
        <v>500001</v>
      </c>
      <c r="H109" t="s">
        <v>6687</v>
      </c>
      <c r="I109" s="8">
        <f t="shared" ref="I109:I139" si="22">IF(ISNUMBER(I108),I108+1,600000)</f>
        <v>600001</v>
      </c>
      <c r="J109" t="s">
        <v>6510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6510</v>
      </c>
      <c r="O109" t="s">
        <v>6510</v>
      </c>
      <c r="P109" t="s">
        <v>6510</v>
      </c>
      <c r="Q109">
        <f t="shared" ca="1" si="13"/>
        <v>200012</v>
      </c>
    </row>
    <row r="110" spans="1:17" x14ac:dyDescent="0.3">
      <c r="A110" t="s">
        <v>5386</v>
      </c>
      <c r="B110">
        <f ca="1">INDEX(LocalAreas.csv!G:G,RANDBETWEEN(2,88))</f>
        <v>200085</v>
      </c>
      <c r="C110" t="str">
        <f t="shared" ca="1" si="20"/>
        <v>rg{'id': '200085'}'</v>
      </c>
      <c r="D110" s="1" t="str">
        <f ca="1">MID(Names!G64,FIND(" ",Names!G64)+1,LEN(Names!G64)-FIND(" ", Names!G64))&amp;" "&amp;INDEX(PROJ_EXT_Name,RANDBETWEEN(2,12))</f>
        <v>Sixth Street Cloverleaf</v>
      </c>
      <c r="E110" s="1" t="s">
        <v>7017</v>
      </c>
      <c r="F110">
        <f>IF(ISNUMBER(#REF!),#REF!+1,40000)</f>
        <v>40000</v>
      </c>
      <c r="G110">
        <f>IF(ISNUMBER(#REF!),#REF!+1,500000)</f>
        <v>500000</v>
      </c>
      <c r="H110" t="s">
        <v>6687</v>
      </c>
      <c r="I110" s="8">
        <f>IF(ISNUMBER(#REF!),#REF!+1,600000)</f>
        <v>600000</v>
      </c>
      <c r="J110" t="s">
        <v>6510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6510</v>
      </c>
      <c r="O110" t="s">
        <v>6510</v>
      </c>
      <c r="P110" t="s">
        <v>6510</v>
      </c>
      <c r="Q110">
        <f t="shared" ca="1" si="13"/>
        <v>200085</v>
      </c>
    </row>
    <row r="111" spans="1:17" x14ac:dyDescent="0.3">
      <c r="A111" t="s">
        <v>5386</v>
      </c>
      <c r="B111">
        <f ca="1">INDEX(LocalAreas.csv!G:G,RANDBETWEEN(2,88))</f>
        <v>200002</v>
      </c>
      <c r="C111" t="str">
        <f t="shared" ca="1" si="20"/>
        <v>rg{'id': '200002'}'</v>
      </c>
      <c r="D111" s="1" t="str">
        <f ca="1">MID(Names!G68,FIND(" ",Names!G68)+1,LEN(Names!G68)-FIND(" ", Names!G68))&amp;" "&amp;INDEX(PROJ_EXT_Name,RANDBETWEEN(2,12))</f>
        <v>James Street Bridge Replacement</v>
      </c>
      <c r="E111" s="1" t="s">
        <v>7018</v>
      </c>
      <c r="F111">
        <f>IF(ISNUMBER(#REF!),#REF!+1,40000)</f>
        <v>40000</v>
      </c>
      <c r="G111">
        <f>IF(ISNUMBER(#REF!),#REF!+1,500000)</f>
        <v>500000</v>
      </c>
      <c r="H111" t="s">
        <v>6687</v>
      </c>
      <c r="I111" s="8">
        <f>IF(ISNUMBER(#REF!),#REF!+1,600000)</f>
        <v>600000</v>
      </c>
      <c r="J111" t="s">
        <v>6510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6510</v>
      </c>
      <c r="O111" t="s">
        <v>6510</v>
      </c>
      <c r="P111" t="s">
        <v>6510</v>
      </c>
      <c r="Q111">
        <f t="shared" ca="1" si="13"/>
        <v>200002</v>
      </c>
    </row>
    <row r="112" spans="1:17" x14ac:dyDescent="0.3">
      <c r="A112" t="s">
        <v>5386</v>
      </c>
      <c r="B112">
        <f ca="1">INDEX(LocalAreas.csv!G:G,RANDBETWEEN(2,88))</f>
        <v>200040</v>
      </c>
      <c r="C112" t="str">
        <f t="shared" ca="1" si="20"/>
        <v>rg{'id': '200040'}'</v>
      </c>
      <c r="D112" s="1" t="str">
        <f ca="1">MID(Names!G69,FIND(" ",Names!G69)+1,LEN(Names!G69)-FIND(" ", Names!G69))&amp;" "&amp;INDEX(PROJ_EXT_Name,RANDBETWEEN(2,12))</f>
        <v>Tolmie St Bridge</v>
      </c>
      <c r="E112" s="1" t="s">
        <v>7019</v>
      </c>
      <c r="F112">
        <f t="shared" si="17"/>
        <v>40001</v>
      </c>
      <c r="G112">
        <f t="shared" si="21"/>
        <v>500001</v>
      </c>
      <c r="H112" t="s">
        <v>6687</v>
      </c>
      <c r="I112" s="8">
        <f t="shared" si="22"/>
        <v>600001</v>
      </c>
      <c r="J112" t="s">
        <v>6510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6510</v>
      </c>
      <c r="O112" t="s">
        <v>6510</v>
      </c>
      <c r="P112" t="s">
        <v>6510</v>
      </c>
      <c r="Q112">
        <f t="shared" ca="1" si="13"/>
        <v>200040</v>
      </c>
    </row>
    <row r="113" spans="1:17" x14ac:dyDescent="0.3">
      <c r="A113" t="s">
        <v>5386</v>
      </c>
      <c r="B113">
        <f ca="1">INDEX(LocalAreas.csv!G:G,RANDBETWEEN(2,88))</f>
        <v>200025</v>
      </c>
      <c r="C113" t="str">
        <f t="shared" ca="1" si="20"/>
        <v>rg{'id': '200025'}'</v>
      </c>
      <c r="D113" s="1" t="str">
        <f ca="1">MID(Names!G72,FIND(" ",Names!G72)+1,LEN(Names!G72)-FIND(" ", Names!G72))&amp;" "&amp;INDEX(PROJ_EXT_Name,RANDBETWEEN(2,12))</f>
        <v>Coldstream Avenue Bridge</v>
      </c>
      <c r="E113" s="1" t="s">
        <v>7020</v>
      </c>
      <c r="F113">
        <f>IF(ISNUMBER(#REF!),#REF!+1,40000)</f>
        <v>40000</v>
      </c>
      <c r="G113">
        <f>IF(ISNUMBER(#REF!),#REF!+1,500000)</f>
        <v>500000</v>
      </c>
      <c r="H113" t="s">
        <v>6687</v>
      </c>
      <c r="I113" s="8">
        <f>IF(ISNUMBER(#REF!),#REF!+1,600000)</f>
        <v>600000</v>
      </c>
      <c r="J113" t="s">
        <v>6510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>
        <f t="shared" ca="1" si="13"/>
        <v>200025</v>
      </c>
    </row>
    <row r="114" spans="1:17" x14ac:dyDescent="0.3">
      <c r="A114" t="s">
        <v>5386</v>
      </c>
      <c r="B114">
        <f ca="1">INDEX(LocalAreas.csv!G:G,RANDBETWEEN(2,88))</f>
        <v>200004</v>
      </c>
      <c r="C114" t="str">
        <f t="shared" ca="1" si="20"/>
        <v>rg{'id': '200004'}'</v>
      </c>
      <c r="D114" s="1" t="str">
        <f ca="1">MID(Names!G73,FIND(" ",Names!G73)+1,LEN(Names!G73)-FIND(" ", Names!G73))&amp;" "&amp;INDEX(PROJ_EXT_Name,RANDBETWEEN(2,12))</f>
        <v>Lake City Way Bridge Replacement</v>
      </c>
      <c r="E114" s="1" t="s">
        <v>7021</v>
      </c>
      <c r="F114">
        <f t="shared" ref="F114:F149" si="25">IF(ISNUMBER(F113),F113+1,40000)</f>
        <v>40001</v>
      </c>
      <c r="G114">
        <f t="shared" si="21"/>
        <v>500001</v>
      </c>
      <c r="H114" t="s">
        <v>6687</v>
      </c>
      <c r="I114" s="8">
        <f t="shared" si="22"/>
        <v>600001</v>
      </c>
      <c r="J114" t="s">
        <v>6510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6510</v>
      </c>
      <c r="O114" t="s">
        <v>6510</v>
      </c>
      <c r="P114" t="s">
        <v>6510</v>
      </c>
      <c r="Q114">
        <f t="shared" ca="1" si="13"/>
        <v>200004</v>
      </c>
    </row>
    <row r="115" spans="1:17" x14ac:dyDescent="0.3">
      <c r="A115" t="s">
        <v>5386</v>
      </c>
      <c r="B115">
        <f ca="1">INDEX(LocalAreas.csv!G:G,RANDBETWEEN(2,88))</f>
        <v>200043</v>
      </c>
      <c r="C115" t="str">
        <f t="shared" ca="1" si="20"/>
        <v>rg{'id': '200043'}'</v>
      </c>
      <c r="D115" s="1" t="str">
        <f ca="1">MID(Names!G74,FIND(" ",Names!G74)+1,LEN(Names!G74)-FIND(" ", Names!G74))&amp;" "&amp;INDEX(PROJ_EXT_Name,RANDBETWEEN(2,12))</f>
        <v>Roger Street Overpass</v>
      </c>
      <c r="E115" s="1" t="s">
        <v>6900</v>
      </c>
      <c r="F115">
        <f t="shared" si="25"/>
        <v>40002</v>
      </c>
      <c r="G115">
        <f t="shared" si="21"/>
        <v>500002</v>
      </c>
      <c r="H115" t="s">
        <v>6687</v>
      </c>
      <c r="I115" s="8">
        <f t="shared" si="22"/>
        <v>600002</v>
      </c>
      <c r="J115" t="s">
        <v>6510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6510</v>
      </c>
      <c r="O115" t="s">
        <v>6510</v>
      </c>
      <c r="P115" t="s">
        <v>6510</v>
      </c>
      <c r="Q115">
        <f t="shared" ca="1" si="13"/>
        <v>200043</v>
      </c>
    </row>
    <row r="116" spans="1:17" x14ac:dyDescent="0.3">
      <c r="A116" t="s">
        <v>5386</v>
      </c>
      <c r="B116">
        <f ca="1">INDEX(LocalAreas.csv!G:G,RANDBETWEEN(2,88))</f>
        <v>200009</v>
      </c>
      <c r="C116" t="str">
        <f t="shared" ca="1" si="20"/>
        <v>rg{'id': '200009'}'</v>
      </c>
      <c r="D116" s="1" t="str">
        <f ca="1">MID(Names!G75,FIND(" ",Names!G75)+1,LEN(Names!G75)-FIND(" ", Names!G75))&amp;" "&amp;INDEX(PROJ_EXT_Name,RANDBETWEEN(2,12))</f>
        <v>Essendene Avenue Express Lane</v>
      </c>
      <c r="E116" s="1" t="s">
        <v>7022</v>
      </c>
      <c r="F116">
        <f t="shared" si="25"/>
        <v>40003</v>
      </c>
      <c r="G116">
        <f t="shared" si="21"/>
        <v>500003</v>
      </c>
      <c r="H116" t="s">
        <v>6687</v>
      </c>
      <c r="I116" s="8">
        <f t="shared" si="22"/>
        <v>600003</v>
      </c>
      <c r="J116" t="s">
        <v>6510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6510</v>
      </c>
      <c r="O116" t="s">
        <v>6510</v>
      </c>
      <c r="P116" t="s">
        <v>6510</v>
      </c>
      <c r="Q116">
        <f t="shared" ca="1" si="13"/>
        <v>200009</v>
      </c>
    </row>
    <row r="117" spans="1:17" x14ac:dyDescent="0.3">
      <c r="A117" t="s">
        <v>5386</v>
      </c>
      <c r="B117">
        <f ca="1">INDEX(LocalAreas.csv!G:G,RANDBETWEEN(2,88))</f>
        <v>200015</v>
      </c>
      <c r="C117" t="str">
        <f t="shared" ca="1" si="20"/>
        <v>rg{'id': '200015'}'</v>
      </c>
      <c r="D117" s="1" t="str">
        <f ca="1">MID(Names!G76,FIND(" ",Names!G76)+1,LEN(Names!G76)-FIND(" ", Names!G76))&amp;" "&amp;INDEX(PROJ_EXT_Name,RANDBETWEEN(2,12))</f>
        <v>Blanshard Cloverleaf</v>
      </c>
      <c r="E117" s="1" t="s">
        <v>6927</v>
      </c>
      <c r="F117">
        <f t="shared" si="25"/>
        <v>40004</v>
      </c>
      <c r="G117">
        <f t="shared" si="21"/>
        <v>500004</v>
      </c>
      <c r="H117" t="s">
        <v>6687</v>
      </c>
      <c r="I117" s="8">
        <f t="shared" si="22"/>
        <v>600004</v>
      </c>
      <c r="J117" t="s">
        <v>6510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6510</v>
      </c>
      <c r="O117" t="s">
        <v>6510</v>
      </c>
      <c r="P117" t="s">
        <v>6510</v>
      </c>
      <c r="Q117">
        <f t="shared" ca="1" si="13"/>
        <v>200015</v>
      </c>
    </row>
    <row r="118" spans="1:17" x14ac:dyDescent="0.3">
      <c r="A118" t="s">
        <v>5386</v>
      </c>
      <c r="B118">
        <f ca="1">INDEX(LocalAreas.csv!G:G,RANDBETWEEN(2,88))</f>
        <v>200036</v>
      </c>
      <c r="C118" t="str">
        <f t="shared" ca="1" si="20"/>
        <v>rg{'id': '200036'}'</v>
      </c>
      <c r="D118" s="1" t="str">
        <f ca="1">MID(Names!G77,FIND(" ",Names!G77)+1,LEN(Names!G77)-FIND(" ", Names!G77))&amp;" "&amp;INDEX(PROJ_EXT_Name,RANDBETWEEN(2,12))</f>
        <v>Wallace Street Overpass</v>
      </c>
      <c r="E118" s="1" t="s">
        <v>6921</v>
      </c>
      <c r="F118">
        <f t="shared" si="25"/>
        <v>40005</v>
      </c>
      <c r="G118">
        <f t="shared" si="21"/>
        <v>500005</v>
      </c>
      <c r="H118" t="s">
        <v>6687</v>
      </c>
      <c r="I118" s="8">
        <f t="shared" si="22"/>
        <v>600005</v>
      </c>
      <c r="J118" t="s">
        <v>6510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6510</v>
      </c>
      <c r="O118" t="s">
        <v>6510</v>
      </c>
      <c r="P118" t="s">
        <v>6510</v>
      </c>
      <c r="Q118">
        <f t="shared" ca="1" si="13"/>
        <v>200036</v>
      </c>
    </row>
    <row r="119" spans="1:17" x14ac:dyDescent="0.3">
      <c r="A119" t="s">
        <v>5386</v>
      </c>
      <c r="B119">
        <f ca="1">INDEX(LocalAreas.csv!G:G,RANDBETWEEN(2,88))</f>
        <v>200064</v>
      </c>
      <c r="C119" t="str">
        <f t="shared" ca="1" si="20"/>
        <v>rg{'id': '200064'}'</v>
      </c>
      <c r="D119" s="1" t="str">
        <f ca="1">MID(Names!G80,FIND(" ",Names!G80)+1,LEN(Names!G80)-FIND(" ", Names!G80))&amp;" "&amp;INDEX(PROJ_EXT_Name,RANDBETWEEN(2,12))</f>
        <v>Burdett Avenue Bypass</v>
      </c>
      <c r="E119" s="1" t="s">
        <v>7023</v>
      </c>
      <c r="F119">
        <f>IF(ISNUMBER(#REF!),#REF!+1,40000)</f>
        <v>40000</v>
      </c>
      <c r="G119">
        <f>IF(ISNUMBER(#REF!),#REF!+1,500000)</f>
        <v>500000</v>
      </c>
      <c r="H119" t="s">
        <v>6687</v>
      </c>
      <c r="I119" s="8">
        <f>IF(ISNUMBER(#REF!),#REF!+1,600000)</f>
        <v>600000</v>
      </c>
      <c r="J119" t="s">
        <v>6510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6510</v>
      </c>
      <c r="O119" t="s">
        <v>6510</v>
      </c>
      <c r="P119" t="s">
        <v>6510</v>
      </c>
      <c r="Q119">
        <f t="shared" ca="1" si="13"/>
        <v>200064</v>
      </c>
    </row>
    <row r="120" spans="1:17" x14ac:dyDescent="0.3">
      <c r="A120" t="s">
        <v>5386</v>
      </c>
      <c r="B120">
        <f ca="1">INDEX(LocalAreas.csv!G:G,RANDBETWEEN(2,88))</f>
        <v>200052</v>
      </c>
      <c r="C120" t="str">
        <f t="shared" ca="1" si="20"/>
        <v>rg{'id': '200052'}'</v>
      </c>
      <c r="D120" s="1" t="str">
        <f ca="1">MID(Names!G82,FIND(" ",Names!G82)+1,LEN(Names!G82)-FIND(" ", Names!G82))&amp;" "&amp;INDEX(PROJ_EXT_Name,RANDBETWEEN(2,12))</f>
        <v>Tchesinkut Lake Rd Upgrade</v>
      </c>
      <c r="E120" s="1" t="s">
        <v>7024</v>
      </c>
      <c r="F120">
        <f>IF(ISNUMBER(#REF!),#REF!+1,40000)</f>
        <v>40000</v>
      </c>
      <c r="G120">
        <f>IF(ISNUMBER(#REF!),#REF!+1,500000)</f>
        <v>500000</v>
      </c>
      <c r="H120" t="s">
        <v>6687</v>
      </c>
      <c r="I120" s="8">
        <f>IF(ISNUMBER(#REF!),#REF!+1,600000)</f>
        <v>600000</v>
      </c>
      <c r="J120" t="s">
        <v>6510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6510</v>
      </c>
      <c r="O120" t="s">
        <v>6510</v>
      </c>
      <c r="P120" t="s">
        <v>6510</v>
      </c>
      <c r="Q120">
        <f t="shared" ca="1" si="13"/>
        <v>200052</v>
      </c>
    </row>
    <row r="121" spans="1:17" x14ac:dyDescent="0.3">
      <c r="A121" t="s">
        <v>5386</v>
      </c>
      <c r="B121">
        <f ca="1">INDEX(LocalAreas.csv!G:G,RANDBETWEEN(2,88))</f>
        <v>200079</v>
      </c>
      <c r="C121" t="str">
        <f t="shared" ca="1" si="20"/>
        <v>rg{'id': '200079'}'</v>
      </c>
      <c r="D121" s="1" t="str">
        <f ca="1">MID(Names!G83,FIND(" ",Names!G83)+1,LEN(Names!G83)-FIND(" ", Names!G83))&amp;" "&amp;INDEX(PROJ_EXT_Name,RANDBETWEEN(2,12))</f>
        <v>Blind Bay Road Expressway</v>
      </c>
      <c r="E121" s="1" t="s">
        <v>6909</v>
      </c>
      <c r="F121">
        <f t="shared" si="25"/>
        <v>40001</v>
      </c>
      <c r="G121">
        <f t="shared" si="21"/>
        <v>500001</v>
      </c>
      <c r="H121" t="s">
        <v>6687</v>
      </c>
      <c r="I121" s="8">
        <f t="shared" si="22"/>
        <v>600001</v>
      </c>
      <c r="J121" t="s">
        <v>6510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6510</v>
      </c>
      <c r="O121" t="s">
        <v>6510</v>
      </c>
      <c r="P121" t="s">
        <v>6510</v>
      </c>
      <c r="Q121">
        <f t="shared" ca="1" si="13"/>
        <v>200079</v>
      </c>
    </row>
    <row r="122" spans="1:17" x14ac:dyDescent="0.3">
      <c r="A122" t="s">
        <v>5386</v>
      </c>
      <c r="B122">
        <f ca="1">INDEX(LocalAreas.csv!G:G,RANDBETWEEN(2,88))</f>
        <v>200027</v>
      </c>
      <c r="C122" t="str">
        <f t="shared" ca="1" si="20"/>
        <v>rg{'id': '200027'}'</v>
      </c>
      <c r="D122" s="1" t="str">
        <f ca="1">MID(Names!G90,FIND(" ",Names!G90)+1,LEN(Names!G90)-FIND(" ", Names!G90))&amp;" "&amp;INDEX(PROJ_EXT_Name,RANDBETWEEN(2,12))</f>
        <v>Tchesinkut Lake Rd Overpass</v>
      </c>
      <c r="E122" s="1" t="s">
        <v>7025</v>
      </c>
      <c r="F122">
        <f>IF(ISNUMBER(#REF!),#REF!+1,40000)</f>
        <v>40000</v>
      </c>
      <c r="G122">
        <f>IF(ISNUMBER(#REF!),#REF!+1,500000)</f>
        <v>500000</v>
      </c>
      <c r="H122" t="s">
        <v>6687</v>
      </c>
      <c r="I122" s="8">
        <f>IF(ISNUMBER(#REF!),#REF!+1,600000)</f>
        <v>600000</v>
      </c>
      <c r="J122" t="s">
        <v>6510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6510</v>
      </c>
      <c r="O122" t="s">
        <v>6510</v>
      </c>
      <c r="P122" t="s">
        <v>6510</v>
      </c>
      <c r="Q122">
        <f t="shared" ca="1" si="13"/>
        <v>200027</v>
      </c>
    </row>
    <row r="123" spans="1:17" x14ac:dyDescent="0.3">
      <c r="A123" t="s">
        <v>5386</v>
      </c>
      <c r="B123">
        <f ca="1">INDEX(LocalAreas.csv!G:G,RANDBETWEEN(2,88))</f>
        <v>200082</v>
      </c>
      <c r="C123" t="str">
        <f t="shared" ca="1" si="20"/>
        <v>rg{'id': '200082'}'</v>
      </c>
      <c r="D123" s="1" t="str">
        <f ca="1">MID(Names!G93,FIND(" ",Names!G93)+1,LEN(Names!G93)-FIND(" ", Names!G93))&amp;" "&amp;INDEX(PROJ_EXT_Name,RANDBETWEEN(2,12))</f>
        <v>Stum Lake Road Bridge</v>
      </c>
      <c r="E123" s="1" t="s">
        <v>7026</v>
      </c>
      <c r="F123">
        <f>IF(ISNUMBER(#REF!),#REF!+1,40000)</f>
        <v>40000</v>
      </c>
      <c r="G123">
        <f>IF(ISNUMBER(#REF!),#REF!+1,500000)</f>
        <v>500000</v>
      </c>
      <c r="H123" t="s">
        <v>6687</v>
      </c>
      <c r="I123" s="8">
        <f>IF(ISNUMBER(#REF!),#REF!+1,600000)</f>
        <v>600000</v>
      </c>
      <c r="J123" t="s">
        <v>6510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6510</v>
      </c>
      <c r="O123" t="s">
        <v>6510</v>
      </c>
      <c r="P123" t="s">
        <v>6510</v>
      </c>
      <c r="Q123">
        <f t="shared" ca="1" si="13"/>
        <v>200082</v>
      </c>
    </row>
    <row r="124" spans="1:17" x14ac:dyDescent="0.3">
      <c r="A124" t="s">
        <v>5386</v>
      </c>
      <c r="B124">
        <f ca="1">INDEX(LocalAreas.csv!G:G,RANDBETWEEN(2,88))</f>
        <v>200076</v>
      </c>
      <c r="C124" t="str">
        <f t="shared" ca="1" si="20"/>
        <v>rg{'id': '200076'}'</v>
      </c>
      <c r="D124" s="1" t="str">
        <f ca="1">MID(Names!G94,FIND(" ",Names!G94)+1,LEN(Names!G94)-FIND(" ", Names!G94))&amp;" "&amp;INDEX(PROJ_EXT_Name,RANDBETWEEN(2,12))</f>
        <v>Yoho Valley Road Overpass</v>
      </c>
      <c r="E124" s="1" t="s">
        <v>7027</v>
      </c>
      <c r="F124">
        <f t="shared" si="25"/>
        <v>40001</v>
      </c>
      <c r="G124">
        <f t="shared" si="21"/>
        <v>500001</v>
      </c>
      <c r="H124" t="s">
        <v>6687</v>
      </c>
      <c r="I124" s="8">
        <f t="shared" si="22"/>
        <v>600001</v>
      </c>
      <c r="J124" t="s">
        <v>6510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6510</v>
      </c>
      <c r="O124" t="s">
        <v>6510</v>
      </c>
      <c r="P124" t="s">
        <v>6510</v>
      </c>
      <c r="Q124">
        <f t="shared" ca="1" si="13"/>
        <v>200076</v>
      </c>
    </row>
    <row r="125" spans="1:17" x14ac:dyDescent="0.3">
      <c r="A125" t="s">
        <v>5386</v>
      </c>
      <c r="B125">
        <f ca="1">INDEX(LocalAreas.csv!G:G,RANDBETWEEN(2,88))</f>
        <v>200001</v>
      </c>
      <c r="C125" t="str">
        <f t="shared" ca="1" si="20"/>
        <v>rg{'id': '200001'}'</v>
      </c>
      <c r="D125" s="1" t="str">
        <f ca="1">MID(Names!G95,FIND(" ",Names!G95)+1,LEN(Names!G95)-FIND(" ", Names!G95))&amp;" "&amp;INDEX(PROJ_EXT_Name,RANDBETWEEN(2,12))</f>
        <v>Keith Road Building</v>
      </c>
      <c r="E125" s="1" t="s">
        <v>6925</v>
      </c>
      <c r="F125">
        <f t="shared" si="25"/>
        <v>40002</v>
      </c>
      <c r="G125">
        <f t="shared" si="21"/>
        <v>500002</v>
      </c>
      <c r="H125" t="s">
        <v>6687</v>
      </c>
      <c r="I125" s="8">
        <f t="shared" si="22"/>
        <v>600002</v>
      </c>
      <c r="J125" t="s">
        <v>6510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6510</v>
      </c>
      <c r="O125" t="s">
        <v>6510</v>
      </c>
      <c r="P125" t="s">
        <v>6510</v>
      </c>
      <c r="Q125">
        <f t="shared" ca="1" si="13"/>
        <v>200001</v>
      </c>
    </row>
    <row r="126" spans="1:17" x14ac:dyDescent="0.3">
      <c r="A126" t="s">
        <v>5386</v>
      </c>
      <c r="B126">
        <f ca="1">INDEX(LocalAreas.csv!G:G,RANDBETWEEN(2,88))</f>
        <v>200054</v>
      </c>
      <c r="C126" t="str">
        <f t="shared" ca="1" si="20"/>
        <v>rg{'id': '200054'}'</v>
      </c>
      <c r="D126" s="1" t="str">
        <f ca="1">MID(Names!G96,FIND(" ",Names!G96)+1,LEN(Names!G96)-FIND(" ", Names!G96))&amp;" "&amp;INDEX(PROJ_EXT_Name,RANDBETWEEN(2,12))</f>
        <v>Burdett Avenue HOV Lane</v>
      </c>
      <c r="E126" s="1" t="s">
        <v>7028</v>
      </c>
      <c r="F126">
        <f t="shared" si="25"/>
        <v>40003</v>
      </c>
      <c r="G126">
        <f t="shared" si="21"/>
        <v>500003</v>
      </c>
      <c r="H126" t="s">
        <v>6687</v>
      </c>
      <c r="I126" s="8">
        <f t="shared" si="22"/>
        <v>600003</v>
      </c>
      <c r="J126" t="s">
        <v>6510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6510</v>
      </c>
      <c r="O126" t="s">
        <v>6510</v>
      </c>
      <c r="P126" t="s">
        <v>6510</v>
      </c>
      <c r="Q126">
        <f t="shared" ca="1" si="13"/>
        <v>200054</v>
      </c>
    </row>
    <row r="127" spans="1:17" x14ac:dyDescent="0.3">
      <c r="A127" t="s">
        <v>5386</v>
      </c>
      <c r="B127">
        <f ca="1">INDEX(LocalAreas.csv!G:G,RANDBETWEEN(2,88))</f>
        <v>200028</v>
      </c>
      <c r="C127" t="str">
        <f t="shared" ca="1" si="20"/>
        <v>rg{'id': '200028'}'</v>
      </c>
      <c r="D127" s="1" t="str">
        <f ca="1">MID(Names!G98,FIND(" ",Names!G98)+1,LEN(Names!G98)-FIND(" ", Names!G98))&amp;" "&amp;INDEX(PROJ_EXT_Name,RANDBETWEEN(2,12))</f>
        <v>Quayside Dr Upgrade</v>
      </c>
      <c r="E127" s="1" t="s">
        <v>7029</v>
      </c>
      <c r="F127">
        <f>IF(ISNUMBER(#REF!),#REF!+1,40000)</f>
        <v>40000</v>
      </c>
      <c r="G127">
        <f>IF(ISNUMBER(#REF!),#REF!+1,500000)</f>
        <v>500000</v>
      </c>
      <c r="H127" t="s">
        <v>6687</v>
      </c>
      <c r="I127" s="8">
        <f>IF(ISNUMBER(#REF!),#REF!+1,600000)</f>
        <v>600000</v>
      </c>
      <c r="J127" t="s">
        <v>6510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6510</v>
      </c>
      <c r="O127" t="s">
        <v>6510</v>
      </c>
      <c r="P127" t="s">
        <v>6510</v>
      </c>
      <c r="Q127">
        <f t="shared" ca="1" si="13"/>
        <v>200028</v>
      </c>
    </row>
    <row r="128" spans="1:17" x14ac:dyDescent="0.3">
      <c r="A128" t="s">
        <v>5386</v>
      </c>
      <c r="B128">
        <f ca="1">INDEX(LocalAreas.csv!G:G,RANDBETWEEN(2,88))</f>
        <v>200071</v>
      </c>
      <c r="C128" t="str">
        <f t="shared" ca="1" si="20"/>
        <v>rg{'id': '200071'}'</v>
      </c>
      <c r="D128" s="1" t="str">
        <f ca="1">MID(Names!G99,FIND(" ",Names!G99)+1,LEN(Names!G99)-FIND(" ", Names!G99))&amp;" "&amp;INDEX(PROJ_EXT_Name,RANDBETWEEN(2,12))</f>
        <v>Jade St Upgrade</v>
      </c>
      <c r="E128" s="1" t="s">
        <v>6932</v>
      </c>
      <c r="F128">
        <f t="shared" si="25"/>
        <v>40001</v>
      </c>
      <c r="G128">
        <f t="shared" si="21"/>
        <v>500001</v>
      </c>
      <c r="H128" t="s">
        <v>6687</v>
      </c>
      <c r="I128" s="8">
        <f t="shared" si="22"/>
        <v>600001</v>
      </c>
      <c r="J128" t="s">
        <v>6510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6510</v>
      </c>
      <c r="O128" t="s">
        <v>6510</v>
      </c>
      <c r="P128" t="s">
        <v>6510</v>
      </c>
      <c r="Q128">
        <f t="shared" ca="1" si="13"/>
        <v>200071</v>
      </c>
    </row>
    <row r="129" spans="1:17" x14ac:dyDescent="0.3">
      <c r="A129" t="s">
        <v>5386</v>
      </c>
      <c r="B129">
        <f ca="1">INDEX(LocalAreas.csv!G:G,RANDBETWEEN(2,88))</f>
        <v>200055</v>
      </c>
      <c r="C129" t="str">
        <f t="shared" ca="1" si="20"/>
        <v>rg{'id': '200055'}'</v>
      </c>
      <c r="D129" s="1" t="str">
        <f ca="1">MID(Names!G100,FIND(" ",Names!G100)+1,LEN(Names!G100)-FIND(" ", Names!G100))&amp;" "&amp;INDEX(PROJ_EXT_Name,RANDBETWEEN(2,12))</f>
        <v>Robson St Express Lane</v>
      </c>
      <c r="E129" s="1" t="s">
        <v>7030</v>
      </c>
      <c r="F129">
        <f t="shared" si="25"/>
        <v>40002</v>
      </c>
      <c r="G129">
        <f t="shared" si="21"/>
        <v>500002</v>
      </c>
      <c r="H129" t="s">
        <v>6687</v>
      </c>
      <c r="I129" s="8">
        <f t="shared" si="22"/>
        <v>600002</v>
      </c>
      <c r="J129" t="s">
        <v>6510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6510</v>
      </c>
      <c r="O129" t="s">
        <v>6510</v>
      </c>
      <c r="P129" t="s">
        <v>6510</v>
      </c>
      <c r="Q129">
        <f t="shared" ca="1" si="13"/>
        <v>200055</v>
      </c>
    </row>
    <row r="130" spans="1:17" x14ac:dyDescent="0.3">
      <c r="A130" t="s">
        <v>5386</v>
      </c>
      <c r="B130">
        <f ca="1">INDEX(LocalAreas.csv!G:G,RANDBETWEEN(2,88))</f>
        <v>200069</v>
      </c>
      <c r="C130" t="str">
        <f t="shared" ca="1" si="20"/>
        <v>rg{'id': '200069'}'</v>
      </c>
      <c r="D130" s="1" t="str">
        <f ca="1">MID(Names!G101,FIND(" ",Names!G101)+1,LEN(Names!G101)-FIND(" ", Names!G101))&amp;" "&amp;INDEX(PROJ_EXT_Name,RANDBETWEEN(2,12))</f>
        <v>Robson St Cloverleaf</v>
      </c>
      <c r="E130" s="1" t="s">
        <v>7031</v>
      </c>
      <c r="F130">
        <f t="shared" si="25"/>
        <v>40003</v>
      </c>
      <c r="G130">
        <f t="shared" si="21"/>
        <v>500003</v>
      </c>
      <c r="H130" t="s">
        <v>6687</v>
      </c>
      <c r="I130" s="8">
        <f t="shared" si="22"/>
        <v>600003</v>
      </c>
      <c r="J130" t="s">
        <v>6510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6510</v>
      </c>
      <c r="O130" t="s">
        <v>6510</v>
      </c>
      <c r="P130" t="s">
        <v>6510</v>
      </c>
      <c r="Q130">
        <f t="shared" ca="1" si="13"/>
        <v>200069</v>
      </c>
    </row>
    <row r="131" spans="1:17" x14ac:dyDescent="0.3">
      <c r="A131" t="s">
        <v>5386</v>
      </c>
      <c r="B131">
        <f ca="1">INDEX(LocalAreas.csv!G:G,RANDBETWEEN(2,88))</f>
        <v>200016</v>
      </c>
      <c r="C131" t="str">
        <f t="shared" ca="1" si="20"/>
        <v>rg{'id': '200016'}'</v>
      </c>
      <c r="D131" s="1" t="str">
        <f ca="1">MID(Names!G104,FIND(" ",Names!G104)+1,LEN(Names!G104)-FIND(" ", Names!G104))&amp;" "&amp;INDEX(PROJ_EXT_Name,RANDBETWEEN(2,12))</f>
        <v>Carlson Road Overpass</v>
      </c>
      <c r="E131" s="1" t="s">
        <v>7032</v>
      </c>
      <c r="F131">
        <f>IF(ISNUMBER(#REF!),#REF!+1,40000)</f>
        <v>40000</v>
      </c>
      <c r="G131">
        <f>IF(ISNUMBER(#REF!),#REF!+1,500000)</f>
        <v>500000</v>
      </c>
      <c r="H131" t="s">
        <v>6687</v>
      </c>
      <c r="I131" s="8">
        <f>IF(ISNUMBER(#REF!),#REF!+1,600000)</f>
        <v>600000</v>
      </c>
      <c r="J131" t="s">
        <v>6510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6510</v>
      </c>
      <c r="O131" t="s">
        <v>6510</v>
      </c>
      <c r="P131" t="s">
        <v>6510</v>
      </c>
      <c r="Q131">
        <f t="shared" ref="Q131:Q163" ca="1" si="26">B131</f>
        <v>200016</v>
      </c>
    </row>
    <row r="132" spans="1:17" x14ac:dyDescent="0.3">
      <c r="A132" t="s">
        <v>5386</v>
      </c>
      <c r="B132">
        <f ca="1">INDEX(LocalAreas.csv!G:G,RANDBETWEEN(2,88))</f>
        <v>200039</v>
      </c>
      <c r="C132" t="str">
        <f t="shared" ca="1" si="20"/>
        <v>rg{'id': '200039'}'</v>
      </c>
      <c r="D132" s="1" t="str">
        <f ca="1">MID(Names!G107,FIND(" ",Names!G107)+1,LEN(Names!G107)-FIND(" ", Names!G107))&amp;" "&amp;INDEX(PROJ_EXT_Name,RANDBETWEEN(2,12))</f>
        <v>McGill Road HOV Lane</v>
      </c>
      <c r="E132" s="1" t="s">
        <v>7033</v>
      </c>
      <c r="F132">
        <f>IF(ISNUMBER(#REF!),#REF!+1,40000)</f>
        <v>40000</v>
      </c>
      <c r="G132">
        <f>IF(ISNUMBER(#REF!),#REF!+1,500000)</f>
        <v>500000</v>
      </c>
      <c r="H132" t="s">
        <v>6687</v>
      </c>
      <c r="I132" s="8">
        <f>IF(ISNUMBER(#REF!),#REF!+1,600000)</f>
        <v>600000</v>
      </c>
      <c r="J132" t="s">
        <v>6510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6510</v>
      </c>
      <c r="O132" t="s">
        <v>6510</v>
      </c>
      <c r="P132" t="s">
        <v>6510</v>
      </c>
      <c r="Q132">
        <f t="shared" ca="1" si="26"/>
        <v>200039</v>
      </c>
    </row>
    <row r="133" spans="1:17" x14ac:dyDescent="0.3">
      <c r="A133" t="s">
        <v>5386</v>
      </c>
      <c r="B133">
        <f ca="1">INDEX(LocalAreas.csv!G:G,RANDBETWEEN(2,88))</f>
        <v>200013</v>
      </c>
      <c r="C133" t="str">
        <f t="shared" ca="1" si="20"/>
        <v>rg{'id': '200013'}'</v>
      </c>
      <c r="D133" s="1" t="str">
        <f ca="1">MID(Names!G108,FIND(" ",Names!G108)+1,LEN(Names!G108)-FIND(" ", Names!G108))&amp;" "&amp;INDEX(PROJ_EXT_Name,RANDBETWEEN(2,12))</f>
        <v>Russell Avenue Expressway</v>
      </c>
      <c r="E133" s="1" t="s">
        <v>7034</v>
      </c>
      <c r="F133">
        <f t="shared" si="25"/>
        <v>40001</v>
      </c>
      <c r="G133">
        <f t="shared" si="21"/>
        <v>500001</v>
      </c>
      <c r="H133" t="s">
        <v>6687</v>
      </c>
      <c r="I133" s="8">
        <f t="shared" si="22"/>
        <v>600001</v>
      </c>
      <c r="J133" t="s">
        <v>6510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6510</v>
      </c>
      <c r="O133" t="s">
        <v>6510</v>
      </c>
      <c r="P133" t="s">
        <v>6510</v>
      </c>
      <c r="Q133">
        <f t="shared" ca="1" si="26"/>
        <v>200013</v>
      </c>
    </row>
    <row r="134" spans="1:17" x14ac:dyDescent="0.3">
      <c r="A134" t="s">
        <v>5386</v>
      </c>
      <c r="B134">
        <f ca="1">INDEX(LocalAreas.csv!G:G,RANDBETWEEN(2,88))</f>
        <v>200077</v>
      </c>
      <c r="C134" t="str">
        <f t="shared" ca="1" si="20"/>
        <v>rg{'id': '200077'}'</v>
      </c>
      <c r="D134" s="1" t="str">
        <f ca="1">MID(Names!G110,FIND(" ",Names!G110)+1,LEN(Names!G110)-FIND(" ", Names!G110))&amp;" "&amp;INDEX(PROJ_EXT_Name,RANDBETWEEN(2,12))</f>
        <v>Findlay Creek Road Bridge</v>
      </c>
      <c r="E134" s="1" t="s">
        <v>7035</v>
      </c>
      <c r="F134">
        <f>IF(ISNUMBER(#REF!),#REF!+1,40000)</f>
        <v>40000</v>
      </c>
      <c r="G134">
        <f>IF(ISNUMBER(#REF!),#REF!+1,500000)</f>
        <v>500000</v>
      </c>
      <c r="H134" t="s">
        <v>6687</v>
      </c>
      <c r="I134" s="8">
        <f>IF(ISNUMBER(#REF!),#REF!+1,600000)</f>
        <v>600000</v>
      </c>
      <c r="J134" t="s">
        <v>6510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6510</v>
      </c>
      <c r="O134" t="s">
        <v>6510</v>
      </c>
      <c r="P134" t="s">
        <v>6510</v>
      </c>
      <c r="Q134">
        <f t="shared" ca="1" si="26"/>
        <v>200077</v>
      </c>
    </row>
    <row r="135" spans="1:17" x14ac:dyDescent="0.3">
      <c r="A135" t="s">
        <v>5386</v>
      </c>
      <c r="B135">
        <f ca="1">INDEX(LocalAreas.csv!G:G,RANDBETWEEN(2,88))</f>
        <v>200039</v>
      </c>
      <c r="C135" t="str">
        <f t="shared" ca="1" si="20"/>
        <v>rg{'id': '200039'}'</v>
      </c>
      <c r="D135" s="1" t="str">
        <f ca="1">MID(Names!G117,FIND(" ",Names!G117)+1,LEN(Names!G117)-FIND(" ", Names!G117))&amp;" "&amp;INDEX(PROJ_EXT_Name,RANDBETWEEN(2,12))</f>
        <v>Brew Creek Rd Overpass</v>
      </c>
      <c r="E135" s="1" t="s">
        <v>7036</v>
      </c>
      <c r="F135">
        <f>IF(ISNUMBER(#REF!),#REF!+1,40000)</f>
        <v>40000</v>
      </c>
      <c r="G135">
        <f>IF(ISNUMBER(#REF!),#REF!+1,500000)</f>
        <v>500000</v>
      </c>
      <c r="H135" t="s">
        <v>6687</v>
      </c>
      <c r="I135" s="8">
        <f>IF(ISNUMBER(#REF!),#REF!+1,600000)</f>
        <v>600000</v>
      </c>
      <c r="J135" t="s">
        <v>6510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6510</v>
      </c>
      <c r="O135" t="s">
        <v>6510</v>
      </c>
      <c r="P135" t="s">
        <v>6510</v>
      </c>
      <c r="Q135">
        <f t="shared" ca="1" si="26"/>
        <v>200039</v>
      </c>
    </row>
    <row r="136" spans="1:17" x14ac:dyDescent="0.3">
      <c r="A136" t="s">
        <v>5386</v>
      </c>
      <c r="B136">
        <f ca="1">INDEX(LocalAreas.csv!G:G,RANDBETWEEN(2,88))</f>
        <v>200029</v>
      </c>
      <c r="C136" t="str">
        <f t="shared" ca="1" si="20"/>
        <v>rg{'id': '200029'}'</v>
      </c>
      <c r="D136" s="1" t="str">
        <f ca="1">MID(Names!G118,FIND(" ",Names!G118)+1,LEN(Names!G118)-FIND(" ", Names!G118))&amp;" "&amp;INDEX(PROJ_EXT_Name,RANDBETWEEN(2,12))</f>
        <v>Roger Street Overpass</v>
      </c>
      <c r="E136" s="1" t="s">
        <v>6897</v>
      </c>
      <c r="F136">
        <f t="shared" si="25"/>
        <v>40001</v>
      </c>
      <c r="G136">
        <f t="shared" si="21"/>
        <v>500001</v>
      </c>
      <c r="H136" t="s">
        <v>6687</v>
      </c>
      <c r="I136" s="8">
        <f t="shared" si="22"/>
        <v>600001</v>
      </c>
      <c r="J136" t="s">
        <v>6510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6510</v>
      </c>
      <c r="O136" t="s">
        <v>6510</v>
      </c>
      <c r="P136" t="s">
        <v>6510</v>
      </c>
      <c r="Q136">
        <f t="shared" ca="1" si="26"/>
        <v>200029</v>
      </c>
    </row>
    <row r="137" spans="1:17" x14ac:dyDescent="0.3">
      <c r="A137" t="s">
        <v>5386</v>
      </c>
      <c r="B137">
        <f ca="1">INDEX(LocalAreas.csv!G:G,RANDBETWEEN(2,88))</f>
        <v>200046</v>
      </c>
      <c r="C137" t="str">
        <f t="shared" ca="1" si="20"/>
        <v>rg{'id': '200046'}'</v>
      </c>
      <c r="D137" s="1" t="str">
        <f ca="1">MID(Names!G119,FIND(" ",Names!G119)+1,LEN(Names!G119)-FIND(" ", Names!G119))&amp;" "&amp;INDEX(PROJ_EXT_Name,RANDBETWEEN(2,12))</f>
        <v>Quayside Dr Expressway</v>
      </c>
      <c r="E137" s="1" t="s">
        <v>7037</v>
      </c>
      <c r="F137">
        <f t="shared" si="25"/>
        <v>40002</v>
      </c>
      <c r="G137">
        <f t="shared" si="21"/>
        <v>500002</v>
      </c>
      <c r="H137" t="s">
        <v>6687</v>
      </c>
      <c r="I137" s="8">
        <f t="shared" si="22"/>
        <v>600002</v>
      </c>
      <c r="J137" t="s">
        <v>6510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6510</v>
      </c>
      <c r="O137" t="s">
        <v>6510</v>
      </c>
      <c r="P137" t="s">
        <v>6510</v>
      </c>
      <c r="Q137">
        <f t="shared" ca="1" si="26"/>
        <v>200046</v>
      </c>
    </row>
    <row r="138" spans="1:17" x14ac:dyDescent="0.3">
      <c r="A138" t="s">
        <v>5386</v>
      </c>
      <c r="B138">
        <f ca="1">INDEX(LocalAreas.csv!G:G,RANDBETWEEN(2,88))</f>
        <v>200040</v>
      </c>
      <c r="C138" t="str">
        <f t="shared" ca="1" si="20"/>
        <v>rg{'id': '200040'}'</v>
      </c>
      <c r="D138" s="1" t="str">
        <f ca="1">MID(Names!G120,FIND(" ",Names!G120)+1,LEN(Names!G120)-FIND(" ", Names!G120))&amp;" "&amp;INDEX(PROJ_EXT_Name,RANDBETWEEN(2,12))</f>
        <v>Haaglund Rd Building</v>
      </c>
      <c r="E138" s="1" t="s">
        <v>6935</v>
      </c>
      <c r="F138">
        <f t="shared" si="25"/>
        <v>40003</v>
      </c>
      <c r="G138">
        <f t="shared" si="21"/>
        <v>500003</v>
      </c>
      <c r="H138" t="s">
        <v>6687</v>
      </c>
      <c r="I138" s="8">
        <f t="shared" si="22"/>
        <v>600003</v>
      </c>
      <c r="J138" t="s">
        <v>6510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6510</v>
      </c>
      <c r="O138" t="s">
        <v>6510</v>
      </c>
      <c r="P138" t="s">
        <v>6510</v>
      </c>
      <c r="Q138">
        <f t="shared" ca="1" si="26"/>
        <v>200040</v>
      </c>
    </row>
    <row r="139" spans="1:17" x14ac:dyDescent="0.3">
      <c r="A139" t="s">
        <v>5386</v>
      </c>
      <c r="B139">
        <f ca="1">INDEX(LocalAreas.csv!G:G,RANDBETWEEN(2,88))</f>
        <v>200040</v>
      </c>
      <c r="C139" t="str">
        <f t="shared" ca="1" si="20"/>
        <v>rg{'id': '200040'}'</v>
      </c>
      <c r="D139" s="1" t="str">
        <f ca="1">MID(Names!G121,FIND(" ",Names!G121)+1,LEN(Names!G121)-FIND(" ", Names!G121))&amp;" "&amp;INDEX(PROJ_EXT_Name,RANDBETWEEN(2,12))</f>
        <v>Tchesinkut Lake Rd Bypass</v>
      </c>
      <c r="E139" s="1" t="s">
        <v>7038</v>
      </c>
      <c r="F139">
        <f t="shared" si="25"/>
        <v>40004</v>
      </c>
      <c r="G139">
        <f t="shared" si="21"/>
        <v>500004</v>
      </c>
      <c r="H139" t="s">
        <v>6687</v>
      </c>
      <c r="I139" s="8">
        <f t="shared" si="22"/>
        <v>600004</v>
      </c>
      <c r="J139" t="s">
        <v>6510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6510</v>
      </c>
      <c r="O139" t="s">
        <v>6510</v>
      </c>
      <c r="P139" t="s">
        <v>6510</v>
      </c>
      <c r="Q139">
        <f t="shared" ca="1" si="26"/>
        <v>200040</v>
      </c>
    </row>
    <row r="140" spans="1:17" x14ac:dyDescent="0.3">
      <c r="A140" t="s">
        <v>5386</v>
      </c>
      <c r="B140">
        <f ca="1">INDEX(LocalAreas.csv!G:G,RANDBETWEEN(2,88))</f>
        <v>200044</v>
      </c>
      <c r="C140" t="str">
        <f t="shared" ca="1" si="20"/>
        <v>rg{'id': '200044'}'</v>
      </c>
      <c r="D140" s="1" t="str">
        <f ca="1">MID(Names!G124,FIND(" ",Names!G124)+1,LEN(Names!G124)-FIND(" ", Names!G124))&amp;" "&amp;INDEX(PROJ_EXT_Name,RANDBETWEEN(2,12))</f>
        <v>Stum Lake Road Overpass</v>
      </c>
      <c r="E140" s="1" t="s">
        <v>7039</v>
      </c>
      <c r="F140">
        <f>IF(ISNUMBER(#REF!),#REF!+1,40000)</f>
        <v>40000</v>
      </c>
      <c r="G140">
        <f>IF(ISNUMBER(#REF!),#REF!+1,500000)</f>
        <v>500000</v>
      </c>
      <c r="H140" t="s">
        <v>6687</v>
      </c>
      <c r="I140" s="8">
        <f>IF(ISNUMBER(#REF!),#REF!+1,600000)</f>
        <v>600000</v>
      </c>
      <c r="J140" t="s">
        <v>6510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6510</v>
      </c>
      <c r="O140" t="s">
        <v>6510</v>
      </c>
      <c r="P140" t="s">
        <v>6510</v>
      </c>
      <c r="Q140">
        <f t="shared" ca="1" si="26"/>
        <v>200044</v>
      </c>
    </row>
    <row r="141" spans="1:17" x14ac:dyDescent="0.3">
      <c r="A141" t="s">
        <v>5386</v>
      </c>
      <c r="B141">
        <f ca="1">INDEX(LocalAreas.csv!G:G,RANDBETWEEN(2,88))</f>
        <v>200019</v>
      </c>
      <c r="C141" t="str">
        <f t="shared" ref="C141:C163" ca="1" si="27">"rg{'id': '"&amp;B141&amp;"'}'"</f>
        <v>rg{'id': '200019'}'</v>
      </c>
      <c r="D141" s="1" t="str">
        <f ca="1">MID(Names!G126,FIND(" ",Names!G126)+1,LEN(Names!G126)-FIND(" ", Names!G126))&amp;" "&amp;INDEX(PROJ_EXT_Name,RANDBETWEEN(2,12))</f>
        <v>Shaughnessy St Building</v>
      </c>
      <c r="E141" s="1" t="s">
        <v>7040</v>
      </c>
      <c r="F141">
        <f>IF(ISNUMBER(#REF!),#REF!+1,40000)</f>
        <v>40000</v>
      </c>
      <c r="G141">
        <f>IF(ISNUMBER(#REF!),#REF!+1,500000)</f>
        <v>500000</v>
      </c>
      <c r="H141" t="s">
        <v>6687</v>
      </c>
      <c r="I141" s="8">
        <f>IF(ISNUMBER(#REF!),#REF!+1,600000)</f>
        <v>600000</v>
      </c>
      <c r="J141" t="s">
        <v>6510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6510</v>
      </c>
      <c r="O141" t="s">
        <v>6510</v>
      </c>
      <c r="P141" t="s">
        <v>6510</v>
      </c>
      <c r="Q141">
        <f t="shared" ca="1" si="26"/>
        <v>200019</v>
      </c>
    </row>
    <row r="142" spans="1:17" x14ac:dyDescent="0.3">
      <c r="A142" t="s">
        <v>5386</v>
      </c>
      <c r="B142">
        <f ca="1">INDEX(LocalAreas.csv!G:G,RANDBETWEEN(2,88))</f>
        <v>200070</v>
      </c>
      <c r="C142" t="str">
        <f t="shared" ca="1" si="27"/>
        <v>rg{'id': '200070'}'</v>
      </c>
      <c r="D142" s="1" t="str">
        <f ca="1">MID(Names!G128,FIND(" ",Names!G128)+1,LEN(Names!G128)-FIND(" ", Names!G128))&amp;" "&amp;INDEX(PROJ_EXT_Name,RANDBETWEEN(2,12))</f>
        <v>Shaughnessy St HOV Lane</v>
      </c>
      <c r="E142" s="1" t="s">
        <v>6928</v>
      </c>
      <c r="F142">
        <f t="shared" si="25"/>
        <v>40001</v>
      </c>
      <c r="G142">
        <f>IF(ISNUMBER(#REF!),#REF!+1,500000)</f>
        <v>500000</v>
      </c>
      <c r="H142" t="s">
        <v>6687</v>
      </c>
      <c r="I142" s="8">
        <f>IF(ISNUMBER(#REF!),#REF!+1,600000)</f>
        <v>600000</v>
      </c>
      <c r="J142" t="s">
        <v>6510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6510</v>
      </c>
      <c r="O142" t="s">
        <v>6510</v>
      </c>
      <c r="P142" t="s">
        <v>6510</v>
      </c>
      <c r="Q142">
        <f t="shared" ca="1" si="26"/>
        <v>200070</v>
      </c>
    </row>
    <row r="143" spans="1:17" x14ac:dyDescent="0.3">
      <c r="A143" t="s">
        <v>5386</v>
      </c>
      <c r="B143">
        <f ca="1">INDEX(LocalAreas.csv!G:G,RANDBETWEEN(2,88))</f>
        <v>200079</v>
      </c>
      <c r="C143" t="str">
        <f t="shared" ca="1" si="27"/>
        <v>rg{'id': '200079'}'</v>
      </c>
      <c r="D143" s="1" t="str">
        <f ca="1">MID(Names!G129,FIND(" ",Names!G129)+1,LEN(Names!G129)-FIND(" ", Names!G129))&amp;" "&amp;INDEX(PROJ_EXT_Name,RANDBETWEEN(2,12))</f>
        <v>Cordova Street Bridge Replacement</v>
      </c>
      <c r="E143" s="1" t="s">
        <v>7041</v>
      </c>
      <c r="F143">
        <f t="shared" si="25"/>
        <v>40002</v>
      </c>
      <c r="G143">
        <f t="shared" ref="G143:G162" si="28">IF(ISNUMBER(G142),G142+1,500000)</f>
        <v>500001</v>
      </c>
      <c r="H143" t="s">
        <v>6687</v>
      </c>
      <c r="I143" s="8">
        <f t="shared" ref="I143:I162" si="29">IF(ISNUMBER(I142),I142+1,600000)</f>
        <v>600001</v>
      </c>
      <c r="J143" t="s">
        <v>6510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6510</v>
      </c>
      <c r="O143" t="s">
        <v>6510</v>
      </c>
      <c r="P143" t="s">
        <v>6510</v>
      </c>
      <c r="Q143">
        <f t="shared" ca="1" si="26"/>
        <v>200079</v>
      </c>
    </row>
    <row r="144" spans="1:17" x14ac:dyDescent="0.3">
      <c r="A144" t="s">
        <v>5386</v>
      </c>
      <c r="B144">
        <f ca="1">INDEX(LocalAreas.csv!G:G,RANDBETWEEN(2,88))</f>
        <v>200006</v>
      </c>
      <c r="C144" t="str">
        <f t="shared" ca="1" si="27"/>
        <v>rg{'id': '200006'}'</v>
      </c>
      <c r="D144" s="1" t="str">
        <f ca="1">MID(Names!G130,FIND(" ",Names!G130)+1,LEN(Names!G130)-FIND(" ", Names!G130))&amp;" "&amp;INDEX(PROJ_EXT_Name,RANDBETWEEN(2,12))</f>
        <v>Mesa Vista Drive Overpass</v>
      </c>
      <c r="E144" s="1" t="s">
        <v>7042</v>
      </c>
      <c r="F144">
        <f t="shared" si="25"/>
        <v>40003</v>
      </c>
      <c r="G144">
        <f t="shared" si="28"/>
        <v>500002</v>
      </c>
      <c r="H144" t="s">
        <v>6687</v>
      </c>
      <c r="I144" s="8">
        <f t="shared" si="29"/>
        <v>600002</v>
      </c>
      <c r="J144" t="s">
        <v>6510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6510</v>
      </c>
      <c r="O144" t="s">
        <v>6510</v>
      </c>
      <c r="P144" t="s">
        <v>6510</v>
      </c>
      <c r="Q144">
        <f t="shared" ca="1" si="26"/>
        <v>200006</v>
      </c>
    </row>
    <row r="145" spans="1:17" x14ac:dyDescent="0.3">
      <c r="A145" t="s">
        <v>5386</v>
      </c>
      <c r="B145">
        <f ca="1">INDEX(LocalAreas.csv!G:G,RANDBETWEEN(2,88))</f>
        <v>200049</v>
      </c>
      <c r="C145" t="str">
        <f t="shared" ca="1" si="27"/>
        <v>rg{'id': '200049'}'</v>
      </c>
      <c r="D145" s="1" t="str">
        <f ca="1">MID(Names!G131,FIND(" ",Names!G131)+1,LEN(Names!G131)-FIND(" ", Names!G131))&amp;" "&amp;INDEX(PROJ_EXT_Name,RANDBETWEEN(2,12))</f>
        <v>Blanshard Bypass</v>
      </c>
      <c r="E145" s="1" t="s">
        <v>7043</v>
      </c>
      <c r="F145">
        <f t="shared" si="25"/>
        <v>40004</v>
      </c>
      <c r="G145">
        <f t="shared" si="28"/>
        <v>500003</v>
      </c>
      <c r="H145" t="s">
        <v>6687</v>
      </c>
      <c r="I145" s="8">
        <f t="shared" si="29"/>
        <v>600003</v>
      </c>
      <c r="J145" t="s">
        <v>6510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6510</v>
      </c>
      <c r="O145" t="s">
        <v>6510</v>
      </c>
      <c r="P145" t="s">
        <v>6510</v>
      </c>
      <c r="Q145">
        <f t="shared" ca="1" si="26"/>
        <v>200049</v>
      </c>
    </row>
    <row r="146" spans="1:17" x14ac:dyDescent="0.3">
      <c r="A146" t="s">
        <v>5386</v>
      </c>
      <c r="B146">
        <f ca="1">INDEX(LocalAreas.csv!G:G,RANDBETWEEN(2,88))</f>
        <v>200077</v>
      </c>
      <c r="C146" t="str">
        <f t="shared" ca="1" si="27"/>
        <v>rg{'id': '200077'}'</v>
      </c>
      <c r="D146" s="1" t="str">
        <f ca="1">MID(Names!G133,FIND(" ",Names!G133)+1,LEN(Names!G133)-FIND(" ", Names!G133))&amp;" "&amp;INDEX(PROJ_EXT_Name,RANDBETWEEN(2,12))</f>
        <v>Cordova Street Upgrade</v>
      </c>
      <c r="E146" s="1" t="s">
        <v>7044</v>
      </c>
      <c r="F146">
        <f>IF(ISNUMBER(#REF!),#REF!+1,40000)</f>
        <v>40000</v>
      </c>
      <c r="G146">
        <f>IF(ISNUMBER(#REF!),#REF!+1,500000)</f>
        <v>500000</v>
      </c>
      <c r="H146" t="s">
        <v>6687</v>
      </c>
      <c r="I146" s="8">
        <f>IF(ISNUMBER(#REF!),#REF!+1,600000)</f>
        <v>600000</v>
      </c>
      <c r="J146" t="s">
        <v>6510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6510</v>
      </c>
      <c r="O146" t="s">
        <v>6510</v>
      </c>
      <c r="P146" t="s">
        <v>6510</v>
      </c>
      <c r="Q146">
        <f t="shared" ca="1" si="26"/>
        <v>200077</v>
      </c>
    </row>
    <row r="147" spans="1:17" x14ac:dyDescent="0.3">
      <c r="A147" t="s">
        <v>5386</v>
      </c>
      <c r="B147">
        <f ca="1">INDEX(LocalAreas.csv!G:G,RANDBETWEEN(2,88))</f>
        <v>200016</v>
      </c>
      <c r="C147" t="str">
        <f t="shared" ca="1" si="27"/>
        <v>rg{'id': '200016'}'</v>
      </c>
      <c r="D147" s="1" t="str">
        <f ca="1">MID(Names!G134,FIND(" ",Names!G134)+1,LEN(Names!G134)-FIND(" ", Names!G134))&amp;" "&amp;INDEX(PROJ_EXT_Name,RANDBETWEEN(2,12))</f>
        <v>Kinchant St Extension</v>
      </c>
      <c r="E147" s="1" t="s">
        <v>7045</v>
      </c>
      <c r="F147">
        <f t="shared" si="25"/>
        <v>40001</v>
      </c>
      <c r="G147">
        <f t="shared" si="28"/>
        <v>500001</v>
      </c>
      <c r="H147" t="s">
        <v>6687</v>
      </c>
      <c r="I147" s="8">
        <f t="shared" si="29"/>
        <v>600001</v>
      </c>
      <c r="J147" t="s">
        <v>6510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6510</v>
      </c>
      <c r="O147" t="s">
        <v>6510</v>
      </c>
      <c r="P147" t="s">
        <v>6510</v>
      </c>
      <c r="Q147">
        <f t="shared" ca="1" si="26"/>
        <v>200016</v>
      </c>
    </row>
    <row r="148" spans="1:17" x14ac:dyDescent="0.3">
      <c r="A148" t="s">
        <v>5386</v>
      </c>
      <c r="B148">
        <f ca="1">INDEX(LocalAreas.csv!G:G,RANDBETWEEN(2,88))</f>
        <v>200079</v>
      </c>
      <c r="C148" t="str">
        <f t="shared" ca="1" si="27"/>
        <v>rg{'id': '200079'}'</v>
      </c>
      <c r="D148" s="1" t="str">
        <f ca="1">MID(Names!G138,FIND(" ",Names!G138)+1,LEN(Names!G138)-FIND(" ", Names!G138))&amp;" "&amp;INDEX(PROJ_EXT_Name,RANDBETWEEN(2,12))</f>
        <v>Alaska Hwy Express Lane</v>
      </c>
      <c r="E148" s="1" t="s">
        <v>7046</v>
      </c>
      <c r="F148">
        <f>IF(ISNUMBER(#REF!),#REF!+1,40000)</f>
        <v>40000</v>
      </c>
      <c r="G148">
        <f>IF(ISNUMBER(#REF!),#REF!+1,500000)</f>
        <v>500000</v>
      </c>
      <c r="H148" t="s">
        <v>6687</v>
      </c>
      <c r="I148" s="8">
        <f>IF(ISNUMBER(#REF!),#REF!+1,600000)</f>
        <v>600000</v>
      </c>
      <c r="J148" t="s">
        <v>6510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6510</v>
      </c>
      <c r="O148" t="s">
        <v>6510</v>
      </c>
      <c r="P148" t="s">
        <v>6510</v>
      </c>
      <c r="Q148">
        <f t="shared" ca="1" si="26"/>
        <v>200079</v>
      </c>
    </row>
    <row r="149" spans="1:17" x14ac:dyDescent="0.3">
      <c r="A149" t="s">
        <v>5386</v>
      </c>
      <c r="B149">
        <f ca="1">INDEX(LocalAreas.csv!G:G,RANDBETWEEN(2,88))</f>
        <v>200048</v>
      </c>
      <c r="C149" t="str">
        <f t="shared" ca="1" si="27"/>
        <v>rg{'id': '200048'}'</v>
      </c>
      <c r="D149" s="1" t="str">
        <f ca="1">MID(Names!G139,FIND(" ",Names!G139)+1,LEN(Names!G139)-FIND(" ", Names!G139))&amp;" "&amp;INDEX(PROJ_EXT_Name,RANDBETWEEN(2,12))</f>
        <v>Stum Lake Road Extension</v>
      </c>
      <c r="E149" s="1" t="s">
        <v>6917</v>
      </c>
      <c r="F149">
        <f t="shared" si="25"/>
        <v>40001</v>
      </c>
      <c r="G149">
        <f t="shared" si="28"/>
        <v>500001</v>
      </c>
      <c r="H149" t="s">
        <v>6687</v>
      </c>
      <c r="I149" s="8">
        <f t="shared" si="29"/>
        <v>600001</v>
      </c>
      <c r="J149" t="s">
        <v>6510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6510</v>
      </c>
      <c r="O149" t="s">
        <v>6510</v>
      </c>
      <c r="P149" t="s">
        <v>6510</v>
      </c>
      <c r="Q149">
        <f t="shared" ca="1" si="26"/>
        <v>200048</v>
      </c>
    </row>
    <row r="150" spans="1:17" x14ac:dyDescent="0.3">
      <c r="A150" t="s">
        <v>5386</v>
      </c>
      <c r="B150">
        <f ca="1">INDEX(LocalAreas.csv!G:G,RANDBETWEEN(2,88))</f>
        <v>200009</v>
      </c>
      <c r="C150" t="str">
        <f t="shared" ca="1" si="27"/>
        <v>rg{'id': '200009'}'</v>
      </c>
      <c r="D150" s="1" t="str">
        <f ca="1">MID(Names!G142,FIND(" ",Names!G142)+1,LEN(Names!G142)-FIND(" ", Names!G142))&amp;" "&amp;INDEX(PROJ_EXT_Name,RANDBETWEEN(2,12))</f>
        <v>King George Hwy Bridge Replacement</v>
      </c>
      <c r="E150" s="1" t="s">
        <v>7047</v>
      </c>
      <c r="F150">
        <f>IF(ISNUMBER(#REF!),#REF!+1,40000)</f>
        <v>40000</v>
      </c>
      <c r="G150">
        <f>IF(ISNUMBER(#REF!),#REF!+1,500000)</f>
        <v>500000</v>
      </c>
      <c r="H150" t="s">
        <v>6687</v>
      </c>
      <c r="I150" s="8">
        <f>IF(ISNUMBER(#REF!),#REF!+1,600000)</f>
        <v>600000</v>
      </c>
      <c r="J150" t="s">
        <v>6510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>
        <f t="shared" ca="1" si="26"/>
        <v>200009</v>
      </c>
    </row>
    <row r="151" spans="1:17" x14ac:dyDescent="0.3">
      <c r="A151" t="s">
        <v>5386</v>
      </c>
      <c r="B151">
        <f ca="1">INDEX(LocalAreas.csv!G:G,RANDBETWEEN(2,88))</f>
        <v>200028</v>
      </c>
      <c r="C151" t="str">
        <f t="shared" ca="1" si="27"/>
        <v>rg{'id': '200028'}'</v>
      </c>
      <c r="D151" s="1" t="str">
        <f ca="1">MID(Names!G144,FIND(" ",Names!G144)+1,LEN(Names!G144)-FIND(" ", Names!G144))&amp;" "&amp;INDEX(PROJ_EXT_Name,RANDBETWEEN(2,12))</f>
        <v>Burdett Avenue Bypass</v>
      </c>
      <c r="E151" s="1" t="s">
        <v>6902</v>
      </c>
      <c r="F151">
        <f>IF(ISNUMBER(#REF!),#REF!+1,40000)</f>
        <v>40000</v>
      </c>
      <c r="G151">
        <f>IF(ISNUMBER(#REF!),#REF!+1,500000)</f>
        <v>500000</v>
      </c>
      <c r="H151" t="s">
        <v>6687</v>
      </c>
      <c r="I151" s="8">
        <f>IF(ISNUMBER(#REF!),#REF!+1,600000)</f>
        <v>600000</v>
      </c>
      <c r="J151" t="s">
        <v>6510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6510</v>
      </c>
      <c r="O151" t="s">
        <v>6510</v>
      </c>
      <c r="P151" t="s">
        <v>6510</v>
      </c>
      <c r="Q151">
        <f t="shared" ca="1" si="26"/>
        <v>200028</v>
      </c>
    </row>
    <row r="152" spans="1:17" x14ac:dyDescent="0.3">
      <c r="A152" t="s">
        <v>5386</v>
      </c>
      <c r="B152">
        <f ca="1">INDEX(LocalAreas.csv!G:G,RANDBETWEEN(2,88))</f>
        <v>200059</v>
      </c>
      <c r="C152" t="str">
        <f t="shared" ca="1" si="27"/>
        <v>rg{'id': '200059'}'</v>
      </c>
      <c r="D152" s="1" t="str">
        <f ca="1">MID(Names!G146,FIND(" ",Names!G146)+1,LEN(Names!G146)-FIND(" ", Names!G146))&amp;" "&amp;INDEX(PROJ_EXT_Name,RANDBETWEEN(2,12))</f>
        <v>Hastings Street Expressway</v>
      </c>
      <c r="E152" s="1" t="s">
        <v>6920</v>
      </c>
      <c r="F152">
        <f>IF(ISNUMBER(#REF!),#REF!+1,40000)</f>
        <v>40000</v>
      </c>
      <c r="G152">
        <f>IF(ISNUMBER(#REF!),#REF!+1,500000)</f>
        <v>500000</v>
      </c>
      <c r="H152" t="s">
        <v>6687</v>
      </c>
      <c r="I152" s="8">
        <f>IF(ISNUMBER(#REF!),#REF!+1,600000)</f>
        <v>600000</v>
      </c>
      <c r="J152" t="s">
        <v>6510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6510</v>
      </c>
      <c r="O152" t="s">
        <v>6510</v>
      </c>
      <c r="P152" t="s">
        <v>6510</v>
      </c>
      <c r="Q152">
        <f t="shared" ca="1" si="26"/>
        <v>200059</v>
      </c>
    </row>
    <row r="153" spans="1:17" x14ac:dyDescent="0.3">
      <c r="A153" t="s">
        <v>5386</v>
      </c>
      <c r="B153">
        <f ca="1">INDEX(LocalAreas.csv!G:G,RANDBETWEEN(2,88))</f>
        <v>200022</v>
      </c>
      <c r="C153" t="str">
        <f t="shared" ca="1" si="27"/>
        <v>rg{'id': '200022'}'</v>
      </c>
      <c r="D153" s="1" t="str">
        <f ca="1">MID(Names!G147,FIND(" ",Names!G147)+1,LEN(Names!G147)-FIND(" ", Names!G147))&amp;" "&amp;INDEX(PROJ_EXT_Name,RANDBETWEEN(2,12))</f>
        <v>Old Spallumcheen Rd Expressway</v>
      </c>
      <c r="E153" s="1" t="s">
        <v>7048</v>
      </c>
      <c r="F153">
        <f t="shared" ref="F153:F162" si="32">IF(ISNUMBER(F152),F152+1,40000)</f>
        <v>40001</v>
      </c>
      <c r="G153">
        <f t="shared" si="28"/>
        <v>500001</v>
      </c>
      <c r="H153" t="s">
        <v>6687</v>
      </c>
      <c r="I153" s="8">
        <f t="shared" si="29"/>
        <v>600001</v>
      </c>
      <c r="J153" t="s">
        <v>6510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6510</v>
      </c>
      <c r="O153" t="s">
        <v>6510</v>
      </c>
      <c r="P153" t="s">
        <v>6510</v>
      </c>
      <c r="Q153">
        <f t="shared" ca="1" si="26"/>
        <v>200022</v>
      </c>
    </row>
    <row r="154" spans="1:17" x14ac:dyDescent="0.3">
      <c r="A154" t="s">
        <v>5386</v>
      </c>
      <c r="B154">
        <f ca="1">INDEX(LocalAreas.csv!G:G,RANDBETWEEN(2,88))</f>
        <v>200062</v>
      </c>
      <c r="C154" t="str">
        <f t="shared" ca="1" si="27"/>
        <v>rg{'id': '200062'}'</v>
      </c>
      <c r="D154" s="1" t="str">
        <f ca="1">MID(Names!G149,FIND(" ",Names!G149)+1,LEN(Names!G149)-FIND(" ", Names!G149))&amp;" "&amp;INDEX(PROJ_EXT_Name,RANDBETWEEN(2,12))</f>
        <v>Coldstream Avenue Bridge</v>
      </c>
      <c r="E154" s="1" t="s">
        <v>7049</v>
      </c>
      <c r="F154">
        <f>IF(ISNUMBER(#REF!),#REF!+1,40000)</f>
        <v>40000</v>
      </c>
      <c r="G154">
        <f>IF(ISNUMBER(#REF!),#REF!+1,500000)</f>
        <v>500000</v>
      </c>
      <c r="H154" t="s">
        <v>6687</v>
      </c>
      <c r="I154" s="8">
        <f>IF(ISNUMBER(#REF!),#REF!+1,600000)</f>
        <v>600000</v>
      </c>
      <c r="J154" t="s">
        <v>6510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6510</v>
      </c>
      <c r="O154" t="s">
        <v>6510</v>
      </c>
      <c r="P154" t="s">
        <v>6510</v>
      </c>
      <c r="Q154">
        <f t="shared" ca="1" si="26"/>
        <v>200062</v>
      </c>
    </row>
    <row r="155" spans="1:17" x14ac:dyDescent="0.3">
      <c r="A155" t="s">
        <v>5386</v>
      </c>
      <c r="B155">
        <f ca="1">INDEX(LocalAreas.csv!G:G,RANDBETWEEN(2,88))</f>
        <v>200036</v>
      </c>
      <c r="C155" t="str">
        <f t="shared" ca="1" si="27"/>
        <v>rg{'id': '200036'}'</v>
      </c>
      <c r="D155" s="1" t="str">
        <f ca="1">MID(Names!G101,FIND(" ",Names!G101)+1,LEN(Names!G101)-FIND(" ", Names!G101))&amp;" "&amp;INDEX(PROJ_EXT_Name,RANDBETWEEN(2,12))</f>
        <v>Robson St Bypass</v>
      </c>
      <c r="E155" s="1" t="s">
        <v>7050</v>
      </c>
      <c r="F155">
        <f>IF(ISNUMBER(#REF!),#REF!+1,40000)</f>
        <v>40000</v>
      </c>
      <c r="G155">
        <f>IF(ISNUMBER(#REF!),#REF!+1,500000)</f>
        <v>500000</v>
      </c>
      <c r="H155" t="s">
        <v>6687</v>
      </c>
      <c r="I155" s="8">
        <f>IF(ISNUMBER(#REF!),#REF!+1,600000)</f>
        <v>600000</v>
      </c>
      <c r="J155" t="s">
        <v>6510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6510</v>
      </c>
      <c r="O155" t="s">
        <v>6510</v>
      </c>
      <c r="P155" t="s">
        <v>6510</v>
      </c>
      <c r="Q155">
        <f t="shared" ca="1" si="26"/>
        <v>200036</v>
      </c>
    </row>
    <row r="156" spans="1:17" x14ac:dyDescent="0.3">
      <c r="A156" t="s">
        <v>5386</v>
      </c>
      <c r="B156">
        <f ca="1">INDEX(LocalAreas.csv!G:G,RANDBETWEEN(2,88))</f>
        <v>200068</v>
      </c>
      <c r="C156" t="str">
        <f t="shared" ca="1" si="27"/>
        <v>rg{'id': '200068'}'</v>
      </c>
      <c r="D156" s="1" t="str">
        <f ca="1">MID(Names!G104,FIND(" ",Names!G104)+1,LEN(Names!G104)-FIND(" ", Names!G104))&amp;" "&amp;INDEX(PROJ_EXT_Name,RANDBETWEEN(2,12))</f>
        <v>Carlson Road Overpass</v>
      </c>
      <c r="E156" s="1" t="s">
        <v>7051</v>
      </c>
      <c r="F156">
        <f>IF(ISNUMBER(#REF!),#REF!+1,40000)</f>
        <v>40000</v>
      </c>
      <c r="G156">
        <f>IF(ISNUMBER(#REF!),#REF!+1,500000)</f>
        <v>500000</v>
      </c>
      <c r="H156" t="s">
        <v>6687</v>
      </c>
      <c r="I156" s="8">
        <f>IF(ISNUMBER(#REF!),#REF!+1,600000)</f>
        <v>600000</v>
      </c>
      <c r="J156" t="s">
        <v>6510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6510</v>
      </c>
      <c r="O156" t="s">
        <v>6510</v>
      </c>
      <c r="P156" t="s">
        <v>6510</v>
      </c>
      <c r="Q156">
        <f t="shared" ca="1" si="26"/>
        <v>200068</v>
      </c>
    </row>
    <row r="157" spans="1:17" x14ac:dyDescent="0.3">
      <c r="A157" t="s">
        <v>5386</v>
      </c>
      <c r="B157">
        <f ca="1">INDEX(LocalAreas.csv!G:G,RANDBETWEEN(2,88))</f>
        <v>200047</v>
      </c>
      <c r="C157" t="str">
        <f t="shared" ca="1" si="27"/>
        <v>rg{'id': '200047'}'</v>
      </c>
      <c r="D157" s="1" t="str">
        <f ca="1">MID(Names!G105,FIND(" ",Names!G105)+1,LEN(Names!G105)-FIND(" ", Names!G105))&amp;" "&amp;INDEX(PROJ_EXT_Name,RANDBETWEEN(2,12))</f>
        <v>102nd Avenue Express Lane</v>
      </c>
      <c r="E157" s="1" t="s">
        <v>7052</v>
      </c>
      <c r="F157">
        <f t="shared" si="32"/>
        <v>40001</v>
      </c>
      <c r="G157">
        <f t="shared" si="28"/>
        <v>500001</v>
      </c>
      <c r="H157" t="s">
        <v>6687</v>
      </c>
      <c r="I157" s="8">
        <f t="shared" si="29"/>
        <v>600001</v>
      </c>
      <c r="J157" t="s">
        <v>6510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6510</v>
      </c>
      <c r="O157" t="s">
        <v>6510</v>
      </c>
      <c r="P157" t="s">
        <v>6510</v>
      </c>
      <c r="Q157">
        <f t="shared" ca="1" si="26"/>
        <v>200047</v>
      </c>
    </row>
    <row r="158" spans="1:17" x14ac:dyDescent="0.3">
      <c r="A158" t="s">
        <v>5386</v>
      </c>
      <c r="B158">
        <f ca="1">INDEX(LocalAreas.csv!G:G,RANDBETWEEN(2,88))</f>
        <v>200025</v>
      </c>
      <c r="C158" t="str">
        <f t="shared" ca="1" si="27"/>
        <v>rg{'id': '200025'}'</v>
      </c>
      <c r="D158" s="1" t="str">
        <f ca="1">MID(Names!G107,FIND(" ",Names!G107)+1,LEN(Names!G107)-FIND(" ", Names!G107))&amp;" "&amp;INDEX(PROJ_EXT_Name,RANDBETWEEN(2,12))</f>
        <v>McGill Road Express Lane</v>
      </c>
      <c r="E158" s="1" t="s">
        <v>7053</v>
      </c>
      <c r="F158">
        <f>IF(ISNUMBER(#REF!),#REF!+1,40000)</f>
        <v>40000</v>
      </c>
      <c r="G158">
        <f>IF(ISNUMBER(#REF!),#REF!+1,500000)</f>
        <v>500000</v>
      </c>
      <c r="H158" t="s">
        <v>6687</v>
      </c>
      <c r="I158" s="8">
        <f>IF(ISNUMBER(#REF!),#REF!+1,600000)</f>
        <v>600000</v>
      </c>
      <c r="J158" t="s">
        <v>6510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6510</v>
      </c>
      <c r="O158" t="s">
        <v>6510</v>
      </c>
      <c r="P158" t="s">
        <v>6510</v>
      </c>
      <c r="Q158">
        <f t="shared" ca="1" si="26"/>
        <v>200025</v>
      </c>
    </row>
    <row r="159" spans="1:17" x14ac:dyDescent="0.3">
      <c r="A159" t="s">
        <v>5386</v>
      </c>
      <c r="B159">
        <f ca="1">INDEX(LocalAreas.csv!G:G,RANDBETWEEN(2,88))</f>
        <v>200076</v>
      </c>
      <c r="C159" t="str">
        <f t="shared" ca="1" si="27"/>
        <v>rg{'id': '200076'}'</v>
      </c>
      <c r="D159" s="1" t="str">
        <f ca="1">MID(Names!G108,FIND(" ",Names!G108)+1,LEN(Names!G108)-FIND(" ", Names!G108))&amp;" "&amp;INDEX(PROJ_EXT_Name,RANDBETWEEN(2,12))</f>
        <v>Russell Avenue Upgrade</v>
      </c>
      <c r="E159" s="1" t="s">
        <v>7054</v>
      </c>
      <c r="F159">
        <f t="shared" si="32"/>
        <v>40001</v>
      </c>
      <c r="G159">
        <f t="shared" si="28"/>
        <v>500001</v>
      </c>
      <c r="H159" t="s">
        <v>6687</v>
      </c>
      <c r="I159" s="8">
        <f t="shared" si="29"/>
        <v>600001</v>
      </c>
      <c r="J159" t="s">
        <v>6510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6510</v>
      </c>
      <c r="O159" t="s">
        <v>6510</v>
      </c>
      <c r="P159" t="s">
        <v>6510</v>
      </c>
      <c r="Q159">
        <f t="shared" ca="1" si="26"/>
        <v>200076</v>
      </c>
    </row>
    <row r="160" spans="1:17" x14ac:dyDescent="0.3">
      <c r="A160" t="s">
        <v>5386</v>
      </c>
      <c r="B160">
        <f ca="1">INDEX(LocalAreas.csv!G:G,RANDBETWEEN(2,88))</f>
        <v>200018</v>
      </c>
      <c r="C160" t="str">
        <f t="shared" ca="1" si="27"/>
        <v>rg{'id': '200018'}'</v>
      </c>
      <c r="D160" s="1" t="str">
        <f ca="1">MID(Names!G109,FIND(" ",Names!G109)+1,LEN(Names!G109)-FIND(" ", Names!G109))&amp;" "&amp;INDEX(PROJ_EXT_Name,RANDBETWEEN(2,12))</f>
        <v>Cardero St Bridge Replacement</v>
      </c>
      <c r="E160" s="1" t="s">
        <v>7055</v>
      </c>
      <c r="F160">
        <f t="shared" si="32"/>
        <v>40002</v>
      </c>
      <c r="G160">
        <f t="shared" si="28"/>
        <v>500002</v>
      </c>
      <c r="H160" t="s">
        <v>6687</v>
      </c>
      <c r="I160" s="8">
        <f t="shared" si="29"/>
        <v>600002</v>
      </c>
      <c r="J160" t="s">
        <v>6510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6510</v>
      </c>
      <c r="O160" t="s">
        <v>6510</v>
      </c>
      <c r="P160" t="s">
        <v>6510</v>
      </c>
      <c r="Q160">
        <f t="shared" ca="1" si="26"/>
        <v>200018</v>
      </c>
    </row>
    <row r="161" spans="1:17" x14ac:dyDescent="0.3">
      <c r="A161" t="s">
        <v>5386</v>
      </c>
      <c r="B161">
        <f ca="1">INDEX(LocalAreas.csv!G:G,RANDBETWEEN(2,88))</f>
        <v>200013</v>
      </c>
      <c r="C161" t="str">
        <f t="shared" ca="1" si="27"/>
        <v>rg{'id': '200013'}'</v>
      </c>
      <c r="D161" s="1" t="str">
        <f ca="1">MID(Names!G110,FIND(" ",Names!G110)+1,LEN(Names!G110)-FIND(" ", Names!G110))&amp;" "&amp;INDEX(PROJ_EXT_Name,RANDBETWEEN(2,12))</f>
        <v>Findlay Creek Road Bypass</v>
      </c>
      <c r="E161" s="1" t="s">
        <v>6930</v>
      </c>
      <c r="F161">
        <f t="shared" si="32"/>
        <v>40003</v>
      </c>
      <c r="G161">
        <f t="shared" si="28"/>
        <v>500003</v>
      </c>
      <c r="H161" t="s">
        <v>6687</v>
      </c>
      <c r="I161" s="8">
        <f t="shared" si="29"/>
        <v>600003</v>
      </c>
      <c r="J161" t="s">
        <v>6510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6510</v>
      </c>
      <c r="O161" t="s">
        <v>6510</v>
      </c>
      <c r="P161" t="s">
        <v>6510</v>
      </c>
      <c r="Q161">
        <f t="shared" ca="1" si="26"/>
        <v>200013</v>
      </c>
    </row>
    <row r="162" spans="1:17" x14ac:dyDescent="0.3">
      <c r="A162" t="s">
        <v>5386</v>
      </c>
      <c r="B162">
        <f ca="1">INDEX(LocalAreas.csv!G:G,RANDBETWEEN(2,88))</f>
        <v>200007</v>
      </c>
      <c r="C162" t="str">
        <f t="shared" ca="1" si="27"/>
        <v>rg{'id': '200007'}'</v>
      </c>
      <c r="D162" s="1" t="str">
        <f ca="1">MID(Names!G111,FIND(" ",Names!G111)+1,LEN(Names!G111)-FIND(" ", Names!G111))&amp;" "&amp;INDEX(PROJ_EXT_Name,RANDBETWEEN(2,12))</f>
        <v>Queens Bay Express Lane</v>
      </c>
      <c r="E162" s="1" t="s">
        <v>7056</v>
      </c>
      <c r="F162">
        <f t="shared" si="32"/>
        <v>40004</v>
      </c>
      <c r="G162">
        <f t="shared" si="28"/>
        <v>500004</v>
      </c>
      <c r="H162" t="s">
        <v>6687</v>
      </c>
      <c r="I162" s="8">
        <f t="shared" si="29"/>
        <v>600004</v>
      </c>
      <c r="J162" t="s">
        <v>6510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6510</v>
      </c>
      <c r="O162" t="s">
        <v>6510</v>
      </c>
      <c r="P162" t="s">
        <v>6510</v>
      </c>
      <c r="Q162">
        <f t="shared" ca="1" si="26"/>
        <v>200007</v>
      </c>
    </row>
    <row r="163" spans="1:17" x14ac:dyDescent="0.3">
      <c r="A163" t="s">
        <v>5386</v>
      </c>
      <c r="B163">
        <f ca="1">INDEX(LocalAreas.csv!G:G,RANDBETWEEN(2,88))</f>
        <v>200004</v>
      </c>
      <c r="C163" t="str">
        <f t="shared" ca="1" si="27"/>
        <v>rg{'id': '200004'}'</v>
      </c>
      <c r="D163" s="1" t="str">
        <f ca="1">MID(Names!G116,FIND(" ",Names!G116)+1,LEN(Names!G116)-FIND(" ", Names!G116))&amp;" "&amp;INDEX(PROJ_EXT_Name,RANDBETWEEN(2,12))</f>
        <v>Jade St Express Lane</v>
      </c>
      <c r="E163" s="1" t="s">
        <v>6894</v>
      </c>
      <c r="F163">
        <f>IF(ISNUMBER(#REF!),#REF!+1,40000)</f>
        <v>40000</v>
      </c>
      <c r="G163">
        <f>IF(ISNUMBER(#REF!),#REF!+1,500000)</f>
        <v>500000</v>
      </c>
      <c r="H163" t="s">
        <v>6687</v>
      </c>
      <c r="I163" s="8">
        <f>IF(ISNUMBER(#REF!),#REF!+1,600000)</f>
        <v>600000</v>
      </c>
      <c r="J163" t="s">
        <v>6510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6510</v>
      </c>
      <c r="O163" t="s">
        <v>6510</v>
      </c>
      <c r="P163" t="s">
        <v>6510</v>
      </c>
      <c r="Q163">
        <f t="shared" ca="1" si="26"/>
        <v>200004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7633</v>
      </c>
      <c r="C1" t="s">
        <v>6938</v>
      </c>
      <c r="D1" t="s">
        <v>5325</v>
      </c>
      <c r="E1" t="s">
        <v>7621</v>
      </c>
      <c r="F1" t="s">
        <v>7622</v>
      </c>
      <c r="G1" t="s">
        <v>6498</v>
      </c>
      <c r="H1" t="s">
        <v>7623</v>
      </c>
      <c r="I1" t="s">
        <v>5327</v>
      </c>
      <c r="J1" t="s">
        <v>7624</v>
      </c>
      <c r="K1" t="s">
        <v>7625</v>
      </c>
      <c r="L1" t="s">
        <v>7626</v>
      </c>
      <c r="M1" t="s">
        <v>7627</v>
      </c>
      <c r="N1" t="s">
        <v>7628</v>
      </c>
      <c r="O1" t="s">
        <v>7629</v>
      </c>
      <c r="P1" t="s">
        <v>7630</v>
      </c>
      <c r="Q1" t="s">
        <v>7631</v>
      </c>
      <c r="R1" t="s">
        <v>7632</v>
      </c>
      <c r="S1" t="s">
        <v>7771</v>
      </c>
      <c r="T1" t="s">
        <v>7772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7634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7634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7634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7634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7634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7634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7634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7634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7634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7634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7634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7634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7634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7634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7634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7634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7634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7634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7634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7634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7634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7634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7634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7634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7634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7634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7634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7634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7634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7634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7634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7634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7634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7634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7634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604-824-5554</v>
      </c>
      <c r="L36" t="str">
        <f ca="1">IF(K36="rg:None",Names!P36,"rg:None")</f>
        <v>rg:None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7634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7634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7634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7634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7634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7634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7634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7634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7634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7634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7634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7634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7634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7634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7634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7634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7634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7634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7634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7634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7634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7634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7634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7634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7634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7634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7634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7634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7634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7634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7634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7634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7634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7634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7634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7634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7634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7634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7634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7634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7634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7634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7634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7634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7634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7634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7634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7634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7634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7634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7634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7634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7634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7634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7634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7634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7634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7634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7634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7634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7634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7634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7634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7634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7634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7634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7634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7634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7634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7634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6939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7634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6934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7634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6940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7634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6941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7634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6942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7634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6943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7634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6944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7634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6923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7634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6945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7634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6901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7634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6946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7634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6947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7634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6948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7634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6949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7634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6936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7634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6950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7634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6919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7634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6951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7634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6896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7634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6952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7634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6903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7634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6953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7634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6895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7634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6954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7634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604-875-9413</v>
      </c>
      <c r="L130" t="str">
        <f ca="1">IF(K130="rg:None",Names!P136,"rg:None")</f>
        <v>rg:None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6955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7634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6914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7634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6956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7634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6929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7634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6957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7634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6958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7634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6959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7634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6960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7634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6961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7634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  <c r="M1" s="9" t="s">
        <v>7061</v>
      </c>
      <c r="N1" s="9" t="s">
        <v>6892</v>
      </c>
      <c r="O1" s="8" t="s">
        <v>5327</v>
      </c>
      <c r="P1" s="8" t="s">
        <v>5374</v>
      </c>
      <c r="Q1" s="8" t="s">
        <v>5375</v>
      </c>
      <c r="R1" s="8" t="s">
        <v>6893</v>
      </c>
    </row>
    <row r="2" spans="1:18" x14ac:dyDescent="0.3">
      <c r="A2" s="8" t="s">
        <v>5668</v>
      </c>
      <c r="B2" s="8">
        <f>IF(ISNUMBER(B1),B1+1,600000)</f>
        <v>600000</v>
      </c>
      <c r="C2" s="1" t="s">
        <v>6939</v>
      </c>
      <c r="D2" s="9">
        <f ca="1">VLOOKUP(C2,Project.csv!E:Q,13,FALSE)</f>
        <v>200012</v>
      </c>
      <c r="E2" s="8" t="str">
        <f ca="1" xml:space="preserve"> "rg:{'id':'" &amp; D2 &amp; "'}"</f>
        <v>rg:{'id':'200012'}</v>
      </c>
      <c r="F2" s="9" t="s">
        <v>7057</v>
      </c>
      <c r="G2" s="9" t="str">
        <f ca="1">INDEX(DistrictEquipmentTypes.csv!F:F,RANDBETWEEN(2,COUNTA(DistrictEquipmentTypes.csv!D:D)),1)</f>
        <v>200006</v>
      </c>
      <c r="H2" s="8" t="str">
        <f ca="1">"rg:{ 'id': '"&amp;G2&amp;"'}"</f>
        <v>rg:{ 'id': '200006'}</v>
      </c>
      <c r="I2" s="8">
        <f ca="1">IF(RANDBETWEEN(1,5)&gt;1,1,RANDBETWEEN(2,5))</f>
        <v>1</v>
      </c>
      <c r="J2" s="8">
        <f ca="1">RANDBETWEEN(4,100)</f>
        <v>35</v>
      </c>
      <c r="K2" s="8" t="str">
        <f ca="1">TEXT(TODAY()+RANDBETWEEN(1,56),"YYYY-MM-DD")</f>
        <v>2017-03-31</v>
      </c>
      <c r="L2" s="8" t="str">
        <f ca="1">TEXT(K2+(I2*J2)/8,"YYYY-MM-DD")</f>
        <v>2017-04-04</v>
      </c>
    </row>
    <row r="3" spans="1:18" x14ac:dyDescent="0.3">
      <c r="A3" s="8" t="s">
        <v>5668</v>
      </c>
      <c r="B3" s="8">
        <f t="shared" ref="B3:B66" si="0">IF(ISNUMBER(B2),B2+1,600000)</f>
        <v>600001</v>
      </c>
      <c r="C3" s="1" t="s">
        <v>6934</v>
      </c>
      <c r="D3" s="9">
        <f ca="1">VLOOKUP(C3,Project.csv!E:Q,13,FALSE)</f>
        <v>200078</v>
      </c>
      <c r="E3" s="8" t="str">
        <f t="shared" ref="E3:E66" ca="1" si="1" xml:space="preserve"> "rg:{'id':'" &amp; D3 &amp; "'}"</f>
        <v>rg:{'id':'200078'}</v>
      </c>
      <c r="F3" s="9" t="s">
        <v>7058</v>
      </c>
      <c r="G3" s="9" t="str">
        <f ca="1">INDEX(DistrictEquipmentTypes.csv!F:F,RANDBETWEEN(2,COUNTA(DistrictEquipmentTypes.csv!D:D)),1)</f>
        <v>200003</v>
      </c>
      <c r="H3" s="8" t="str">
        <f t="shared" ref="H3:H66" ca="1" si="2">"rg:{ 'id': '"&amp;G3&amp;"'}"</f>
        <v>rg:{ 'id': '200003'}</v>
      </c>
      <c r="I3" s="8">
        <f t="shared" ref="I3:I66" ca="1" si="3">IF(RANDBETWEEN(1,5)&gt;1,1,RANDBETWEEN(2,5))</f>
        <v>1</v>
      </c>
      <c r="J3" s="8">
        <f t="shared" ref="J3:J66" ca="1" si="4">RANDBETWEEN(4,100)</f>
        <v>95</v>
      </c>
      <c r="K3" s="8" t="str">
        <f t="shared" ref="K3:K66" ca="1" si="5">TEXT(TODAY()+RANDBETWEEN(1,56),"YYYY-MM-DD")</f>
        <v>2017-04-05</v>
      </c>
      <c r="L3" s="8" t="str">
        <f t="shared" ref="L3:L66" ca="1" si="6">TEXT(K3+(I3*J3)/8,"YYYY-MM-DD")</f>
        <v>2017-04-16</v>
      </c>
    </row>
    <row r="4" spans="1:18" x14ac:dyDescent="0.3">
      <c r="A4" s="8" t="s">
        <v>5668</v>
      </c>
      <c r="B4" s="8">
        <f t="shared" si="0"/>
        <v>600002</v>
      </c>
      <c r="C4" s="1" t="s">
        <v>6940</v>
      </c>
      <c r="D4" s="9">
        <f ca="1">VLOOKUP(C4,Project.csv!E:Q,13,FALSE)</f>
        <v>200021</v>
      </c>
      <c r="E4" s="8" t="str">
        <f t="shared" ca="1" si="1"/>
        <v>rg:{'id':'200021'}</v>
      </c>
      <c r="F4" s="9" t="s">
        <v>7057</v>
      </c>
      <c r="G4" s="9" t="str">
        <f ca="1">INDEX(DistrictEquipmentTypes.csv!F:F,RANDBETWEEN(2,COUNTA(DistrictEquipmentTypes.csv!D:D)),1)</f>
        <v>200004</v>
      </c>
      <c r="H4" s="8" t="str">
        <f t="shared" ca="1" si="2"/>
        <v>rg:{ 'id': '200004'}</v>
      </c>
      <c r="I4" s="8">
        <f t="shared" ca="1" si="3"/>
        <v>4</v>
      </c>
      <c r="J4" s="8">
        <f t="shared" ca="1" si="4"/>
        <v>44</v>
      </c>
      <c r="K4" s="8" t="str">
        <f t="shared" ca="1" si="5"/>
        <v>2017-05-10</v>
      </c>
      <c r="L4" s="8" t="str">
        <f t="shared" ca="1" si="6"/>
        <v>2017-06-01</v>
      </c>
    </row>
    <row r="5" spans="1:18" x14ac:dyDescent="0.3">
      <c r="A5" s="8" t="s">
        <v>5668</v>
      </c>
      <c r="B5" s="8">
        <f t="shared" si="0"/>
        <v>600003</v>
      </c>
      <c r="C5" s="1" t="s">
        <v>6941</v>
      </c>
      <c r="D5" s="9">
        <f ca="1">VLOOKUP(C5,Project.csv!E:Q,13,FALSE)</f>
        <v>200008</v>
      </c>
      <c r="E5" s="8" t="str">
        <f t="shared" ca="1" si="1"/>
        <v>rg:{'id':'200008'}</v>
      </c>
      <c r="F5" s="9" t="s">
        <v>7057</v>
      </c>
      <c r="G5" s="9" t="str">
        <f ca="1">INDEX(DistrictEquipmentTypes.csv!F:F,RANDBETWEEN(2,COUNTA(DistrictEquipmentTypes.csv!D:D)),1)</f>
        <v>200007</v>
      </c>
      <c r="H5" s="8" t="str">
        <f t="shared" ca="1" si="2"/>
        <v>rg:{ 'id': '200007'}</v>
      </c>
      <c r="I5" s="8">
        <f t="shared" ca="1" si="3"/>
        <v>1</v>
      </c>
      <c r="J5" s="8">
        <f t="shared" ca="1" si="4"/>
        <v>11</v>
      </c>
      <c r="K5" s="8" t="str">
        <f t="shared" ca="1" si="5"/>
        <v>2017-04-27</v>
      </c>
      <c r="L5" s="8" t="str">
        <f t="shared" ca="1" si="6"/>
        <v>2017-04-28</v>
      </c>
    </row>
    <row r="6" spans="1:18" x14ac:dyDescent="0.3">
      <c r="A6" s="8" t="s">
        <v>5668</v>
      </c>
      <c r="B6" s="8">
        <f t="shared" si="0"/>
        <v>600004</v>
      </c>
      <c r="C6" s="1" t="s">
        <v>6942</v>
      </c>
      <c r="D6" s="9">
        <f ca="1">VLOOKUP(C6,Project.csv!E:Q,13,FALSE)</f>
        <v>200000</v>
      </c>
      <c r="E6" s="8" t="str">
        <f t="shared" ca="1" si="1"/>
        <v>rg:{'id':'200000'}</v>
      </c>
      <c r="F6" s="9" t="s">
        <v>7057</v>
      </c>
      <c r="G6" s="9" t="str">
        <f ca="1">INDEX(DistrictEquipmentTypes.csv!F:F,RANDBETWEEN(2,COUNTA(DistrictEquipmentTypes.csv!D:D)),1)</f>
        <v>200005</v>
      </c>
      <c r="H6" s="8" t="str">
        <f t="shared" ca="1" si="2"/>
        <v>rg:{ 'id': '200005'}</v>
      </c>
      <c r="I6" s="8">
        <f t="shared" ca="1" si="3"/>
        <v>1</v>
      </c>
      <c r="J6" s="8">
        <f t="shared" ca="1" si="4"/>
        <v>92</v>
      </c>
      <c r="K6" s="8" t="str">
        <f t="shared" ca="1" si="5"/>
        <v>2017-04-08</v>
      </c>
      <c r="L6" s="8" t="str">
        <f t="shared" ca="1" si="6"/>
        <v>2017-04-19</v>
      </c>
    </row>
    <row r="7" spans="1:18" x14ac:dyDescent="0.3">
      <c r="A7" s="8" t="s">
        <v>5668</v>
      </c>
      <c r="B7" s="8">
        <f t="shared" si="0"/>
        <v>600005</v>
      </c>
      <c r="C7" s="1" t="s">
        <v>6943</v>
      </c>
      <c r="D7" s="9">
        <f ca="1">VLOOKUP(C7,Project.csv!E:Q,13,FALSE)</f>
        <v>200072</v>
      </c>
      <c r="E7" s="8" t="str">
        <f t="shared" ca="1" si="1"/>
        <v>rg:{'id':'200072'}</v>
      </c>
      <c r="F7" s="9" t="s">
        <v>7058</v>
      </c>
      <c r="G7" s="9" t="str">
        <f ca="1">INDEX(DistrictEquipmentTypes.csv!F:F,RANDBETWEEN(2,COUNTA(DistrictEquipmentTypes.csv!D:D)),1)</f>
        <v>200001</v>
      </c>
      <c r="H7" s="8" t="str">
        <f t="shared" ca="1" si="2"/>
        <v>rg:{ 'id': '200001'}</v>
      </c>
      <c r="I7" s="8">
        <f t="shared" ca="1" si="3"/>
        <v>1</v>
      </c>
      <c r="J7" s="8">
        <f t="shared" ca="1" si="4"/>
        <v>61</v>
      </c>
      <c r="K7" s="8" t="str">
        <f t="shared" ca="1" si="5"/>
        <v>2017-04-14</v>
      </c>
      <c r="L7" s="8" t="str">
        <f t="shared" ca="1" si="6"/>
        <v>2017-04-21</v>
      </c>
    </row>
    <row r="8" spans="1:18" x14ac:dyDescent="0.3">
      <c r="A8" s="8" t="s">
        <v>5668</v>
      </c>
      <c r="B8" s="8">
        <f t="shared" si="0"/>
        <v>600006</v>
      </c>
      <c r="C8" s="1" t="s">
        <v>6944</v>
      </c>
      <c r="D8" s="9">
        <f ca="1">VLOOKUP(C8,Project.csv!E:Q,13,FALSE)</f>
        <v>200027</v>
      </c>
      <c r="E8" s="8" t="str">
        <f t="shared" ca="1" si="1"/>
        <v>rg:{'id':'200027'}</v>
      </c>
      <c r="F8" s="9" t="s">
        <v>7058</v>
      </c>
      <c r="G8" s="9" t="str">
        <f ca="1">INDEX(DistrictEquipmentTypes.csv!F:F,RANDBETWEEN(2,COUNTA(DistrictEquipmentTypes.csv!D:D)),1)</f>
        <v>200003</v>
      </c>
      <c r="H8" s="8" t="str">
        <f t="shared" ca="1" si="2"/>
        <v>rg:{ 'id': '200003'}</v>
      </c>
      <c r="I8" s="8">
        <f t="shared" ca="1" si="3"/>
        <v>1</v>
      </c>
      <c r="J8" s="8">
        <f t="shared" ca="1" si="4"/>
        <v>72</v>
      </c>
      <c r="K8" s="8" t="str">
        <f t="shared" ca="1" si="5"/>
        <v>2017-05-10</v>
      </c>
      <c r="L8" s="8" t="str">
        <f t="shared" ca="1" si="6"/>
        <v>2017-05-19</v>
      </c>
    </row>
    <row r="9" spans="1:18" x14ac:dyDescent="0.3">
      <c r="A9" s="8" t="s">
        <v>5668</v>
      </c>
      <c r="B9" s="8">
        <f t="shared" si="0"/>
        <v>600007</v>
      </c>
      <c r="C9" s="1" t="s">
        <v>6923</v>
      </c>
      <c r="D9" s="9">
        <f ca="1">VLOOKUP(C9,Project.csv!E:Q,13,FALSE)</f>
        <v>200057</v>
      </c>
      <c r="E9" s="8" t="str">
        <f t="shared" ca="1" si="1"/>
        <v>rg:{'id':'200057'}</v>
      </c>
      <c r="F9" s="9" t="s">
        <v>7058</v>
      </c>
      <c r="G9" s="9" t="str">
        <f ca="1">INDEX(DistrictEquipmentTypes.csv!F:F,RANDBETWEEN(2,COUNTA(DistrictEquipmentTypes.csv!D:D)),1)</f>
        <v>200002</v>
      </c>
      <c r="H9" s="8" t="str">
        <f t="shared" ca="1" si="2"/>
        <v>rg:{ 'id': '200002'}</v>
      </c>
      <c r="I9" s="8">
        <f t="shared" ca="1" si="3"/>
        <v>1</v>
      </c>
      <c r="J9" s="8">
        <f t="shared" ca="1" si="4"/>
        <v>66</v>
      </c>
      <c r="K9" s="8" t="str">
        <f t="shared" ca="1" si="5"/>
        <v>2017-04-14</v>
      </c>
      <c r="L9" s="8" t="str">
        <f t="shared" ca="1" si="6"/>
        <v>2017-04-22</v>
      </c>
    </row>
    <row r="10" spans="1:18" x14ac:dyDescent="0.3">
      <c r="A10" s="8" t="s">
        <v>5668</v>
      </c>
      <c r="B10" s="8">
        <f t="shared" si="0"/>
        <v>600008</v>
      </c>
      <c r="C10" s="1" t="s">
        <v>6945</v>
      </c>
      <c r="D10" s="9">
        <f ca="1">VLOOKUP(C10,Project.csv!E:Q,13,FALSE)</f>
        <v>200084</v>
      </c>
      <c r="E10" s="8" t="str">
        <f t="shared" ca="1" si="1"/>
        <v>rg:{'id':'200084'}</v>
      </c>
      <c r="F10" s="9" t="s">
        <v>7058</v>
      </c>
      <c r="G10" s="9" t="str">
        <f ca="1">INDEX(DistrictEquipmentTypes.csv!F:F,RANDBETWEEN(2,COUNTA(DistrictEquipmentTypes.csv!D:D)),1)</f>
        <v>200006</v>
      </c>
      <c r="H10" s="8" t="str">
        <f t="shared" ca="1" si="2"/>
        <v>rg:{ 'id': '200006'}</v>
      </c>
      <c r="I10" s="8">
        <f t="shared" ca="1" si="3"/>
        <v>1</v>
      </c>
      <c r="J10" s="8">
        <f t="shared" ca="1" si="4"/>
        <v>35</v>
      </c>
      <c r="K10" s="8" t="str">
        <f t="shared" ca="1" si="5"/>
        <v>2017-04-01</v>
      </c>
      <c r="L10" s="8" t="str">
        <f t="shared" ca="1" si="6"/>
        <v>2017-04-05</v>
      </c>
    </row>
    <row r="11" spans="1:18" x14ac:dyDescent="0.3">
      <c r="A11" s="8" t="s">
        <v>5668</v>
      </c>
      <c r="B11" s="8">
        <f t="shared" si="0"/>
        <v>600009</v>
      </c>
      <c r="C11" s="1" t="s">
        <v>6901</v>
      </c>
      <c r="D11" s="9">
        <f ca="1">VLOOKUP(C11,Project.csv!E:Q,13,FALSE)</f>
        <v>200032</v>
      </c>
      <c r="E11" s="8" t="str">
        <f t="shared" ca="1" si="1"/>
        <v>rg:{'id':'200032'}</v>
      </c>
      <c r="F11" s="9" t="s">
        <v>7057</v>
      </c>
      <c r="G11" s="9" t="str">
        <f ca="1">INDEX(DistrictEquipmentTypes.csv!F:F,RANDBETWEEN(2,COUNTA(DistrictEquipmentTypes.csv!D:D)),1)</f>
        <v>200000</v>
      </c>
      <c r="H11" s="8" t="str">
        <f t="shared" ca="1" si="2"/>
        <v>rg:{ 'id': '200000'}</v>
      </c>
      <c r="I11" s="8">
        <f t="shared" ca="1" si="3"/>
        <v>1</v>
      </c>
      <c r="J11" s="8">
        <f t="shared" ca="1" si="4"/>
        <v>42</v>
      </c>
      <c r="K11" s="8" t="str">
        <f t="shared" ca="1" si="5"/>
        <v>2017-03-25</v>
      </c>
      <c r="L11" s="8" t="str">
        <f t="shared" ca="1" si="6"/>
        <v>2017-03-30</v>
      </c>
    </row>
    <row r="12" spans="1:18" x14ac:dyDescent="0.3">
      <c r="A12" s="8" t="s">
        <v>5668</v>
      </c>
      <c r="B12" s="8">
        <f t="shared" si="0"/>
        <v>600010</v>
      </c>
      <c r="C12" s="1" t="s">
        <v>6946</v>
      </c>
      <c r="D12" s="9">
        <f ca="1">VLOOKUP(C12,Project.csv!E:Q,13,FALSE)</f>
        <v>200032</v>
      </c>
      <c r="E12" s="8" t="str">
        <f t="shared" ca="1" si="1"/>
        <v>rg:{'id':'200032'}</v>
      </c>
      <c r="F12" s="9" t="s">
        <v>7057</v>
      </c>
      <c r="G12" s="9" t="str">
        <f ca="1">INDEX(DistrictEquipmentTypes.csv!F:F,RANDBETWEEN(2,COUNTA(DistrictEquipmentTypes.csv!D:D)),1)</f>
        <v>200003</v>
      </c>
      <c r="H12" s="8" t="str">
        <f t="shared" ca="1" si="2"/>
        <v>rg:{ 'id': '200003'}</v>
      </c>
      <c r="I12" s="8">
        <f t="shared" ca="1" si="3"/>
        <v>1</v>
      </c>
      <c r="J12" s="8">
        <f t="shared" ca="1" si="4"/>
        <v>89</v>
      </c>
      <c r="K12" s="8" t="str">
        <f t="shared" ca="1" si="5"/>
        <v>2017-04-08</v>
      </c>
      <c r="L12" s="8" t="str">
        <f t="shared" ca="1" si="6"/>
        <v>2017-04-19</v>
      </c>
    </row>
    <row r="13" spans="1:18" x14ac:dyDescent="0.3">
      <c r="A13" s="8" t="s">
        <v>5668</v>
      </c>
      <c r="B13" s="8">
        <f t="shared" si="0"/>
        <v>600011</v>
      </c>
      <c r="C13" s="1" t="s">
        <v>6947</v>
      </c>
      <c r="D13" s="9">
        <f ca="1">VLOOKUP(C13,Project.csv!E:Q,13,FALSE)</f>
        <v>200083</v>
      </c>
      <c r="E13" s="8" t="str">
        <f t="shared" ca="1" si="1"/>
        <v>rg:{'id':'200083'}</v>
      </c>
      <c r="F13" s="9" t="s">
        <v>7057</v>
      </c>
      <c r="G13" s="9" t="str">
        <f ca="1">INDEX(DistrictEquipmentTypes.csv!F:F,RANDBETWEEN(2,COUNTA(DistrictEquipmentTypes.csv!D:D)),1)</f>
        <v>200002</v>
      </c>
      <c r="H13" s="8" t="str">
        <f t="shared" ca="1" si="2"/>
        <v>rg:{ 'id': '200002'}</v>
      </c>
      <c r="I13" s="8">
        <f t="shared" ca="1" si="3"/>
        <v>1</v>
      </c>
      <c r="J13" s="8">
        <f t="shared" ca="1" si="4"/>
        <v>82</v>
      </c>
      <c r="K13" s="8" t="str">
        <f t="shared" ca="1" si="5"/>
        <v>2017-05-02</v>
      </c>
      <c r="L13" s="8" t="str">
        <f t="shared" ca="1" si="6"/>
        <v>2017-05-12</v>
      </c>
    </row>
    <row r="14" spans="1:18" x14ac:dyDescent="0.3">
      <c r="A14" s="8" t="s">
        <v>5668</v>
      </c>
      <c r="B14" s="8">
        <f t="shared" si="0"/>
        <v>600012</v>
      </c>
      <c r="C14" s="1" t="s">
        <v>6948</v>
      </c>
      <c r="D14" s="9">
        <f ca="1">VLOOKUP(C14,Project.csv!E:Q,13,FALSE)</f>
        <v>200064</v>
      </c>
      <c r="E14" s="8" t="str">
        <f t="shared" ca="1" si="1"/>
        <v>rg:{'id':'200064'}</v>
      </c>
      <c r="F14" s="9" t="s">
        <v>7057</v>
      </c>
      <c r="G14" s="9" t="str">
        <f ca="1">INDEX(DistrictEquipmentTypes.csv!F:F,RANDBETWEEN(2,COUNTA(DistrictEquipmentTypes.csv!D:D)),1)</f>
        <v>200003</v>
      </c>
      <c r="H14" s="8" t="str">
        <f t="shared" ca="1" si="2"/>
        <v>rg:{ 'id': '200003'}</v>
      </c>
      <c r="I14" s="8">
        <f t="shared" ca="1" si="3"/>
        <v>3</v>
      </c>
      <c r="J14" s="8">
        <f t="shared" ca="1" si="4"/>
        <v>19</v>
      </c>
      <c r="K14" s="8" t="str">
        <f t="shared" ca="1" si="5"/>
        <v>2017-04-12</v>
      </c>
      <c r="L14" s="8" t="str">
        <f t="shared" ca="1" si="6"/>
        <v>2017-04-19</v>
      </c>
    </row>
    <row r="15" spans="1:18" x14ac:dyDescent="0.3">
      <c r="A15" s="8" t="s">
        <v>5668</v>
      </c>
      <c r="B15" s="8">
        <f t="shared" si="0"/>
        <v>600013</v>
      </c>
      <c r="C15" s="1" t="s">
        <v>6949</v>
      </c>
      <c r="D15" s="9">
        <f ca="1">VLOOKUP(C15,Project.csv!E:Q,13,FALSE)</f>
        <v>200001</v>
      </c>
      <c r="E15" s="8" t="str">
        <f t="shared" ca="1" si="1"/>
        <v>rg:{'id':'200001'}</v>
      </c>
      <c r="F15" s="9" t="s">
        <v>7057</v>
      </c>
      <c r="G15" s="9" t="str">
        <f ca="1">INDEX(DistrictEquipmentTypes.csv!F:F,RANDBETWEEN(2,COUNTA(DistrictEquipmentTypes.csv!D:D)),1)</f>
        <v>200009</v>
      </c>
      <c r="H15" s="8" t="str">
        <f t="shared" ca="1" si="2"/>
        <v>rg:{ 'id': '200009'}</v>
      </c>
      <c r="I15" s="8">
        <f t="shared" ca="1" si="3"/>
        <v>1</v>
      </c>
      <c r="J15" s="8">
        <f t="shared" ca="1" si="4"/>
        <v>31</v>
      </c>
      <c r="K15" s="8" t="str">
        <f t="shared" ca="1" si="5"/>
        <v>2017-05-03</v>
      </c>
      <c r="L15" s="8" t="str">
        <f t="shared" ca="1" si="6"/>
        <v>2017-05-06</v>
      </c>
    </row>
    <row r="16" spans="1:18" x14ac:dyDescent="0.3">
      <c r="A16" s="8" t="s">
        <v>5668</v>
      </c>
      <c r="B16" s="8">
        <f t="shared" si="0"/>
        <v>600014</v>
      </c>
      <c r="C16" s="1" t="s">
        <v>6936</v>
      </c>
      <c r="D16" s="9">
        <f ca="1">VLOOKUP(C16,Project.csv!E:Q,13,FALSE)</f>
        <v>200037</v>
      </c>
      <c r="E16" s="8" t="str">
        <f t="shared" ca="1" si="1"/>
        <v>rg:{'id':'200037'}</v>
      </c>
      <c r="F16" s="9" t="s">
        <v>7057</v>
      </c>
      <c r="G16" s="9" t="str">
        <f ca="1">INDEX(DistrictEquipmentTypes.csv!F:F,RANDBETWEEN(2,COUNTA(DistrictEquipmentTypes.csv!D:D)),1)</f>
        <v>200009</v>
      </c>
      <c r="H16" s="8" t="str">
        <f t="shared" ca="1" si="2"/>
        <v>rg:{ 'id': '200009'}</v>
      </c>
      <c r="I16" s="8">
        <f t="shared" ca="1" si="3"/>
        <v>1</v>
      </c>
      <c r="J16" s="8">
        <f t="shared" ca="1" si="4"/>
        <v>82</v>
      </c>
      <c r="K16" s="8" t="str">
        <f t="shared" ca="1" si="5"/>
        <v>2017-04-19</v>
      </c>
      <c r="L16" s="8" t="str">
        <f t="shared" ca="1" si="6"/>
        <v>2017-04-29</v>
      </c>
    </row>
    <row r="17" spans="1:12" x14ac:dyDescent="0.3">
      <c r="A17" s="8" t="s">
        <v>5668</v>
      </c>
      <c r="B17" s="8">
        <f t="shared" si="0"/>
        <v>600015</v>
      </c>
      <c r="C17" s="1" t="s">
        <v>6950</v>
      </c>
      <c r="D17" s="9">
        <f ca="1">VLOOKUP(C17,Project.csv!E:Q,13,FALSE)</f>
        <v>200023</v>
      </c>
      <c r="E17" s="8" t="str">
        <f t="shared" ca="1" si="1"/>
        <v>rg:{'id':'200023'}</v>
      </c>
      <c r="F17" s="9" t="s">
        <v>7057</v>
      </c>
      <c r="G17" s="9" t="str">
        <f ca="1">INDEX(DistrictEquipmentTypes.csv!F:F,RANDBETWEEN(2,COUNTA(DistrictEquipmentTypes.csv!D:D)),1)</f>
        <v>200009</v>
      </c>
      <c r="H17" s="8" t="str">
        <f t="shared" ca="1" si="2"/>
        <v>rg:{ 'id': '200009'}</v>
      </c>
      <c r="I17" s="8">
        <f t="shared" ca="1" si="3"/>
        <v>1</v>
      </c>
      <c r="J17" s="8">
        <f t="shared" ca="1" si="4"/>
        <v>40</v>
      </c>
      <c r="K17" s="8" t="str">
        <f t="shared" ca="1" si="5"/>
        <v>2017-03-27</v>
      </c>
      <c r="L17" s="8" t="str">
        <f t="shared" ca="1" si="6"/>
        <v>2017-04-01</v>
      </c>
    </row>
    <row r="18" spans="1:12" x14ac:dyDescent="0.3">
      <c r="A18" s="8" t="s">
        <v>5668</v>
      </c>
      <c r="B18" s="8">
        <f t="shared" si="0"/>
        <v>600016</v>
      </c>
      <c r="C18" s="1" t="s">
        <v>6919</v>
      </c>
      <c r="D18" s="9">
        <f ca="1">VLOOKUP(C18,Project.csv!E:Q,13,FALSE)</f>
        <v>200013</v>
      </c>
      <c r="E18" s="8" t="str">
        <f t="shared" ca="1" si="1"/>
        <v>rg:{'id':'200013'}</v>
      </c>
      <c r="F18" s="9" t="s">
        <v>7057</v>
      </c>
      <c r="G18" s="9" t="str">
        <f ca="1">INDEX(DistrictEquipmentTypes.csv!F:F,RANDBETWEEN(2,COUNTA(DistrictEquipmentTypes.csv!D:D)),1)</f>
        <v>200009</v>
      </c>
      <c r="H18" s="8" t="str">
        <f t="shared" ca="1" si="2"/>
        <v>rg:{ 'id': '200009'}</v>
      </c>
      <c r="I18" s="8">
        <f t="shared" ca="1" si="3"/>
        <v>1</v>
      </c>
      <c r="J18" s="8">
        <f t="shared" ca="1" si="4"/>
        <v>22</v>
      </c>
      <c r="K18" s="8" t="str">
        <f t="shared" ca="1" si="5"/>
        <v>2017-04-21</v>
      </c>
      <c r="L18" s="8" t="str">
        <f t="shared" ca="1" si="6"/>
        <v>2017-04-23</v>
      </c>
    </row>
    <row r="19" spans="1:12" x14ac:dyDescent="0.3">
      <c r="A19" s="8" t="s">
        <v>5668</v>
      </c>
      <c r="B19" s="8">
        <f t="shared" si="0"/>
        <v>600017</v>
      </c>
      <c r="C19" s="1" t="s">
        <v>6951</v>
      </c>
      <c r="D19" s="9">
        <f ca="1">VLOOKUP(C19,Project.csv!E:Q,13,FALSE)</f>
        <v>200042</v>
      </c>
      <c r="E19" s="8" t="str">
        <f t="shared" ca="1" si="1"/>
        <v>rg:{'id':'200042'}</v>
      </c>
      <c r="F19" s="9" t="s">
        <v>7057</v>
      </c>
      <c r="G19" s="9" t="str">
        <f ca="1">INDEX(DistrictEquipmentTypes.csv!F:F,RANDBETWEEN(2,COUNTA(DistrictEquipmentTypes.csv!D:D)),1)</f>
        <v>200009</v>
      </c>
      <c r="H19" s="8" t="str">
        <f t="shared" ca="1" si="2"/>
        <v>rg:{ 'id': '200009'}</v>
      </c>
      <c r="I19" s="8">
        <f t="shared" ca="1" si="3"/>
        <v>1</v>
      </c>
      <c r="J19" s="8">
        <f t="shared" ca="1" si="4"/>
        <v>26</v>
      </c>
      <c r="K19" s="8" t="str">
        <f t="shared" ca="1" si="5"/>
        <v>2017-04-01</v>
      </c>
      <c r="L19" s="8" t="str">
        <f t="shared" ca="1" si="6"/>
        <v>2017-04-04</v>
      </c>
    </row>
    <row r="20" spans="1:12" x14ac:dyDescent="0.3">
      <c r="A20" s="8" t="s">
        <v>5668</v>
      </c>
      <c r="B20" s="8">
        <f t="shared" si="0"/>
        <v>600018</v>
      </c>
      <c r="C20" s="1" t="s">
        <v>6896</v>
      </c>
      <c r="D20" s="9">
        <f ca="1">VLOOKUP(C20,Project.csv!E:Q,13,FALSE)</f>
        <v>200007</v>
      </c>
      <c r="E20" s="8" t="str">
        <f t="shared" ca="1" si="1"/>
        <v>rg:{'id':'200007'}</v>
      </c>
      <c r="F20" s="9" t="s">
        <v>7057</v>
      </c>
      <c r="G20" s="9" t="str">
        <f ca="1">INDEX(DistrictEquipmentTypes.csv!F:F,RANDBETWEEN(2,COUNTA(DistrictEquipmentTypes.csv!D:D)),1)</f>
        <v>200002</v>
      </c>
      <c r="H20" s="8" t="str">
        <f t="shared" ca="1" si="2"/>
        <v>rg:{ 'id': '200002'}</v>
      </c>
      <c r="I20" s="8">
        <f t="shared" ca="1" si="3"/>
        <v>1</v>
      </c>
      <c r="J20" s="8">
        <f t="shared" ca="1" si="4"/>
        <v>41</v>
      </c>
      <c r="K20" s="8" t="str">
        <f t="shared" ca="1" si="5"/>
        <v>2017-04-03</v>
      </c>
      <c r="L20" s="8" t="str">
        <f t="shared" ca="1" si="6"/>
        <v>2017-04-08</v>
      </c>
    </row>
    <row r="21" spans="1:12" x14ac:dyDescent="0.3">
      <c r="A21" s="8" t="s">
        <v>5668</v>
      </c>
      <c r="B21" s="8">
        <f t="shared" si="0"/>
        <v>600019</v>
      </c>
      <c r="C21" s="1" t="s">
        <v>6952</v>
      </c>
      <c r="D21" s="9">
        <f ca="1">VLOOKUP(C21,Project.csv!E:Q,13,FALSE)</f>
        <v>200035</v>
      </c>
      <c r="E21" s="8" t="str">
        <f t="shared" ca="1" si="1"/>
        <v>rg:{'id':'200035'}</v>
      </c>
      <c r="F21" s="9" t="s">
        <v>7057</v>
      </c>
      <c r="G21" s="9" t="str">
        <f ca="1">INDEX(DistrictEquipmentTypes.csv!F:F,RANDBETWEEN(2,COUNTA(DistrictEquipmentTypes.csv!D:D)),1)</f>
        <v>200005</v>
      </c>
      <c r="H21" s="8" t="str">
        <f t="shared" ca="1" si="2"/>
        <v>rg:{ 'id': '200005'}</v>
      </c>
      <c r="I21" s="8">
        <f t="shared" ca="1" si="3"/>
        <v>1</v>
      </c>
      <c r="J21" s="8">
        <f t="shared" ca="1" si="4"/>
        <v>51</v>
      </c>
      <c r="K21" s="8" t="str">
        <f t="shared" ca="1" si="5"/>
        <v>2017-05-15</v>
      </c>
      <c r="L21" s="8" t="str">
        <f t="shared" ca="1" si="6"/>
        <v>2017-05-21</v>
      </c>
    </row>
    <row r="22" spans="1:12" x14ac:dyDescent="0.3">
      <c r="A22" s="8" t="s">
        <v>5668</v>
      </c>
      <c r="B22" s="8">
        <f t="shared" si="0"/>
        <v>600020</v>
      </c>
      <c r="C22" s="1" t="s">
        <v>6903</v>
      </c>
      <c r="D22" s="9">
        <f ca="1">VLOOKUP(C22,Project.csv!E:Q,13,FALSE)</f>
        <v>200069</v>
      </c>
      <c r="E22" s="8" t="str">
        <f t="shared" ca="1" si="1"/>
        <v>rg:{'id':'200069'}</v>
      </c>
      <c r="F22" s="9" t="s">
        <v>7057</v>
      </c>
      <c r="G22" s="9" t="str">
        <f ca="1">INDEX(DistrictEquipmentTypes.csv!F:F,RANDBETWEEN(2,COUNTA(DistrictEquipmentTypes.csv!D:D)),1)</f>
        <v>200009</v>
      </c>
      <c r="H22" s="8" t="str">
        <f t="shared" ca="1" si="2"/>
        <v>rg:{ 'id': '200009'}</v>
      </c>
      <c r="I22" s="8">
        <f t="shared" ca="1" si="3"/>
        <v>1</v>
      </c>
      <c r="J22" s="8">
        <f t="shared" ca="1" si="4"/>
        <v>99</v>
      </c>
      <c r="K22" s="8" t="str">
        <f t="shared" ca="1" si="5"/>
        <v>2017-03-26</v>
      </c>
      <c r="L22" s="8" t="str">
        <f t="shared" ca="1" si="6"/>
        <v>2017-04-07</v>
      </c>
    </row>
    <row r="23" spans="1:12" x14ac:dyDescent="0.3">
      <c r="A23" s="8" t="s">
        <v>5668</v>
      </c>
      <c r="B23" s="8">
        <f t="shared" si="0"/>
        <v>600021</v>
      </c>
      <c r="C23" s="1" t="s">
        <v>6953</v>
      </c>
      <c r="D23" s="9">
        <f ca="1">VLOOKUP(C23,Project.csv!E:Q,13,FALSE)</f>
        <v>200002</v>
      </c>
      <c r="E23" s="8" t="str">
        <f t="shared" ca="1" si="1"/>
        <v>rg:{'id':'200002'}</v>
      </c>
      <c r="F23" s="9" t="s">
        <v>7057</v>
      </c>
      <c r="G23" s="9" t="str">
        <f ca="1">INDEX(DistrictEquipmentTypes.csv!F:F,RANDBETWEEN(2,COUNTA(DistrictEquipmentTypes.csv!D:D)),1)</f>
        <v>200004</v>
      </c>
      <c r="H23" s="8" t="str">
        <f t="shared" ca="1" si="2"/>
        <v>rg:{ 'id': '200004'}</v>
      </c>
      <c r="I23" s="8">
        <f t="shared" ca="1" si="3"/>
        <v>1</v>
      </c>
      <c r="J23" s="8">
        <f t="shared" ca="1" si="4"/>
        <v>79</v>
      </c>
      <c r="K23" s="8" t="str">
        <f t="shared" ca="1" si="5"/>
        <v>2017-05-15</v>
      </c>
      <c r="L23" s="8" t="str">
        <f t="shared" ca="1" si="6"/>
        <v>2017-05-24</v>
      </c>
    </row>
    <row r="24" spans="1:12" x14ac:dyDescent="0.3">
      <c r="A24" s="8" t="s">
        <v>5668</v>
      </c>
      <c r="B24" s="8">
        <f t="shared" si="0"/>
        <v>600022</v>
      </c>
      <c r="C24" s="1" t="s">
        <v>6895</v>
      </c>
      <c r="D24" s="9">
        <f ca="1">VLOOKUP(C24,Project.csv!E:Q,13,FALSE)</f>
        <v>200067</v>
      </c>
      <c r="E24" s="8" t="str">
        <f t="shared" ca="1" si="1"/>
        <v>rg:{'id':'200067'}</v>
      </c>
      <c r="F24" s="9" t="s">
        <v>7057</v>
      </c>
      <c r="G24" s="9" t="str">
        <f ca="1">INDEX(DistrictEquipmentTypes.csv!F:F,RANDBETWEEN(2,COUNTA(DistrictEquipmentTypes.csv!D:D)),1)</f>
        <v>200006</v>
      </c>
      <c r="H24" s="8" t="str">
        <f t="shared" ca="1" si="2"/>
        <v>rg:{ 'id': '200006'}</v>
      </c>
      <c r="I24" s="8">
        <f t="shared" ca="1" si="3"/>
        <v>1</v>
      </c>
      <c r="J24" s="8">
        <f t="shared" ca="1" si="4"/>
        <v>74</v>
      </c>
      <c r="K24" s="8" t="str">
        <f t="shared" ca="1" si="5"/>
        <v>2017-05-11</v>
      </c>
      <c r="L24" s="8" t="str">
        <f t="shared" ca="1" si="6"/>
        <v>2017-05-20</v>
      </c>
    </row>
    <row r="25" spans="1:12" x14ac:dyDescent="0.3">
      <c r="A25" s="8" t="s">
        <v>5668</v>
      </c>
      <c r="B25" s="8">
        <f t="shared" si="0"/>
        <v>600023</v>
      </c>
      <c r="C25" s="1" t="s">
        <v>6954</v>
      </c>
      <c r="D25" s="9">
        <f ca="1">VLOOKUP(C25,Project.csv!E:Q,13,FALSE)</f>
        <v>200014</v>
      </c>
      <c r="E25" s="8" t="str">
        <f t="shared" ca="1" si="1"/>
        <v>rg:{'id':'200014'}</v>
      </c>
      <c r="F25" s="9" t="s">
        <v>7057</v>
      </c>
      <c r="G25" s="9" t="str">
        <f ca="1">INDEX(DistrictEquipmentTypes.csv!F:F,RANDBETWEEN(2,COUNTA(DistrictEquipmentTypes.csv!D:D)),1)</f>
        <v>200007</v>
      </c>
      <c r="H25" s="8" t="str">
        <f t="shared" ca="1" si="2"/>
        <v>rg:{ 'id': '200007'}</v>
      </c>
      <c r="I25" s="8">
        <f t="shared" ca="1" si="3"/>
        <v>1</v>
      </c>
      <c r="J25" s="8">
        <f t="shared" ca="1" si="4"/>
        <v>8</v>
      </c>
      <c r="K25" s="8" t="str">
        <f t="shared" ca="1" si="5"/>
        <v>2017-05-01</v>
      </c>
      <c r="L25" s="8" t="str">
        <f t="shared" ca="1" si="6"/>
        <v>2017-05-02</v>
      </c>
    </row>
    <row r="26" spans="1:12" x14ac:dyDescent="0.3">
      <c r="A26" s="8" t="s">
        <v>5668</v>
      </c>
      <c r="B26" s="8">
        <f t="shared" si="0"/>
        <v>600024</v>
      </c>
      <c r="C26" s="1" t="s">
        <v>6955</v>
      </c>
      <c r="D26" s="9">
        <f ca="1">VLOOKUP(C26,Project.csv!E:Q,13,FALSE)</f>
        <v>200066</v>
      </c>
      <c r="E26" s="8" t="str">
        <f t="shared" ca="1" si="1"/>
        <v>rg:{'id':'200066'}</v>
      </c>
      <c r="F26" s="9" t="s">
        <v>7057</v>
      </c>
      <c r="G26" s="9" t="str">
        <f ca="1">INDEX(DistrictEquipmentTypes.csv!F:F,RANDBETWEEN(2,COUNTA(DistrictEquipmentTypes.csv!D:D)),1)</f>
        <v>200006</v>
      </c>
      <c r="H26" s="8" t="str">
        <f t="shared" ca="1" si="2"/>
        <v>rg:{ 'id': '200006'}</v>
      </c>
      <c r="I26" s="8">
        <f t="shared" ca="1" si="3"/>
        <v>1</v>
      </c>
      <c r="J26" s="8">
        <f t="shared" ca="1" si="4"/>
        <v>57</v>
      </c>
      <c r="K26" s="8" t="str">
        <f t="shared" ca="1" si="5"/>
        <v>2017-05-13</v>
      </c>
      <c r="L26" s="8" t="str">
        <f t="shared" ca="1" si="6"/>
        <v>2017-05-20</v>
      </c>
    </row>
    <row r="27" spans="1:12" x14ac:dyDescent="0.3">
      <c r="A27" s="8" t="s">
        <v>5668</v>
      </c>
      <c r="B27" s="8">
        <f t="shared" si="0"/>
        <v>600025</v>
      </c>
      <c r="C27" s="1" t="s">
        <v>6914</v>
      </c>
      <c r="D27" s="9">
        <f ca="1">VLOOKUP(C27,Project.csv!E:Q,13,FALSE)</f>
        <v>200040</v>
      </c>
      <c r="E27" s="8" t="str">
        <f t="shared" ca="1" si="1"/>
        <v>rg:{'id':'200040'}</v>
      </c>
      <c r="F27" s="9" t="s">
        <v>7057</v>
      </c>
      <c r="G27" s="9" t="str">
        <f ca="1">INDEX(DistrictEquipmentTypes.csv!F:F,RANDBETWEEN(2,COUNTA(DistrictEquipmentTypes.csv!D:D)),1)</f>
        <v>200005</v>
      </c>
      <c r="H27" s="8" t="str">
        <f t="shared" ca="1" si="2"/>
        <v>rg:{ 'id': '200005'}</v>
      </c>
      <c r="I27" s="8">
        <f t="shared" ca="1" si="3"/>
        <v>1</v>
      </c>
      <c r="J27" s="8">
        <f t="shared" ca="1" si="4"/>
        <v>27</v>
      </c>
      <c r="K27" s="8" t="str">
        <f t="shared" ca="1" si="5"/>
        <v>2017-04-01</v>
      </c>
      <c r="L27" s="8" t="str">
        <f t="shared" ca="1" si="6"/>
        <v>2017-04-04</v>
      </c>
    </row>
    <row r="28" spans="1:12" x14ac:dyDescent="0.3">
      <c r="A28" s="8" t="s">
        <v>5668</v>
      </c>
      <c r="B28" s="8">
        <f t="shared" si="0"/>
        <v>600026</v>
      </c>
      <c r="C28" s="1" t="s">
        <v>6956</v>
      </c>
      <c r="D28" s="9">
        <f ca="1">VLOOKUP(C28,Project.csv!E:Q,13,FALSE)</f>
        <v>200042</v>
      </c>
      <c r="E28" s="8" t="str">
        <f t="shared" ca="1" si="1"/>
        <v>rg:{'id':'200042'}</v>
      </c>
      <c r="F28" s="9" t="s">
        <v>7057</v>
      </c>
      <c r="G28" s="9" t="str">
        <f ca="1">INDEX(DistrictEquipmentTypes.csv!F:F,RANDBETWEEN(2,COUNTA(DistrictEquipmentTypes.csv!D:D)),1)</f>
        <v>200001</v>
      </c>
      <c r="H28" s="8" t="str">
        <f t="shared" ca="1" si="2"/>
        <v>rg:{ 'id': '200001'}</v>
      </c>
      <c r="I28" s="8">
        <f t="shared" ca="1" si="3"/>
        <v>1</v>
      </c>
      <c r="J28" s="8">
        <f t="shared" ca="1" si="4"/>
        <v>97</v>
      </c>
      <c r="K28" s="8" t="str">
        <f t="shared" ca="1" si="5"/>
        <v>2017-05-15</v>
      </c>
      <c r="L28" s="8" t="str">
        <f t="shared" ca="1" si="6"/>
        <v>2017-05-27</v>
      </c>
    </row>
    <row r="29" spans="1:12" x14ac:dyDescent="0.3">
      <c r="A29" s="8" t="s">
        <v>5668</v>
      </c>
      <c r="B29" s="8">
        <f t="shared" si="0"/>
        <v>600027</v>
      </c>
      <c r="C29" s="1" t="s">
        <v>6929</v>
      </c>
      <c r="D29" s="9">
        <f ca="1">VLOOKUP(C29,Project.csv!E:Q,13,FALSE)</f>
        <v>200020</v>
      </c>
      <c r="E29" s="8" t="str">
        <f t="shared" ca="1" si="1"/>
        <v>rg:{'id':'200020'}</v>
      </c>
      <c r="F29" s="9" t="s">
        <v>7057</v>
      </c>
      <c r="G29" s="9" t="str">
        <f ca="1">INDEX(DistrictEquipmentTypes.csv!F:F,RANDBETWEEN(2,COUNTA(DistrictEquipmentTypes.csv!D:D)),1)</f>
        <v>200005</v>
      </c>
      <c r="H29" s="8" t="str">
        <f t="shared" ca="1" si="2"/>
        <v>rg:{ 'id': '200005'}</v>
      </c>
      <c r="I29" s="8">
        <f t="shared" ca="1" si="3"/>
        <v>1</v>
      </c>
      <c r="J29" s="8">
        <f t="shared" ca="1" si="4"/>
        <v>27</v>
      </c>
      <c r="K29" s="8" t="str">
        <f t="shared" ca="1" si="5"/>
        <v>2017-05-14</v>
      </c>
      <c r="L29" s="8" t="str">
        <f t="shared" ca="1" si="6"/>
        <v>2017-05-17</v>
      </c>
    </row>
    <row r="30" spans="1:12" x14ac:dyDescent="0.3">
      <c r="A30" s="8" t="s">
        <v>5668</v>
      </c>
      <c r="B30" s="8">
        <f t="shared" si="0"/>
        <v>600028</v>
      </c>
      <c r="C30" s="1" t="s">
        <v>6957</v>
      </c>
      <c r="D30" s="9">
        <f ca="1">VLOOKUP(C30,Project.csv!E:Q,13,FALSE)</f>
        <v>200051</v>
      </c>
      <c r="E30" s="8" t="str">
        <f t="shared" ca="1" si="1"/>
        <v>rg:{'id':'200051'}</v>
      </c>
      <c r="F30" s="9" t="s">
        <v>7057</v>
      </c>
      <c r="G30" s="9" t="str">
        <f ca="1">INDEX(DistrictEquipmentTypes.csv!F:F,RANDBETWEEN(2,COUNTA(DistrictEquipmentTypes.csv!D:D)),1)</f>
        <v>200000</v>
      </c>
      <c r="H30" s="8" t="str">
        <f t="shared" ca="1" si="2"/>
        <v>rg:{ 'id': '200000'}</v>
      </c>
      <c r="I30" s="8">
        <f t="shared" ca="1" si="3"/>
        <v>1</v>
      </c>
      <c r="J30" s="8">
        <f t="shared" ca="1" si="4"/>
        <v>30</v>
      </c>
      <c r="K30" s="8" t="str">
        <f t="shared" ca="1" si="5"/>
        <v>2017-04-08</v>
      </c>
      <c r="L30" s="8" t="str">
        <f t="shared" ca="1" si="6"/>
        <v>2017-04-11</v>
      </c>
    </row>
    <row r="31" spans="1:12" x14ac:dyDescent="0.3">
      <c r="A31" s="8" t="s">
        <v>5668</v>
      </c>
      <c r="B31" s="8">
        <f t="shared" si="0"/>
        <v>600029</v>
      </c>
      <c r="C31" s="1" t="s">
        <v>6958</v>
      </c>
      <c r="D31" s="9">
        <f ca="1">VLOOKUP(C31,Project.csv!E:Q,13,FALSE)</f>
        <v>200059</v>
      </c>
      <c r="E31" s="8" t="str">
        <f t="shared" ca="1" si="1"/>
        <v>rg:{'id':'200059'}</v>
      </c>
      <c r="F31" s="9" t="s">
        <v>7057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43</v>
      </c>
      <c r="K31" s="8" t="str">
        <f t="shared" ca="1" si="5"/>
        <v>2017-04-23</v>
      </c>
      <c r="L31" s="8" t="str">
        <f t="shared" ca="1" si="6"/>
        <v>2017-04-28</v>
      </c>
    </row>
    <row r="32" spans="1:12" x14ac:dyDescent="0.3">
      <c r="A32" s="8" t="s">
        <v>5668</v>
      </c>
      <c r="B32" s="8">
        <f t="shared" si="0"/>
        <v>600030</v>
      </c>
      <c r="C32" s="1" t="s">
        <v>6959</v>
      </c>
      <c r="D32" s="9">
        <f ca="1">VLOOKUP(C32,Project.csv!E:Q,13,FALSE)</f>
        <v>200076</v>
      </c>
      <c r="E32" s="8" t="str">
        <f t="shared" ca="1" si="1"/>
        <v>rg:{'id':'200076'}</v>
      </c>
      <c r="F32" s="9" t="s">
        <v>7057</v>
      </c>
      <c r="G32" s="9" t="str">
        <f ca="1">INDEX(DistrictEquipmentTypes.csv!F:F,RANDBETWEEN(2,COUNTA(DistrictEquipmentTypes.csv!D:D)),1)</f>
        <v>200006</v>
      </c>
      <c r="H32" s="8" t="str">
        <f t="shared" ca="1" si="2"/>
        <v>rg:{ 'id': '200006'}</v>
      </c>
      <c r="I32" s="8">
        <f t="shared" ca="1" si="3"/>
        <v>5</v>
      </c>
      <c r="J32" s="8">
        <f t="shared" ca="1" si="4"/>
        <v>19</v>
      </c>
      <c r="K32" s="8" t="str">
        <f t="shared" ca="1" si="5"/>
        <v>2017-03-27</v>
      </c>
      <c r="L32" s="8" t="str">
        <f t="shared" ca="1" si="6"/>
        <v>2017-04-07</v>
      </c>
    </row>
    <row r="33" spans="1:12" x14ac:dyDescent="0.3">
      <c r="A33" s="8" t="s">
        <v>5668</v>
      </c>
      <c r="B33" s="8">
        <f t="shared" si="0"/>
        <v>600031</v>
      </c>
      <c r="C33" s="1" t="s">
        <v>6960</v>
      </c>
      <c r="D33" s="9">
        <f ca="1">VLOOKUP(C33,Project.csv!E:Q,13,FALSE)</f>
        <v>200018</v>
      </c>
      <c r="E33" s="8" t="str">
        <f t="shared" ca="1" si="1"/>
        <v>rg:{'id':'200018'}</v>
      </c>
      <c r="F33" s="9" t="s">
        <v>7057</v>
      </c>
      <c r="G33" s="9" t="str">
        <f ca="1">INDEX(DistrictEquipmentTypes.csv!F:F,RANDBETWEEN(2,COUNTA(DistrictEquipmentTypes.csv!D:D)),1)</f>
        <v>200009</v>
      </c>
      <c r="H33" s="8" t="str">
        <f t="shared" ca="1" si="2"/>
        <v>rg:{ 'id': '200009'}</v>
      </c>
      <c r="I33" s="8">
        <f t="shared" ca="1" si="3"/>
        <v>1</v>
      </c>
      <c r="J33" s="8">
        <f t="shared" ca="1" si="4"/>
        <v>55</v>
      </c>
      <c r="K33" s="8" t="str">
        <f t="shared" ca="1" si="5"/>
        <v>2017-04-17</v>
      </c>
      <c r="L33" s="8" t="str">
        <f t="shared" ca="1" si="6"/>
        <v>2017-04-23</v>
      </c>
    </row>
    <row r="34" spans="1:12" x14ac:dyDescent="0.3">
      <c r="A34" s="8" t="s">
        <v>5668</v>
      </c>
      <c r="B34" s="8">
        <f t="shared" si="0"/>
        <v>600032</v>
      </c>
      <c r="C34" s="1" t="s">
        <v>6961</v>
      </c>
      <c r="D34" s="9">
        <f ca="1">VLOOKUP(C34,Project.csv!E:Q,13,FALSE)</f>
        <v>200019</v>
      </c>
      <c r="E34" s="8" t="str">
        <f t="shared" ca="1" si="1"/>
        <v>rg:{'id':'200019'}</v>
      </c>
      <c r="F34" s="9" t="s">
        <v>7057</v>
      </c>
      <c r="G34" s="9" t="str">
        <f ca="1">INDEX(DistrictEquipmentTypes.csv!F:F,RANDBETWEEN(2,COUNTA(DistrictEquipmentTypes.csv!D:D)),1)</f>
        <v>200004</v>
      </c>
      <c r="H34" s="8" t="str">
        <f t="shared" ca="1" si="2"/>
        <v>rg:{ 'id': '200004'}</v>
      </c>
      <c r="I34" s="8">
        <f t="shared" ca="1" si="3"/>
        <v>1</v>
      </c>
      <c r="J34" s="8">
        <f t="shared" ca="1" si="4"/>
        <v>38</v>
      </c>
      <c r="K34" s="8" t="str">
        <f t="shared" ca="1" si="5"/>
        <v>2017-04-27</v>
      </c>
      <c r="L34" s="8" t="str">
        <f t="shared" ca="1" si="6"/>
        <v>2017-05-01</v>
      </c>
    </row>
    <row r="35" spans="1:12" x14ac:dyDescent="0.3">
      <c r="A35" s="8" t="s">
        <v>5668</v>
      </c>
      <c r="B35" s="8">
        <f t="shared" si="0"/>
        <v>600033</v>
      </c>
      <c r="C35" s="1" t="s">
        <v>6905</v>
      </c>
      <c r="D35" s="9">
        <f ca="1">VLOOKUP(C35,Project.csv!E:Q,13,FALSE)</f>
        <v>200051</v>
      </c>
      <c r="E35" s="8" t="str">
        <f t="shared" ca="1" si="1"/>
        <v>rg:{'id':'200051'}</v>
      </c>
      <c r="F35" s="9" t="s">
        <v>7057</v>
      </c>
      <c r="G35" s="9" t="str">
        <f ca="1">INDEX(DistrictEquipmentTypes.csv!F:F,RANDBETWEEN(2,COUNTA(DistrictEquipmentTypes.csv!D:D)),1)</f>
        <v>200006</v>
      </c>
      <c r="H35" s="8" t="str">
        <f t="shared" ca="1" si="2"/>
        <v>rg:{ 'id': '200006'}</v>
      </c>
      <c r="I35" s="8">
        <f t="shared" ca="1" si="3"/>
        <v>1</v>
      </c>
      <c r="J35" s="8">
        <f t="shared" ca="1" si="4"/>
        <v>28</v>
      </c>
      <c r="K35" s="8" t="str">
        <f t="shared" ca="1" si="5"/>
        <v>2017-05-13</v>
      </c>
      <c r="L35" s="8" t="str">
        <f t="shared" ca="1" si="6"/>
        <v>2017-05-16</v>
      </c>
    </row>
    <row r="36" spans="1:12" x14ac:dyDescent="0.3">
      <c r="A36" s="8" t="s">
        <v>5668</v>
      </c>
      <c r="B36" s="8">
        <f t="shared" si="0"/>
        <v>600034</v>
      </c>
      <c r="C36" s="1" t="s">
        <v>6911</v>
      </c>
      <c r="D36" s="9">
        <f ca="1">VLOOKUP(C36,Project.csv!E:Q,13,FALSE)</f>
        <v>200032</v>
      </c>
      <c r="E36" s="8" t="str">
        <f t="shared" ca="1" si="1"/>
        <v>rg:{'id':'200032'}</v>
      </c>
      <c r="F36" s="9" t="s">
        <v>7058</v>
      </c>
      <c r="G36" s="9" t="str">
        <f ca="1">INDEX(DistrictEquipmentTypes.csv!F:F,RANDBETWEEN(2,COUNTA(DistrictEquipmentTypes.csv!D:D)),1)</f>
        <v>200009</v>
      </c>
      <c r="H36" s="8" t="str">
        <f t="shared" ca="1" si="2"/>
        <v>rg:{ 'id': '200009'}</v>
      </c>
      <c r="I36" s="8">
        <f t="shared" ca="1" si="3"/>
        <v>1</v>
      </c>
      <c r="J36" s="8">
        <f t="shared" ca="1" si="4"/>
        <v>97</v>
      </c>
      <c r="K36" s="8" t="str">
        <f t="shared" ca="1" si="5"/>
        <v>2017-03-29</v>
      </c>
      <c r="L36" s="8" t="str">
        <f t="shared" ca="1" si="6"/>
        <v>2017-04-10</v>
      </c>
    </row>
    <row r="37" spans="1:12" x14ac:dyDescent="0.3">
      <c r="A37" s="8" t="s">
        <v>5668</v>
      </c>
      <c r="B37" s="8">
        <f t="shared" si="0"/>
        <v>600035</v>
      </c>
      <c r="C37" s="1" t="s">
        <v>6962</v>
      </c>
      <c r="D37" s="9">
        <f ca="1">VLOOKUP(C37,Project.csv!E:Q,13,FALSE)</f>
        <v>200051</v>
      </c>
      <c r="E37" s="8" t="str">
        <f t="shared" ca="1" si="1"/>
        <v>rg:{'id':'200051'}</v>
      </c>
      <c r="F37" s="9" t="s">
        <v>7058</v>
      </c>
      <c r="G37" s="9" t="str">
        <f ca="1">INDEX(DistrictEquipmentTypes.csv!F:F,RANDBETWEEN(2,COUNTA(DistrictEquipmentTypes.csv!D:D)),1)</f>
        <v>200003</v>
      </c>
      <c r="H37" s="8" t="str">
        <f t="shared" ca="1" si="2"/>
        <v>rg:{ 'id': '200003'}</v>
      </c>
      <c r="I37" s="8">
        <f t="shared" ca="1" si="3"/>
        <v>1</v>
      </c>
      <c r="J37" s="8">
        <f t="shared" ca="1" si="4"/>
        <v>24</v>
      </c>
      <c r="K37" s="8" t="str">
        <f t="shared" ca="1" si="5"/>
        <v>2017-04-29</v>
      </c>
      <c r="L37" s="8" t="str">
        <f t="shared" ca="1" si="6"/>
        <v>2017-05-02</v>
      </c>
    </row>
    <row r="38" spans="1:12" x14ac:dyDescent="0.3">
      <c r="A38" s="8" t="s">
        <v>5668</v>
      </c>
      <c r="B38" s="8">
        <f t="shared" si="0"/>
        <v>600036</v>
      </c>
      <c r="C38" s="1" t="s">
        <v>6963</v>
      </c>
      <c r="D38" s="9">
        <f ca="1">VLOOKUP(C38,Project.csv!E:Q,13,FALSE)</f>
        <v>200006</v>
      </c>
      <c r="E38" s="8" t="str">
        <f t="shared" ca="1" si="1"/>
        <v>rg:{'id':'200006'}</v>
      </c>
      <c r="F38" s="9" t="s">
        <v>7057</v>
      </c>
      <c r="G38" s="9" t="str">
        <f ca="1">INDEX(DistrictEquipmentTypes.csv!F:F,RANDBETWEEN(2,COUNTA(DistrictEquipmentTypes.csv!D:D)),1)</f>
        <v>200002</v>
      </c>
      <c r="H38" s="8" t="str">
        <f t="shared" ca="1" si="2"/>
        <v>rg:{ 'id': '200002'}</v>
      </c>
      <c r="I38" s="8">
        <f t="shared" ca="1" si="3"/>
        <v>1</v>
      </c>
      <c r="J38" s="8">
        <f t="shared" ca="1" si="4"/>
        <v>9</v>
      </c>
      <c r="K38" s="8" t="str">
        <f t="shared" ca="1" si="5"/>
        <v>2017-05-08</v>
      </c>
      <c r="L38" s="8" t="str">
        <f t="shared" ca="1" si="6"/>
        <v>2017-05-09</v>
      </c>
    </row>
    <row r="39" spans="1:12" x14ac:dyDescent="0.3">
      <c r="A39" s="8" t="s">
        <v>5668</v>
      </c>
      <c r="B39" s="8">
        <f t="shared" si="0"/>
        <v>600037</v>
      </c>
      <c r="C39" s="1" t="s">
        <v>6964</v>
      </c>
      <c r="D39" s="9">
        <f ca="1">VLOOKUP(C39,Project.csv!E:Q,13,FALSE)</f>
        <v>200071</v>
      </c>
      <c r="E39" s="8" t="str">
        <f t="shared" ca="1" si="1"/>
        <v>rg:{'id':'200071'}</v>
      </c>
      <c r="F39" s="9" t="s">
        <v>7057</v>
      </c>
      <c r="G39" s="9" t="str">
        <f ca="1">INDEX(DistrictEquipmentTypes.csv!F:F,RANDBETWEEN(2,COUNTA(DistrictEquipmentTypes.csv!D:D)),1)</f>
        <v>200004</v>
      </c>
      <c r="H39" s="8" t="str">
        <f t="shared" ca="1" si="2"/>
        <v>rg:{ 'id': '200004'}</v>
      </c>
      <c r="I39" s="8">
        <f t="shared" ca="1" si="3"/>
        <v>2</v>
      </c>
      <c r="J39" s="8">
        <f t="shared" ca="1" si="4"/>
        <v>30</v>
      </c>
      <c r="K39" s="8" t="str">
        <f t="shared" ca="1" si="5"/>
        <v>2017-03-27</v>
      </c>
      <c r="L39" s="8" t="str">
        <f t="shared" ca="1" si="6"/>
        <v>2017-04-03</v>
      </c>
    </row>
    <row r="40" spans="1:12" x14ac:dyDescent="0.3">
      <c r="A40" s="8" t="s">
        <v>5668</v>
      </c>
      <c r="B40" s="8">
        <f t="shared" si="0"/>
        <v>600038</v>
      </c>
      <c r="C40" s="1" t="s">
        <v>6931</v>
      </c>
      <c r="D40" s="9">
        <f ca="1">VLOOKUP(C40,Project.csv!E:Q,13,FALSE)</f>
        <v>200019</v>
      </c>
      <c r="E40" s="8" t="str">
        <f t="shared" ca="1" si="1"/>
        <v>rg:{'id':'200019'}</v>
      </c>
      <c r="F40" s="9" t="s">
        <v>7057</v>
      </c>
      <c r="G40" s="9" t="str">
        <f ca="1">INDEX(DistrictEquipmentTypes.csv!F:F,RANDBETWEEN(2,COUNTA(DistrictEquipmentTypes.csv!D:D)),1)</f>
        <v>200005</v>
      </c>
      <c r="H40" s="8" t="str">
        <f t="shared" ca="1" si="2"/>
        <v>rg:{ 'id': '200005'}</v>
      </c>
      <c r="I40" s="8">
        <f t="shared" ca="1" si="3"/>
        <v>1</v>
      </c>
      <c r="J40" s="8">
        <f t="shared" ca="1" si="4"/>
        <v>49</v>
      </c>
      <c r="K40" s="8" t="str">
        <f t="shared" ca="1" si="5"/>
        <v>2017-05-06</v>
      </c>
      <c r="L40" s="8" t="str">
        <f t="shared" ca="1" si="6"/>
        <v>2017-05-12</v>
      </c>
    </row>
    <row r="41" spans="1:12" x14ac:dyDescent="0.3">
      <c r="A41" s="8" t="s">
        <v>5668</v>
      </c>
      <c r="B41" s="8">
        <f t="shared" si="0"/>
        <v>600039</v>
      </c>
      <c r="C41" s="1" t="s">
        <v>6926</v>
      </c>
      <c r="D41" s="9">
        <f ca="1">VLOOKUP(C41,Project.csv!E:Q,13,FALSE)</f>
        <v>200017</v>
      </c>
      <c r="E41" s="8" t="str">
        <f t="shared" ca="1" si="1"/>
        <v>rg:{'id':'200017'}</v>
      </c>
      <c r="F41" s="9" t="s">
        <v>7057</v>
      </c>
      <c r="G41" s="9" t="str">
        <f ca="1">INDEX(DistrictEquipmentTypes.csv!F:F,RANDBETWEEN(2,COUNTA(DistrictEquipmentTypes.csv!D:D)),1)</f>
        <v>200002</v>
      </c>
      <c r="H41" s="8" t="str">
        <f t="shared" ca="1" si="2"/>
        <v>rg:{ 'id': '200002'}</v>
      </c>
      <c r="I41" s="8">
        <f t="shared" ca="1" si="3"/>
        <v>1</v>
      </c>
      <c r="J41" s="8">
        <f t="shared" ca="1" si="4"/>
        <v>48</v>
      </c>
      <c r="K41" s="8" t="str">
        <f t="shared" ca="1" si="5"/>
        <v>2017-05-15</v>
      </c>
      <c r="L41" s="8" t="str">
        <f t="shared" ca="1" si="6"/>
        <v>2017-05-21</v>
      </c>
    </row>
    <row r="42" spans="1:12" x14ac:dyDescent="0.3">
      <c r="A42" s="8" t="s">
        <v>5668</v>
      </c>
      <c r="B42" s="8">
        <f t="shared" si="0"/>
        <v>600040</v>
      </c>
      <c r="C42" s="1" t="s">
        <v>6933</v>
      </c>
      <c r="D42" s="9">
        <f ca="1">VLOOKUP(C42,Project.csv!E:Q,13,FALSE)</f>
        <v>200059</v>
      </c>
      <c r="E42" s="8" t="str">
        <f t="shared" ca="1" si="1"/>
        <v>rg:{'id':'200059'}</v>
      </c>
      <c r="F42" s="9" t="s">
        <v>7057</v>
      </c>
      <c r="G42" s="9" t="str">
        <f ca="1">INDEX(DistrictEquipmentTypes.csv!F:F,RANDBETWEEN(2,COUNTA(DistrictEquipmentTypes.csv!D:D)),1)</f>
        <v>200006</v>
      </c>
      <c r="H42" s="8" t="str">
        <f t="shared" ca="1" si="2"/>
        <v>rg:{ 'id': '200006'}</v>
      </c>
      <c r="I42" s="8">
        <f t="shared" ca="1" si="3"/>
        <v>1</v>
      </c>
      <c r="J42" s="8">
        <f t="shared" ca="1" si="4"/>
        <v>37</v>
      </c>
      <c r="K42" s="8" t="str">
        <f t="shared" ca="1" si="5"/>
        <v>2017-04-04</v>
      </c>
      <c r="L42" s="8" t="str">
        <f t="shared" ca="1" si="6"/>
        <v>2017-04-08</v>
      </c>
    </row>
    <row r="43" spans="1:12" x14ac:dyDescent="0.3">
      <c r="A43" s="8" t="s">
        <v>5668</v>
      </c>
      <c r="B43" s="8">
        <f t="shared" si="0"/>
        <v>600041</v>
      </c>
      <c r="C43" s="1" t="s">
        <v>6965</v>
      </c>
      <c r="D43" s="9">
        <f ca="1">VLOOKUP(C43,Project.csv!E:Q,13,FALSE)</f>
        <v>200002</v>
      </c>
      <c r="E43" s="8" t="str">
        <f t="shared" ca="1" si="1"/>
        <v>rg:{'id':'200002'}</v>
      </c>
      <c r="F43" s="9" t="s">
        <v>7057</v>
      </c>
      <c r="G43" s="9" t="str">
        <f ca="1">INDEX(DistrictEquipmentTypes.csv!F:F,RANDBETWEEN(2,COUNTA(DistrictEquipmentTypes.csv!D:D)),1)</f>
        <v>200003</v>
      </c>
      <c r="H43" s="8" t="str">
        <f t="shared" ca="1" si="2"/>
        <v>rg:{ 'id': '200003'}</v>
      </c>
      <c r="I43" s="8">
        <f t="shared" ca="1" si="3"/>
        <v>1</v>
      </c>
      <c r="J43" s="8">
        <f t="shared" ca="1" si="4"/>
        <v>51</v>
      </c>
      <c r="K43" s="8" t="str">
        <f t="shared" ca="1" si="5"/>
        <v>2017-04-18</v>
      </c>
      <c r="L43" s="8" t="str">
        <f t="shared" ca="1" si="6"/>
        <v>2017-04-24</v>
      </c>
    </row>
    <row r="44" spans="1:12" x14ac:dyDescent="0.3">
      <c r="A44" s="8" t="s">
        <v>5668</v>
      </c>
      <c r="B44" s="8">
        <f t="shared" si="0"/>
        <v>600042</v>
      </c>
      <c r="C44" s="1" t="s">
        <v>6916</v>
      </c>
      <c r="D44" s="9">
        <f ca="1">VLOOKUP(C44,Project.csv!E:Q,13,FALSE)</f>
        <v>200083</v>
      </c>
      <c r="E44" s="8" t="str">
        <f t="shared" ca="1" si="1"/>
        <v>rg:{'id':'200083'}</v>
      </c>
      <c r="F44" s="9" t="s">
        <v>7058</v>
      </c>
      <c r="G44" s="9" t="str">
        <f ca="1">INDEX(DistrictEquipmentTypes.csv!F:F,RANDBETWEEN(2,COUNTA(DistrictEquipmentTypes.csv!D:D)),1)</f>
        <v>200006</v>
      </c>
      <c r="H44" s="8" t="str">
        <f t="shared" ca="1" si="2"/>
        <v>rg:{ 'id': '200006'}</v>
      </c>
      <c r="I44" s="8">
        <f t="shared" ca="1" si="3"/>
        <v>1</v>
      </c>
      <c r="J44" s="8">
        <f t="shared" ca="1" si="4"/>
        <v>15</v>
      </c>
      <c r="K44" s="8" t="str">
        <f t="shared" ca="1" si="5"/>
        <v>2017-03-26</v>
      </c>
      <c r="L44" s="8" t="str">
        <f t="shared" ca="1" si="6"/>
        <v>2017-03-27</v>
      </c>
    </row>
    <row r="45" spans="1:12" x14ac:dyDescent="0.3">
      <c r="A45" s="8" t="s">
        <v>5668</v>
      </c>
      <c r="B45" s="8">
        <f t="shared" si="0"/>
        <v>600043</v>
      </c>
      <c r="C45" s="1" t="s">
        <v>6966</v>
      </c>
      <c r="D45" s="9">
        <f ca="1">VLOOKUP(C45,Project.csv!E:Q,13,FALSE)</f>
        <v>200082</v>
      </c>
      <c r="E45" s="8" t="str">
        <f t="shared" ca="1" si="1"/>
        <v>rg:{'id':'200082'}</v>
      </c>
      <c r="F45" s="9" t="s">
        <v>7057</v>
      </c>
      <c r="G45" s="9" t="str">
        <f ca="1">INDEX(DistrictEquipmentTypes.csv!F:F,RANDBETWEEN(2,COUNTA(DistrictEquipmentTypes.csv!D:D)),1)</f>
        <v>200002</v>
      </c>
      <c r="H45" s="8" t="str">
        <f t="shared" ca="1" si="2"/>
        <v>rg:{ 'id': '200002'}</v>
      </c>
      <c r="I45" s="8">
        <f t="shared" ca="1" si="3"/>
        <v>1</v>
      </c>
      <c r="J45" s="8">
        <f t="shared" ca="1" si="4"/>
        <v>98</v>
      </c>
      <c r="K45" s="8" t="str">
        <f t="shared" ca="1" si="5"/>
        <v>2017-04-21</v>
      </c>
      <c r="L45" s="8" t="str">
        <f t="shared" ca="1" si="6"/>
        <v>2017-05-03</v>
      </c>
    </row>
    <row r="46" spans="1:12" x14ac:dyDescent="0.3">
      <c r="A46" s="8" t="s">
        <v>5668</v>
      </c>
      <c r="B46" s="8">
        <f t="shared" si="0"/>
        <v>600044</v>
      </c>
      <c r="C46" s="1" t="s">
        <v>6967</v>
      </c>
      <c r="D46" s="9">
        <f ca="1">VLOOKUP(C46,Project.csv!E:Q,13,FALSE)</f>
        <v>200077</v>
      </c>
      <c r="E46" s="8" t="str">
        <f t="shared" ca="1" si="1"/>
        <v>rg:{'id':'200077'}</v>
      </c>
      <c r="F46" s="9" t="s">
        <v>7057</v>
      </c>
      <c r="G46" s="9" t="str">
        <f ca="1">INDEX(DistrictEquipmentTypes.csv!F:F,RANDBETWEEN(2,COUNTA(DistrictEquipmentTypes.csv!D:D)),1)</f>
        <v>200004</v>
      </c>
      <c r="H46" s="8" t="str">
        <f t="shared" ca="1" si="2"/>
        <v>rg:{ 'id': '200004'}</v>
      </c>
      <c r="I46" s="8">
        <f t="shared" ca="1" si="3"/>
        <v>1</v>
      </c>
      <c r="J46" s="8">
        <f t="shared" ca="1" si="4"/>
        <v>90</v>
      </c>
      <c r="K46" s="8" t="str">
        <f t="shared" ca="1" si="5"/>
        <v>2017-05-08</v>
      </c>
      <c r="L46" s="8" t="str">
        <f t="shared" ca="1" si="6"/>
        <v>2017-05-19</v>
      </c>
    </row>
    <row r="47" spans="1:12" x14ac:dyDescent="0.3">
      <c r="A47" s="8" t="s">
        <v>5668</v>
      </c>
      <c r="B47" s="8">
        <f t="shared" si="0"/>
        <v>600045</v>
      </c>
      <c r="C47" s="1" t="s">
        <v>6968</v>
      </c>
      <c r="D47" s="9">
        <f ca="1">VLOOKUP(C47,Project.csv!E:Q,13,FALSE)</f>
        <v>200061</v>
      </c>
      <c r="E47" s="8" t="str">
        <f t="shared" ca="1" si="1"/>
        <v>rg:{'id':'200061'}</v>
      </c>
      <c r="F47" s="9" t="s">
        <v>7057</v>
      </c>
      <c r="G47" s="9" t="str">
        <f ca="1">INDEX(DistrictEquipmentTypes.csv!F:F,RANDBETWEEN(2,COUNTA(DistrictEquipmentTypes.csv!D:D)),1)</f>
        <v>200004</v>
      </c>
      <c r="H47" s="8" t="str">
        <f t="shared" ca="1" si="2"/>
        <v>rg:{ 'id': '200004'}</v>
      </c>
      <c r="I47" s="8">
        <f t="shared" ca="1" si="3"/>
        <v>1</v>
      </c>
      <c r="J47" s="8">
        <f t="shared" ca="1" si="4"/>
        <v>94</v>
      </c>
      <c r="K47" s="8" t="str">
        <f t="shared" ca="1" si="5"/>
        <v>2017-04-19</v>
      </c>
      <c r="L47" s="8" t="str">
        <f t="shared" ca="1" si="6"/>
        <v>2017-04-30</v>
      </c>
    </row>
    <row r="48" spans="1:12" x14ac:dyDescent="0.3">
      <c r="A48" s="8" t="s">
        <v>5668</v>
      </c>
      <c r="B48" s="8">
        <f t="shared" si="0"/>
        <v>600046</v>
      </c>
      <c r="C48" s="1" t="s">
        <v>6969</v>
      </c>
      <c r="D48" s="9">
        <f ca="1">VLOOKUP(C48,Project.csv!E:Q,13,FALSE)</f>
        <v>200022</v>
      </c>
      <c r="E48" s="8" t="str">
        <f t="shared" ca="1" si="1"/>
        <v>rg:{'id':'200022'}</v>
      </c>
      <c r="F48" s="9" t="s">
        <v>7057</v>
      </c>
      <c r="G48" s="9" t="str">
        <f ca="1">INDEX(DistrictEquipmentTypes.csv!F:F,RANDBETWEEN(2,COUNTA(DistrictEquipmentTypes.csv!D:D)),1)</f>
        <v>200000</v>
      </c>
      <c r="H48" s="8" t="str">
        <f t="shared" ca="1" si="2"/>
        <v>rg:{ 'id': '200000'}</v>
      </c>
      <c r="I48" s="8">
        <f t="shared" ca="1" si="3"/>
        <v>1</v>
      </c>
      <c r="J48" s="8">
        <f t="shared" ca="1" si="4"/>
        <v>45</v>
      </c>
      <c r="K48" s="8" t="str">
        <f t="shared" ca="1" si="5"/>
        <v>2017-05-01</v>
      </c>
      <c r="L48" s="8" t="str">
        <f t="shared" ca="1" si="6"/>
        <v>2017-05-06</v>
      </c>
    </row>
    <row r="49" spans="1:12" x14ac:dyDescent="0.3">
      <c r="A49" s="8" t="s">
        <v>5668</v>
      </c>
      <c r="B49" s="8">
        <f t="shared" si="0"/>
        <v>600047</v>
      </c>
      <c r="C49" s="1" t="s">
        <v>6908</v>
      </c>
      <c r="D49" s="9">
        <f ca="1">VLOOKUP(C49,Project.csv!E:Q,13,FALSE)</f>
        <v>200016</v>
      </c>
      <c r="E49" s="8" t="str">
        <f t="shared" ca="1" si="1"/>
        <v>rg:{'id':'200016'}</v>
      </c>
      <c r="F49" s="9" t="s">
        <v>7057</v>
      </c>
      <c r="G49" s="9" t="str">
        <f ca="1">INDEX(DistrictEquipmentTypes.csv!F:F,RANDBETWEEN(2,COUNTA(DistrictEquipmentTypes.csv!D:D)),1)</f>
        <v>200003</v>
      </c>
      <c r="H49" s="8" t="str">
        <f t="shared" ca="1" si="2"/>
        <v>rg:{ 'id': '200003'}</v>
      </c>
      <c r="I49" s="8">
        <f t="shared" ca="1" si="3"/>
        <v>1</v>
      </c>
      <c r="J49" s="8">
        <f t="shared" ca="1" si="4"/>
        <v>73</v>
      </c>
      <c r="K49" s="8" t="str">
        <f t="shared" ca="1" si="5"/>
        <v>2017-05-04</v>
      </c>
      <c r="L49" s="8" t="str">
        <f t="shared" ca="1" si="6"/>
        <v>2017-05-13</v>
      </c>
    </row>
    <row r="50" spans="1:12" x14ac:dyDescent="0.3">
      <c r="A50" s="8" t="s">
        <v>5668</v>
      </c>
      <c r="B50" s="8">
        <f t="shared" si="0"/>
        <v>600048</v>
      </c>
      <c r="C50" s="1" t="s">
        <v>6970</v>
      </c>
      <c r="D50" s="9">
        <f ca="1">VLOOKUP(C50,Project.csv!E:Q,13,FALSE)</f>
        <v>200060</v>
      </c>
      <c r="E50" s="8" t="str">
        <f t="shared" ca="1" si="1"/>
        <v>rg:{'id':'200060'}</v>
      </c>
      <c r="F50" s="9" t="s">
        <v>7057</v>
      </c>
      <c r="G50" s="9" t="str">
        <f ca="1">INDEX(DistrictEquipmentTypes.csv!F:F,RANDBETWEEN(2,COUNTA(DistrictEquipmentTypes.csv!D:D)),1)</f>
        <v>200009</v>
      </c>
      <c r="H50" s="8" t="str">
        <f t="shared" ca="1" si="2"/>
        <v>rg:{ 'id': '200009'}</v>
      </c>
      <c r="I50" s="8">
        <f t="shared" ca="1" si="3"/>
        <v>1</v>
      </c>
      <c r="J50" s="8">
        <f t="shared" ca="1" si="4"/>
        <v>14</v>
      </c>
      <c r="K50" s="8" t="str">
        <f t="shared" ca="1" si="5"/>
        <v>2017-04-25</v>
      </c>
      <c r="L50" s="8" t="str">
        <f t="shared" ca="1" si="6"/>
        <v>2017-04-26</v>
      </c>
    </row>
    <row r="51" spans="1:12" x14ac:dyDescent="0.3">
      <c r="A51" s="8" t="s">
        <v>5668</v>
      </c>
      <c r="B51" s="8">
        <f t="shared" si="0"/>
        <v>600049</v>
      </c>
      <c r="C51" s="1" t="s">
        <v>6971</v>
      </c>
      <c r="D51" s="9">
        <f ca="1">VLOOKUP(C51,Project.csv!E:Q,13,FALSE)</f>
        <v>200016</v>
      </c>
      <c r="E51" s="8" t="str">
        <f t="shared" ca="1" si="1"/>
        <v>rg:{'id':'200016'}</v>
      </c>
      <c r="F51" s="9" t="s">
        <v>7058</v>
      </c>
      <c r="G51" s="9" t="str">
        <f ca="1">INDEX(DistrictEquipmentTypes.csv!F:F,RANDBETWEEN(2,COUNTA(DistrictEquipmentTypes.csv!D:D)),1)</f>
        <v>200006</v>
      </c>
      <c r="H51" s="8" t="str">
        <f t="shared" ca="1" si="2"/>
        <v>rg:{ 'id': '200006'}</v>
      </c>
      <c r="I51" s="8">
        <f t="shared" ca="1" si="3"/>
        <v>1</v>
      </c>
      <c r="J51" s="8">
        <f t="shared" ca="1" si="4"/>
        <v>24</v>
      </c>
      <c r="K51" s="8" t="str">
        <f t="shared" ca="1" si="5"/>
        <v>2017-05-09</v>
      </c>
      <c r="L51" s="8" t="str">
        <f t="shared" ca="1" si="6"/>
        <v>2017-05-12</v>
      </c>
    </row>
    <row r="52" spans="1:12" x14ac:dyDescent="0.3">
      <c r="A52" s="8" t="s">
        <v>5668</v>
      </c>
      <c r="B52" s="8">
        <f t="shared" si="0"/>
        <v>600050</v>
      </c>
      <c r="C52" s="1" t="s">
        <v>6972</v>
      </c>
      <c r="D52" s="9">
        <f ca="1">VLOOKUP(C52,Project.csv!E:Q,13,FALSE)</f>
        <v>200023</v>
      </c>
      <c r="E52" s="8" t="str">
        <f t="shared" ca="1" si="1"/>
        <v>rg:{'id':'200023'}</v>
      </c>
      <c r="F52" s="9" t="s">
        <v>7057</v>
      </c>
      <c r="G52" s="9" t="str">
        <f ca="1">INDEX(DistrictEquipmentTypes.csv!F:F,RANDBETWEEN(2,COUNTA(DistrictEquipmentTypes.csv!D:D)),1)</f>
        <v>200001</v>
      </c>
      <c r="H52" s="8" t="str">
        <f t="shared" ca="1" si="2"/>
        <v>rg:{ 'id': '200001'}</v>
      </c>
      <c r="I52" s="8">
        <f t="shared" ca="1" si="3"/>
        <v>1</v>
      </c>
      <c r="J52" s="8">
        <f t="shared" ca="1" si="4"/>
        <v>30</v>
      </c>
      <c r="K52" s="8" t="str">
        <f t="shared" ca="1" si="5"/>
        <v>2017-04-26</v>
      </c>
      <c r="L52" s="8" t="str">
        <f t="shared" ca="1" si="6"/>
        <v>2017-04-29</v>
      </c>
    </row>
    <row r="53" spans="1:12" x14ac:dyDescent="0.3">
      <c r="A53" s="8" t="s">
        <v>5668</v>
      </c>
      <c r="B53" s="8">
        <f t="shared" si="0"/>
        <v>600051</v>
      </c>
      <c r="C53" s="1" t="s">
        <v>6913</v>
      </c>
      <c r="D53" s="9">
        <f ca="1">VLOOKUP(C53,Project.csv!E:Q,13,FALSE)</f>
        <v>200018</v>
      </c>
      <c r="E53" s="8" t="str">
        <f t="shared" ca="1" si="1"/>
        <v>rg:{'id':'200018'}</v>
      </c>
      <c r="F53" s="9" t="s">
        <v>7057</v>
      </c>
      <c r="G53" s="9" t="str">
        <f ca="1">INDEX(DistrictEquipmentTypes.csv!F:F,RANDBETWEEN(2,COUNTA(DistrictEquipmentTypes.csv!D:D)),1)</f>
        <v>200004</v>
      </c>
      <c r="H53" s="8" t="str">
        <f t="shared" ca="1" si="2"/>
        <v>rg:{ 'id': '200004'}</v>
      </c>
      <c r="I53" s="8">
        <f t="shared" ca="1" si="3"/>
        <v>1</v>
      </c>
      <c r="J53" s="8">
        <f t="shared" ca="1" si="4"/>
        <v>38</v>
      </c>
      <c r="K53" s="8" t="str">
        <f t="shared" ca="1" si="5"/>
        <v>2017-04-15</v>
      </c>
      <c r="L53" s="8" t="str">
        <f t="shared" ca="1" si="6"/>
        <v>2017-04-19</v>
      </c>
    </row>
    <row r="54" spans="1:12" x14ac:dyDescent="0.3">
      <c r="A54" s="8" t="s">
        <v>5668</v>
      </c>
      <c r="B54" s="8">
        <f t="shared" si="0"/>
        <v>600052</v>
      </c>
      <c r="C54" s="1" t="s">
        <v>6912</v>
      </c>
      <c r="D54" s="9">
        <f ca="1">VLOOKUP(C54,Project.csv!E:Q,13,FALSE)</f>
        <v>200056</v>
      </c>
      <c r="E54" s="8" t="str">
        <f t="shared" ca="1" si="1"/>
        <v>rg:{'id':'200056'}</v>
      </c>
      <c r="F54" s="9" t="s">
        <v>7057</v>
      </c>
      <c r="G54" s="9" t="str">
        <f ca="1">INDEX(DistrictEquipmentTypes.csv!F:F,RANDBETWEEN(2,COUNTA(DistrictEquipmentTypes.csv!D:D)),1)</f>
        <v>200003</v>
      </c>
      <c r="H54" s="8" t="str">
        <f t="shared" ca="1" si="2"/>
        <v>rg:{ 'id': '200003'}</v>
      </c>
      <c r="I54" s="8">
        <f t="shared" ca="1" si="3"/>
        <v>1</v>
      </c>
      <c r="J54" s="8">
        <f t="shared" ca="1" si="4"/>
        <v>64</v>
      </c>
      <c r="K54" s="8" t="str">
        <f t="shared" ca="1" si="5"/>
        <v>2017-03-24</v>
      </c>
      <c r="L54" s="8" t="str">
        <f t="shared" ca="1" si="6"/>
        <v>2017-04-01</v>
      </c>
    </row>
    <row r="55" spans="1:12" x14ac:dyDescent="0.3">
      <c r="A55" s="8" t="s">
        <v>5668</v>
      </c>
      <c r="B55" s="8">
        <f t="shared" si="0"/>
        <v>600053</v>
      </c>
      <c r="C55" s="1" t="s">
        <v>6973</v>
      </c>
      <c r="D55" s="9">
        <f ca="1">VLOOKUP(C55,Project.csv!E:Q,13,FALSE)</f>
        <v>200006</v>
      </c>
      <c r="E55" s="8" t="str">
        <f t="shared" ca="1" si="1"/>
        <v>rg:{'id':'200006'}</v>
      </c>
      <c r="F55" s="9" t="s">
        <v>7057</v>
      </c>
      <c r="G55" s="9" t="str">
        <f ca="1">INDEX(DistrictEquipmentTypes.csv!F:F,RANDBETWEEN(2,COUNTA(DistrictEquipmentTypes.csv!D:D)),1)</f>
        <v>200000</v>
      </c>
      <c r="H55" s="8" t="str">
        <f t="shared" ca="1" si="2"/>
        <v>rg:{ 'id': '200000'}</v>
      </c>
      <c r="I55" s="8">
        <f t="shared" ca="1" si="3"/>
        <v>1</v>
      </c>
      <c r="J55" s="8">
        <f t="shared" ca="1" si="4"/>
        <v>5</v>
      </c>
      <c r="K55" s="8" t="str">
        <f t="shared" ca="1" si="5"/>
        <v>2017-04-09</v>
      </c>
      <c r="L55" s="8" t="str">
        <f t="shared" ca="1" si="6"/>
        <v>2017-04-09</v>
      </c>
    </row>
    <row r="56" spans="1:12" x14ac:dyDescent="0.3">
      <c r="A56" s="8" t="s">
        <v>5668</v>
      </c>
      <c r="B56" s="8">
        <f t="shared" si="0"/>
        <v>600054</v>
      </c>
      <c r="C56" s="1" t="s">
        <v>6974</v>
      </c>
      <c r="D56" s="9">
        <f ca="1">VLOOKUP(C56,Project.csv!E:Q,13,FALSE)</f>
        <v>200037</v>
      </c>
      <c r="E56" s="8" t="str">
        <f t="shared" ca="1" si="1"/>
        <v>rg:{'id':'200037'}</v>
      </c>
      <c r="F56" s="9" t="s">
        <v>7059</v>
      </c>
      <c r="G56" s="9" t="str">
        <f ca="1">INDEX(DistrictEquipmentTypes.csv!F:F,RANDBETWEEN(2,COUNTA(DistrictEquipmentTypes.csv!D:D)),1)</f>
        <v>200009</v>
      </c>
      <c r="H56" s="8" t="str">
        <f t="shared" ca="1" si="2"/>
        <v>rg:{ 'id': '200009'}</v>
      </c>
      <c r="I56" s="8">
        <f t="shared" ca="1" si="3"/>
        <v>3</v>
      </c>
      <c r="J56" s="8">
        <f t="shared" ca="1" si="4"/>
        <v>89</v>
      </c>
      <c r="K56" s="8" t="str">
        <f t="shared" ca="1" si="5"/>
        <v>2017-04-11</v>
      </c>
      <c r="L56" s="8" t="str">
        <f t="shared" ca="1" si="6"/>
        <v>2017-05-14</v>
      </c>
    </row>
    <row r="57" spans="1:12" x14ac:dyDescent="0.3">
      <c r="A57" s="8" t="s">
        <v>5668</v>
      </c>
      <c r="B57" s="8">
        <f t="shared" si="0"/>
        <v>600055</v>
      </c>
      <c r="C57" s="1" t="s">
        <v>6975</v>
      </c>
      <c r="D57" s="9">
        <f ca="1">VLOOKUP(C57,Project.csv!E:Q,13,FALSE)</f>
        <v>200083</v>
      </c>
      <c r="E57" s="8" t="str">
        <f t="shared" ca="1" si="1"/>
        <v>rg:{'id':'200083'}</v>
      </c>
      <c r="F57" s="9" t="s">
        <v>7059</v>
      </c>
      <c r="G57" s="9" t="str">
        <f ca="1">INDEX(DistrictEquipmentTypes.csv!F:F,RANDBETWEEN(2,COUNTA(DistrictEquipmentTypes.csv!D:D)),1)</f>
        <v>200004</v>
      </c>
      <c r="H57" s="8" t="str">
        <f t="shared" ca="1" si="2"/>
        <v>rg:{ 'id': '200004'}</v>
      </c>
      <c r="I57" s="8">
        <f t="shared" ca="1" si="3"/>
        <v>2</v>
      </c>
      <c r="J57" s="8">
        <f t="shared" ca="1" si="4"/>
        <v>45</v>
      </c>
      <c r="K57" s="8" t="str">
        <f t="shared" ca="1" si="5"/>
        <v>2017-04-12</v>
      </c>
      <c r="L57" s="8" t="str">
        <f t="shared" ca="1" si="6"/>
        <v>2017-04-23</v>
      </c>
    </row>
    <row r="58" spans="1:12" x14ac:dyDescent="0.3">
      <c r="A58" s="8" t="s">
        <v>5668</v>
      </c>
      <c r="B58" s="8">
        <f t="shared" si="0"/>
        <v>600056</v>
      </c>
      <c r="C58" s="1" t="s">
        <v>6976</v>
      </c>
      <c r="D58" s="9">
        <f ca="1">VLOOKUP(C58,Project.csv!E:Q,13,FALSE)</f>
        <v>200026</v>
      </c>
      <c r="E58" s="8" t="str">
        <f t="shared" ca="1" si="1"/>
        <v>rg:{'id':'200026'}</v>
      </c>
      <c r="F58" s="9" t="s">
        <v>7057</v>
      </c>
      <c r="G58" s="9" t="str">
        <f ca="1">INDEX(DistrictEquipmentTypes.csv!F:F,RANDBETWEEN(2,COUNTA(DistrictEquipmentTypes.csv!D:D)),1)</f>
        <v>200000</v>
      </c>
      <c r="H58" s="8" t="str">
        <f t="shared" ca="1" si="2"/>
        <v>rg:{ 'id': '200000'}</v>
      </c>
      <c r="I58" s="8">
        <f t="shared" ca="1" si="3"/>
        <v>4</v>
      </c>
      <c r="J58" s="8">
        <f t="shared" ca="1" si="4"/>
        <v>17</v>
      </c>
      <c r="K58" s="8" t="str">
        <f t="shared" ca="1" si="5"/>
        <v>2017-03-29</v>
      </c>
      <c r="L58" s="8" t="str">
        <f t="shared" ca="1" si="6"/>
        <v>2017-04-06</v>
      </c>
    </row>
    <row r="59" spans="1:12" x14ac:dyDescent="0.3">
      <c r="A59" s="8" t="s">
        <v>5668</v>
      </c>
      <c r="B59" s="8">
        <f t="shared" si="0"/>
        <v>600057</v>
      </c>
      <c r="C59" s="1" t="s">
        <v>6977</v>
      </c>
      <c r="D59" s="9">
        <f ca="1">VLOOKUP(C59,Project.csv!E:Q,13,FALSE)</f>
        <v>200012</v>
      </c>
      <c r="E59" s="8" t="str">
        <f t="shared" ca="1" si="1"/>
        <v>rg:{'id':'200012'}</v>
      </c>
      <c r="F59" s="9" t="s">
        <v>7057</v>
      </c>
      <c r="G59" s="9" t="str">
        <f ca="1">INDEX(DistrictEquipmentTypes.csv!F:F,RANDBETWEEN(2,COUNTA(DistrictEquipmentTypes.csv!D:D)),1)</f>
        <v>200007</v>
      </c>
      <c r="H59" s="8" t="str">
        <f t="shared" ca="1" si="2"/>
        <v>rg:{ 'id': '200007'}</v>
      </c>
      <c r="I59" s="8">
        <f t="shared" ca="1" si="3"/>
        <v>1</v>
      </c>
      <c r="J59" s="8">
        <f t="shared" ca="1" si="4"/>
        <v>72</v>
      </c>
      <c r="K59" s="8" t="str">
        <f t="shared" ca="1" si="5"/>
        <v>2017-05-08</v>
      </c>
      <c r="L59" s="8" t="str">
        <f t="shared" ca="1" si="6"/>
        <v>2017-05-17</v>
      </c>
    </row>
    <row r="60" spans="1:12" x14ac:dyDescent="0.3">
      <c r="A60" s="8" t="s">
        <v>5668</v>
      </c>
      <c r="B60" s="8">
        <f t="shared" si="0"/>
        <v>600058</v>
      </c>
      <c r="C60" s="1" t="s">
        <v>6978</v>
      </c>
      <c r="D60" s="9">
        <f ca="1">VLOOKUP(C60,Project.csv!E:Q,13,FALSE)</f>
        <v>200019</v>
      </c>
      <c r="E60" s="8" t="str">
        <f t="shared" ca="1" si="1"/>
        <v>rg:{'id':'200019'}</v>
      </c>
      <c r="F60" s="9" t="s">
        <v>7057</v>
      </c>
      <c r="G60" s="9" t="str">
        <f ca="1">INDEX(DistrictEquipmentTypes.csv!F:F,RANDBETWEEN(2,COUNTA(DistrictEquipmentTypes.csv!D:D)),1)</f>
        <v>200009</v>
      </c>
      <c r="H60" s="8" t="str">
        <f t="shared" ca="1" si="2"/>
        <v>rg:{ 'id': '200009'}</v>
      </c>
      <c r="I60" s="8">
        <f t="shared" ca="1" si="3"/>
        <v>2</v>
      </c>
      <c r="J60" s="8">
        <f t="shared" ca="1" si="4"/>
        <v>99</v>
      </c>
      <c r="K60" s="8" t="str">
        <f t="shared" ca="1" si="5"/>
        <v>2017-04-23</v>
      </c>
      <c r="L60" s="8" t="str">
        <f t="shared" ca="1" si="6"/>
        <v>2017-05-17</v>
      </c>
    </row>
    <row r="61" spans="1:12" x14ac:dyDescent="0.3">
      <c r="A61" s="8" t="s">
        <v>5668</v>
      </c>
      <c r="B61" s="8">
        <f t="shared" si="0"/>
        <v>600059</v>
      </c>
      <c r="C61" s="1" t="s">
        <v>6979</v>
      </c>
      <c r="D61" s="9">
        <f ca="1">VLOOKUP(C61,Project.csv!E:Q,13,FALSE)</f>
        <v>200002</v>
      </c>
      <c r="E61" s="8" t="str">
        <f t="shared" ca="1" si="1"/>
        <v>rg:{'id':'200002'}</v>
      </c>
      <c r="F61" s="9" t="s">
        <v>7059</v>
      </c>
      <c r="G61" s="9" t="str">
        <f ca="1">INDEX(DistrictEquipmentTypes.csv!F:F,RANDBETWEEN(2,COUNTA(DistrictEquipmentTypes.csv!D:D)),1)</f>
        <v>200003</v>
      </c>
      <c r="H61" s="8" t="str">
        <f t="shared" ca="1" si="2"/>
        <v>rg:{ 'id': '200003'}</v>
      </c>
      <c r="I61" s="8">
        <f t="shared" ca="1" si="3"/>
        <v>1</v>
      </c>
      <c r="J61" s="8">
        <f t="shared" ca="1" si="4"/>
        <v>31</v>
      </c>
      <c r="K61" s="8" t="str">
        <f t="shared" ca="1" si="5"/>
        <v>2017-05-04</v>
      </c>
      <c r="L61" s="8" t="str">
        <f t="shared" ca="1" si="6"/>
        <v>2017-05-07</v>
      </c>
    </row>
    <row r="62" spans="1:12" x14ac:dyDescent="0.3">
      <c r="A62" s="8" t="s">
        <v>5668</v>
      </c>
      <c r="B62" s="8">
        <f t="shared" si="0"/>
        <v>600060</v>
      </c>
      <c r="C62" s="1" t="s">
        <v>6980</v>
      </c>
      <c r="D62" s="9">
        <f ca="1">VLOOKUP(C62,Project.csv!E:Q,13,FALSE)</f>
        <v>200011</v>
      </c>
      <c r="E62" s="8" t="str">
        <f t="shared" ca="1" si="1"/>
        <v>rg:{'id':'200011'}</v>
      </c>
      <c r="F62" s="9" t="s">
        <v>7057</v>
      </c>
      <c r="G62" s="9" t="str">
        <f ca="1">INDEX(DistrictEquipmentTypes.csv!F:F,RANDBETWEEN(2,COUNTA(DistrictEquipmentTypes.csv!D:D)),1)</f>
        <v>200006</v>
      </c>
      <c r="H62" s="8" t="str">
        <f t="shared" ca="1" si="2"/>
        <v>rg:{ 'id': '200006'}</v>
      </c>
      <c r="I62" s="8">
        <f t="shared" ca="1" si="3"/>
        <v>4</v>
      </c>
      <c r="J62" s="8">
        <f t="shared" ca="1" si="4"/>
        <v>20</v>
      </c>
      <c r="K62" s="8" t="str">
        <f t="shared" ca="1" si="5"/>
        <v>2017-04-03</v>
      </c>
      <c r="L62" s="8" t="str">
        <f t="shared" ca="1" si="6"/>
        <v>2017-04-13</v>
      </c>
    </row>
    <row r="63" spans="1:12" x14ac:dyDescent="0.3">
      <c r="A63" s="8" t="s">
        <v>5668</v>
      </c>
      <c r="B63" s="8">
        <f t="shared" si="0"/>
        <v>600061</v>
      </c>
      <c r="C63" s="1" t="s">
        <v>6981</v>
      </c>
      <c r="D63" s="9">
        <f ca="1">VLOOKUP(C63,Project.csv!E:Q,13,FALSE)</f>
        <v>200021</v>
      </c>
      <c r="E63" s="8" t="str">
        <f t="shared" ca="1" si="1"/>
        <v>rg:{'id':'200021'}</v>
      </c>
      <c r="F63" s="9" t="s">
        <v>7057</v>
      </c>
      <c r="G63" s="9" t="str">
        <f ca="1">INDEX(DistrictEquipmentTypes.csv!F:F,RANDBETWEEN(2,COUNTA(DistrictEquipmentTypes.csv!D:D)),1)</f>
        <v>200004</v>
      </c>
      <c r="H63" s="8" t="str">
        <f t="shared" ca="1" si="2"/>
        <v>rg:{ 'id': '200004'}</v>
      </c>
      <c r="I63" s="8">
        <f t="shared" ca="1" si="3"/>
        <v>1</v>
      </c>
      <c r="J63" s="8">
        <f t="shared" ca="1" si="4"/>
        <v>40</v>
      </c>
      <c r="K63" s="8" t="str">
        <f t="shared" ca="1" si="5"/>
        <v>2017-03-25</v>
      </c>
      <c r="L63" s="8" t="str">
        <f t="shared" ca="1" si="6"/>
        <v>2017-03-30</v>
      </c>
    </row>
    <row r="64" spans="1:12" x14ac:dyDescent="0.3">
      <c r="A64" s="8" t="s">
        <v>5668</v>
      </c>
      <c r="B64" s="8">
        <f t="shared" si="0"/>
        <v>600062</v>
      </c>
      <c r="C64" s="1" t="s">
        <v>6982</v>
      </c>
      <c r="D64" s="9">
        <f ca="1">VLOOKUP(C64,Project.csv!E:Q,13,FALSE)</f>
        <v>200072</v>
      </c>
      <c r="E64" s="8" t="str">
        <f t="shared" ca="1" si="1"/>
        <v>rg:{'id':'200072'}</v>
      </c>
      <c r="F64" s="9" t="s">
        <v>7059</v>
      </c>
      <c r="G64" s="9" t="str">
        <f ca="1">INDEX(DistrictEquipmentTypes.csv!F:F,RANDBETWEEN(2,COUNTA(DistrictEquipmentTypes.csv!D:D)),1)</f>
        <v>200003</v>
      </c>
      <c r="H64" s="8" t="str">
        <f t="shared" ca="1" si="2"/>
        <v>rg:{ 'id': '200003'}</v>
      </c>
      <c r="I64" s="8">
        <f t="shared" ca="1" si="3"/>
        <v>1</v>
      </c>
      <c r="J64" s="8">
        <f t="shared" ca="1" si="4"/>
        <v>71</v>
      </c>
      <c r="K64" s="8" t="str">
        <f t="shared" ca="1" si="5"/>
        <v>2017-04-09</v>
      </c>
      <c r="L64" s="8" t="str">
        <f t="shared" ca="1" si="6"/>
        <v>2017-04-17</v>
      </c>
    </row>
    <row r="65" spans="1:12" x14ac:dyDescent="0.3">
      <c r="A65" s="8" t="s">
        <v>5668</v>
      </c>
      <c r="B65" s="8">
        <f t="shared" si="0"/>
        <v>600063</v>
      </c>
      <c r="C65" s="1" t="s">
        <v>6983</v>
      </c>
      <c r="D65" s="9">
        <f ca="1">VLOOKUP(C65,Project.csv!E:Q,13,FALSE)</f>
        <v>200059</v>
      </c>
      <c r="E65" s="8" t="str">
        <f t="shared" ca="1" si="1"/>
        <v>rg:{'id':'200059'}</v>
      </c>
      <c r="F65" s="9" t="s">
        <v>7057</v>
      </c>
      <c r="G65" s="9" t="str">
        <f ca="1">INDEX(DistrictEquipmentTypes.csv!F:F,RANDBETWEEN(2,COUNTA(DistrictEquipmentTypes.csv!D:D)),1)</f>
        <v>200007</v>
      </c>
      <c r="H65" s="8" t="str">
        <f t="shared" ca="1" si="2"/>
        <v>rg:{ 'id': '200007'}</v>
      </c>
      <c r="I65" s="8">
        <f t="shared" ca="1" si="3"/>
        <v>1</v>
      </c>
      <c r="J65" s="8">
        <f t="shared" ca="1" si="4"/>
        <v>45</v>
      </c>
      <c r="K65" s="8" t="str">
        <f t="shared" ca="1" si="5"/>
        <v>2017-05-03</v>
      </c>
      <c r="L65" s="8" t="str">
        <f t="shared" ca="1" si="6"/>
        <v>2017-05-08</v>
      </c>
    </row>
    <row r="66" spans="1:12" x14ac:dyDescent="0.3">
      <c r="A66" s="8" t="s">
        <v>5668</v>
      </c>
      <c r="B66" s="8">
        <f t="shared" si="0"/>
        <v>600064</v>
      </c>
      <c r="C66" s="1" t="s">
        <v>6984</v>
      </c>
      <c r="D66" s="9">
        <f ca="1">VLOOKUP(C66,Project.csv!E:Q,13,FALSE)</f>
        <v>200044</v>
      </c>
      <c r="E66" s="8" t="str">
        <f t="shared" ca="1" si="1"/>
        <v>rg:{'id':'200044'}</v>
      </c>
      <c r="F66" s="9" t="s">
        <v>7057</v>
      </c>
      <c r="G66" s="9" t="str">
        <f ca="1">INDEX(DistrictEquipmentTypes.csv!F:F,RANDBETWEEN(2,COUNTA(DistrictEquipmentTypes.csv!D:D)),1)</f>
        <v>200006</v>
      </c>
      <c r="H66" s="8" t="str">
        <f t="shared" ca="1" si="2"/>
        <v>rg:{ 'id': '200006'}</v>
      </c>
      <c r="I66" s="8">
        <f t="shared" ca="1" si="3"/>
        <v>1</v>
      </c>
      <c r="J66" s="8">
        <f t="shared" ca="1" si="4"/>
        <v>99</v>
      </c>
      <c r="K66" s="8" t="str">
        <f t="shared" ca="1" si="5"/>
        <v>2017-04-03</v>
      </c>
      <c r="L66" s="8" t="str">
        <f t="shared" ca="1" si="6"/>
        <v>2017-04-15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6918</v>
      </c>
      <c r="D67" s="9">
        <f ca="1">VLOOKUP(C67,Project.csv!E:Q,13,FALSE)</f>
        <v>200043</v>
      </c>
      <c r="E67" s="8" t="str">
        <f t="shared" ref="E67:E130" ca="1" si="8" xml:space="preserve"> "rg:{'id':'" &amp; D67 &amp; "'}"</f>
        <v>rg:{'id':'200043'}</v>
      </c>
      <c r="F67" s="9" t="s">
        <v>7057</v>
      </c>
      <c r="G67" s="9" t="str">
        <f ca="1">INDEX(DistrictEquipmentTypes.csv!F:F,RANDBETWEEN(2,COUNTA(DistrictEquipmentTypes.csv!D:D)),1)</f>
        <v>200006</v>
      </c>
      <c r="H67" s="8" t="str">
        <f t="shared" ref="H67:H130" ca="1" si="9">"rg:{ 'id': '"&amp;G67&amp;"'}"</f>
        <v>rg:{ 'id': '200006'}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27</v>
      </c>
      <c r="K67" s="8" t="str">
        <f t="shared" ref="K67:K130" ca="1" si="12">TEXT(TODAY()+RANDBETWEEN(1,56),"YYYY-MM-DD")</f>
        <v>2017-04-13</v>
      </c>
      <c r="L67" s="8" t="str">
        <f t="shared" ref="L67:L130" ca="1" si="13">TEXT(K67+(I67*J67)/8,"YYYY-MM-DD")</f>
        <v>2017-04-16</v>
      </c>
    </row>
    <row r="68" spans="1:12" x14ac:dyDescent="0.3">
      <c r="A68" s="8" t="s">
        <v>5668</v>
      </c>
      <c r="B68" s="8">
        <f t="shared" si="7"/>
        <v>600066</v>
      </c>
      <c r="C68" s="1" t="s">
        <v>6985</v>
      </c>
      <c r="D68" s="9">
        <f ca="1">VLOOKUP(C68,Project.csv!E:Q,13,FALSE)</f>
        <v>200086</v>
      </c>
      <c r="E68" s="8" t="str">
        <f t="shared" ca="1" si="8"/>
        <v>rg:{'id':'200086'}</v>
      </c>
      <c r="F68" s="9" t="s">
        <v>7057</v>
      </c>
      <c r="G68" s="9" t="str">
        <f ca="1">INDEX(DistrictEquipmentTypes.csv!F:F,RANDBETWEEN(2,COUNTA(DistrictEquipmentTypes.csv!D:D)),1)</f>
        <v>200009</v>
      </c>
      <c r="H68" s="8" t="str">
        <f t="shared" ca="1" si="9"/>
        <v>rg:{ 'id': '200009'}</v>
      </c>
      <c r="I68" s="8">
        <f t="shared" ca="1" si="10"/>
        <v>4</v>
      </c>
      <c r="J68" s="8">
        <f t="shared" ca="1" si="11"/>
        <v>33</v>
      </c>
      <c r="K68" s="8" t="str">
        <f t="shared" ca="1" si="12"/>
        <v>2017-03-25</v>
      </c>
      <c r="L68" s="8" t="str">
        <f t="shared" ca="1" si="13"/>
        <v>2017-04-10</v>
      </c>
    </row>
    <row r="69" spans="1:12" x14ac:dyDescent="0.3">
      <c r="A69" s="8" t="s">
        <v>5668</v>
      </c>
      <c r="B69" s="8">
        <f t="shared" si="7"/>
        <v>600067</v>
      </c>
      <c r="C69" s="1" t="s">
        <v>6986</v>
      </c>
      <c r="D69" s="9">
        <f ca="1">VLOOKUP(C69,Project.csv!E:Q,13,FALSE)</f>
        <v>200028</v>
      </c>
      <c r="E69" s="8" t="str">
        <f t="shared" ca="1" si="8"/>
        <v>rg:{'id':'200028'}</v>
      </c>
      <c r="F69" s="9" t="s">
        <v>7059</v>
      </c>
      <c r="G69" s="9" t="str">
        <f ca="1">INDEX(DistrictEquipmentTypes.csv!F:F,RANDBETWEEN(2,COUNTA(DistrictEquipmentTypes.csv!D:D)),1)</f>
        <v>200009</v>
      </c>
      <c r="H69" s="8" t="str">
        <f t="shared" ca="1" si="9"/>
        <v>rg:{ 'id': '200009'}</v>
      </c>
      <c r="I69" s="8">
        <f t="shared" ca="1" si="10"/>
        <v>1</v>
      </c>
      <c r="J69" s="8">
        <f t="shared" ca="1" si="11"/>
        <v>79</v>
      </c>
      <c r="K69" s="8" t="str">
        <f t="shared" ca="1" si="12"/>
        <v>2017-03-23</v>
      </c>
      <c r="L69" s="8" t="str">
        <f t="shared" ca="1" si="13"/>
        <v>2017-04-01</v>
      </c>
    </row>
    <row r="70" spans="1:12" x14ac:dyDescent="0.3">
      <c r="A70" s="8" t="s">
        <v>5668</v>
      </c>
      <c r="B70" s="8">
        <f t="shared" si="7"/>
        <v>600068</v>
      </c>
      <c r="C70" s="1" t="s">
        <v>6987</v>
      </c>
      <c r="D70" s="9">
        <f ca="1">VLOOKUP(C70,Project.csv!E:Q,13,FALSE)</f>
        <v>200013</v>
      </c>
      <c r="E70" s="8" t="str">
        <f t="shared" ca="1" si="8"/>
        <v>rg:{'id':'200013'}</v>
      </c>
      <c r="F70" s="9" t="s">
        <v>7057</v>
      </c>
      <c r="G70" s="9" t="str">
        <f ca="1">INDEX(DistrictEquipmentTypes.csv!F:F,RANDBETWEEN(2,COUNTA(DistrictEquipmentTypes.csv!D:D)),1)</f>
        <v>200007</v>
      </c>
      <c r="H70" s="8" t="str">
        <f t="shared" ca="1" si="9"/>
        <v>rg:{ 'id': '200007'}</v>
      </c>
      <c r="I70" s="8">
        <f t="shared" ca="1" si="10"/>
        <v>1</v>
      </c>
      <c r="J70" s="8">
        <f t="shared" ca="1" si="11"/>
        <v>62</v>
      </c>
      <c r="K70" s="8" t="str">
        <f t="shared" ca="1" si="12"/>
        <v>2017-05-15</v>
      </c>
      <c r="L70" s="8" t="str">
        <f t="shared" ca="1" si="13"/>
        <v>2017-05-22</v>
      </c>
    </row>
    <row r="71" spans="1:12" x14ac:dyDescent="0.3">
      <c r="A71" s="8" t="s">
        <v>5668</v>
      </c>
      <c r="B71" s="8">
        <f t="shared" si="7"/>
        <v>600069</v>
      </c>
      <c r="C71" s="1" t="s">
        <v>6924</v>
      </c>
      <c r="D71" s="9">
        <f ca="1">VLOOKUP(C71,Project.csv!E:Q,13,FALSE)</f>
        <v>200057</v>
      </c>
      <c r="E71" s="8" t="str">
        <f t="shared" ca="1" si="8"/>
        <v>rg:{'id':'200057'}</v>
      </c>
      <c r="F71" s="9" t="s">
        <v>7057</v>
      </c>
      <c r="G71" s="9" t="str">
        <f ca="1">INDEX(DistrictEquipmentTypes.csv!F:F,RANDBETWEEN(2,COUNTA(DistrictEquipmentTypes.csv!D:D)),1)</f>
        <v>200000</v>
      </c>
      <c r="H71" s="8" t="str">
        <f t="shared" ca="1" si="9"/>
        <v>rg:{ 'id': '200000'}</v>
      </c>
      <c r="I71" s="8">
        <f t="shared" ca="1" si="10"/>
        <v>1</v>
      </c>
      <c r="J71" s="8">
        <f t="shared" ca="1" si="11"/>
        <v>10</v>
      </c>
      <c r="K71" s="8" t="str">
        <f t="shared" ca="1" si="12"/>
        <v>2017-05-06</v>
      </c>
      <c r="L71" s="8" t="str">
        <f t="shared" ca="1" si="13"/>
        <v>2017-05-07</v>
      </c>
    </row>
    <row r="72" spans="1:12" x14ac:dyDescent="0.3">
      <c r="A72" s="8" t="s">
        <v>5668</v>
      </c>
      <c r="B72" s="8">
        <f t="shared" si="7"/>
        <v>600070</v>
      </c>
      <c r="C72" s="1" t="s">
        <v>6988</v>
      </c>
      <c r="D72" s="9">
        <f ca="1">VLOOKUP(C72,Project.csv!E:Q,13,FALSE)</f>
        <v>200069</v>
      </c>
      <c r="E72" s="8" t="str">
        <f t="shared" ca="1" si="8"/>
        <v>rg:{'id':'200069'}</v>
      </c>
      <c r="F72" s="9" t="s">
        <v>7057</v>
      </c>
      <c r="G72" s="9" t="str">
        <f ca="1">INDEX(DistrictEquipmentTypes.csv!F:F,RANDBETWEEN(2,COUNTA(DistrictEquipmentTypes.csv!D:D)),1)</f>
        <v>200006</v>
      </c>
      <c r="H72" s="8" t="str">
        <f t="shared" ca="1" si="9"/>
        <v>rg:{ 'id': '200006'}</v>
      </c>
      <c r="I72" s="8">
        <f t="shared" ca="1" si="10"/>
        <v>5</v>
      </c>
      <c r="J72" s="8">
        <f t="shared" ca="1" si="11"/>
        <v>68</v>
      </c>
      <c r="K72" s="8" t="str">
        <f t="shared" ca="1" si="12"/>
        <v>2017-04-17</v>
      </c>
      <c r="L72" s="8" t="str">
        <f t="shared" ca="1" si="13"/>
        <v>2017-05-29</v>
      </c>
    </row>
    <row r="73" spans="1:12" x14ac:dyDescent="0.3">
      <c r="A73" s="8" t="s">
        <v>5668</v>
      </c>
      <c r="B73" s="8">
        <f t="shared" si="7"/>
        <v>600071</v>
      </c>
      <c r="C73" s="1" t="s">
        <v>6989</v>
      </c>
      <c r="D73" s="9">
        <f ca="1">VLOOKUP(C73,Project.csv!E:Q,13,FALSE)</f>
        <v>200055</v>
      </c>
      <c r="E73" s="8" t="str">
        <f t="shared" ca="1" si="8"/>
        <v>rg:{'id':'200055'}</v>
      </c>
      <c r="F73" s="9" t="s">
        <v>7059</v>
      </c>
      <c r="G73" s="9" t="str">
        <f ca="1">INDEX(DistrictEquipmentTypes.csv!F:F,RANDBETWEEN(2,COUNTA(DistrictEquipmentTypes.csv!D:D)),1)</f>
        <v>200006</v>
      </c>
      <c r="H73" s="8" t="str">
        <f t="shared" ca="1" si="9"/>
        <v>rg:{ 'id': '200006'}</v>
      </c>
      <c r="I73" s="8">
        <f t="shared" ca="1" si="10"/>
        <v>1</v>
      </c>
      <c r="J73" s="8">
        <f t="shared" ca="1" si="11"/>
        <v>97</v>
      </c>
      <c r="K73" s="8" t="str">
        <f t="shared" ca="1" si="12"/>
        <v>2017-05-14</v>
      </c>
      <c r="L73" s="8" t="str">
        <f t="shared" ca="1" si="13"/>
        <v>2017-05-26</v>
      </c>
    </row>
    <row r="74" spans="1:12" x14ac:dyDescent="0.3">
      <c r="A74" s="8" t="s">
        <v>5668</v>
      </c>
      <c r="B74" s="8">
        <f t="shared" si="7"/>
        <v>600072</v>
      </c>
      <c r="C74" s="1" t="s">
        <v>6990</v>
      </c>
      <c r="D74" s="9">
        <f ca="1">VLOOKUP(C74,Project.csv!E:Q,13,FALSE)</f>
        <v>200001</v>
      </c>
      <c r="E74" s="8" t="str">
        <f t="shared" ca="1" si="8"/>
        <v>rg:{'id':'200001'}</v>
      </c>
      <c r="F74" s="9" t="s">
        <v>7057</v>
      </c>
      <c r="G74" s="9" t="str">
        <f ca="1">INDEX(DistrictEquipmentTypes.csv!F:F,RANDBETWEEN(2,COUNTA(DistrictEquipmentTypes.csv!D:D)),1)</f>
        <v>200001</v>
      </c>
      <c r="H74" s="8" t="str">
        <f t="shared" ca="1" si="9"/>
        <v>rg:{ 'id': '200001'}</v>
      </c>
      <c r="I74" s="8">
        <f t="shared" ca="1" si="10"/>
        <v>1</v>
      </c>
      <c r="J74" s="8">
        <f t="shared" ca="1" si="11"/>
        <v>82</v>
      </c>
      <c r="K74" s="8" t="str">
        <f t="shared" ca="1" si="12"/>
        <v>2017-05-14</v>
      </c>
      <c r="L74" s="8" t="str">
        <f t="shared" ca="1" si="13"/>
        <v>2017-05-24</v>
      </c>
    </row>
    <row r="75" spans="1:12" x14ac:dyDescent="0.3">
      <c r="A75" s="8" t="s">
        <v>5668</v>
      </c>
      <c r="B75" s="8">
        <f t="shared" si="7"/>
        <v>600073</v>
      </c>
      <c r="C75" s="1" t="s">
        <v>6991</v>
      </c>
      <c r="D75" s="9">
        <f ca="1">VLOOKUP(C75,Project.csv!E:Q,13,FALSE)</f>
        <v>200084</v>
      </c>
      <c r="E75" s="8" t="str">
        <f t="shared" ca="1" si="8"/>
        <v>rg:{'id':'200084'}</v>
      </c>
      <c r="F75" s="9" t="s">
        <v>7057</v>
      </c>
      <c r="G75" s="9" t="str">
        <f ca="1">INDEX(DistrictEquipmentTypes.csv!F:F,RANDBETWEEN(2,COUNTA(DistrictEquipmentTypes.csv!D:D)),1)</f>
        <v>200001</v>
      </c>
      <c r="H75" s="8" t="str">
        <f t="shared" ca="1" si="9"/>
        <v>rg:{ 'id': '200001'}</v>
      </c>
      <c r="I75" s="8">
        <f t="shared" ca="1" si="10"/>
        <v>1</v>
      </c>
      <c r="J75" s="8">
        <f t="shared" ca="1" si="11"/>
        <v>10</v>
      </c>
      <c r="K75" s="8" t="str">
        <f t="shared" ca="1" si="12"/>
        <v>2017-04-02</v>
      </c>
      <c r="L75" s="8" t="str">
        <f t="shared" ca="1" si="13"/>
        <v>2017-04-03</v>
      </c>
    </row>
    <row r="76" spans="1:12" x14ac:dyDescent="0.3">
      <c r="A76" s="8" t="s">
        <v>5668</v>
      </c>
      <c r="B76" s="8">
        <f t="shared" si="7"/>
        <v>600074</v>
      </c>
      <c r="C76" s="1" t="s">
        <v>6992</v>
      </c>
      <c r="D76" s="9">
        <f ca="1">VLOOKUP(C76,Project.csv!E:Q,13,FALSE)</f>
        <v>200037</v>
      </c>
      <c r="E76" s="8" t="str">
        <f t="shared" ca="1" si="8"/>
        <v>rg:{'id':'200037'}</v>
      </c>
      <c r="F76" s="9" t="s">
        <v>7057</v>
      </c>
      <c r="G76" s="9" t="str">
        <f ca="1">INDEX(DistrictEquipmentTypes.csv!F:F,RANDBETWEEN(2,COUNTA(DistrictEquipmentTypes.csv!D:D)),1)</f>
        <v>200006</v>
      </c>
      <c r="H76" s="8" t="str">
        <f t="shared" ca="1" si="9"/>
        <v>rg:{ 'id': '200006'}</v>
      </c>
      <c r="I76" s="8">
        <f t="shared" ca="1" si="10"/>
        <v>1</v>
      </c>
      <c r="J76" s="8">
        <f t="shared" ca="1" si="11"/>
        <v>79</v>
      </c>
      <c r="K76" s="8" t="str">
        <f t="shared" ca="1" si="12"/>
        <v>2017-03-31</v>
      </c>
      <c r="L76" s="8" t="str">
        <f t="shared" ca="1" si="13"/>
        <v>2017-04-09</v>
      </c>
    </row>
    <row r="77" spans="1:12" x14ac:dyDescent="0.3">
      <c r="A77" s="8" t="s">
        <v>5668</v>
      </c>
      <c r="B77" s="8">
        <f t="shared" si="7"/>
        <v>600075</v>
      </c>
      <c r="C77" s="1" t="s">
        <v>6993</v>
      </c>
      <c r="D77" s="9">
        <f ca="1">VLOOKUP(C77,Project.csv!E:Q,13,FALSE)</f>
        <v>200008</v>
      </c>
      <c r="E77" s="8" t="str">
        <f t="shared" ca="1" si="8"/>
        <v>rg:{'id':'200008'}</v>
      </c>
      <c r="F77" s="9" t="s">
        <v>7057</v>
      </c>
      <c r="G77" s="9" t="str">
        <f ca="1">INDEX(DistrictEquipmentTypes.csv!F:F,RANDBETWEEN(2,COUNTA(DistrictEquipmentTypes.csv!D:D)),1)</f>
        <v>200003</v>
      </c>
      <c r="H77" s="8" t="str">
        <f t="shared" ca="1" si="9"/>
        <v>rg:{ 'id': '200003'}</v>
      </c>
      <c r="I77" s="8">
        <f t="shared" ca="1" si="10"/>
        <v>5</v>
      </c>
      <c r="J77" s="8">
        <f t="shared" ca="1" si="11"/>
        <v>19</v>
      </c>
      <c r="K77" s="8" t="str">
        <f t="shared" ca="1" si="12"/>
        <v>2017-05-15</v>
      </c>
      <c r="L77" s="8" t="str">
        <f t="shared" ca="1" si="13"/>
        <v>2017-05-26</v>
      </c>
    </row>
    <row r="78" spans="1:12" x14ac:dyDescent="0.3">
      <c r="A78" s="8" t="s">
        <v>5668</v>
      </c>
      <c r="B78" s="8">
        <f t="shared" si="7"/>
        <v>600076</v>
      </c>
      <c r="C78" s="1" t="s">
        <v>6994</v>
      </c>
      <c r="D78" s="9">
        <f ca="1">VLOOKUP(C78,Project.csv!E:Q,13,FALSE)</f>
        <v>200062</v>
      </c>
      <c r="E78" s="8" t="str">
        <f t="shared" ca="1" si="8"/>
        <v>rg:{'id':'200062'}</v>
      </c>
      <c r="F78" s="9" t="s">
        <v>7057</v>
      </c>
      <c r="G78" s="9" t="str">
        <f ca="1">INDEX(DistrictEquipmentTypes.csv!F:F,RANDBETWEEN(2,COUNTA(DistrictEquipmentTypes.csv!D:D)),1)</f>
        <v>200002</v>
      </c>
      <c r="H78" s="8" t="str">
        <f t="shared" ca="1" si="9"/>
        <v>rg:{ 'id': '200002'}</v>
      </c>
      <c r="I78" s="8">
        <f t="shared" ca="1" si="10"/>
        <v>1</v>
      </c>
      <c r="J78" s="8">
        <f t="shared" ca="1" si="11"/>
        <v>18</v>
      </c>
      <c r="K78" s="8" t="str">
        <f t="shared" ca="1" si="12"/>
        <v>2017-04-21</v>
      </c>
      <c r="L78" s="8" t="str">
        <f t="shared" ca="1" si="13"/>
        <v>2017-04-23</v>
      </c>
    </row>
    <row r="79" spans="1:12" x14ac:dyDescent="0.3">
      <c r="A79" s="8" t="s">
        <v>5668</v>
      </c>
      <c r="B79" s="8">
        <f t="shared" si="7"/>
        <v>600077</v>
      </c>
      <c r="C79" s="1" t="s">
        <v>6904</v>
      </c>
      <c r="D79" s="9">
        <f ca="1">VLOOKUP(C79,Project.csv!E:Q,13,FALSE)</f>
        <v>200057</v>
      </c>
      <c r="E79" s="8" t="str">
        <f t="shared" ca="1" si="8"/>
        <v>rg:{'id':'200057'}</v>
      </c>
      <c r="F79" s="9" t="s">
        <v>7059</v>
      </c>
      <c r="G79" s="9" t="str">
        <f ca="1">INDEX(DistrictEquipmentTypes.csv!F:F,RANDBETWEEN(2,COUNTA(DistrictEquipmentTypes.csv!D:D)),1)</f>
        <v>200000</v>
      </c>
      <c r="H79" s="8" t="str">
        <f t="shared" ca="1" si="9"/>
        <v>rg:{ 'id': '200000'}</v>
      </c>
      <c r="I79" s="8">
        <f t="shared" ca="1" si="10"/>
        <v>1</v>
      </c>
      <c r="J79" s="8">
        <f t="shared" ca="1" si="11"/>
        <v>54</v>
      </c>
      <c r="K79" s="8" t="str">
        <f t="shared" ca="1" si="12"/>
        <v>2017-05-02</v>
      </c>
      <c r="L79" s="8" t="str">
        <f t="shared" ca="1" si="13"/>
        <v>2017-05-08</v>
      </c>
    </row>
    <row r="80" spans="1:12" x14ac:dyDescent="0.3">
      <c r="A80" s="8" t="s">
        <v>5668</v>
      </c>
      <c r="B80" s="8">
        <f t="shared" si="7"/>
        <v>600078</v>
      </c>
      <c r="C80" s="1" t="s">
        <v>6899</v>
      </c>
      <c r="D80" s="9">
        <f ca="1">VLOOKUP(C80,Project.csv!E:Q,13,FALSE)</f>
        <v>200022</v>
      </c>
      <c r="E80" s="8" t="str">
        <f t="shared" ca="1" si="8"/>
        <v>rg:{'id':'200022'}</v>
      </c>
      <c r="F80" s="9" t="s">
        <v>7057</v>
      </c>
      <c r="G80" s="9" t="str">
        <f ca="1">INDEX(DistrictEquipmentTypes.csv!F:F,RANDBETWEEN(2,COUNTA(DistrictEquipmentTypes.csv!D:D)),1)</f>
        <v>200006</v>
      </c>
      <c r="H80" s="8" t="str">
        <f t="shared" ca="1" si="9"/>
        <v>rg:{ 'id': '200006'}</v>
      </c>
      <c r="I80" s="8">
        <f t="shared" ca="1" si="10"/>
        <v>1</v>
      </c>
      <c r="J80" s="8">
        <f t="shared" ca="1" si="11"/>
        <v>7</v>
      </c>
      <c r="K80" s="8" t="str">
        <f t="shared" ca="1" si="12"/>
        <v>2017-04-26</v>
      </c>
      <c r="L80" s="8" t="str">
        <f t="shared" ca="1" si="13"/>
        <v>2017-04-26</v>
      </c>
    </row>
    <row r="81" spans="1:12" x14ac:dyDescent="0.3">
      <c r="A81" s="8" t="s">
        <v>5668</v>
      </c>
      <c r="B81" s="8">
        <f t="shared" si="7"/>
        <v>600079</v>
      </c>
      <c r="C81" s="1" t="s">
        <v>6995</v>
      </c>
      <c r="D81" s="9">
        <f ca="1">VLOOKUP(C81,Project.csv!E:Q,13,FALSE)</f>
        <v>200005</v>
      </c>
      <c r="E81" s="8" t="str">
        <f t="shared" ca="1" si="8"/>
        <v>rg:{'id':'200005'}</v>
      </c>
      <c r="F81" s="9" t="s">
        <v>7057</v>
      </c>
      <c r="G81" s="9" t="str">
        <f ca="1">INDEX(DistrictEquipmentTypes.csv!F:F,RANDBETWEEN(2,COUNTA(DistrictEquipmentTypes.csv!D:D)),1)</f>
        <v>200009</v>
      </c>
      <c r="H81" s="8" t="str">
        <f t="shared" ca="1" si="9"/>
        <v>rg:{ 'id': '200009'}</v>
      </c>
      <c r="I81" s="8">
        <f t="shared" ca="1" si="10"/>
        <v>3</v>
      </c>
      <c r="J81" s="8">
        <f t="shared" ca="1" si="11"/>
        <v>96</v>
      </c>
      <c r="K81" s="8" t="str">
        <f t="shared" ca="1" si="12"/>
        <v>2017-04-28</v>
      </c>
      <c r="L81" s="8" t="str">
        <f t="shared" ca="1" si="13"/>
        <v>2017-06-03</v>
      </c>
    </row>
    <row r="82" spans="1:12" x14ac:dyDescent="0.3">
      <c r="A82" s="8" t="s">
        <v>5668</v>
      </c>
      <c r="B82" s="8">
        <f t="shared" si="7"/>
        <v>600080</v>
      </c>
      <c r="C82" s="1" t="s">
        <v>6996</v>
      </c>
      <c r="D82" s="9">
        <f ca="1">VLOOKUP(C82,Project.csv!E:Q,13,FALSE)</f>
        <v>200032</v>
      </c>
      <c r="E82" s="8" t="str">
        <f t="shared" ca="1" si="8"/>
        <v>rg:{'id':'200032'}</v>
      </c>
      <c r="F82" s="9" t="s">
        <v>7057</v>
      </c>
      <c r="G82" s="9" t="str">
        <f ca="1">INDEX(DistrictEquipmentTypes.csv!F:F,RANDBETWEEN(2,COUNTA(DistrictEquipmentTypes.csv!D:D)),1)</f>
        <v>200003</v>
      </c>
      <c r="H82" s="8" t="str">
        <f t="shared" ca="1" si="9"/>
        <v>rg:{ 'id': '200003'}</v>
      </c>
      <c r="I82" s="8">
        <f t="shared" ca="1" si="10"/>
        <v>1</v>
      </c>
      <c r="J82" s="8">
        <f t="shared" ca="1" si="11"/>
        <v>66</v>
      </c>
      <c r="K82" s="8" t="str">
        <f t="shared" ca="1" si="12"/>
        <v>2017-04-07</v>
      </c>
      <c r="L82" s="8" t="str">
        <f t="shared" ca="1" si="13"/>
        <v>2017-04-15</v>
      </c>
    </row>
    <row r="83" spans="1:12" x14ac:dyDescent="0.3">
      <c r="A83" s="8" t="s">
        <v>5668</v>
      </c>
      <c r="B83" s="8">
        <f t="shared" si="7"/>
        <v>600081</v>
      </c>
      <c r="C83" s="1" t="s">
        <v>6997</v>
      </c>
      <c r="D83" s="9">
        <f ca="1">VLOOKUP(C83,Project.csv!E:Q,13,FALSE)</f>
        <v>200012</v>
      </c>
      <c r="E83" s="8" t="str">
        <f t="shared" ca="1" si="8"/>
        <v>rg:{'id':'200012'}</v>
      </c>
      <c r="F83" s="9" t="s">
        <v>7059</v>
      </c>
      <c r="G83" s="9" t="str">
        <f ca="1">INDEX(DistrictEquipmentTypes.csv!F:F,RANDBETWEEN(2,COUNTA(DistrictEquipmentTypes.csv!D:D)),1)</f>
        <v>200003</v>
      </c>
      <c r="H83" s="8" t="str">
        <f t="shared" ca="1" si="9"/>
        <v>rg:{ 'id': '200003'}</v>
      </c>
      <c r="I83" s="8">
        <f t="shared" ca="1" si="10"/>
        <v>1</v>
      </c>
      <c r="J83" s="8">
        <f t="shared" ca="1" si="11"/>
        <v>27</v>
      </c>
      <c r="K83" s="8" t="str">
        <f t="shared" ca="1" si="12"/>
        <v>2017-05-04</v>
      </c>
      <c r="L83" s="8" t="str">
        <f t="shared" ca="1" si="13"/>
        <v>2017-05-07</v>
      </c>
    </row>
    <row r="84" spans="1:12" x14ac:dyDescent="0.3">
      <c r="A84" s="8" t="s">
        <v>5668</v>
      </c>
      <c r="B84" s="8">
        <f t="shared" si="7"/>
        <v>600082</v>
      </c>
      <c r="C84" s="1" t="s">
        <v>6998</v>
      </c>
      <c r="D84" s="9">
        <f ca="1">VLOOKUP(C84,Project.csv!E:Q,13,FALSE)</f>
        <v>200008</v>
      </c>
      <c r="E84" s="8" t="str">
        <f t="shared" ca="1" si="8"/>
        <v>rg:{'id':'200008'}</v>
      </c>
      <c r="F84" s="9" t="s">
        <v>7058</v>
      </c>
      <c r="G84" s="9" t="str">
        <f ca="1">INDEX(DistrictEquipmentTypes.csv!F:F,RANDBETWEEN(2,COUNTA(DistrictEquipmentTypes.csv!D:D)),1)</f>
        <v>200000</v>
      </c>
      <c r="H84" s="8" t="str">
        <f t="shared" ca="1" si="9"/>
        <v>rg:{ 'id': '200000'}</v>
      </c>
      <c r="I84" s="8">
        <f t="shared" ca="1" si="10"/>
        <v>1</v>
      </c>
      <c r="J84" s="8">
        <f t="shared" ca="1" si="11"/>
        <v>41</v>
      </c>
      <c r="K84" s="8" t="str">
        <f t="shared" ca="1" si="12"/>
        <v>2017-05-04</v>
      </c>
      <c r="L84" s="8" t="str">
        <f t="shared" ca="1" si="13"/>
        <v>2017-05-09</v>
      </c>
    </row>
    <row r="85" spans="1:12" x14ac:dyDescent="0.3">
      <c r="A85" s="8" t="s">
        <v>5668</v>
      </c>
      <c r="B85" s="8">
        <f t="shared" si="7"/>
        <v>600083</v>
      </c>
      <c r="C85" s="1" t="s">
        <v>6898</v>
      </c>
      <c r="D85" s="9">
        <f ca="1">VLOOKUP(C85,Project.csv!E:Q,13,FALSE)</f>
        <v>200077</v>
      </c>
      <c r="E85" s="8" t="str">
        <f t="shared" ca="1" si="8"/>
        <v>rg:{'id':'200077'}</v>
      </c>
      <c r="F85" s="9" t="s">
        <v>7058</v>
      </c>
      <c r="G85" s="9" t="str">
        <f ca="1">INDEX(DistrictEquipmentTypes.csv!F:F,RANDBETWEEN(2,COUNTA(DistrictEquipmentTypes.csv!D:D)),1)</f>
        <v>200006</v>
      </c>
      <c r="H85" s="8" t="str">
        <f t="shared" ca="1" si="9"/>
        <v>rg:{ 'id': '200006'}</v>
      </c>
      <c r="I85" s="8">
        <f t="shared" ca="1" si="10"/>
        <v>1</v>
      </c>
      <c r="J85" s="8">
        <f t="shared" ca="1" si="11"/>
        <v>26</v>
      </c>
      <c r="K85" s="8" t="str">
        <f t="shared" ca="1" si="12"/>
        <v>2017-03-21</v>
      </c>
      <c r="L85" s="8" t="str">
        <f t="shared" ca="1" si="13"/>
        <v>2017-03-24</v>
      </c>
    </row>
    <row r="86" spans="1:12" x14ac:dyDescent="0.3">
      <c r="A86" s="8" t="s">
        <v>5668</v>
      </c>
      <c r="B86" s="8">
        <f t="shared" si="7"/>
        <v>600084</v>
      </c>
      <c r="C86" s="1" t="s">
        <v>6999</v>
      </c>
      <c r="D86" s="9">
        <f ca="1">VLOOKUP(C86,Project.csv!E:Q,13,FALSE)</f>
        <v>200010</v>
      </c>
      <c r="E86" s="8" t="str">
        <f t="shared" ca="1" si="8"/>
        <v>rg:{'id':'200010'}</v>
      </c>
      <c r="F86" s="9" t="s">
        <v>7057</v>
      </c>
      <c r="G86" s="9" t="str">
        <f ca="1">INDEX(DistrictEquipmentTypes.csv!F:F,RANDBETWEEN(2,COUNTA(DistrictEquipmentTypes.csv!D:D)),1)</f>
        <v>200002</v>
      </c>
      <c r="H86" s="8" t="str">
        <f t="shared" ca="1" si="9"/>
        <v>rg:{ 'id': '200002'}</v>
      </c>
      <c r="I86" s="8">
        <f t="shared" ca="1" si="10"/>
        <v>1</v>
      </c>
      <c r="J86" s="8">
        <f t="shared" ca="1" si="11"/>
        <v>93</v>
      </c>
      <c r="K86" s="8" t="str">
        <f t="shared" ca="1" si="12"/>
        <v>2017-04-14</v>
      </c>
      <c r="L86" s="8" t="str">
        <f t="shared" ca="1" si="13"/>
        <v>2017-04-25</v>
      </c>
    </row>
    <row r="87" spans="1:12" x14ac:dyDescent="0.3">
      <c r="A87" s="8" t="s">
        <v>5668</v>
      </c>
      <c r="B87" s="8">
        <f t="shared" si="7"/>
        <v>600085</v>
      </c>
      <c r="C87" s="1" t="s">
        <v>7000</v>
      </c>
      <c r="D87" s="9">
        <f ca="1">VLOOKUP(C87,Project.csv!E:Q,13,FALSE)</f>
        <v>200016</v>
      </c>
      <c r="E87" s="8" t="str">
        <f t="shared" ca="1" si="8"/>
        <v>rg:{'id':'200016'}</v>
      </c>
      <c r="F87" s="9" t="s">
        <v>7059</v>
      </c>
      <c r="G87" s="9" t="str">
        <f ca="1">INDEX(DistrictEquipmentTypes.csv!F:F,RANDBETWEEN(2,COUNTA(DistrictEquipmentTypes.csv!D:D)),1)</f>
        <v>200009</v>
      </c>
      <c r="H87" s="8" t="str">
        <f t="shared" ca="1" si="9"/>
        <v>rg:{ 'id': '200009'}</v>
      </c>
      <c r="I87" s="8">
        <f t="shared" ca="1" si="10"/>
        <v>1</v>
      </c>
      <c r="J87" s="8">
        <f t="shared" ca="1" si="11"/>
        <v>13</v>
      </c>
      <c r="K87" s="8" t="str">
        <f t="shared" ca="1" si="12"/>
        <v>2017-03-28</v>
      </c>
      <c r="L87" s="8" t="str">
        <f t="shared" ca="1" si="13"/>
        <v>2017-03-29</v>
      </c>
    </row>
    <row r="88" spans="1:12" x14ac:dyDescent="0.3">
      <c r="A88" s="8" t="s">
        <v>5668</v>
      </c>
      <c r="B88" s="8">
        <f t="shared" si="7"/>
        <v>600086</v>
      </c>
      <c r="C88" s="1" t="s">
        <v>7001</v>
      </c>
      <c r="D88" s="9">
        <f ca="1">VLOOKUP(C88,Project.csv!E:Q,13,FALSE)</f>
        <v>200070</v>
      </c>
      <c r="E88" s="8" t="str">
        <f t="shared" ca="1" si="8"/>
        <v>rg:{'id':'200070'}</v>
      </c>
      <c r="F88" s="9" t="s">
        <v>7059</v>
      </c>
      <c r="G88" s="9" t="str">
        <f ca="1">INDEX(DistrictEquipmentTypes.csv!F:F,RANDBETWEEN(2,COUNTA(DistrictEquipmentTypes.csv!D:D)),1)</f>
        <v>200004</v>
      </c>
      <c r="H88" s="8" t="str">
        <f t="shared" ca="1" si="9"/>
        <v>rg:{ 'id': '200004'}</v>
      </c>
      <c r="I88" s="8">
        <f t="shared" ca="1" si="10"/>
        <v>1</v>
      </c>
      <c r="J88" s="8">
        <f t="shared" ca="1" si="11"/>
        <v>92</v>
      </c>
      <c r="K88" s="8" t="str">
        <f t="shared" ca="1" si="12"/>
        <v>2017-04-05</v>
      </c>
      <c r="L88" s="8" t="str">
        <f t="shared" ca="1" si="13"/>
        <v>2017-04-16</v>
      </c>
    </row>
    <row r="89" spans="1:12" x14ac:dyDescent="0.3">
      <c r="A89" s="8" t="s">
        <v>5668</v>
      </c>
      <c r="B89" s="8">
        <f t="shared" si="7"/>
        <v>600087</v>
      </c>
      <c r="C89" s="1" t="s">
        <v>6910</v>
      </c>
      <c r="D89" s="9">
        <f ca="1">VLOOKUP(C89,Project.csv!E:Q,13,FALSE)</f>
        <v>200030</v>
      </c>
      <c r="E89" s="8" t="str">
        <f t="shared" ca="1" si="8"/>
        <v>rg:{'id':'200030'}</v>
      </c>
      <c r="F89" s="9" t="s">
        <v>7057</v>
      </c>
      <c r="G89" s="9" t="str">
        <f ca="1">INDEX(DistrictEquipmentTypes.csv!F:F,RANDBETWEEN(2,COUNTA(DistrictEquipmentTypes.csv!D:D)),1)</f>
        <v>200009</v>
      </c>
      <c r="H89" s="8" t="str">
        <f t="shared" ca="1" si="9"/>
        <v>rg:{ 'id': '200009'}</v>
      </c>
      <c r="I89" s="8">
        <f t="shared" ca="1" si="10"/>
        <v>4</v>
      </c>
      <c r="J89" s="8">
        <f t="shared" ca="1" si="11"/>
        <v>7</v>
      </c>
      <c r="K89" s="8" t="str">
        <f t="shared" ca="1" si="12"/>
        <v>2017-04-23</v>
      </c>
      <c r="L89" s="8" t="str">
        <f t="shared" ca="1" si="13"/>
        <v>2017-04-26</v>
      </c>
    </row>
    <row r="90" spans="1:12" x14ac:dyDescent="0.3">
      <c r="A90" s="8" t="s">
        <v>5668</v>
      </c>
      <c r="B90" s="8">
        <f t="shared" si="7"/>
        <v>600088</v>
      </c>
      <c r="C90" s="1" t="s">
        <v>7002</v>
      </c>
      <c r="D90" s="9">
        <f ca="1">VLOOKUP(C90,Project.csv!E:Q,13,FALSE)</f>
        <v>200050</v>
      </c>
      <c r="E90" s="8" t="str">
        <f t="shared" ca="1" si="8"/>
        <v>rg:{'id':'200050'}</v>
      </c>
      <c r="F90" s="9" t="s">
        <v>7057</v>
      </c>
      <c r="G90" s="9" t="str">
        <f ca="1">INDEX(DistrictEquipmentTypes.csv!F:F,RANDBETWEEN(2,COUNTA(DistrictEquipmentTypes.csv!D:D)),1)</f>
        <v>200009</v>
      </c>
      <c r="H90" s="8" t="str">
        <f t="shared" ca="1" si="9"/>
        <v>rg:{ 'id': '200009'}</v>
      </c>
      <c r="I90" s="8">
        <f t="shared" ca="1" si="10"/>
        <v>4</v>
      </c>
      <c r="J90" s="8">
        <f t="shared" ca="1" si="11"/>
        <v>88</v>
      </c>
      <c r="K90" s="8" t="str">
        <f t="shared" ca="1" si="12"/>
        <v>2017-04-06</v>
      </c>
      <c r="L90" s="8" t="str">
        <f t="shared" ca="1" si="13"/>
        <v>2017-05-20</v>
      </c>
    </row>
    <row r="91" spans="1:12" x14ac:dyDescent="0.3">
      <c r="A91" s="8" t="s">
        <v>5668</v>
      </c>
      <c r="B91" s="8">
        <f t="shared" si="7"/>
        <v>600089</v>
      </c>
      <c r="C91" s="1" t="s">
        <v>7003</v>
      </c>
      <c r="D91" s="9">
        <f ca="1">VLOOKUP(C91,Project.csv!E:Q,13,FALSE)</f>
        <v>200084</v>
      </c>
      <c r="E91" s="8" t="str">
        <f t="shared" ca="1" si="8"/>
        <v>rg:{'id':'200084'}</v>
      </c>
      <c r="F91" s="9" t="s">
        <v>7057</v>
      </c>
      <c r="G91" s="9" t="str">
        <f ca="1">INDEX(DistrictEquipmentTypes.csv!F:F,RANDBETWEEN(2,COUNTA(DistrictEquipmentTypes.csv!D:D)),1)</f>
        <v>200006</v>
      </c>
      <c r="H91" s="8" t="str">
        <f t="shared" ca="1" si="9"/>
        <v>rg:{ 'id': '200006'}</v>
      </c>
      <c r="I91" s="8">
        <f t="shared" ca="1" si="10"/>
        <v>4</v>
      </c>
      <c r="J91" s="8">
        <f t="shared" ca="1" si="11"/>
        <v>67</v>
      </c>
      <c r="K91" s="8" t="str">
        <f t="shared" ca="1" si="12"/>
        <v>2017-04-14</v>
      </c>
      <c r="L91" s="8" t="str">
        <f t="shared" ca="1" si="13"/>
        <v>2017-05-17</v>
      </c>
    </row>
    <row r="92" spans="1:12" x14ac:dyDescent="0.3">
      <c r="A92" s="8" t="s">
        <v>5668</v>
      </c>
      <c r="B92" s="8">
        <f t="shared" si="7"/>
        <v>600090</v>
      </c>
      <c r="C92" s="1" t="s">
        <v>7004</v>
      </c>
      <c r="D92" s="9">
        <f ca="1">VLOOKUP(C92,Project.csv!E:Q,13,FALSE)</f>
        <v>200015</v>
      </c>
      <c r="E92" s="8" t="str">
        <f t="shared" ca="1" si="8"/>
        <v>rg:{'id':'200015'}</v>
      </c>
      <c r="F92" s="9" t="s">
        <v>7058</v>
      </c>
      <c r="G92" s="9" t="str">
        <f ca="1">INDEX(DistrictEquipmentTypes.csv!F:F,RANDBETWEEN(2,COUNTA(DistrictEquipmentTypes.csv!D:D)),1)</f>
        <v>200001</v>
      </c>
      <c r="H92" s="8" t="str">
        <f t="shared" ca="1" si="9"/>
        <v>rg:{ 'id': '200001'}</v>
      </c>
      <c r="I92" s="8">
        <f t="shared" ca="1" si="10"/>
        <v>1</v>
      </c>
      <c r="J92" s="8">
        <f t="shared" ca="1" si="11"/>
        <v>54</v>
      </c>
      <c r="K92" s="8" t="str">
        <f t="shared" ca="1" si="12"/>
        <v>2017-05-07</v>
      </c>
      <c r="L92" s="8" t="str">
        <f t="shared" ca="1" si="13"/>
        <v>2017-05-13</v>
      </c>
    </row>
    <row r="93" spans="1:12" x14ac:dyDescent="0.3">
      <c r="A93" s="8" t="s">
        <v>5668</v>
      </c>
      <c r="B93" s="8">
        <f t="shared" si="7"/>
        <v>600091</v>
      </c>
      <c r="C93" s="1" t="s">
        <v>7005</v>
      </c>
      <c r="D93" s="9">
        <f ca="1">VLOOKUP(C93,Project.csv!E:Q,13,FALSE)</f>
        <v>200034</v>
      </c>
      <c r="E93" s="8" t="str">
        <f t="shared" ca="1" si="8"/>
        <v>rg:{'id':'200034'}</v>
      </c>
      <c r="F93" s="9" t="s">
        <v>7057</v>
      </c>
      <c r="G93" s="9" t="str">
        <f ca="1">INDEX(DistrictEquipmentTypes.csv!F:F,RANDBETWEEN(2,COUNTA(DistrictEquipmentTypes.csv!D:D)),1)</f>
        <v>200000</v>
      </c>
      <c r="H93" s="8" t="str">
        <f t="shared" ca="1" si="9"/>
        <v>rg:{ 'id': '200000'}</v>
      </c>
      <c r="I93" s="8">
        <f t="shared" ca="1" si="10"/>
        <v>1</v>
      </c>
      <c r="J93" s="8">
        <f t="shared" ca="1" si="11"/>
        <v>61</v>
      </c>
      <c r="K93" s="8" t="str">
        <f t="shared" ca="1" si="12"/>
        <v>2017-03-29</v>
      </c>
      <c r="L93" s="8" t="str">
        <f t="shared" ca="1" si="13"/>
        <v>2017-04-05</v>
      </c>
    </row>
    <row r="94" spans="1:12" x14ac:dyDescent="0.3">
      <c r="A94" s="8" t="s">
        <v>5668</v>
      </c>
      <c r="B94" s="8">
        <f t="shared" si="7"/>
        <v>600092</v>
      </c>
      <c r="C94" s="1" t="s">
        <v>7006</v>
      </c>
      <c r="D94" s="9">
        <f ca="1">VLOOKUP(C94,Project.csv!E:Q,13,FALSE)</f>
        <v>200021</v>
      </c>
      <c r="E94" s="8" t="str">
        <f t="shared" ca="1" si="8"/>
        <v>rg:{'id':'200021'}</v>
      </c>
      <c r="F94" s="9" t="s">
        <v>7058</v>
      </c>
      <c r="G94" s="9" t="str">
        <f ca="1">INDEX(DistrictEquipmentTypes.csv!F:F,RANDBETWEEN(2,COUNTA(DistrictEquipmentTypes.csv!D:D)),1)</f>
        <v>200005</v>
      </c>
      <c r="H94" s="8" t="str">
        <f t="shared" ca="1" si="9"/>
        <v>rg:{ 'id': '200005'}</v>
      </c>
      <c r="I94" s="8">
        <f t="shared" ca="1" si="10"/>
        <v>1</v>
      </c>
      <c r="J94" s="8">
        <f t="shared" ca="1" si="11"/>
        <v>29</v>
      </c>
      <c r="K94" s="8" t="str">
        <f t="shared" ca="1" si="12"/>
        <v>2017-05-08</v>
      </c>
      <c r="L94" s="8" t="str">
        <f t="shared" ca="1" si="13"/>
        <v>2017-05-11</v>
      </c>
    </row>
    <row r="95" spans="1:12" x14ac:dyDescent="0.3">
      <c r="A95" s="8" t="s">
        <v>5668</v>
      </c>
      <c r="B95" s="8">
        <f t="shared" si="7"/>
        <v>600093</v>
      </c>
      <c r="C95" s="1" t="s">
        <v>6915</v>
      </c>
      <c r="D95" s="9">
        <f ca="1">VLOOKUP(C95,Project.csv!E:Q,13,FALSE)</f>
        <v>200026</v>
      </c>
      <c r="E95" s="8" t="str">
        <f t="shared" ca="1" si="8"/>
        <v>rg:{'id':'200026'}</v>
      </c>
      <c r="F95" s="9" t="s">
        <v>7057</v>
      </c>
      <c r="G95" s="9" t="str">
        <f ca="1">INDEX(DistrictEquipmentTypes.csv!F:F,RANDBETWEEN(2,COUNTA(DistrictEquipmentTypes.csv!D:D)),1)</f>
        <v>200005</v>
      </c>
      <c r="H95" s="8" t="str">
        <f t="shared" ca="1" si="9"/>
        <v>rg:{ 'id': '200005'}</v>
      </c>
      <c r="I95" s="8">
        <f t="shared" ca="1" si="10"/>
        <v>1</v>
      </c>
      <c r="J95" s="8">
        <f t="shared" ca="1" si="11"/>
        <v>96</v>
      </c>
      <c r="K95" s="8" t="str">
        <f t="shared" ca="1" si="12"/>
        <v>2017-05-13</v>
      </c>
      <c r="L95" s="8" t="str">
        <f t="shared" ca="1" si="13"/>
        <v>2017-05-25</v>
      </c>
    </row>
    <row r="96" spans="1:12" x14ac:dyDescent="0.3">
      <c r="A96" s="8" t="s">
        <v>5668</v>
      </c>
      <c r="B96" s="8">
        <f t="shared" si="7"/>
        <v>600094</v>
      </c>
      <c r="C96" s="1" t="s">
        <v>7007</v>
      </c>
      <c r="D96" s="9">
        <f ca="1">VLOOKUP(C96,Project.csv!E:Q,13,FALSE)</f>
        <v>200056</v>
      </c>
      <c r="E96" s="8" t="str">
        <f t="shared" ca="1" si="8"/>
        <v>rg:{'id':'200056'}</v>
      </c>
      <c r="F96" s="9" t="s">
        <v>7059</v>
      </c>
      <c r="G96" s="9" t="str">
        <f ca="1">INDEX(DistrictEquipmentTypes.csv!F:F,RANDBETWEEN(2,COUNTA(DistrictEquipmentTypes.csv!D:D)),1)</f>
        <v>200009</v>
      </c>
      <c r="H96" s="8" t="str">
        <f t="shared" ca="1" si="9"/>
        <v>rg:{ 'id': '200009'}</v>
      </c>
      <c r="I96" s="8">
        <f t="shared" ca="1" si="10"/>
        <v>1</v>
      </c>
      <c r="J96" s="8">
        <f t="shared" ca="1" si="11"/>
        <v>36</v>
      </c>
      <c r="K96" s="8" t="str">
        <f t="shared" ca="1" si="12"/>
        <v>2017-03-23</v>
      </c>
      <c r="L96" s="8" t="str">
        <f t="shared" ca="1" si="13"/>
        <v>2017-03-27</v>
      </c>
    </row>
    <row r="97" spans="1:12" x14ac:dyDescent="0.3">
      <c r="A97" s="8" t="s">
        <v>5668</v>
      </c>
      <c r="B97" s="8">
        <f t="shared" si="7"/>
        <v>600095</v>
      </c>
      <c r="C97" s="1" t="s">
        <v>7008</v>
      </c>
      <c r="D97" s="9">
        <f ca="1">VLOOKUP(C97,Project.csv!E:Q,13,FALSE)</f>
        <v>200055</v>
      </c>
      <c r="E97" s="8" t="str">
        <f t="shared" ca="1" si="8"/>
        <v>rg:{'id':'200055'}</v>
      </c>
      <c r="F97" s="9" t="s">
        <v>7057</v>
      </c>
      <c r="G97" s="9" t="str">
        <f ca="1">INDEX(DistrictEquipmentTypes.csv!F:F,RANDBETWEEN(2,COUNTA(DistrictEquipmentTypes.csv!D:D)),1)</f>
        <v>200002</v>
      </c>
      <c r="H97" s="8" t="str">
        <f t="shared" ca="1" si="9"/>
        <v>rg:{ 'id': '200002'}</v>
      </c>
      <c r="I97" s="8">
        <f t="shared" ca="1" si="10"/>
        <v>1</v>
      </c>
      <c r="J97" s="8">
        <f t="shared" ca="1" si="11"/>
        <v>96</v>
      </c>
      <c r="K97" s="8" t="str">
        <f t="shared" ca="1" si="12"/>
        <v>2017-04-30</v>
      </c>
      <c r="L97" s="8" t="str">
        <f t="shared" ca="1" si="13"/>
        <v>2017-05-12</v>
      </c>
    </row>
    <row r="98" spans="1:12" x14ac:dyDescent="0.3">
      <c r="A98" s="8" t="s">
        <v>5668</v>
      </c>
      <c r="B98" s="8">
        <f t="shared" si="7"/>
        <v>600096</v>
      </c>
      <c r="C98" s="1" t="s">
        <v>7009</v>
      </c>
      <c r="D98" s="9">
        <f ca="1">VLOOKUP(C98,Project.csv!E:Q,13,FALSE)</f>
        <v>200033</v>
      </c>
      <c r="E98" s="8" t="str">
        <f t="shared" ca="1" si="8"/>
        <v>rg:{'id':'200033'}</v>
      </c>
      <c r="F98" s="9" t="s">
        <v>7059</v>
      </c>
      <c r="G98" s="9" t="str">
        <f ca="1">INDEX(DistrictEquipmentTypes.csv!F:F,RANDBETWEEN(2,COUNTA(DistrictEquipmentTypes.csv!D:D)),1)</f>
        <v>200007</v>
      </c>
      <c r="H98" s="8" t="str">
        <f t="shared" ca="1" si="9"/>
        <v>rg:{ 'id': '200007'}</v>
      </c>
      <c r="I98" s="8">
        <f t="shared" ca="1" si="10"/>
        <v>1</v>
      </c>
      <c r="J98" s="8">
        <f t="shared" ca="1" si="11"/>
        <v>18</v>
      </c>
      <c r="K98" s="8" t="str">
        <f t="shared" ca="1" si="12"/>
        <v>2017-04-06</v>
      </c>
      <c r="L98" s="8" t="str">
        <f t="shared" ca="1" si="13"/>
        <v>2017-04-08</v>
      </c>
    </row>
    <row r="99" spans="1:12" x14ac:dyDescent="0.3">
      <c r="A99" s="8" t="s">
        <v>5668</v>
      </c>
      <c r="B99" s="8">
        <f t="shared" si="7"/>
        <v>600097</v>
      </c>
      <c r="C99" s="1" t="s">
        <v>7010</v>
      </c>
      <c r="D99" s="9">
        <f ca="1">VLOOKUP(C99,Project.csv!E:Q,13,FALSE)</f>
        <v>200085</v>
      </c>
      <c r="E99" s="8" t="str">
        <f t="shared" ca="1" si="8"/>
        <v>rg:{'id':'200085'}</v>
      </c>
      <c r="F99" s="9" t="s">
        <v>7057</v>
      </c>
      <c r="G99" s="9" t="str">
        <f ca="1">INDEX(DistrictEquipmentTypes.csv!F:F,RANDBETWEEN(2,COUNTA(DistrictEquipmentTypes.csv!D:D)),1)</f>
        <v>200007</v>
      </c>
      <c r="H99" s="8" t="str">
        <f t="shared" ca="1" si="9"/>
        <v>rg:{ 'id': '200007'}</v>
      </c>
      <c r="I99" s="8">
        <f t="shared" ca="1" si="10"/>
        <v>1</v>
      </c>
      <c r="J99" s="8">
        <f t="shared" ca="1" si="11"/>
        <v>26</v>
      </c>
      <c r="K99" s="8" t="str">
        <f t="shared" ca="1" si="12"/>
        <v>2017-05-08</v>
      </c>
      <c r="L99" s="8" t="str">
        <f t="shared" ca="1" si="13"/>
        <v>2017-05-11</v>
      </c>
    </row>
    <row r="100" spans="1:12" x14ac:dyDescent="0.3">
      <c r="A100" s="8" t="s">
        <v>5668</v>
      </c>
      <c r="B100" s="8">
        <f t="shared" si="7"/>
        <v>600098</v>
      </c>
      <c r="C100" s="1" t="s">
        <v>7011</v>
      </c>
      <c r="D100" s="9">
        <f ca="1">VLOOKUP(C100,Project.csv!E:Q,13,FALSE)</f>
        <v>200050</v>
      </c>
      <c r="E100" s="8" t="str">
        <f t="shared" ca="1" si="8"/>
        <v>rg:{'id':'200050'}</v>
      </c>
      <c r="F100" s="9" t="s">
        <v>7057</v>
      </c>
      <c r="G100" s="9" t="str">
        <f ca="1">INDEX(DistrictEquipmentTypes.csv!F:F,RANDBETWEEN(2,COUNTA(DistrictEquipmentTypes.csv!D:D)),1)</f>
        <v>200009</v>
      </c>
      <c r="H100" s="8" t="str">
        <f t="shared" ca="1" si="9"/>
        <v>rg:{ 'id': '200009'}</v>
      </c>
      <c r="I100" s="8">
        <f t="shared" ca="1" si="10"/>
        <v>1</v>
      </c>
      <c r="J100" s="8">
        <f t="shared" ca="1" si="11"/>
        <v>58</v>
      </c>
      <c r="K100" s="8" t="str">
        <f t="shared" ca="1" si="12"/>
        <v>2017-03-23</v>
      </c>
      <c r="L100" s="8" t="str">
        <f t="shared" ca="1" si="13"/>
        <v>2017-03-30</v>
      </c>
    </row>
    <row r="101" spans="1:12" x14ac:dyDescent="0.3">
      <c r="A101" s="8" t="s">
        <v>5668</v>
      </c>
      <c r="B101" s="8">
        <f t="shared" si="7"/>
        <v>600099</v>
      </c>
      <c r="C101" s="1" t="s">
        <v>6922</v>
      </c>
      <c r="D101" s="9">
        <f ca="1">VLOOKUP(C101,Project.csv!E:Q,13,FALSE)</f>
        <v>200034</v>
      </c>
      <c r="E101" s="8" t="str">
        <f t="shared" ca="1" si="8"/>
        <v>rg:{'id':'200034'}</v>
      </c>
      <c r="F101" s="9" t="s">
        <v>7057</v>
      </c>
      <c r="G101" s="9" t="str">
        <f ca="1">INDEX(DistrictEquipmentTypes.csv!F:F,RANDBETWEEN(2,COUNTA(DistrictEquipmentTypes.csv!D:D)),1)</f>
        <v>200002</v>
      </c>
      <c r="H101" s="8" t="str">
        <f t="shared" ca="1" si="9"/>
        <v>rg:{ 'id': '200002'}</v>
      </c>
      <c r="I101" s="8">
        <f t="shared" ca="1" si="10"/>
        <v>1</v>
      </c>
      <c r="J101" s="8">
        <f t="shared" ca="1" si="11"/>
        <v>7</v>
      </c>
      <c r="K101" s="8" t="str">
        <f t="shared" ca="1" si="12"/>
        <v>2017-03-31</v>
      </c>
      <c r="L101" s="8" t="str">
        <f t="shared" ca="1" si="13"/>
        <v>2017-03-31</v>
      </c>
    </row>
    <row r="102" spans="1:12" x14ac:dyDescent="0.3">
      <c r="A102" s="8" t="s">
        <v>5668</v>
      </c>
      <c r="B102" s="8">
        <f t="shared" si="7"/>
        <v>600100</v>
      </c>
      <c r="C102" s="1" t="s">
        <v>7012</v>
      </c>
      <c r="D102" s="9">
        <f ca="1">VLOOKUP(C102,Project.csv!E:Q,13,FALSE)</f>
        <v>200086</v>
      </c>
      <c r="E102" s="8" t="str">
        <f t="shared" ca="1" si="8"/>
        <v>rg:{'id':'200086'}</v>
      </c>
      <c r="F102" s="9" t="s">
        <v>7057</v>
      </c>
      <c r="G102" s="9" t="str">
        <f ca="1">INDEX(DistrictEquipmentTypes.csv!F:F,RANDBETWEEN(2,COUNTA(DistrictEquipmentTypes.csv!D:D)),1)</f>
        <v>200009</v>
      </c>
      <c r="H102" s="8" t="str">
        <f t="shared" ca="1" si="9"/>
        <v>rg:{ 'id': '200009'}</v>
      </c>
      <c r="I102" s="8">
        <f t="shared" ca="1" si="10"/>
        <v>1</v>
      </c>
      <c r="J102" s="8">
        <f t="shared" ca="1" si="11"/>
        <v>99</v>
      </c>
      <c r="K102" s="8" t="str">
        <f t="shared" ca="1" si="12"/>
        <v>2017-03-31</v>
      </c>
      <c r="L102" s="8" t="str">
        <f t="shared" ca="1" si="13"/>
        <v>2017-04-12</v>
      </c>
    </row>
    <row r="103" spans="1:12" x14ac:dyDescent="0.3">
      <c r="A103" s="8" t="s">
        <v>5668</v>
      </c>
      <c r="B103" s="8">
        <f t="shared" si="7"/>
        <v>600101</v>
      </c>
      <c r="C103" s="1" t="s">
        <v>6906</v>
      </c>
      <c r="D103" s="9">
        <f ca="1">VLOOKUP(C103,Project.csv!E:Q,13,FALSE)</f>
        <v>200019</v>
      </c>
      <c r="E103" s="8" t="str">
        <f t="shared" ca="1" si="8"/>
        <v>rg:{'id':'200019'}</v>
      </c>
      <c r="F103" s="9" t="s">
        <v>7057</v>
      </c>
      <c r="G103" s="9" t="str">
        <f ca="1">INDEX(DistrictEquipmentTypes.csv!F:F,RANDBETWEEN(2,COUNTA(DistrictEquipmentTypes.csv!D:D)),1)</f>
        <v>200003</v>
      </c>
      <c r="H103" s="8" t="str">
        <f t="shared" ca="1" si="9"/>
        <v>rg:{ 'id': '200003'}</v>
      </c>
      <c r="I103" s="8">
        <f t="shared" ca="1" si="10"/>
        <v>1</v>
      </c>
      <c r="J103" s="8">
        <f t="shared" ca="1" si="11"/>
        <v>15</v>
      </c>
      <c r="K103" s="8" t="str">
        <f t="shared" ca="1" si="12"/>
        <v>2017-04-24</v>
      </c>
      <c r="L103" s="8" t="str">
        <f t="shared" ca="1" si="13"/>
        <v>2017-04-25</v>
      </c>
    </row>
    <row r="104" spans="1:12" x14ac:dyDescent="0.3">
      <c r="A104" s="8" t="s">
        <v>5668</v>
      </c>
      <c r="B104" s="8">
        <f t="shared" si="7"/>
        <v>600102</v>
      </c>
      <c r="C104" s="1" t="s">
        <v>7013</v>
      </c>
      <c r="D104" s="9">
        <f ca="1">VLOOKUP(C104,Project.csv!E:Q,13,FALSE)</f>
        <v>200064</v>
      </c>
      <c r="E104" s="8" t="str">
        <f t="shared" ca="1" si="8"/>
        <v>rg:{'id':'200064'}</v>
      </c>
      <c r="F104" s="9" t="s">
        <v>7057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1</v>
      </c>
      <c r="J104" s="8">
        <f t="shared" ca="1" si="11"/>
        <v>61</v>
      </c>
      <c r="K104" s="8" t="str">
        <f t="shared" ca="1" si="12"/>
        <v>2017-04-17</v>
      </c>
      <c r="L104" s="8" t="str">
        <f t="shared" ca="1" si="13"/>
        <v>2017-04-24</v>
      </c>
    </row>
    <row r="105" spans="1:12" x14ac:dyDescent="0.3">
      <c r="A105" s="8" t="s">
        <v>5668</v>
      </c>
      <c r="B105" s="8">
        <f t="shared" si="7"/>
        <v>600103</v>
      </c>
      <c r="C105" s="1" t="s">
        <v>7014</v>
      </c>
      <c r="D105" s="9">
        <f ca="1">VLOOKUP(C105,Project.csv!E:Q,13,FALSE)</f>
        <v>200058</v>
      </c>
      <c r="E105" s="8" t="str">
        <f t="shared" ca="1" si="8"/>
        <v>rg:{'id':'200058'}</v>
      </c>
      <c r="F105" s="9" t="s">
        <v>7057</v>
      </c>
      <c r="G105" s="9" t="str">
        <f ca="1">INDEX(DistrictEquipmentTypes.csv!F:F,RANDBETWEEN(2,COUNTA(DistrictEquipmentTypes.csv!D:D)),1)</f>
        <v>200006</v>
      </c>
      <c r="H105" s="8" t="str">
        <f t="shared" ca="1" si="9"/>
        <v>rg:{ 'id': '200006'}</v>
      </c>
      <c r="I105" s="8">
        <f t="shared" ca="1" si="10"/>
        <v>3</v>
      </c>
      <c r="J105" s="8">
        <f t="shared" ca="1" si="11"/>
        <v>12</v>
      </c>
      <c r="K105" s="8" t="str">
        <f t="shared" ca="1" si="12"/>
        <v>2017-05-11</v>
      </c>
      <c r="L105" s="8" t="str">
        <f t="shared" ca="1" si="13"/>
        <v>2017-05-15</v>
      </c>
    </row>
    <row r="106" spans="1:12" x14ac:dyDescent="0.3">
      <c r="A106" s="8" t="s">
        <v>5668</v>
      </c>
      <c r="B106" s="8">
        <f t="shared" si="7"/>
        <v>600104</v>
      </c>
      <c r="C106" s="1" t="s">
        <v>6937</v>
      </c>
      <c r="D106" s="9">
        <f ca="1">VLOOKUP(C106,Project.csv!E:Q,13,FALSE)</f>
        <v>200037</v>
      </c>
      <c r="E106" s="8" t="str">
        <f t="shared" ca="1" si="8"/>
        <v>rg:{'id':'200037'}</v>
      </c>
      <c r="F106" s="9" t="s">
        <v>7057</v>
      </c>
      <c r="G106" s="9" t="str">
        <f ca="1">INDEX(DistrictEquipmentTypes.csv!F:F,RANDBETWEEN(2,COUNTA(DistrictEquipmentTypes.csv!D:D)),1)</f>
        <v>200001</v>
      </c>
      <c r="H106" s="8" t="str">
        <f t="shared" ca="1" si="9"/>
        <v>rg:{ 'id': '200001'}</v>
      </c>
      <c r="I106" s="8">
        <f t="shared" ca="1" si="10"/>
        <v>1</v>
      </c>
      <c r="J106" s="8">
        <f t="shared" ca="1" si="11"/>
        <v>45</v>
      </c>
      <c r="K106" s="8" t="str">
        <f t="shared" ca="1" si="12"/>
        <v>2017-04-27</v>
      </c>
      <c r="L106" s="8" t="str">
        <f t="shared" ca="1" si="13"/>
        <v>2017-05-02</v>
      </c>
    </row>
    <row r="107" spans="1:12" x14ac:dyDescent="0.3">
      <c r="A107" s="8" t="s">
        <v>5668</v>
      </c>
      <c r="B107" s="8">
        <f t="shared" si="7"/>
        <v>600105</v>
      </c>
      <c r="C107" s="1" t="s">
        <v>6907</v>
      </c>
      <c r="D107" s="9">
        <f ca="1">VLOOKUP(C107,Project.csv!E:Q,13,FALSE)</f>
        <v>200047</v>
      </c>
      <c r="E107" s="8" t="str">
        <f t="shared" ca="1" si="8"/>
        <v>rg:{'id':'200047'}</v>
      </c>
      <c r="F107" s="9" t="s">
        <v>7057</v>
      </c>
      <c r="G107" s="9" t="str">
        <f ca="1">INDEX(DistrictEquipmentTypes.csv!F:F,RANDBETWEEN(2,COUNTA(DistrictEquipmentTypes.csv!D:D)),1)</f>
        <v>200000</v>
      </c>
      <c r="H107" s="8" t="str">
        <f t="shared" ca="1" si="9"/>
        <v>rg:{ 'id': '200000'}</v>
      </c>
      <c r="I107" s="8">
        <f t="shared" ca="1" si="10"/>
        <v>1</v>
      </c>
      <c r="J107" s="8">
        <f t="shared" ca="1" si="11"/>
        <v>6</v>
      </c>
      <c r="K107" s="8" t="str">
        <f t="shared" ca="1" si="12"/>
        <v>2017-05-03</v>
      </c>
      <c r="L107" s="8" t="str">
        <f t="shared" ca="1" si="13"/>
        <v>2017-05-03</v>
      </c>
    </row>
    <row r="108" spans="1:12" x14ac:dyDescent="0.3">
      <c r="A108" s="8" t="s">
        <v>5668</v>
      </c>
      <c r="B108" s="8">
        <f t="shared" si="7"/>
        <v>600106</v>
      </c>
      <c r="C108" s="1" t="s">
        <v>7015</v>
      </c>
      <c r="D108" s="9">
        <f ca="1">VLOOKUP(C108,Project.csv!E:Q,13,FALSE)</f>
        <v>200053</v>
      </c>
      <c r="E108" s="8" t="str">
        <f t="shared" ca="1" si="8"/>
        <v>rg:{'id':'200053'}</v>
      </c>
      <c r="F108" s="9" t="s">
        <v>7057</v>
      </c>
      <c r="G108" s="9" t="str">
        <f ca="1">INDEX(DistrictEquipmentTypes.csv!F:F,RANDBETWEEN(2,COUNTA(DistrictEquipmentTypes.csv!D:D)),1)</f>
        <v>200002</v>
      </c>
      <c r="H108" s="8" t="str">
        <f t="shared" ca="1" si="9"/>
        <v>rg:{ 'id': '200002'}</v>
      </c>
      <c r="I108" s="8">
        <f t="shared" ca="1" si="10"/>
        <v>4</v>
      </c>
      <c r="J108" s="8">
        <f t="shared" ca="1" si="11"/>
        <v>46</v>
      </c>
      <c r="K108" s="8" t="str">
        <f t="shared" ca="1" si="12"/>
        <v>2017-04-17</v>
      </c>
      <c r="L108" s="8" t="str">
        <f t="shared" ca="1" si="13"/>
        <v>2017-05-10</v>
      </c>
    </row>
    <row r="109" spans="1:12" x14ac:dyDescent="0.3">
      <c r="A109" s="8" t="s">
        <v>5668</v>
      </c>
      <c r="B109" s="8">
        <f t="shared" si="7"/>
        <v>600107</v>
      </c>
      <c r="C109" s="1" t="s">
        <v>7016</v>
      </c>
      <c r="D109" s="9">
        <f ca="1">VLOOKUP(C109,Project.csv!E:Q,13,FALSE)</f>
        <v>200012</v>
      </c>
      <c r="E109" s="8" t="str">
        <f t="shared" ca="1" si="8"/>
        <v>rg:{'id':'200012'}</v>
      </c>
      <c r="F109" s="9" t="s">
        <v>7057</v>
      </c>
      <c r="G109" s="9" t="str">
        <f ca="1">INDEX(DistrictEquipmentTypes.csv!F:F,RANDBETWEEN(2,COUNTA(DistrictEquipmentTypes.csv!D:D)),1)</f>
        <v>200001</v>
      </c>
      <c r="H109" s="8" t="str">
        <f t="shared" ca="1" si="9"/>
        <v>rg:{ 'id': '200001'}</v>
      </c>
      <c r="I109" s="8">
        <f t="shared" ca="1" si="10"/>
        <v>1</v>
      </c>
      <c r="J109" s="8">
        <f t="shared" ca="1" si="11"/>
        <v>63</v>
      </c>
      <c r="K109" s="8" t="str">
        <f t="shared" ca="1" si="12"/>
        <v>2017-05-03</v>
      </c>
      <c r="L109" s="8" t="str">
        <f t="shared" ca="1" si="13"/>
        <v>2017-05-10</v>
      </c>
    </row>
    <row r="110" spans="1:12" x14ac:dyDescent="0.3">
      <c r="A110" s="8" t="s">
        <v>5668</v>
      </c>
      <c r="B110" s="8">
        <f t="shared" si="7"/>
        <v>600108</v>
      </c>
      <c r="C110" s="1" t="s">
        <v>7017</v>
      </c>
      <c r="D110" s="9">
        <f ca="1">VLOOKUP(C110,Project.csv!E:Q,13,FALSE)</f>
        <v>200085</v>
      </c>
      <c r="E110" s="8" t="str">
        <f t="shared" ca="1" si="8"/>
        <v>rg:{'id':'200085'}</v>
      </c>
      <c r="F110" s="9" t="s">
        <v>7057</v>
      </c>
      <c r="G110" s="9" t="str">
        <f ca="1">INDEX(DistrictEquipmentTypes.csv!F:F,RANDBETWEEN(2,COUNTA(DistrictEquipmentTypes.csv!D:D)),1)</f>
        <v>200000</v>
      </c>
      <c r="H110" s="8" t="str">
        <f t="shared" ca="1" si="9"/>
        <v>rg:{ 'id': '200000'}</v>
      </c>
      <c r="I110" s="8">
        <f t="shared" ca="1" si="10"/>
        <v>1</v>
      </c>
      <c r="J110" s="8">
        <f t="shared" ca="1" si="11"/>
        <v>10</v>
      </c>
      <c r="K110" s="8" t="str">
        <f t="shared" ca="1" si="12"/>
        <v>2017-04-01</v>
      </c>
      <c r="L110" s="8" t="str">
        <f t="shared" ca="1" si="13"/>
        <v>2017-04-02</v>
      </c>
    </row>
    <row r="111" spans="1:12" x14ac:dyDescent="0.3">
      <c r="A111" s="8" t="s">
        <v>5668</v>
      </c>
      <c r="B111" s="8">
        <f t="shared" si="7"/>
        <v>600109</v>
      </c>
      <c r="C111" s="1" t="s">
        <v>7018</v>
      </c>
      <c r="D111" s="9">
        <f ca="1">VLOOKUP(C111,Project.csv!E:Q,13,FALSE)</f>
        <v>200002</v>
      </c>
      <c r="E111" s="8" t="str">
        <f t="shared" ca="1" si="8"/>
        <v>rg:{'id':'200002'}</v>
      </c>
      <c r="F111" s="9" t="s">
        <v>7057</v>
      </c>
      <c r="G111" s="9" t="str">
        <f ca="1">INDEX(DistrictEquipmentTypes.csv!F:F,RANDBETWEEN(2,COUNTA(DistrictEquipmentTypes.csv!D:D)),1)</f>
        <v>200009</v>
      </c>
      <c r="H111" s="8" t="str">
        <f t="shared" ca="1" si="9"/>
        <v>rg:{ 'id': '200009'}</v>
      </c>
      <c r="I111" s="8">
        <f t="shared" ca="1" si="10"/>
        <v>1</v>
      </c>
      <c r="J111" s="8">
        <f t="shared" ca="1" si="11"/>
        <v>41</v>
      </c>
      <c r="K111" s="8" t="str">
        <f t="shared" ca="1" si="12"/>
        <v>2017-04-27</v>
      </c>
      <c r="L111" s="8" t="str">
        <f t="shared" ca="1" si="13"/>
        <v>2017-05-02</v>
      </c>
    </row>
    <row r="112" spans="1:12" x14ac:dyDescent="0.3">
      <c r="A112" s="8" t="s">
        <v>5668</v>
      </c>
      <c r="B112" s="8">
        <f t="shared" si="7"/>
        <v>600110</v>
      </c>
      <c r="C112" s="1" t="s">
        <v>7019</v>
      </c>
      <c r="D112" s="9">
        <f ca="1">VLOOKUP(C112,Project.csv!E:Q,13,FALSE)</f>
        <v>200040</v>
      </c>
      <c r="E112" s="8" t="str">
        <f t="shared" ca="1" si="8"/>
        <v>rg:{'id':'200040'}</v>
      </c>
      <c r="F112" s="9" t="s">
        <v>7057</v>
      </c>
      <c r="G112" s="9" t="str">
        <f ca="1">INDEX(DistrictEquipmentTypes.csv!F:F,RANDBETWEEN(2,COUNTA(DistrictEquipmentTypes.csv!D:D)),1)</f>
        <v>200005</v>
      </c>
      <c r="H112" s="8" t="str">
        <f t="shared" ca="1" si="9"/>
        <v>rg:{ 'id': '200005'}</v>
      </c>
      <c r="I112" s="8">
        <f t="shared" ca="1" si="10"/>
        <v>1</v>
      </c>
      <c r="J112" s="8">
        <f t="shared" ca="1" si="11"/>
        <v>4</v>
      </c>
      <c r="K112" s="8" t="str">
        <f t="shared" ca="1" si="12"/>
        <v>2017-05-06</v>
      </c>
      <c r="L112" s="8" t="str">
        <f t="shared" ca="1" si="13"/>
        <v>2017-05-06</v>
      </c>
    </row>
    <row r="113" spans="1:12" x14ac:dyDescent="0.3">
      <c r="A113" s="8" t="s">
        <v>5668</v>
      </c>
      <c r="B113" s="8">
        <f t="shared" si="7"/>
        <v>600111</v>
      </c>
      <c r="C113" s="1" t="s">
        <v>7020</v>
      </c>
      <c r="D113" s="9">
        <f ca="1">VLOOKUP(C113,Project.csv!E:Q,13,FALSE)</f>
        <v>200025</v>
      </c>
      <c r="E113" s="8" t="str">
        <f t="shared" ca="1" si="8"/>
        <v>rg:{'id':'200025'}</v>
      </c>
      <c r="F113" s="9" t="s">
        <v>7057</v>
      </c>
      <c r="G113" s="9" t="str">
        <f ca="1">INDEX(DistrictEquipmentTypes.csv!F:F,RANDBETWEEN(2,COUNTA(DistrictEquipmentTypes.csv!D:D)),1)</f>
        <v>200000</v>
      </c>
      <c r="H113" s="8" t="str">
        <f t="shared" ca="1" si="9"/>
        <v>rg:{ 'id': '200000'}</v>
      </c>
      <c r="I113" s="8">
        <f t="shared" ca="1" si="10"/>
        <v>3</v>
      </c>
      <c r="J113" s="8">
        <f t="shared" ca="1" si="11"/>
        <v>80</v>
      </c>
      <c r="K113" s="8" t="str">
        <f t="shared" ca="1" si="12"/>
        <v>2017-05-05</v>
      </c>
      <c r="L113" s="8" t="str">
        <f t="shared" ca="1" si="13"/>
        <v>2017-06-04</v>
      </c>
    </row>
    <row r="114" spans="1:12" x14ac:dyDescent="0.3">
      <c r="A114" s="8" t="s">
        <v>5668</v>
      </c>
      <c r="B114" s="8">
        <f t="shared" si="7"/>
        <v>600112</v>
      </c>
      <c r="C114" s="1" t="s">
        <v>7021</v>
      </c>
      <c r="D114" s="9">
        <f ca="1">VLOOKUP(C114,Project.csv!E:Q,13,FALSE)</f>
        <v>200004</v>
      </c>
      <c r="E114" s="8" t="str">
        <f t="shared" ca="1" si="8"/>
        <v>rg:{'id':'200004'}</v>
      </c>
      <c r="F114" s="9" t="s">
        <v>7057</v>
      </c>
      <c r="G114" s="9" t="str">
        <f ca="1">INDEX(DistrictEquipmentTypes.csv!F:F,RANDBETWEEN(2,COUNTA(DistrictEquipmentTypes.csv!D:D)),1)</f>
        <v>200004</v>
      </c>
      <c r="H114" s="8" t="str">
        <f t="shared" ca="1" si="9"/>
        <v>rg:{ 'id': '200004'}</v>
      </c>
      <c r="I114" s="8">
        <f t="shared" ca="1" si="10"/>
        <v>1</v>
      </c>
      <c r="J114" s="8">
        <f t="shared" ca="1" si="11"/>
        <v>22</v>
      </c>
      <c r="K114" s="8" t="str">
        <f t="shared" ca="1" si="12"/>
        <v>2017-04-27</v>
      </c>
      <c r="L114" s="8" t="str">
        <f t="shared" ca="1" si="13"/>
        <v>2017-04-29</v>
      </c>
    </row>
    <row r="115" spans="1:12" x14ac:dyDescent="0.3">
      <c r="A115" s="8" t="s">
        <v>5668</v>
      </c>
      <c r="B115" s="8">
        <f t="shared" si="7"/>
        <v>600113</v>
      </c>
      <c r="C115" s="1" t="s">
        <v>6900</v>
      </c>
      <c r="D115" s="9">
        <f ca="1">VLOOKUP(C115,Project.csv!E:Q,13,FALSE)</f>
        <v>200043</v>
      </c>
      <c r="E115" s="8" t="str">
        <f t="shared" ca="1" si="8"/>
        <v>rg:{'id':'200043'}</v>
      </c>
      <c r="F115" s="9" t="s">
        <v>7057</v>
      </c>
      <c r="G115" s="9" t="str">
        <f ca="1">INDEX(DistrictEquipmentTypes.csv!F:F,RANDBETWEEN(2,COUNTA(DistrictEquipmentTypes.csv!D:D)),1)</f>
        <v>200000</v>
      </c>
      <c r="H115" s="8" t="str">
        <f t="shared" ca="1" si="9"/>
        <v>rg:{ 'id': '200000'}</v>
      </c>
      <c r="I115" s="8">
        <f t="shared" ca="1" si="10"/>
        <v>1</v>
      </c>
      <c r="J115" s="8">
        <f t="shared" ca="1" si="11"/>
        <v>38</v>
      </c>
      <c r="K115" s="8" t="str">
        <f t="shared" ca="1" si="12"/>
        <v>2017-04-20</v>
      </c>
      <c r="L115" s="8" t="str">
        <f t="shared" ca="1" si="13"/>
        <v>2017-04-24</v>
      </c>
    </row>
    <row r="116" spans="1:12" x14ac:dyDescent="0.3">
      <c r="A116" s="8" t="s">
        <v>5668</v>
      </c>
      <c r="B116" s="8">
        <f t="shared" si="7"/>
        <v>600114</v>
      </c>
      <c r="C116" s="1" t="s">
        <v>7022</v>
      </c>
      <c r="D116" s="9">
        <f ca="1">VLOOKUP(C116,Project.csv!E:Q,13,FALSE)</f>
        <v>200009</v>
      </c>
      <c r="E116" s="8" t="str">
        <f t="shared" ca="1" si="8"/>
        <v>rg:{'id':'200009'}</v>
      </c>
      <c r="F116" s="9" t="s">
        <v>7057</v>
      </c>
      <c r="G116" s="9" t="str">
        <f ca="1">INDEX(DistrictEquipmentTypes.csv!F:F,RANDBETWEEN(2,COUNTA(DistrictEquipmentTypes.csv!D:D)),1)</f>
        <v>200009</v>
      </c>
      <c r="H116" s="8" t="str">
        <f t="shared" ca="1" si="9"/>
        <v>rg:{ 'id': '200009'}</v>
      </c>
      <c r="I116" s="8">
        <f t="shared" ca="1" si="10"/>
        <v>1</v>
      </c>
      <c r="J116" s="8">
        <f t="shared" ca="1" si="11"/>
        <v>95</v>
      </c>
      <c r="K116" s="8" t="str">
        <f t="shared" ca="1" si="12"/>
        <v>2017-03-31</v>
      </c>
      <c r="L116" s="8" t="str">
        <f t="shared" ca="1" si="13"/>
        <v>2017-04-11</v>
      </c>
    </row>
    <row r="117" spans="1:12" x14ac:dyDescent="0.3">
      <c r="A117" s="8" t="s">
        <v>5668</v>
      </c>
      <c r="B117" s="8">
        <f t="shared" si="7"/>
        <v>600115</v>
      </c>
      <c r="C117" s="1" t="s">
        <v>6927</v>
      </c>
      <c r="D117" s="9">
        <f ca="1">VLOOKUP(C117,Project.csv!E:Q,13,FALSE)</f>
        <v>200015</v>
      </c>
      <c r="E117" s="8" t="str">
        <f t="shared" ca="1" si="8"/>
        <v>rg:{'id':'200015'}</v>
      </c>
      <c r="F117" s="9" t="s">
        <v>7057</v>
      </c>
      <c r="G117" s="9" t="str">
        <f ca="1">INDEX(DistrictEquipmentTypes.csv!F:F,RANDBETWEEN(2,COUNTA(DistrictEquipmentTypes.csv!D:D)),1)</f>
        <v>200005</v>
      </c>
      <c r="H117" s="8" t="str">
        <f t="shared" ca="1" si="9"/>
        <v>rg:{ 'id': '200005'}</v>
      </c>
      <c r="I117" s="8">
        <f t="shared" ca="1" si="10"/>
        <v>1</v>
      </c>
      <c r="J117" s="8">
        <f t="shared" ca="1" si="11"/>
        <v>50</v>
      </c>
      <c r="K117" s="8" t="str">
        <f t="shared" ca="1" si="12"/>
        <v>2017-04-19</v>
      </c>
      <c r="L117" s="8" t="str">
        <f t="shared" ca="1" si="13"/>
        <v>2017-04-25</v>
      </c>
    </row>
    <row r="118" spans="1:12" x14ac:dyDescent="0.3">
      <c r="A118" s="8" t="s">
        <v>5668</v>
      </c>
      <c r="B118" s="8">
        <f t="shared" si="7"/>
        <v>600116</v>
      </c>
      <c r="C118" s="1" t="s">
        <v>6921</v>
      </c>
      <c r="D118" s="9">
        <f ca="1">VLOOKUP(C118,Project.csv!E:Q,13,FALSE)</f>
        <v>200036</v>
      </c>
      <c r="E118" s="8" t="str">
        <f t="shared" ca="1" si="8"/>
        <v>rg:{'id':'200036'}</v>
      </c>
      <c r="F118" s="9" t="s">
        <v>7057</v>
      </c>
      <c r="G118" s="9" t="str">
        <f ca="1">INDEX(DistrictEquipmentTypes.csv!F:F,RANDBETWEEN(2,COUNTA(DistrictEquipmentTypes.csv!D:D)),1)</f>
        <v>200000</v>
      </c>
      <c r="H118" s="8" t="str">
        <f t="shared" ca="1" si="9"/>
        <v>rg:{ 'id': '200000'}</v>
      </c>
      <c r="I118" s="8">
        <f t="shared" ca="1" si="10"/>
        <v>1</v>
      </c>
      <c r="J118" s="8">
        <f t="shared" ca="1" si="11"/>
        <v>27</v>
      </c>
      <c r="K118" s="8" t="str">
        <f t="shared" ca="1" si="12"/>
        <v>2017-03-21</v>
      </c>
      <c r="L118" s="8" t="str">
        <f t="shared" ca="1" si="13"/>
        <v>2017-03-24</v>
      </c>
    </row>
    <row r="119" spans="1:12" x14ac:dyDescent="0.3">
      <c r="A119" s="8" t="s">
        <v>5668</v>
      </c>
      <c r="B119" s="8">
        <f t="shared" si="7"/>
        <v>600117</v>
      </c>
      <c r="C119" s="1" t="s">
        <v>7023</v>
      </c>
      <c r="D119" s="9">
        <f ca="1">VLOOKUP(C119,Project.csv!E:Q,13,FALSE)</f>
        <v>200064</v>
      </c>
      <c r="E119" s="8" t="str">
        <f t="shared" ca="1" si="8"/>
        <v>rg:{'id':'200064'}</v>
      </c>
      <c r="F119" s="9" t="s">
        <v>7057</v>
      </c>
      <c r="G119" s="9" t="str">
        <f ca="1">INDEX(DistrictEquipmentTypes.csv!F:F,RANDBETWEEN(2,COUNTA(DistrictEquipmentTypes.csv!D:D)),1)</f>
        <v>200001</v>
      </c>
      <c r="H119" s="8" t="str">
        <f t="shared" ca="1" si="9"/>
        <v>rg:{ 'id': '200001'}</v>
      </c>
      <c r="I119" s="8">
        <f t="shared" ca="1" si="10"/>
        <v>1</v>
      </c>
      <c r="J119" s="8">
        <f t="shared" ca="1" si="11"/>
        <v>83</v>
      </c>
      <c r="K119" s="8" t="str">
        <f t="shared" ca="1" si="12"/>
        <v>2017-04-16</v>
      </c>
      <c r="L119" s="8" t="str">
        <f t="shared" ca="1" si="13"/>
        <v>2017-04-26</v>
      </c>
    </row>
    <row r="120" spans="1:12" x14ac:dyDescent="0.3">
      <c r="A120" s="8" t="s">
        <v>5668</v>
      </c>
      <c r="B120" s="8">
        <f t="shared" si="7"/>
        <v>600118</v>
      </c>
      <c r="C120" s="1" t="s">
        <v>7024</v>
      </c>
      <c r="D120" s="9">
        <f ca="1">VLOOKUP(C120,Project.csv!E:Q,13,FALSE)</f>
        <v>200052</v>
      </c>
      <c r="E120" s="8" t="str">
        <f t="shared" ca="1" si="8"/>
        <v>rg:{'id':'200052'}</v>
      </c>
      <c r="F120" s="9" t="s">
        <v>7057</v>
      </c>
      <c r="G120" s="9" t="str">
        <f ca="1">INDEX(DistrictEquipmentTypes.csv!F:F,RANDBETWEEN(2,COUNTA(DistrictEquipmentTypes.csv!D:D)),1)</f>
        <v>200000</v>
      </c>
      <c r="H120" s="8" t="str">
        <f t="shared" ca="1" si="9"/>
        <v>rg:{ 'id': '200000'}</v>
      </c>
      <c r="I120" s="8">
        <f t="shared" ca="1" si="10"/>
        <v>1</v>
      </c>
      <c r="J120" s="8">
        <f t="shared" ca="1" si="11"/>
        <v>56</v>
      </c>
      <c r="K120" s="8" t="str">
        <f t="shared" ca="1" si="12"/>
        <v>2017-05-15</v>
      </c>
      <c r="L120" s="8" t="str">
        <f t="shared" ca="1" si="13"/>
        <v>2017-05-22</v>
      </c>
    </row>
    <row r="121" spans="1:12" x14ac:dyDescent="0.3">
      <c r="A121" s="8" t="s">
        <v>5668</v>
      </c>
      <c r="B121" s="8">
        <f t="shared" si="7"/>
        <v>600119</v>
      </c>
      <c r="C121" s="1" t="s">
        <v>6909</v>
      </c>
      <c r="D121" s="9">
        <f ca="1">VLOOKUP(C121,Project.csv!E:Q,13,FALSE)</f>
        <v>200079</v>
      </c>
      <c r="E121" s="8" t="str">
        <f t="shared" ca="1" si="8"/>
        <v>rg:{'id':'200079'}</v>
      </c>
      <c r="F121" s="9" t="s">
        <v>7057</v>
      </c>
      <c r="G121" s="9" t="str">
        <f ca="1">INDEX(DistrictEquipmentTypes.csv!F:F,RANDBETWEEN(2,COUNTA(DistrictEquipmentTypes.csv!D:D)),1)</f>
        <v>200001</v>
      </c>
      <c r="H121" s="8" t="str">
        <f t="shared" ca="1" si="9"/>
        <v>rg:{ 'id': '200001'}</v>
      </c>
      <c r="I121" s="8">
        <f t="shared" ca="1" si="10"/>
        <v>1</v>
      </c>
      <c r="J121" s="8">
        <f t="shared" ca="1" si="11"/>
        <v>96</v>
      </c>
      <c r="K121" s="8" t="str">
        <f t="shared" ca="1" si="12"/>
        <v>2017-04-16</v>
      </c>
      <c r="L121" s="8" t="str">
        <f t="shared" ca="1" si="13"/>
        <v>2017-04-28</v>
      </c>
    </row>
    <row r="122" spans="1:12" x14ac:dyDescent="0.3">
      <c r="A122" s="8" t="s">
        <v>5668</v>
      </c>
      <c r="B122" s="8">
        <f t="shared" si="7"/>
        <v>600120</v>
      </c>
      <c r="C122" s="1" t="s">
        <v>7025</v>
      </c>
      <c r="D122" s="9">
        <f ca="1">VLOOKUP(C122,Project.csv!E:Q,13,FALSE)</f>
        <v>200027</v>
      </c>
      <c r="E122" s="8" t="str">
        <f t="shared" ca="1" si="8"/>
        <v>rg:{'id':'200027'}</v>
      </c>
      <c r="F122" s="9" t="s">
        <v>7057</v>
      </c>
      <c r="G122" s="9" t="str">
        <f ca="1">INDEX(DistrictEquipmentTypes.csv!F:F,RANDBETWEEN(2,COUNTA(DistrictEquipmentTypes.csv!D:D)),1)</f>
        <v>200006</v>
      </c>
      <c r="H122" s="8" t="str">
        <f t="shared" ca="1" si="9"/>
        <v>rg:{ 'id': '200006'}</v>
      </c>
      <c r="I122" s="8">
        <f t="shared" ca="1" si="10"/>
        <v>1</v>
      </c>
      <c r="J122" s="8">
        <f t="shared" ca="1" si="11"/>
        <v>65</v>
      </c>
      <c r="K122" s="8" t="str">
        <f t="shared" ca="1" si="12"/>
        <v>2017-04-28</v>
      </c>
      <c r="L122" s="8" t="str">
        <f t="shared" ca="1" si="13"/>
        <v>2017-05-06</v>
      </c>
    </row>
    <row r="123" spans="1:12" x14ac:dyDescent="0.3">
      <c r="A123" s="8" t="s">
        <v>5668</v>
      </c>
      <c r="B123" s="8">
        <f t="shared" si="7"/>
        <v>600121</v>
      </c>
      <c r="C123" s="1" t="s">
        <v>7026</v>
      </c>
      <c r="D123" s="9">
        <f ca="1">VLOOKUP(C123,Project.csv!E:Q,13,FALSE)</f>
        <v>200082</v>
      </c>
      <c r="E123" s="8" t="str">
        <f t="shared" ca="1" si="8"/>
        <v>rg:{'id':'200082'}</v>
      </c>
      <c r="F123" s="9" t="s">
        <v>7057</v>
      </c>
      <c r="G123" s="9" t="str">
        <f ca="1">INDEX(DistrictEquipmentTypes.csv!F:F,RANDBETWEEN(2,COUNTA(DistrictEquipmentTypes.csv!D:D)),1)</f>
        <v>200007</v>
      </c>
      <c r="H123" s="8" t="str">
        <f t="shared" ca="1" si="9"/>
        <v>rg:{ 'id': '200007'}</v>
      </c>
      <c r="I123" s="8">
        <f t="shared" ca="1" si="10"/>
        <v>1</v>
      </c>
      <c r="J123" s="8">
        <f t="shared" ca="1" si="11"/>
        <v>10</v>
      </c>
      <c r="K123" s="8" t="str">
        <f t="shared" ca="1" si="12"/>
        <v>2017-03-23</v>
      </c>
      <c r="L123" s="8" t="str">
        <f t="shared" ca="1" si="13"/>
        <v>2017-03-24</v>
      </c>
    </row>
    <row r="124" spans="1:12" x14ac:dyDescent="0.3">
      <c r="A124" s="8" t="s">
        <v>5668</v>
      </c>
      <c r="B124" s="8">
        <f t="shared" si="7"/>
        <v>600122</v>
      </c>
      <c r="C124" s="1" t="s">
        <v>7027</v>
      </c>
      <c r="D124" s="9">
        <f ca="1">VLOOKUP(C124,Project.csv!E:Q,13,FALSE)</f>
        <v>200076</v>
      </c>
      <c r="E124" s="8" t="str">
        <f t="shared" ca="1" si="8"/>
        <v>rg:{'id':'200076'}</v>
      </c>
      <c r="F124" s="9" t="s">
        <v>7057</v>
      </c>
      <c r="G124" s="9" t="str">
        <f ca="1">INDEX(DistrictEquipmentTypes.csv!F:F,RANDBETWEEN(2,COUNTA(DistrictEquipmentTypes.csv!D:D)),1)</f>
        <v>200005</v>
      </c>
      <c r="H124" s="8" t="str">
        <f t="shared" ca="1" si="9"/>
        <v>rg:{ 'id': '200005'}</v>
      </c>
      <c r="I124" s="8">
        <f t="shared" ca="1" si="10"/>
        <v>1</v>
      </c>
      <c r="J124" s="8">
        <f t="shared" ca="1" si="11"/>
        <v>58</v>
      </c>
      <c r="K124" s="8" t="str">
        <f t="shared" ca="1" si="12"/>
        <v>2017-04-08</v>
      </c>
      <c r="L124" s="8" t="str">
        <f t="shared" ca="1" si="13"/>
        <v>2017-04-15</v>
      </c>
    </row>
    <row r="125" spans="1:12" x14ac:dyDescent="0.3">
      <c r="A125" s="8" t="s">
        <v>5668</v>
      </c>
      <c r="B125" s="8">
        <f t="shared" si="7"/>
        <v>600123</v>
      </c>
      <c r="C125" s="1" t="s">
        <v>6925</v>
      </c>
      <c r="D125" s="9">
        <f ca="1">VLOOKUP(C125,Project.csv!E:Q,13,FALSE)</f>
        <v>200001</v>
      </c>
      <c r="E125" s="8" t="str">
        <f t="shared" ca="1" si="8"/>
        <v>rg:{'id':'200001'}</v>
      </c>
      <c r="F125" s="9" t="s">
        <v>7057</v>
      </c>
      <c r="G125" s="9" t="str">
        <f ca="1">INDEX(DistrictEquipmentTypes.csv!F:F,RANDBETWEEN(2,COUNTA(DistrictEquipmentTypes.csv!D:D)),1)</f>
        <v>200004</v>
      </c>
      <c r="H125" s="8" t="str">
        <f t="shared" ca="1" si="9"/>
        <v>rg:{ 'id': '200004'}</v>
      </c>
      <c r="I125" s="8">
        <f t="shared" ca="1" si="10"/>
        <v>1</v>
      </c>
      <c r="J125" s="8">
        <f t="shared" ca="1" si="11"/>
        <v>64</v>
      </c>
      <c r="K125" s="8" t="str">
        <f t="shared" ca="1" si="12"/>
        <v>2017-05-07</v>
      </c>
      <c r="L125" s="8" t="str">
        <f t="shared" ca="1" si="13"/>
        <v>2017-05-15</v>
      </c>
    </row>
    <row r="126" spans="1:12" x14ac:dyDescent="0.3">
      <c r="A126" s="8" t="s">
        <v>5668</v>
      </c>
      <c r="B126" s="8">
        <f t="shared" si="7"/>
        <v>600124</v>
      </c>
      <c r="C126" s="1" t="s">
        <v>7028</v>
      </c>
      <c r="D126" s="9">
        <f ca="1">VLOOKUP(C126,Project.csv!E:Q,13,FALSE)</f>
        <v>200054</v>
      </c>
      <c r="E126" s="8" t="str">
        <f t="shared" ca="1" si="8"/>
        <v>rg:{'id':'200054'}</v>
      </c>
      <c r="F126" s="9" t="s">
        <v>7058</v>
      </c>
      <c r="G126" s="9" t="str">
        <f ca="1">INDEX(DistrictEquipmentTypes.csv!F:F,RANDBETWEEN(2,COUNTA(DistrictEquipmentTypes.csv!D:D)),1)</f>
        <v>200006</v>
      </c>
      <c r="H126" s="8" t="str">
        <f t="shared" ca="1" si="9"/>
        <v>rg:{ 'id': '200006'}</v>
      </c>
      <c r="I126" s="8">
        <f t="shared" ca="1" si="10"/>
        <v>1</v>
      </c>
      <c r="J126" s="8">
        <f t="shared" ca="1" si="11"/>
        <v>38</v>
      </c>
      <c r="K126" s="8" t="str">
        <f t="shared" ca="1" si="12"/>
        <v>2017-04-04</v>
      </c>
      <c r="L126" s="8" t="str">
        <f t="shared" ca="1" si="13"/>
        <v>2017-04-08</v>
      </c>
    </row>
    <row r="127" spans="1:12" x14ac:dyDescent="0.3">
      <c r="A127" s="8" t="s">
        <v>5668</v>
      </c>
      <c r="B127" s="8">
        <f t="shared" si="7"/>
        <v>600125</v>
      </c>
      <c r="C127" s="1" t="s">
        <v>7029</v>
      </c>
      <c r="D127" s="9">
        <f ca="1">VLOOKUP(C127,Project.csv!E:Q,13,FALSE)</f>
        <v>200028</v>
      </c>
      <c r="E127" s="8" t="str">
        <f t="shared" ca="1" si="8"/>
        <v>rg:{'id':'200028'}</v>
      </c>
      <c r="F127" s="9" t="s">
        <v>7058</v>
      </c>
      <c r="G127" s="9" t="str">
        <f ca="1">INDEX(DistrictEquipmentTypes.csv!F:F,RANDBETWEEN(2,COUNTA(DistrictEquipmentTypes.csv!D:D)),1)</f>
        <v>200006</v>
      </c>
      <c r="H127" s="8" t="str">
        <f t="shared" ca="1" si="9"/>
        <v>rg:{ 'id': '200006'}</v>
      </c>
      <c r="I127" s="8">
        <f t="shared" ca="1" si="10"/>
        <v>1</v>
      </c>
      <c r="J127" s="8">
        <f t="shared" ca="1" si="11"/>
        <v>37</v>
      </c>
      <c r="K127" s="8" t="str">
        <f t="shared" ca="1" si="12"/>
        <v>2017-03-21</v>
      </c>
      <c r="L127" s="8" t="str">
        <f t="shared" ca="1" si="13"/>
        <v>2017-03-25</v>
      </c>
    </row>
    <row r="128" spans="1:12" x14ac:dyDescent="0.3">
      <c r="A128" s="8" t="s">
        <v>5668</v>
      </c>
      <c r="B128" s="8">
        <f t="shared" si="7"/>
        <v>600126</v>
      </c>
      <c r="C128" s="1" t="s">
        <v>6932</v>
      </c>
      <c r="D128" s="9">
        <f ca="1">VLOOKUP(C128,Project.csv!E:Q,13,FALSE)</f>
        <v>200071</v>
      </c>
      <c r="E128" s="8" t="str">
        <f t="shared" ca="1" si="8"/>
        <v>rg:{'id':'200071'}</v>
      </c>
      <c r="F128" s="9" t="s">
        <v>7058</v>
      </c>
      <c r="G128" s="9" t="str">
        <f ca="1">INDEX(DistrictEquipmentTypes.csv!F:F,RANDBETWEEN(2,COUNTA(DistrictEquipmentTypes.csv!D:D)),1)</f>
        <v>200004</v>
      </c>
      <c r="H128" s="8" t="str">
        <f t="shared" ca="1" si="9"/>
        <v>rg:{ 'id': '200004'}</v>
      </c>
      <c r="I128" s="8">
        <f t="shared" ca="1" si="10"/>
        <v>4</v>
      </c>
      <c r="J128" s="8">
        <f t="shared" ca="1" si="11"/>
        <v>24</v>
      </c>
      <c r="K128" s="8" t="str">
        <f t="shared" ca="1" si="12"/>
        <v>2017-04-08</v>
      </c>
      <c r="L128" s="8" t="str">
        <f t="shared" ca="1" si="13"/>
        <v>2017-04-20</v>
      </c>
    </row>
    <row r="129" spans="1:12" x14ac:dyDescent="0.3">
      <c r="A129" s="8" t="s">
        <v>5668</v>
      </c>
      <c r="B129" s="8">
        <f t="shared" si="7"/>
        <v>600127</v>
      </c>
      <c r="C129" s="1" t="s">
        <v>7030</v>
      </c>
      <c r="D129" s="9">
        <f ca="1">VLOOKUP(C129,Project.csv!E:Q,13,FALSE)</f>
        <v>200055</v>
      </c>
      <c r="E129" s="8" t="str">
        <f t="shared" ca="1" si="8"/>
        <v>rg:{'id':'200055'}</v>
      </c>
      <c r="F129" s="9" t="s">
        <v>7057</v>
      </c>
      <c r="G129" s="9" t="str">
        <f ca="1">INDEX(DistrictEquipmentTypes.csv!F:F,RANDBETWEEN(2,COUNTA(DistrictEquipmentTypes.csv!D:D)),1)</f>
        <v>200004</v>
      </c>
      <c r="H129" s="8" t="str">
        <f t="shared" ca="1" si="9"/>
        <v>rg:{ 'id': '200004'}</v>
      </c>
      <c r="I129" s="8">
        <f t="shared" ca="1" si="10"/>
        <v>2</v>
      </c>
      <c r="J129" s="8">
        <f t="shared" ca="1" si="11"/>
        <v>90</v>
      </c>
      <c r="K129" s="8" t="str">
        <f t="shared" ca="1" si="12"/>
        <v>2017-05-05</v>
      </c>
      <c r="L129" s="8" t="str">
        <f t="shared" ca="1" si="13"/>
        <v>2017-05-27</v>
      </c>
    </row>
    <row r="130" spans="1:12" x14ac:dyDescent="0.3">
      <c r="A130" s="8" t="s">
        <v>5668</v>
      </c>
      <c r="B130" s="8">
        <f t="shared" si="7"/>
        <v>600128</v>
      </c>
      <c r="C130" s="1" t="s">
        <v>7031</v>
      </c>
      <c r="D130" s="9">
        <f ca="1">VLOOKUP(C130,Project.csv!E:Q,13,FALSE)</f>
        <v>200069</v>
      </c>
      <c r="E130" s="8" t="str">
        <f t="shared" ca="1" si="8"/>
        <v>rg:{'id':'200069'}</v>
      </c>
      <c r="F130" s="9" t="s">
        <v>7057</v>
      </c>
      <c r="G130" s="9" t="str">
        <f ca="1">INDEX(DistrictEquipmentTypes.csv!F:F,RANDBETWEEN(2,COUNTA(DistrictEquipmentTypes.csv!D:D)),1)</f>
        <v>200001</v>
      </c>
      <c r="H130" s="8" t="str">
        <f t="shared" ca="1" si="9"/>
        <v>rg:{ 'id': '200001'}</v>
      </c>
      <c r="I130" s="8">
        <f t="shared" ca="1" si="10"/>
        <v>1</v>
      </c>
      <c r="J130" s="8">
        <f t="shared" ca="1" si="11"/>
        <v>29</v>
      </c>
      <c r="K130" s="8" t="str">
        <f t="shared" ca="1" si="12"/>
        <v>2017-05-06</v>
      </c>
      <c r="L130" s="8" t="str">
        <f t="shared" ca="1" si="13"/>
        <v>2017-05-09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7032</v>
      </c>
      <c r="D131" s="9">
        <f ca="1">VLOOKUP(C131,Project.csv!E:Q,13,FALSE)</f>
        <v>200016</v>
      </c>
      <c r="E131" s="8" t="str">
        <f t="shared" ref="E131:E194" ca="1" si="15" xml:space="preserve"> "rg:{'id':'" &amp; D131 &amp; "'}"</f>
        <v>rg:{'id':'200016'}</v>
      </c>
      <c r="F131" s="9" t="s">
        <v>7057</v>
      </c>
      <c r="G131" s="9" t="str">
        <f ca="1">INDEX(DistrictEquipmentTypes.csv!F:F,RANDBETWEEN(2,COUNTA(DistrictEquipmentTypes.csv!D:D)),1)</f>
        <v>200007</v>
      </c>
      <c r="H131" s="8" t="str">
        <f t="shared" ref="H131:H194" ca="1" si="16">"rg:{ 'id': '"&amp;G131&amp;"'}"</f>
        <v>rg:{ 'id': '200007'}</v>
      </c>
      <c r="I131" s="8">
        <f t="shared" ref="I131:I194" ca="1" si="17">IF(RANDBETWEEN(1,5)&gt;1,1,RANDBETWEEN(2,5))</f>
        <v>2</v>
      </c>
      <c r="J131" s="8">
        <f t="shared" ref="J131:J194" ca="1" si="18">RANDBETWEEN(4,100)</f>
        <v>15</v>
      </c>
      <c r="K131" s="8" t="str">
        <f t="shared" ref="K131:K194" ca="1" si="19">TEXT(TODAY()+RANDBETWEEN(1,56),"YYYY-MM-DD")</f>
        <v>2017-05-06</v>
      </c>
      <c r="L131" s="8" t="str">
        <f t="shared" ref="L131:L194" ca="1" si="20">TEXT(K131+(I131*J131)/8,"YYYY-MM-DD")</f>
        <v>2017-05-09</v>
      </c>
    </row>
    <row r="132" spans="1:12" x14ac:dyDescent="0.3">
      <c r="A132" s="8" t="s">
        <v>5668</v>
      </c>
      <c r="B132" s="8">
        <f t="shared" si="14"/>
        <v>600130</v>
      </c>
      <c r="C132" s="1" t="s">
        <v>7033</v>
      </c>
      <c r="D132" s="9">
        <f ca="1">VLOOKUP(C132,Project.csv!E:Q,13,FALSE)</f>
        <v>200039</v>
      </c>
      <c r="E132" s="8" t="str">
        <f t="shared" ca="1" si="15"/>
        <v>rg:{'id':'200039'}</v>
      </c>
      <c r="F132" s="9" t="s">
        <v>7057</v>
      </c>
      <c r="G132" s="9" t="str">
        <f ca="1">INDEX(DistrictEquipmentTypes.csv!F:F,RANDBETWEEN(2,COUNTA(DistrictEquipmentTypes.csv!D:D)),1)</f>
        <v>200009</v>
      </c>
      <c r="H132" s="8" t="str">
        <f t="shared" ca="1" si="16"/>
        <v>rg:{ 'id': '200009'}</v>
      </c>
      <c r="I132" s="8">
        <f t="shared" ca="1" si="17"/>
        <v>1</v>
      </c>
      <c r="J132" s="8">
        <f t="shared" ca="1" si="18"/>
        <v>39</v>
      </c>
      <c r="K132" s="8" t="str">
        <f t="shared" ca="1" si="19"/>
        <v>2017-05-12</v>
      </c>
      <c r="L132" s="8" t="str">
        <f t="shared" ca="1" si="20"/>
        <v>2017-05-16</v>
      </c>
    </row>
    <row r="133" spans="1:12" x14ac:dyDescent="0.3">
      <c r="A133" s="8" t="s">
        <v>5668</v>
      </c>
      <c r="B133" s="8">
        <f t="shared" si="14"/>
        <v>600131</v>
      </c>
      <c r="C133" s="1" t="s">
        <v>7034</v>
      </c>
      <c r="D133" s="9">
        <f ca="1">VLOOKUP(C133,Project.csv!E:Q,13,FALSE)</f>
        <v>200013</v>
      </c>
      <c r="E133" s="8" t="str">
        <f t="shared" ca="1" si="15"/>
        <v>rg:{'id':'200013'}</v>
      </c>
      <c r="F133" s="9" t="s">
        <v>7057</v>
      </c>
      <c r="G133" s="9" t="str">
        <f ca="1">INDEX(DistrictEquipmentTypes.csv!F:F,RANDBETWEEN(2,COUNTA(DistrictEquipmentTypes.csv!D:D)),1)</f>
        <v>200006</v>
      </c>
      <c r="H133" s="8" t="str">
        <f t="shared" ca="1" si="16"/>
        <v>rg:{ 'id': '200006'}</v>
      </c>
      <c r="I133" s="8">
        <f t="shared" ca="1" si="17"/>
        <v>1</v>
      </c>
      <c r="J133" s="8">
        <f t="shared" ca="1" si="18"/>
        <v>72</v>
      </c>
      <c r="K133" s="8" t="str">
        <f t="shared" ca="1" si="19"/>
        <v>2017-05-14</v>
      </c>
      <c r="L133" s="8" t="str">
        <f t="shared" ca="1" si="20"/>
        <v>2017-05-23</v>
      </c>
    </row>
    <row r="134" spans="1:12" x14ac:dyDescent="0.3">
      <c r="A134" s="8" t="s">
        <v>5668</v>
      </c>
      <c r="B134" s="8">
        <f t="shared" si="14"/>
        <v>600132</v>
      </c>
      <c r="C134" s="1" t="s">
        <v>7035</v>
      </c>
      <c r="D134" s="9">
        <f ca="1">VLOOKUP(C134,Project.csv!E:Q,13,FALSE)</f>
        <v>200077</v>
      </c>
      <c r="E134" s="8" t="str">
        <f t="shared" ca="1" si="15"/>
        <v>rg:{'id':'200077'}</v>
      </c>
      <c r="F134" s="9" t="s">
        <v>7057</v>
      </c>
      <c r="G134" s="9" t="str">
        <f ca="1">INDEX(DistrictEquipmentTypes.csv!F:F,RANDBETWEEN(2,COUNTA(DistrictEquipmentTypes.csv!D:D)),1)</f>
        <v>200007</v>
      </c>
      <c r="H134" s="8" t="str">
        <f t="shared" ca="1" si="16"/>
        <v>rg:{ 'id': '200007'}</v>
      </c>
      <c r="I134" s="8">
        <f t="shared" ca="1" si="17"/>
        <v>1</v>
      </c>
      <c r="J134" s="8">
        <f t="shared" ca="1" si="18"/>
        <v>61</v>
      </c>
      <c r="K134" s="8" t="str">
        <f t="shared" ca="1" si="19"/>
        <v>2017-04-29</v>
      </c>
      <c r="L134" s="8" t="str">
        <f t="shared" ca="1" si="20"/>
        <v>2017-05-06</v>
      </c>
    </row>
    <row r="135" spans="1:12" x14ac:dyDescent="0.3">
      <c r="A135" s="8" t="s">
        <v>5668</v>
      </c>
      <c r="B135" s="8">
        <f t="shared" si="14"/>
        <v>600133</v>
      </c>
      <c r="C135" s="1" t="s">
        <v>7036</v>
      </c>
      <c r="D135" s="9">
        <f ca="1">VLOOKUP(C135,Project.csv!E:Q,13,FALSE)</f>
        <v>200039</v>
      </c>
      <c r="E135" s="8" t="str">
        <f t="shared" ca="1" si="15"/>
        <v>rg:{'id':'200039'}</v>
      </c>
      <c r="F135" s="9" t="s">
        <v>7057</v>
      </c>
      <c r="G135" s="9" t="str">
        <f ca="1">INDEX(DistrictEquipmentTypes.csv!F:F,RANDBETWEEN(2,COUNTA(DistrictEquipmentTypes.csv!D:D)),1)</f>
        <v>200001</v>
      </c>
      <c r="H135" s="8" t="str">
        <f t="shared" ca="1" si="16"/>
        <v>rg:{ 'id': '200001'}</v>
      </c>
      <c r="I135" s="8">
        <f t="shared" ca="1" si="17"/>
        <v>5</v>
      </c>
      <c r="J135" s="8">
        <f t="shared" ca="1" si="18"/>
        <v>18</v>
      </c>
      <c r="K135" s="8" t="str">
        <f t="shared" ca="1" si="19"/>
        <v>2017-04-05</v>
      </c>
      <c r="L135" s="8" t="str">
        <f t="shared" ca="1" si="20"/>
        <v>2017-04-16</v>
      </c>
    </row>
    <row r="136" spans="1:12" x14ac:dyDescent="0.3">
      <c r="A136" s="8" t="s">
        <v>5668</v>
      </c>
      <c r="B136" s="8">
        <f t="shared" si="14"/>
        <v>600134</v>
      </c>
      <c r="C136" s="1" t="s">
        <v>6897</v>
      </c>
      <c r="D136" s="9">
        <f ca="1">VLOOKUP(C136,Project.csv!E:Q,13,FALSE)</f>
        <v>200029</v>
      </c>
      <c r="E136" s="8" t="str">
        <f t="shared" ca="1" si="15"/>
        <v>rg:{'id':'200029'}</v>
      </c>
      <c r="F136" s="9" t="s">
        <v>7057</v>
      </c>
      <c r="G136" s="9" t="str">
        <f ca="1">INDEX(DistrictEquipmentTypes.csv!F:F,RANDBETWEEN(2,COUNTA(DistrictEquipmentTypes.csv!D:D)),1)</f>
        <v>200000</v>
      </c>
      <c r="H136" s="8" t="str">
        <f t="shared" ca="1" si="16"/>
        <v>rg:{ 'id': '200000'}</v>
      </c>
      <c r="I136" s="8">
        <f t="shared" ca="1" si="17"/>
        <v>1</v>
      </c>
      <c r="J136" s="8">
        <f t="shared" ca="1" si="18"/>
        <v>5</v>
      </c>
      <c r="K136" s="8" t="str">
        <f t="shared" ca="1" si="19"/>
        <v>2017-05-11</v>
      </c>
      <c r="L136" s="8" t="str">
        <f t="shared" ca="1" si="20"/>
        <v>2017-05-11</v>
      </c>
    </row>
    <row r="137" spans="1:12" x14ac:dyDescent="0.3">
      <c r="A137" s="8" t="s">
        <v>5668</v>
      </c>
      <c r="B137" s="8">
        <f t="shared" si="14"/>
        <v>600135</v>
      </c>
      <c r="C137" s="1" t="s">
        <v>7037</v>
      </c>
      <c r="D137" s="9">
        <f ca="1">VLOOKUP(C137,Project.csv!E:Q,13,FALSE)</f>
        <v>200046</v>
      </c>
      <c r="E137" s="8" t="str">
        <f t="shared" ca="1" si="15"/>
        <v>rg:{'id':'200046'}</v>
      </c>
      <c r="F137" s="9" t="s">
        <v>7057</v>
      </c>
      <c r="G137" s="9" t="str">
        <f ca="1">INDEX(DistrictEquipmentTypes.csv!F:F,RANDBETWEEN(2,COUNTA(DistrictEquipmentTypes.csv!D:D)),1)</f>
        <v>200003</v>
      </c>
      <c r="H137" s="8" t="str">
        <f t="shared" ca="1" si="16"/>
        <v>rg:{ 'id': '200003'}</v>
      </c>
      <c r="I137" s="8">
        <f t="shared" ca="1" si="17"/>
        <v>2</v>
      </c>
      <c r="J137" s="8">
        <f t="shared" ca="1" si="18"/>
        <v>72</v>
      </c>
      <c r="K137" s="8" t="str">
        <f t="shared" ca="1" si="19"/>
        <v>2017-03-29</v>
      </c>
      <c r="L137" s="8" t="str">
        <f t="shared" ca="1" si="20"/>
        <v>2017-04-16</v>
      </c>
    </row>
    <row r="138" spans="1:12" x14ac:dyDescent="0.3">
      <c r="A138" s="8" t="s">
        <v>5668</v>
      </c>
      <c r="B138" s="8">
        <f t="shared" si="14"/>
        <v>600136</v>
      </c>
      <c r="C138" s="1" t="s">
        <v>6935</v>
      </c>
      <c r="D138" s="9">
        <f ca="1">VLOOKUP(C138,Project.csv!E:Q,13,FALSE)</f>
        <v>200040</v>
      </c>
      <c r="E138" s="8" t="str">
        <f t="shared" ca="1" si="15"/>
        <v>rg:{'id':'200040'}</v>
      </c>
      <c r="F138" s="9" t="s">
        <v>7057</v>
      </c>
      <c r="G138" s="9" t="str">
        <f ca="1">INDEX(DistrictEquipmentTypes.csv!F:F,RANDBETWEEN(2,COUNTA(DistrictEquipmentTypes.csv!D:D)),1)</f>
        <v>200002</v>
      </c>
      <c r="H138" s="8" t="str">
        <f t="shared" ca="1" si="16"/>
        <v>rg:{ 'id': '200002'}</v>
      </c>
      <c r="I138" s="8">
        <f t="shared" ca="1" si="17"/>
        <v>1</v>
      </c>
      <c r="J138" s="8">
        <f t="shared" ca="1" si="18"/>
        <v>96</v>
      </c>
      <c r="K138" s="8" t="str">
        <f t="shared" ca="1" si="19"/>
        <v>2017-05-03</v>
      </c>
      <c r="L138" s="8" t="str">
        <f t="shared" ca="1" si="20"/>
        <v>2017-05-15</v>
      </c>
    </row>
    <row r="139" spans="1:12" x14ac:dyDescent="0.3">
      <c r="A139" s="8" t="s">
        <v>5668</v>
      </c>
      <c r="B139" s="8">
        <f t="shared" si="14"/>
        <v>600137</v>
      </c>
      <c r="C139" s="1" t="s">
        <v>7038</v>
      </c>
      <c r="D139" s="9">
        <f ca="1">VLOOKUP(C139,Project.csv!E:Q,13,FALSE)</f>
        <v>200040</v>
      </c>
      <c r="E139" s="8" t="str">
        <f t="shared" ca="1" si="15"/>
        <v>rg:{'id':'200040'}</v>
      </c>
      <c r="F139" s="9" t="s">
        <v>7057</v>
      </c>
      <c r="G139" s="9" t="str">
        <f ca="1">INDEX(DistrictEquipmentTypes.csv!F:F,RANDBETWEEN(2,COUNTA(DistrictEquipmentTypes.csv!D:D)),1)</f>
        <v>200006</v>
      </c>
      <c r="H139" s="8" t="str">
        <f t="shared" ca="1" si="16"/>
        <v>rg:{ 'id': '200006'}</v>
      </c>
      <c r="I139" s="8">
        <f t="shared" ca="1" si="17"/>
        <v>1</v>
      </c>
      <c r="J139" s="8">
        <f t="shared" ca="1" si="18"/>
        <v>90</v>
      </c>
      <c r="K139" s="8" t="str">
        <f t="shared" ca="1" si="19"/>
        <v>2017-05-09</v>
      </c>
      <c r="L139" s="8" t="str">
        <f t="shared" ca="1" si="20"/>
        <v>2017-05-20</v>
      </c>
    </row>
    <row r="140" spans="1:12" x14ac:dyDescent="0.3">
      <c r="A140" s="8" t="s">
        <v>5668</v>
      </c>
      <c r="B140" s="8">
        <f t="shared" si="14"/>
        <v>600138</v>
      </c>
      <c r="C140" s="1" t="s">
        <v>7039</v>
      </c>
      <c r="D140" s="9">
        <f ca="1">VLOOKUP(C140,Project.csv!E:Q,13,FALSE)</f>
        <v>200044</v>
      </c>
      <c r="E140" s="8" t="str">
        <f t="shared" ca="1" si="15"/>
        <v>rg:{'id':'200044'}</v>
      </c>
      <c r="F140" s="9" t="s">
        <v>7057</v>
      </c>
      <c r="G140" s="9" t="str">
        <f ca="1">INDEX(DistrictEquipmentTypes.csv!F:F,RANDBETWEEN(2,COUNTA(DistrictEquipmentTypes.csv!D:D)),1)</f>
        <v>200007</v>
      </c>
      <c r="H140" s="8" t="str">
        <f t="shared" ca="1" si="16"/>
        <v>rg:{ 'id': '200007'}</v>
      </c>
      <c r="I140" s="8">
        <f t="shared" ca="1" si="17"/>
        <v>1</v>
      </c>
      <c r="J140" s="8">
        <f t="shared" ca="1" si="18"/>
        <v>38</v>
      </c>
      <c r="K140" s="8" t="str">
        <f t="shared" ca="1" si="19"/>
        <v>2017-03-28</v>
      </c>
      <c r="L140" s="8" t="str">
        <f t="shared" ca="1" si="20"/>
        <v>2017-04-01</v>
      </c>
    </row>
    <row r="141" spans="1:12" x14ac:dyDescent="0.3">
      <c r="A141" s="8" t="s">
        <v>5668</v>
      </c>
      <c r="B141" s="8">
        <f t="shared" si="14"/>
        <v>600139</v>
      </c>
      <c r="C141" s="1" t="s">
        <v>7040</v>
      </c>
      <c r="D141" s="9">
        <f ca="1">VLOOKUP(C141,Project.csv!E:Q,13,FALSE)</f>
        <v>200019</v>
      </c>
      <c r="E141" s="8" t="str">
        <f t="shared" ca="1" si="15"/>
        <v>rg:{'id':'200019'}</v>
      </c>
      <c r="F141" s="9" t="s">
        <v>7057</v>
      </c>
      <c r="G141" s="9" t="str">
        <f ca="1">INDEX(DistrictEquipmentTypes.csv!F:F,RANDBETWEEN(2,COUNTA(DistrictEquipmentTypes.csv!D:D)),1)</f>
        <v>200006</v>
      </c>
      <c r="H141" s="8" t="str">
        <f t="shared" ca="1" si="16"/>
        <v>rg:{ 'id': '200006'}</v>
      </c>
      <c r="I141" s="8">
        <f t="shared" ca="1" si="17"/>
        <v>1</v>
      </c>
      <c r="J141" s="8">
        <f t="shared" ca="1" si="18"/>
        <v>90</v>
      </c>
      <c r="K141" s="8" t="str">
        <f t="shared" ca="1" si="19"/>
        <v>2017-05-09</v>
      </c>
      <c r="L141" s="8" t="str">
        <f t="shared" ca="1" si="20"/>
        <v>2017-05-20</v>
      </c>
    </row>
    <row r="142" spans="1:12" x14ac:dyDescent="0.3">
      <c r="A142" s="8" t="s">
        <v>5668</v>
      </c>
      <c r="B142" s="8">
        <f t="shared" si="14"/>
        <v>600140</v>
      </c>
      <c r="C142" s="1" t="s">
        <v>6928</v>
      </c>
      <c r="D142" s="9">
        <f ca="1">VLOOKUP(C142,Project.csv!E:Q,13,FALSE)</f>
        <v>200070</v>
      </c>
      <c r="E142" s="8" t="str">
        <f t="shared" ca="1" si="15"/>
        <v>rg:{'id':'200070'}</v>
      </c>
      <c r="F142" s="9" t="s">
        <v>7057</v>
      </c>
      <c r="G142" s="9" t="str">
        <f ca="1">INDEX(DistrictEquipmentTypes.csv!F:F,RANDBETWEEN(2,COUNTA(DistrictEquipmentTypes.csv!D:D)),1)</f>
        <v>200007</v>
      </c>
      <c r="H142" s="8" t="str">
        <f t="shared" ca="1" si="16"/>
        <v>rg:{ 'id': '200007'}</v>
      </c>
      <c r="I142" s="8">
        <f t="shared" ca="1" si="17"/>
        <v>1</v>
      </c>
      <c r="J142" s="8">
        <f t="shared" ca="1" si="18"/>
        <v>76</v>
      </c>
      <c r="K142" s="8" t="str">
        <f t="shared" ca="1" si="19"/>
        <v>2017-05-09</v>
      </c>
      <c r="L142" s="8" t="str">
        <f t="shared" ca="1" si="20"/>
        <v>2017-05-18</v>
      </c>
    </row>
    <row r="143" spans="1:12" x14ac:dyDescent="0.3">
      <c r="A143" s="8" t="s">
        <v>5668</v>
      </c>
      <c r="B143" s="8">
        <f t="shared" si="14"/>
        <v>600141</v>
      </c>
      <c r="C143" s="1" t="s">
        <v>7041</v>
      </c>
      <c r="D143" s="9">
        <f ca="1">VLOOKUP(C143,Project.csv!E:Q,13,FALSE)</f>
        <v>200079</v>
      </c>
      <c r="E143" s="8" t="str">
        <f t="shared" ca="1" si="15"/>
        <v>rg:{'id':'200079'}</v>
      </c>
      <c r="F143" s="9" t="s">
        <v>7057</v>
      </c>
      <c r="G143" s="9" t="str">
        <f ca="1">INDEX(DistrictEquipmentTypes.csv!F:F,RANDBETWEEN(2,COUNTA(DistrictEquipmentTypes.csv!D:D)),1)</f>
        <v>200006</v>
      </c>
      <c r="H143" s="8" t="str">
        <f t="shared" ca="1" si="16"/>
        <v>rg:{ 'id': '200006'}</v>
      </c>
      <c r="I143" s="8">
        <f t="shared" ca="1" si="17"/>
        <v>1</v>
      </c>
      <c r="J143" s="8">
        <f t="shared" ca="1" si="18"/>
        <v>70</v>
      </c>
      <c r="K143" s="8" t="str">
        <f t="shared" ca="1" si="19"/>
        <v>2017-04-25</v>
      </c>
      <c r="L143" s="8" t="str">
        <f t="shared" ca="1" si="20"/>
        <v>2017-05-03</v>
      </c>
    </row>
    <row r="144" spans="1:12" x14ac:dyDescent="0.3">
      <c r="A144" s="8" t="s">
        <v>5668</v>
      </c>
      <c r="B144" s="8">
        <f t="shared" si="14"/>
        <v>600142</v>
      </c>
      <c r="C144" s="1" t="s">
        <v>7042</v>
      </c>
      <c r="D144" s="9">
        <f ca="1">VLOOKUP(C144,Project.csv!E:Q,13,FALSE)</f>
        <v>200006</v>
      </c>
      <c r="E144" s="8" t="str">
        <f t="shared" ca="1" si="15"/>
        <v>rg:{'id':'200006'}</v>
      </c>
      <c r="F144" s="9" t="s">
        <v>7058</v>
      </c>
      <c r="G144" s="9" t="str">
        <f ca="1">INDEX(DistrictEquipmentTypes.csv!F:F,RANDBETWEEN(2,COUNTA(DistrictEquipmentTypes.csv!D:D)),1)</f>
        <v>200000</v>
      </c>
      <c r="H144" s="8" t="str">
        <f t="shared" ca="1" si="16"/>
        <v>rg:{ 'id': '200000'}</v>
      </c>
      <c r="I144" s="8">
        <f t="shared" ca="1" si="17"/>
        <v>1</v>
      </c>
      <c r="J144" s="8">
        <f t="shared" ca="1" si="18"/>
        <v>77</v>
      </c>
      <c r="K144" s="8" t="str">
        <f t="shared" ca="1" si="19"/>
        <v>2017-05-03</v>
      </c>
      <c r="L144" s="8" t="str">
        <f t="shared" ca="1" si="20"/>
        <v>2017-05-12</v>
      </c>
    </row>
    <row r="145" spans="1:12" x14ac:dyDescent="0.3">
      <c r="A145" s="8" t="s">
        <v>5668</v>
      </c>
      <c r="B145" s="8">
        <f t="shared" si="14"/>
        <v>600143</v>
      </c>
      <c r="C145" s="1" t="s">
        <v>7043</v>
      </c>
      <c r="D145" s="9">
        <f ca="1">VLOOKUP(C145,Project.csv!E:Q,13,FALSE)</f>
        <v>200049</v>
      </c>
      <c r="E145" s="8" t="str">
        <f t="shared" ca="1" si="15"/>
        <v>rg:{'id':'200049'}</v>
      </c>
      <c r="F145" s="9" t="s">
        <v>7058</v>
      </c>
      <c r="G145" s="9" t="str">
        <f ca="1">INDEX(DistrictEquipmentTypes.csv!F:F,RANDBETWEEN(2,COUNTA(DistrictEquipmentTypes.csv!D:D)),1)</f>
        <v>200009</v>
      </c>
      <c r="H145" s="8" t="str">
        <f t="shared" ca="1" si="16"/>
        <v>rg:{ 'id': '200009'}</v>
      </c>
      <c r="I145" s="8">
        <f t="shared" ca="1" si="17"/>
        <v>1</v>
      </c>
      <c r="J145" s="8">
        <f t="shared" ca="1" si="18"/>
        <v>38</v>
      </c>
      <c r="K145" s="8" t="str">
        <f t="shared" ca="1" si="19"/>
        <v>2017-04-18</v>
      </c>
      <c r="L145" s="8" t="str">
        <f t="shared" ca="1" si="20"/>
        <v>2017-04-22</v>
      </c>
    </row>
    <row r="146" spans="1:12" x14ac:dyDescent="0.3">
      <c r="A146" s="8" t="s">
        <v>5668</v>
      </c>
      <c r="B146" s="8">
        <f t="shared" si="14"/>
        <v>600144</v>
      </c>
      <c r="C146" s="1" t="s">
        <v>7044</v>
      </c>
      <c r="D146" s="9">
        <f ca="1">VLOOKUP(C146,Project.csv!E:Q,13,FALSE)</f>
        <v>200077</v>
      </c>
      <c r="E146" s="8" t="str">
        <f t="shared" ca="1" si="15"/>
        <v>rg:{'id':'200077'}</v>
      </c>
      <c r="F146" s="9" t="s">
        <v>7058</v>
      </c>
      <c r="G146" s="9" t="str">
        <f ca="1">INDEX(DistrictEquipmentTypes.csv!F:F,RANDBETWEEN(2,COUNTA(DistrictEquipmentTypes.csv!D:D)),1)</f>
        <v>200004</v>
      </c>
      <c r="H146" s="8" t="str">
        <f t="shared" ca="1" si="16"/>
        <v>rg:{ 'id': '200004'}</v>
      </c>
      <c r="I146" s="8">
        <f t="shared" ca="1" si="17"/>
        <v>1</v>
      </c>
      <c r="J146" s="8">
        <f t="shared" ca="1" si="18"/>
        <v>4</v>
      </c>
      <c r="K146" s="8" t="str">
        <f t="shared" ca="1" si="19"/>
        <v>2017-04-07</v>
      </c>
      <c r="L146" s="8" t="str">
        <f t="shared" ca="1" si="20"/>
        <v>2017-04-07</v>
      </c>
    </row>
    <row r="147" spans="1:12" x14ac:dyDescent="0.3">
      <c r="A147" s="8" t="s">
        <v>5668</v>
      </c>
      <c r="B147" s="8">
        <f t="shared" si="14"/>
        <v>600145</v>
      </c>
      <c r="C147" s="1" t="s">
        <v>7045</v>
      </c>
      <c r="D147" s="9">
        <f ca="1">VLOOKUP(C147,Project.csv!E:Q,13,FALSE)</f>
        <v>200016</v>
      </c>
      <c r="E147" s="8" t="str">
        <f t="shared" ca="1" si="15"/>
        <v>rg:{'id':'200016'}</v>
      </c>
      <c r="F147" s="9" t="s">
        <v>7058</v>
      </c>
      <c r="G147" s="9" t="str">
        <f ca="1">INDEX(DistrictEquipmentTypes.csv!F:F,RANDBETWEEN(2,COUNTA(DistrictEquipmentTypes.csv!D:D)),1)</f>
        <v>200002</v>
      </c>
      <c r="H147" s="8" t="str">
        <f t="shared" ca="1" si="16"/>
        <v>rg:{ 'id': '200002'}</v>
      </c>
      <c r="I147" s="8">
        <f t="shared" ca="1" si="17"/>
        <v>1</v>
      </c>
      <c r="J147" s="8">
        <f t="shared" ca="1" si="18"/>
        <v>87</v>
      </c>
      <c r="K147" s="8" t="str">
        <f t="shared" ca="1" si="19"/>
        <v>2017-04-06</v>
      </c>
      <c r="L147" s="8" t="str">
        <f t="shared" ca="1" si="20"/>
        <v>2017-04-16</v>
      </c>
    </row>
    <row r="148" spans="1:12" x14ac:dyDescent="0.3">
      <c r="A148" s="8" t="s">
        <v>5668</v>
      </c>
      <c r="B148" s="8">
        <f t="shared" si="14"/>
        <v>600146</v>
      </c>
      <c r="C148" s="1" t="s">
        <v>7046</v>
      </c>
      <c r="D148" s="9">
        <f ca="1">VLOOKUP(C148,Project.csv!E:Q,13,FALSE)</f>
        <v>200079</v>
      </c>
      <c r="E148" s="8" t="str">
        <f t="shared" ca="1" si="15"/>
        <v>rg:{'id':'200079'}</v>
      </c>
      <c r="F148" s="9" t="s">
        <v>7057</v>
      </c>
      <c r="G148" s="9" t="str">
        <f ca="1">INDEX(DistrictEquipmentTypes.csv!F:F,RANDBETWEEN(2,COUNTA(DistrictEquipmentTypes.csv!D:D)),1)</f>
        <v>200009</v>
      </c>
      <c r="H148" s="8" t="str">
        <f t="shared" ca="1" si="16"/>
        <v>rg:{ 'id': '200009'}</v>
      </c>
      <c r="I148" s="8">
        <f t="shared" ca="1" si="17"/>
        <v>1</v>
      </c>
      <c r="J148" s="8">
        <f t="shared" ca="1" si="18"/>
        <v>75</v>
      </c>
      <c r="K148" s="8" t="str">
        <f t="shared" ca="1" si="19"/>
        <v>2017-04-13</v>
      </c>
      <c r="L148" s="8" t="str">
        <f t="shared" ca="1" si="20"/>
        <v>2017-04-22</v>
      </c>
    </row>
    <row r="149" spans="1:12" x14ac:dyDescent="0.3">
      <c r="A149" s="8" t="s">
        <v>5668</v>
      </c>
      <c r="B149" s="8">
        <f t="shared" si="14"/>
        <v>600147</v>
      </c>
      <c r="C149" s="1" t="s">
        <v>6917</v>
      </c>
      <c r="D149" s="9">
        <f ca="1">VLOOKUP(C149,Project.csv!E:Q,13,FALSE)</f>
        <v>200048</v>
      </c>
      <c r="E149" s="8" t="str">
        <f t="shared" ca="1" si="15"/>
        <v>rg:{'id':'200048'}</v>
      </c>
      <c r="F149" s="9" t="s">
        <v>7058</v>
      </c>
      <c r="G149" s="9" t="str">
        <f ca="1">INDEX(DistrictEquipmentTypes.csv!F:F,RANDBETWEEN(2,COUNTA(DistrictEquipmentTypes.csv!D:D)),1)</f>
        <v>200009</v>
      </c>
      <c r="H149" s="8" t="str">
        <f t="shared" ca="1" si="16"/>
        <v>rg:{ 'id': '200009'}</v>
      </c>
      <c r="I149" s="8">
        <f t="shared" ca="1" si="17"/>
        <v>1</v>
      </c>
      <c r="J149" s="8">
        <f t="shared" ca="1" si="18"/>
        <v>78</v>
      </c>
      <c r="K149" s="8" t="str">
        <f t="shared" ca="1" si="19"/>
        <v>2017-04-22</v>
      </c>
      <c r="L149" s="8" t="str">
        <f t="shared" ca="1" si="20"/>
        <v>2017-05-01</v>
      </c>
    </row>
    <row r="150" spans="1:12" x14ac:dyDescent="0.3">
      <c r="A150" s="8" t="s">
        <v>5668</v>
      </c>
      <c r="B150" s="8">
        <f t="shared" si="14"/>
        <v>600148</v>
      </c>
      <c r="C150" s="1" t="s">
        <v>7047</v>
      </c>
      <c r="D150" s="9">
        <f ca="1">VLOOKUP(C150,Project.csv!E:Q,13,FALSE)</f>
        <v>200009</v>
      </c>
      <c r="E150" s="8" t="str">
        <f t="shared" ca="1" si="15"/>
        <v>rg:{'id':'200009'}</v>
      </c>
      <c r="F150" s="9" t="s">
        <v>7058</v>
      </c>
      <c r="G150" s="9" t="str">
        <f ca="1">INDEX(DistrictEquipmentTypes.csv!F:F,RANDBETWEEN(2,COUNTA(DistrictEquipmentTypes.csv!D:D)),1)</f>
        <v>200007</v>
      </c>
      <c r="H150" s="8" t="str">
        <f t="shared" ca="1" si="16"/>
        <v>rg:{ 'id': '200007'}</v>
      </c>
      <c r="I150" s="8">
        <f t="shared" ca="1" si="17"/>
        <v>1</v>
      </c>
      <c r="J150" s="8">
        <f t="shared" ca="1" si="18"/>
        <v>72</v>
      </c>
      <c r="K150" s="8" t="str">
        <f t="shared" ca="1" si="19"/>
        <v>2017-03-28</v>
      </c>
      <c r="L150" s="8" t="str">
        <f t="shared" ca="1" si="20"/>
        <v>2017-04-06</v>
      </c>
    </row>
    <row r="151" spans="1:12" x14ac:dyDescent="0.3">
      <c r="A151" s="8" t="s">
        <v>5668</v>
      </c>
      <c r="B151" s="8">
        <f t="shared" si="14"/>
        <v>600149</v>
      </c>
      <c r="C151" s="1" t="s">
        <v>6902</v>
      </c>
      <c r="D151" s="9">
        <f ca="1">VLOOKUP(C151,Project.csv!E:Q,13,FALSE)</f>
        <v>200028</v>
      </c>
      <c r="E151" s="8" t="str">
        <f t="shared" ca="1" si="15"/>
        <v>rg:{'id':'200028'}</v>
      </c>
      <c r="F151" s="9" t="s">
        <v>7057</v>
      </c>
      <c r="G151" s="9" t="str">
        <f ca="1">INDEX(DistrictEquipmentTypes.csv!F:F,RANDBETWEEN(2,COUNTA(DistrictEquipmentTypes.csv!D:D)),1)</f>
        <v>200006</v>
      </c>
      <c r="H151" s="8" t="str">
        <f t="shared" ca="1" si="16"/>
        <v>rg:{ 'id': '200006'}</v>
      </c>
      <c r="I151" s="8">
        <f t="shared" ca="1" si="17"/>
        <v>1</v>
      </c>
      <c r="J151" s="8">
        <f t="shared" ca="1" si="18"/>
        <v>13</v>
      </c>
      <c r="K151" s="8" t="str">
        <f t="shared" ca="1" si="19"/>
        <v>2017-05-14</v>
      </c>
      <c r="L151" s="8" t="str">
        <f t="shared" ca="1" si="20"/>
        <v>2017-05-15</v>
      </c>
    </row>
    <row r="152" spans="1:12" x14ac:dyDescent="0.3">
      <c r="A152" s="8" t="s">
        <v>5668</v>
      </c>
      <c r="B152" s="8">
        <f t="shared" si="14"/>
        <v>600150</v>
      </c>
      <c r="C152" s="1" t="s">
        <v>6920</v>
      </c>
      <c r="D152" s="9">
        <f ca="1">VLOOKUP(C152,Project.csv!E:Q,13,FALSE)</f>
        <v>200059</v>
      </c>
      <c r="E152" s="8" t="str">
        <f t="shared" ca="1" si="15"/>
        <v>rg:{'id':'200059'}</v>
      </c>
      <c r="F152" s="9" t="s">
        <v>7057</v>
      </c>
      <c r="G152" s="9" t="str">
        <f ca="1">INDEX(DistrictEquipmentTypes.csv!F:F,RANDBETWEEN(2,COUNTA(DistrictEquipmentTypes.csv!D:D)),1)</f>
        <v>200006</v>
      </c>
      <c r="H152" s="8" t="str">
        <f t="shared" ca="1" si="16"/>
        <v>rg:{ 'id': '200006'}</v>
      </c>
      <c r="I152" s="8">
        <f t="shared" ca="1" si="17"/>
        <v>1</v>
      </c>
      <c r="J152" s="8">
        <f t="shared" ca="1" si="18"/>
        <v>20</v>
      </c>
      <c r="K152" s="8" t="str">
        <f t="shared" ca="1" si="19"/>
        <v>2017-03-26</v>
      </c>
      <c r="L152" s="8" t="str">
        <f t="shared" ca="1" si="20"/>
        <v>2017-03-28</v>
      </c>
    </row>
    <row r="153" spans="1:12" x14ac:dyDescent="0.3">
      <c r="A153" s="8" t="s">
        <v>5668</v>
      </c>
      <c r="B153" s="8">
        <f t="shared" si="14"/>
        <v>600151</v>
      </c>
      <c r="C153" s="1" t="s">
        <v>7048</v>
      </c>
      <c r="D153" s="9">
        <f ca="1">VLOOKUP(C153,Project.csv!E:Q,13,FALSE)</f>
        <v>200022</v>
      </c>
      <c r="E153" s="8" t="str">
        <f t="shared" ca="1" si="15"/>
        <v>rg:{'id':'200022'}</v>
      </c>
      <c r="F153" s="9" t="s">
        <v>7057</v>
      </c>
      <c r="G153" s="9" t="str">
        <f ca="1">INDEX(DistrictEquipmentTypes.csv!F:F,RANDBETWEEN(2,COUNTA(DistrictEquipmentTypes.csv!D:D)),1)</f>
        <v>200004</v>
      </c>
      <c r="H153" s="8" t="str">
        <f t="shared" ca="1" si="16"/>
        <v>rg:{ 'id': '200004'}</v>
      </c>
      <c r="I153" s="8">
        <f t="shared" ca="1" si="17"/>
        <v>1</v>
      </c>
      <c r="J153" s="8">
        <f t="shared" ca="1" si="18"/>
        <v>8</v>
      </c>
      <c r="K153" s="8" t="str">
        <f t="shared" ca="1" si="19"/>
        <v>2017-04-18</v>
      </c>
      <c r="L153" s="8" t="str">
        <f t="shared" ca="1" si="20"/>
        <v>2017-04-19</v>
      </c>
    </row>
    <row r="154" spans="1:12" x14ac:dyDescent="0.3">
      <c r="A154" s="8" t="s">
        <v>5668</v>
      </c>
      <c r="B154" s="8">
        <f t="shared" si="14"/>
        <v>600152</v>
      </c>
      <c r="C154" s="1" t="s">
        <v>7049</v>
      </c>
      <c r="D154" s="9">
        <f ca="1">VLOOKUP(C154,Project.csv!E:Q,13,FALSE)</f>
        <v>200062</v>
      </c>
      <c r="E154" s="8" t="str">
        <f t="shared" ca="1" si="15"/>
        <v>rg:{'id':'200062'}</v>
      </c>
      <c r="F154" s="9" t="s">
        <v>7057</v>
      </c>
      <c r="G154" s="9" t="str">
        <f ca="1">INDEX(DistrictEquipmentTypes.csv!F:F,RANDBETWEEN(2,COUNTA(DistrictEquipmentTypes.csv!D:D)),1)</f>
        <v>200006</v>
      </c>
      <c r="H154" s="8" t="str">
        <f t="shared" ca="1" si="16"/>
        <v>rg:{ 'id': '200006'}</v>
      </c>
      <c r="I154" s="8">
        <f t="shared" ca="1" si="17"/>
        <v>1</v>
      </c>
      <c r="J154" s="8">
        <f t="shared" ca="1" si="18"/>
        <v>44</v>
      </c>
      <c r="K154" s="8" t="str">
        <f t="shared" ca="1" si="19"/>
        <v>2017-03-24</v>
      </c>
      <c r="L154" s="8" t="str">
        <f t="shared" ca="1" si="20"/>
        <v>2017-03-29</v>
      </c>
    </row>
    <row r="155" spans="1:12" x14ac:dyDescent="0.3">
      <c r="A155" s="8" t="s">
        <v>5668</v>
      </c>
      <c r="B155" s="8">
        <f t="shared" si="14"/>
        <v>600153</v>
      </c>
      <c r="C155" s="1" t="s">
        <v>7050</v>
      </c>
      <c r="D155" s="9">
        <f ca="1">VLOOKUP(C155,Project.csv!E:Q,13,FALSE)</f>
        <v>200036</v>
      </c>
      <c r="E155" s="8" t="str">
        <f t="shared" ca="1" si="15"/>
        <v>rg:{'id':'200036'}</v>
      </c>
      <c r="F155" s="9" t="s">
        <v>7057</v>
      </c>
      <c r="G155" s="9" t="str">
        <f ca="1">INDEX(DistrictEquipmentTypes.csv!F:F,RANDBETWEEN(2,COUNTA(DistrictEquipmentTypes.csv!D:D)),1)</f>
        <v>200005</v>
      </c>
      <c r="H155" s="8" t="str">
        <f t="shared" ca="1" si="16"/>
        <v>rg:{ 'id': '200005'}</v>
      </c>
      <c r="I155" s="8">
        <f t="shared" ca="1" si="17"/>
        <v>3</v>
      </c>
      <c r="J155" s="8">
        <f t="shared" ca="1" si="18"/>
        <v>15</v>
      </c>
      <c r="K155" s="8" t="str">
        <f t="shared" ca="1" si="19"/>
        <v>2017-05-14</v>
      </c>
      <c r="L155" s="8" t="str">
        <f t="shared" ca="1" si="20"/>
        <v>2017-05-19</v>
      </c>
    </row>
    <row r="156" spans="1:12" x14ac:dyDescent="0.3">
      <c r="A156" s="8" t="s">
        <v>5668</v>
      </c>
      <c r="B156" s="8">
        <f t="shared" si="14"/>
        <v>600154</v>
      </c>
      <c r="C156" s="1" t="s">
        <v>7051</v>
      </c>
      <c r="D156" s="9">
        <f ca="1">VLOOKUP(C156,Project.csv!E:Q,13,FALSE)</f>
        <v>200068</v>
      </c>
      <c r="E156" s="8" t="str">
        <f t="shared" ca="1" si="15"/>
        <v>rg:{'id':'200068'}</v>
      </c>
      <c r="F156" s="9" t="s">
        <v>7057</v>
      </c>
      <c r="G156" s="9" t="str">
        <f ca="1">INDEX(DistrictEquipmentTypes.csv!F:F,RANDBETWEEN(2,COUNTA(DistrictEquipmentTypes.csv!D:D)),1)</f>
        <v>200007</v>
      </c>
      <c r="H156" s="8" t="str">
        <f t="shared" ca="1" si="16"/>
        <v>rg:{ 'id': '200007'}</v>
      </c>
      <c r="I156" s="8">
        <f t="shared" ca="1" si="17"/>
        <v>1</v>
      </c>
      <c r="J156" s="8">
        <f t="shared" ca="1" si="18"/>
        <v>15</v>
      </c>
      <c r="K156" s="8" t="str">
        <f t="shared" ca="1" si="19"/>
        <v>2017-04-25</v>
      </c>
      <c r="L156" s="8" t="str">
        <f t="shared" ca="1" si="20"/>
        <v>2017-04-26</v>
      </c>
    </row>
    <row r="157" spans="1:12" x14ac:dyDescent="0.3">
      <c r="A157" s="8" t="s">
        <v>5668</v>
      </c>
      <c r="B157" s="8">
        <f t="shared" si="14"/>
        <v>600155</v>
      </c>
      <c r="C157" s="1" t="s">
        <v>7052</v>
      </c>
      <c r="D157" s="9">
        <f ca="1">VLOOKUP(C157,Project.csv!E:Q,13,FALSE)</f>
        <v>200047</v>
      </c>
      <c r="E157" s="8" t="str">
        <f t="shared" ca="1" si="15"/>
        <v>rg:{'id':'200047'}</v>
      </c>
      <c r="F157" s="9" t="s">
        <v>7057</v>
      </c>
      <c r="G157" s="9" t="str">
        <f ca="1">INDEX(DistrictEquipmentTypes.csv!F:F,RANDBETWEEN(2,COUNTA(DistrictEquipmentTypes.csv!D:D)),1)</f>
        <v>200001</v>
      </c>
      <c r="H157" s="8" t="str">
        <f t="shared" ca="1" si="16"/>
        <v>rg:{ 'id': '200001'}</v>
      </c>
      <c r="I157" s="8">
        <f t="shared" ca="1" si="17"/>
        <v>1</v>
      </c>
      <c r="J157" s="8">
        <f t="shared" ca="1" si="18"/>
        <v>27</v>
      </c>
      <c r="K157" s="8" t="str">
        <f t="shared" ca="1" si="19"/>
        <v>2017-03-26</v>
      </c>
      <c r="L157" s="8" t="str">
        <f t="shared" ca="1" si="20"/>
        <v>2017-03-29</v>
      </c>
    </row>
    <row r="158" spans="1:12" x14ac:dyDescent="0.3">
      <c r="A158" s="8" t="s">
        <v>5668</v>
      </c>
      <c r="B158" s="8">
        <f t="shared" si="14"/>
        <v>600156</v>
      </c>
      <c r="C158" s="1" t="s">
        <v>7053</v>
      </c>
      <c r="D158" s="9">
        <f ca="1">VLOOKUP(C158,Project.csv!E:Q,13,FALSE)</f>
        <v>200025</v>
      </c>
      <c r="E158" s="8" t="str">
        <f t="shared" ca="1" si="15"/>
        <v>rg:{'id':'200025'}</v>
      </c>
      <c r="F158" s="9" t="s">
        <v>7057</v>
      </c>
      <c r="G158" s="9" t="str">
        <f ca="1">INDEX(DistrictEquipmentTypes.csv!F:F,RANDBETWEEN(2,COUNTA(DistrictEquipmentTypes.csv!D:D)),1)</f>
        <v>200007</v>
      </c>
      <c r="H158" s="8" t="str">
        <f t="shared" ca="1" si="16"/>
        <v>rg:{ 'id': '200007'}</v>
      </c>
      <c r="I158" s="8">
        <f t="shared" ca="1" si="17"/>
        <v>1</v>
      </c>
      <c r="J158" s="8">
        <f t="shared" ca="1" si="18"/>
        <v>86</v>
      </c>
      <c r="K158" s="8" t="str">
        <f t="shared" ca="1" si="19"/>
        <v>2017-04-18</v>
      </c>
      <c r="L158" s="8" t="str">
        <f t="shared" ca="1" si="20"/>
        <v>2017-04-28</v>
      </c>
    </row>
    <row r="159" spans="1:12" x14ac:dyDescent="0.3">
      <c r="A159" s="8" t="s">
        <v>5668</v>
      </c>
      <c r="B159" s="8">
        <f t="shared" si="14"/>
        <v>600157</v>
      </c>
      <c r="C159" s="1" t="s">
        <v>7054</v>
      </c>
      <c r="D159" s="9">
        <f ca="1">VLOOKUP(C159,Project.csv!E:Q,13,FALSE)</f>
        <v>200076</v>
      </c>
      <c r="E159" s="8" t="str">
        <f t="shared" ca="1" si="15"/>
        <v>rg:{'id':'200076'}</v>
      </c>
      <c r="F159" s="9" t="s">
        <v>7058</v>
      </c>
      <c r="G159" s="9" t="str">
        <f ca="1">INDEX(DistrictEquipmentTypes.csv!F:F,RANDBETWEEN(2,COUNTA(DistrictEquipmentTypes.csv!D:D)),1)</f>
        <v>200002</v>
      </c>
      <c r="H159" s="8" t="str">
        <f t="shared" ca="1" si="16"/>
        <v>rg:{ 'id': '200002'}</v>
      </c>
      <c r="I159" s="8">
        <f t="shared" ca="1" si="17"/>
        <v>1</v>
      </c>
      <c r="J159" s="8">
        <f t="shared" ca="1" si="18"/>
        <v>42</v>
      </c>
      <c r="K159" s="8" t="str">
        <f t="shared" ca="1" si="19"/>
        <v>2017-05-15</v>
      </c>
      <c r="L159" s="8" t="str">
        <f t="shared" ca="1" si="20"/>
        <v>2017-05-20</v>
      </c>
    </row>
    <row r="160" spans="1:12" x14ac:dyDescent="0.3">
      <c r="A160" s="8" t="s">
        <v>5668</v>
      </c>
      <c r="B160" s="8">
        <f t="shared" si="14"/>
        <v>600158</v>
      </c>
      <c r="C160" s="1" t="s">
        <v>7055</v>
      </c>
      <c r="D160" s="9">
        <f ca="1">VLOOKUP(C160,Project.csv!E:Q,13,FALSE)</f>
        <v>200018</v>
      </c>
      <c r="E160" s="8" t="str">
        <f t="shared" ca="1" si="15"/>
        <v>rg:{'id':'200018'}</v>
      </c>
      <c r="F160" s="9" t="s">
        <v>7057</v>
      </c>
      <c r="G160" s="9" t="str">
        <f ca="1">INDEX(DistrictEquipmentTypes.csv!F:F,RANDBETWEEN(2,COUNTA(DistrictEquipmentTypes.csv!D:D)),1)</f>
        <v>200009</v>
      </c>
      <c r="H160" s="8" t="str">
        <f t="shared" ca="1" si="16"/>
        <v>rg:{ 'id': '200009'}</v>
      </c>
      <c r="I160" s="8">
        <f t="shared" ca="1" si="17"/>
        <v>1</v>
      </c>
      <c r="J160" s="8">
        <f t="shared" ca="1" si="18"/>
        <v>79</v>
      </c>
      <c r="K160" s="8" t="str">
        <f t="shared" ca="1" si="19"/>
        <v>2017-03-25</v>
      </c>
      <c r="L160" s="8" t="str">
        <f t="shared" ca="1" si="20"/>
        <v>2017-04-03</v>
      </c>
    </row>
    <row r="161" spans="1:12" x14ac:dyDescent="0.3">
      <c r="A161" s="8" t="s">
        <v>5668</v>
      </c>
      <c r="B161" s="8">
        <f t="shared" si="14"/>
        <v>600159</v>
      </c>
      <c r="C161" s="1" t="s">
        <v>6930</v>
      </c>
      <c r="D161" s="9">
        <f ca="1">VLOOKUP(C161,Project.csv!E:Q,13,FALSE)</f>
        <v>200013</v>
      </c>
      <c r="E161" s="8" t="str">
        <f t="shared" ca="1" si="15"/>
        <v>rg:{'id':'200013'}</v>
      </c>
      <c r="F161" s="9" t="s">
        <v>7057</v>
      </c>
      <c r="G161" s="9" t="str">
        <f ca="1">INDEX(DistrictEquipmentTypes.csv!F:F,RANDBETWEEN(2,COUNTA(DistrictEquipmentTypes.csv!D:D)),1)</f>
        <v>200009</v>
      </c>
      <c r="H161" s="8" t="str">
        <f t="shared" ca="1" si="16"/>
        <v>rg:{ 'id': '200009'}</v>
      </c>
      <c r="I161" s="8">
        <f t="shared" ca="1" si="17"/>
        <v>1</v>
      </c>
      <c r="J161" s="8">
        <f t="shared" ca="1" si="18"/>
        <v>30</v>
      </c>
      <c r="K161" s="8" t="str">
        <f t="shared" ca="1" si="19"/>
        <v>2017-04-02</v>
      </c>
      <c r="L161" s="8" t="str">
        <f t="shared" ca="1" si="20"/>
        <v>2017-04-05</v>
      </c>
    </row>
    <row r="162" spans="1:12" x14ac:dyDescent="0.3">
      <c r="A162" s="8" t="s">
        <v>5668</v>
      </c>
      <c r="B162" s="8">
        <f t="shared" si="14"/>
        <v>600160</v>
      </c>
      <c r="C162" s="1" t="s">
        <v>7056</v>
      </c>
      <c r="D162" s="9">
        <f ca="1">VLOOKUP(C162,Project.csv!E:Q,13,FALSE)</f>
        <v>200007</v>
      </c>
      <c r="E162" s="8" t="str">
        <f t="shared" ca="1" si="15"/>
        <v>rg:{'id':'200007'}</v>
      </c>
      <c r="F162" s="9" t="s">
        <v>7057</v>
      </c>
      <c r="G162" s="9" t="str">
        <f ca="1">INDEX(DistrictEquipmentTypes.csv!F:F,RANDBETWEEN(2,COUNTA(DistrictEquipmentTypes.csv!D:D)),1)</f>
        <v>200000</v>
      </c>
      <c r="H162" s="8" t="str">
        <f t="shared" ca="1" si="16"/>
        <v>rg:{ 'id': '200000'}</v>
      </c>
      <c r="I162" s="8">
        <f t="shared" ca="1" si="17"/>
        <v>1</v>
      </c>
      <c r="J162" s="8">
        <f t="shared" ca="1" si="18"/>
        <v>46</v>
      </c>
      <c r="K162" s="8" t="str">
        <f t="shared" ca="1" si="19"/>
        <v>2017-03-31</v>
      </c>
      <c r="L162" s="8" t="str">
        <f t="shared" ca="1" si="20"/>
        <v>2017-04-05</v>
      </c>
    </row>
    <row r="163" spans="1:12" x14ac:dyDescent="0.3">
      <c r="A163" s="8" t="s">
        <v>5668</v>
      </c>
      <c r="B163" s="8">
        <f t="shared" si="14"/>
        <v>600161</v>
      </c>
      <c r="C163" s="1" t="s">
        <v>6894</v>
      </c>
      <c r="D163" s="9">
        <f ca="1">VLOOKUP(C163,Project.csv!E:Q,13,FALSE)</f>
        <v>200004</v>
      </c>
      <c r="E163" s="8" t="str">
        <f t="shared" ca="1" si="15"/>
        <v>rg:{'id':'200004'}</v>
      </c>
      <c r="F163" s="9" t="s">
        <v>7058</v>
      </c>
      <c r="G163" s="9" t="str">
        <f ca="1">INDEX(DistrictEquipmentTypes.csv!F:F,RANDBETWEEN(2,COUNTA(DistrictEquipmentTypes.csv!D:D)),1)</f>
        <v>200005</v>
      </c>
      <c r="H163" s="8" t="str">
        <f t="shared" ca="1" si="16"/>
        <v>rg:{ 'id': '200005'}</v>
      </c>
      <c r="I163" s="8">
        <f t="shared" ca="1" si="17"/>
        <v>1</v>
      </c>
      <c r="J163" s="8">
        <f t="shared" ca="1" si="18"/>
        <v>11</v>
      </c>
      <c r="K163" s="8" t="str">
        <f t="shared" ca="1" si="19"/>
        <v>2017-03-28</v>
      </c>
      <c r="L163" s="8" t="str">
        <f t="shared" ca="1" si="20"/>
        <v>2017-03-29</v>
      </c>
    </row>
    <row r="164" spans="1:12" x14ac:dyDescent="0.3">
      <c r="A164" s="8" t="s">
        <v>5668</v>
      </c>
      <c r="B164" s="8">
        <f t="shared" si="14"/>
        <v>600162</v>
      </c>
      <c r="C164" s="1" t="s">
        <v>6939</v>
      </c>
      <c r="D164" s="9">
        <f ca="1">VLOOKUP(C164,Project.csv!E:Q,13,FALSE)</f>
        <v>200012</v>
      </c>
      <c r="E164" s="8" t="str">
        <f t="shared" ca="1" si="15"/>
        <v>rg:{'id':'200012'}</v>
      </c>
      <c r="F164" s="9" t="s">
        <v>7057</v>
      </c>
      <c r="G164" s="9" t="str">
        <f ca="1">INDEX(DistrictEquipmentTypes.csv!F:F,RANDBETWEEN(2,COUNTA(DistrictEquipmentTypes.csv!D:D)),1)</f>
        <v>200006</v>
      </c>
      <c r="H164" s="8" t="str">
        <f t="shared" ca="1" si="16"/>
        <v>rg:{ 'id': '200006'}</v>
      </c>
      <c r="I164" s="8">
        <f t="shared" ca="1" si="17"/>
        <v>3</v>
      </c>
      <c r="J164" s="8">
        <f t="shared" ca="1" si="18"/>
        <v>76</v>
      </c>
      <c r="K164" s="8" t="str">
        <f t="shared" ca="1" si="19"/>
        <v>2017-04-11</v>
      </c>
      <c r="L164" s="8" t="str">
        <f t="shared" ca="1" si="20"/>
        <v>2017-05-09</v>
      </c>
    </row>
    <row r="165" spans="1:12" x14ac:dyDescent="0.3">
      <c r="A165" s="8" t="s">
        <v>5668</v>
      </c>
      <c r="B165" s="8">
        <f t="shared" si="14"/>
        <v>600163</v>
      </c>
      <c r="C165" s="1" t="s">
        <v>6934</v>
      </c>
      <c r="D165" s="9">
        <f ca="1">VLOOKUP(C165,Project.csv!E:Q,13,FALSE)</f>
        <v>200078</v>
      </c>
      <c r="E165" s="8" t="str">
        <f t="shared" ca="1" si="15"/>
        <v>rg:{'id':'200078'}</v>
      </c>
      <c r="F165" s="9" t="s">
        <v>7057</v>
      </c>
      <c r="G165" s="9" t="str">
        <f ca="1">INDEX(DistrictEquipmentTypes.csv!F:F,RANDBETWEEN(2,COUNTA(DistrictEquipmentTypes.csv!D:D)),1)</f>
        <v>200006</v>
      </c>
      <c r="H165" s="8" t="str">
        <f t="shared" ca="1" si="16"/>
        <v>rg:{ 'id': '200006'}</v>
      </c>
      <c r="I165" s="8">
        <f t="shared" ca="1" si="17"/>
        <v>5</v>
      </c>
      <c r="J165" s="8">
        <f t="shared" ca="1" si="18"/>
        <v>6</v>
      </c>
      <c r="K165" s="8" t="str">
        <f t="shared" ca="1" si="19"/>
        <v>2017-04-08</v>
      </c>
      <c r="L165" s="8" t="str">
        <f t="shared" ca="1" si="20"/>
        <v>2017-04-11</v>
      </c>
    </row>
    <row r="166" spans="1:12" x14ac:dyDescent="0.3">
      <c r="A166" s="8" t="s">
        <v>5668</v>
      </c>
      <c r="B166" s="8">
        <f t="shared" si="14"/>
        <v>600164</v>
      </c>
      <c r="C166" s="1" t="s">
        <v>6940</v>
      </c>
      <c r="D166" s="9">
        <f ca="1">VLOOKUP(C166,Project.csv!E:Q,13,FALSE)</f>
        <v>200021</v>
      </c>
      <c r="E166" s="8" t="str">
        <f t="shared" ca="1" si="15"/>
        <v>rg:{'id':'200021'}</v>
      </c>
      <c r="F166" s="9" t="s">
        <v>7058</v>
      </c>
      <c r="G166" s="9" t="str">
        <f ca="1">INDEX(DistrictEquipmentTypes.csv!F:F,RANDBETWEEN(2,COUNTA(DistrictEquipmentTypes.csv!D:D)),1)</f>
        <v>200006</v>
      </c>
      <c r="H166" s="8" t="str">
        <f t="shared" ca="1" si="16"/>
        <v>rg:{ 'id': '200006'}</v>
      </c>
      <c r="I166" s="8">
        <f t="shared" ca="1" si="17"/>
        <v>1</v>
      </c>
      <c r="J166" s="8">
        <f t="shared" ca="1" si="18"/>
        <v>96</v>
      </c>
      <c r="K166" s="8" t="str">
        <f t="shared" ca="1" si="19"/>
        <v>2017-05-05</v>
      </c>
      <c r="L166" s="8" t="str">
        <f t="shared" ca="1" si="20"/>
        <v>2017-05-17</v>
      </c>
    </row>
    <row r="167" spans="1:12" x14ac:dyDescent="0.3">
      <c r="A167" s="8" t="s">
        <v>5668</v>
      </c>
      <c r="B167" s="8">
        <f t="shared" si="14"/>
        <v>600165</v>
      </c>
      <c r="C167" s="1" t="s">
        <v>6941</v>
      </c>
      <c r="D167" s="9">
        <f ca="1">VLOOKUP(C167,Project.csv!E:Q,13,FALSE)</f>
        <v>200008</v>
      </c>
      <c r="E167" s="8" t="str">
        <f t="shared" ca="1" si="15"/>
        <v>rg:{'id':'200008'}</v>
      </c>
      <c r="F167" s="9" t="s">
        <v>7057</v>
      </c>
      <c r="G167" s="9" t="str">
        <f ca="1">INDEX(DistrictEquipmentTypes.csv!F:F,RANDBETWEEN(2,COUNTA(DistrictEquipmentTypes.csv!D:D)),1)</f>
        <v>200001</v>
      </c>
      <c r="H167" s="8" t="str">
        <f t="shared" ca="1" si="16"/>
        <v>rg:{ 'id': '200001'}</v>
      </c>
      <c r="I167" s="8">
        <f t="shared" ca="1" si="17"/>
        <v>1</v>
      </c>
      <c r="J167" s="8">
        <f t="shared" ca="1" si="18"/>
        <v>25</v>
      </c>
      <c r="K167" s="8" t="str">
        <f t="shared" ca="1" si="19"/>
        <v>2017-03-29</v>
      </c>
      <c r="L167" s="8" t="str">
        <f t="shared" ca="1" si="20"/>
        <v>2017-04-01</v>
      </c>
    </row>
    <row r="168" spans="1:12" x14ac:dyDescent="0.3">
      <c r="A168" s="8" t="s">
        <v>5668</v>
      </c>
      <c r="B168" s="8">
        <f t="shared" si="14"/>
        <v>600166</v>
      </c>
      <c r="C168" s="1" t="s">
        <v>6942</v>
      </c>
      <c r="D168" s="9">
        <f ca="1">VLOOKUP(C168,Project.csv!E:Q,13,FALSE)</f>
        <v>200000</v>
      </c>
      <c r="E168" s="8" t="str">
        <f t="shared" ca="1" si="15"/>
        <v>rg:{'id':'200000'}</v>
      </c>
      <c r="F168" s="9" t="s">
        <v>7057</v>
      </c>
      <c r="G168" s="9" t="str">
        <f ca="1">INDEX(DistrictEquipmentTypes.csv!F:F,RANDBETWEEN(2,COUNTA(DistrictEquipmentTypes.csv!D:D)),1)</f>
        <v>200004</v>
      </c>
      <c r="H168" s="8" t="str">
        <f t="shared" ca="1" si="16"/>
        <v>rg:{ 'id': '200004'}</v>
      </c>
      <c r="I168" s="8">
        <f t="shared" ca="1" si="17"/>
        <v>1</v>
      </c>
      <c r="J168" s="8">
        <f t="shared" ca="1" si="18"/>
        <v>68</v>
      </c>
      <c r="K168" s="8" t="str">
        <f t="shared" ca="1" si="19"/>
        <v>2017-04-25</v>
      </c>
      <c r="L168" s="8" t="str">
        <f t="shared" ca="1" si="20"/>
        <v>2017-05-03</v>
      </c>
    </row>
    <row r="169" spans="1:12" x14ac:dyDescent="0.3">
      <c r="A169" s="8" t="s">
        <v>5668</v>
      </c>
      <c r="B169" s="8">
        <f t="shared" si="14"/>
        <v>600167</v>
      </c>
      <c r="C169" s="1" t="s">
        <v>6943</v>
      </c>
      <c r="D169" s="9">
        <f ca="1">VLOOKUP(C169,Project.csv!E:Q,13,FALSE)</f>
        <v>200072</v>
      </c>
      <c r="E169" s="8" t="str">
        <f t="shared" ca="1" si="15"/>
        <v>rg:{'id':'200072'}</v>
      </c>
      <c r="F169" s="9" t="s">
        <v>7057</v>
      </c>
      <c r="G169" s="9" t="str">
        <f ca="1">INDEX(DistrictEquipmentTypes.csv!F:F,RANDBETWEEN(2,COUNTA(DistrictEquipmentTypes.csv!D:D)),1)</f>
        <v>200007</v>
      </c>
      <c r="H169" s="8" t="str">
        <f t="shared" ca="1" si="16"/>
        <v>rg:{ 'id': '200007'}</v>
      </c>
      <c r="I169" s="8">
        <f t="shared" ca="1" si="17"/>
        <v>1</v>
      </c>
      <c r="J169" s="8">
        <f t="shared" ca="1" si="18"/>
        <v>63</v>
      </c>
      <c r="K169" s="8" t="str">
        <f t="shared" ca="1" si="19"/>
        <v>2017-05-11</v>
      </c>
      <c r="L169" s="8" t="str">
        <f t="shared" ca="1" si="20"/>
        <v>2017-05-18</v>
      </c>
    </row>
    <row r="170" spans="1:12" x14ac:dyDescent="0.3">
      <c r="A170" s="8" t="s">
        <v>5668</v>
      </c>
      <c r="B170" s="8">
        <f t="shared" si="14"/>
        <v>600168</v>
      </c>
      <c r="C170" s="1" t="s">
        <v>6944</v>
      </c>
      <c r="D170" s="9">
        <f ca="1">VLOOKUP(C170,Project.csv!E:Q,13,FALSE)</f>
        <v>200027</v>
      </c>
      <c r="E170" s="8" t="str">
        <f t="shared" ca="1" si="15"/>
        <v>rg:{'id':'200027'}</v>
      </c>
      <c r="F170" s="9" t="s">
        <v>7058</v>
      </c>
      <c r="G170" s="9" t="str">
        <f ca="1">INDEX(DistrictEquipmentTypes.csv!F:F,RANDBETWEEN(2,COUNTA(DistrictEquipmentTypes.csv!D:D)),1)</f>
        <v>200009</v>
      </c>
      <c r="H170" s="8" t="str">
        <f t="shared" ca="1" si="16"/>
        <v>rg:{ 'id': '200009'}</v>
      </c>
      <c r="I170" s="8">
        <f t="shared" ca="1" si="17"/>
        <v>1</v>
      </c>
      <c r="J170" s="8">
        <f t="shared" ca="1" si="18"/>
        <v>71</v>
      </c>
      <c r="K170" s="8" t="str">
        <f t="shared" ca="1" si="19"/>
        <v>2017-04-23</v>
      </c>
      <c r="L170" s="8" t="str">
        <f t="shared" ca="1" si="20"/>
        <v>2017-05-01</v>
      </c>
    </row>
    <row r="171" spans="1:12" x14ac:dyDescent="0.3">
      <c r="A171" s="8" t="s">
        <v>5668</v>
      </c>
      <c r="B171" s="8">
        <f t="shared" si="14"/>
        <v>600169</v>
      </c>
      <c r="C171" s="1" t="s">
        <v>6923</v>
      </c>
      <c r="D171" s="9">
        <f ca="1">VLOOKUP(C171,Project.csv!E:Q,13,FALSE)</f>
        <v>200057</v>
      </c>
      <c r="E171" s="8" t="str">
        <f t="shared" ca="1" si="15"/>
        <v>rg:{'id':'200057'}</v>
      </c>
      <c r="F171" s="9" t="s">
        <v>7057</v>
      </c>
      <c r="G171" s="9" t="str">
        <f ca="1">INDEX(DistrictEquipmentTypes.csv!F:F,RANDBETWEEN(2,COUNTA(DistrictEquipmentTypes.csv!D:D)),1)</f>
        <v>200009</v>
      </c>
      <c r="H171" s="8" t="str">
        <f t="shared" ca="1" si="16"/>
        <v>rg:{ 'id': '200009'}</v>
      </c>
      <c r="I171" s="8">
        <f t="shared" ca="1" si="17"/>
        <v>1</v>
      </c>
      <c r="J171" s="8">
        <f t="shared" ca="1" si="18"/>
        <v>44</v>
      </c>
      <c r="K171" s="8" t="str">
        <f t="shared" ca="1" si="19"/>
        <v>2017-05-14</v>
      </c>
      <c r="L171" s="8" t="str">
        <f t="shared" ca="1" si="20"/>
        <v>2017-05-19</v>
      </c>
    </row>
    <row r="172" spans="1:12" x14ac:dyDescent="0.3">
      <c r="A172" s="8" t="s">
        <v>5668</v>
      </c>
      <c r="B172" s="8">
        <f t="shared" si="14"/>
        <v>600170</v>
      </c>
      <c r="C172" s="1" t="s">
        <v>6945</v>
      </c>
      <c r="D172" s="9">
        <f ca="1">VLOOKUP(C172,Project.csv!E:Q,13,FALSE)</f>
        <v>200084</v>
      </c>
      <c r="E172" s="8" t="str">
        <f t="shared" ca="1" si="15"/>
        <v>rg:{'id':'200084'}</v>
      </c>
      <c r="F172" s="9" t="s">
        <v>7057</v>
      </c>
      <c r="G172" s="9" t="str">
        <f ca="1">INDEX(DistrictEquipmentTypes.csv!F:F,RANDBETWEEN(2,COUNTA(DistrictEquipmentTypes.csv!D:D)),1)</f>
        <v>200005</v>
      </c>
      <c r="H172" s="8" t="str">
        <f t="shared" ca="1" si="16"/>
        <v>rg:{ 'id': '200005'}</v>
      </c>
      <c r="I172" s="8">
        <f t="shared" ca="1" si="17"/>
        <v>1</v>
      </c>
      <c r="J172" s="8">
        <f t="shared" ca="1" si="18"/>
        <v>48</v>
      </c>
      <c r="K172" s="8" t="str">
        <f t="shared" ca="1" si="19"/>
        <v>2017-04-19</v>
      </c>
      <c r="L172" s="8" t="str">
        <f t="shared" ca="1" si="20"/>
        <v>2017-04-25</v>
      </c>
    </row>
    <row r="173" spans="1:12" x14ac:dyDescent="0.3">
      <c r="A173" s="8" t="s">
        <v>5668</v>
      </c>
      <c r="B173" s="8">
        <f t="shared" si="14"/>
        <v>600171</v>
      </c>
      <c r="C173" s="1" t="s">
        <v>6901</v>
      </c>
      <c r="D173" s="9">
        <f ca="1">VLOOKUP(C173,Project.csv!E:Q,13,FALSE)</f>
        <v>200032</v>
      </c>
      <c r="E173" s="8" t="str">
        <f t="shared" ca="1" si="15"/>
        <v>rg:{'id':'200032'}</v>
      </c>
      <c r="F173" s="9" t="s">
        <v>7057</v>
      </c>
      <c r="G173" s="9" t="str">
        <f ca="1">INDEX(DistrictEquipmentTypes.csv!F:F,RANDBETWEEN(2,COUNTA(DistrictEquipmentTypes.csv!D:D)),1)</f>
        <v>200001</v>
      </c>
      <c r="H173" s="8" t="str">
        <f t="shared" ca="1" si="16"/>
        <v>rg:{ 'id': '200001'}</v>
      </c>
      <c r="I173" s="8">
        <f t="shared" ca="1" si="17"/>
        <v>1</v>
      </c>
      <c r="J173" s="8">
        <f t="shared" ca="1" si="18"/>
        <v>44</v>
      </c>
      <c r="K173" s="8" t="str">
        <f t="shared" ca="1" si="19"/>
        <v>2017-03-22</v>
      </c>
      <c r="L173" s="8" t="str">
        <f t="shared" ca="1" si="20"/>
        <v>2017-03-27</v>
      </c>
    </row>
    <row r="174" spans="1:12" x14ac:dyDescent="0.3">
      <c r="A174" s="8" t="s">
        <v>5668</v>
      </c>
      <c r="B174" s="8">
        <f t="shared" si="14"/>
        <v>600172</v>
      </c>
      <c r="C174" s="1" t="s">
        <v>6946</v>
      </c>
      <c r="D174" s="9">
        <f ca="1">VLOOKUP(C174,Project.csv!E:Q,13,FALSE)</f>
        <v>200032</v>
      </c>
      <c r="E174" s="8" t="str">
        <f t="shared" ca="1" si="15"/>
        <v>rg:{'id':'200032'}</v>
      </c>
      <c r="F174" s="9" t="s">
        <v>7057</v>
      </c>
      <c r="G174" s="9" t="str">
        <f ca="1">INDEX(DistrictEquipmentTypes.csv!F:F,RANDBETWEEN(2,COUNTA(DistrictEquipmentTypes.csv!D:D)),1)</f>
        <v>200007</v>
      </c>
      <c r="H174" s="8" t="str">
        <f t="shared" ca="1" si="16"/>
        <v>rg:{ 'id': '200007'}</v>
      </c>
      <c r="I174" s="8">
        <f t="shared" ca="1" si="17"/>
        <v>1</v>
      </c>
      <c r="J174" s="8">
        <f t="shared" ca="1" si="18"/>
        <v>31</v>
      </c>
      <c r="K174" s="8" t="str">
        <f t="shared" ca="1" si="19"/>
        <v>2017-03-27</v>
      </c>
      <c r="L174" s="8" t="str">
        <f t="shared" ca="1" si="20"/>
        <v>2017-03-30</v>
      </c>
    </row>
    <row r="175" spans="1:12" x14ac:dyDescent="0.3">
      <c r="A175" s="8" t="s">
        <v>5668</v>
      </c>
      <c r="B175" s="8">
        <f t="shared" si="14"/>
        <v>600173</v>
      </c>
      <c r="C175" s="1" t="s">
        <v>6947</v>
      </c>
      <c r="D175" s="9">
        <f ca="1">VLOOKUP(C175,Project.csv!E:Q,13,FALSE)</f>
        <v>200083</v>
      </c>
      <c r="E175" s="8" t="str">
        <f t="shared" ca="1" si="15"/>
        <v>rg:{'id':'200083'}</v>
      </c>
      <c r="F175" s="9" t="s">
        <v>7057</v>
      </c>
      <c r="G175" s="9" t="str">
        <f ca="1">INDEX(DistrictEquipmentTypes.csv!F:F,RANDBETWEEN(2,COUNTA(DistrictEquipmentTypes.csv!D:D)),1)</f>
        <v>200000</v>
      </c>
      <c r="H175" s="8" t="str">
        <f t="shared" ca="1" si="16"/>
        <v>rg:{ 'id': '200000'}</v>
      </c>
      <c r="I175" s="8">
        <f t="shared" ca="1" si="17"/>
        <v>1</v>
      </c>
      <c r="J175" s="8">
        <f t="shared" ca="1" si="18"/>
        <v>60</v>
      </c>
      <c r="K175" s="8" t="str">
        <f t="shared" ca="1" si="19"/>
        <v>2017-04-24</v>
      </c>
      <c r="L175" s="8" t="str">
        <f t="shared" ca="1" si="20"/>
        <v>2017-05-01</v>
      </c>
    </row>
    <row r="176" spans="1:12" x14ac:dyDescent="0.3">
      <c r="A176" s="8" t="s">
        <v>5668</v>
      </c>
      <c r="B176" s="8">
        <f t="shared" si="14"/>
        <v>600174</v>
      </c>
      <c r="C176" s="1" t="s">
        <v>6948</v>
      </c>
      <c r="D176" s="9">
        <f ca="1">VLOOKUP(C176,Project.csv!E:Q,13,FALSE)</f>
        <v>200064</v>
      </c>
      <c r="E176" s="8" t="str">
        <f t="shared" ca="1" si="15"/>
        <v>rg:{'id':'200064'}</v>
      </c>
      <c r="F176" s="9" t="s">
        <v>7057</v>
      </c>
      <c r="G176" s="9" t="str">
        <f ca="1">INDEX(DistrictEquipmentTypes.csv!F:F,RANDBETWEEN(2,COUNTA(DistrictEquipmentTypes.csv!D:D)),1)</f>
        <v>200001</v>
      </c>
      <c r="H176" s="8" t="str">
        <f t="shared" ca="1" si="16"/>
        <v>rg:{ 'id': '200001'}</v>
      </c>
      <c r="I176" s="8">
        <f t="shared" ca="1" si="17"/>
        <v>1</v>
      </c>
      <c r="J176" s="8">
        <f t="shared" ca="1" si="18"/>
        <v>91</v>
      </c>
      <c r="K176" s="8" t="str">
        <f t="shared" ca="1" si="19"/>
        <v>2017-03-30</v>
      </c>
      <c r="L176" s="8" t="str">
        <f t="shared" ca="1" si="20"/>
        <v>2017-04-10</v>
      </c>
    </row>
    <row r="177" spans="1:12" x14ac:dyDescent="0.3">
      <c r="A177" s="8" t="s">
        <v>5668</v>
      </c>
      <c r="B177" s="8">
        <f t="shared" si="14"/>
        <v>600175</v>
      </c>
      <c r="C177" s="1" t="s">
        <v>6949</v>
      </c>
      <c r="D177" s="9">
        <f ca="1">VLOOKUP(C177,Project.csv!E:Q,13,FALSE)</f>
        <v>200001</v>
      </c>
      <c r="E177" s="8" t="str">
        <f t="shared" ca="1" si="15"/>
        <v>rg:{'id':'200001'}</v>
      </c>
      <c r="F177" s="9" t="s">
        <v>7057</v>
      </c>
      <c r="G177" s="9" t="str">
        <f ca="1">INDEX(DistrictEquipmentTypes.csv!F:F,RANDBETWEEN(2,COUNTA(DistrictEquipmentTypes.csv!D:D)),1)</f>
        <v>200009</v>
      </c>
      <c r="H177" s="8" t="str">
        <f t="shared" ca="1" si="16"/>
        <v>rg:{ 'id': '200009'}</v>
      </c>
      <c r="I177" s="8">
        <f t="shared" ca="1" si="17"/>
        <v>2</v>
      </c>
      <c r="J177" s="8">
        <f t="shared" ca="1" si="18"/>
        <v>58</v>
      </c>
      <c r="K177" s="8" t="str">
        <f t="shared" ca="1" si="19"/>
        <v>2017-03-28</v>
      </c>
      <c r="L177" s="8" t="str">
        <f t="shared" ca="1" si="20"/>
        <v>2017-04-11</v>
      </c>
    </row>
    <row r="178" spans="1:12" x14ac:dyDescent="0.3">
      <c r="A178" s="8" t="s">
        <v>5668</v>
      </c>
      <c r="B178" s="8">
        <f t="shared" si="14"/>
        <v>600176</v>
      </c>
      <c r="C178" s="1" t="s">
        <v>6936</v>
      </c>
      <c r="D178" s="9">
        <f ca="1">VLOOKUP(C178,Project.csv!E:Q,13,FALSE)</f>
        <v>200037</v>
      </c>
      <c r="E178" s="8" t="str">
        <f t="shared" ca="1" si="15"/>
        <v>rg:{'id':'200037'}</v>
      </c>
      <c r="F178" s="9" t="s">
        <v>7057</v>
      </c>
      <c r="G178" s="9" t="str">
        <f ca="1">INDEX(DistrictEquipmentTypes.csv!F:F,RANDBETWEEN(2,COUNTA(DistrictEquipmentTypes.csv!D:D)),1)</f>
        <v>200005</v>
      </c>
      <c r="H178" s="8" t="str">
        <f t="shared" ca="1" si="16"/>
        <v>rg:{ 'id': '200005'}</v>
      </c>
      <c r="I178" s="8">
        <f t="shared" ca="1" si="17"/>
        <v>3</v>
      </c>
      <c r="J178" s="8">
        <f t="shared" ca="1" si="18"/>
        <v>7</v>
      </c>
      <c r="K178" s="8" t="str">
        <f t="shared" ca="1" si="19"/>
        <v>2017-05-04</v>
      </c>
      <c r="L178" s="8" t="str">
        <f t="shared" ca="1" si="20"/>
        <v>2017-05-06</v>
      </c>
    </row>
    <row r="179" spans="1:12" x14ac:dyDescent="0.3">
      <c r="A179" s="8" t="s">
        <v>5668</v>
      </c>
      <c r="B179" s="8">
        <f t="shared" si="14"/>
        <v>600177</v>
      </c>
      <c r="C179" s="1" t="s">
        <v>6950</v>
      </c>
      <c r="D179" s="9">
        <f ca="1">VLOOKUP(C179,Project.csv!E:Q,13,FALSE)</f>
        <v>200023</v>
      </c>
      <c r="E179" s="8" t="str">
        <f t="shared" ca="1" si="15"/>
        <v>rg:{'id':'200023'}</v>
      </c>
      <c r="F179" s="9" t="s">
        <v>7057</v>
      </c>
      <c r="G179" s="9" t="str">
        <f ca="1">INDEX(DistrictEquipmentTypes.csv!F:F,RANDBETWEEN(2,COUNTA(DistrictEquipmentTypes.csv!D:D)),1)</f>
        <v>200009</v>
      </c>
      <c r="H179" s="8" t="str">
        <f t="shared" ca="1" si="16"/>
        <v>rg:{ 'id': '200009'}</v>
      </c>
      <c r="I179" s="8">
        <f t="shared" ca="1" si="17"/>
        <v>1</v>
      </c>
      <c r="J179" s="8">
        <f t="shared" ca="1" si="18"/>
        <v>41</v>
      </c>
      <c r="K179" s="8" t="str">
        <f t="shared" ca="1" si="19"/>
        <v>2017-04-24</v>
      </c>
      <c r="L179" s="8" t="str">
        <f t="shared" ca="1" si="20"/>
        <v>2017-04-29</v>
      </c>
    </row>
    <row r="180" spans="1:12" x14ac:dyDescent="0.3">
      <c r="A180" s="8" t="s">
        <v>5668</v>
      </c>
      <c r="B180" s="8">
        <f t="shared" si="14"/>
        <v>600178</v>
      </c>
      <c r="C180" s="1" t="s">
        <v>6919</v>
      </c>
      <c r="D180" s="9">
        <f ca="1">VLOOKUP(C180,Project.csv!E:Q,13,FALSE)</f>
        <v>200013</v>
      </c>
      <c r="E180" s="8" t="str">
        <f t="shared" ca="1" si="15"/>
        <v>rg:{'id':'200013'}</v>
      </c>
      <c r="F180" s="9" t="s">
        <v>7057</v>
      </c>
      <c r="G180" s="9" t="str">
        <f ca="1">INDEX(DistrictEquipmentTypes.csv!F:F,RANDBETWEEN(2,COUNTA(DistrictEquipmentTypes.csv!D:D)),1)</f>
        <v>200006</v>
      </c>
      <c r="H180" s="8" t="str">
        <f t="shared" ca="1" si="16"/>
        <v>rg:{ 'id': '200006'}</v>
      </c>
      <c r="I180" s="8">
        <f t="shared" ca="1" si="17"/>
        <v>1</v>
      </c>
      <c r="J180" s="8">
        <f t="shared" ca="1" si="18"/>
        <v>33</v>
      </c>
      <c r="K180" s="8" t="str">
        <f t="shared" ca="1" si="19"/>
        <v>2017-04-09</v>
      </c>
      <c r="L180" s="8" t="str">
        <f t="shared" ca="1" si="20"/>
        <v>2017-04-13</v>
      </c>
    </row>
    <row r="181" spans="1:12" x14ac:dyDescent="0.3">
      <c r="A181" s="8" t="s">
        <v>5668</v>
      </c>
      <c r="B181" s="8">
        <f t="shared" si="14"/>
        <v>600179</v>
      </c>
      <c r="C181" s="1" t="s">
        <v>6951</v>
      </c>
      <c r="D181" s="9">
        <f ca="1">VLOOKUP(C181,Project.csv!E:Q,13,FALSE)</f>
        <v>200042</v>
      </c>
      <c r="E181" s="8" t="str">
        <f t="shared" ca="1" si="15"/>
        <v>rg:{'id':'200042'}</v>
      </c>
      <c r="F181" s="9" t="s">
        <v>7057</v>
      </c>
      <c r="G181" s="9" t="str">
        <f ca="1">INDEX(DistrictEquipmentTypes.csv!F:F,RANDBETWEEN(2,COUNTA(DistrictEquipmentTypes.csv!D:D)),1)</f>
        <v>200006</v>
      </c>
      <c r="H181" s="8" t="str">
        <f t="shared" ca="1" si="16"/>
        <v>rg:{ 'id': '200006'}</v>
      </c>
      <c r="I181" s="8">
        <f t="shared" ca="1" si="17"/>
        <v>1</v>
      </c>
      <c r="J181" s="8">
        <f t="shared" ca="1" si="18"/>
        <v>61</v>
      </c>
      <c r="K181" s="8" t="str">
        <f t="shared" ca="1" si="19"/>
        <v>2017-04-29</v>
      </c>
      <c r="L181" s="8" t="str">
        <f t="shared" ca="1" si="20"/>
        <v>2017-05-06</v>
      </c>
    </row>
    <row r="182" spans="1:12" x14ac:dyDescent="0.3">
      <c r="A182" s="8" t="s">
        <v>5668</v>
      </c>
      <c r="B182" s="8">
        <f t="shared" si="14"/>
        <v>600180</v>
      </c>
      <c r="C182" s="1" t="s">
        <v>6896</v>
      </c>
      <c r="D182" s="9">
        <f ca="1">VLOOKUP(C182,Project.csv!E:Q,13,FALSE)</f>
        <v>200007</v>
      </c>
      <c r="E182" s="8" t="str">
        <f t="shared" ca="1" si="15"/>
        <v>rg:{'id':'200007'}</v>
      </c>
      <c r="F182" s="9" t="s">
        <v>7057</v>
      </c>
      <c r="G182" s="9" t="str">
        <f ca="1">INDEX(DistrictEquipmentTypes.csv!F:F,RANDBETWEEN(2,COUNTA(DistrictEquipmentTypes.csv!D:D)),1)</f>
        <v>200003</v>
      </c>
      <c r="H182" s="8" t="str">
        <f t="shared" ca="1" si="16"/>
        <v>rg:{ 'id': '200003'}</v>
      </c>
      <c r="I182" s="8">
        <f t="shared" ca="1" si="17"/>
        <v>1</v>
      </c>
      <c r="J182" s="8">
        <f t="shared" ca="1" si="18"/>
        <v>38</v>
      </c>
      <c r="K182" s="8" t="str">
        <f t="shared" ca="1" si="19"/>
        <v>2017-04-15</v>
      </c>
      <c r="L182" s="8" t="str">
        <f t="shared" ca="1" si="20"/>
        <v>2017-04-19</v>
      </c>
    </row>
    <row r="183" spans="1:12" x14ac:dyDescent="0.3">
      <c r="A183" s="8" t="s">
        <v>5668</v>
      </c>
      <c r="B183" s="8">
        <f t="shared" si="14"/>
        <v>600181</v>
      </c>
      <c r="C183" s="1" t="s">
        <v>6952</v>
      </c>
      <c r="D183" s="9">
        <f ca="1">VLOOKUP(C183,Project.csv!E:Q,13,FALSE)</f>
        <v>200035</v>
      </c>
      <c r="E183" s="8" t="str">
        <f t="shared" ca="1" si="15"/>
        <v>rg:{'id':'200035'}</v>
      </c>
      <c r="F183" s="9" t="s">
        <v>7057</v>
      </c>
      <c r="G183" s="9" t="str">
        <f ca="1">INDEX(DistrictEquipmentTypes.csv!F:F,RANDBETWEEN(2,COUNTA(DistrictEquipmentTypes.csv!D:D)),1)</f>
        <v>200005</v>
      </c>
      <c r="H183" s="8" t="str">
        <f t="shared" ca="1" si="16"/>
        <v>rg:{ 'id': '200005'}</v>
      </c>
      <c r="I183" s="8">
        <f t="shared" ca="1" si="17"/>
        <v>3</v>
      </c>
      <c r="J183" s="8">
        <f t="shared" ca="1" si="18"/>
        <v>7</v>
      </c>
      <c r="K183" s="8" t="str">
        <f t="shared" ca="1" si="19"/>
        <v>2017-04-20</v>
      </c>
      <c r="L183" s="8" t="str">
        <f t="shared" ca="1" si="20"/>
        <v>2017-04-22</v>
      </c>
    </row>
    <row r="184" spans="1:12" x14ac:dyDescent="0.3">
      <c r="A184" s="8" t="s">
        <v>5668</v>
      </c>
      <c r="B184" s="8">
        <f t="shared" si="14"/>
        <v>600182</v>
      </c>
      <c r="C184" s="1" t="s">
        <v>6903</v>
      </c>
      <c r="D184" s="9">
        <f ca="1">VLOOKUP(C184,Project.csv!E:Q,13,FALSE)</f>
        <v>200069</v>
      </c>
      <c r="E184" s="8" t="str">
        <f t="shared" ca="1" si="15"/>
        <v>rg:{'id':'200069'}</v>
      </c>
      <c r="F184" s="9" t="s">
        <v>7057</v>
      </c>
      <c r="G184" s="9" t="str">
        <f ca="1">INDEX(DistrictEquipmentTypes.csv!F:F,RANDBETWEEN(2,COUNTA(DistrictEquipmentTypes.csv!D:D)),1)</f>
        <v>200003</v>
      </c>
      <c r="H184" s="8" t="str">
        <f t="shared" ca="1" si="16"/>
        <v>rg:{ 'id': '200003'}</v>
      </c>
      <c r="I184" s="8">
        <f t="shared" ca="1" si="17"/>
        <v>1</v>
      </c>
      <c r="J184" s="8">
        <f t="shared" ca="1" si="18"/>
        <v>61</v>
      </c>
      <c r="K184" s="8" t="str">
        <f t="shared" ca="1" si="19"/>
        <v>2017-03-30</v>
      </c>
      <c r="L184" s="8" t="str">
        <f t="shared" ca="1" si="20"/>
        <v>2017-04-06</v>
      </c>
    </row>
    <row r="185" spans="1:12" x14ac:dyDescent="0.3">
      <c r="A185" s="8" t="s">
        <v>5668</v>
      </c>
      <c r="B185" s="8">
        <f t="shared" si="14"/>
        <v>600183</v>
      </c>
      <c r="C185" s="1" t="s">
        <v>6953</v>
      </c>
      <c r="D185" s="9">
        <f ca="1">VLOOKUP(C185,Project.csv!E:Q,13,FALSE)</f>
        <v>200002</v>
      </c>
      <c r="E185" s="8" t="str">
        <f t="shared" ca="1" si="15"/>
        <v>rg:{'id':'200002'}</v>
      </c>
      <c r="F185" s="9" t="s">
        <v>7057</v>
      </c>
      <c r="G185" s="9" t="str">
        <f ca="1">INDEX(DistrictEquipmentTypes.csv!F:F,RANDBETWEEN(2,COUNTA(DistrictEquipmentTypes.csv!D:D)),1)</f>
        <v>200009</v>
      </c>
      <c r="H185" s="8" t="str">
        <f t="shared" ca="1" si="16"/>
        <v>rg:{ 'id': '200009'}</v>
      </c>
      <c r="I185" s="8">
        <f t="shared" ca="1" si="17"/>
        <v>1</v>
      </c>
      <c r="J185" s="8">
        <f t="shared" ca="1" si="18"/>
        <v>70</v>
      </c>
      <c r="K185" s="8" t="str">
        <f t="shared" ca="1" si="19"/>
        <v>2017-04-13</v>
      </c>
      <c r="L185" s="8" t="str">
        <f t="shared" ca="1" si="20"/>
        <v>2017-04-21</v>
      </c>
    </row>
    <row r="186" spans="1:12" x14ac:dyDescent="0.3">
      <c r="A186" s="8" t="s">
        <v>5668</v>
      </c>
      <c r="B186" s="8">
        <f t="shared" si="14"/>
        <v>600184</v>
      </c>
      <c r="C186" s="1" t="s">
        <v>6895</v>
      </c>
      <c r="D186" s="9">
        <f ca="1">VLOOKUP(C186,Project.csv!E:Q,13,FALSE)</f>
        <v>200067</v>
      </c>
      <c r="E186" s="8" t="str">
        <f t="shared" ca="1" si="15"/>
        <v>rg:{'id':'200067'}</v>
      </c>
      <c r="F186" s="9" t="s">
        <v>7057</v>
      </c>
      <c r="G186" s="9" t="str">
        <f ca="1">INDEX(DistrictEquipmentTypes.csv!F:F,RANDBETWEEN(2,COUNTA(DistrictEquipmentTypes.csv!D:D)),1)</f>
        <v>200000</v>
      </c>
      <c r="H186" s="8" t="str">
        <f t="shared" ca="1" si="16"/>
        <v>rg:{ 'id': '200000'}</v>
      </c>
      <c r="I186" s="8">
        <f t="shared" ca="1" si="17"/>
        <v>1</v>
      </c>
      <c r="J186" s="8">
        <f t="shared" ca="1" si="18"/>
        <v>44</v>
      </c>
      <c r="K186" s="8" t="str">
        <f t="shared" ca="1" si="19"/>
        <v>2017-05-08</v>
      </c>
      <c r="L186" s="8" t="str">
        <f t="shared" ca="1" si="20"/>
        <v>2017-05-13</v>
      </c>
    </row>
    <row r="187" spans="1:12" x14ac:dyDescent="0.3">
      <c r="A187" s="8" t="s">
        <v>5668</v>
      </c>
      <c r="B187" s="8">
        <f t="shared" si="14"/>
        <v>600185</v>
      </c>
      <c r="C187" s="1" t="s">
        <v>6954</v>
      </c>
      <c r="D187" s="9">
        <f ca="1">VLOOKUP(C187,Project.csv!E:Q,13,FALSE)</f>
        <v>200014</v>
      </c>
      <c r="E187" s="8" t="str">
        <f t="shared" ca="1" si="15"/>
        <v>rg:{'id':'200014'}</v>
      </c>
      <c r="F187" s="9" t="s">
        <v>7057</v>
      </c>
      <c r="G187" s="9" t="str">
        <f ca="1">INDEX(DistrictEquipmentTypes.csv!F:F,RANDBETWEEN(2,COUNTA(DistrictEquipmentTypes.csv!D:D)),1)</f>
        <v>200000</v>
      </c>
      <c r="H187" s="8" t="str">
        <f t="shared" ca="1" si="16"/>
        <v>rg:{ 'id': '200000'}</v>
      </c>
      <c r="I187" s="8">
        <f t="shared" ca="1" si="17"/>
        <v>1</v>
      </c>
      <c r="J187" s="8">
        <f t="shared" ca="1" si="18"/>
        <v>56</v>
      </c>
      <c r="K187" s="8" t="str">
        <f t="shared" ca="1" si="19"/>
        <v>2017-03-31</v>
      </c>
      <c r="L187" s="8" t="str">
        <f t="shared" ca="1" si="20"/>
        <v>2017-04-07</v>
      </c>
    </row>
    <row r="188" spans="1:12" x14ac:dyDescent="0.3">
      <c r="A188" s="8" t="s">
        <v>5668</v>
      </c>
      <c r="B188" s="8">
        <f t="shared" si="14"/>
        <v>600186</v>
      </c>
      <c r="C188" s="1" t="s">
        <v>6955</v>
      </c>
      <c r="D188" s="9">
        <f ca="1">VLOOKUP(C188,Project.csv!E:Q,13,FALSE)</f>
        <v>200066</v>
      </c>
      <c r="E188" s="8" t="str">
        <f t="shared" ca="1" si="15"/>
        <v>rg:{'id':'200066'}</v>
      </c>
      <c r="F188" s="9" t="s">
        <v>7057</v>
      </c>
      <c r="G188" s="9" t="str">
        <f ca="1">INDEX(DistrictEquipmentTypes.csv!F:F,RANDBETWEEN(2,COUNTA(DistrictEquipmentTypes.csv!D:D)),1)</f>
        <v>200006</v>
      </c>
      <c r="H188" s="8" t="str">
        <f t="shared" ca="1" si="16"/>
        <v>rg:{ 'id': '200006'}</v>
      </c>
      <c r="I188" s="8">
        <f t="shared" ca="1" si="17"/>
        <v>1</v>
      </c>
      <c r="J188" s="8">
        <f t="shared" ca="1" si="18"/>
        <v>58</v>
      </c>
      <c r="K188" s="8" t="str">
        <f t="shared" ca="1" si="19"/>
        <v>2017-04-01</v>
      </c>
      <c r="L188" s="8" t="str">
        <f t="shared" ca="1" si="20"/>
        <v>2017-04-08</v>
      </c>
    </row>
    <row r="189" spans="1:12" x14ac:dyDescent="0.3">
      <c r="A189" s="8" t="s">
        <v>5668</v>
      </c>
      <c r="B189" s="8">
        <f t="shared" si="14"/>
        <v>600187</v>
      </c>
      <c r="C189" s="1" t="s">
        <v>6914</v>
      </c>
      <c r="D189" s="9">
        <f ca="1">VLOOKUP(C189,Project.csv!E:Q,13,FALSE)</f>
        <v>200040</v>
      </c>
      <c r="E189" s="8" t="str">
        <f t="shared" ca="1" si="15"/>
        <v>rg:{'id':'200040'}</v>
      </c>
      <c r="F189" s="9" t="s">
        <v>7057</v>
      </c>
      <c r="G189" s="9" t="str">
        <f ca="1">INDEX(DistrictEquipmentTypes.csv!F:F,RANDBETWEEN(2,COUNTA(DistrictEquipmentTypes.csv!D:D)),1)</f>
        <v>200003</v>
      </c>
      <c r="H189" s="8" t="str">
        <f t="shared" ca="1" si="16"/>
        <v>rg:{ 'id': '200003'}</v>
      </c>
      <c r="I189" s="8">
        <f t="shared" ca="1" si="17"/>
        <v>1</v>
      </c>
      <c r="J189" s="8">
        <f t="shared" ca="1" si="18"/>
        <v>23</v>
      </c>
      <c r="K189" s="8" t="str">
        <f t="shared" ca="1" si="19"/>
        <v>2017-05-10</v>
      </c>
      <c r="L189" s="8" t="str">
        <f t="shared" ca="1" si="20"/>
        <v>2017-05-12</v>
      </c>
    </row>
    <row r="190" spans="1:12" x14ac:dyDescent="0.3">
      <c r="A190" s="8" t="s">
        <v>5668</v>
      </c>
      <c r="B190" s="8">
        <f t="shared" si="14"/>
        <v>600188</v>
      </c>
      <c r="C190" s="1" t="s">
        <v>6956</v>
      </c>
      <c r="D190" s="9">
        <f ca="1">VLOOKUP(C190,Project.csv!E:Q,13,FALSE)</f>
        <v>200042</v>
      </c>
      <c r="E190" s="8" t="str">
        <f t="shared" ca="1" si="15"/>
        <v>rg:{'id':'200042'}</v>
      </c>
      <c r="F190" s="9" t="s">
        <v>7057</v>
      </c>
      <c r="G190" s="9" t="str">
        <f ca="1">INDEX(DistrictEquipmentTypes.csv!F:F,RANDBETWEEN(2,COUNTA(DistrictEquipmentTypes.csv!D:D)),1)</f>
        <v>200006</v>
      </c>
      <c r="H190" s="8" t="str">
        <f t="shared" ca="1" si="16"/>
        <v>rg:{ 'id': '200006'}</v>
      </c>
      <c r="I190" s="8">
        <f t="shared" ca="1" si="17"/>
        <v>1</v>
      </c>
      <c r="J190" s="8">
        <f t="shared" ca="1" si="18"/>
        <v>28</v>
      </c>
      <c r="K190" s="8" t="str">
        <f t="shared" ca="1" si="19"/>
        <v>2017-04-10</v>
      </c>
      <c r="L190" s="8" t="str">
        <f t="shared" ca="1" si="20"/>
        <v>2017-04-13</v>
      </c>
    </row>
    <row r="191" spans="1:12" x14ac:dyDescent="0.3">
      <c r="A191" s="8" t="s">
        <v>5668</v>
      </c>
      <c r="B191" s="8">
        <f t="shared" si="14"/>
        <v>600189</v>
      </c>
      <c r="C191" s="1" t="s">
        <v>6929</v>
      </c>
      <c r="D191" s="9">
        <f ca="1">VLOOKUP(C191,Project.csv!E:Q,13,FALSE)</f>
        <v>200020</v>
      </c>
      <c r="E191" s="8" t="str">
        <f t="shared" ca="1" si="15"/>
        <v>rg:{'id':'200020'}</v>
      </c>
      <c r="F191" s="9" t="s">
        <v>7057</v>
      </c>
      <c r="G191" s="9" t="str">
        <f ca="1">INDEX(DistrictEquipmentTypes.csv!F:F,RANDBETWEEN(2,COUNTA(DistrictEquipmentTypes.csv!D:D)),1)</f>
        <v>200009</v>
      </c>
      <c r="H191" s="8" t="str">
        <f t="shared" ca="1" si="16"/>
        <v>rg:{ 'id': '200009'}</v>
      </c>
      <c r="I191" s="8">
        <f t="shared" ca="1" si="17"/>
        <v>1</v>
      </c>
      <c r="J191" s="8">
        <f t="shared" ca="1" si="18"/>
        <v>62</v>
      </c>
      <c r="K191" s="8" t="str">
        <f t="shared" ca="1" si="19"/>
        <v>2017-05-13</v>
      </c>
      <c r="L191" s="8" t="str">
        <f t="shared" ca="1" si="20"/>
        <v>2017-05-20</v>
      </c>
    </row>
    <row r="192" spans="1:12" x14ac:dyDescent="0.3">
      <c r="A192" s="8" t="s">
        <v>5668</v>
      </c>
      <c r="B192" s="8">
        <f t="shared" si="14"/>
        <v>600190</v>
      </c>
      <c r="C192" s="1" t="s">
        <v>6957</v>
      </c>
      <c r="D192" s="9">
        <f ca="1">VLOOKUP(C192,Project.csv!E:Q,13,FALSE)</f>
        <v>200051</v>
      </c>
      <c r="E192" s="8" t="str">
        <f t="shared" ca="1" si="15"/>
        <v>rg:{'id':'200051'}</v>
      </c>
      <c r="F192" s="9" t="s">
        <v>7057</v>
      </c>
      <c r="G192" s="9" t="str">
        <f ca="1">INDEX(DistrictEquipmentTypes.csv!F:F,RANDBETWEEN(2,COUNTA(DistrictEquipmentTypes.csv!D:D)),1)</f>
        <v>200003</v>
      </c>
      <c r="H192" s="8" t="str">
        <f t="shared" ca="1" si="16"/>
        <v>rg:{ 'id': '200003'}</v>
      </c>
      <c r="I192" s="8">
        <f t="shared" ca="1" si="17"/>
        <v>1</v>
      </c>
      <c r="J192" s="8">
        <f t="shared" ca="1" si="18"/>
        <v>30</v>
      </c>
      <c r="K192" s="8" t="str">
        <f t="shared" ca="1" si="19"/>
        <v>2017-04-24</v>
      </c>
      <c r="L192" s="8" t="str">
        <f t="shared" ca="1" si="20"/>
        <v>2017-04-27</v>
      </c>
    </row>
    <row r="193" spans="1:12" x14ac:dyDescent="0.3">
      <c r="A193" s="8" t="s">
        <v>5668</v>
      </c>
      <c r="B193" s="8">
        <f t="shared" si="14"/>
        <v>600191</v>
      </c>
      <c r="C193" s="1" t="s">
        <v>6958</v>
      </c>
      <c r="D193" s="9">
        <f ca="1">VLOOKUP(C193,Project.csv!E:Q,13,FALSE)</f>
        <v>200059</v>
      </c>
      <c r="E193" s="8" t="str">
        <f t="shared" ca="1" si="15"/>
        <v>rg:{'id':'200059'}</v>
      </c>
      <c r="F193" s="9" t="s">
        <v>7057</v>
      </c>
      <c r="G193" s="9" t="str">
        <f ca="1">INDEX(DistrictEquipmentTypes.csv!F:F,RANDBETWEEN(2,COUNTA(DistrictEquipmentTypes.csv!D:D)),1)</f>
        <v>200004</v>
      </c>
      <c r="H193" s="8" t="str">
        <f t="shared" ca="1" si="16"/>
        <v>rg:{ 'id': '200004'}</v>
      </c>
      <c r="I193" s="8">
        <f t="shared" ca="1" si="17"/>
        <v>1</v>
      </c>
      <c r="J193" s="8">
        <f t="shared" ca="1" si="18"/>
        <v>37</v>
      </c>
      <c r="K193" s="8" t="str">
        <f t="shared" ca="1" si="19"/>
        <v>2017-04-13</v>
      </c>
      <c r="L193" s="8" t="str">
        <f t="shared" ca="1" si="20"/>
        <v>2017-04-17</v>
      </c>
    </row>
    <row r="194" spans="1:12" x14ac:dyDescent="0.3">
      <c r="A194" s="8" t="s">
        <v>5668</v>
      </c>
      <c r="B194" s="8">
        <f t="shared" si="14"/>
        <v>600192</v>
      </c>
      <c r="C194" s="1" t="s">
        <v>6959</v>
      </c>
      <c r="D194" s="9">
        <f ca="1">VLOOKUP(C194,Project.csv!E:Q,13,FALSE)</f>
        <v>200076</v>
      </c>
      <c r="E194" s="8" t="str">
        <f t="shared" ca="1" si="15"/>
        <v>rg:{'id':'200076'}</v>
      </c>
      <c r="F194" s="9" t="s">
        <v>7057</v>
      </c>
      <c r="G194" s="9" t="str">
        <f ca="1">INDEX(DistrictEquipmentTypes.csv!F:F,RANDBETWEEN(2,COUNTA(DistrictEquipmentTypes.csv!D:D)),1)</f>
        <v>200001</v>
      </c>
      <c r="H194" s="8" t="str">
        <f t="shared" ca="1" si="16"/>
        <v>rg:{ 'id': '200001'}</v>
      </c>
      <c r="I194" s="8">
        <f t="shared" ca="1" si="17"/>
        <v>3</v>
      </c>
      <c r="J194" s="8">
        <f t="shared" ca="1" si="18"/>
        <v>95</v>
      </c>
      <c r="K194" s="8" t="str">
        <f t="shared" ca="1" si="19"/>
        <v>2017-05-04</v>
      </c>
      <c r="L194" s="8" t="str">
        <f t="shared" ca="1" si="20"/>
        <v>2017-06-08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6960</v>
      </c>
      <c r="D195" s="9">
        <f ca="1">VLOOKUP(C195,Project.csv!E:Q,13,FALSE)</f>
        <v>200018</v>
      </c>
      <c r="E195" s="8" t="str">
        <f t="shared" ref="E195:E258" ca="1" si="22" xml:space="preserve"> "rg:{'id':'" &amp; D195 &amp; "'}"</f>
        <v>rg:{'id':'200018'}</v>
      </c>
      <c r="F195" s="9" t="s">
        <v>7057</v>
      </c>
      <c r="G195" s="9" t="str">
        <f ca="1">INDEX(DistrictEquipmentTypes.csv!F:F,RANDBETWEEN(2,COUNTA(DistrictEquipmentTypes.csv!D:D)),1)</f>
        <v>200006</v>
      </c>
      <c r="H195" s="8" t="str">
        <f t="shared" ref="H195:H258" ca="1" si="23">"rg:{ 'id': '"&amp;G195&amp;"'}"</f>
        <v>rg:{ 'id': '200006'}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36</v>
      </c>
      <c r="K195" s="8" t="str">
        <f t="shared" ref="K195:K258" ca="1" si="26">TEXT(TODAY()+RANDBETWEEN(1,56),"YYYY-MM-DD")</f>
        <v>2017-04-02</v>
      </c>
      <c r="L195" s="8" t="str">
        <f t="shared" ref="L195:L258" ca="1" si="27">TEXT(K195+(I195*J195)/8,"YYYY-MM-DD")</f>
        <v>2017-04-06</v>
      </c>
    </row>
    <row r="196" spans="1:12" x14ac:dyDescent="0.3">
      <c r="A196" s="8" t="s">
        <v>5668</v>
      </c>
      <c r="B196" s="8">
        <f t="shared" si="21"/>
        <v>600194</v>
      </c>
      <c r="C196" s="1" t="s">
        <v>6961</v>
      </c>
      <c r="D196" s="9">
        <f ca="1">VLOOKUP(C196,Project.csv!E:Q,13,FALSE)</f>
        <v>200019</v>
      </c>
      <c r="E196" s="8" t="str">
        <f t="shared" ca="1" si="22"/>
        <v>rg:{'id':'200019'}</v>
      </c>
      <c r="F196" s="9" t="s">
        <v>7057</v>
      </c>
      <c r="G196" s="9" t="str">
        <f ca="1">INDEX(DistrictEquipmentTypes.csv!F:F,RANDBETWEEN(2,COUNTA(DistrictEquipmentTypes.csv!D:D)),1)</f>
        <v>200004</v>
      </c>
      <c r="H196" s="8" t="str">
        <f t="shared" ca="1" si="23"/>
        <v>rg:{ 'id': '200004'}</v>
      </c>
      <c r="I196" s="8">
        <f t="shared" ca="1" si="24"/>
        <v>1</v>
      </c>
      <c r="J196" s="8">
        <f t="shared" ca="1" si="25"/>
        <v>100</v>
      </c>
      <c r="K196" s="8" t="str">
        <f t="shared" ca="1" si="26"/>
        <v>2017-04-10</v>
      </c>
      <c r="L196" s="8" t="str">
        <f t="shared" ca="1" si="27"/>
        <v>2017-04-22</v>
      </c>
    </row>
    <row r="197" spans="1:12" x14ac:dyDescent="0.3">
      <c r="A197" s="8" t="s">
        <v>5668</v>
      </c>
      <c r="B197" s="8">
        <f t="shared" si="21"/>
        <v>600195</v>
      </c>
      <c r="C197" s="1" t="s">
        <v>6905</v>
      </c>
      <c r="D197" s="9">
        <f ca="1">VLOOKUP(C197,Project.csv!E:Q,13,FALSE)</f>
        <v>200051</v>
      </c>
      <c r="E197" s="8" t="str">
        <f t="shared" ca="1" si="22"/>
        <v>rg:{'id':'200051'}</v>
      </c>
      <c r="F197" s="9" t="s">
        <v>7057</v>
      </c>
      <c r="G197" s="9" t="str">
        <f ca="1">INDEX(DistrictEquipmentTypes.csv!F:F,RANDBETWEEN(2,COUNTA(DistrictEquipmentTypes.csv!D:D)),1)</f>
        <v>200009</v>
      </c>
      <c r="H197" s="8" t="str">
        <f t="shared" ca="1" si="23"/>
        <v>rg:{ 'id': '200009'}</v>
      </c>
      <c r="I197" s="8">
        <f t="shared" ca="1" si="24"/>
        <v>1</v>
      </c>
      <c r="J197" s="8">
        <f t="shared" ca="1" si="25"/>
        <v>38</v>
      </c>
      <c r="K197" s="8" t="str">
        <f t="shared" ca="1" si="26"/>
        <v>2017-04-20</v>
      </c>
      <c r="L197" s="8" t="str">
        <f t="shared" ca="1" si="27"/>
        <v>2017-04-24</v>
      </c>
    </row>
    <row r="198" spans="1:12" x14ac:dyDescent="0.3">
      <c r="A198" s="8" t="s">
        <v>5668</v>
      </c>
      <c r="B198" s="8">
        <f t="shared" si="21"/>
        <v>600196</v>
      </c>
      <c r="C198" s="1" t="s">
        <v>6911</v>
      </c>
      <c r="D198" s="9">
        <f ca="1">VLOOKUP(C198,Project.csv!E:Q,13,FALSE)</f>
        <v>200032</v>
      </c>
      <c r="E198" s="8" t="str">
        <f t="shared" ca="1" si="22"/>
        <v>rg:{'id':'200032'}</v>
      </c>
      <c r="F198" s="9" t="s">
        <v>7057</v>
      </c>
      <c r="G198" s="9" t="str">
        <f ca="1">INDEX(DistrictEquipmentTypes.csv!F:F,RANDBETWEEN(2,COUNTA(DistrictEquipmentTypes.csv!D:D)),1)</f>
        <v>200000</v>
      </c>
      <c r="H198" s="8" t="str">
        <f t="shared" ca="1" si="23"/>
        <v>rg:{ 'id': '200000'}</v>
      </c>
      <c r="I198" s="8">
        <f t="shared" ca="1" si="24"/>
        <v>1</v>
      </c>
      <c r="J198" s="8">
        <f t="shared" ca="1" si="25"/>
        <v>92</v>
      </c>
      <c r="K198" s="8" t="str">
        <f t="shared" ca="1" si="26"/>
        <v>2017-03-22</v>
      </c>
      <c r="L198" s="8" t="str">
        <f t="shared" ca="1" si="27"/>
        <v>2017-04-02</v>
      </c>
    </row>
    <row r="199" spans="1:12" x14ac:dyDescent="0.3">
      <c r="A199" s="8" t="s">
        <v>5668</v>
      </c>
      <c r="B199" s="8">
        <f t="shared" si="21"/>
        <v>600197</v>
      </c>
      <c r="C199" s="1" t="s">
        <v>6962</v>
      </c>
      <c r="D199" s="9">
        <f ca="1">VLOOKUP(C199,Project.csv!E:Q,13,FALSE)</f>
        <v>200051</v>
      </c>
      <c r="E199" s="8" t="str">
        <f t="shared" ca="1" si="22"/>
        <v>rg:{'id':'200051'}</v>
      </c>
      <c r="F199" s="9" t="s">
        <v>7057</v>
      </c>
      <c r="G199" s="9" t="str">
        <f ca="1">INDEX(DistrictEquipmentTypes.csv!F:F,RANDBETWEEN(2,COUNTA(DistrictEquipmentTypes.csv!D:D)),1)</f>
        <v>200006</v>
      </c>
      <c r="H199" s="8" t="str">
        <f t="shared" ca="1" si="23"/>
        <v>rg:{ 'id': '200006'}</v>
      </c>
      <c r="I199" s="8">
        <f t="shared" ca="1" si="24"/>
        <v>1</v>
      </c>
      <c r="J199" s="8">
        <f t="shared" ca="1" si="25"/>
        <v>40</v>
      </c>
      <c r="K199" s="8" t="str">
        <f t="shared" ca="1" si="26"/>
        <v>2017-05-12</v>
      </c>
      <c r="L199" s="8" t="str">
        <f t="shared" ca="1" si="27"/>
        <v>2017-05-17</v>
      </c>
    </row>
    <row r="200" spans="1:12" x14ac:dyDescent="0.3">
      <c r="A200" s="8" t="s">
        <v>5668</v>
      </c>
      <c r="B200" s="8">
        <f t="shared" si="21"/>
        <v>600198</v>
      </c>
      <c r="C200" s="1" t="s">
        <v>6963</v>
      </c>
      <c r="D200" s="9">
        <f ca="1">VLOOKUP(C200,Project.csv!E:Q,13,FALSE)</f>
        <v>200006</v>
      </c>
      <c r="E200" s="8" t="str">
        <f t="shared" ca="1" si="22"/>
        <v>rg:{'id':'200006'}</v>
      </c>
      <c r="F200" s="9" t="s">
        <v>7057</v>
      </c>
      <c r="G200" s="9" t="str">
        <f ca="1">INDEX(DistrictEquipmentTypes.csv!F:F,RANDBETWEEN(2,COUNTA(DistrictEquipmentTypes.csv!D:D)),1)</f>
        <v>200006</v>
      </c>
      <c r="H200" s="8" t="str">
        <f t="shared" ca="1" si="23"/>
        <v>rg:{ 'id': '200006'}</v>
      </c>
      <c r="I200" s="8">
        <f t="shared" ca="1" si="24"/>
        <v>3</v>
      </c>
      <c r="J200" s="8">
        <f t="shared" ca="1" si="25"/>
        <v>9</v>
      </c>
      <c r="K200" s="8" t="str">
        <f t="shared" ca="1" si="26"/>
        <v>2017-05-06</v>
      </c>
      <c r="L200" s="8" t="str">
        <f t="shared" ca="1" si="27"/>
        <v>2017-05-09</v>
      </c>
    </row>
    <row r="201" spans="1:12" x14ac:dyDescent="0.3">
      <c r="A201" s="8" t="s">
        <v>5668</v>
      </c>
      <c r="B201" s="8">
        <f t="shared" si="21"/>
        <v>600199</v>
      </c>
      <c r="C201" s="1" t="s">
        <v>6964</v>
      </c>
      <c r="D201" s="9">
        <f ca="1">VLOOKUP(C201,Project.csv!E:Q,13,FALSE)</f>
        <v>200071</v>
      </c>
      <c r="E201" s="8" t="str">
        <f t="shared" ca="1" si="22"/>
        <v>rg:{'id':'200071'}</v>
      </c>
      <c r="F201" s="9" t="s">
        <v>7057</v>
      </c>
      <c r="G201" s="9" t="str">
        <f ca="1">INDEX(DistrictEquipmentTypes.csv!F:F,RANDBETWEEN(2,COUNTA(DistrictEquipmentTypes.csv!D:D)),1)</f>
        <v>200004</v>
      </c>
      <c r="H201" s="8" t="str">
        <f t="shared" ca="1" si="23"/>
        <v>rg:{ 'id': '200004'}</v>
      </c>
      <c r="I201" s="8">
        <f t="shared" ca="1" si="24"/>
        <v>1</v>
      </c>
      <c r="J201" s="8">
        <f t="shared" ca="1" si="25"/>
        <v>94</v>
      </c>
      <c r="K201" s="8" t="str">
        <f t="shared" ca="1" si="26"/>
        <v>2017-05-10</v>
      </c>
      <c r="L201" s="8" t="str">
        <f t="shared" ca="1" si="27"/>
        <v>2017-05-21</v>
      </c>
    </row>
    <row r="202" spans="1:12" x14ac:dyDescent="0.3">
      <c r="A202" s="8" t="s">
        <v>5668</v>
      </c>
      <c r="B202" s="8">
        <f t="shared" si="21"/>
        <v>600200</v>
      </c>
      <c r="C202" s="1" t="s">
        <v>6931</v>
      </c>
      <c r="D202" s="9">
        <f ca="1">VLOOKUP(C202,Project.csv!E:Q,13,FALSE)</f>
        <v>200019</v>
      </c>
      <c r="E202" s="8" t="str">
        <f t="shared" ca="1" si="22"/>
        <v>rg:{'id':'200019'}</v>
      </c>
      <c r="F202" s="9" t="s">
        <v>7057</v>
      </c>
      <c r="G202" s="9" t="str">
        <f ca="1">INDEX(DistrictEquipmentTypes.csv!F:F,RANDBETWEEN(2,COUNTA(DistrictEquipmentTypes.csv!D:D)),1)</f>
        <v>200004</v>
      </c>
      <c r="H202" s="8" t="str">
        <f t="shared" ca="1" si="23"/>
        <v>rg:{ 'id': '200004'}</v>
      </c>
      <c r="I202" s="8">
        <f t="shared" ca="1" si="24"/>
        <v>1</v>
      </c>
      <c r="J202" s="8">
        <f t="shared" ca="1" si="25"/>
        <v>23</v>
      </c>
      <c r="K202" s="8" t="str">
        <f t="shared" ca="1" si="26"/>
        <v>2017-05-15</v>
      </c>
      <c r="L202" s="8" t="str">
        <f t="shared" ca="1" si="27"/>
        <v>2017-05-17</v>
      </c>
    </row>
    <row r="203" spans="1:12" x14ac:dyDescent="0.3">
      <c r="A203" s="8" t="s">
        <v>5668</v>
      </c>
      <c r="B203" s="8">
        <f t="shared" si="21"/>
        <v>600201</v>
      </c>
      <c r="C203" s="1" t="s">
        <v>6926</v>
      </c>
      <c r="D203" s="9">
        <f ca="1">VLOOKUP(C203,Project.csv!E:Q,13,FALSE)</f>
        <v>200017</v>
      </c>
      <c r="E203" s="8" t="str">
        <f t="shared" ca="1" si="22"/>
        <v>rg:{'id':'200017'}</v>
      </c>
      <c r="F203" s="9" t="s">
        <v>7057</v>
      </c>
      <c r="G203" s="9" t="str">
        <f ca="1">INDEX(DistrictEquipmentTypes.csv!F:F,RANDBETWEEN(2,COUNTA(DistrictEquipmentTypes.csv!D:D)),1)</f>
        <v>200009</v>
      </c>
      <c r="H203" s="8" t="str">
        <f t="shared" ca="1" si="23"/>
        <v>rg:{ 'id': '200009'}</v>
      </c>
      <c r="I203" s="8">
        <f t="shared" ca="1" si="24"/>
        <v>1</v>
      </c>
      <c r="J203" s="8">
        <f t="shared" ca="1" si="25"/>
        <v>15</v>
      </c>
      <c r="K203" s="8" t="str">
        <f t="shared" ca="1" si="26"/>
        <v>2017-04-09</v>
      </c>
      <c r="L203" s="8" t="str">
        <f t="shared" ca="1" si="27"/>
        <v>2017-04-10</v>
      </c>
    </row>
    <row r="204" spans="1:12" x14ac:dyDescent="0.3">
      <c r="A204" s="8" t="s">
        <v>5668</v>
      </c>
      <c r="B204" s="8">
        <f t="shared" si="21"/>
        <v>600202</v>
      </c>
      <c r="C204" s="1" t="s">
        <v>6933</v>
      </c>
      <c r="D204" s="9">
        <f ca="1">VLOOKUP(C204,Project.csv!E:Q,13,FALSE)</f>
        <v>200059</v>
      </c>
      <c r="E204" s="8" t="str">
        <f t="shared" ca="1" si="22"/>
        <v>rg:{'id':'200059'}</v>
      </c>
      <c r="F204" s="9" t="s">
        <v>7057</v>
      </c>
      <c r="G204" s="9" t="str">
        <f ca="1">INDEX(DistrictEquipmentTypes.csv!F:F,RANDBETWEEN(2,COUNTA(DistrictEquipmentTypes.csv!D:D)),1)</f>
        <v>200005</v>
      </c>
      <c r="H204" s="8" t="str">
        <f t="shared" ca="1" si="23"/>
        <v>rg:{ 'id': '200005'}</v>
      </c>
      <c r="I204" s="8">
        <f t="shared" ca="1" si="24"/>
        <v>1</v>
      </c>
      <c r="J204" s="8">
        <f t="shared" ca="1" si="25"/>
        <v>32</v>
      </c>
      <c r="K204" s="8" t="str">
        <f t="shared" ca="1" si="26"/>
        <v>2017-05-12</v>
      </c>
      <c r="L204" s="8" t="str">
        <f t="shared" ca="1" si="27"/>
        <v>2017-05-16</v>
      </c>
    </row>
    <row r="205" spans="1:12" x14ac:dyDescent="0.3">
      <c r="A205" s="8" t="s">
        <v>5668</v>
      </c>
      <c r="B205" s="8">
        <f t="shared" si="21"/>
        <v>600203</v>
      </c>
      <c r="C205" s="1" t="s">
        <v>6965</v>
      </c>
      <c r="D205" s="9">
        <f ca="1">VLOOKUP(C205,Project.csv!E:Q,13,FALSE)</f>
        <v>200002</v>
      </c>
      <c r="E205" s="8" t="str">
        <f t="shared" ca="1" si="22"/>
        <v>rg:{'id':'200002'}</v>
      </c>
      <c r="F205" s="9" t="s">
        <v>7057</v>
      </c>
      <c r="G205" s="9" t="str">
        <f ca="1">INDEX(DistrictEquipmentTypes.csv!F:F,RANDBETWEEN(2,COUNTA(DistrictEquipmentTypes.csv!D:D)),1)</f>
        <v>200002</v>
      </c>
      <c r="H205" s="8" t="str">
        <f t="shared" ca="1" si="23"/>
        <v>rg:{ 'id': '200002'}</v>
      </c>
      <c r="I205" s="8">
        <f t="shared" ca="1" si="24"/>
        <v>1</v>
      </c>
      <c r="J205" s="8">
        <f t="shared" ca="1" si="25"/>
        <v>37</v>
      </c>
      <c r="K205" s="8" t="str">
        <f t="shared" ca="1" si="26"/>
        <v>2017-03-28</v>
      </c>
      <c r="L205" s="8" t="str">
        <f t="shared" ca="1" si="27"/>
        <v>2017-04-01</v>
      </c>
    </row>
    <row r="206" spans="1:12" x14ac:dyDescent="0.3">
      <c r="A206" s="8" t="s">
        <v>5668</v>
      </c>
      <c r="B206" s="8">
        <f t="shared" si="21"/>
        <v>600204</v>
      </c>
      <c r="C206" s="1" t="s">
        <v>6916</v>
      </c>
      <c r="D206" s="9">
        <f ca="1">VLOOKUP(C206,Project.csv!E:Q,13,FALSE)</f>
        <v>200083</v>
      </c>
      <c r="E206" s="8" t="str">
        <f t="shared" ca="1" si="22"/>
        <v>rg:{'id':'200083'}</v>
      </c>
      <c r="F206" s="9" t="s">
        <v>7057</v>
      </c>
      <c r="G206" s="9" t="str">
        <f ca="1">INDEX(DistrictEquipmentTypes.csv!F:F,RANDBETWEEN(2,COUNTA(DistrictEquipmentTypes.csv!D:D)),1)</f>
        <v>200007</v>
      </c>
      <c r="H206" s="8" t="str">
        <f t="shared" ca="1" si="23"/>
        <v>rg:{ 'id': '200007'}</v>
      </c>
      <c r="I206" s="8">
        <f t="shared" ca="1" si="24"/>
        <v>3</v>
      </c>
      <c r="J206" s="8">
        <f t="shared" ca="1" si="25"/>
        <v>9</v>
      </c>
      <c r="K206" s="8" t="str">
        <f t="shared" ca="1" si="26"/>
        <v>2017-04-18</v>
      </c>
      <c r="L206" s="8" t="str">
        <f t="shared" ca="1" si="27"/>
        <v>2017-04-21</v>
      </c>
    </row>
    <row r="207" spans="1:12" x14ac:dyDescent="0.3">
      <c r="A207" s="8" t="s">
        <v>5668</v>
      </c>
      <c r="B207" s="8">
        <f t="shared" si="21"/>
        <v>600205</v>
      </c>
      <c r="C207" s="1" t="s">
        <v>6966</v>
      </c>
      <c r="D207" s="9">
        <f ca="1">VLOOKUP(C207,Project.csv!E:Q,13,FALSE)</f>
        <v>200082</v>
      </c>
      <c r="E207" s="8" t="str">
        <f t="shared" ca="1" si="22"/>
        <v>rg:{'id':'200082'}</v>
      </c>
      <c r="F207" s="9" t="s">
        <v>7057</v>
      </c>
      <c r="G207" s="9" t="str">
        <f ca="1">INDEX(DistrictEquipmentTypes.csv!F:F,RANDBETWEEN(2,COUNTA(DistrictEquipmentTypes.csv!D:D)),1)</f>
        <v>200007</v>
      </c>
      <c r="H207" s="8" t="str">
        <f t="shared" ca="1" si="23"/>
        <v>rg:{ 'id': '200007'}</v>
      </c>
      <c r="I207" s="8">
        <f t="shared" ca="1" si="24"/>
        <v>1</v>
      </c>
      <c r="J207" s="8">
        <f t="shared" ca="1" si="25"/>
        <v>31</v>
      </c>
      <c r="K207" s="8" t="str">
        <f t="shared" ca="1" si="26"/>
        <v>2017-04-29</v>
      </c>
      <c r="L207" s="8" t="str">
        <f t="shared" ca="1" si="27"/>
        <v>2017-05-02</v>
      </c>
    </row>
    <row r="208" spans="1:12" x14ac:dyDescent="0.3">
      <c r="A208" s="8" t="s">
        <v>5668</v>
      </c>
      <c r="B208" s="8">
        <f t="shared" si="21"/>
        <v>600206</v>
      </c>
      <c r="C208" s="1" t="s">
        <v>6967</v>
      </c>
      <c r="D208" s="9">
        <f ca="1">VLOOKUP(C208,Project.csv!E:Q,13,FALSE)</f>
        <v>200077</v>
      </c>
      <c r="E208" s="8" t="str">
        <f t="shared" ca="1" si="22"/>
        <v>rg:{'id':'200077'}</v>
      </c>
      <c r="F208" s="9" t="s">
        <v>7057</v>
      </c>
      <c r="G208" s="9" t="str">
        <f ca="1">INDEX(DistrictEquipmentTypes.csv!F:F,RANDBETWEEN(2,COUNTA(DistrictEquipmentTypes.csv!D:D)),1)</f>
        <v>200009</v>
      </c>
      <c r="H208" s="8" t="str">
        <f t="shared" ca="1" si="23"/>
        <v>rg:{ 'id': '200009'}</v>
      </c>
      <c r="I208" s="8">
        <f t="shared" ca="1" si="24"/>
        <v>1</v>
      </c>
      <c r="J208" s="8">
        <f t="shared" ca="1" si="25"/>
        <v>54</v>
      </c>
      <c r="K208" s="8" t="str">
        <f t="shared" ca="1" si="26"/>
        <v>2017-05-15</v>
      </c>
      <c r="L208" s="8" t="str">
        <f t="shared" ca="1" si="27"/>
        <v>2017-05-21</v>
      </c>
    </row>
    <row r="209" spans="1:12" x14ac:dyDescent="0.3">
      <c r="A209" s="8" t="s">
        <v>5668</v>
      </c>
      <c r="B209" s="8">
        <f t="shared" si="21"/>
        <v>600207</v>
      </c>
      <c r="C209" s="1" t="s">
        <v>6968</v>
      </c>
      <c r="D209" s="9">
        <f ca="1">VLOOKUP(C209,Project.csv!E:Q,13,FALSE)</f>
        <v>200061</v>
      </c>
      <c r="E209" s="8" t="str">
        <f t="shared" ca="1" si="22"/>
        <v>rg:{'id':'200061'}</v>
      </c>
      <c r="F209" s="9" t="s">
        <v>7057</v>
      </c>
      <c r="G209" s="9" t="str">
        <f ca="1">INDEX(DistrictEquipmentTypes.csv!F:F,RANDBETWEEN(2,COUNTA(DistrictEquipmentTypes.csv!D:D)),1)</f>
        <v>200009</v>
      </c>
      <c r="H209" s="8" t="str">
        <f t="shared" ca="1" si="23"/>
        <v>rg:{ 'id': '200009'}</v>
      </c>
      <c r="I209" s="8">
        <f t="shared" ca="1" si="24"/>
        <v>1</v>
      </c>
      <c r="J209" s="8">
        <f t="shared" ca="1" si="25"/>
        <v>26</v>
      </c>
      <c r="K209" s="8" t="str">
        <f t="shared" ca="1" si="26"/>
        <v>2017-04-30</v>
      </c>
      <c r="L209" s="8" t="str">
        <f t="shared" ca="1" si="27"/>
        <v>2017-05-03</v>
      </c>
    </row>
    <row r="210" spans="1:12" x14ac:dyDescent="0.3">
      <c r="A210" s="8" t="s">
        <v>5668</v>
      </c>
      <c r="B210" s="8">
        <f t="shared" si="21"/>
        <v>600208</v>
      </c>
      <c r="C210" s="1" t="s">
        <v>6969</v>
      </c>
      <c r="D210" s="9">
        <f ca="1">VLOOKUP(C210,Project.csv!E:Q,13,FALSE)</f>
        <v>200022</v>
      </c>
      <c r="E210" s="8" t="str">
        <f t="shared" ca="1" si="22"/>
        <v>rg:{'id':'200022'}</v>
      </c>
      <c r="F210" s="9" t="s">
        <v>7057</v>
      </c>
      <c r="G210" s="9" t="str">
        <f ca="1">INDEX(DistrictEquipmentTypes.csv!F:F,RANDBETWEEN(2,COUNTA(DistrictEquipmentTypes.csv!D:D)),1)</f>
        <v>200006</v>
      </c>
      <c r="H210" s="8" t="str">
        <f t="shared" ca="1" si="23"/>
        <v>rg:{ 'id': '200006'}</v>
      </c>
      <c r="I210" s="8">
        <f t="shared" ca="1" si="24"/>
        <v>1</v>
      </c>
      <c r="J210" s="8">
        <f t="shared" ca="1" si="25"/>
        <v>58</v>
      </c>
      <c r="K210" s="8" t="str">
        <f t="shared" ca="1" si="26"/>
        <v>2017-03-27</v>
      </c>
      <c r="L210" s="8" t="str">
        <f t="shared" ca="1" si="27"/>
        <v>2017-04-03</v>
      </c>
    </row>
    <row r="211" spans="1:12" x14ac:dyDescent="0.3">
      <c r="A211" s="8" t="s">
        <v>5668</v>
      </c>
      <c r="B211" s="8">
        <f t="shared" si="21"/>
        <v>600209</v>
      </c>
      <c r="C211" s="1" t="s">
        <v>6908</v>
      </c>
      <c r="D211" s="9">
        <f ca="1">VLOOKUP(C211,Project.csv!E:Q,13,FALSE)</f>
        <v>200016</v>
      </c>
      <c r="E211" s="8" t="str">
        <f t="shared" ca="1" si="22"/>
        <v>rg:{'id':'200016'}</v>
      </c>
      <c r="F211" s="9" t="s">
        <v>7057</v>
      </c>
      <c r="G211" s="9" t="str">
        <f ca="1">INDEX(DistrictEquipmentTypes.csv!F:F,RANDBETWEEN(2,COUNTA(DistrictEquipmentTypes.csv!D:D)),1)</f>
        <v>200001</v>
      </c>
      <c r="H211" s="8" t="str">
        <f t="shared" ca="1" si="23"/>
        <v>rg:{ 'id': '200001'}</v>
      </c>
      <c r="I211" s="8">
        <f t="shared" ca="1" si="24"/>
        <v>1</v>
      </c>
      <c r="J211" s="8">
        <f t="shared" ca="1" si="25"/>
        <v>48</v>
      </c>
      <c r="K211" s="8" t="str">
        <f t="shared" ca="1" si="26"/>
        <v>2017-04-09</v>
      </c>
      <c r="L211" s="8" t="str">
        <f t="shared" ca="1" si="27"/>
        <v>2017-04-15</v>
      </c>
    </row>
    <row r="212" spans="1:12" x14ac:dyDescent="0.3">
      <c r="A212" s="8" t="s">
        <v>5668</v>
      </c>
      <c r="B212" s="8">
        <f t="shared" si="21"/>
        <v>600210</v>
      </c>
      <c r="C212" s="1" t="s">
        <v>6970</v>
      </c>
      <c r="D212" s="9">
        <f ca="1">VLOOKUP(C212,Project.csv!E:Q,13,FALSE)</f>
        <v>200060</v>
      </c>
      <c r="E212" s="8" t="str">
        <f t="shared" ca="1" si="22"/>
        <v>rg:{'id':'200060'}</v>
      </c>
      <c r="F212" s="9" t="s">
        <v>7057</v>
      </c>
      <c r="G212" s="9" t="str">
        <f ca="1">INDEX(DistrictEquipmentTypes.csv!F:F,RANDBETWEEN(2,COUNTA(DistrictEquipmentTypes.csv!D:D)),1)</f>
        <v>200003</v>
      </c>
      <c r="H212" s="8" t="str">
        <f t="shared" ca="1" si="23"/>
        <v>rg:{ 'id': '200003'}</v>
      </c>
      <c r="I212" s="8">
        <f t="shared" ca="1" si="24"/>
        <v>1</v>
      </c>
      <c r="J212" s="8">
        <f t="shared" ca="1" si="25"/>
        <v>61</v>
      </c>
      <c r="K212" s="8" t="str">
        <f t="shared" ca="1" si="26"/>
        <v>2017-04-15</v>
      </c>
      <c r="L212" s="8" t="str">
        <f t="shared" ca="1" si="27"/>
        <v>2017-04-22</v>
      </c>
    </row>
    <row r="213" spans="1:12" x14ac:dyDescent="0.3">
      <c r="A213" s="8" t="s">
        <v>5668</v>
      </c>
      <c r="B213" s="8">
        <f t="shared" si="21"/>
        <v>600211</v>
      </c>
      <c r="C213" s="1" t="s">
        <v>6971</v>
      </c>
      <c r="D213" s="9">
        <f ca="1">VLOOKUP(C213,Project.csv!E:Q,13,FALSE)</f>
        <v>200016</v>
      </c>
      <c r="E213" s="8" t="str">
        <f t="shared" ca="1" si="22"/>
        <v>rg:{'id':'200016'}</v>
      </c>
      <c r="F213" s="9" t="s">
        <v>7057</v>
      </c>
      <c r="G213" s="9" t="str">
        <f ca="1">INDEX(DistrictEquipmentTypes.csv!F:F,RANDBETWEEN(2,COUNTA(DistrictEquipmentTypes.csv!D:D)),1)</f>
        <v>200001</v>
      </c>
      <c r="H213" s="8" t="str">
        <f t="shared" ca="1" si="23"/>
        <v>rg:{ 'id': '200001'}</v>
      </c>
      <c r="I213" s="8">
        <f t="shared" ca="1" si="24"/>
        <v>1</v>
      </c>
      <c r="J213" s="8">
        <f t="shared" ca="1" si="25"/>
        <v>94</v>
      </c>
      <c r="K213" s="8" t="str">
        <f t="shared" ca="1" si="26"/>
        <v>2017-04-15</v>
      </c>
      <c r="L213" s="8" t="str">
        <f t="shared" ca="1" si="27"/>
        <v>2017-04-26</v>
      </c>
    </row>
    <row r="214" spans="1:12" x14ac:dyDescent="0.3">
      <c r="A214" s="8" t="s">
        <v>5668</v>
      </c>
      <c r="B214" s="8">
        <f t="shared" si="21"/>
        <v>600212</v>
      </c>
      <c r="C214" s="1" t="s">
        <v>6972</v>
      </c>
      <c r="D214" s="9">
        <f ca="1">VLOOKUP(C214,Project.csv!E:Q,13,FALSE)</f>
        <v>200023</v>
      </c>
      <c r="E214" s="8" t="str">
        <f t="shared" ca="1" si="22"/>
        <v>rg:{'id':'200023'}</v>
      </c>
      <c r="F214" s="9" t="s">
        <v>7057</v>
      </c>
      <c r="G214" s="9" t="str">
        <f ca="1">INDEX(DistrictEquipmentTypes.csv!F:F,RANDBETWEEN(2,COUNTA(DistrictEquipmentTypes.csv!D:D)),1)</f>
        <v>200003</v>
      </c>
      <c r="H214" s="8" t="str">
        <f t="shared" ca="1" si="23"/>
        <v>rg:{ 'id': '200003'}</v>
      </c>
      <c r="I214" s="8">
        <f t="shared" ca="1" si="24"/>
        <v>1</v>
      </c>
      <c r="J214" s="8">
        <f t="shared" ca="1" si="25"/>
        <v>25</v>
      </c>
      <c r="K214" s="8" t="str">
        <f t="shared" ca="1" si="26"/>
        <v>2017-05-01</v>
      </c>
      <c r="L214" s="8" t="str">
        <f t="shared" ca="1" si="27"/>
        <v>2017-05-04</v>
      </c>
    </row>
    <row r="215" spans="1:12" x14ac:dyDescent="0.3">
      <c r="A215" s="8" t="s">
        <v>5668</v>
      </c>
      <c r="B215" s="8">
        <f t="shared" si="21"/>
        <v>600213</v>
      </c>
      <c r="C215" s="1" t="s">
        <v>6913</v>
      </c>
      <c r="D215" s="9">
        <f ca="1">VLOOKUP(C215,Project.csv!E:Q,13,FALSE)</f>
        <v>200018</v>
      </c>
      <c r="E215" s="8" t="str">
        <f t="shared" ca="1" si="22"/>
        <v>rg:{'id':'200018'}</v>
      </c>
      <c r="F215" s="9" t="s">
        <v>7057</v>
      </c>
      <c r="G215" s="9" t="str">
        <f ca="1">INDEX(DistrictEquipmentTypes.csv!F:F,RANDBETWEEN(2,COUNTA(DistrictEquipmentTypes.csv!D:D)),1)</f>
        <v>200007</v>
      </c>
      <c r="H215" s="8" t="str">
        <f t="shared" ca="1" si="23"/>
        <v>rg:{ 'id': '200007'}</v>
      </c>
      <c r="I215" s="8">
        <f t="shared" ca="1" si="24"/>
        <v>1</v>
      </c>
      <c r="J215" s="8">
        <f t="shared" ca="1" si="25"/>
        <v>23</v>
      </c>
      <c r="K215" s="8" t="str">
        <f t="shared" ca="1" si="26"/>
        <v>2017-04-23</v>
      </c>
      <c r="L215" s="8" t="str">
        <f t="shared" ca="1" si="27"/>
        <v>2017-04-25</v>
      </c>
    </row>
    <row r="216" spans="1:12" x14ac:dyDescent="0.3">
      <c r="A216" s="8" t="s">
        <v>5668</v>
      </c>
      <c r="B216" s="8">
        <f t="shared" si="21"/>
        <v>600214</v>
      </c>
      <c r="C216" s="1" t="s">
        <v>6912</v>
      </c>
      <c r="D216" s="9">
        <f ca="1">VLOOKUP(C216,Project.csv!E:Q,13,FALSE)</f>
        <v>200056</v>
      </c>
      <c r="E216" s="8" t="str">
        <f t="shared" ca="1" si="22"/>
        <v>rg:{'id':'200056'}</v>
      </c>
      <c r="F216" s="9" t="s">
        <v>7057</v>
      </c>
      <c r="G216" s="9" t="str">
        <f ca="1">INDEX(DistrictEquipmentTypes.csv!F:F,RANDBETWEEN(2,COUNTA(DistrictEquipmentTypes.csv!D:D)),1)</f>
        <v>200002</v>
      </c>
      <c r="H216" s="8" t="str">
        <f t="shared" ca="1" si="23"/>
        <v>rg:{ 'id': '200002'}</v>
      </c>
      <c r="I216" s="8">
        <f t="shared" ca="1" si="24"/>
        <v>1</v>
      </c>
      <c r="J216" s="8">
        <f t="shared" ca="1" si="25"/>
        <v>7</v>
      </c>
      <c r="K216" s="8" t="str">
        <f t="shared" ca="1" si="26"/>
        <v>2017-03-27</v>
      </c>
      <c r="L216" s="8" t="str">
        <f t="shared" ca="1" si="27"/>
        <v>2017-03-27</v>
      </c>
    </row>
    <row r="217" spans="1:12" x14ac:dyDescent="0.3">
      <c r="A217" s="8" t="s">
        <v>5668</v>
      </c>
      <c r="B217" s="8">
        <f t="shared" si="21"/>
        <v>600215</v>
      </c>
      <c r="C217" s="1" t="s">
        <v>6973</v>
      </c>
      <c r="D217" s="9">
        <f ca="1">VLOOKUP(C217,Project.csv!E:Q,13,FALSE)</f>
        <v>200006</v>
      </c>
      <c r="E217" s="8" t="str">
        <f t="shared" ca="1" si="22"/>
        <v>rg:{'id':'200006'}</v>
      </c>
      <c r="F217" s="9" t="s">
        <v>7057</v>
      </c>
      <c r="G217" s="9" t="str">
        <f ca="1">INDEX(DistrictEquipmentTypes.csv!F:F,RANDBETWEEN(2,COUNTA(DistrictEquipmentTypes.csv!D:D)),1)</f>
        <v>200005</v>
      </c>
      <c r="H217" s="8" t="str">
        <f t="shared" ca="1" si="23"/>
        <v>rg:{ 'id': '200005'}</v>
      </c>
      <c r="I217" s="8">
        <f t="shared" ca="1" si="24"/>
        <v>1</v>
      </c>
      <c r="J217" s="8">
        <f t="shared" ca="1" si="25"/>
        <v>48</v>
      </c>
      <c r="K217" s="8" t="str">
        <f t="shared" ca="1" si="26"/>
        <v>2017-05-10</v>
      </c>
      <c r="L217" s="8" t="str">
        <f t="shared" ca="1" si="27"/>
        <v>2017-05-16</v>
      </c>
    </row>
    <row r="218" spans="1:12" x14ac:dyDescent="0.3">
      <c r="A218" s="8" t="s">
        <v>5668</v>
      </c>
      <c r="B218" s="8">
        <f t="shared" si="21"/>
        <v>600216</v>
      </c>
      <c r="C218" s="1" t="s">
        <v>6974</v>
      </c>
      <c r="D218" s="9">
        <f ca="1">VLOOKUP(C218,Project.csv!E:Q,13,FALSE)</f>
        <v>200037</v>
      </c>
      <c r="E218" s="8" t="str">
        <f t="shared" ca="1" si="22"/>
        <v>rg:{'id':'200037'}</v>
      </c>
      <c r="F218" s="9" t="s">
        <v>7057</v>
      </c>
      <c r="G218" s="9" t="str">
        <f ca="1">INDEX(DistrictEquipmentTypes.csv!F:F,RANDBETWEEN(2,COUNTA(DistrictEquipmentTypes.csv!D:D)),1)</f>
        <v>200003</v>
      </c>
      <c r="H218" s="8" t="str">
        <f t="shared" ca="1" si="23"/>
        <v>rg:{ 'id': '200003'}</v>
      </c>
      <c r="I218" s="8">
        <f t="shared" ca="1" si="24"/>
        <v>1</v>
      </c>
      <c r="J218" s="8">
        <f t="shared" ca="1" si="25"/>
        <v>11</v>
      </c>
      <c r="K218" s="8" t="str">
        <f t="shared" ca="1" si="26"/>
        <v>2017-04-17</v>
      </c>
      <c r="L218" s="8" t="str">
        <f t="shared" ca="1" si="27"/>
        <v>2017-04-18</v>
      </c>
    </row>
    <row r="219" spans="1:12" x14ac:dyDescent="0.3">
      <c r="A219" s="8" t="s">
        <v>5668</v>
      </c>
      <c r="B219" s="8">
        <f t="shared" si="21"/>
        <v>600217</v>
      </c>
      <c r="C219" s="1" t="s">
        <v>6975</v>
      </c>
      <c r="D219" s="9">
        <f ca="1">VLOOKUP(C219,Project.csv!E:Q,13,FALSE)</f>
        <v>200083</v>
      </c>
      <c r="E219" s="8" t="str">
        <f t="shared" ca="1" si="22"/>
        <v>rg:{'id':'200083'}</v>
      </c>
      <c r="F219" s="9" t="s">
        <v>7057</v>
      </c>
      <c r="G219" s="9" t="str">
        <f ca="1">INDEX(DistrictEquipmentTypes.csv!F:F,RANDBETWEEN(2,COUNTA(DistrictEquipmentTypes.csv!D:D)),1)</f>
        <v>200004</v>
      </c>
      <c r="H219" s="8" t="str">
        <f t="shared" ca="1" si="23"/>
        <v>rg:{ 'id': '200004'}</v>
      </c>
      <c r="I219" s="8">
        <f t="shared" ca="1" si="24"/>
        <v>1</v>
      </c>
      <c r="J219" s="8">
        <f t="shared" ca="1" si="25"/>
        <v>32</v>
      </c>
      <c r="K219" s="8" t="str">
        <f t="shared" ca="1" si="26"/>
        <v>2017-05-10</v>
      </c>
      <c r="L219" s="8" t="str">
        <f t="shared" ca="1" si="27"/>
        <v>2017-05-14</v>
      </c>
    </row>
    <row r="220" spans="1:12" x14ac:dyDescent="0.3">
      <c r="A220" s="8" t="s">
        <v>5668</v>
      </c>
      <c r="B220" s="8">
        <f t="shared" si="21"/>
        <v>600218</v>
      </c>
      <c r="C220" s="1" t="s">
        <v>6976</v>
      </c>
      <c r="D220" s="9">
        <f ca="1">VLOOKUP(C220,Project.csv!E:Q,13,FALSE)</f>
        <v>200026</v>
      </c>
      <c r="E220" s="8" t="str">
        <f t="shared" ca="1" si="22"/>
        <v>rg:{'id':'200026'}</v>
      </c>
      <c r="F220" s="9" t="s">
        <v>7057</v>
      </c>
      <c r="G220" s="9" t="str">
        <f ca="1">INDEX(DistrictEquipmentTypes.csv!F:F,RANDBETWEEN(2,COUNTA(DistrictEquipmentTypes.csv!D:D)),1)</f>
        <v>200004</v>
      </c>
      <c r="H220" s="8" t="str">
        <f t="shared" ca="1" si="23"/>
        <v>rg:{ 'id': '200004'}</v>
      </c>
      <c r="I220" s="8">
        <f t="shared" ca="1" si="24"/>
        <v>1</v>
      </c>
      <c r="J220" s="8">
        <f t="shared" ca="1" si="25"/>
        <v>45</v>
      </c>
      <c r="K220" s="8" t="str">
        <f t="shared" ca="1" si="26"/>
        <v>2017-04-17</v>
      </c>
      <c r="L220" s="8" t="str">
        <f t="shared" ca="1" si="27"/>
        <v>2017-04-22</v>
      </c>
    </row>
    <row r="221" spans="1:12" x14ac:dyDescent="0.3">
      <c r="A221" s="8" t="s">
        <v>5668</v>
      </c>
      <c r="B221" s="8">
        <f t="shared" si="21"/>
        <v>600219</v>
      </c>
      <c r="C221" s="1" t="s">
        <v>6977</v>
      </c>
      <c r="D221" s="9">
        <f ca="1">VLOOKUP(C221,Project.csv!E:Q,13,FALSE)</f>
        <v>200012</v>
      </c>
      <c r="E221" s="8" t="str">
        <f t="shared" ca="1" si="22"/>
        <v>rg:{'id':'200012'}</v>
      </c>
      <c r="F221" s="9" t="s">
        <v>7057</v>
      </c>
      <c r="G221" s="9" t="str">
        <f ca="1">INDEX(DistrictEquipmentTypes.csv!F:F,RANDBETWEEN(2,COUNTA(DistrictEquipmentTypes.csv!D:D)),1)</f>
        <v>200003</v>
      </c>
      <c r="H221" s="8" t="str">
        <f t="shared" ca="1" si="23"/>
        <v>rg:{ 'id': '200003'}</v>
      </c>
      <c r="I221" s="8">
        <f t="shared" ca="1" si="24"/>
        <v>3</v>
      </c>
      <c r="J221" s="8">
        <f t="shared" ca="1" si="25"/>
        <v>10</v>
      </c>
      <c r="K221" s="8" t="str">
        <f t="shared" ca="1" si="26"/>
        <v>2017-04-19</v>
      </c>
      <c r="L221" s="8" t="str">
        <f t="shared" ca="1" si="27"/>
        <v>2017-04-22</v>
      </c>
    </row>
    <row r="222" spans="1:12" x14ac:dyDescent="0.3">
      <c r="A222" s="8" t="s">
        <v>5668</v>
      </c>
      <c r="B222" s="8">
        <f t="shared" si="21"/>
        <v>600220</v>
      </c>
      <c r="C222" s="1" t="s">
        <v>6978</v>
      </c>
      <c r="D222" s="9">
        <f ca="1">VLOOKUP(C222,Project.csv!E:Q,13,FALSE)</f>
        <v>200019</v>
      </c>
      <c r="E222" s="8" t="str">
        <f t="shared" ca="1" si="22"/>
        <v>rg:{'id':'200019'}</v>
      </c>
      <c r="F222" s="9" t="s">
        <v>7057</v>
      </c>
      <c r="G222" s="9" t="str">
        <f ca="1">INDEX(DistrictEquipmentTypes.csv!F:F,RANDBETWEEN(2,COUNTA(DistrictEquipmentTypes.csv!D:D)),1)</f>
        <v>200007</v>
      </c>
      <c r="H222" s="8" t="str">
        <f t="shared" ca="1" si="23"/>
        <v>rg:{ 'id': '200007'}</v>
      </c>
      <c r="I222" s="8">
        <f t="shared" ca="1" si="24"/>
        <v>1</v>
      </c>
      <c r="J222" s="8">
        <f t="shared" ca="1" si="25"/>
        <v>54</v>
      </c>
      <c r="K222" s="8" t="str">
        <f t="shared" ca="1" si="26"/>
        <v>2017-05-04</v>
      </c>
      <c r="L222" s="8" t="str">
        <f t="shared" ca="1" si="27"/>
        <v>2017-05-10</v>
      </c>
    </row>
    <row r="223" spans="1:12" x14ac:dyDescent="0.3">
      <c r="A223" s="8" t="s">
        <v>5668</v>
      </c>
      <c r="B223" s="8">
        <f t="shared" si="21"/>
        <v>600221</v>
      </c>
      <c r="C223" s="1" t="s">
        <v>6979</v>
      </c>
      <c r="D223" s="9">
        <f ca="1">VLOOKUP(C223,Project.csv!E:Q,13,FALSE)</f>
        <v>200002</v>
      </c>
      <c r="E223" s="8" t="str">
        <f t="shared" ca="1" si="22"/>
        <v>rg:{'id':'200002'}</v>
      </c>
      <c r="F223" s="9" t="s">
        <v>7057</v>
      </c>
      <c r="G223" s="9" t="str">
        <f ca="1">INDEX(DistrictEquipmentTypes.csv!F:F,RANDBETWEEN(2,COUNTA(DistrictEquipmentTypes.csv!D:D)),1)</f>
        <v>200009</v>
      </c>
      <c r="H223" s="8" t="str">
        <f t="shared" ca="1" si="23"/>
        <v>rg:{ 'id': '200009'}</v>
      </c>
      <c r="I223" s="8">
        <f t="shared" ca="1" si="24"/>
        <v>1</v>
      </c>
      <c r="J223" s="8">
        <f t="shared" ca="1" si="25"/>
        <v>82</v>
      </c>
      <c r="K223" s="8" t="str">
        <f t="shared" ca="1" si="26"/>
        <v>2017-04-03</v>
      </c>
      <c r="L223" s="8" t="str">
        <f t="shared" ca="1" si="27"/>
        <v>2017-04-13</v>
      </c>
    </row>
    <row r="224" spans="1:12" x14ac:dyDescent="0.3">
      <c r="A224" s="8" t="s">
        <v>5668</v>
      </c>
      <c r="B224" s="8">
        <f t="shared" si="21"/>
        <v>600222</v>
      </c>
      <c r="C224" s="1" t="s">
        <v>6980</v>
      </c>
      <c r="D224" s="9">
        <f ca="1">VLOOKUP(C224,Project.csv!E:Q,13,FALSE)</f>
        <v>200011</v>
      </c>
      <c r="E224" s="8" t="str">
        <f t="shared" ca="1" si="22"/>
        <v>rg:{'id':'200011'}</v>
      </c>
      <c r="F224" s="9" t="s">
        <v>7057</v>
      </c>
      <c r="G224" s="9" t="str">
        <f ca="1">INDEX(DistrictEquipmentTypes.csv!F:F,RANDBETWEEN(2,COUNTA(DistrictEquipmentTypes.csv!D:D)),1)</f>
        <v>200005</v>
      </c>
      <c r="H224" s="8" t="str">
        <f t="shared" ca="1" si="23"/>
        <v>rg:{ 'id': '200005'}</v>
      </c>
      <c r="I224" s="8">
        <f t="shared" ca="1" si="24"/>
        <v>1</v>
      </c>
      <c r="J224" s="8">
        <f t="shared" ca="1" si="25"/>
        <v>26</v>
      </c>
      <c r="K224" s="8" t="str">
        <f t="shared" ca="1" si="26"/>
        <v>2017-05-15</v>
      </c>
      <c r="L224" s="8" t="str">
        <f t="shared" ca="1" si="27"/>
        <v>2017-05-18</v>
      </c>
    </row>
    <row r="225" spans="1:12" x14ac:dyDescent="0.3">
      <c r="A225" s="8" t="s">
        <v>5668</v>
      </c>
      <c r="B225" s="8">
        <f t="shared" si="21"/>
        <v>600223</v>
      </c>
      <c r="C225" s="1" t="s">
        <v>6981</v>
      </c>
      <c r="D225" s="9">
        <f ca="1">VLOOKUP(C225,Project.csv!E:Q,13,FALSE)</f>
        <v>200021</v>
      </c>
      <c r="E225" s="8" t="str">
        <f t="shared" ca="1" si="22"/>
        <v>rg:{'id':'200021'}</v>
      </c>
      <c r="F225" s="9" t="s">
        <v>7057</v>
      </c>
      <c r="G225" s="9" t="str">
        <f ca="1">INDEX(DistrictEquipmentTypes.csv!F:F,RANDBETWEEN(2,COUNTA(DistrictEquipmentTypes.csv!D:D)),1)</f>
        <v>200004</v>
      </c>
      <c r="H225" s="8" t="str">
        <f t="shared" ca="1" si="23"/>
        <v>rg:{ 'id': '200004'}</v>
      </c>
      <c r="I225" s="8">
        <f t="shared" ca="1" si="24"/>
        <v>1</v>
      </c>
      <c r="J225" s="8">
        <f t="shared" ca="1" si="25"/>
        <v>39</v>
      </c>
      <c r="K225" s="8" t="str">
        <f t="shared" ca="1" si="26"/>
        <v>2017-04-07</v>
      </c>
      <c r="L225" s="8" t="str">
        <f t="shared" ca="1" si="27"/>
        <v>2017-04-11</v>
      </c>
    </row>
    <row r="226" spans="1:12" x14ac:dyDescent="0.3">
      <c r="A226" s="8" t="s">
        <v>5668</v>
      </c>
      <c r="B226" s="8">
        <f t="shared" si="21"/>
        <v>600224</v>
      </c>
      <c r="C226" s="1" t="s">
        <v>6982</v>
      </c>
      <c r="D226" s="9">
        <f ca="1">VLOOKUP(C226,Project.csv!E:Q,13,FALSE)</f>
        <v>200072</v>
      </c>
      <c r="E226" s="8" t="str">
        <f t="shared" ca="1" si="22"/>
        <v>rg:{'id':'200072'}</v>
      </c>
      <c r="F226" s="9" t="s">
        <v>7057</v>
      </c>
      <c r="G226" s="9" t="str">
        <f ca="1">INDEX(DistrictEquipmentTypes.csv!F:F,RANDBETWEEN(2,COUNTA(DistrictEquipmentTypes.csv!D:D)),1)</f>
        <v>200004</v>
      </c>
      <c r="H226" s="8" t="str">
        <f t="shared" ca="1" si="23"/>
        <v>rg:{ 'id': '200004'}</v>
      </c>
      <c r="I226" s="8">
        <f t="shared" ca="1" si="24"/>
        <v>1</v>
      </c>
      <c r="J226" s="8">
        <f t="shared" ca="1" si="25"/>
        <v>51</v>
      </c>
      <c r="K226" s="8" t="str">
        <f t="shared" ca="1" si="26"/>
        <v>2017-04-06</v>
      </c>
      <c r="L226" s="8" t="str">
        <f t="shared" ca="1" si="27"/>
        <v>2017-04-12</v>
      </c>
    </row>
    <row r="227" spans="1:12" x14ac:dyDescent="0.3">
      <c r="A227" s="8" t="s">
        <v>5668</v>
      </c>
      <c r="B227" s="8">
        <f t="shared" si="21"/>
        <v>600225</v>
      </c>
      <c r="C227" s="1" t="s">
        <v>6983</v>
      </c>
      <c r="D227" s="9">
        <f ca="1">VLOOKUP(C227,Project.csv!E:Q,13,FALSE)</f>
        <v>200059</v>
      </c>
      <c r="E227" s="8" t="str">
        <f t="shared" ca="1" si="22"/>
        <v>rg:{'id':'200059'}</v>
      </c>
      <c r="F227" s="9" t="s">
        <v>7057</v>
      </c>
      <c r="G227" s="9" t="str">
        <f ca="1">INDEX(DistrictEquipmentTypes.csv!F:F,RANDBETWEEN(2,COUNTA(DistrictEquipmentTypes.csv!D:D)),1)</f>
        <v>200009</v>
      </c>
      <c r="H227" s="8" t="str">
        <f t="shared" ca="1" si="23"/>
        <v>rg:{ 'id': '200009'}</v>
      </c>
      <c r="I227" s="8">
        <f t="shared" ca="1" si="24"/>
        <v>1</v>
      </c>
      <c r="J227" s="8">
        <f t="shared" ca="1" si="25"/>
        <v>58</v>
      </c>
      <c r="K227" s="8" t="str">
        <f t="shared" ca="1" si="26"/>
        <v>2017-04-04</v>
      </c>
      <c r="L227" s="8" t="str">
        <f t="shared" ca="1" si="27"/>
        <v>2017-04-11</v>
      </c>
    </row>
    <row r="228" spans="1:12" x14ac:dyDescent="0.3">
      <c r="A228" s="8" t="s">
        <v>5668</v>
      </c>
      <c r="B228" s="8">
        <f t="shared" si="21"/>
        <v>600226</v>
      </c>
      <c r="C228" s="1" t="s">
        <v>6984</v>
      </c>
      <c r="D228" s="9">
        <f ca="1">VLOOKUP(C228,Project.csv!E:Q,13,FALSE)</f>
        <v>200044</v>
      </c>
      <c r="E228" s="8" t="str">
        <f t="shared" ca="1" si="22"/>
        <v>rg:{'id':'200044'}</v>
      </c>
      <c r="F228" s="9" t="s">
        <v>7057</v>
      </c>
      <c r="G228" s="9" t="str">
        <f ca="1">INDEX(DistrictEquipmentTypes.csv!F:F,RANDBETWEEN(2,COUNTA(DistrictEquipmentTypes.csv!D:D)),1)</f>
        <v>200006</v>
      </c>
      <c r="H228" s="8" t="str">
        <f t="shared" ca="1" si="23"/>
        <v>rg:{ 'id': '200006'}</v>
      </c>
      <c r="I228" s="8">
        <f t="shared" ca="1" si="24"/>
        <v>4</v>
      </c>
      <c r="J228" s="8">
        <f t="shared" ca="1" si="25"/>
        <v>15</v>
      </c>
      <c r="K228" s="8" t="str">
        <f t="shared" ca="1" si="26"/>
        <v>2017-03-29</v>
      </c>
      <c r="L228" s="8" t="str">
        <f t="shared" ca="1" si="27"/>
        <v>2017-04-05</v>
      </c>
    </row>
    <row r="229" spans="1:12" x14ac:dyDescent="0.3">
      <c r="A229" s="8" t="s">
        <v>5668</v>
      </c>
      <c r="B229" s="8">
        <f t="shared" si="21"/>
        <v>600227</v>
      </c>
      <c r="C229" s="1" t="s">
        <v>6918</v>
      </c>
      <c r="D229" s="9">
        <f ca="1">VLOOKUP(C229,Project.csv!E:Q,13,FALSE)</f>
        <v>200043</v>
      </c>
      <c r="E229" s="8" t="str">
        <f t="shared" ca="1" si="22"/>
        <v>rg:{'id':'200043'}</v>
      </c>
      <c r="F229" s="9" t="s">
        <v>7057</v>
      </c>
      <c r="G229" s="9" t="str">
        <f ca="1">INDEX(DistrictEquipmentTypes.csv!F:F,RANDBETWEEN(2,COUNTA(DistrictEquipmentTypes.csv!D:D)),1)</f>
        <v>200009</v>
      </c>
      <c r="H229" s="8" t="str">
        <f t="shared" ca="1" si="23"/>
        <v>rg:{ 'id': '200009'}</v>
      </c>
      <c r="I229" s="8">
        <f t="shared" ca="1" si="24"/>
        <v>3</v>
      </c>
      <c r="J229" s="8">
        <f t="shared" ca="1" si="25"/>
        <v>69</v>
      </c>
      <c r="K229" s="8" t="str">
        <f t="shared" ca="1" si="26"/>
        <v>2017-04-21</v>
      </c>
      <c r="L229" s="8" t="str">
        <f t="shared" ca="1" si="27"/>
        <v>2017-05-16</v>
      </c>
    </row>
    <row r="230" spans="1:12" x14ac:dyDescent="0.3">
      <c r="A230" s="8" t="s">
        <v>5668</v>
      </c>
      <c r="B230" s="8">
        <f t="shared" si="21"/>
        <v>600228</v>
      </c>
      <c r="C230" s="1" t="s">
        <v>6985</v>
      </c>
      <c r="D230" s="9">
        <f ca="1">VLOOKUP(C230,Project.csv!E:Q,13,FALSE)</f>
        <v>200086</v>
      </c>
      <c r="E230" s="8" t="str">
        <f t="shared" ca="1" si="22"/>
        <v>rg:{'id':'200086'}</v>
      </c>
      <c r="F230" s="9" t="s">
        <v>7057</v>
      </c>
      <c r="G230" s="9" t="str">
        <f ca="1">INDEX(DistrictEquipmentTypes.csv!F:F,RANDBETWEEN(2,COUNTA(DistrictEquipmentTypes.csv!D:D)),1)</f>
        <v>200004</v>
      </c>
      <c r="H230" s="8" t="str">
        <f t="shared" ca="1" si="23"/>
        <v>rg:{ 'id': '200004'}</v>
      </c>
      <c r="I230" s="8">
        <f t="shared" ca="1" si="24"/>
        <v>1</v>
      </c>
      <c r="J230" s="8">
        <f t="shared" ca="1" si="25"/>
        <v>62</v>
      </c>
      <c r="K230" s="8" t="str">
        <f t="shared" ca="1" si="26"/>
        <v>2017-05-10</v>
      </c>
      <c r="L230" s="8" t="str">
        <f t="shared" ca="1" si="27"/>
        <v>2017-05-17</v>
      </c>
    </row>
    <row r="231" spans="1:12" x14ac:dyDescent="0.3">
      <c r="A231" s="8" t="s">
        <v>5668</v>
      </c>
      <c r="B231" s="8">
        <f t="shared" si="21"/>
        <v>600229</v>
      </c>
      <c r="C231" s="1" t="s">
        <v>6986</v>
      </c>
      <c r="D231" s="9">
        <f ca="1">VLOOKUP(C231,Project.csv!E:Q,13,FALSE)</f>
        <v>200028</v>
      </c>
      <c r="E231" s="8" t="str">
        <f t="shared" ca="1" si="22"/>
        <v>rg:{'id':'200028'}</v>
      </c>
      <c r="F231" s="9" t="s">
        <v>7057</v>
      </c>
      <c r="G231" s="9" t="str">
        <f ca="1">INDEX(DistrictEquipmentTypes.csv!F:F,RANDBETWEEN(2,COUNTA(DistrictEquipmentTypes.csv!D:D)),1)</f>
        <v>200007</v>
      </c>
      <c r="H231" s="8" t="str">
        <f t="shared" ca="1" si="23"/>
        <v>rg:{ 'id': '200007'}</v>
      </c>
      <c r="I231" s="8">
        <f t="shared" ca="1" si="24"/>
        <v>1</v>
      </c>
      <c r="J231" s="8">
        <f t="shared" ca="1" si="25"/>
        <v>54</v>
      </c>
      <c r="K231" s="8" t="str">
        <f t="shared" ca="1" si="26"/>
        <v>2017-04-16</v>
      </c>
      <c r="L231" s="8" t="str">
        <f t="shared" ca="1" si="27"/>
        <v>2017-04-22</v>
      </c>
    </row>
    <row r="232" spans="1:12" x14ac:dyDescent="0.3">
      <c r="A232" s="8" t="s">
        <v>5668</v>
      </c>
      <c r="B232" s="8">
        <f t="shared" si="21"/>
        <v>600230</v>
      </c>
      <c r="C232" s="1" t="s">
        <v>6987</v>
      </c>
      <c r="D232" s="9">
        <f ca="1">VLOOKUP(C232,Project.csv!E:Q,13,FALSE)</f>
        <v>200013</v>
      </c>
      <c r="E232" s="8" t="str">
        <f t="shared" ca="1" si="22"/>
        <v>rg:{'id':'200013'}</v>
      </c>
      <c r="F232" s="9" t="s">
        <v>7057</v>
      </c>
      <c r="G232" s="9" t="str">
        <f ca="1">INDEX(DistrictEquipmentTypes.csv!F:F,RANDBETWEEN(2,COUNTA(DistrictEquipmentTypes.csv!D:D)),1)</f>
        <v>200003</v>
      </c>
      <c r="H232" s="8" t="str">
        <f t="shared" ca="1" si="23"/>
        <v>rg:{ 'id': '200003'}</v>
      </c>
      <c r="I232" s="8">
        <f t="shared" ca="1" si="24"/>
        <v>1</v>
      </c>
      <c r="J232" s="8">
        <f t="shared" ca="1" si="25"/>
        <v>79</v>
      </c>
      <c r="K232" s="8" t="str">
        <f t="shared" ca="1" si="26"/>
        <v>2017-04-21</v>
      </c>
      <c r="L232" s="8" t="str">
        <f t="shared" ca="1" si="27"/>
        <v>2017-04-30</v>
      </c>
    </row>
    <row r="233" spans="1:12" x14ac:dyDescent="0.3">
      <c r="A233" s="8" t="s">
        <v>5668</v>
      </c>
      <c r="B233" s="8">
        <f t="shared" si="21"/>
        <v>600231</v>
      </c>
      <c r="C233" s="1" t="s">
        <v>6924</v>
      </c>
      <c r="D233" s="9">
        <f ca="1">VLOOKUP(C233,Project.csv!E:Q,13,FALSE)</f>
        <v>200057</v>
      </c>
      <c r="E233" s="8" t="str">
        <f t="shared" ca="1" si="22"/>
        <v>rg:{'id':'200057'}</v>
      </c>
      <c r="F233" s="9" t="s">
        <v>7057</v>
      </c>
      <c r="G233" s="9" t="str">
        <f ca="1">INDEX(DistrictEquipmentTypes.csv!F:F,RANDBETWEEN(2,COUNTA(DistrictEquipmentTypes.csv!D:D)),1)</f>
        <v>200004</v>
      </c>
      <c r="H233" s="8" t="str">
        <f t="shared" ca="1" si="23"/>
        <v>rg:{ 'id': '200004'}</v>
      </c>
      <c r="I233" s="8">
        <f t="shared" ca="1" si="24"/>
        <v>1</v>
      </c>
      <c r="J233" s="8">
        <f t="shared" ca="1" si="25"/>
        <v>8</v>
      </c>
      <c r="K233" s="8" t="str">
        <f t="shared" ca="1" si="26"/>
        <v>2017-04-08</v>
      </c>
      <c r="L233" s="8" t="str">
        <f t="shared" ca="1" si="27"/>
        <v>2017-04-09</v>
      </c>
    </row>
    <row r="234" spans="1:12" x14ac:dyDescent="0.3">
      <c r="A234" s="8" t="s">
        <v>5668</v>
      </c>
      <c r="B234" s="8">
        <f t="shared" si="21"/>
        <v>600232</v>
      </c>
      <c r="C234" s="1" t="s">
        <v>6988</v>
      </c>
      <c r="D234" s="9">
        <f ca="1">VLOOKUP(C234,Project.csv!E:Q,13,FALSE)</f>
        <v>200069</v>
      </c>
      <c r="E234" s="8" t="str">
        <f t="shared" ca="1" si="22"/>
        <v>rg:{'id':'200069'}</v>
      </c>
      <c r="F234" s="9" t="s">
        <v>7057</v>
      </c>
      <c r="G234" s="9" t="str">
        <f ca="1">INDEX(DistrictEquipmentTypes.csv!F:F,RANDBETWEEN(2,COUNTA(DistrictEquipmentTypes.csv!D:D)),1)</f>
        <v>200009</v>
      </c>
      <c r="H234" s="8" t="str">
        <f t="shared" ca="1" si="23"/>
        <v>rg:{ 'id': '200009'}</v>
      </c>
      <c r="I234" s="8">
        <f t="shared" ca="1" si="24"/>
        <v>1</v>
      </c>
      <c r="J234" s="8">
        <f t="shared" ca="1" si="25"/>
        <v>32</v>
      </c>
      <c r="K234" s="8" t="str">
        <f t="shared" ca="1" si="26"/>
        <v>2017-05-11</v>
      </c>
      <c r="L234" s="8" t="str">
        <f t="shared" ca="1" si="27"/>
        <v>2017-05-15</v>
      </c>
    </row>
    <row r="235" spans="1:12" x14ac:dyDescent="0.3">
      <c r="A235" s="8" t="s">
        <v>5668</v>
      </c>
      <c r="B235" s="8">
        <f t="shared" si="21"/>
        <v>600233</v>
      </c>
      <c r="C235" s="1" t="s">
        <v>6989</v>
      </c>
      <c r="D235" s="9">
        <f ca="1">VLOOKUP(C235,Project.csv!E:Q,13,FALSE)</f>
        <v>200055</v>
      </c>
      <c r="E235" s="8" t="str">
        <f t="shared" ca="1" si="22"/>
        <v>rg:{'id':'200055'}</v>
      </c>
      <c r="F235" s="9" t="s">
        <v>7057</v>
      </c>
      <c r="G235" s="9" t="str">
        <f ca="1">INDEX(DistrictEquipmentTypes.csv!F:F,RANDBETWEEN(2,COUNTA(DistrictEquipmentTypes.csv!D:D)),1)</f>
        <v>200002</v>
      </c>
      <c r="H235" s="8" t="str">
        <f t="shared" ca="1" si="23"/>
        <v>rg:{ 'id': '200002'}</v>
      </c>
      <c r="I235" s="8">
        <f t="shared" ca="1" si="24"/>
        <v>1</v>
      </c>
      <c r="J235" s="8">
        <f t="shared" ca="1" si="25"/>
        <v>26</v>
      </c>
      <c r="K235" s="8" t="str">
        <f t="shared" ca="1" si="26"/>
        <v>2017-05-02</v>
      </c>
      <c r="L235" s="8" t="str">
        <f t="shared" ca="1" si="27"/>
        <v>2017-05-05</v>
      </c>
    </row>
    <row r="236" spans="1:12" x14ac:dyDescent="0.3">
      <c r="A236" s="8" t="s">
        <v>5668</v>
      </c>
      <c r="B236" s="8">
        <f t="shared" si="21"/>
        <v>600234</v>
      </c>
      <c r="C236" s="1" t="s">
        <v>6990</v>
      </c>
      <c r="D236" s="9">
        <f ca="1">VLOOKUP(C236,Project.csv!E:Q,13,FALSE)</f>
        <v>200001</v>
      </c>
      <c r="E236" s="8" t="str">
        <f t="shared" ca="1" si="22"/>
        <v>rg:{'id':'200001'}</v>
      </c>
      <c r="F236" s="9" t="s">
        <v>7057</v>
      </c>
      <c r="G236" s="9" t="str">
        <f ca="1">INDEX(DistrictEquipmentTypes.csv!F:F,RANDBETWEEN(2,COUNTA(DistrictEquipmentTypes.csv!D:D)),1)</f>
        <v>200003</v>
      </c>
      <c r="H236" s="8" t="str">
        <f t="shared" ca="1" si="23"/>
        <v>rg:{ 'id': '200003'}</v>
      </c>
      <c r="I236" s="8">
        <f t="shared" ca="1" si="24"/>
        <v>1</v>
      </c>
      <c r="J236" s="8">
        <f t="shared" ca="1" si="25"/>
        <v>29</v>
      </c>
      <c r="K236" s="8" t="str">
        <f t="shared" ca="1" si="26"/>
        <v>2017-04-28</v>
      </c>
      <c r="L236" s="8" t="str">
        <f t="shared" ca="1" si="27"/>
        <v>2017-05-01</v>
      </c>
    </row>
    <row r="237" spans="1:12" x14ac:dyDescent="0.3">
      <c r="A237" s="8" t="s">
        <v>5668</v>
      </c>
      <c r="B237" s="8">
        <f t="shared" si="21"/>
        <v>600235</v>
      </c>
      <c r="C237" s="1" t="s">
        <v>6991</v>
      </c>
      <c r="D237" s="9">
        <f ca="1">VLOOKUP(C237,Project.csv!E:Q,13,FALSE)</f>
        <v>200084</v>
      </c>
      <c r="E237" s="8" t="str">
        <f t="shared" ca="1" si="22"/>
        <v>rg:{'id':'200084'}</v>
      </c>
      <c r="F237" s="9" t="s">
        <v>7057</v>
      </c>
      <c r="G237" s="9" t="str">
        <f ca="1">INDEX(DistrictEquipmentTypes.csv!F:F,RANDBETWEEN(2,COUNTA(DistrictEquipmentTypes.csv!D:D)),1)</f>
        <v>200002</v>
      </c>
      <c r="H237" s="8" t="str">
        <f t="shared" ca="1" si="23"/>
        <v>rg:{ 'id': '200002'}</v>
      </c>
      <c r="I237" s="8">
        <f t="shared" ca="1" si="24"/>
        <v>1</v>
      </c>
      <c r="J237" s="8">
        <f t="shared" ca="1" si="25"/>
        <v>40</v>
      </c>
      <c r="K237" s="8" t="str">
        <f t="shared" ca="1" si="26"/>
        <v>2017-05-10</v>
      </c>
      <c r="L237" s="8" t="str">
        <f t="shared" ca="1" si="27"/>
        <v>2017-05-15</v>
      </c>
    </row>
    <row r="238" spans="1:12" x14ac:dyDescent="0.3">
      <c r="A238" s="8" t="s">
        <v>5668</v>
      </c>
      <c r="B238" s="8">
        <f t="shared" si="21"/>
        <v>600236</v>
      </c>
      <c r="C238" s="1" t="s">
        <v>6992</v>
      </c>
      <c r="D238" s="9">
        <f ca="1">VLOOKUP(C238,Project.csv!E:Q,13,FALSE)</f>
        <v>200037</v>
      </c>
      <c r="E238" s="8" t="str">
        <f t="shared" ca="1" si="22"/>
        <v>rg:{'id':'200037'}</v>
      </c>
      <c r="F238" s="9" t="s">
        <v>7057</v>
      </c>
      <c r="G238" s="9" t="str">
        <f ca="1">INDEX(DistrictEquipmentTypes.csv!F:F,RANDBETWEEN(2,COUNTA(DistrictEquipmentTypes.csv!D:D)),1)</f>
        <v>200006</v>
      </c>
      <c r="H238" s="8" t="str">
        <f t="shared" ca="1" si="23"/>
        <v>rg:{ 'id': '200006'}</v>
      </c>
      <c r="I238" s="8">
        <f t="shared" ca="1" si="24"/>
        <v>1</v>
      </c>
      <c r="J238" s="8">
        <f t="shared" ca="1" si="25"/>
        <v>60</v>
      </c>
      <c r="K238" s="8" t="str">
        <f t="shared" ca="1" si="26"/>
        <v>2017-03-27</v>
      </c>
      <c r="L238" s="8" t="str">
        <f t="shared" ca="1" si="27"/>
        <v>2017-04-03</v>
      </c>
    </row>
    <row r="239" spans="1:12" x14ac:dyDescent="0.3">
      <c r="A239" s="8" t="s">
        <v>5668</v>
      </c>
      <c r="B239" s="8">
        <f t="shared" si="21"/>
        <v>600237</v>
      </c>
      <c r="C239" s="1" t="s">
        <v>6993</v>
      </c>
      <c r="D239" s="9">
        <f ca="1">VLOOKUP(C239,Project.csv!E:Q,13,FALSE)</f>
        <v>200008</v>
      </c>
      <c r="E239" s="8" t="str">
        <f t="shared" ca="1" si="22"/>
        <v>rg:{'id':'200008'}</v>
      </c>
      <c r="F239" s="9" t="s">
        <v>7057</v>
      </c>
      <c r="G239" s="9" t="str">
        <f ca="1">INDEX(DistrictEquipmentTypes.csv!F:F,RANDBETWEEN(2,COUNTA(DistrictEquipmentTypes.csv!D:D)),1)</f>
        <v>200004</v>
      </c>
      <c r="H239" s="8" t="str">
        <f t="shared" ca="1" si="23"/>
        <v>rg:{ 'id': '200004'}</v>
      </c>
      <c r="I239" s="8">
        <f t="shared" ca="1" si="24"/>
        <v>1</v>
      </c>
      <c r="J239" s="8">
        <f t="shared" ca="1" si="25"/>
        <v>63</v>
      </c>
      <c r="K239" s="8" t="str">
        <f t="shared" ca="1" si="26"/>
        <v>2017-05-09</v>
      </c>
      <c r="L239" s="8" t="str">
        <f t="shared" ca="1" si="27"/>
        <v>2017-05-16</v>
      </c>
    </row>
    <row r="240" spans="1:12" x14ac:dyDescent="0.3">
      <c r="A240" s="8" t="s">
        <v>5668</v>
      </c>
      <c r="B240" s="8">
        <f t="shared" si="21"/>
        <v>600238</v>
      </c>
      <c r="C240" s="1" t="s">
        <v>6994</v>
      </c>
      <c r="D240" s="9">
        <f ca="1">VLOOKUP(C240,Project.csv!E:Q,13,FALSE)</f>
        <v>200062</v>
      </c>
      <c r="E240" s="8" t="str">
        <f t="shared" ca="1" si="22"/>
        <v>rg:{'id':'200062'}</v>
      </c>
      <c r="F240" s="9" t="s">
        <v>7057</v>
      </c>
      <c r="G240" s="9" t="str">
        <f ca="1">INDEX(DistrictEquipmentTypes.csv!F:F,RANDBETWEEN(2,COUNTA(DistrictEquipmentTypes.csv!D:D)),1)</f>
        <v>200004</v>
      </c>
      <c r="H240" s="8" t="str">
        <f t="shared" ca="1" si="23"/>
        <v>rg:{ 'id': '200004'}</v>
      </c>
      <c r="I240" s="8">
        <f t="shared" ca="1" si="24"/>
        <v>5</v>
      </c>
      <c r="J240" s="8">
        <f t="shared" ca="1" si="25"/>
        <v>69</v>
      </c>
      <c r="K240" s="8" t="str">
        <f t="shared" ca="1" si="26"/>
        <v>2017-03-25</v>
      </c>
      <c r="L240" s="8" t="str">
        <f t="shared" ca="1" si="27"/>
        <v>2017-05-07</v>
      </c>
    </row>
    <row r="241" spans="1:12" x14ac:dyDescent="0.3">
      <c r="A241" s="8" t="s">
        <v>5668</v>
      </c>
      <c r="B241" s="8">
        <f t="shared" si="21"/>
        <v>600239</v>
      </c>
      <c r="C241" s="1" t="s">
        <v>6904</v>
      </c>
      <c r="D241" s="9">
        <f ca="1">VLOOKUP(C241,Project.csv!E:Q,13,FALSE)</f>
        <v>200057</v>
      </c>
      <c r="E241" s="8" t="str">
        <f t="shared" ca="1" si="22"/>
        <v>rg:{'id':'200057'}</v>
      </c>
      <c r="F241" s="9" t="s">
        <v>7057</v>
      </c>
      <c r="G241" s="9" t="str">
        <f ca="1">INDEX(DistrictEquipmentTypes.csv!F:F,RANDBETWEEN(2,COUNTA(DistrictEquipmentTypes.csv!D:D)),1)</f>
        <v>200006</v>
      </c>
      <c r="H241" s="8" t="str">
        <f t="shared" ca="1" si="23"/>
        <v>rg:{ 'id': '200006'}</v>
      </c>
      <c r="I241" s="8">
        <f t="shared" ca="1" si="24"/>
        <v>5</v>
      </c>
      <c r="J241" s="8">
        <f t="shared" ca="1" si="25"/>
        <v>24</v>
      </c>
      <c r="K241" s="8" t="str">
        <f t="shared" ca="1" si="26"/>
        <v>2017-05-12</v>
      </c>
      <c r="L241" s="8" t="str">
        <f t="shared" ca="1" si="27"/>
        <v>2017-05-27</v>
      </c>
    </row>
    <row r="242" spans="1:12" x14ac:dyDescent="0.3">
      <c r="A242" s="8" t="s">
        <v>5668</v>
      </c>
      <c r="B242" s="8">
        <f t="shared" si="21"/>
        <v>600240</v>
      </c>
      <c r="C242" s="1" t="s">
        <v>6899</v>
      </c>
      <c r="D242" s="9">
        <f ca="1">VLOOKUP(C242,Project.csv!E:Q,13,FALSE)</f>
        <v>200022</v>
      </c>
      <c r="E242" s="8" t="str">
        <f t="shared" ca="1" si="22"/>
        <v>rg:{'id':'200022'}</v>
      </c>
      <c r="F242" s="9" t="s">
        <v>7057</v>
      </c>
      <c r="G242" s="9" t="str">
        <f ca="1">INDEX(DistrictEquipmentTypes.csv!F:F,RANDBETWEEN(2,COUNTA(DistrictEquipmentTypes.csv!D:D)),1)</f>
        <v>200002</v>
      </c>
      <c r="H242" s="8" t="str">
        <f t="shared" ca="1" si="23"/>
        <v>rg:{ 'id': '200002'}</v>
      </c>
      <c r="I242" s="8">
        <f t="shared" ca="1" si="24"/>
        <v>1</v>
      </c>
      <c r="J242" s="8">
        <f t="shared" ca="1" si="25"/>
        <v>93</v>
      </c>
      <c r="K242" s="8" t="str">
        <f t="shared" ca="1" si="26"/>
        <v>2017-05-04</v>
      </c>
      <c r="L242" s="8" t="str">
        <f t="shared" ca="1" si="27"/>
        <v>2017-05-15</v>
      </c>
    </row>
    <row r="243" spans="1:12" x14ac:dyDescent="0.3">
      <c r="A243" s="8" t="s">
        <v>5668</v>
      </c>
      <c r="B243" s="8">
        <f t="shared" si="21"/>
        <v>600241</v>
      </c>
      <c r="C243" s="1" t="s">
        <v>6995</v>
      </c>
      <c r="D243" s="9">
        <f ca="1">VLOOKUP(C243,Project.csv!E:Q,13,FALSE)</f>
        <v>200005</v>
      </c>
      <c r="E243" s="8" t="str">
        <f t="shared" ca="1" si="22"/>
        <v>rg:{'id':'200005'}</v>
      </c>
      <c r="F243" s="9" t="s">
        <v>7057</v>
      </c>
      <c r="G243" s="9" t="str">
        <f ca="1">INDEX(DistrictEquipmentTypes.csv!F:F,RANDBETWEEN(2,COUNTA(DistrictEquipmentTypes.csv!D:D)),1)</f>
        <v>200000</v>
      </c>
      <c r="H243" s="8" t="str">
        <f t="shared" ca="1" si="23"/>
        <v>rg:{ 'id': '200000'}</v>
      </c>
      <c r="I243" s="8">
        <f t="shared" ca="1" si="24"/>
        <v>3</v>
      </c>
      <c r="J243" s="8">
        <f t="shared" ca="1" si="25"/>
        <v>77</v>
      </c>
      <c r="K243" s="8" t="str">
        <f t="shared" ca="1" si="26"/>
        <v>2017-04-19</v>
      </c>
      <c r="L243" s="8" t="str">
        <f t="shared" ca="1" si="27"/>
        <v>2017-05-17</v>
      </c>
    </row>
    <row r="244" spans="1:12" x14ac:dyDescent="0.3">
      <c r="A244" s="8" t="s">
        <v>5668</v>
      </c>
      <c r="B244" s="8">
        <f t="shared" si="21"/>
        <v>600242</v>
      </c>
      <c r="C244" s="1" t="s">
        <v>6996</v>
      </c>
      <c r="D244" s="9">
        <f ca="1">VLOOKUP(C244,Project.csv!E:Q,13,FALSE)</f>
        <v>200032</v>
      </c>
      <c r="E244" s="8" t="str">
        <f t="shared" ca="1" si="22"/>
        <v>rg:{'id':'200032'}</v>
      </c>
      <c r="F244" s="9" t="s">
        <v>7057</v>
      </c>
      <c r="G244" s="9" t="str">
        <f ca="1">INDEX(DistrictEquipmentTypes.csv!F:F,RANDBETWEEN(2,COUNTA(DistrictEquipmentTypes.csv!D:D)),1)</f>
        <v>200009</v>
      </c>
      <c r="H244" s="8" t="str">
        <f t="shared" ca="1" si="23"/>
        <v>rg:{ 'id': '200009'}</v>
      </c>
      <c r="I244" s="8">
        <f t="shared" ca="1" si="24"/>
        <v>1</v>
      </c>
      <c r="J244" s="8">
        <f t="shared" ca="1" si="25"/>
        <v>30</v>
      </c>
      <c r="K244" s="8" t="str">
        <f t="shared" ca="1" si="26"/>
        <v>2017-04-06</v>
      </c>
      <c r="L244" s="8" t="str">
        <f t="shared" ca="1" si="27"/>
        <v>2017-04-09</v>
      </c>
    </row>
    <row r="245" spans="1:12" x14ac:dyDescent="0.3">
      <c r="A245" s="8" t="s">
        <v>5668</v>
      </c>
      <c r="B245" s="8">
        <f t="shared" si="21"/>
        <v>600243</v>
      </c>
      <c r="C245" s="1" t="s">
        <v>6997</v>
      </c>
      <c r="D245" s="9">
        <f ca="1">VLOOKUP(C245,Project.csv!E:Q,13,FALSE)</f>
        <v>200012</v>
      </c>
      <c r="E245" s="8" t="str">
        <f t="shared" ca="1" si="22"/>
        <v>rg:{'id':'200012'}</v>
      </c>
      <c r="F245" s="9" t="s">
        <v>7057</v>
      </c>
      <c r="G245" s="9" t="str">
        <f ca="1">INDEX(DistrictEquipmentTypes.csv!F:F,RANDBETWEEN(2,COUNTA(DistrictEquipmentTypes.csv!D:D)),1)</f>
        <v>200007</v>
      </c>
      <c r="H245" s="8" t="str">
        <f t="shared" ca="1" si="23"/>
        <v>rg:{ 'id': '200007'}</v>
      </c>
      <c r="I245" s="8">
        <f t="shared" ca="1" si="24"/>
        <v>1</v>
      </c>
      <c r="J245" s="8">
        <f t="shared" ca="1" si="25"/>
        <v>10</v>
      </c>
      <c r="K245" s="8" t="str">
        <f t="shared" ca="1" si="26"/>
        <v>2017-05-08</v>
      </c>
      <c r="L245" s="8" t="str">
        <f t="shared" ca="1" si="27"/>
        <v>2017-05-09</v>
      </c>
    </row>
    <row r="246" spans="1:12" x14ac:dyDescent="0.3">
      <c r="A246" s="8" t="s">
        <v>5668</v>
      </c>
      <c r="B246" s="8">
        <f t="shared" si="21"/>
        <v>600244</v>
      </c>
      <c r="C246" s="1" t="s">
        <v>6998</v>
      </c>
      <c r="D246" s="9">
        <f ca="1">VLOOKUP(C246,Project.csv!E:Q,13,FALSE)</f>
        <v>200008</v>
      </c>
      <c r="E246" s="8" t="str">
        <f t="shared" ca="1" si="22"/>
        <v>rg:{'id':'200008'}</v>
      </c>
      <c r="F246" s="9" t="s">
        <v>7057</v>
      </c>
      <c r="G246" s="9" t="str">
        <f ca="1">INDEX(DistrictEquipmentTypes.csv!F:F,RANDBETWEEN(2,COUNTA(DistrictEquipmentTypes.csv!D:D)),1)</f>
        <v>200009</v>
      </c>
      <c r="H246" s="8" t="str">
        <f t="shared" ca="1" si="23"/>
        <v>rg:{ 'id': '200009'}</v>
      </c>
      <c r="I246" s="8">
        <f t="shared" ca="1" si="24"/>
        <v>4</v>
      </c>
      <c r="J246" s="8">
        <f t="shared" ca="1" si="25"/>
        <v>7</v>
      </c>
      <c r="K246" s="8" t="str">
        <f t="shared" ca="1" si="26"/>
        <v>2017-04-10</v>
      </c>
      <c r="L246" s="8" t="str">
        <f t="shared" ca="1" si="27"/>
        <v>2017-04-13</v>
      </c>
    </row>
    <row r="247" spans="1:12" x14ac:dyDescent="0.3">
      <c r="A247" s="8" t="s">
        <v>5668</v>
      </c>
      <c r="B247" s="8">
        <f t="shared" si="21"/>
        <v>600245</v>
      </c>
      <c r="C247" s="1" t="s">
        <v>6898</v>
      </c>
      <c r="D247" s="9">
        <f ca="1">VLOOKUP(C247,Project.csv!E:Q,13,FALSE)</f>
        <v>200077</v>
      </c>
      <c r="E247" s="8" t="str">
        <f t="shared" ca="1" si="22"/>
        <v>rg:{'id':'200077'}</v>
      </c>
      <c r="F247" s="9" t="s">
        <v>7057</v>
      </c>
      <c r="G247" s="9" t="str">
        <f ca="1">INDEX(DistrictEquipmentTypes.csv!F:F,RANDBETWEEN(2,COUNTA(DistrictEquipmentTypes.csv!D:D)),1)</f>
        <v>200004</v>
      </c>
      <c r="H247" s="8" t="str">
        <f t="shared" ca="1" si="23"/>
        <v>rg:{ 'id': '200004'}</v>
      </c>
      <c r="I247" s="8">
        <f t="shared" ca="1" si="24"/>
        <v>5</v>
      </c>
      <c r="J247" s="8">
        <f t="shared" ca="1" si="25"/>
        <v>99</v>
      </c>
      <c r="K247" s="8" t="str">
        <f t="shared" ca="1" si="26"/>
        <v>2017-04-15</v>
      </c>
      <c r="L247" s="8" t="str">
        <f t="shared" ca="1" si="27"/>
        <v>2017-06-15</v>
      </c>
    </row>
    <row r="248" spans="1:12" x14ac:dyDescent="0.3">
      <c r="A248" s="8" t="s">
        <v>5668</v>
      </c>
      <c r="B248" s="8">
        <f t="shared" si="21"/>
        <v>600246</v>
      </c>
      <c r="C248" s="1" t="s">
        <v>6999</v>
      </c>
      <c r="D248" s="9">
        <f ca="1">VLOOKUP(C248,Project.csv!E:Q,13,FALSE)</f>
        <v>200010</v>
      </c>
      <c r="E248" s="8" t="str">
        <f t="shared" ca="1" si="22"/>
        <v>rg:{'id':'200010'}</v>
      </c>
      <c r="F248" s="9" t="s">
        <v>7057</v>
      </c>
      <c r="G248" s="9" t="str">
        <f ca="1">INDEX(DistrictEquipmentTypes.csv!F:F,RANDBETWEEN(2,COUNTA(DistrictEquipmentTypes.csv!D:D)),1)</f>
        <v>200000</v>
      </c>
      <c r="H248" s="8" t="str">
        <f t="shared" ca="1" si="23"/>
        <v>rg:{ 'id': '200000'}</v>
      </c>
      <c r="I248" s="8">
        <f t="shared" ca="1" si="24"/>
        <v>3</v>
      </c>
      <c r="J248" s="8">
        <f t="shared" ca="1" si="25"/>
        <v>18</v>
      </c>
      <c r="K248" s="8" t="str">
        <f t="shared" ca="1" si="26"/>
        <v>2017-04-07</v>
      </c>
      <c r="L248" s="8" t="str">
        <f t="shared" ca="1" si="27"/>
        <v>2017-04-13</v>
      </c>
    </row>
    <row r="249" spans="1:12" x14ac:dyDescent="0.3">
      <c r="A249" s="8" t="s">
        <v>5668</v>
      </c>
      <c r="B249" s="8">
        <f t="shared" si="21"/>
        <v>600247</v>
      </c>
      <c r="C249" s="1" t="s">
        <v>7000</v>
      </c>
      <c r="D249" s="9">
        <f ca="1">VLOOKUP(C249,Project.csv!E:Q,13,FALSE)</f>
        <v>200016</v>
      </c>
      <c r="E249" s="8" t="str">
        <f t="shared" ca="1" si="22"/>
        <v>rg:{'id':'200016'}</v>
      </c>
      <c r="F249" s="9" t="s">
        <v>7057</v>
      </c>
      <c r="G249" s="9" t="str">
        <f ca="1">INDEX(DistrictEquipmentTypes.csv!F:F,RANDBETWEEN(2,COUNTA(DistrictEquipmentTypes.csv!D:D)),1)</f>
        <v>200005</v>
      </c>
      <c r="H249" s="8" t="str">
        <f t="shared" ca="1" si="23"/>
        <v>rg:{ 'id': '200005'}</v>
      </c>
      <c r="I249" s="8">
        <f t="shared" ca="1" si="24"/>
        <v>1</v>
      </c>
      <c r="J249" s="8">
        <f t="shared" ca="1" si="25"/>
        <v>70</v>
      </c>
      <c r="K249" s="8" t="str">
        <f t="shared" ca="1" si="26"/>
        <v>2017-04-09</v>
      </c>
      <c r="L249" s="8" t="str">
        <f t="shared" ca="1" si="27"/>
        <v>2017-04-17</v>
      </c>
    </row>
    <row r="250" spans="1:12" x14ac:dyDescent="0.3">
      <c r="A250" s="8" t="s">
        <v>5668</v>
      </c>
      <c r="B250" s="8">
        <f t="shared" si="21"/>
        <v>600248</v>
      </c>
      <c r="C250" s="1" t="s">
        <v>7001</v>
      </c>
      <c r="D250" s="9">
        <f ca="1">VLOOKUP(C250,Project.csv!E:Q,13,FALSE)</f>
        <v>200070</v>
      </c>
      <c r="E250" s="8" t="str">
        <f t="shared" ca="1" si="22"/>
        <v>rg:{'id':'200070'}</v>
      </c>
      <c r="F250" s="9" t="s">
        <v>7057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1</v>
      </c>
      <c r="J250" s="8">
        <f t="shared" ca="1" si="25"/>
        <v>87</v>
      </c>
      <c r="K250" s="8" t="str">
        <f t="shared" ca="1" si="26"/>
        <v>2017-05-03</v>
      </c>
      <c r="L250" s="8" t="str">
        <f t="shared" ca="1" si="27"/>
        <v>2017-05-13</v>
      </c>
    </row>
    <row r="251" spans="1:12" x14ac:dyDescent="0.3">
      <c r="A251" s="8" t="s">
        <v>5668</v>
      </c>
      <c r="B251" s="8">
        <f t="shared" si="21"/>
        <v>600249</v>
      </c>
      <c r="C251" s="1" t="s">
        <v>6910</v>
      </c>
      <c r="D251" s="9">
        <f ca="1">VLOOKUP(C251,Project.csv!E:Q,13,FALSE)</f>
        <v>200030</v>
      </c>
      <c r="E251" s="8" t="str">
        <f t="shared" ca="1" si="22"/>
        <v>rg:{'id':'200030'}</v>
      </c>
      <c r="F251" s="9" t="s">
        <v>7057</v>
      </c>
      <c r="G251" s="9" t="str">
        <f ca="1">INDEX(DistrictEquipmentTypes.csv!F:F,RANDBETWEEN(2,COUNTA(DistrictEquipmentTypes.csv!D:D)),1)</f>
        <v>200003</v>
      </c>
      <c r="H251" s="8" t="str">
        <f t="shared" ca="1" si="23"/>
        <v>rg:{ 'id': '200003'}</v>
      </c>
      <c r="I251" s="8">
        <f t="shared" ca="1" si="24"/>
        <v>1</v>
      </c>
      <c r="J251" s="8">
        <f t="shared" ca="1" si="25"/>
        <v>73</v>
      </c>
      <c r="K251" s="8" t="str">
        <f t="shared" ca="1" si="26"/>
        <v>2017-04-18</v>
      </c>
      <c r="L251" s="8" t="str">
        <f t="shared" ca="1" si="27"/>
        <v>2017-04-27</v>
      </c>
    </row>
    <row r="252" spans="1:12" x14ac:dyDescent="0.3">
      <c r="A252" s="8" t="s">
        <v>5668</v>
      </c>
      <c r="B252" s="8">
        <f t="shared" si="21"/>
        <v>600250</v>
      </c>
      <c r="C252" s="1" t="s">
        <v>7002</v>
      </c>
      <c r="D252" s="9">
        <f ca="1">VLOOKUP(C252,Project.csv!E:Q,13,FALSE)</f>
        <v>200050</v>
      </c>
      <c r="E252" s="8" t="str">
        <f t="shared" ca="1" si="22"/>
        <v>rg:{'id':'200050'}</v>
      </c>
      <c r="F252" s="9" t="s">
        <v>7057</v>
      </c>
      <c r="G252" s="9" t="str">
        <f ca="1">INDEX(DistrictEquipmentTypes.csv!F:F,RANDBETWEEN(2,COUNTA(DistrictEquipmentTypes.csv!D:D)),1)</f>
        <v>200005</v>
      </c>
      <c r="H252" s="8" t="str">
        <f t="shared" ca="1" si="23"/>
        <v>rg:{ 'id': '200005'}</v>
      </c>
      <c r="I252" s="8">
        <f t="shared" ca="1" si="24"/>
        <v>3</v>
      </c>
      <c r="J252" s="8">
        <f t="shared" ca="1" si="25"/>
        <v>23</v>
      </c>
      <c r="K252" s="8" t="str">
        <f t="shared" ca="1" si="26"/>
        <v>2017-04-03</v>
      </c>
      <c r="L252" s="8" t="str">
        <f t="shared" ca="1" si="27"/>
        <v>2017-04-11</v>
      </c>
    </row>
    <row r="253" spans="1:12" x14ac:dyDescent="0.3">
      <c r="A253" s="8" t="s">
        <v>5668</v>
      </c>
      <c r="B253" s="8">
        <f t="shared" si="21"/>
        <v>600251</v>
      </c>
      <c r="C253" s="1" t="s">
        <v>7003</v>
      </c>
      <c r="D253" s="9">
        <f ca="1">VLOOKUP(C253,Project.csv!E:Q,13,FALSE)</f>
        <v>200084</v>
      </c>
      <c r="E253" s="8" t="str">
        <f t="shared" ca="1" si="22"/>
        <v>rg:{'id':'200084'}</v>
      </c>
      <c r="F253" s="9" t="s">
        <v>7057</v>
      </c>
      <c r="G253" s="9" t="str">
        <f ca="1">INDEX(DistrictEquipmentTypes.csv!F:F,RANDBETWEEN(2,COUNTA(DistrictEquipmentTypes.csv!D:D)),1)</f>
        <v>200002</v>
      </c>
      <c r="H253" s="8" t="str">
        <f t="shared" ca="1" si="23"/>
        <v>rg:{ 'id': '200002'}</v>
      </c>
      <c r="I253" s="8">
        <f t="shared" ca="1" si="24"/>
        <v>1</v>
      </c>
      <c r="J253" s="8">
        <f t="shared" ca="1" si="25"/>
        <v>13</v>
      </c>
      <c r="K253" s="8" t="str">
        <f t="shared" ca="1" si="26"/>
        <v>2017-05-02</v>
      </c>
      <c r="L253" s="8" t="str">
        <f t="shared" ca="1" si="27"/>
        <v>2017-05-03</v>
      </c>
    </row>
    <row r="254" spans="1:12" x14ac:dyDescent="0.3">
      <c r="A254" s="8" t="s">
        <v>5668</v>
      </c>
      <c r="B254" s="8">
        <f t="shared" si="21"/>
        <v>600252</v>
      </c>
      <c r="C254" s="1" t="s">
        <v>7004</v>
      </c>
      <c r="D254" s="9">
        <f ca="1">VLOOKUP(C254,Project.csv!E:Q,13,FALSE)</f>
        <v>200015</v>
      </c>
      <c r="E254" s="8" t="str">
        <f t="shared" ca="1" si="22"/>
        <v>rg:{'id':'200015'}</v>
      </c>
      <c r="F254" s="9" t="s">
        <v>7057</v>
      </c>
      <c r="G254" s="9" t="str">
        <f ca="1">INDEX(DistrictEquipmentTypes.csv!F:F,RANDBETWEEN(2,COUNTA(DistrictEquipmentTypes.csv!D:D)),1)</f>
        <v>200009</v>
      </c>
      <c r="H254" s="8" t="str">
        <f t="shared" ca="1" si="23"/>
        <v>rg:{ 'id': '200009'}</v>
      </c>
      <c r="I254" s="8">
        <f t="shared" ca="1" si="24"/>
        <v>1</v>
      </c>
      <c r="J254" s="8">
        <f t="shared" ca="1" si="25"/>
        <v>12</v>
      </c>
      <c r="K254" s="8" t="str">
        <f t="shared" ca="1" si="26"/>
        <v>2017-04-02</v>
      </c>
      <c r="L254" s="8" t="str">
        <f t="shared" ca="1" si="27"/>
        <v>2017-04-03</v>
      </c>
    </row>
    <row r="255" spans="1:12" x14ac:dyDescent="0.3">
      <c r="A255" s="8" t="s">
        <v>5668</v>
      </c>
      <c r="B255" s="8">
        <f t="shared" si="21"/>
        <v>600253</v>
      </c>
      <c r="C255" s="1" t="s">
        <v>7005</v>
      </c>
      <c r="D255" s="9">
        <f ca="1">VLOOKUP(C255,Project.csv!E:Q,13,FALSE)</f>
        <v>200034</v>
      </c>
      <c r="E255" s="8" t="str">
        <f t="shared" ca="1" si="22"/>
        <v>rg:{'id':'200034'}</v>
      </c>
      <c r="F255" s="9" t="s">
        <v>7057</v>
      </c>
      <c r="G255" s="9" t="str">
        <f ca="1">INDEX(DistrictEquipmentTypes.csv!F:F,RANDBETWEEN(2,COUNTA(DistrictEquipmentTypes.csv!D:D)),1)</f>
        <v>200009</v>
      </c>
      <c r="H255" s="8" t="str">
        <f t="shared" ca="1" si="23"/>
        <v>rg:{ 'id': '200009'}</v>
      </c>
      <c r="I255" s="8">
        <f t="shared" ca="1" si="24"/>
        <v>1</v>
      </c>
      <c r="J255" s="8">
        <f t="shared" ca="1" si="25"/>
        <v>86</v>
      </c>
      <c r="K255" s="8" t="str">
        <f t="shared" ca="1" si="26"/>
        <v>2017-03-30</v>
      </c>
      <c r="L255" s="8" t="str">
        <f t="shared" ca="1" si="27"/>
        <v>2017-04-09</v>
      </c>
    </row>
    <row r="256" spans="1:12" x14ac:dyDescent="0.3">
      <c r="A256" s="8" t="s">
        <v>5668</v>
      </c>
      <c r="B256" s="8">
        <f t="shared" si="21"/>
        <v>600254</v>
      </c>
      <c r="C256" s="1" t="s">
        <v>7006</v>
      </c>
      <c r="D256" s="9">
        <f ca="1">VLOOKUP(C256,Project.csv!E:Q,13,FALSE)</f>
        <v>200021</v>
      </c>
      <c r="E256" s="8" t="str">
        <f t="shared" ca="1" si="22"/>
        <v>rg:{'id':'200021'}</v>
      </c>
      <c r="F256" s="9" t="s">
        <v>7057</v>
      </c>
      <c r="G256" s="9" t="str">
        <f ca="1">INDEX(DistrictEquipmentTypes.csv!F:F,RANDBETWEEN(2,COUNTA(DistrictEquipmentTypes.csv!D:D)),1)</f>
        <v>200001</v>
      </c>
      <c r="H256" s="8" t="str">
        <f t="shared" ca="1" si="23"/>
        <v>rg:{ 'id': '200001'}</v>
      </c>
      <c r="I256" s="8">
        <f t="shared" ca="1" si="24"/>
        <v>1</v>
      </c>
      <c r="J256" s="8">
        <f t="shared" ca="1" si="25"/>
        <v>33</v>
      </c>
      <c r="K256" s="8" t="str">
        <f t="shared" ca="1" si="26"/>
        <v>2017-03-31</v>
      </c>
      <c r="L256" s="8" t="str">
        <f t="shared" ca="1" si="27"/>
        <v>2017-04-04</v>
      </c>
    </row>
    <row r="257" spans="1:12" x14ac:dyDescent="0.3">
      <c r="A257" s="8" t="s">
        <v>5668</v>
      </c>
      <c r="B257" s="8">
        <f t="shared" si="21"/>
        <v>600255</v>
      </c>
      <c r="C257" s="1" t="s">
        <v>6915</v>
      </c>
      <c r="D257" s="9">
        <f ca="1">VLOOKUP(C257,Project.csv!E:Q,13,FALSE)</f>
        <v>200026</v>
      </c>
      <c r="E257" s="8" t="str">
        <f t="shared" ca="1" si="22"/>
        <v>rg:{'id':'200026'}</v>
      </c>
      <c r="F257" s="9" t="s">
        <v>7057</v>
      </c>
      <c r="G257" s="9" t="str">
        <f ca="1">INDEX(DistrictEquipmentTypes.csv!F:F,RANDBETWEEN(2,COUNTA(DistrictEquipmentTypes.csv!D:D)),1)</f>
        <v>200001</v>
      </c>
      <c r="H257" s="8" t="str">
        <f t="shared" ca="1" si="23"/>
        <v>rg:{ 'id': '200001'}</v>
      </c>
      <c r="I257" s="8">
        <f t="shared" ca="1" si="24"/>
        <v>1</v>
      </c>
      <c r="J257" s="8">
        <f t="shared" ca="1" si="25"/>
        <v>95</v>
      </c>
      <c r="K257" s="8" t="str">
        <f t="shared" ca="1" si="26"/>
        <v>2017-04-10</v>
      </c>
      <c r="L257" s="8" t="str">
        <f t="shared" ca="1" si="27"/>
        <v>2017-04-21</v>
      </c>
    </row>
    <row r="258" spans="1:12" x14ac:dyDescent="0.3">
      <c r="A258" s="8" t="s">
        <v>5668</v>
      </c>
      <c r="B258" s="8">
        <f t="shared" si="21"/>
        <v>600256</v>
      </c>
      <c r="C258" s="1" t="s">
        <v>7007</v>
      </c>
      <c r="D258" s="9">
        <f ca="1">VLOOKUP(C258,Project.csv!E:Q,13,FALSE)</f>
        <v>200056</v>
      </c>
      <c r="E258" s="8" t="str">
        <f t="shared" ca="1" si="22"/>
        <v>rg:{'id':'200056'}</v>
      </c>
      <c r="F258" s="9" t="s">
        <v>7057</v>
      </c>
      <c r="G258" s="9" t="str">
        <f ca="1">INDEX(DistrictEquipmentTypes.csv!F:F,RANDBETWEEN(2,COUNTA(DistrictEquipmentTypes.csv!D:D)),1)</f>
        <v>200002</v>
      </c>
      <c r="H258" s="8" t="str">
        <f t="shared" ca="1" si="23"/>
        <v>rg:{ 'id': '200002'}</v>
      </c>
      <c r="I258" s="8">
        <f t="shared" ca="1" si="24"/>
        <v>5</v>
      </c>
      <c r="J258" s="8">
        <f t="shared" ca="1" si="25"/>
        <v>31</v>
      </c>
      <c r="K258" s="8" t="str">
        <f t="shared" ca="1" si="26"/>
        <v>2017-04-11</v>
      </c>
      <c r="L258" s="8" t="str">
        <f t="shared" ca="1" si="27"/>
        <v>2017-04-30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7008</v>
      </c>
      <c r="D259" s="9">
        <f ca="1">VLOOKUP(C259,Project.csv!E:Q,13,FALSE)</f>
        <v>200055</v>
      </c>
      <c r="E259" s="8" t="str">
        <f t="shared" ref="E259:E322" ca="1" si="29" xml:space="preserve"> "rg:{'id':'" &amp; D259 &amp; "'}"</f>
        <v>rg:{'id':'200055'}</v>
      </c>
      <c r="F259" s="9" t="s">
        <v>7057</v>
      </c>
      <c r="G259" s="9" t="str">
        <f ca="1">INDEX(DistrictEquipmentTypes.csv!F:F,RANDBETWEEN(2,COUNTA(DistrictEquipmentTypes.csv!D:D)),1)</f>
        <v>200002</v>
      </c>
      <c r="H259" s="8" t="str">
        <f t="shared" ref="H259:H322" ca="1" si="30">"rg:{ 'id': '"&amp;G259&amp;"'}"</f>
        <v>rg:{ 'id': '200002'}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79</v>
      </c>
      <c r="K259" s="8" t="str">
        <f t="shared" ref="K259:K322" ca="1" si="33">TEXT(TODAY()+RANDBETWEEN(1,56),"YYYY-MM-DD")</f>
        <v>2017-04-20</v>
      </c>
      <c r="L259" s="8" t="str">
        <f t="shared" ref="L259:L322" ca="1" si="34">TEXT(K259+(I259*J259)/8,"YYYY-MM-DD")</f>
        <v>2017-04-29</v>
      </c>
    </row>
    <row r="260" spans="1:12" x14ac:dyDescent="0.3">
      <c r="A260" s="8" t="s">
        <v>5668</v>
      </c>
      <c r="B260" s="8">
        <f t="shared" si="28"/>
        <v>600258</v>
      </c>
      <c r="C260" s="1" t="s">
        <v>7009</v>
      </c>
      <c r="D260" s="9">
        <f ca="1">VLOOKUP(C260,Project.csv!E:Q,13,FALSE)</f>
        <v>200033</v>
      </c>
      <c r="E260" s="8" t="str">
        <f t="shared" ca="1" si="29"/>
        <v>rg:{'id':'200033'}</v>
      </c>
      <c r="F260" s="9" t="s">
        <v>7057</v>
      </c>
      <c r="G260" s="9" t="str">
        <f ca="1">INDEX(DistrictEquipmentTypes.csv!F:F,RANDBETWEEN(2,COUNTA(DistrictEquipmentTypes.csv!D:D)),1)</f>
        <v>200004</v>
      </c>
      <c r="H260" s="8" t="str">
        <f t="shared" ca="1" si="30"/>
        <v>rg:{ 'id': '200004'}</v>
      </c>
      <c r="I260" s="8">
        <f t="shared" ca="1" si="31"/>
        <v>5</v>
      </c>
      <c r="J260" s="8">
        <f t="shared" ca="1" si="32"/>
        <v>49</v>
      </c>
      <c r="K260" s="8" t="str">
        <f t="shared" ca="1" si="33"/>
        <v>2017-05-01</v>
      </c>
      <c r="L260" s="8" t="str">
        <f t="shared" ca="1" si="34"/>
        <v>2017-05-31</v>
      </c>
    </row>
    <row r="261" spans="1:12" x14ac:dyDescent="0.3">
      <c r="A261" s="8" t="s">
        <v>5668</v>
      </c>
      <c r="B261" s="8">
        <f t="shared" si="28"/>
        <v>600259</v>
      </c>
      <c r="C261" s="1" t="s">
        <v>7010</v>
      </c>
      <c r="D261" s="9">
        <f ca="1">VLOOKUP(C261,Project.csv!E:Q,13,FALSE)</f>
        <v>200085</v>
      </c>
      <c r="E261" s="8" t="str">
        <f t="shared" ca="1" si="29"/>
        <v>rg:{'id':'200085'}</v>
      </c>
      <c r="F261" s="9" t="s">
        <v>7057</v>
      </c>
      <c r="G261" s="9" t="str">
        <f ca="1">INDEX(DistrictEquipmentTypes.csv!F:F,RANDBETWEEN(2,COUNTA(DistrictEquipmentTypes.csv!D:D)),1)</f>
        <v>200009</v>
      </c>
      <c r="H261" s="8" t="str">
        <f t="shared" ca="1" si="30"/>
        <v>rg:{ 'id': '200009'}</v>
      </c>
      <c r="I261" s="8">
        <f t="shared" ca="1" si="31"/>
        <v>1</v>
      </c>
      <c r="J261" s="8">
        <f t="shared" ca="1" si="32"/>
        <v>30</v>
      </c>
      <c r="K261" s="8" t="str">
        <f t="shared" ca="1" si="33"/>
        <v>2017-04-13</v>
      </c>
      <c r="L261" s="8" t="str">
        <f t="shared" ca="1" si="34"/>
        <v>2017-04-16</v>
      </c>
    </row>
    <row r="262" spans="1:12" x14ac:dyDescent="0.3">
      <c r="A262" s="8" t="s">
        <v>5668</v>
      </c>
      <c r="B262" s="8">
        <f t="shared" si="28"/>
        <v>600260</v>
      </c>
      <c r="C262" s="1" t="s">
        <v>7011</v>
      </c>
      <c r="D262" s="9">
        <f ca="1">VLOOKUP(C262,Project.csv!E:Q,13,FALSE)</f>
        <v>200050</v>
      </c>
      <c r="E262" s="8" t="str">
        <f t="shared" ca="1" si="29"/>
        <v>rg:{'id':'200050'}</v>
      </c>
      <c r="F262" s="9" t="s">
        <v>7057</v>
      </c>
      <c r="G262" s="9" t="str">
        <f ca="1">INDEX(DistrictEquipmentTypes.csv!F:F,RANDBETWEEN(2,COUNTA(DistrictEquipmentTypes.csv!D:D)),1)</f>
        <v>200009</v>
      </c>
      <c r="H262" s="8" t="str">
        <f t="shared" ca="1" si="30"/>
        <v>rg:{ 'id': '200009'}</v>
      </c>
      <c r="I262" s="8">
        <f t="shared" ca="1" si="31"/>
        <v>1</v>
      </c>
      <c r="J262" s="8">
        <f t="shared" ca="1" si="32"/>
        <v>64</v>
      </c>
      <c r="K262" s="8" t="str">
        <f t="shared" ca="1" si="33"/>
        <v>2017-03-21</v>
      </c>
      <c r="L262" s="8" t="str">
        <f t="shared" ca="1" si="34"/>
        <v>2017-03-29</v>
      </c>
    </row>
    <row r="263" spans="1:12" x14ac:dyDescent="0.3">
      <c r="A263" s="8" t="s">
        <v>5668</v>
      </c>
      <c r="B263" s="8">
        <f t="shared" si="28"/>
        <v>600261</v>
      </c>
      <c r="C263" s="1" t="s">
        <v>6922</v>
      </c>
      <c r="D263" s="9">
        <f ca="1">VLOOKUP(C263,Project.csv!E:Q,13,FALSE)</f>
        <v>200034</v>
      </c>
      <c r="E263" s="8" t="str">
        <f t="shared" ca="1" si="29"/>
        <v>rg:{'id':'200034'}</v>
      </c>
      <c r="F263" s="9" t="s">
        <v>7057</v>
      </c>
      <c r="G263" s="9" t="str">
        <f ca="1">INDEX(DistrictEquipmentTypes.csv!F:F,RANDBETWEEN(2,COUNTA(DistrictEquipmentTypes.csv!D:D)),1)</f>
        <v>200000</v>
      </c>
      <c r="H263" s="8" t="str">
        <f t="shared" ca="1" si="30"/>
        <v>rg:{ 'id': '200000'}</v>
      </c>
      <c r="I263" s="8">
        <f t="shared" ca="1" si="31"/>
        <v>4</v>
      </c>
      <c r="J263" s="8">
        <f t="shared" ca="1" si="32"/>
        <v>42</v>
      </c>
      <c r="K263" s="8" t="str">
        <f t="shared" ca="1" si="33"/>
        <v>2017-04-10</v>
      </c>
      <c r="L263" s="8" t="str">
        <f t="shared" ca="1" si="34"/>
        <v>2017-05-01</v>
      </c>
    </row>
    <row r="264" spans="1:12" x14ac:dyDescent="0.3">
      <c r="A264" s="8" t="s">
        <v>5668</v>
      </c>
      <c r="B264" s="8">
        <f t="shared" si="28"/>
        <v>600262</v>
      </c>
      <c r="C264" s="1" t="s">
        <v>7012</v>
      </c>
      <c r="D264" s="9">
        <f ca="1">VLOOKUP(C264,Project.csv!E:Q,13,FALSE)</f>
        <v>200086</v>
      </c>
      <c r="E264" s="8" t="str">
        <f t="shared" ca="1" si="29"/>
        <v>rg:{'id':'200086'}</v>
      </c>
      <c r="F264" s="9" t="s">
        <v>7057</v>
      </c>
      <c r="G264" s="9" t="str">
        <f ca="1">INDEX(DistrictEquipmentTypes.csv!F:F,RANDBETWEEN(2,COUNTA(DistrictEquipmentTypes.csv!D:D)),1)</f>
        <v>200009</v>
      </c>
      <c r="H264" s="8" t="str">
        <f t="shared" ca="1" si="30"/>
        <v>rg:{ 'id': '200009'}</v>
      </c>
      <c r="I264" s="8">
        <f t="shared" ca="1" si="31"/>
        <v>1</v>
      </c>
      <c r="J264" s="8">
        <f t="shared" ca="1" si="32"/>
        <v>40</v>
      </c>
      <c r="K264" s="8" t="str">
        <f t="shared" ca="1" si="33"/>
        <v>2017-03-27</v>
      </c>
      <c r="L264" s="8" t="str">
        <f t="shared" ca="1" si="34"/>
        <v>2017-04-01</v>
      </c>
    </row>
    <row r="265" spans="1:12" x14ac:dyDescent="0.3">
      <c r="A265" s="8" t="s">
        <v>5668</v>
      </c>
      <c r="B265" s="8">
        <f t="shared" si="28"/>
        <v>600263</v>
      </c>
      <c r="C265" s="1" t="s">
        <v>6906</v>
      </c>
      <c r="D265" s="9">
        <f ca="1">VLOOKUP(C265,Project.csv!E:Q,13,FALSE)</f>
        <v>200019</v>
      </c>
      <c r="E265" s="8" t="str">
        <f t="shared" ca="1" si="29"/>
        <v>rg:{'id':'200019'}</v>
      </c>
      <c r="F265" s="9" t="s">
        <v>7057</v>
      </c>
      <c r="G265" s="9" t="str">
        <f ca="1">INDEX(DistrictEquipmentTypes.csv!F:F,RANDBETWEEN(2,COUNTA(DistrictEquipmentTypes.csv!D:D)),1)</f>
        <v>200006</v>
      </c>
      <c r="H265" s="8" t="str">
        <f t="shared" ca="1" si="30"/>
        <v>rg:{ 'id': '200006'}</v>
      </c>
      <c r="I265" s="8">
        <f t="shared" ca="1" si="31"/>
        <v>1</v>
      </c>
      <c r="J265" s="8">
        <f t="shared" ca="1" si="32"/>
        <v>81</v>
      </c>
      <c r="K265" s="8" t="str">
        <f t="shared" ca="1" si="33"/>
        <v>2017-04-24</v>
      </c>
      <c r="L265" s="8" t="str">
        <f t="shared" ca="1" si="34"/>
        <v>2017-05-04</v>
      </c>
    </row>
    <row r="266" spans="1:12" x14ac:dyDescent="0.3">
      <c r="A266" s="8" t="s">
        <v>5668</v>
      </c>
      <c r="B266" s="8">
        <f t="shared" si="28"/>
        <v>600264</v>
      </c>
      <c r="C266" s="1" t="s">
        <v>7013</v>
      </c>
      <c r="D266" s="9">
        <f ca="1">VLOOKUP(C266,Project.csv!E:Q,13,FALSE)</f>
        <v>200064</v>
      </c>
      <c r="E266" s="8" t="str">
        <f t="shared" ca="1" si="29"/>
        <v>rg:{'id':'200064'}</v>
      </c>
      <c r="F266" s="9" t="s">
        <v>7057</v>
      </c>
      <c r="G266" s="9" t="str">
        <f ca="1">INDEX(DistrictEquipmentTypes.csv!F:F,RANDBETWEEN(2,COUNTA(DistrictEquipmentTypes.csv!D:D)),1)</f>
        <v>200009</v>
      </c>
      <c r="H266" s="8" t="str">
        <f t="shared" ca="1" si="30"/>
        <v>rg:{ 'id': '200009'}</v>
      </c>
      <c r="I266" s="8">
        <f t="shared" ca="1" si="31"/>
        <v>2</v>
      </c>
      <c r="J266" s="8">
        <f t="shared" ca="1" si="32"/>
        <v>55</v>
      </c>
      <c r="K266" s="8" t="str">
        <f t="shared" ca="1" si="33"/>
        <v>2017-04-12</v>
      </c>
      <c r="L266" s="8" t="str">
        <f t="shared" ca="1" si="34"/>
        <v>2017-04-25</v>
      </c>
    </row>
    <row r="267" spans="1:12" x14ac:dyDescent="0.3">
      <c r="A267" s="8" t="s">
        <v>5668</v>
      </c>
      <c r="B267" s="8">
        <f t="shared" si="28"/>
        <v>600265</v>
      </c>
      <c r="C267" s="1" t="s">
        <v>7014</v>
      </c>
      <c r="D267" s="9">
        <f ca="1">VLOOKUP(C267,Project.csv!E:Q,13,FALSE)</f>
        <v>200058</v>
      </c>
      <c r="E267" s="8" t="str">
        <f t="shared" ca="1" si="29"/>
        <v>rg:{'id':'200058'}</v>
      </c>
      <c r="F267" s="9" t="s">
        <v>7057</v>
      </c>
      <c r="G267" s="9" t="str">
        <f ca="1">INDEX(DistrictEquipmentTypes.csv!F:F,RANDBETWEEN(2,COUNTA(DistrictEquipmentTypes.csv!D:D)),1)</f>
        <v>200006</v>
      </c>
      <c r="H267" s="8" t="str">
        <f t="shared" ca="1" si="30"/>
        <v>rg:{ 'id': '200006'}</v>
      </c>
      <c r="I267" s="8">
        <f t="shared" ca="1" si="31"/>
        <v>1</v>
      </c>
      <c r="J267" s="8">
        <f t="shared" ca="1" si="32"/>
        <v>44</v>
      </c>
      <c r="K267" s="8" t="str">
        <f t="shared" ca="1" si="33"/>
        <v>2017-05-07</v>
      </c>
      <c r="L267" s="8" t="str">
        <f t="shared" ca="1" si="34"/>
        <v>2017-05-12</v>
      </c>
    </row>
    <row r="268" spans="1:12" x14ac:dyDescent="0.3">
      <c r="A268" s="8" t="s">
        <v>5668</v>
      </c>
      <c r="B268" s="8">
        <f t="shared" si="28"/>
        <v>600266</v>
      </c>
      <c r="C268" s="1" t="s">
        <v>6937</v>
      </c>
      <c r="D268" s="9">
        <f ca="1">VLOOKUP(C268,Project.csv!E:Q,13,FALSE)</f>
        <v>200037</v>
      </c>
      <c r="E268" s="8" t="str">
        <f t="shared" ca="1" si="29"/>
        <v>rg:{'id':'200037'}</v>
      </c>
      <c r="F268" s="9" t="s">
        <v>7057</v>
      </c>
      <c r="G268" s="9" t="str">
        <f ca="1">INDEX(DistrictEquipmentTypes.csv!F:F,RANDBETWEEN(2,COUNTA(DistrictEquipmentTypes.csv!D:D)),1)</f>
        <v>200009</v>
      </c>
      <c r="H268" s="8" t="str">
        <f t="shared" ca="1" si="30"/>
        <v>rg:{ 'id': '200009'}</v>
      </c>
      <c r="I268" s="8">
        <f t="shared" ca="1" si="31"/>
        <v>1</v>
      </c>
      <c r="J268" s="8">
        <f t="shared" ca="1" si="32"/>
        <v>4</v>
      </c>
      <c r="K268" s="8" t="str">
        <f t="shared" ca="1" si="33"/>
        <v>2017-04-03</v>
      </c>
      <c r="L268" s="8" t="str">
        <f t="shared" ca="1" si="34"/>
        <v>2017-04-03</v>
      </c>
    </row>
    <row r="269" spans="1:12" x14ac:dyDescent="0.3">
      <c r="A269" s="8" t="s">
        <v>5668</v>
      </c>
      <c r="B269" s="8">
        <f t="shared" si="28"/>
        <v>600267</v>
      </c>
      <c r="C269" s="1" t="s">
        <v>6907</v>
      </c>
      <c r="D269" s="9">
        <f ca="1">VLOOKUP(C269,Project.csv!E:Q,13,FALSE)</f>
        <v>200047</v>
      </c>
      <c r="E269" s="8" t="str">
        <f t="shared" ca="1" si="29"/>
        <v>rg:{'id':'200047'}</v>
      </c>
      <c r="F269" s="9" t="s">
        <v>7057</v>
      </c>
      <c r="G269" s="9" t="str">
        <f ca="1">INDEX(DistrictEquipmentTypes.csv!F:F,RANDBETWEEN(2,COUNTA(DistrictEquipmentTypes.csv!D:D)),1)</f>
        <v>200007</v>
      </c>
      <c r="H269" s="8" t="str">
        <f t="shared" ca="1" si="30"/>
        <v>rg:{ 'id': '200007'}</v>
      </c>
      <c r="I269" s="8">
        <f t="shared" ca="1" si="31"/>
        <v>4</v>
      </c>
      <c r="J269" s="8">
        <f t="shared" ca="1" si="32"/>
        <v>11</v>
      </c>
      <c r="K269" s="8" t="str">
        <f t="shared" ca="1" si="33"/>
        <v>2017-04-07</v>
      </c>
      <c r="L269" s="8" t="str">
        <f t="shared" ca="1" si="34"/>
        <v>2017-04-12</v>
      </c>
    </row>
    <row r="270" spans="1:12" x14ac:dyDescent="0.3">
      <c r="A270" s="8" t="s">
        <v>5668</v>
      </c>
      <c r="B270" s="8">
        <f t="shared" si="28"/>
        <v>600268</v>
      </c>
      <c r="C270" s="1" t="s">
        <v>7015</v>
      </c>
      <c r="D270" s="9">
        <f ca="1">VLOOKUP(C270,Project.csv!E:Q,13,FALSE)</f>
        <v>200053</v>
      </c>
      <c r="E270" s="8" t="str">
        <f t="shared" ca="1" si="29"/>
        <v>rg:{'id':'200053'}</v>
      </c>
      <c r="F270" s="9" t="s">
        <v>7057</v>
      </c>
      <c r="G270" s="9" t="str">
        <f ca="1">INDEX(DistrictEquipmentTypes.csv!F:F,RANDBETWEEN(2,COUNTA(DistrictEquipmentTypes.csv!D:D)),1)</f>
        <v>200000</v>
      </c>
      <c r="H270" s="8" t="str">
        <f t="shared" ca="1" si="30"/>
        <v>rg:{ 'id': '200000'}</v>
      </c>
      <c r="I270" s="8">
        <f t="shared" ca="1" si="31"/>
        <v>2</v>
      </c>
      <c r="J270" s="8">
        <f t="shared" ca="1" si="32"/>
        <v>18</v>
      </c>
      <c r="K270" s="8" t="str">
        <f t="shared" ca="1" si="33"/>
        <v>2017-04-16</v>
      </c>
      <c r="L270" s="8" t="str">
        <f t="shared" ca="1" si="34"/>
        <v>2017-04-20</v>
      </c>
    </row>
    <row r="271" spans="1:12" x14ac:dyDescent="0.3">
      <c r="A271" s="8" t="s">
        <v>5668</v>
      </c>
      <c r="B271" s="8">
        <f t="shared" si="28"/>
        <v>600269</v>
      </c>
      <c r="C271" s="1" t="s">
        <v>7016</v>
      </c>
      <c r="D271" s="9">
        <f ca="1">VLOOKUP(C271,Project.csv!E:Q,13,FALSE)</f>
        <v>200012</v>
      </c>
      <c r="E271" s="8" t="str">
        <f t="shared" ca="1" si="29"/>
        <v>rg:{'id':'200012'}</v>
      </c>
      <c r="F271" s="9" t="s">
        <v>7057</v>
      </c>
      <c r="G271" s="9" t="str">
        <f ca="1">INDEX(DistrictEquipmentTypes.csv!F:F,RANDBETWEEN(2,COUNTA(DistrictEquipmentTypes.csv!D:D)),1)</f>
        <v>200006</v>
      </c>
      <c r="H271" s="8" t="str">
        <f t="shared" ca="1" si="30"/>
        <v>rg:{ 'id': '200006'}</v>
      </c>
      <c r="I271" s="8">
        <f t="shared" ca="1" si="31"/>
        <v>1</v>
      </c>
      <c r="J271" s="8">
        <f t="shared" ca="1" si="32"/>
        <v>17</v>
      </c>
      <c r="K271" s="8" t="str">
        <f t="shared" ca="1" si="33"/>
        <v>2017-05-02</v>
      </c>
      <c r="L271" s="8" t="str">
        <f t="shared" ca="1" si="34"/>
        <v>2017-05-04</v>
      </c>
    </row>
    <row r="272" spans="1:12" x14ac:dyDescent="0.3">
      <c r="A272" s="8" t="s">
        <v>5668</v>
      </c>
      <c r="B272" s="8">
        <f t="shared" si="28"/>
        <v>600270</v>
      </c>
      <c r="C272" s="1" t="s">
        <v>7017</v>
      </c>
      <c r="D272" s="9">
        <f ca="1">VLOOKUP(C272,Project.csv!E:Q,13,FALSE)</f>
        <v>200085</v>
      </c>
      <c r="E272" s="8" t="str">
        <f t="shared" ca="1" si="29"/>
        <v>rg:{'id':'200085'}</v>
      </c>
      <c r="F272" s="9" t="s">
        <v>7057</v>
      </c>
      <c r="G272" s="9" t="str">
        <f ca="1">INDEX(DistrictEquipmentTypes.csv!F:F,RANDBETWEEN(2,COUNTA(DistrictEquipmentTypes.csv!D:D)),1)</f>
        <v>200000</v>
      </c>
      <c r="H272" s="8" t="str">
        <f t="shared" ca="1" si="30"/>
        <v>rg:{ 'id': '200000'}</v>
      </c>
      <c r="I272" s="8">
        <f t="shared" ca="1" si="31"/>
        <v>1</v>
      </c>
      <c r="J272" s="8">
        <f t="shared" ca="1" si="32"/>
        <v>56</v>
      </c>
      <c r="K272" s="8" t="str">
        <f t="shared" ca="1" si="33"/>
        <v>2017-04-27</v>
      </c>
      <c r="L272" s="8" t="str">
        <f t="shared" ca="1" si="34"/>
        <v>2017-05-04</v>
      </c>
    </row>
    <row r="273" spans="1:12" x14ac:dyDescent="0.3">
      <c r="A273" s="8" t="s">
        <v>5668</v>
      </c>
      <c r="B273" s="8">
        <f t="shared" si="28"/>
        <v>600271</v>
      </c>
      <c r="C273" s="1" t="s">
        <v>7018</v>
      </c>
      <c r="D273" s="9">
        <f ca="1">VLOOKUP(C273,Project.csv!E:Q,13,FALSE)</f>
        <v>200002</v>
      </c>
      <c r="E273" s="8" t="str">
        <f t="shared" ca="1" si="29"/>
        <v>rg:{'id':'200002'}</v>
      </c>
      <c r="F273" s="9" t="s">
        <v>7057</v>
      </c>
      <c r="G273" s="9" t="str">
        <f ca="1">INDEX(DistrictEquipmentTypes.csv!F:F,RANDBETWEEN(2,COUNTA(DistrictEquipmentTypes.csv!D:D)),1)</f>
        <v>200005</v>
      </c>
      <c r="H273" s="8" t="str">
        <f t="shared" ca="1" si="30"/>
        <v>rg:{ 'id': '200005'}</v>
      </c>
      <c r="I273" s="8">
        <f t="shared" ca="1" si="31"/>
        <v>1</v>
      </c>
      <c r="J273" s="8">
        <f t="shared" ca="1" si="32"/>
        <v>64</v>
      </c>
      <c r="K273" s="8" t="str">
        <f t="shared" ca="1" si="33"/>
        <v>2017-04-26</v>
      </c>
      <c r="L273" s="8" t="str">
        <f t="shared" ca="1" si="34"/>
        <v>2017-05-04</v>
      </c>
    </row>
    <row r="274" spans="1:12" x14ac:dyDescent="0.3">
      <c r="A274" s="8" t="s">
        <v>5668</v>
      </c>
      <c r="B274" s="8">
        <f t="shared" si="28"/>
        <v>600272</v>
      </c>
      <c r="C274" s="1" t="s">
        <v>7019</v>
      </c>
      <c r="D274" s="9">
        <f ca="1">VLOOKUP(C274,Project.csv!E:Q,13,FALSE)</f>
        <v>200040</v>
      </c>
      <c r="E274" s="8" t="str">
        <f t="shared" ca="1" si="29"/>
        <v>rg:{'id':'200040'}</v>
      </c>
      <c r="F274" s="9" t="s">
        <v>7057</v>
      </c>
      <c r="G274" s="9" t="str">
        <f ca="1">INDEX(DistrictEquipmentTypes.csv!F:F,RANDBETWEEN(2,COUNTA(DistrictEquipmentTypes.csv!D:D)),1)</f>
        <v>200000</v>
      </c>
      <c r="H274" s="8" t="str">
        <f t="shared" ca="1" si="30"/>
        <v>rg:{ 'id': '200000'}</v>
      </c>
      <c r="I274" s="8">
        <f t="shared" ca="1" si="31"/>
        <v>1</v>
      </c>
      <c r="J274" s="8">
        <f t="shared" ca="1" si="32"/>
        <v>41</v>
      </c>
      <c r="K274" s="8" t="str">
        <f t="shared" ca="1" si="33"/>
        <v>2017-03-30</v>
      </c>
      <c r="L274" s="8" t="str">
        <f t="shared" ca="1" si="34"/>
        <v>2017-04-04</v>
      </c>
    </row>
    <row r="275" spans="1:12" x14ac:dyDescent="0.3">
      <c r="A275" s="8" t="s">
        <v>5668</v>
      </c>
      <c r="B275" s="8">
        <f t="shared" si="28"/>
        <v>600273</v>
      </c>
      <c r="C275" s="1" t="s">
        <v>7020</v>
      </c>
      <c r="D275" s="9">
        <f ca="1">VLOOKUP(C275,Project.csv!E:Q,13,FALSE)</f>
        <v>200025</v>
      </c>
      <c r="E275" s="8" t="str">
        <f t="shared" ca="1" si="29"/>
        <v>rg:{'id':'200025'}</v>
      </c>
      <c r="F275" s="9" t="s">
        <v>7057</v>
      </c>
      <c r="G275" s="9" t="str">
        <f ca="1">INDEX(DistrictEquipmentTypes.csv!F:F,RANDBETWEEN(2,COUNTA(DistrictEquipmentTypes.csv!D:D)),1)</f>
        <v>200000</v>
      </c>
      <c r="H275" s="8" t="str">
        <f t="shared" ca="1" si="30"/>
        <v>rg:{ 'id': '200000'}</v>
      </c>
      <c r="I275" s="8">
        <f t="shared" ca="1" si="31"/>
        <v>1</v>
      </c>
      <c r="J275" s="8">
        <f t="shared" ca="1" si="32"/>
        <v>50</v>
      </c>
      <c r="K275" s="8" t="str">
        <f t="shared" ca="1" si="33"/>
        <v>2017-05-02</v>
      </c>
      <c r="L275" s="8" t="str">
        <f t="shared" ca="1" si="34"/>
        <v>2017-05-08</v>
      </c>
    </row>
    <row r="276" spans="1:12" x14ac:dyDescent="0.3">
      <c r="A276" s="8" t="s">
        <v>5668</v>
      </c>
      <c r="B276" s="8">
        <f t="shared" si="28"/>
        <v>600274</v>
      </c>
      <c r="C276" s="1" t="s">
        <v>7021</v>
      </c>
      <c r="D276" s="9">
        <f ca="1">VLOOKUP(C276,Project.csv!E:Q,13,FALSE)</f>
        <v>200004</v>
      </c>
      <c r="E276" s="8" t="str">
        <f t="shared" ca="1" si="29"/>
        <v>rg:{'id':'200004'}</v>
      </c>
      <c r="F276" s="9" t="s">
        <v>7057</v>
      </c>
      <c r="G276" s="9" t="str">
        <f ca="1">INDEX(DistrictEquipmentTypes.csv!F:F,RANDBETWEEN(2,COUNTA(DistrictEquipmentTypes.csv!D:D)),1)</f>
        <v>200009</v>
      </c>
      <c r="H276" s="8" t="str">
        <f t="shared" ca="1" si="30"/>
        <v>rg:{ 'id': '200009'}</v>
      </c>
      <c r="I276" s="8">
        <f t="shared" ca="1" si="31"/>
        <v>1</v>
      </c>
      <c r="J276" s="8">
        <f t="shared" ca="1" si="32"/>
        <v>48</v>
      </c>
      <c r="K276" s="8" t="str">
        <f t="shared" ca="1" si="33"/>
        <v>2017-04-25</v>
      </c>
      <c r="L276" s="8" t="str">
        <f t="shared" ca="1" si="34"/>
        <v>2017-05-01</v>
      </c>
    </row>
    <row r="277" spans="1:12" x14ac:dyDescent="0.3">
      <c r="A277" s="8" t="s">
        <v>5668</v>
      </c>
      <c r="B277" s="8">
        <f t="shared" si="28"/>
        <v>600275</v>
      </c>
      <c r="C277" s="1" t="s">
        <v>6900</v>
      </c>
      <c r="D277" s="9">
        <f ca="1">VLOOKUP(C277,Project.csv!E:Q,13,FALSE)</f>
        <v>200043</v>
      </c>
      <c r="E277" s="8" t="str">
        <f t="shared" ca="1" si="29"/>
        <v>rg:{'id':'200043'}</v>
      </c>
      <c r="F277" s="9" t="s">
        <v>7057</v>
      </c>
      <c r="G277" s="9" t="str">
        <f ca="1">INDEX(DistrictEquipmentTypes.csv!F:F,RANDBETWEEN(2,COUNTA(DistrictEquipmentTypes.csv!D:D)),1)</f>
        <v>200005</v>
      </c>
      <c r="H277" s="8" t="str">
        <f t="shared" ca="1" si="30"/>
        <v>rg:{ 'id': '200005'}</v>
      </c>
      <c r="I277" s="8">
        <f t="shared" ca="1" si="31"/>
        <v>1</v>
      </c>
      <c r="J277" s="8">
        <f t="shared" ca="1" si="32"/>
        <v>79</v>
      </c>
      <c r="K277" s="8" t="str">
        <f t="shared" ca="1" si="33"/>
        <v>2017-04-29</v>
      </c>
      <c r="L277" s="8" t="str">
        <f t="shared" ca="1" si="34"/>
        <v>2017-05-08</v>
      </c>
    </row>
    <row r="278" spans="1:12" x14ac:dyDescent="0.3">
      <c r="A278" s="8" t="s">
        <v>5668</v>
      </c>
      <c r="B278" s="8">
        <f t="shared" si="28"/>
        <v>600276</v>
      </c>
      <c r="C278" s="1" t="s">
        <v>7022</v>
      </c>
      <c r="D278" s="9">
        <f ca="1">VLOOKUP(C278,Project.csv!E:Q,13,FALSE)</f>
        <v>200009</v>
      </c>
      <c r="E278" s="8" t="str">
        <f t="shared" ca="1" si="29"/>
        <v>rg:{'id':'200009'}</v>
      </c>
      <c r="F278" s="9" t="s">
        <v>7057</v>
      </c>
      <c r="G278" s="9" t="str">
        <f ca="1">INDEX(DistrictEquipmentTypes.csv!F:F,RANDBETWEEN(2,COUNTA(DistrictEquipmentTypes.csv!D:D)),1)</f>
        <v>200002</v>
      </c>
      <c r="H278" s="8" t="str">
        <f t="shared" ca="1" si="30"/>
        <v>rg:{ 'id': '200002'}</v>
      </c>
      <c r="I278" s="8">
        <f t="shared" ca="1" si="31"/>
        <v>1</v>
      </c>
      <c r="J278" s="8">
        <f t="shared" ca="1" si="32"/>
        <v>93</v>
      </c>
      <c r="K278" s="8" t="str">
        <f t="shared" ca="1" si="33"/>
        <v>2017-04-28</v>
      </c>
      <c r="L278" s="8" t="str">
        <f t="shared" ca="1" si="34"/>
        <v>2017-05-09</v>
      </c>
    </row>
    <row r="279" spans="1:12" x14ac:dyDescent="0.3">
      <c r="A279" s="8" t="s">
        <v>5668</v>
      </c>
      <c r="B279" s="8">
        <f t="shared" si="28"/>
        <v>600277</v>
      </c>
      <c r="C279" s="1" t="s">
        <v>6927</v>
      </c>
      <c r="D279" s="9">
        <f ca="1">VLOOKUP(C279,Project.csv!E:Q,13,FALSE)</f>
        <v>200015</v>
      </c>
      <c r="E279" s="8" t="str">
        <f t="shared" ca="1" si="29"/>
        <v>rg:{'id':'200015'}</v>
      </c>
      <c r="F279" s="9" t="s">
        <v>7057</v>
      </c>
      <c r="G279" s="9" t="str">
        <f ca="1">INDEX(DistrictEquipmentTypes.csv!F:F,RANDBETWEEN(2,COUNTA(DistrictEquipmentTypes.csv!D:D)),1)</f>
        <v>200005</v>
      </c>
      <c r="H279" s="8" t="str">
        <f t="shared" ca="1" si="30"/>
        <v>rg:{ 'id': '200005'}</v>
      </c>
      <c r="I279" s="8">
        <f t="shared" ca="1" si="31"/>
        <v>1</v>
      </c>
      <c r="J279" s="8">
        <f t="shared" ca="1" si="32"/>
        <v>34</v>
      </c>
      <c r="K279" s="8" t="str">
        <f t="shared" ca="1" si="33"/>
        <v>2017-04-26</v>
      </c>
      <c r="L279" s="8" t="str">
        <f t="shared" ca="1" si="34"/>
        <v>2017-04-30</v>
      </c>
    </row>
    <row r="280" spans="1:12" x14ac:dyDescent="0.3">
      <c r="A280" s="8" t="s">
        <v>5668</v>
      </c>
      <c r="B280" s="8">
        <f t="shared" si="28"/>
        <v>600278</v>
      </c>
      <c r="C280" s="1" t="s">
        <v>6921</v>
      </c>
      <c r="D280" s="9">
        <f ca="1">VLOOKUP(C280,Project.csv!E:Q,13,FALSE)</f>
        <v>200036</v>
      </c>
      <c r="E280" s="8" t="str">
        <f t="shared" ca="1" si="29"/>
        <v>rg:{'id':'200036'}</v>
      </c>
      <c r="F280" s="9" t="s">
        <v>7057</v>
      </c>
      <c r="G280" s="9" t="str">
        <f ca="1">INDEX(DistrictEquipmentTypes.csv!F:F,RANDBETWEEN(2,COUNTA(DistrictEquipmentTypes.csv!D:D)),1)</f>
        <v>200007</v>
      </c>
      <c r="H280" s="8" t="str">
        <f t="shared" ca="1" si="30"/>
        <v>rg:{ 'id': '200007'}</v>
      </c>
      <c r="I280" s="8">
        <f t="shared" ca="1" si="31"/>
        <v>1</v>
      </c>
      <c r="J280" s="8">
        <f t="shared" ca="1" si="32"/>
        <v>92</v>
      </c>
      <c r="K280" s="8" t="str">
        <f t="shared" ca="1" si="33"/>
        <v>2017-04-29</v>
      </c>
      <c r="L280" s="8" t="str">
        <f t="shared" ca="1" si="34"/>
        <v>2017-05-10</v>
      </c>
    </row>
    <row r="281" spans="1:12" x14ac:dyDescent="0.3">
      <c r="A281" s="8" t="s">
        <v>5668</v>
      </c>
      <c r="B281" s="8">
        <f t="shared" si="28"/>
        <v>600279</v>
      </c>
      <c r="C281" s="1" t="s">
        <v>7023</v>
      </c>
      <c r="D281" s="9">
        <f ca="1">VLOOKUP(C281,Project.csv!E:Q,13,FALSE)</f>
        <v>200064</v>
      </c>
      <c r="E281" s="8" t="str">
        <f t="shared" ca="1" si="29"/>
        <v>rg:{'id':'200064'}</v>
      </c>
      <c r="F281" s="9" t="s">
        <v>7057</v>
      </c>
      <c r="G281" s="9" t="str">
        <f ca="1">INDEX(DistrictEquipmentTypes.csv!F:F,RANDBETWEEN(2,COUNTA(DistrictEquipmentTypes.csv!D:D)),1)</f>
        <v>200003</v>
      </c>
      <c r="H281" s="8" t="str">
        <f t="shared" ca="1" si="30"/>
        <v>rg:{ 'id': '200003'}</v>
      </c>
      <c r="I281" s="8">
        <f t="shared" ca="1" si="31"/>
        <v>1</v>
      </c>
      <c r="J281" s="8">
        <f t="shared" ca="1" si="32"/>
        <v>82</v>
      </c>
      <c r="K281" s="8" t="str">
        <f t="shared" ca="1" si="33"/>
        <v>2017-05-07</v>
      </c>
      <c r="L281" s="8" t="str">
        <f t="shared" ca="1" si="34"/>
        <v>2017-05-17</v>
      </c>
    </row>
    <row r="282" spans="1:12" x14ac:dyDescent="0.3">
      <c r="A282" s="8" t="s">
        <v>5668</v>
      </c>
      <c r="B282" s="8">
        <f t="shared" si="28"/>
        <v>600280</v>
      </c>
      <c r="C282" s="1" t="s">
        <v>7024</v>
      </c>
      <c r="D282" s="9">
        <f ca="1">VLOOKUP(C282,Project.csv!E:Q,13,FALSE)</f>
        <v>200052</v>
      </c>
      <c r="E282" s="8" t="str">
        <f t="shared" ca="1" si="29"/>
        <v>rg:{'id':'200052'}</v>
      </c>
      <c r="F282" s="9" t="s">
        <v>7057</v>
      </c>
      <c r="G282" s="9" t="str">
        <f ca="1">INDEX(DistrictEquipmentTypes.csv!F:F,RANDBETWEEN(2,COUNTA(DistrictEquipmentTypes.csv!D:D)),1)</f>
        <v>200002</v>
      </c>
      <c r="H282" s="8" t="str">
        <f t="shared" ca="1" si="30"/>
        <v>rg:{ 'id': '200002'}</v>
      </c>
      <c r="I282" s="8">
        <f t="shared" ca="1" si="31"/>
        <v>1</v>
      </c>
      <c r="J282" s="8">
        <f t="shared" ca="1" si="32"/>
        <v>21</v>
      </c>
      <c r="K282" s="8" t="str">
        <f t="shared" ca="1" si="33"/>
        <v>2017-05-05</v>
      </c>
      <c r="L282" s="8" t="str">
        <f t="shared" ca="1" si="34"/>
        <v>2017-05-07</v>
      </c>
    </row>
    <row r="283" spans="1:12" x14ac:dyDescent="0.3">
      <c r="A283" s="8" t="s">
        <v>5668</v>
      </c>
      <c r="B283" s="8">
        <f t="shared" si="28"/>
        <v>600281</v>
      </c>
      <c r="C283" s="1" t="s">
        <v>6909</v>
      </c>
      <c r="D283" s="9">
        <f ca="1">VLOOKUP(C283,Project.csv!E:Q,13,FALSE)</f>
        <v>200079</v>
      </c>
      <c r="E283" s="8" t="str">
        <f t="shared" ca="1" si="29"/>
        <v>rg:{'id':'200079'}</v>
      </c>
      <c r="F283" s="9" t="s">
        <v>7057</v>
      </c>
      <c r="G283" s="9" t="str">
        <f ca="1">INDEX(DistrictEquipmentTypes.csv!F:F,RANDBETWEEN(2,COUNTA(DistrictEquipmentTypes.csv!D:D)),1)</f>
        <v>200009</v>
      </c>
      <c r="H283" s="8" t="str">
        <f t="shared" ca="1" si="30"/>
        <v>rg:{ 'id': '200009'}</v>
      </c>
      <c r="I283" s="8">
        <f t="shared" ca="1" si="31"/>
        <v>1</v>
      </c>
      <c r="J283" s="8">
        <f t="shared" ca="1" si="32"/>
        <v>47</v>
      </c>
      <c r="K283" s="8" t="str">
        <f t="shared" ca="1" si="33"/>
        <v>2017-05-01</v>
      </c>
      <c r="L283" s="8" t="str">
        <f t="shared" ca="1" si="34"/>
        <v>2017-05-06</v>
      </c>
    </row>
    <row r="284" spans="1:12" x14ac:dyDescent="0.3">
      <c r="A284" s="8" t="s">
        <v>5668</v>
      </c>
      <c r="B284" s="8">
        <f t="shared" si="28"/>
        <v>600282</v>
      </c>
      <c r="C284" s="1" t="s">
        <v>7025</v>
      </c>
      <c r="D284" s="9">
        <f ca="1">VLOOKUP(C284,Project.csv!E:Q,13,FALSE)</f>
        <v>200027</v>
      </c>
      <c r="E284" s="8" t="str">
        <f t="shared" ca="1" si="29"/>
        <v>rg:{'id':'200027'}</v>
      </c>
      <c r="F284" s="9" t="s">
        <v>7057</v>
      </c>
      <c r="G284" s="9" t="str">
        <f ca="1">INDEX(DistrictEquipmentTypes.csv!F:F,RANDBETWEEN(2,COUNTA(DistrictEquipmentTypes.csv!D:D)),1)</f>
        <v>200005</v>
      </c>
      <c r="H284" s="8" t="str">
        <f t="shared" ca="1" si="30"/>
        <v>rg:{ 'id': '200005'}</v>
      </c>
      <c r="I284" s="8">
        <f t="shared" ca="1" si="31"/>
        <v>1</v>
      </c>
      <c r="J284" s="8">
        <f t="shared" ca="1" si="32"/>
        <v>78</v>
      </c>
      <c r="K284" s="8" t="str">
        <f t="shared" ca="1" si="33"/>
        <v>2017-05-08</v>
      </c>
      <c r="L284" s="8" t="str">
        <f t="shared" ca="1" si="34"/>
        <v>2017-05-17</v>
      </c>
    </row>
    <row r="285" spans="1:12" x14ac:dyDescent="0.3">
      <c r="A285" s="8" t="s">
        <v>5668</v>
      </c>
      <c r="B285" s="8">
        <f t="shared" si="28"/>
        <v>600283</v>
      </c>
      <c r="C285" s="1" t="s">
        <v>7026</v>
      </c>
      <c r="D285" s="9">
        <f ca="1">VLOOKUP(C285,Project.csv!E:Q,13,FALSE)</f>
        <v>200082</v>
      </c>
      <c r="E285" s="8" t="str">
        <f t="shared" ca="1" si="29"/>
        <v>rg:{'id':'200082'}</v>
      </c>
      <c r="F285" s="9" t="s">
        <v>7057</v>
      </c>
      <c r="G285" s="9" t="str">
        <f ca="1">INDEX(DistrictEquipmentTypes.csv!F:F,RANDBETWEEN(2,COUNTA(DistrictEquipmentTypes.csv!D:D)),1)</f>
        <v>200007</v>
      </c>
      <c r="H285" s="8" t="str">
        <f t="shared" ca="1" si="30"/>
        <v>rg:{ 'id': '200007'}</v>
      </c>
      <c r="I285" s="8">
        <f t="shared" ca="1" si="31"/>
        <v>1</v>
      </c>
      <c r="J285" s="8">
        <f t="shared" ca="1" si="32"/>
        <v>27</v>
      </c>
      <c r="K285" s="8" t="str">
        <f t="shared" ca="1" si="33"/>
        <v>2017-05-02</v>
      </c>
      <c r="L285" s="8" t="str">
        <f t="shared" ca="1" si="34"/>
        <v>2017-05-05</v>
      </c>
    </row>
    <row r="286" spans="1:12" x14ac:dyDescent="0.3">
      <c r="A286" s="8" t="s">
        <v>5668</v>
      </c>
      <c r="B286" s="8">
        <f t="shared" si="28"/>
        <v>600284</v>
      </c>
      <c r="C286" s="1" t="s">
        <v>7027</v>
      </c>
      <c r="D286" s="9">
        <f ca="1">VLOOKUP(C286,Project.csv!E:Q,13,FALSE)</f>
        <v>200076</v>
      </c>
      <c r="E286" s="8" t="str">
        <f t="shared" ca="1" si="29"/>
        <v>rg:{'id':'200076'}</v>
      </c>
      <c r="F286" s="9" t="s">
        <v>7057</v>
      </c>
      <c r="G286" s="9" t="str">
        <f ca="1">INDEX(DistrictEquipmentTypes.csv!F:F,RANDBETWEEN(2,COUNTA(DistrictEquipmentTypes.csv!D:D)),1)</f>
        <v>200000</v>
      </c>
      <c r="H286" s="8" t="str">
        <f t="shared" ca="1" si="30"/>
        <v>rg:{ 'id': '200000'}</v>
      </c>
      <c r="I286" s="8">
        <f t="shared" ca="1" si="31"/>
        <v>1</v>
      </c>
      <c r="J286" s="8">
        <f t="shared" ca="1" si="32"/>
        <v>100</v>
      </c>
      <c r="K286" s="8" t="str">
        <f t="shared" ca="1" si="33"/>
        <v>2017-05-03</v>
      </c>
      <c r="L286" s="8" t="str">
        <f t="shared" ca="1" si="34"/>
        <v>2017-05-15</v>
      </c>
    </row>
    <row r="287" spans="1:12" x14ac:dyDescent="0.3">
      <c r="A287" s="8" t="s">
        <v>5668</v>
      </c>
      <c r="B287" s="8">
        <f t="shared" si="28"/>
        <v>600285</v>
      </c>
      <c r="C287" s="1" t="s">
        <v>6925</v>
      </c>
      <c r="D287" s="9">
        <f ca="1">VLOOKUP(C287,Project.csv!E:Q,13,FALSE)</f>
        <v>200001</v>
      </c>
      <c r="E287" s="8" t="str">
        <f t="shared" ca="1" si="29"/>
        <v>rg:{'id':'200001'}</v>
      </c>
      <c r="F287" s="9" t="s">
        <v>7057</v>
      </c>
      <c r="G287" s="9" t="str">
        <f ca="1">INDEX(DistrictEquipmentTypes.csv!F:F,RANDBETWEEN(2,COUNTA(DistrictEquipmentTypes.csv!D:D)),1)</f>
        <v>200009</v>
      </c>
      <c r="H287" s="8" t="str">
        <f t="shared" ca="1" si="30"/>
        <v>rg:{ 'id': '200009'}</v>
      </c>
      <c r="I287" s="8">
        <f t="shared" ca="1" si="31"/>
        <v>1</v>
      </c>
      <c r="J287" s="8">
        <f t="shared" ca="1" si="32"/>
        <v>49</v>
      </c>
      <c r="K287" s="8" t="str">
        <f t="shared" ca="1" si="33"/>
        <v>2017-04-27</v>
      </c>
      <c r="L287" s="8" t="str">
        <f t="shared" ca="1" si="34"/>
        <v>2017-05-03</v>
      </c>
    </row>
    <row r="288" spans="1:12" x14ac:dyDescent="0.3">
      <c r="A288" s="8" t="s">
        <v>5668</v>
      </c>
      <c r="B288" s="8">
        <f t="shared" si="28"/>
        <v>600286</v>
      </c>
      <c r="C288" s="1" t="s">
        <v>7028</v>
      </c>
      <c r="D288" s="9">
        <f ca="1">VLOOKUP(C288,Project.csv!E:Q,13,FALSE)</f>
        <v>200054</v>
      </c>
      <c r="E288" s="8" t="str">
        <f t="shared" ca="1" si="29"/>
        <v>rg:{'id':'200054'}</v>
      </c>
      <c r="F288" s="9" t="s">
        <v>7057</v>
      </c>
      <c r="G288" s="9" t="str">
        <f ca="1">INDEX(DistrictEquipmentTypes.csv!F:F,RANDBETWEEN(2,COUNTA(DistrictEquipmentTypes.csv!D:D)),1)</f>
        <v>200006</v>
      </c>
      <c r="H288" s="8" t="str">
        <f t="shared" ca="1" si="30"/>
        <v>rg:{ 'id': '200006'}</v>
      </c>
      <c r="I288" s="8">
        <f t="shared" ca="1" si="31"/>
        <v>1</v>
      </c>
      <c r="J288" s="8">
        <f t="shared" ca="1" si="32"/>
        <v>55</v>
      </c>
      <c r="K288" s="8" t="str">
        <f t="shared" ca="1" si="33"/>
        <v>2017-04-01</v>
      </c>
      <c r="L288" s="8" t="str">
        <f t="shared" ca="1" si="34"/>
        <v>2017-04-07</v>
      </c>
    </row>
    <row r="289" spans="1:12" x14ac:dyDescent="0.3">
      <c r="A289" s="8" t="s">
        <v>5668</v>
      </c>
      <c r="B289" s="8">
        <f t="shared" si="28"/>
        <v>600287</v>
      </c>
      <c r="C289" s="1" t="s">
        <v>7029</v>
      </c>
      <c r="D289" s="9">
        <f ca="1">VLOOKUP(C289,Project.csv!E:Q,13,FALSE)</f>
        <v>200028</v>
      </c>
      <c r="E289" s="8" t="str">
        <f t="shared" ca="1" si="29"/>
        <v>rg:{'id':'200028'}</v>
      </c>
      <c r="F289" s="9" t="s">
        <v>7057</v>
      </c>
      <c r="G289" s="9" t="str">
        <f ca="1">INDEX(DistrictEquipmentTypes.csv!F:F,RANDBETWEEN(2,COUNTA(DistrictEquipmentTypes.csv!D:D)),1)</f>
        <v>200000</v>
      </c>
      <c r="H289" s="8" t="str">
        <f t="shared" ca="1" si="30"/>
        <v>rg:{ 'id': '200000'}</v>
      </c>
      <c r="I289" s="8">
        <f t="shared" ca="1" si="31"/>
        <v>1</v>
      </c>
      <c r="J289" s="8">
        <f t="shared" ca="1" si="32"/>
        <v>17</v>
      </c>
      <c r="K289" s="8" t="str">
        <f t="shared" ca="1" si="33"/>
        <v>2017-03-21</v>
      </c>
      <c r="L289" s="8" t="str">
        <f t="shared" ca="1" si="34"/>
        <v>2017-03-23</v>
      </c>
    </row>
    <row r="290" spans="1:12" x14ac:dyDescent="0.3">
      <c r="A290" s="8" t="s">
        <v>5668</v>
      </c>
      <c r="B290" s="8">
        <f t="shared" si="28"/>
        <v>600288</v>
      </c>
      <c r="C290" s="1" t="s">
        <v>6932</v>
      </c>
      <c r="D290" s="9">
        <f ca="1">VLOOKUP(C290,Project.csv!E:Q,13,FALSE)</f>
        <v>200071</v>
      </c>
      <c r="E290" s="8" t="str">
        <f t="shared" ca="1" si="29"/>
        <v>rg:{'id':'200071'}</v>
      </c>
      <c r="F290" s="9" t="s">
        <v>7057</v>
      </c>
      <c r="G290" s="9" t="str">
        <f ca="1">INDEX(DistrictEquipmentTypes.csv!F:F,RANDBETWEEN(2,COUNTA(DistrictEquipmentTypes.csv!D:D)),1)</f>
        <v>200005</v>
      </c>
      <c r="H290" s="8" t="str">
        <f t="shared" ca="1" si="30"/>
        <v>rg:{ 'id': '200005'}</v>
      </c>
      <c r="I290" s="8">
        <f t="shared" ca="1" si="31"/>
        <v>1</v>
      </c>
      <c r="J290" s="8">
        <f t="shared" ca="1" si="32"/>
        <v>57</v>
      </c>
      <c r="K290" s="8" t="str">
        <f t="shared" ca="1" si="33"/>
        <v>2017-03-24</v>
      </c>
      <c r="L290" s="8" t="str">
        <f t="shared" ca="1" si="34"/>
        <v>2017-03-31</v>
      </c>
    </row>
    <row r="291" spans="1:12" x14ac:dyDescent="0.3">
      <c r="A291" s="8" t="s">
        <v>5668</v>
      </c>
      <c r="B291" s="8">
        <f t="shared" si="28"/>
        <v>600289</v>
      </c>
      <c r="C291" s="1" t="s">
        <v>7030</v>
      </c>
      <c r="D291" s="9">
        <f ca="1">VLOOKUP(C291,Project.csv!E:Q,13,FALSE)</f>
        <v>200055</v>
      </c>
      <c r="E291" s="8" t="str">
        <f t="shared" ca="1" si="29"/>
        <v>rg:{'id':'200055'}</v>
      </c>
      <c r="F291" s="9" t="s">
        <v>7057</v>
      </c>
      <c r="G291" s="9" t="str">
        <f ca="1">INDEX(DistrictEquipmentTypes.csv!F:F,RANDBETWEEN(2,COUNTA(DistrictEquipmentTypes.csv!D:D)),1)</f>
        <v>200006</v>
      </c>
      <c r="H291" s="8" t="str">
        <f t="shared" ca="1" si="30"/>
        <v>rg:{ 'id': '200006'}</v>
      </c>
      <c r="I291" s="8">
        <f t="shared" ca="1" si="31"/>
        <v>1</v>
      </c>
      <c r="J291" s="8">
        <f t="shared" ca="1" si="32"/>
        <v>50</v>
      </c>
      <c r="K291" s="8" t="str">
        <f t="shared" ca="1" si="33"/>
        <v>2017-04-05</v>
      </c>
      <c r="L291" s="8" t="str">
        <f t="shared" ca="1" si="34"/>
        <v>2017-04-11</v>
      </c>
    </row>
    <row r="292" spans="1:12" x14ac:dyDescent="0.3">
      <c r="A292" s="8" t="s">
        <v>5668</v>
      </c>
      <c r="B292" s="8">
        <f t="shared" si="28"/>
        <v>600290</v>
      </c>
      <c r="C292" s="1" t="s">
        <v>7031</v>
      </c>
      <c r="D292" s="9">
        <f ca="1">VLOOKUP(C292,Project.csv!E:Q,13,FALSE)</f>
        <v>200069</v>
      </c>
      <c r="E292" s="8" t="str">
        <f t="shared" ca="1" si="29"/>
        <v>rg:{'id':'200069'}</v>
      </c>
      <c r="F292" s="9" t="s">
        <v>7057</v>
      </c>
      <c r="G292" s="9" t="str">
        <f ca="1">INDEX(DistrictEquipmentTypes.csv!F:F,RANDBETWEEN(2,COUNTA(DistrictEquipmentTypes.csv!D:D)),1)</f>
        <v>200004</v>
      </c>
      <c r="H292" s="8" t="str">
        <f t="shared" ca="1" si="30"/>
        <v>rg:{ 'id': '200004'}</v>
      </c>
      <c r="I292" s="8">
        <f t="shared" ca="1" si="31"/>
        <v>1</v>
      </c>
      <c r="J292" s="8">
        <f t="shared" ca="1" si="32"/>
        <v>93</v>
      </c>
      <c r="K292" s="8" t="str">
        <f t="shared" ca="1" si="33"/>
        <v>2017-03-31</v>
      </c>
      <c r="L292" s="8" t="str">
        <f t="shared" ca="1" si="34"/>
        <v>2017-04-11</v>
      </c>
    </row>
    <row r="293" spans="1:12" x14ac:dyDescent="0.3">
      <c r="A293" s="8" t="s">
        <v>5668</v>
      </c>
      <c r="B293" s="8">
        <f t="shared" si="28"/>
        <v>600291</v>
      </c>
      <c r="C293" s="1" t="s">
        <v>7032</v>
      </c>
      <c r="D293" s="9">
        <f ca="1">VLOOKUP(C293,Project.csv!E:Q,13,FALSE)</f>
        <v>200016</v>
      </c>
      <c r="E293" s="8" t="str">
        <f t="shared" ca="1" si="29"/>
        <v>rg:{'id':'200016'}</v>
      </c>
      <c r="F293" s="9" t="s">
        <v>7057</v>
      </c>
      <c r="G293" s="9" t="str">
        <f ca="1">INDEX(DistrictEquipmentTypes.csv!F:F,RANDBETWEEN(2,COUNTA(DistrictEquipmentTypes.csv!D:D)),1)</f>
        <v>200009</v>
      </c>
      <c r="H293" s="8" t="str">
        <f t="shared" ca="1" si="30"/>
        <v>rg:{ 'id': '200009'}</v>
      </c>
      <c r="I293" s="8">
        <f t="shared" ca="1" si="31"/>
        <v>1</v>
      </c>
      <c r="J293" s="8">
        <f t="shared" ca="1" si="32"/>
        <v>67</v>
      </c>
      <c r="K293" s="8" t="str">
        <f t="shared" ca="1" si="33"/>
        <v>2017-04-06</v>
      </c>
      <c r="L293" s="8" t="str">
        <f t="shared" ca="1" si="34"/>
        <v>2017-04-14</v>
      </c>
    </row>
    <row r="294" spans="1:12" x14ac:dyDescent="0.3">
      <c r="A294" s="8" t="s">
        <v>5668</v>
      </c>
      <c r="B294" s="8">
        <f t="shared" si="28"/>
        <v>600292</v>
      </c>
      <c r="C294" s="1" t="s">
        <v>7033</v>
      </c>
      <c r="D294" s="9">
        <f ca="1">VLOOKUP(C294,Project.csv!E:Q,13,FALSE)</f>
        <v>200039</v>
      </c>
      <c r="E294" s="8" t="str">
        <f t="shared" ca="1" si="29"/>
        <v>rg:{'id':'200039'}</v>
      </c>
      <c r="F294" s="9" t="s">
        <v>7057</v>
      </c>
      <c r="G294" s="9" t="str">
        <f ca="1">INDEX(DistrictEquipmentTypes.csv!F:F,RANDBETWEEN(2,COUNTA(DistrictEquipmentTypes.csv!D:D)),1)</f>
        <v>200009</v>
      </c>
      <c r="H294" s="8" t="str">
        <f t="shared" ca="1" si="30"/>
        <v>rg:{ 'id': '200009'}</v>
      </c>
      <c r="I294" s="8">
        <f t="shared" ca="1" si="31"/>
        <v>1</v>
      </c>
      <c r="J294" s="8">
        <f t="shared" ca="1" si="32"/>
        <v>87</v>
      </c>
      <c r="K294" s="8" t="str">
        <f t="shared" ca="1" si="33"/>
        <v>2017-04-19</v>
      </c>
      <c r="L294" s="8" t="str">
        <f t="shared" ca="1" si="34"/>
        <v>2017-04-29</v>
      </c>
    </row>
    <row r="295" spans="1:12" x14ac:dyDescent="0.3">
      <c r="A295" s="8" t="s">
        <v>5668</v>
      </c>
      <c r="B295" s="8">
        <f t="shared" si="28"/>
        <v>600293</v>
      </c>
      <c r="C295" s="1" t="s">
        <v>7034</v>
      </c>
      <c r="D295" s="9">
        <f ca="1">VLOOKUP(C295,Project.csv!E:Q,13,FALSE)</f>
        <v>200013</v>
      </c>
      <c r="E295" s="8" t="str">
        <f t="shared" ca="1" si="29"/>
        <v>rg:{'id':'200013'}</v>
      </c>
      <c r="F295" s="9" t="s">
        <v>7057</v>
      </c>
      <c r="G295" s="9" t="str">
        <f ca="1">INDEX(DistrictEquipmentTypes.csv!F:F,RANDBETWEEN(2,COUNTA(DistrictEquipmentTypes.csv!D:D)),1)</f>
        <v>200006</v>
      </c>
      <c r="H295" s="8" t="str">
        <f t="shared" ca="1" si="30"/>
        <v>rg:{ 'id': '200006'}</v>
      </c>
      <c r="I295" s="8">
        <f t="shared" ca="1" si="31"/>
        <v>5</v>
      </c>
      <c r="J295" s="8">
        <f t="shared" ca="1" si="32"/>
        <v>57</v>
      </c>
      <c r="K295" s="8" t="str">
        <f t="shared" ca="1" si="33"/>
        <v>2017-04-04</v>
      </c>
      <c r="L295" s="8" t="str">
        <f t="shared" ca="1" si="34"/>
        <v>2017-05-09</v>
      </c>
    </row>
    <row r="296" spans="1:12" x14ac:dyDescent="0.3">
      <c r="A296" s="8" t="s">
        <v>5668</v>
      </c>
      <c r="B296" s="8">
        <f t="shared" si="28"/>
        <v>600294</v>
      </c>
      <c r="C296" s="1" t="s">
        <v>7035</v>
      </c>
      <c r="D296" s="9">
        <f ca="1">VLOOKUP(C296,Project.csv!E:Q,13,FALSE)</f>
        <v>200077</v>
      </c>
      <c r="E296" s="8" t="str">
        <f t="shared" ca="1" si="29"/>
        <v>rg:{'id':'200077'}</v>
      </c>
      <c r="F296" s="9" t="s">
        <v>7057</v>
      </c>
      <c r="G296" s="9" t="str">
        <f ca="1">INDEX(DistrictEquipmentTypes.csv!F:F,RANDBETWEEN(2,COUNTA(DistrictEquipmentTypes.csv!D:D)),1)</f>
        <v>200002</v>
      </c>
      <c r="H296" s="8" t="str">
        <f t="shared" ca="1" si="30"/>
        <v>rg:{ 'id': '200002'}</v>
      </c>
      <c r="I296" s="8">
        <f t="shared" ca="1" si="31"/>
        <v>2</v>
      </c>
      <c r="J296" s="8">
        <f t="shared" ca="1" si="32"/>
        <v>18</v>
      </c>
      <c r="K296" s="8" t="str">
        <f t="shared" ca="1" si="33"/>
        <v>2017-05-01</v>
      </c>
      <c r="L296" s="8" t="str">
        <f t="shared" ca="1" si="34"/>
        <v>2017-05-05</v>
      </c>
    </row>
    <row r="297" spans="1:12" x14ac:dyDescent="0.3">
      <c r="A297" s="8" t="s">
        <v>5668</v>
      </c>
      <c r="B297" s="8">
        <f t="shared" si="28"/>
        <v>600295</v>
      </c>
      <c r="C297" s="1" t="s">
        <v>7036</v>
      </c>
      <c r="D297" s="9">
        <f ca="1">VLOOKUP(C297,Project.csv!E:Q,13,FALSE)</f>
        <v>200039</v>
      </c>
      <c r="E297" s="8" t="str">
        <f t="shared" ca="1" si="29"/>
        <v>rg:{'id':'200039'}</v>
      </c>
      <c r="F297" s="9" t="s">
        <v>7057</v>
      </c>
      <c r="G297" s="9" t="str">
        <f ca="1">INDEX(DistrictEquipmentTypes.csv!F:F,RANDBETWEEN(2,COUNTA(DistrictEquipmentTypes.csv!D:D)),1)</f>
        <v>200009</v>
      </c>
      <c r="H297" s="8" t="str">
        <f t="shared" ca="1" si="30"/>
        <v>rg:{ 'id': '200009'}</v>
      </c>
      <c r="I297" s="8">
        <f t="shared" ca="1" si="31"/>
        <v>1</v>
      </c>
      <c r="J297" s="8">
        <f t="shared" ca="1" si="32"/>
        <v>76</v>
      </c>
      <c r="K297" s="8" t="str">
        <f t="shared" ca="1" si="33"/>
        <v>2017-03-24</v>
      </c>
      <c r="L297" s="8" t="str">
        <f t="shared" ca="1" si="34"/>
        <v>2017-04-02</v>
      </c>
    </row>
    <row r="298" spans="1:12" x14ac:dyDescent="0.3">
      <c r="A298" s="8" t="s">
        <v>5668</v>
      </c>
      <c r="B298" s="8">
        <f t="shared" si="28"/>
        <v>600296</v>
      </c>
      <c r="C298" s="1" t="s">
        <v>6897</v>
      </c>
      <c r="D298" s="9">
        <f ca="1">VLOOKUP(C298,Project.csv!E:Q,13,FALSE)</f>
        <v>200029</v>
      </c>
      <c r="E298" s="8" t="str">
        <f t="shared" ca="1" si="29"/>
        <v>rg:{'id':'200029'}</v>
      </c>
      <c r="F298" s="9" t="s">
        <v>7057</v>
      </c>
      <c r="G298" s="9" t="str">
        <f ca="1">INDEX(DistrictEquipmentTypes.csv!F:F,RANDBETWEEN(2,COUNTA(DistrictEquipmentTypes.csv!D:D)),1)</f>
        <v>200003</v>
      </c>
      <c r="H298" s="8" t="str">
        <f t="shared" ca="1" si="30"/>
        <v>rg:{ 'id': '200003'}</v>
      </c>
      <c r="I298" s="8">
        <f t="shared" ca="1" si="31"/>
        <v>2</v>
      </c>
      <c r="J298" s="8">
        <f t="shared" ca="1" si="32"/>
        <v>56</v>
      </c>
      <c r="K298" s="8" t="str">
        <f t="shared" ca="1" si="33"/>
        <v>2017-05-08</v>
      </c>
      <c r="L298" s="8" t="str">
        <f t="shared" ca="1" si="34"/>
        <v>2017-05-22</v>
      </c>
    </row>
    <row r="299" spans="1:12" x14ac:dyDescent="0.3">
      <c r="A299" s="8" t="s">
        <v>5668</v>
      </c>
      <c r="B299" s="8">
        <f t="shared" si="28"/>
        <v>600297</v>
      </c>
      <c r="C299" s="1" t="s">
        <v>7037</v>
      </c>
      <c r="D299" s="9">
        <f ca="1">VLOOKUP(C299,Project.csv!E:Q,13,FALSE)</f>
        <v>200046</v>
      </c>
      <c r="E299" s="8" t="str">
        <f t="shared" ca="1" si="29"/>
        <v>rg:{'id':'200046'}</v>
      </c>
      <c r="F299" s="9" t="s">
        <v>7057</v>
      </c>
      <c r="G299" s="9" t="str">
        <f ca="1">INDEX(DistrictEquipmentTypes.csv!F:F,RANDBETWEEN(2,COUNTA(DistrictEquipmentTypes.csv!D:D)),1)</f>
        <v>200000</v>
      </c>
      <c r="H299" s="8" t="str">
        <f t="shared" ca="1" si="30"/>
        <v>rg:{ 'id': '200000'}</v>
      </c>
      <c r="I299" s="8">
        <f t="shared" ca="1" si="31"/>
        <v>1</v>
      </c>
      <c r="J299" s="8">
        <f t="shared" ca="1" si="32"/>
        <v>54</v>
      </c>
      <c r="K299" s="8" t="str">
        <f t="shared" ca="1" si="33"/>
        <v>2017-04-07</v>
      </c>
      <c r="L299" s="8" t="str">
        <f t="shared" ca="1" si="34"/>
        <v>2017-04-13</v>
      </c>
    </row>
    <row r="300" spans="1:12" x14ac:dyDescent="0.3">
      <c r="A300" s="8" t="s">
        <v>5668</v>
      </c>
      <c r="B300" s="8">
        <f t="shared" si="28"/>
        <v>600298</v>
      </c>
      <c r="C300" s="1" t="s">
        <v>6935</v>
      </c>
      <c r="D300" s="9">
        <f ca="1">VLOOKUP(C300,Project.csv!E:Q,13,FALSE)</f>
        <v>200040</v>
      </c>
      <c r="E300" s="8" t="str">
        <f t="shared" ca="1" si="29"/>
        <v>rg:{'id':'200040'}</v>
      </c>
      <c r="F300" s="9" t="s">
        <v>7057</v>
      </c>
      <c r="G300" s="9" t="str">
        <f ca="1">INDEX(DistrictEquipmentTypes.csv!F:F,RANDBETWEEN(2,COUNTA(DistrictEquipmentTypes.csv!D:D)),1)</f>
        <v>200004</v>
      </c>
      <c r="H300" s="8" t="str">
        <f t="shared" ca="1" si="30"/>
        <v>rg:{ 'id': '200004'}</v>
      </c>
      <c r="I300" s="8">
        <f t="shared" ca="1" si="31"/>
        <v>1</v>
      </c>
      <c r="J300" s="8">
        <f t="shared" ca="1" si="32"/>
        <v>4</v>
      </c>
      <c r="K300" s="8" t="str">
        <f t="shared" ca="1" si="33"/>
        <v>2017-04-03</v>
      </c>
      <c r="L300" s="8" t="str">
        <f t="shared" ca="1" si="34"/>
        <v>2017-04-03</v>
      </c>
    </row>
    <row r="301" spans="1:12" x14ac:dyDescent="0.3">
      <c r="A301" s="8" t="s">
        <v>5668</v>
      </c>
      <c r="B301" s="8">
        <f t="shared" si="28"/>
        <v>600299</v>
      </c>
      <c r="C301" s="1" t="s">
        <v>7038</v>
      </c>
      <c r="D301" s="9">
        <f ca="1">VLOOKUP(C301,Project.csv!E:Q,13,FALSE)</f>
        <v>200040</v>
      </c>
      <c r="E301" s="8" t="str">
        <f t="shared" ca="1" si="29"/>
        <v>rg:{'id':'200040'}</v>
      </c>
      <c r="F301" s="9" t="s">
        <v>7057</v>
      </c>
      <c r="G301" s="9" t="str">
        <f ca="1">INDEX(DistrictEquipmentTypes.csv!F:F,RANDBETWEEN(2,COUNTA(DistrictEquipmentTypes.csv!D:D)),1)</f>
        <v>200002</v>
      </c>
      <c r="H301" s="8" t="str">
        <f t="shared" ca="1" si="30"/>
        <v>rg:{ 'id': '200002'}</v>
      </c>
      <c r="I301" s="8">
        <f t="shared" ca="1" si="31"/>
        <v>3</v>
      </c>
      <c r="J301" s="8">
        <f t="shared" ca="1" si="32"/>
        <v>80</v>
      </c>
      <c r="K301" s="8" t="str">
        <f t="shared" ca="1" si="33"/>
        <v>2017-03-26</v>
      </c>
      <c r="L301" s="8" t="str">
        <f t="shared" ca="1" si="34"/>
        <v>2017-04-25</v>
      </c>
    </row>
    <row r="302" spans="1:12" x14ac:dyDescent="0.3">
      <c r="A302" s="8" t="s">
        <v>5668</v>
      </c>
      <c r="B302" s="8">
        <f t="shared" si="28"/>
        <v>600300</v>
      </c>
      <c r="C302" s="1" t="s">
        <v>7039</v>
      </c>
      <c r="D302" s="9">
        <f ca="1">VLOOKUP(C302,Project.csv!E:Q,13,FALSE)</f>
        <v>200044</v>
      </c>
      <c r="E302" s="8" t="str">
        <f t="shared" ca="1" si="29"/>
        <v>rg:{'id':'200044'}</v>
      </c>
      <c r="F302" s="9" t="s">
        <v>7057</v>
      </c>
      <c r="G302" s="9" t="str">
        <f ca="1">INDEX(DistrictEquipmentTypes.csv!F:F,RANDBETWEEN(2,COUNTA(DistrictEquipmentTypes.csv!D:D)),1)</f>
        <v>200009</v>
      </c>
      <c r="H302" s="8" t="str">
        <f t="shared" ca="1" si="30"/>
        <v>rg:{ 'id': '200009'}</v>
      </c>
      <c r="I302" s="8">
        <f t="shared" ca="1" si="31"/>
        <v>1</v>
      </c>
      <c r="J302" s="8">
        <f t="shared" ca="1" si="32"/>
        <v>49</v>
      </c>
      <c r="K302" s="8" t="str">
        <f t="shared" ca="1" si="33"/>
        <v>2017-03-27</v>
      </c>
      <c r="L302" s="8" t="str">
        <f t="shared" ca="1" si="34"/>
        <v>2017-04-02</v>
      </c>
    </row>
    <row r="303" spans="1:12" x14ac:dyDescent="0.3">
      <c r="A303" s="8" t="s">
        <v>5668</v>
      </c>
      <c r="B303" s="8">
        <f t="shared" si="28"/>
        <v>600301</v>
      </c>
      <c r="C303" s="1" t="s">
        <v>7040</v>
      </c>
      <c r="D303" s="9">
        <f ca="1">VLOOKUP(C303,Project.csv!E:Q,13,FALSE)</f>
        <v>200019</v>
      </c>
      <c r="E303" s="8" t="str">
        <f t="shared" ca="1" si="29"/>
        <v>rg:{'id':'200019'}</v>
      </c>
      <c r="F303" s="9" t="s">
        <v>7057</v>
      </c>
      <c r="G303" s="9" t="str">
        <f ca="1">INDEX(DistrictEquipmentTypes.csv!F:F,RANDBETWEEN(2,COUNTA(DistrictEquipmentTypes.csv!D:D)),1)</f>
        <v>200003</v>
      </c>
      <c r="H303" s="8" t="str">
        <f t="shared" ca="1" si="30"/>
        <v>rg:{ 'id': '200003'}</v>
      </c>
      <c r="I303" s="8">
        <f t="shared" ca="1" si="31"/>
        <v>1</v>
      </c>
      <c r="J303" s="8">
        <f t="shared" ca="1" si="32"/>
        <v>36</v>
      </c>
      <c r="K303" s="8" t="str">
        <f t="shared" ca="1" si="33"/>
        <v>2017-05-03</v>
      </c>
      <c r="L303" s="8" t="str">
        <f t="shared" ca="1" si="34"/>
        <v>2017-05-07</v>
      </c>
    </row>
    <row r="304" spans="1:12" x14ac:dyDescent="0.3">
      <c r="A304" s="8" t="s">
        <v>5668</v>
      </c>
      <c r="B304" s="8">
        <f t="shared" si="28"/>
        <v>600302</v>
      </c>
      <c r="C304" s="1" t="s">
        <v>6928</v>
      </c>
      <c r="D304" s="9">
        <f ca="1">VLOOKUP(C304,Project.csv!E:Q,13,FALSE)</f>
        <v>200070</v>
      </c>
      <c r="E304" s="8" t="str">
        <f t="shared" ca="1" si="29"/>
        <v>rg:{'id':'200070'}</v>
      </c>
      <c r="F304" s="9" t="s">
        <v>7057</v>
      </c>
      <c r="G304" s="9" t="str">
        <f ca="1">INDEX(DistrictEquipmentTypes.csv!F:F,RANDBETWEEN(2,COUNTA(DistrictEquipmentTypes.csv!D:D)),1)</f>
        <v>200006</v>
      </c>
      <c r="H304" s="8" t="str">
        <f t="shared" ca="1" si="30"/>
        <v>rg:{ 'id': '200006'}</v>
      </c>
      <c r="I304" s="8">
        <f t="shared" ca="1" si="31"/>
        <v>1</v>
      </c>
      <c r="J304" s="8">
        <f t="shared" ca="1" si="32"/>
        <v>62</v>
      </c>
      <c r="K304" s="8" t="str">
        <f t="shared" ca="1" si="33"/>
        <v>2017-05-13</v>
      </c>
      <c r="L304" s="8" t="str">
        <f t="shared" ca="1" si="34"/>
        <v>2017-05-20</v>
      </c>
    </row>
    <row r="305" spans="1:12" x14ac:dyDescent="0.3">
      <c r="A305" s="8" t="s">
        <v>5668</v>
      </c>
      <c r="B305" s="8">
        <f t="shared" si="28"/>
        <v>600303</v>
      </c>
      <c r="C305" s="1" t="s">
        <v>7041</v>
      </c>
      <c r="D305" s="9">
        <f ca="1">VLOOKUP(C305,Project.csv!E:Q,13,FALSE)</f>
        <v>200079</v>
      </c>
      <c r="E305" s="8" t="str">
        <f t="shared" ca="1" si="29"/>
        <v>rg:{'id':'200079'}</v>
      </c>
      <c r="F305" s="9" t="s">
        <v>7057</v>
      </c>
      <c r="G305" s="9" t="str">
        <f ca="1">INDEX(DistrictEquipmentTypes.csv!F:F,RANDBETWEEN(2,COUNTA(DistrictEquipmentTypes.csv!D:D)),1)</f>
        <v>200001</v>
      </c>
      <c r="H305" s="8" t="str">
        <f t="shared" ca="1" si="30"/>
        <v>rg:{ 'id': '200001'}</v>
      </c>
      <c r="I305" s="8">
        <f t="shared" ca="1" si="31"/>
        <v>1</v>
      </c>
      <c r="J305" s="8">
        <f t="shared" ca="1" si="32"/>
        <v>11</v>
      </c>
      <c r="K305" s="8" t="str">
        <f t="shared" ca="1" si="33"/>
        <v>2017-05-09</v>
      </c>
      <c r="L305" s="8" t="str">
        <f t="shared" ca="1" si="34"/>
        <v>2017-05-10</v>
      </c>
    </row>
    <row r="306" spans="1:12" x14ac:dyDescent="0.3">
      <c r="A306" s="8" t="s">
        <v>5668</v>
      </c>
      <c r="B306" s="8">
        <f t="shared" si="28"/>
        <v>600304</v>
      </c>
      <c r="C306" s="1" t="s">
        <v>7042</v>
      </c>
      <c r="D306" s="9">
        <f ca="1">VLOOKUP(C306,Project.csv!E:Q,13,FALSE)</f>
        <v>200006</v>
      </c>
      <c r="E306" s="8" t="str">
        <f t="shared" ca="1" si="29"/>
        <v>rg:{'id':'200006'}</v>
      </c>
      <c r="F306" s="9" t="s">
        <v>7057</v>
      </c>
      <c r="G306" s="9" t="str">
        <f ca="1">INDEX(DistrictEquipmentTypes.csv!F:F,RANDBETWEEN(2,COUNTA(DistrictEquipmentTypes.csv!D:D)),1)</f>
        <v>200002</v>
      </c>
      <c r="H306" s="8" t="str">
        <f t="shared" ca="1" si="30"/>
        <v>rg:{ 'id': '200002'}</v>
      </c>
      <c r="I306" s="8">
        <f t="shared" ca="1" si="31"/>
        <v>1</v>
      </c>
      <c r="J306" s="8">
        <f t="shared" ca="1" si="32"/>
        <v>40</v>
      </c>
      <c r="K306" s="8" t="str">
        <f t="shared" ca="1" si="33"/>
        <v>2017-03-30</v>
      </c>
      <c r="L306" s="8" t="str">
        <f t="shared" ca="1" si="34"/>
        <v>2017-04-04</v>
      </c>
    </row>
    <row r="307" spans="1:12" x14ac:dyDescent="0.3">
      <c r="A307" s="8" t="s">
        <v>5668</v>
      </c>
      <c r="B307" s="8">
        <f t="shared" si="28"/>
        <v>600305</v>
      </c>
      <c r="C307" s="1" t="s">
        <v>7043</v>
      </c>
      <c r="D307" s="9">
        <f ca="1">VLOOKUP(C307,Project.csv!E:Q,13,FALSE)</f>
        <v>200049</v>
      </c>
      <c r="E307" s="8" t="str">
        <f t="shared" ca="1" si="29"/>
        <v>rg:{'id':'200049'}</v>
      </c>
      <c r="F307" s="9" t="s">
        <v>7057</v>
      </c>
      <c r="G307" s="9" t="str">
        <f ca="1">INDEX(DistrictEquipmentTypes.csv!F:F,RANDBETWEEN(2,COUNTA(DistrictEquipmentTypes.csv!D:D)),1)</f>
        <v>200001</v>
      </c>
      <c r="H307" s="8" t="str">
        <f t="shared" ca="1" si="30"/>
        <v>rg:{ 'id': '200001'}</v>
      </c>
      <c r="I307" s="8">
        <f t="shared" ca="1" si="31"/>
        <v>1</v>
      </c>
      <c r="J307" s="8">
        <f t="shared" ca="1" si="32"/>
        <v>97</v>
      </c>
      <c r="K307" s="8" t="str">
        <f t="shared" ca="1" si="33"/>
        <v>2017-05-14</v>
      </c>
      <c r="L307" s="8" t="str">
        <f t="shared" ca="1" si="34"/>
        <v>2017-05-26</v>
      </c>
    </row>
    <row r="308" spans="1:12" x14ac:dyDescent="0.3">
      <c r="A308" s="8" t="s">
        <v>5668</v>
      </c>
      <c r="B308" s="8">
        <f t="shared" si="28"/>
        <v>600306</v>
      </c>
      <c r="C308" s="1" t="s">
        <v>7044</v>
      </c>
      <c r="D308" s="9">
        <f ca="1">VLOOKUP(C308,Project.csv!E:Q,13,FALSE)</f>
        <v>200077</v>
      </c>
      <c r="E308" s="8" t="str">
        <f t="shared" ca="1" si="29"/>
        <v>rg:{'id':'200077'}</v>
      </c>
      <c r="F308" s="9" t="s">
        <v>7057</v>
      </c>
      <c r="G308" s="9" t="str">
        <f ca="1">INDEX(DistrictEquipmentTypes.csv!F:F,RANDBETWEEN(2,COUNTA(DistrictEquipmentTypes.csv!D:D)),1)</f>
        <v>200006</v>
      </c>
      <c r="H308" s="8" t="str">
        <f t="shared" ca="1" si="30"/>
        <v>rg:{ 'id': '200006'}</v>
      </c>
      <c r="I308" s="8">
        <f t="shared" ca="1" si="31"/>
        <v>1</v>
      </c>
      <c r="J308" s="8">
        <f t="shared" ca="1" si="32"/>
        <v>30</v>
      </c>
      <c r="K308" s="8" t="str">
        <f t="shared" ca="1" si="33"/>
        <v>2017-04-15</v>
      </c>
      <c r="L308" s="8" t="str">
        <f t="shared" ca="1" si="34"/>
        <v>2017-04-18</v>
      </c>
    </row>
    <row r="309" spans="1:12" x14ac:dyDescent="0.3">
      <c r="A309" s="8" t="s">
        <v>5668</v>
      </c>
      <c r="B309" s="8">
        <f t="shared" si="28"/>
        <v>600307</v>
      </c>
      <c r="C309" s="1" t="s">
        <v>7045</v>
      </c>
      <c r="D309" s="9">
        <f ca="1">VLOOKUP(C309,Project.csv!E:Q,13,FALSE)</f>
        <v>200016</v>
      </c>
      <c r="E309" s="8" t="str">
        <f t="shared" ca="1" si="29"/>
        <v>rg:{'id':'200016'}</v>
      </c>
      <c r="F309" s="9" t="s">
        <v>7057</v>
      </c>
      <c r="G309" s="9" t="str">
        <f ca="1">INDEX(DistrictEquipmentTypes.csv!F:F,RANDBETWEEN(2,COUNTA(DistrictEquipmentTypes.csv!D:D)),1)</f>
        <v>200004</v>
      </c>
      <c r="H309" s="8" t="str">
        <f t="shared" ca="1" si="30"/>
        <v>rg:{ 'id': '200004'}</v>
      </c>
      <c r="I309" s="8">
        <f t="shared" ca="1" si="31"/>
        <v>1</v>
      </c>
      <c r="J309" s="8">
        <f t="shared" ca="1" si="32"/>
        <v>98</v>
      </c>
      <c r="K309" s="8" t="str">
        <f t="shared" ca="1" si="33"/>
        <v>2017-04-14</v>
      </c>
      <c r="L309" s="8" t="str">
        <f t="shared" ca="1" si="34"/>
        <v>2017-04-26</v>
      </c>
    </row>
    <row r="310" spans="1:12" x14ac:dyDescent="0.3">
      <c r="A310" s="8" t="s">
        <v>5668</v>
      </c>
      <c r="B310" s="8">
        <f t="shared" si="28"/>
        <v>600308</v>
      </c>
      <c r="C310" s="1" t="s">
        <v>7046</v>
      </c>
      <c r="D310" s="9">
        <f ca="1">VLOOKUP(C310,Project.csv!E:Q,13,FALSE)</f>
        <v>200079</v>
      </c>
      <c r="E310" s="8" t="str">
        <f t="shared" ca="1" si="29"/>
        <v>rg:{'id':'200079'}</v>
      </c>
      <c r="F310" s="9" t="s">
        <v>7057</v>
      </c>
      <c r="G310" s="9" t="str">
        <f ca="1">INDEX(DistrictEquipmentTypes.csv!F:F,RANDBETWEEN(2,COUNTA(DistrictEquipmentTypes.csv!D:D)),1)</f>
        <v>200000</v>
      </c>
      <c r="H310" s="8" t="str">
        <f t="shared" ca="1" si="30"/>
        <v>rg:{ 'id': '200000'}</v>
      </c>
      <c r="I310" s="8">
        <f t="shared" ca="1" si="31"/>
        <v>1</v>
      </c>
      <c r="J310" s="8">
        <f t="shared" ca="1" si="32"/>
        <v>83</v>
      </c>
      <c r="K310" s="8" t="str">
        <f t="shared" ca="1" si="33"/>
        <v>2017-04-19</v>
      </c>
      <c r="L310" s="8" t="str">
        <f t="shared" ca="1" si="34"/>
        <v>2017-04-29</v>
      </c>
    </row>
    <row r="311" spans="1:12" x14ac:dyDescent="0.3">
      <c r="A311" s="8" t="s">
        <v>5668</v>
      </c>
      <c r="B311" s="8">
        <f t="shared" si="28"/>
        <v>600309</v>
      </c>
      <c r="C311" s="1" t="s">
        <v>6917</v>
      </c>
      <c r="D311" s="9">
        <f ca="1">VLOOKUP(C311,Project.csv!E:Q,13,FALSE)</f>
        <v>200048</v>
      </c>
      <c r="E311" s="8" t="str">
        <f t="shared" ca="1" si="29"/>
        <v>rg:{'id':'200048'}</v>
      </c>
      <c r="F311" s="9" t="s">
        <v>7057</v>
      </c>
      <c r="G311" s="9" t="str">
        <f ca="1">INDEX(DistrictEquipmentTypes.csv!F:F,RANDBETWEEN(2,COUNTA(DistrictEquipmentTypes.csv!D:D)),1)</f>
        <v>200009</v>
      </c>
      <c r="H311" s="8" t="str">
        <f t="shared" ca="1" si="30"/>
        <v>rg:{ 'id': '200009'}</v>
      </c>
      <c r="I311" s="8">
        <f t="shared" ca="1" si="31"/>
        <v>1</v>
      </c>
      <c r="J311" s="8">
        <f t="shared" ca="1" si="32"/>
        <v>8</v>
      </c>
      <c r="K311" s="8" t="str">
        <f t="shared" ca="1" si="33"/>
        <v>2017-05-02</v>
      </c>
      <c r="L311" s="8" t="str">
        <f t="shared" ca="1" si="34"/>
        <v>2017-05-03</v>
      </c>
    </row>
    <row r="312" spans="1:12" x14ac:dyDescent="0.3">
      <c r="A312" s="8" t="s">
        <v>5668</v>
      </c>
      <c r="B312" s="8">
        <f t="shared" si="28"/>
        <v>600310</v>
      </c>
      <c r="C312" s="1" t="s">
        <v>7047</v>
      </c>
      <c r="D312" s="9">
        <f ca="1">VLOOKUP(C312,Project.csv!E:Q,13,FALSE)</f>
        <v>200009</v>
      </c>
      <c r="E312" s="8" t="str">
        <f t="shared" ca="1" si="29"/>
        <v>rg:{'id':'200009'}</v>
      </c>
      <c r="F312" s="9" t="s">
        <v>7057</v>
      </c>
      <c r="G312" s="9" t="str">
        <f ca="1">INDEX(DistrictEquipmentTypes.csv!F:F,RANDBETWEEN(2,COUNTA(DistrictEquipmentTypes.csv!D:D)),1)</f>
        <v>200006</v>
      </c>
      <c r="H312" s="8" t="str">
        <f t="shared" ca="1" si="30"/>
        <v>rg:{ 'id': '200006'}</v>
      </c>
      <c r="I312" s="8">
        <f t="shared" ca="1" si="31"/>
        <v>1</v>
      </c>
      <c r="J312" s="8">
        <f t="shared" ca="1" si="32"/>
        <v>59</v>
      </c>
      <c r="K312" s="8" t="str">
        <f t="shared" ca="1" si="33"/>
        <v>2017-03-24</v>
      </c>
      <c r="L312" s="8" t="str">
        <f t="shared" ca="1" si="34"/>
        <v>2017-03-31</v>
      </c>
    </row>
    <row r="313" spans="1:12" x14ac:dyDescent="0.3">
      <c r="A313" s="8" t="s">
        <v>5668</v>
      </c>
      <c r="B313" s="8">
        <f t="shared" si="28"/>
        <v>600311</v>
      </c>
      <c r="C313" s="1" t="s">
        <v>6902</v>
      </c>
      <c r="D313" s="9">
        <f ca="1">VLOOKUP(C313,Project.csv!E:Q,13,FALSE)</f>
        <v>200028</v>
      </c>
      <c r="E313" s="8" t="str">
        <f t="shared" ca="1" si="29"/>
        <v>rg:{'id':'200028'}</v>
      </c>
      <c r="F313" s="9" t="s">
        <v>7057</v>
      </c>
      <c r="G313" s="9" t="str">
        <f ca="1">INDEX(DistrictEquipmentTypes.csv!F:F,RANDBETWEEN(2,COUNTA(DistrictEquipmentTypes.csv!D:D)),1)</f>
        <v>200006</v>
      </c>
      <c r="H313" s="8" t="str">
        <f t="shared" ca="1" si="30"/>
        <v>rg:{ 'id': '200006'}</v>
      </c>
      <c r="I313" s="8">
        <f t="shared" ca="1" si="31"/>
        <v>1</v>
      </c>
      <c r="J313" s="8">
        <f t="shared" ca="1" si="32"/>
        <v>87</v>
      </c>
      <c r="K313" s="8" t="str">
        <f t="shared" ca="1" si="33"/>
        <v>2017-04-05</v>
      </c>
      <c r="L313" s="8" t="str">
        <f t="shared" ca="1" si="34"/>
        <v>2017-04-15</v>
      </c>
    </row>
    <row r="314" spans="1:12" x14ac:dyDescent="0.3">
      <c r="A314" s="8" t="s">
        <v>5668</v>
      </c>
      <c r="B314" s="8">
        <f t="shared" si="28"/>
        <v>600312</v>
      </c>
      <c r="C314" s="1" t="s">
        <v>6920</v>
      </c>
      <c r="D314" s="9">
        <f ca="1">VLOOKUP(C314,Project.csv!E:Q,13,FALSE)</f>
        <v>200059</v>
      </c>
      <c r="E314" s="8" t="str">
        <f t="shared" ca="1" si="29"/>
        <v>rg:{'id':'200059'}</v>
      </c>
      <c r="F314" s="9" t="s">
        <v>7057</v>
      </c>
      <c r="G314" s="9" t="str">
        <f ca="1">INDEX(DistrictEquipmentTypes.csv!F:F,RANDBETWEEN(2,COUNTA(DistrictEquipmentTypes.csv!D:D)),1)</f>
        <v>200004</v>
      </c>
      <c r="H314" s="8" t="str">
        <f t="shared" ca="1" si="30"/>
        <v>rg:{ 'id': '200004'}</v>
      </c>
      <c r="I314" s="8">
        <f t="shared" ca="1" si="31"/>
        <v>4</v>
      </c>
      <c r="J314" s="8">
        <f t="shared" ca="1" si="32"/>
        <v>80</v>
      </c>
      <c r="K314" s="8" t="str">
        <f t="shared" ca="1" si="33"/>
        <v>2017-04-13</v>
      </c>
      <c r="L314" s="8" t="str">
        <f t="shared" ca="1" si="34"/>
        <v>2017-05-23</v>
      </c>
    </row>
    <row r="315" spans="1:12" x14ac:dyDescent="0.3">
      <c r="A315" s="8" t="s">
        <v>5668</v>
      </c>
      <c r="B315" s="8">
        <f t="shared" si="28"/>
        <v>600313</v>
      </c>
      <c r="C315" s="1" t="s">
        <v>7048</v>
      </c>
      <c r="D315" s="9">
        <f ca="1">VLOOKUP(C315,Project.csv!E:Q,13,FALSE)</f>
        <v>200022</v>
      </c>
      <c r="E315" s="8" t="str">
        <f t="shared" ca="1" si="29"/>
        <v>rg:{'id':'200022'}</v>
      </c>
      <c r="F315" s="9" t="s">
        <v>7057</v>
      </c>
      <c r="G315" s="9" t="str">
        <f ca="1">INDEX(DistrictEquipmentTypes.csv!F:F,RANDBETWEEN(2,COUNTA(DistrictEquipmentTypes.csv!D:D)),1)</f>
        <v>200003</v>
      </c>
      <c r="H315" s="8" t="str">
        <f t="shared" ca="1" si="30"/>
        <v>rg:{ 'id': '200003'}</v>
      </c>
      <c r="I315" s="8">
        <f t="shared" ca="1" si="31"/>
        <v>3</v>
      </c>
      <c r="J315" s="8">
        <f t="shared" ca="1" si="32"/>
        <v>89</v>
      </c>
      <c r="K315" s="8" t="str">
        <f t="shared" ca="1" si="33"/>
        <v>2017-04-27</v>
      </c>
      <c r="L315" s="8" t="str">
        <f t="shared" ca="1" si="34"/>
        <v>2017-05-30</v>
      </c>
    </row>
    <row r="316" spans="1:12" x14ac:dyDescent="0.3">
      <c r="A316" s="8" t="s">
        <v>5668</v>
      </c>
      <c r="B316" s="8">
        <f t="shared" si="28"/>
        <v>600314</v>
      </c>
      <c r="C316" s="1" t="s">
        <v>7049</v>
      </c>
      <c r="D316" s="9">
        <f ca="1">VLOOKUP(C316,Project.csv!E:Q,13,FALSE)</f>
        <v>200062</v>
      </c>
      <c r="E316" s="8" t="str">
        <f t="shared" ca="1" si="29"/>
        <v>rg:{'id':'200062'}</v>
      </c>
      <c r="F316" s="9" t="s">
        <v>7057</v>
      </c>
      <c r="G316" s="9" t="str">
        <f ca="1">INDEX(DistrictEquipmentTypes.csv!F:F,RANDBETWEEN(2,COUNTA(DistrictEquipmentTypes.csv!D:D)),1)</f>
        <v>200001</v>
      </c>
      <c r="H316" s="8" t="str">
        <f t="shared" ca="1" si="30"/>
        <v>rg:{ 'id': '200001'}</v>
      </c>
      <c r="I316" s="8">
        <f t="shared" ca="1" si="31"/>
        <v>4</v>
      </c>
      <c r="J316" s="8">
        <f t="shared" ca="1" si="32"/>
        <v>60</v>
      </c>
      <c r="K316" s="8" t="str">
        <f t="shared" ca="1" si="33"/>
        <v>2017-04-26</v>
      </c>
      <c r="L316" s="8" t="str">
        <f t="shared" ca="1" si="34"/>
        <v>2017-05-26</v>
      </c>
    </row>
    <row r="317" spans="1:12" x14ac:dyDescent="0.3">
      <c r="A317" s="8" t="s">
        <v>5668</v>
      </c>
      <c r="B317" s="8">
        <f t="shared" si="28"/>
        <v>600315</v>
      </c>
      <c r="C317" s="1" t="s">
        <v>7050</v>
      </c>
      <c r="D317" s="9">
        <f ca="1">VLOOKUP(C317,Project.csv!E:Q,13,FALSE)</f>
        <v>200036</v>
      </c>
      <c r="E317" s="8" t="str">
        <f t="shared" ca="1" si="29"/>
        <v>rg:{'id':'200036'}</v>
      </c>
      <c r="F317" s="9" t="s">
        <v>7057</v>
      </c>
      <c r="G317" s="9" t="str">
        <f ca="1">INDEX(DistrictEquipmentTypes.csv!F:F,RANDBETWEEN(2,COUNTA(DistrictEquipmentTypes.csv!D:D)),1)</f>
        <v>200001</v>
      </c>
      <c r="H317" s="8" t="str">
        <f t="shared" ca="1" si="30"/>
        <v>rg:{ 'id': '200001'}</v>
      </c>
      <c r="I317" s="8">
        <f t="shared" ca="1" si="31"/>
        <v>1</v>
      </c>
      <c r="J317" s="8">
        <f t="shared" ca="1" si="32"/>
        <v>40</v>
      </c>
      <c r="K317" s="8" t="str">
        <f t="shared" ca="1" si="33"/>
        <v>2017-04-09</v>
      </c>
      <c r="L317" s="8" t="str">
        <f t="shared" ca="1" si="34"/>
        <v>2017-04-14</v>
      </c>
    </row>
    <row r="318" spans="1:12" x14ac:dyDescent="0.3">
      <c r="A318" s="8" t="s">
        <v>5668</v>
      </c>
      <c r="B318" s="8">
        <f t="shared" si="28"/>
        <v>600316</v>
      </c>
      <c r="C318" s="1" t="s">
        <v>7051</v>
      </c>
      <c r="D318" s="9">
        <f ca="1">VLOOKUP(C318,Project.csv!E:Q,13,FALSE)</f>
        <v>200068</v>
      </c>
      <c r="E318" s="8" t="str">
        <f t="shared" ca="1" si="29"/>
        <v>rg:{'id':'200068'}</v>
      </c>
      <c r="F318" s="9" t="s">
        <v>7057</v>
      </c>
      <c r="G318" s="9" t="str">
        <f ca="1">INDEX(DistrictEquipmentTypes.csv!F:F,RANDBETWEEN(2,COUNTA(DistrictEquipmentTypes.csv!D:D)),1)</f>
        <v>200009</v>
      </c>
      <c r="H318" s="8" t="str">
        <f t="shared" ca="1" si="30"/>
        <v>rg:{ 'id': '200009'}</v>
      </c>
      <c r="I318" s="8">
        <f t="shared" ca="1" si="31"/>
        <v>2</v>
      </c>
      <c r="J318" s="8">
        <f t="shared" ca="1" si="32"/>
        <v>92</v>
      </c>
      <c r="K318" s="8" t="str">
        <f t="shared" ca="1" si="33"/>
        <v>2017-05-05</v>
      </c>
      <c r="L318" s="8" t="str">
        <f t="shared" ca="1" si="34"/>
        <v>2017-05-28</v>
      </c>
    </row>
    <row r="319" spans="1:12" x14ac:dyDescent="0.3">
      <c r="A319" s="8" t="s">
        <v>5668</v>
      </c>
      <c r="B319" s="8">
        <f t="shared" si="28"/>
        <v>600317</v>
      </c>
      <c r="C319" s="1" t="s">
        <v>7052</v>
      </c>
      <c r="D319" s="9">
        <f ca="1">VLOOKUP(C319,Project.csv!E:Q,13,FALSE)</f>
        <v>200047</v>
      </c>
      <c r="E319" s="8" t="str">
        <f t="shared" ca="1" si="29"/>
        <v>rg:{'id':'200047'}</v>
      </c>
      <c r="F319" s="9" t="s">
        <v>7057</v>
      </c>
      <c r="G319" s="9" t="str">
        <f ca="1">INDEX(DistrictEquipmentTypes.csv!F:F,RANDBETWEEN(2,COUNTA(DistrictEquipmentTypes.csv!D:D)),1)</f>
        <v>200009</v>
      </c>
      <c r="H319" s="8" t="str">
        <f t="shared" ca="1" si="30"/>
        <v>rg:{ 'id': '200009'}</v>
      </c>
      <c r="I319" s="8">
        <f t="shared" ca="1" si="31"/>
        <v>1</v>
      </c>
      <c r="J319" s="8">
        <f t="shared" ca="1" si="32"/>
        <v>86</v>
      </c>
      <c r="K319" s="8" t="str">
        <f t="shared" ca="1" si="33"/>
        <v>2017-05-04</v>
      </c>
      <c r="L319" s="8" t="str">
        <f t="shared" ca="1" si="34"/>
        <v>2017-05-14</v>
      </c>
    </row>
    <row r="320" spans="1:12" x14ac:dyDescent="0.3">
      <c r="A320" s="8" t="s">
        <v>5668</v>
      </c>
      <c r="B320" s="8">
        <f t="shared" si="28"/>
        <v>600318</v>
      </c>
      <c r="C320" s="1" t="s">
        <v>7053</v>
      </c>
      <c r="D320" s="9">
        <f ca="1">VLOOKUP(C320,Project.csv!E:Q,13,FALSE)</f>
        <v>200025</v>
      </c>
      <c r="E320" s="8" t="str">
        <f t="shared" ca="1" si="29"/>
        <v>rg:{'id':'200025'}</v>
      </c>
      <c r="F320" s="9" t="s">
        <v>7057</v>
      </c>
      <c r="G320" s="9" t="str">
        <f ca="1">INDEX(DistrictEquipmentTypes.csv!F:F,RANDBETWEEN(2,COUNTA(DistrictEquipmentTypes.csv!D:D)),1)</f>
        <v>200001</v>
      </c>
      <c r="H320" s="8" t="str">
        <f t="shared" ca="1" si="30"/>
        <v>rg:{ 'id': '200001'}</v>
      </c>
      <c r="I320" s="8">
        <f t="shared" ca="1" si="31"/>
        <v>3</v>
      </c>
      <c r="J320" s="8">
        <f t="shared" ca="1" si="32"/>
        <v>53</v>
      </c>
      <c r="K320" s="8" t="str">
        <f t="shared" ca="1" si="33"/>
        <v>2017-03-23</v>
      </c>
      <c r="L320" s="8" t="str">
        <f t="shared" ca="1" si="34"/>
        <v>2017-04-11</v>
      </c>
    </row>
    <row r="321" spans="1:12" x14ac:dyDescent="0.3">
      <c r="A321" s="8" t="s">
        <v>5668</v>
      </c>
      <c r="B321" s="8">
        <f t="shared" si="28"/>
        <v>600319</v>
      </c>
      <c r="C321" s="1" t="s">
        <v>7054</v>
      </c>
      <c r="D321" s="9">
        <f ca="1">VLOOKUP(C321,Project.csv!E:Q,13,FALSE)</f>
        <v>200076</v>
      </c>
      <c r="E321" s="8" t="str">
        <f t="shared" ca="1" si="29"/>
        <v>rg:{'id':'200076'}</v>
      </c>
      <c r="F321" s="9" t="s">
        <v>7057</v>
      </c>
      <c r="G321" s="9" t="str">
        <f ca="1">INDEX(DistrictEquipmentTypes.csv!F:F,RANDBETWEEN(2,COUNTA(DistrictEquipmentTypes.csv!D:D)),1)</f>
        <v>200003</v>
      </c>
      <c r="H321" s="8" t="str">
        <f t="shared" ca="1" si="30"/>
        <v>rg:{ 'id': '200003'}</v>
      </c>
      <c r="I321" s="8">
        <f t="shared" ca="1" si="31"/>
        <v>3</v>
      </c>
      <c r="J321" s="8">
        <f t="shared" ca="1" si="32"/>
        <v>50</v>
      </c>
      <c r="K321" s="8" t="str">
        <f t="shared" ca="1" si="33"/>
        <v>2017-05-15</v>
      </c>
      <c r="L321" s="8" t="str">
        <f t="shared" ca="1" si="34"/>
        <v>2017-06-02</v>
      </c>
    </row>
    <row r="322" spans="1:12" x14ac:dyDescent="0.3">
      <c r="A322" s="8" t="s">
        <v>5668</v>
      </c>
      <c r="B322" s="8">
        <f t="shared" si="28"/>
        <v>600320</v>
      </c>
      <c r="C322" s="1" t="s">
        <v>7055</v>
      </c>
      <c r="D322" s="9">
        <f ca="1">VLOOKUP(C322,Project.csv!E:Q,13,FALSE)</f>
        <v>200018</v>
      </c>
      <c r="E322" s="8" t="str">
        <f t="shared" ca="1" si="29"/>
        <v>rg:{'id':'200018'}</v>
      </c>
      <c r="F322" s="9" t="s">
        <v>7057</v>
      </c>
      <c r="G322" s="9" t="str">
        <f ca="1">INDEX(DistrictEquipmentTypes.csv!F:F,RANDBETWEEN(2,COUNTA(DistrictEquipmentTypes.csv!D:D)),1)</f>
        <v>200000</v>
      </c>
      <c r="H322" s="8" t="str">
        <f t="shared" ca="1" si="30"/>
        <v>rg:{ 'id': '200000'}</v>
      </c>
      <c r="I322" s="8">
        <f t="shared" ca="1" si="31"/>
        <v>1</v>
      </c>
      <c r="J322" s="8">
        <f t="shared" ca="1" si="32"/>
        <v>26</v>
      </c>
      <c r="K322" s="8" t="str">
        <f t="shared" ca="1" si="33"/>
        <v>2017-04-24</v>
      </c>
      <c r="L322" s="8" t="str">
        <f t="shared" ca="1" si="34"/>
        <v>2017-04-27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6930</v>
      </c>
      <c r="D323" s="9">
        <f ca="1">VLOOKUP(C323,Project.csv!E:Q,13,FALSE)</f>
        <v>200013</v>
      </c>
      <c r="E323" s="8" t="str">
        <f t="shared" ref="E323:E325" ca="1" si="36" xml:space="preserve"> "rg:{'id':'" &amp; D323 &amp; "'}"</f>
        <v>rg:{'id':'200013'}</v>
      </c>
      <c r="F323" s="9" t="s">
        <v>7057</v>
      </c>
      <c r="G323" s="9" t="str">
        <f ca="1">INDEX(DistrictEquipmentTypes.csv!F:F,RANDBETWEEN(2,COUNTA(DistrictEquipmentTypes.csv!D:D)),1)</f>
        <v>200007</v>
      </c>
      <c r="H323" s="8" t="str">
        <f t="shared" ref="H323:H325" ca="1" si="37">"rg:{ 'id': '"&amp;G323&amp;"'}"</f>
        <v>rg:{ 'id': '200007'}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76</v>
      </c>
      <c r="K323" s="8" t="str">
        <f t="shared" ref="K323:K325" ca="1" si="40">TEXT(TODAY()+RANDBETWEEN(1,56),"YYYY-MM-DD")</f>
        <v>2017-04-15</v>
      </c>
      <c r="L323" s="8" t="str">
        <f t="shared" ref="L323:L325" ca="1" si="41">TEXT(K323+(I323*J323)/8,"YYYY-MM-DD")</f>
        <v>2017-04-24</v>
      </c>
    </row>
    <row r="324" spans="1:12" x14ac:dyDescent="0.3">
      <c r="A324" s="8" t="s">
        <v>5668</v>
      </c>
      <c r="B324" s="8">
        <f t="shared" si="35"/>
        <v>600322</v>
      </c>
      <c r="C324" s="1" t="s">
        <v>7056</v>
      </c>
      <c r="D324" s="9">
        <f ca="1">VLOOKUP(C324,Project.csv!E:Q,13,FALSE)</f>
        <v>200007</v>
      </c>
      <c r="E324" s="8" t="str">
        <f t="shared" ca="1" si="36"/>
        <v>rg:{'id':'200007'}</v>
      </c>
      <c r="F324" s="9" t="s">
        <v>7057</v>
      </c>
      <c r="G324" s="9" t="str">
        <f ca="1">INDEX(DistrictEquipmentTypes.csv!F:F,RANDBETWEEN(2,COUNTA(DistrictEquipmentTypes.csv!D:D)),1)</f>
        <v>200009</v>
      </c>
      <c r="H324" s="8" t="str">
        <f t="shared" ca="1" si="37"/>
        <v>rg:{ 'id': '200009'}</v>
      </c>
      <c r="I324" s="8">
        <f t="shared" ca="1" si="38"/>
        <v>4</v>
      </c>
      <c r="J324" s="8">
        <f t="shared" ca="1" si="39"/>
        <v>18</v>
      </c>
      <c r="K324" s="8" t="str">
        <f t="shared" ca="1" si="40"/>
        <v>2017-04-05</v>
      </c>
      <c r="L324" s="8" t="str">
        <f t="shared" ca="1" si="41"/>
        <v>2017-04-14</v>
      </c>
    </row>
    <row r="325" spans="1:12" x14ac:dyDescent="0.3">
      <c r="A325" s="8" t="s">
        <v>5668</v>
      </c>
      <c r="B325" s="8">
        <f t="shared" si="35"/>
        <v>600323</v>
      </c>
      <c r="C325" s="1" t="s">
        <v>6894</v>
      </c>
      <c r="D325" s="9">
        <f ca="1">VLOOKUP(C325,Project.csv!E:Q,13,FALSE)</f>
        <v>200004</v>
      </c>
      <c r="E325" s="8" t="str">
        <f t="shared" ca="1" si="36"/>
        <v>rg:{'id':'200004'}</v>
      </c>
      <c r="F325" s="9" t="s">
        <v>7057</v>
      </c>
      <c r="G325" s="9" t="str">
        <f ca="1">INDEX(DistrictEquipmentTypes.csv!F:F,RANDBETWEEN(2,COUNTA(DistrictEquipmentTypes.csv!D:D)),1)</f>
        <v>200002</v>
      </c>
      <c r="H325" s="8" t="str">
        <f t="shared" ca="1" si="37"/>
        <v>rg:{ 'id': '200002'}</v>
      </c>
      <c r="I325" s="8">
        <f t="shared" ca="1" si="38"/>
        <v>2</v>
      </c>
      <c r="J325" s="8">
        <f t="shared" ca="1" si="39"/>
        <v>30</v>
      </c>
      <c r="K325" s="8" t="str">
        <f t="shared" ca="1" si="40"/>
        <v>2017-04-28</v>
      </c>
      <c r="L325" s="8" t="str">
        <f t="shared" ca="1" si="41"/>
        <v>2017-05-05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7890</v>
      </c>
      <c r="C1" t="s">
        <v>7777</v>
      </c>
      <c r="D1" t="s">
        <v>7778</v>
      </c>
      <c r="E1" t="s">
        <v>7779</v>
      </c>
      <c r="F1" t="s">
        <v>7780</v>
      </c>
      <c r="G1" t="s">
        <v>7781</v>
      </c>
    </row>
    <row r="2" spans="1:7" x14ac:dyDescent="0.3">
      <c r="A2" t="s">
        <v>7889</v>
      </c>
      <c r="B2" t="s">
        <v>7782</v>
      </c>
      <c r="C2" t="s">
        <v>7783</v>
      </c>
      <c r="D2">
        <v>2</v>
      </c>
      <c r="E2" t="s">
        <v>7784</v>
      </c>
      <c r="F2" t="s">
        <v>6663</v>
      </c>
    </row>
    <row r="3" spans="1:7" x14ac:dyDescent="0.3">
      <c r="A3" t="s">
        <v>7889</v>
      </c>
      <c r="B3" t="s">
        <v>7782</v>
      </c>
      <c r="C3" t="s">
        <v>76</v>
      </c>
      <c r="D3">
        <v>3</v>
      </c>
      <c r="E3" t="s">
        <v>7785</v>
      </c>
      <c r="F3" t="s">
        <v>6664</v>
      </c>
    </row>
    <row r="4" spans="1:7" x14ac:dyDescent="0.3">
      <c r="A4" t="s">
        <v>7889</v>
      </c>
      <c r="B4" t="s">
        <v>7782</v>
      </c>
      <c r="C4" t="s">
        <v>76</v>
      </c>
      <c r="D4">
        <v>1</v>
      </c>
      <c r="E4" t="s">
        <v>7786</v>
      </c>
      <c r="F4" t="s">
        <v>6665</v>
      </c>
    </row>
    <row r="5" spans="1:7" x14ac:dyDescent="0.3">
      <c r="A5" t="s">
        <v>7889</v>
      </c>
      <c r="B5" t="s">
        <v>7787</v>
      </c>
      <c r="C5" t="s">
        <v>7783</v>
      </c>
      <c r="D5">
        <v>2</v>
      </c>
      <c r="E5" t="s">
        <v>7784</v>
      </c>
      <c r="F5" t="s">
        <v>6663</v>
      </c>
    </row>
    <row r="6" spans="1:7" x14ac:dyDescent="0.3">
      <c r="A6" t="s">
        <v>7889</v>
      </c>
      <c r="B6" t="s">
        <v>7787</v>
      </c>
      <c r="C6" t="s">
        <v>76</v>
      </c>
      <c r="D6">
        <v>3</v>
      </c>
      <c r="E6" t="s">
        <v>7785</v>
      </c>
      <c r="F6" t="s">
        <v>6664</v>
      </c>
    </row>
    <row r="7" spans="1:7" x14ac:dyDescent="0.3">
      <c r="A7" t="s">
        <v>7889</v>
      </c>
      <c r="B7" t="s">
        <v>7787</v>
      </c>
      <c r="C7" t="s">
        <v>76</v>
      </c>
      <c r="D7">
        <v>1</v>
      </c>
      <c r="E7" t="s">
        <v>7786</v>
      </c>
      <c r="F7" t="s">
        <v>6665</v>
      </c>
    </row>
    <row r="8" spans="1:7" x14ac:dyDescent="0.3">
      <c r="A8" t="s">
        <v>7889</v>
      </c>
      <c r="B8" t="s">
        <v>7788</v>
      </c>
      <c r="C8" t="s">
        <v>7783</v>
      </c>
      <c r="D8">
        <v>1</v>
      </c>
      <c r="E8" t="s">
        <v>7789</v>
      </c>
      <c r="F8" t="s">
        <v>7790</v>
      </c>
    </row>
    <row r="9" spans="1:7" x14ac:dyDescent="0.3">
      <c r="A9" t="s">
        <v>7889</v>
      </c>
      <c r="B9" t="s">
        <v>7788</v>
      </c>
      <c r="C9" t="s">
        <v>76</v>
      </c>
      <c r="D9">
        <v>2</v>
      </c>
      <c r="E9" t="s">
        <v>7791</v>
      </c>
      <c r="F9" t="s">
        <v>7058</v>
      </c>
    </row>
    <row r="10" spans="1:7" x14ac:dyDescent="0.3">
      <c r="A10" t="s">
        <v>7889</v>
      </c>
      <c r="B10" t="s">
        <v>7788</v>
      </c>
      <c r="C10" t="s">
        <v>76</v>
      </c>
      <c r="D10">
        <v>3</v>
      </c>
      <c r="E10" t="s">
        <v>7792</v>
      </c>
      <c r="F10" t="s">
        <v>7059</v>
      </c>
    </row>
    <row r="11" spans="1:7" x14ac:dyDescent="0.3">
      <c r="A11" t="s">
        <v>7889</v>
      </c>
      <c r="B11" t="s">
        <v>7793</v>
      </c>
      <c r="C11" t="s">
        <v>7783</v>
      </c>
      <c r="D11">
        <v>1</v>
      </c>
      <c r="E11" t="s">
        <v>7794</v>
      </c>
      <c r="F11" t="s">
        <v>7795</v>
      </c>
    </row>
    <row r="12" spans="1:7" x14ac:dyDescent="0.3">
      <c r="A12" t="s">
        <v>7889</v>
      </c>
      <c r="B12" t="s">
        <v>7793</v>
      </c>
      <c r="C12" t="s">
        <v>76</v>
      </c>
      <c r="D12">
        <v>2</v>
      </c>
      <c r="E12" t="s">
        <v>5324</v>
      </c>
      <c r="F12" t="s">
        <v>7796</v>
      </c>
    </row>
    <row r="13" spans="1:7" x14ac:dyDescent="0.3">
      <c r="A13" t="s">
        <v>7889</v>
      </c>
      <c r="B13" t="s">
        <v>7797</v>
      </c>
      <c r="C13" t="s">
        <v>76</v>
      </c>
      <c r="D13">
        <v>1</v>
      </c>
      <c r="E13" t="s">
        <v>7798</v>
      </c>
      <c r="F13" t="s">
        <v>7798</v>
      </c>
      <c r="G13" t="s">
        <v>7799</v>
      </c>
    </row>
    <row r="14" spans="1:7" x14ac:dyDescent="0.3">
      <c r="A14" t="s">
        <v>7889</v>
      </c>
      <c r="B14" t="s">
        <v>7797</v>
      </c>
      <c r="C14" t="s">
        <v>76</v>
      </c>
      <c r="D14">
        <v>2</v>
      </c>
      <c r="E14" t="s">
        <v>7800</v>
      </c>
      <c r="F14" t="s">
        <v>7800</v>
      </c>
    </row>
    <row r="15" spans="1:7" x14ac:dyDescent="0.3">
      <c r="A15" t="s">
        <v>7889</v>
      </c>
      <c r="B15" t="s">
        <v>7797</v>
      </c>
      <c r="C15" t="s">
        <v>76</v>
      </c>
      <c r="D15">
        <v>3</v>
      </c>
      <c r="E15" t="s">
        <v>7801</v>
      </c>
      <c r="F15" t="s">
        <v>7801</v>
      </c>
    </row>
    <row r="16" spans="1:7" x14ac:dyDescent="0.3">
      <c r="A16" t="s">
        <v>7889</v>
      </c>
      <c r="B16" t="s">
        <v>7797</v>
      </c>
      <c r="C16" t="s">
        <v>76</v>
      </c>
      <c r="D16">
        <v>4</v>
      </c>
      <c r="E16" t="s">
        <v>7802</v>
      </c>
      <c r="F16" t="s">
        <v>7803</v>
      </c>
    </row>
    <row r="17" spans="1:7" x14ac:dyDescent="0.3">
      <c r="A17" t="s">
        <v>7889</v>
      </c>
      <c r="B17" t="s">
        <v>7797</v>
      </c>
      <c r="C17" t="s">
        <v>76</v>
      </c>
      <c r="D17">
        <v>5</v>
      </c>
      <c r="E17" t="s">
        <v>7804</v>
      </c>
      <c r="F17" t="s">
        <v>7805</v>
      </c>
    </row>
    <row r="18" spans="1:7" x14ac:dyDescent="0.3">
      <c r="A18" t="s">
        <v>7889</v>
      </c>
      <c r="B18" t="s">
        <v>7797</v>
      </c>
      <c r="C18" t="s">
        <v>76</v>
      </c>
      <c r="D18">
        <v>6</v>
      </c>
      <c r="E18" t="s">
        <v>7806</v>
      </c>
      <c r="F18" t="s">
        <v>7807</v>
      </c>
    </row>
    <row r="19" spans="1:7" x14ac:dyDescent="0.3">
      <c r="A19" t="s">
        <v>7889</v>
      </c>
      <c r="B19" t="s">
        <v>7808</v>
      </c>
      <c r="C19" t="s">
        <v>7783</v>
      </c>
      <c r="D19">
        <v>1</v>
      </c>
      <c r="E19" t="s">
        <v>7809</v>
      </c>
      <c r="F19" t="s">
        <v>7810</v>
      </c>
      <c r="G19" t="s">
        <v>7799</v>
      </c>
    </row>
    <row r="20" spans="1:7" x14ac:dyDescent="0.3">
      <c r="A20" t="s">
        <v>7889</v>
      </c>
      <c r="B20" t="s">
        <v>7808</v>
      </c>
      <c r="C20" t="s">
        <v>76</v>
      </c>
      <c r="D20">
        <v>2</v>
      </c>
      <c r="E20" t="s">
        <v>7892</v>
      </c>
      <c r="F20" t="s">
        <v>7891</v>
      </c>
    </row>
    <row r="21" spans="1:7" x14ac:dyDescent="0.3">
      <c r="A21" t="s">
        <v>7889</v>
      </c>
      <c r="B21" t="s">
        <v>7808</v>
      </c>
      <c r="C21" t="s">
        <v>76</v>
      </c>
      <c r="D21">
        <v>3</v>
      </c>
      <c r="E21" t="s">
        <v>7811</v>
      </c>
      <c r="F21" t="s">
        <v>7812</v>
      </c>
    </row>
    <row r="22" spans="1:7" x14ac:dyDescent="0.3">
      <c r="A22" t="s">
        <v>7889</v>
      </c>
      <c r="B22" t="s">
        <v>7808</v>
      </c>
      <c r="C22" t="s">
        <v>76</v>
      </c>
      <c r="D22">
        <v>4</v>
      </c>
      <c r="E22" t="s">
        <v>5324</v>
      </c>
      <c r="F22" t="s">
        <v>7813</v>
      </c>
    </row>
    <row r="23" spans="1:7" x14ac:dyDescent="0.3">
      <c r="A23" t="s">
        <v>7889</v>
      </c>
      <c r="B23" t="s">
        <v>7814</v>
      </c>
      <c r="C23" t="s">
        <v>7783</v>
      </c>
      <c r="D23">
        <v>1</v>
      </c>
      <c r="E23" t="s">
        <v>7789</v>
      </c>
      <c r="F23" t="s">
        <v>7790</v>
      </c>
    </row>
    <row r="24" spans="1:7" x14ac:dyDescent="0.3">
      <c r="A24" t="s">
        <v>7889</v>
      </c>
      <c r="B24" t="s">
        <v>7814</v>
      </c>
      <c r="C24" t="s">
        <v>76</v>
      </c>
      <c r="D24">
        <v>2</v>
      </c>
      <c r="E24" t="s">
        <v>7791</v>
      </c>
      <c r="F24" t="s">
        <v>7058</v>
      </c>
    </row>
    <row r="25" spans="1:7" x14ac:dyDescent="0.3">
      <c r="A25" t="s">
        <v>7889</v>
      </c>
      <c r="B25" t="s">
        <v>7814</v>
      </c>
      <c r="C25" t="s">
        <v>76</v>
      </c>
      <c r="D25">
        <v>3</v>
      </c>
      <c r="E25" t="s">
        <v>7792</v>
      </c>
      <c r="F25" t="s">
        <v>7059</v>
      </c>
    </row>
    <row r="26" spans="1:7" x14ac:dyDescent="0.3">
      <c r="A26" t="s">
        <v>7889</v>
      </c>
      <c r="B26" t="s">
        <v>7815</v>
      </c>
      <c r="C26" t="s">
        <v>7783</v>
      </c>
      <c r="D26">
        <v>1</v>
      </c>
      <c r="E26" t="s">
        <v>7816</v>
      </c>
      <c r="F26" t="s">
        <v>7816</v>
      </c>
    </row>
    <row r="27" spans="1:7" x14ac:dyDescent="0.3">
      <c r="A27" t="s">
        <v>7889</v>
      </c>
      <c r="B27" t="s">
        <v>7815</v>
      </c>
      <c r="C27" t="s">
        <v>76</v>
      </c>
      <c r="D27">
        <v>2</v>
      </c>
      <c r="E27" t="s">
        <v>7791</v>
      </c>
      <c r="F27" t="s">
        <v>7058</v>
      </c>
    </row>
    <row r="28" spans="1:7" x14ac:dyDescent="0.3">
      <c r="A28" t="s">
        <v>7889</v>
      </c>
      <c r="B28" t="s">
        <v>7817</v>
      </c>
      <c r="C28" t="s">
        <v>76</v>
      </c>
      <c r="D28">
        <v>1</v>
      </c>
      <c r="E28" t="s">
        <v>7818</v>
      </c>
      <c r="F28" t="s">
        <v>7819</v>
      </c>
    </row>
    <row r="29" spans="1:7" x14ac:dyDescent="0.3">
      <c r="A29" t="s">
        <v>7889</v>
      </c>
      <c r="B29" t="s">
        <v>7817</v>
      </c>
      <c r="C29" t="s">
        <v>76</v>
      </c>
      <c r="D29">
        <v>2</v>
      </c>
      <c r="E29" t="s">
        <v>7820</v>
      </c>
      <c r="F29" t="s">
        <v>7821</v>
      </c>
    </row>
    <row r="30" spans="1:7" x14ac:dyDescent="0.3">
      <c r="A30" t="s">
        <v>7889</v>
      </c>
      <c r="B30" t="s">
        <v>7817</v>
      </c>
      <c r="C30" t="s">
        <v>76</v>
      </c>
      <c r="D30">
        <v>3</v>
      </c>
      <c r="E30" t="s">
        <v>7822</v>
      </c>
      <c r="F30" t="s">
        <v>7823</v>
      </c>
    </row>
    <row r="31" spans="1:7" x14ac:dyDescent="0.3">
      <c r="A31" t="s">
        <v>7889</v>
      </c>
      <c r="B31" t="s">
        <v>5672</v>
      </c>
      <c r="C31" t="s">
        <v>76</v>
      </c>
      <c r="D31">
        <v>1</v>
      </c>
      <c r="E31" t="s">
        <v>7824</v>
      </c>
      <c r="F31" t="s">
        <v>7825</v>
      </c>
    </row>
    <row r="32" spans="1:7" x14ac:dyDescent="0.3">
      <c r="A32" t="s">
        <v>7889</v>
      </c>
      <c r="B32" t="s">
        <v>5672</v>
      </c>
      <c r="C32" t="s">
        <v>76</v>
      </c>
      <c r="D32">
        <v>2</v>
      </c>
      <c r="E32" t="s">
        <v>7826</v>
      </c>
      <c r="F32" t="s">
        <v>7827</v>
      </c>
    </row>
    <row r="33" spans="1:6" x14ac:dyDescent="0.3">
      <c r="A33" t="s">
        <v>7889</v>
      </c>
      <c r="B33" t="s">
        <v>5672</v>
      </c>
      <c r="C33" t="s">
        <v>76</v>
      </c>
      <c r="D33">
        <v>3</v>
      </c>
      <c r="E33" t="s">
        <v>7828</v>
      </c>
      <c r="F33" t="s">
        <v>7829</v>
      </c>
    </row>
    <row r="34" spans="1:6" x14ac:dyDescent="0.3">
      <c r="A34" t="s">
        <v>7889</v>
      </c>
      <c r="B34" t="s">
        <v>5672</v>
      </c>
      <c r="C34" t="s">
        <v>76</v>
      </c>
      <c r="D34">
        <v>4</v>
      </c>
      <c r="E34" t="s">
        <v>7830</v>
      </c>
      <c r="F34" t="s">
        <v>7831</v>
      </c>
    </row>
    <row r="35" spans="1:6" x14ac:dyDescent="0.3">
      <c r="A35" t="s">
        <v>7889</v>
      </c>
      <c r="B35" t="s">
        <v>5672</v>
      </c>
      <c r="C35" t="s">
        <v>76</v>
      </c>
      <c r="D35">
        <v>5</v>
      </c>
      <c r="E35" t="s">
        <v>7832</v>
      </c>
      <c r="F35" t="s">
        <v>7833</v>
      </c>
    </row>
    <row r="36" spans="1:6" x14ac:dyDescent="0.3">
      <c r="A36" t="s">
        <v>7889</v>
      </c>
      <c r="B36" t="s">
        <v>7834</v>
      </c>
      <c r="C36" t="s">
        <v>76</v>
      </c>
      <c r="E36" t="s">
        <v>7835</v>
      </c>
      <c r="F36" t="s">
        <v>7836</v>
      </c>
    </row>
    <row r="37" spans="1:6" x14ac:dyDescent="0.3">
      <c r="A37" t="s">
        <v>7889</v>
      </c>
      <c r="B37" t="s">
        <v>7834</v>
      </c>
      <c r="C37" t="s">
        <v>76</v>
      </c>
      <c r="E37" t="s">
        <v>7837</v>
      </c>
      <c r="F37" t="s">
        <v>7838</v>
      </c>
    </row>
    <row r="38" spans="1:6" x14ac:dyDescent="0.3">
      <c r="A38" t="s">
        <v>7889</v>
      </c>
      <c r="B38" t="s">
        <v>7834</v>
      </c>
      <c r="C38" t="s">
        <v>76</v>
      </c>
      <c r="E38" t="s">
        <v>7839</v>
      </c>
      <c r="F38" t="s">
        <v>7840</v>
      </c>
    </row>
    <row r="39" spans="1:6" x14ac:dyDescent="0.3">
      <c r="A39" t="s">
        <v>7889</v>
      </c>
      <c r="B39" t="s">
        <v>7834</v>
      </c>
      <c r="C39" t="s">
        <v>76</v>
      </c>
      <c r="E39" t="s">
        <v>7841</v>
      </c>
      <c r="F39" t="s">
        <v>7842</v>
      </c>
    </row>
    <row r="40" spans="1:6" x14ac:dyDescent="0.3">
      <c r="A40" t="s">
        <v>7889</v>
      </c>
      <c r="B40" t="s">
        <v>7834</v>
      </c>
      <c r="C40" t="s">
        <v>76</v>
      </c>
      <c r="E40" t="s">
        <v>7843</v>
      </c>
      <c r="F40" t="s">
        <v>7844</v>
      </c>
    </row>
    <row r="41" spans="1:6" x14ac:dyDescent="0.3">
      <c r="A41" t="s">
        <v>7889</v>
      </c>
      <c r="B41" t="s">
        <v>7834</v>
      </c>
      <c r="C41" t="s">
        <v>76</v>
      </c>
      <c r="E41" t="s">
        <v>7845</v>
      </c>
      <c r="F41" t="s">
        <v>7846</v>
      </c>
    </row>
    <row r="42" spans="1:6" x14ac:dyDescent="0.3">
      <c r="A42" t="s">
        <v>7889</v>
      </c>
      <c r="B42" t="s">
        <v>7834</v>
      </c>
      <c r="C42" t="s">
        <v>76</v>
      </c>
      <c r="E42" t="s">
        <v>2837</v>
      </c>
      <c r="F42" t="s">
        <v>7847</v>
      </c>
    </row>
    <row r="43" spans="1:6" x14ac:dyDescent="0.3">
      <c r="A43" t="s">
        <v>7889</v>
      </c>
      <c r="B43" t="s">
        <v>7834</v>
      </c>
      <c r="C43" t="s">
        <v>76</v>
      </c>
      <c r="E43" t="s">
        <v>7848</v>
      </c>
      <c r="F43" t="s">
        <v>7849</v>
      </c>
    </row>
    <row r="44" spans="1:6" x14ac:dyDescent="0.3">
      <c r="A44" t="s">
        <v>7889</v>
      </c>
      <c r="B44" t="s">
        <v>7850</v>
      </c>
      <c r="C44" t="s">
        <v>76</v>
      </c>
      <c r="E44" t="s">
        <v>7851</v>
      </c>
      <c r="F44" t="s">
        <v>7851</v>
      </c>
    </row>
    <row r="45" spans="1:6" x14ac:dyDescent="0.3">
      <c r="A45" t="s">
        <v>7889</v>
      </c>
      <c r="B45" t="s">
        <v>7850</v>
      </c>
      <c r="C45" t="s">
        <v>76</v>
      </c>
      <c r="E45" t="s">
        <v>7852</v>
      </c>
      <c r="F45" t="s">
        <v>7853</v>
      </c>
    </row>
    <row r="46" spans="1:6" x14ac:dyDescent="0.3">
      <c r="A46" t="s">
        <v>7889</v>
      </c>
      <c r="B46" t="s">
        <v>7850</v>
      </c>
      <c r="C46" t="s">
        <v>76</v>
      </c>
      <c r="E46" t="s">
        <v>7854</v>
      </c>
      <c r="F46" t="s">
        <v>7855</v>
      </c>
    </row>
    <row r="47" spans="1:6" x14ac:dyDescent="0.3">
      <c r="A47" t="s">
        <v>7889</v>
      </c>
      <c r="B47" t="s">
        <v>7850</v>
      </c>
      <c r="C47" t="s">
        <v>76</v>
      </c>
      <c r="E47" t="s">
        <v>7856</v>
      </c>
      <c r="F47" t="s">
        <v>7857</v>
      </c>
    </row>
    <row r="48" spans="1:6" x14ac:dyDescent="0.3">
      <c r="A48" t="s">
        <v>7889</v>
      </c>
      <c r="B48" t="s">
        <v>7858</v>
      </c>
      <c r="C48" t="s">
        <v>76</v>
      </c>
      <c r="E48" t="s">
        <v>7851</v>
      </c>
      <c r="F48" t="s">
        <v>7851</v>
      </c>
    </row>
    <row r="49" spans="1:6" x14ac:dyDescent="0.3">
      <c r="A49" t="s">
        <v>7889</v>
      </c>
      <c r="B49" t="s">
        <v>7859</v>
      </c>
      <c r="C49" t="s">
        <v>76</v>
      </c>
      <c r="E49" t="s">
        <v>7860</v>
      </c>
      <c r="F49" t="s">
        <v>7861</v>
      </c>
    </row>
    <row r="50" spans="1:6" x14ac:dyDescent="0.3">
      <c r="A50" t="s">
        <v>7889</v>
      </c>
      <c r="B50" t="s">
        <v>7859</v>
      </c>
      <c r="C50" t="s">
        <v>76</v>
      </c>
      <c r="E50" t="s">
        <v>7862</v>
      </c>
      <c r="F50" t="s">
        <v>7863</v>
      </c>
    </row>
    <row r="51" spans="1:6" x14ac:dyDescent="0.3">
      <c r="A51" t="s">
        <v>7889</v>
      </c>
      <c r="B51" t="s">
        <v>7864</v>
      </c>
      <c r="C51" t="s">
        <v>76</v>
      </c>
      <c r="E51" t="s">
        <v>7865</v>
      </c>
      <c r="F51" t="s">
        <v>7865</v>
      </c>
    </row>
    <row r="52" spans="1:6" x14ac:dyDescent="0.3">
      <c r="A52" t="s">
        <v>7889</v>
      </c>
      <c r="B52" t="s">
        <v>7864</v>
      </c>
      <c r="C52" t="s">
        <v>76</v>
      </c>
      <c r="E52" t="s">
        <v>7854</v>
      </c>
      <c r="F52" t="s">
        <v>7855</v>
      </c>
    </row>
    <row r="53" spans="1:6" x14ac:dyDescent="0.3">
      <c r="A53" t="s">
        <v>7889</v>
      </c>
      <c r="B53" t="s">
        <v>7866</v>
      </c>
      <c r="C53" t="s">
        <v>76</v>
      </c>
      <c r="E53" t="s">
        <v>7867</v>
      </c>
      <c r="F53" t="s">
        <v>7868</v>
      </c>
    </row>
    <row r="54" spans="1:6" x14ac:dyDescent="0.3">
      <c r="A54" t="s">
        <v>7889</v>
      </c>
      <c r="B54" t="s">
        <v>7866</v>
      </c>
      <c r="C54" t="s">
        <v>76</v>
      </c>
      <c r="E54" t="s">
        <v>7869</v>
      </c>
      <c r="F54" t="s">
        <v>7869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M8" sqref="M8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7870</v>
      </c>
      <c r="E1" t="s">
        <v>7871</v>
      </c>
      <c r="F1" t="s">
        <v>7872</v>
      </c>
      <c r="G1" t="s">
        <v>7873</v>
      </c>
      <c r="H1" t="s">
        <v>7874</v>
      </c>
      <c r="I1" t="s">
        <v>5638</v>
      </c>
      <c r="J1" t="s">
        <v>5639</v>
      </c>
      <c r="K1" t="s">
        <v>7876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7875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7875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7875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7875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7875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7875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7783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A2" sqref="A2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6938</v>
      </c>
      <c r="C1" t="s">
        <v>5644</v>
      </c>
      <c r="D1" t="s">
        <v>5325</v>
      </c>
      <c r="E1" t="s">
        <v>7880</v>
      </c>
      <c r="F1" t="s">
        <v>7877</v>
      </c>
      <c r="G1" t="s">
        <v>75</v>
      </c>
      <c r="H1" t="s">
        <v>7882</v>
      </c>
      <c r="I1" t="s">
        <v>7878</v>
      </c>
      <c r="J1" t="s">
        <v>7887</v>
      </c>
      <c r="K1" t="s">
        <v>7775</v>
      </c>
    </row>
    <row r="2" spans="1:11" x14ac:dyDescent="0.3">
      <c r="A2" t="s">
        <v>7879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VLOOKUP(E2,ServiceAreas.csv!B:I,8,FALSE)</f>
        <v>200009</v>
      </c>
      <c r="G2" t="str">
        <f>"rg:{ 'id': '"&amp;F2&amp;"'}"</f>
        <v>rg:{ 'id': '200009'}</v>
      </c>
      <c r="H2" t="s">
        <v>7884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7879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VLOOKUP(E3,ServiceAreas.csv!B:I,8,FALSE)</f>
        <v>200009</v>
      </c>
      <c r="G3" t="str">
        <f t="shared" ref="G3:G7" si="1">"rg:{ 'id': '"&amp;F3&amp;"'}"</f>
        <v>rg:{ 'id': '200009'}</v>
      </c>
      <c r="H3" t="s">
        <v>7884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7879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VLOOKUP(E4,ServiceAreas.csv!B:I,8,FALSE)</f>
        <v>200009</v>
      </c>
      <c r="G4" t="str">
        <f t="shared" si="1"/>
        <v>rg:{ 'id': '200009'}</v>
      </c>
      <c r="H4" t="s">
        <v>7884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7879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VLOOKUP(E5,ServiceAreas.csv!B:I,8,FALSE)</f>
        <v>200009</v>
      </c>
      <c r="G5" t="str">
        <f t="shared" si="1"/>
        <v>rg:{ 'id': '200009'}</v>
      </c>
      <c r="H5" t="s">
        <v>7884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7879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VLOOKUP(E6,ServiceAreas.csv!B:I,8,FALSE)</f>
        <v>200009</v>
      </c>
      <c r="G6" t="str">
        <f t="shared" si="1"/>
        <v>rg:{ 'id': '200009'}</v>
      </c>
      <c r="H6" t="s">
        <v>7884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7879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VLOOKUP(E7,ServiceAreas.csv!B:I,8,FALSE)</f>
        <v>200009</v>
      </c>
      <c r="G7" t="str">
        <f t="shared" si="1"/>
        <v>rg:{ 'id': '200009'}</v>
      </c>
      <c r="H7" t="s">
        <v>7884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7879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VLOOKUP(E8,ServiceAreas.csv!B:I,8,FALSE)</f>
        <v>200009</v>
      </c>
      <c r="G8" t="str">
        <f>"rg:{ 'id': '"&amp;F8&amp;"'}"</f>
        <v>rg:{ 'id': '200009'}</v>
      </c>
      <c r="H8" t="s">
        <v>7884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7879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VLOOKUP(E9,ServiceAreas.csv!B:I,8,FALSE)</f>
        <v>200006</v>
      </c>
      <c r="G9" t="str">
        <f>"rg:{ 'id': '"&amp;F9&amp;"'}"</f>
        <v>rg:{ 'id': '200006'}</v>
      </c>
      <c r="H9" t="s">
        <v>7884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7879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VLOOKUP(E10,ServiceAreas.csv!B:I,8,FALSE)</f>
        <v>200006</v>
      </c>
      <c r="G10" t="str">
        <f t="shared" ref="G10:G14" si="5">"rg:{ 'id': '"&amp;F10&amp;"'}"</f>
        <v>rg:{ 'id': '200006'}</v>
      </c>
      <c r="H10" t="s">
        <v>7884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7879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VLOOKUP(E11,ServiceAreas.csv!B:I,8,FALSE)</f>
        <v>200006</v>
      </c>
      <c r="G11" t="str">
        <f t="shared" si="5"/>
        <v>rg:{ 'id': '200006'}</v>
      </c>
      <c r="H11" t="s">
        <v>7884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7879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VLOOKUP(E12,ServiceAreas.csv!B:I,8,FALSE)</f>
        <v>200006</v>
      </c>
      <c r="G12" t="str">
        <f t="shared" si="5"/>
        <v>rg:{ 'id': '200006'}</v>
      </c>
      <c r="H12" t="s">
        <v>7884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7879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VLOOKUP(E13,ServiceAreas.csv!B:I,8,FALSE)</f>
        <v>200006</v>
      </c>
      <c r="G13" t="str">
        <f t="shared" si="5"/>
        <v>rg:{ 'id': '200006'}</v>
      </c>
      <c r="H13" t="s">
        <v>7884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7879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VLOOKUP(E14,ServiceAreas.csv!B:I,8,FALSE)</f>
        <v>200006</v>
      </c>
      <c r="G14" t="str">
        <f t="shared" si="5"/>
        <v>rg:{ 'id': '200006'}</v>
      </c>
      <c r="H14" t="s">
        <v>7884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7879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VLOOKUP(E15,ServiceAreas.csv!B:I,8,FALSE)</f>
        <v>200006</v>
      </c>
      <c r="G15" t="str">
        <f>"rg:{ 'id': '"&amp;F15&amp;"'}"</f>
        <v>rg:{ 'id': '200006'}</v>
      </c>
      <c r="H15" t="s">
        <v>7884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7879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VLOOKUP(E16,ServiceAreas.csv!B:I,8,FALSE)</f>
        <v>200006</v>
      </c>
      <c r="G16" t="str">
        <f>"rg:{ 'id': '"&amp;F16&amp;"'}"</f>
        <v>rg:{ 'id': '200006'}</v>
      </c>
      <c r="H16" t="s">
        <v>7883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7879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VLOOKUP(E17,ServiceAreas.csv!B:I,8,FALSE)</f>
        <v>200006</v>
      </c>
      <c r="G17" t="str">
        <f t="shared" ref="G17:G21" si="6">"rg:{ 'id': '"&amp;F17&amp;"'}"</f>
        <v>rg:{ 'id': '200006'}</v>
      </c>
      <c r="H17" t="s">
        <v>7883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7879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VLOOKUP(E18,ServiceAreas.csv!B:I,8,FALSE)</f>
        <v>200006</v>
      </c>
      <c r="G18" t="str">
        <f t="shared" si="6"/>
        <v>rg:{ 'id': '200006'}</v>
      </c>
      <c r="H18" t="s">
        <v>7883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7879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VLOOKUP(E19,ServiceAreas.csv!B:I,8,FALSE)</f>
        <v>200006</v>
      </c>
      <c r="G19" t="str">
        <f t="shared" si="6"/>
        <v>rg:{ 'id': '200006'}</v>
      </c>
      <c r="H19" t="s">
        <v>7883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7879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VLOOKUP(E20,ServiceAreas.csv!B:I,8,FALSE)</f>
        <v>200006</v>
      </c>
      <c r="G20" t="str">
        <f t="shared" si="6"/>
        <v>rg:{ 'id': '200006'}</v>
      </c>
      <c r="H20" t="s">
        <v>7883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7879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VLOOKUP(E21,ServiceAreas.csv!B:I,8,FALSE)</f>
        <v>200006</v>
      </c>
      <c r="G21" t="str">
        <f t="shared" si="6"/>
        <v>rg:{ 'id': '200006'}</v>
      </c>
      <c r="H21" t="s">
        <v>7883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7879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VLOOKUP(E22,ServiceAreas.csv!B:I,8,FALSE)</f>
        <v>200006</v>
      </c>
      <c r="G22" t="str">
        <f>"rg:{ 'id': '"&amp;F22&amp;"'}"</f>
        <v>rg:{ 'id': '200006'}</v>
      </c>
      <c r="H22" t="s">
        <v>7883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7879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VLOOKUP(E23,ServiceAreas.csv!B:I,8,FALSE)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7879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VLOOKUP(E24,ServiceAreas.csv!B:I,8,FALSE)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7879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VLOOKUP(E25,ServiceAreas.csv!B:I,8,FALSE)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7879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VLOOKUP(E26,ServiceAreas.csv!B:I,8,FALSE)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7879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VLOOKUP(E27,ServiceAreas.csv!B:I,8,FALSE)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7879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VLOOKUP(E28,ServiceAreas.csv!B:I,8,FALSE)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7879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VLOOKUP(E29,ServiceAreas.csv!B:I,8,FALSE)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7879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VLOOKUP(E30,ServiceAreas.csv!B:I,8,FALSE)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7879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VLOOKUP(E31,ServiceAreas.csv!B:I,8,FALSE)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7879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VLOOKUP(E32,ServiceAreas.csv!B:I,8,FALSE)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7879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VLOOKUP(E33,ServiceAreas.csv!B:I,8,FALSE)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7879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VLOOKUP(E34,ServiceAreas.csv!B:I,8,FALSE)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7879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VLOOKUP(E35,ServiceAreas.csv!B:I,8,FALSE)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7879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VLOOKUP(E36,ServiceAreas.csv!B:I,8,FALSE)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7879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VLOOKUP(E37,ServiceAreas.csv!B:I,8,FALSE)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7879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VLOOKUP(E38,ServiceAreas.csv!B:I,8,FALSE)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7879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VLOOKUP(E39,ServiceAreas.csv!B:I,8,FALSE)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7879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VLOOKUP(E40,ServiceAreas.csv!B:I,8,FALSE)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7879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VLOOKUP(E41,ServiceAreas.csv!B:I,8,FALSE)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7879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VLOOKUP(E42,ServiceAreas.csv!B:I,8,FALSE)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7879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VLOOKUP(E43,ServiceAreas.csv!B:I,8,FALSE)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7879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VLOOKUP(E44,ServiceAreas.csv!B:I,8,FALSE)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7879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VLOOKUP(E45,ServiceAreas.csv!B:I,8,FALSE)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7879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VLOOKUP(E46,ServiceAreas.csv!B:I,8,FALSE)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7879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VLOOKUP(E47,ServiceAreas.csv!B:I,8,FALSE)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7879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VLOOKUP(E48,ServiceAreas.csv!B:I,8,FALSE)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7879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VLOOKUP(E49,ServiceAreas.csv!B:I,8,FALSE)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7879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VLOOKUP(E50,ServiceAreas.csv!B:I,8,FALSE)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7879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VLOOKUP(E51,ServiceAreas.csv!B:I,8,FALSE)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7879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VLOOKUP(E52,ServiceAreas.csv!B:I,8,FALSE)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7879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VLOOKUP(E53,ServiceAreas.csv!B:I,8,FALSE)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7879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VLOOKUP(E54,ServiceAreas.csv!B:I,8,FALSE)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7879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VLOOKUP(E55,ServiceAreas.csv!B:I,8,FALSE)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7879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VLOOKUP(E56,ServiceAreas.csv!B:I,8,FALSE)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7879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VLOOKUP(E57,ServiceAreas.csv!B:I,8,FALSE)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7879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VLOOKUP(E58,ServiceAreas.csv!B:I,8,FALSE)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7879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VLOOKUP(E59,ServiceAreas.csv!B:I,8,FALSE)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7879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VLOOKUP(E60,ServiceAreas.csv!B:I,8,FALSE)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7879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VLOOKUP(E61,ServiceAreas.csv!B:I,8,FALSE)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7879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VLOOKUP(E62,ServiceAreas.csv!B:I,8,FALSE)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7879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VLOOKUP(E63,ServiceAreas.csv!B:I,8,FALSE)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7879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VLOOKUP(E64,ServiceAreas.csv!B:I,8,FALSE)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7879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VLOOKUP(E65,ServiceAreas.csv!B:I,8,FALSE)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7879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VLOOKUP(E66,ServiceAreas.csv!B:I,8,FALSE)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7879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VLOOKUP(E67,ServiceAreas.csv!B:I,8,FALSE)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7879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VLOOKUP(E68,ServiceAreas.csv!B:I,8,FALSE)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7879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VLOOKUP(E69,ServiceAreas.csv!B:I,8,FALSE)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7879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VLOOKUP(E70,ServiceAreas.csv!B:I,8,FALSE)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7879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VLOOKUP(E71,ServiceAreas.csv!B:I,8,FALSE)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7879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VLOOKUP(E72,ServiceAreas.csv!B:I,8,FALSE)</f>
        <v>200009</v>
      </c>
      <c r="G72" t="str">
        <f>"rg:{ 'id': '"&amp;F72&amp;"'}"</f>
        <v>rg:{ 'id': '200009'}</v>
      </c>
      <c r="H72" t="s">
        <v>7883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7879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VLOOKUP(E73,ServiceAreas.csv!B:I,8,FALSE)</f>
        <v>200009</v>
      </c>
      <c r="G73" t="str">
        <f t="shared" ref="G73:G77" si="19">"rg:{ 'id': '"&amp;F73&amp;"'}"</f>
        <v>rg:{ 'id': '200009'}</v>
      </c>
      <c r="H73" t="s">
        <v>7883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7879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VLOOKUP(E74,ServiceAreas.csv!B:I,8,FALSE)</f>
        <v>200009</v>
      </c>
      <c r="G74" t="str">
        <f t="shared" si="19"/>
        <v>rg:{ 'id': '200009'}</v>
      </c>
      <c r="H74" t="s">
        <v>7883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7879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VLOOKUP(E75,ServiceAreas.csv!B:I,8,FALSE)</f>
        <v>200009</v>
      </c>
      <c r="G75" t="str">
        <f t="shared" si="19"/>
        <v>rg:{ 'id': '200009'}</v>
      </c>
      <c r="H75" t="s">
        <v>7883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7879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VLOOKUP(E76,ServiceAreas.csv!B:I,8,FALSE)</f>
        <v>200009</v>
      </c>
      <c r="G76" t="str">
        <f t="shared" si="19"/>
        <v>rg:{ 'id': '200009'}</v>
      </c>
      <c r="H76" t="s">
        <v>7883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7879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VLOOKUP(E77,ServiceAreas.csv!B:I,8,FALSE)</f>
        <v>200009</v>
      </c>
      <c r="G77" t="str">
        <f t="shared" si="19"/>
        <v>rg:{ 'id': '200009'}</v>
      </c>
      <c r="H77" t="s">
        <v>7883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7879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VLOOKUP(E78,ServiceAreas.csv!B:I,8,FALSE)</f>
        <v>200009</v>
      </c>
      <c r="G78" t="str">
        <f>"rg:{ 'id': '"&amp;F78&amp;"'}"</f>
        <v>rg:{ 'id': '200009'}</v>
      </c>
      <c r="H78" t="s">
        <v>7883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45546456</v>
      </c>
      <c r="H2">
        <f ca="1">RANDBETWEEN(100,1000)</f>
        <v>864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19582522</v>
      </c>
      <c r="H3">
        <f t="shared" ref="H3:H11" ca="1" si="1">RANDBETWEEN(100,1000)</f>
        <v>954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27153005</v>
      </c>
      <c r="H4">
        <f t="shared" ca="1" si="1"/>
        <v>224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32273268</v>
      </c>
      <c r="H5">
        <f t="shared" ca="1" si="1"/>
        <v>337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36745137</v>
      </c>
      <c r="H6">
        <f t="shared" ca="1" si="1"/>
        <v>713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17149814</v>
      </c>
      <c r="H7">
        <f t="shared" ca="1" si="1"/>
        <v>106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10688326</v>
      </c>
      <c r="H8">
        <f t="shared" ca="1" si="1"/>
        <v>613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32678880</v>
      </c>
      <c r="H9">
        <f t="shared" ca="1" si="1"/>
        <v>571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43435281</v>
      </c>
      <c r="H10">
        <f t="shared" ca="1" si="1"/>
        <v>860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48455428</v>
      </c>
      <c r="H11">
        <f t="shared" ca="1" si="1"/>
        <v>522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EDW031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MCA047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CLO054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ARB024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ARG034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ASH081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FBA004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BIC043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BRA057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HEA014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1"/>
  <sheetViews>
    <sheetView workbookViewId="0">
      <selection activeCell="B15" sqref="B15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9" x14ac:dyDescent="0.3">
      <c r="A1" t="s">
        <v>68</v>
      </c>
      <c r="B1" t="s">
        <v>5326</v>
      </c>
      <c r="C1" t="s">
        <v>75</v>
      </c>
      <c r="D1" t="s">
        <v>5666</v>
      </c>
      <c r="E1" t="s">
        <v>73</v>
      </c>
      <c r="F1" t="s">
        <v>70</v>
      </c>
      <c r="G1" t="s">
        <v>71</v>
      </c>
      <c r="H1" t="s">
        <v>5325</v>
      </c>
      <c r="I1" t="s">
        <v>7881</v>
      </c>
    </row>
    <row r="2" spans="1:9" x14ac:dyDescent="0.3">
      <c r="A2" t="s">
        <v>74</v>
      </c>
      <c r="B2" t="s">
        <v>2951</v>
      </c>
      <c r="C2" t="s">
        <v>6514</v>
      </c>
      <c r="D2">
        <v>1</v>
      </c>
      <c r="E2" t="s">
        <v>2923</v>
      </c>
      <c r="F2" s="2" t="s">
        <v>6512</v>
      </c>
      <c r="G2" t="s">
        <v>76</v>
      </c>
      <c r="H2" s="3">
        <v>200000</v>
      </c>
      <c r="I2" t="str">
        <f>MID(C2,13,6)</f>
        <v>200001</v>
      </c>
    </row>
    <row r="3" spans="1:9" x14ac:dyDescent="0.3">
      <c r="A3" t="s">
        <v>74</v>
      </c>
      <c r="B3" t="s">
        <v>2951</v>
      </c>
      <c r="C3" t="s">
        <v>6514</v>
      </c>
      <c r="D3">
        <v>2</v>
      </c>
      <c r="E3" t="s">
        <v>2924</v>
      </c>
      <c r="F3" s="2" t="s">
        <v>6512</v>
      </c>
      <c r="G3" t="s">
        <v>76</v>
      </c>
      <c r="H3" s="3">
        <v>200001</v>
      </c>
      <c r="I3" t="str">
        <f t="shared" ref="I3:I31" si="0">MID(C3,13,6)</f>
        <v>200001</v>
      </c>
    </row>
    <row r="4" spans="1:9" x14ac:dyDescent="0.3">
      <c r="A4" t="s">
        <v>74</v>
      </c>
      <c r="B4" t="s">
        <v>2951</v>
      </c>
      <c r="C4" t="s">
        <v>6514</v>
      </c>
      <c r="D4">
        <v>3</v>
      </c>
      <c r="E4" t="s">
        <v>2925</v>
      </c>
      <c r="F4" s="2" t="s">
        <v>6512</v>
      </c>
      <c r="G4" t="s">
        <v>76</v>
      </c>
      <c r="H4" s="3">
        <v>200002</v>
      </c>
      <c r="I4" t="str">
        <f t="shared" si="0"/>
        <v>200001</v>
      </c>
    </row>
    <row r="5" spans="1:9" x14ac:dyDescent="0.3">
      <c r="A5" t="s">
        <v>74</v>
      </c>
      <c r="B5" t="s">
        <v>2928</v>
      </c>
      <c r="C5" t="s">
        <v>6533</v>
      </c>
      <c r="D5">
        <v>4</v>
      </c>
      <c r="E5" t="s">
        <v>2926</v>
      </c>
      <c r="F5" s="2" t="s">
        <v>6512</v>
      </c>
      <c r="G5" t="s">
        <v>76</v>
      </c>
      <c r="H5" s="3">
        <v>200003</v>
      </c>
      <c r="I5" t="str">
        <f t="shared" si="0"/>
        <v>200000</v>
      </c>
    </row>
    <row r="6" spans="1:9" x14ac:dyDescent="0.3">
      <c r="A6" t="s">
        <v>74</v>
      </c>
      <c r="B6" t="s">
        <v>2928</v>
      </c>
      <c r="C6" t="s">
        <v>6533</v>
      </c>
      <c r="D6">
        <v>5</v>
      </c>
      <c r="E6" t="s">
        <v>2927</v>
      </c>
      <c r="F6" s="2" t="s">
        <v>6512</v>
      </c>
      <c r="G6" t="s">
        <v>76</v>
      </c>
      <c r="H6" s="3">
        <v>200004</v>
      </c>
      <c r="I6" t="str">
        <f t="shared" si="0"/>
        <v>200000</v>
      </c>
    </row>
    <row r="7" spans="1:9" x14ac:dyDescent="0.3">
      <c r="A7" t="s">
        <v>74</v>
      </c>
      <c r="B7" t="s">
        <v>2928</v>
      </c>
      <c r="C7" t="s">
        <v>6533</v>
      </c>
      <c r="D7">
        <v>6</v>
      </c>
      <c r="E7" t="s">
        <v>2928</v>
      </c>
      <c r="F7" s="2" t="s">
        <v>6512</v>
      </c>
      <c r="G7" t="s">
        <v>76</v>
      </c>
      <c r="H7" s="3">
        <v>200005</v>
      </c>
      <c r="I7" t="str">
        <f t="shared" si="0"/>
        <v>200000</v>
      </c>
    </row>
    <row r="8" spans="1:9" x14ac:dyDescent="0.3">
      <c r="A8" t="s">
        <v>74</v>
      </c>
      <c r="B8" t="s">
        <v>2928</v>
      </c>
      <c r="C8" t="s">
        <v>6533</v>
      </c>
      <c r="D8">
        <v>7</v>
      </c>
      <c r="E8" t="s">
        <v>10</v>
      </c>
      <c r="F8" s="2" t="s">
        <v>6512</v>
      </c>
      <c r="G8" t="s">
        <v>76</v>
      </c>
      <c r="H8" s="3">
        <v>200006</v>
      </c>
      <c r="I8" t="str">
        <f t="shared" si="0"/>
        <v>200000</v>
      </c>
    </row>
    <row r="9" spans="1:9" x14ac:dyDescent="0.3">
      <c r="A9" t="s">
        <v>74</v>
      </c>
      <c r="B9" t="s">
        <v>2953</v>
      </c>
      <c r="C9" t="s">
        <v>6537</v>
      </c>
      <c r="D9">
        <v>8</v>
      </c>
      <c r="E9" t="s">
        <v>2929</v>
      </c>
      <c r="F9" s="2" t="s">
        <v>6512</v>
      </c>
      <c r="G9" t="s">
        <v>76</v>
      </c>
      <c r="H9" s="3">
        <v>200007</v>
      </c>
      <c r="I9" t="str">
        <f t="shared" si="0"/>
        <v>200004</v>
      </c>
    </row>
    <row r="10" spans="1:9" x14ac:dyDescent="0.3">
      <c r="A10" t="s">
        <v>74</v>
      </c>
      <c r="B10" t="s">
        <v>22</v>
      </c>
      <c r="C10" t="s">
        <v>6541</v>
      </c>
      <c r="D10">
        <v>9</v>
      </c>
      <c r="E10" t="s">
        <v>2930</v>
      </c>
      <c r="F10" s="2" t="s">
        <v>6512</v>
      </c>
      <c r="G10" t="s">
        <v>76</v>
      </c>
      <c r="H10" s="3">
        <v>200008</v>
      </c>
      <c r="I10" t="str">
        <f t="shared" si="0"/>
        <v>200003</v>
      </c>
    </row>
    <row r="11" spans="1:9" x14ac:dyDescent="0.3">
      <c r="A11" t="s">
        <v>74</v>
      </c>
      <c r="B11" t="s">
        <v>22</v>
      </c>
      <c r="C11" t="s">
        <v>6541</v>
      </c>
      <c r="D11">
        <v>10</v>
      </c>
      <c r="E11" t="s">
        <v>2931</v>
      </c>
      <c r="F11" s="2" t="s">
        <v>6512</v>
      </c>
      <c r="G11" t="s">
        <v>76</v>
      </c>
      <c r="H11" s="3">
        <v>200009</v>
      </c>
      <c r="I11" t="str">
        <f t="shared" si="0"/>
        <v>200003</v>
      </c>
    </row>
    <row r="12" spans="1:9" x14ac:dyDescent="0.3">
      <c r="A12" t="s">
        <v>74</v>
      </c>
      <c r="B12" t="s">
        <v>2952</v>
      </c>
      <c r="C12" t="s">
        <v>6526</v>
      </c>
      <c r="D12">
        <v>11</v>
      </c>
      <c r="E12" t="s">
        <v>13</v>
      </c>
      <c r="F12" s="2" t="s">
        <v>6512</v>
      </c>
      <c r="G12" t="s">
        <v>76</v>
      </c>
      <c r="H12" s="3">
        <v>200010</v>
      </c>
      <c r="I12" t="str">
        <f t="shared" si="0"/>
        <v>200002</v>
      </c>
    </row>
    <row r="13" spans="1:9" x14ac:dyDescent="0.3">
      <c r="A13" t="s">
        <v>74</v>
      </c>
      <c r="B13" t="s">
        <v>2952</v>
      </c>
      <c r="C13" t="s">
        <v>6526</v>
      </c>
      <c r="D13">
        <v>12</v>
      </c>
      <c r="E13" t="s">
        <v>2932</v>
      </c>
      <c r="F13" s="2" t="s">
        <v>6512</v>
      </c>
      <c r="G13" t="s">
        <v>76</v>
      </c>
      <c r="H13" s="3">
        <v>200011</v>
      </c>
      <c r="I13" t="str">
        <f t="shared" si="0"/>
        <v>200002</v>
      </c>
    </row>
    <row r="14" spans="1:9" x14ac:dyDescent="0.3">
      <c r="A14" t="s">
        <v>74</v>
      </c>
      <c r="B14" t="s">
        <v>2953</v>
      </c>
      <c r="C14" t="s">
        <v>6537</v>
      </c>
      <c r="D14">
        <v>13</v>
      </c>
      <c r="E14" t="s">
        <v>2933</v>
      </c>
      <c r="F14" s="2" t="s">
        <v>6512</v>
      </c>
      <c r="G14" t="s">
        <v>76</v>
      </c>
      <c r="H14" s="3">
        <v>200012</v>
      </c>
      <c r="I14" t="str">
        <f t="shared" si="0"/>
        <v>200004</v>
      </c>
    </row>
    <row r="15" spans="1:9" x14ac:dyDescent="0.3">
      <c r="A15" t="s">
        <v>74</v>
      </c>
      <c r="B15" t="s">
        <v>2954</v>
      </c>
      <c r="C15" t="s">
        <v>6521</v>
      </c>
      <c r="D15">
        <v>14</v>
      </c>
      <c r="E15" t="s">
        <v>2934</v>
      </c>
      <c r="F15" s="2" t="s">
        <v>6512</v>
      </c>
      <c r="G15" t="s">
        <v>76</v>
      </c>
      <c r="H15" s="3">
        <v>200013</v>
      </c>
      <c r="I15" t="str">
        <f t="shared" si="0"/>
        <v>200005</v>
      </c>
    </row>
    <row r="16" spans="1:9" x14ac:dyDescent="0.3">
      <c r="A16" t="s">
        <v>74</v>
      </c>
      <c r="B16" t="s">
        <v>2954</v>
      </c>
      <c r="C16" t="s">
        <v>6521</v>
      </c>
      <c r="D16">
        <v>15</v>
      </c>
      <c r="E16" t="s">
        <v>2935</v>
      </c>
      <c r="F16" s="2" t="s">
        <v>6512</v>
      </c>
      <c r="G16" t="s">
        <v>76</v>
      </c>
      <c r="H16" s="3">
        <v>200014</v>
      </c>
      <c r="I16" t="str">
        <f t="shared" si="0"/>
        <v>200005</v>
      </c>
    </row>
    <row r="17" spans="1:9" x14ac:dyDescent="0.3">
      <c r="A17" t="s">
        <v>74</v>
      </c>
      <c r="B17" t="s">
        <v>2955</v>
      </c>
      <c r="C17" t="s">
        <v>6518</v>
      </c>
      <c r="D17">
        <v>16</v>
      </c>
      <c r="E17" t="s">
        <v>2936</v>
      </c>
      <c r="F17" s="2" t="s">
        <v>6512</v>
      </c>
      <c r="G17" t="s">
        <v>76</v>
      </c>
      <c r="H17" s="3">
        <v>200015</v>
      </c>
      <c r="I17" t="str">
        <f t="shared" si="0"/>
        <v>200006</v>
      </c>
    </row>
    <row r="18" spans="1:9" x14ac:dyDescent="0.3">
      <c r="A18" t="s">
        <v>74</v>
      </c>
      <c r="B18" t="s">
        <v>2955</v>
      </c>
      <c r="C18" t="s">
        <v>6518</v>
      </c>
      <c r="D18">
        <v>17</v>
      </c>
      <c r="E18" t="s">
        <v>2937</v>
      </c>
      <c r="F18" s="2" t="s">
        <v>6512</v>
      </c>
      <c r="G18" t="s">
        <v>76</v>
      </c>
      <c r="H18" s="3">
        <v>200016</v>
      </c>
      <c r="I18" t="str">
        <f t="shared" si="0"/>
        <v>200006</v>
      </c>
    </row>
    <row r="19" spans="1:9" x14ac:dyDescent="0.3">
      <c r="A19" t="s">
        <v>74</v>
      </c>
      <c r="B19" t="s">
        <v>2955</v>
      </c>
      <c r="C19" t="s">
        <v>6518</v>
      </c>
      <c r="D19">
        <v>18</v>
      </c>
      <c r="E19" t="s">
        <v>2938</v>
      </c>
      <c r="F19" s="2" t="s">
        <v>6512</v>
      </c>
      <c r="G19" t="s">
        <v>76</v>
      </c>
      <c r="H19" s="3">
        <v>200017</v>
      </c>
      <c r="I19" t="str">
        <f t="shared" si="0"/>
        <v>200006</v>
      </c>
    </row>
    <row r="20" spans="1:9" x14ac:dyDescent="0.3">
      <c r="A20" t="s">
        <v>74</v>
      </c>
      <c r="B20" t="s">
        <v>2939</v>
      </c>
      <c r="C20" t="s">
        <v>6519</v>
      </c>
      <c r="D20">
        <v>19</v>
      </c>
      <c r="E20" t="s">
        <v>2939</v>
      </c>
      <c r="F20" s="2" t="s">
        <v>6512</v>
      </c>
      <c r="G20" t="s">
        <v>76</v>
      </c>
      <c r="H20" s="3">
        <v>200018</v>
      </c>
      <c r="I20" t="str">
        <f t="shared" si="0"/>
        <v>200008</v>
      </c>
    </row>
    <row r="21" spans="1:9" x14ac:dyDescent="0.3">
      <c r="A21" t="s">
        <v>74</v>
      </c>
      <c r="B21" t="s">
        <v>2939</v>
      </c>
      <c r="C21" t="s">
        <v>6519</v>
      </c>
      <c r="D21">
        <v>20</v>
      </c>
      <c r="E21" t="s">
        <v>2940</v>
      </c>
      <c r="F21" s="2" t="s">
        <v>6512</v>
      </c>
      <c r="G21" t="s">
        <v>76</v>
      </c>
      <c r="H21" s="3">
        <v>200019</v>
      </c>
      <c r="I21" t="str">
        <f t="shared" si="0"/>
        <v>200008</v>
      </c>
    </row>
    <row r="22" spans="1:9" x14ac:dyDescent="0.3">
      <c r="A22" t="s">
        <v>74</v>
      </c>
      <c r="B22" t="s">
        <v>2956</v>
      </c>
      <c r="C22" t="s">
        <v>6534</v>
      </c>
      <c r="D22">
        <v>21</v>
      </c>
      <c r="E22" t="s">
        <v>2941</v>
      </c>
      <c r="F22" s="2" t="s">
        <v>6512</v>
      </c>
      <c r="G22" t="s">
        <v>76</v>
      </c>
      <c r="H22" s="3">
        <v>200020</v>
      </c>
      <c r="I22" t="str">
        <f t="shared" si="0"/>
        <v>200007</v>
      </c>
    </row>
    <row r="23" spans="1:9" x14ac:dyDescent="0.3">
      <c r="A23" t="s">
        <v>74</v>
      </c>
      <c r="B23" t="s">
        <v>2956</v>
      </c>
      <c r="C23" t="s">
        <v>6534</v>
      </c>
      <c r="D23">
        <v>22</v>
      </c>
      <c r="E23" t="s">
        <v>2942</v>
      </c>
      <c r="F23" s="2" t="s">
        <v>6512</v>
      </c>
      <c r="G23" t="s">
        <v>76</v>
      </c>
      <c r="H23" s="3">
        <v>200021</v>
      </c>
      <c r="I23" t="str">
        <f t="shared" si="0"/>
        <v>200007</v>
      </c>
    </row>
    <row r="24" spans="1:9" x14ac:dyDescent="0.3">
      <c r="A24" t="s">
        <v>74</v>
      </c>
      <c r="B24" t="s">
        <v>2939</v>
      </c>
      <c r="C24" t="s">
        <v>6519</v>
      </c>
      <c r="D24">
        <v>23</v>
      </c>
      <c r="E24" t="s">
        <v>2943</v>
      </c>
      <c r="F24" s="2" t="s">
        <v>6512</v>
      </c>
      <c r="G24" t="s">
        <v>76</v>
      </c>
      <c r="H24" s="3">
        <v>200022</v>
      </c>
      <c r="I24" t="str">
        <f t="shared" si="0"/>
        <v>200008</v>
      </c>
    </row>
    <row r="25" spans="1:9" x14ac:dyDescent="0.3">
      <c r="A25" t="s">
        <v>74</v>
      </c>
      <c r="B25" t="s">
        <v>2957</v>
      </c>
      <c r="C25" t="s">
        <v>6515</v>
      </c>
      <c r="D25">
        <v>24</v>
      </c>
      <c r="E25" t="s">
        <v>2944</v>
      </c>
      <c r="F25" s="2" t="s">
        <v>6512</v>
      </c>
      <c r="G25" t="s">
        <v>76</v>
      </c>
      <c r="H25" s="3">
        <v>200023</v>
      </c>
      <c r="I25" t="str">
        <f t="shared" si="0"/>
        <v>200009</v>
      </c>
    </row>
    <row r="26" spans="1:9" x14ac:dyDescent="0.3">
      <c r="A26" t="s">
        <v>74</v>
      </c>
      <c r="B26" t="s">
        <v>2957</v>
      </c>
      <c r="C26" t="s">
        <v>6515</v>
      </c>
      <c r="D26">
        <v>25</v>
      </c>
      <c r="E26" t="s">
        <v>2945</v>
      </c>
      <c r="F26" s="2" t="s">
        <v>6512</v>
      </c>
      <c r="G26" t="s">
        <v>76</v>
      </c>
      <c r="H26" s="3">
        <v>200024</v>
      </c>
      <c r="I26" t="str">
        <f t="shared" si="0"/>
        <v>200009</v>
      </c>
    </row>
    <row r="27" spans="1:9" x14ac:dyDescent="0.3">
      <c r="A27" t="s">
        <v>74</v>
      </c>
      <c r="B27" t="s">
        <v>2946</v>
      </c>
      <c r="C27" t="s">
        <v>6516</v>
      </c>
      <c r="D27">
        <v>26</v>
      </c>
      <c r="E27" t="s">
        <v>2946</v>
      </c>
      <c r="F27" s="2" t="s">
        <v>6512</v>
      </c>
      <c r="G27" t="s">
        <v>76</v>
      </c>
      <c r="H27" s="3">
        <v>200025</v>
      </c>
      <c r="I27" t="str">
        <f t="shared" si="0"/>
        <v>200010</v>
      </c>
    </row>
    <row r="28" spans="1:9" x14ac:dyDescent="0.3">
      <c r="A28" t="s">
        <v>74</v>
      </c>
      <c r="B28" t="s">
        <v>2946</v>
      </c>
      <c r="C28" t="s">
        <v>6516</v>
      </c>
      <c r="D28">
        <v>27</v>
      </c>
      <c r="E28" t="s">
        <v>2947</v>
      </c>
      <c r="F28" s="2" t="s">
        <v>6512</v>
      </c>
      <c r="G28" t="s">
        <v>76</v>
      </c>
      <c r="H28" s="3">
        <v>200026</v>
      </c>
      <c r="I28" t="str">
        <f t="shared" si="0"/>
        <v>200010</v>
      </c>
    </row>
    <row r="29" spans="1:9" x14ac:dyDescent="0.3">
      <c r="A29" t="s">
        <v>74</v>
      </c>
      <c r="B29" t="s">
        <v>2957</v>
      </c>
      <c r="C29" t="s">
        <v>6515</v>
      </c>
      <c r="D29">
        <v>28</v>
      </c>
      <c r="E29" t="s">
        <v>2948</v>
      </c>
      <c r="F29" s="2" t="s">
        <v>6512</v>
      </c>
      <c r="G29" t="s">
        <v>76</v>
      </c>
      <c r="H29" s="3">
        <v>200027</v>
      </c>
      <c r="I29" t="str">
        <f t="shared" si="0"/>
        <v>200009</v>
      </c>
    </row>
    <row r="30" spans="1:9" x14ac:dyDescent="0.3">
      <c r="A30" t="s">
        <v>74</v>
      </c>
      <c r="B30" t="s">
        <v>2949</v>
      </c>
      <c r="C30" t="s">
        <v>6530</v>
      </c>
      <c r="D30">
        <v>99</v>
      </c>
      <c r="E30" t="s">
        <v>2949</v>
      </c>
      <c r="F30" s="2" t="s">
        <v>6512</v>
      </c>
      <c r="G30" t="s">
        <v>76</v>
      </c>
      <c r="H30" s="3">
        <v>200028</v>
      </c>
      <c r="I30" t="str">
        <f t="shared" si="0"/>
        <v>200011</v>
      </c>
    </row>
    <row r="31" spans="1:9" x14ac:dyDescent="0.3">
      <c r="A31" t="s">
        <v>74</v>
      </c>
      <c r="B31" t="s">
        <v>2950</v>
      </c>
      <c r="C31" t="s">
        <v>6528</v>
      </c>
      <c r="D31">
        <v>999</v>
      </c>
      <c r="E31" t="s">
        <v>2950</v>
      </c>
      <c r="F31" s="2" t="s">
        <v>6512</v>
      </c>
      <c r="G31" t="s">
        <v>76</v>
      </c>
      <c r="H31" s="3">
        <v>200029</v>
      </c>
      <c r="I31" t="str">
        <f t="shared" si="0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8"/>
  <sheetViews>
    <sheetView workbookViewId="0">
      <pane ySplit="1" topLeftCell="A61" activePane="bottomLeft" state="frozen"/>
      <selection pane="bottomLeft" activeCell="I2" sqref="I2:I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9" x14ac:dyDescent="0.3">
      <c r="A1" t="s">
        <v>68</v>
      </c>
      <c r="B1" t="s">
        <v>5377</v>
      </c>
      <c r="C1" t="s">
        <v>5378</v>
      </c>
      <c r="D1" t="s">
        <v>73</v>
      </c>
      <c r="E1" t="s">
        <v>70</v>
      </c>
      <c r="F1" t="s">
        <v>71</v>
      </c>
      <c r="G1" t="s">
        <v>5325</v>
      </c>
      <c r="H1" t="s">
        <v>6938</v>
      </c>
      <c r="I1" t="s">
        <v>7886</v>
      </c>
    </row>
    <row r="2" spans="1:9" x14ac:dyDescent="0.3">
      <c r="A2" t="s">
        <v>5376</v>
      </c>
      <c r="B2" t="s">
        <v>2945</v>
      </c>
      <c r="C2" t="s">
        <v>6511</v>
      </c>
      <c r="D2" t="s">
        <v>6454</v>
      </c>
      <c r="E2" s="2" t="s">
        <v>6512</v>
      </c>
      <c r="F2" t="s">
        <v>76</v>
      </c>
      <c r="G2" s="3">
        <v>200000</v>
      </c>
      <c r="H2" t="str">
        <f>D2</f>
        <v>Smithers/Telkwa</v>
      </c>
      <c r="I2" t="str">
        <f>B2</f>
        <v>Bulkley - Nass</v>
      </c>
    </row>
    <row r="3" spans="1:9" x14ac:dyDescent="0.3">
      <c r="A3" t="s">
        <v>5376</v>
      </c>
      <c r="B3" t="s">
        <v>2945</v>
      </c>
      <c r="C3" t="s">
        <v>6511</v>
      </c>
      <c r="D3" t="s">
        <v>6455</v>
      </c>
      <c r="E3" s="2" t="s">
        <v>6512</v>
      </c>
      <c r="F3" t="s">
        <v>76</v>
      </c>
      <c r="G3" s="3">
        <v>200001</v>
      </c>
      <c r="H3" t="str">
        <f t="shared" ref="H3:H66" si="0">D3</f>
        <v>Hazelton/Kitwanga</v>
      </c>
      <c r="I3" t="str">
        <f t="shared" ref="I3:I66" si="1">B3</f>
        <v>Bulkley - Nass</v>
      </c>
    </row>
    <row r="4" spans="1:9" x14ac:dyDescent="0.3">
      <c r="A4" t="s">
        <v>5376</v>
      </c>
      <c r="B4" t="s">
        <v>2945</v>
      </c>
      <c r="C4" t="s">
        <v>6511</v>
      </c>
      <c r="D4" t="s">
        <v>6456</v>
      </c>
      <c r="E4" s="2" t="s">
        <v>6512</v>
      </c>
      <c r="F4" t="s">
        <v>76</v>
      </c>
      <c r="G4" s="3">
        <v>200002</v>
      </c>
      <c r="H4" t="str">
        <f t="shared" si="0"/>
        <v>Stewart/Meziadin</v>
      </c>
      <c r="I4" t="str">
        <f t="shared" si="1"/>
        <v>Bulkley - Nass</v>
      </c>
    </row>
    <row r="5" spans="1:9" x14ac:dyDescent="0.3">
      <c r="A5" t="s">
        <v>5376</v>
      </c>
      <c r="B5" t="s">
        <v>2937</v>
      </c>
      <c r="C5" t="s">
        <v>6513</v>
      </c>
      <c r="D5" t="s">
        <v>2955</v>
      </c>
      <c r="E5" s="2" t="s">
        <v>6512</v>
      </c>
      <c r="F5" t="s">
        <v>76</v>
      </c>
      <c r="G5" s="3">
        <v>200003</v>
      </c>
      <c r="H5" t="str">
        <f t="shared" si="0"/>
        <v>Cariboo</v>
      </c>
      <c r="I5" t="str">
        <f t="shared" si="1"/>
        <v>Central Cariboo</v>
      </c>
    </row>
    <row r="6" spans="1:9" x14ac:dyDescent="0.3">
      <c r="A6" t="s">
        <v>5376</v>
      </c>
      <c r="B6" t="s">
        <v>2937</v>
      </c>
      <c r="C6" t="s">
        <v>6513</v>
      </c>
      <c r="D6" t="s">
        <v>6457</v>
      </c>
      <c r="E6" s="2" t="s">
        <v>6512</v>
      </c>
      <c r="F6" t="s">
        <v>76</v>
      </c>
      <c r="G6" s="3">
        <v>200004</v>
      </c>
      <c r="H6" t="str">
        <f t="shared" si="0"/>
        <v>Chilcotin</v>
      </c>
      <c r="I6" t="str">
        <f t="shared" si="1"/>
        <v>Central Cariboo</v>
      </c>
    </row>
    <row r="7" spans="1:9" x14ac:dyDescent="0.3">
      <c r="A7" t="s">
        <v>5376</v>
      </c>
      <c r="B7" t="s">
        <v>2924</v>
      </c>
      <c r="C7" t="s">
        <v>6514</v>
      </c>
      <c r="D7" t="s">
        <v>6458</v>
      </c>
      <c r="E7" s="2" t="s">
        <v>6512</v>
      </c>
      <c r="F7" t="s">
        <v>76</v>
      </c>
      <c r="G7" s="3">
        <v>200005</v>
      </c>
      <c r="H7" t="str">
        <f t="shared" si="0"/>
        <v>Nanaimo/Ladysmith/Lantzville</v>
      </c>
      <c r="I7" t="str">
        <f t="shared" si="1"/>
        <v>Central  Island</v>
      </c>
    </row>
    <row r="8" spans="1:9" x14ac:dyDescent="0.3">
      <c r="A8" t="s">
        <v>5376</v>
      </c>
      <c r="B8" t="s">
        <v>2924</v>
      </c>
      <c r="C8" t="s">
        <v>6514</v>
      </c>
      <c r="D8" t="s">
        <v>6459</v>
      </c>
      <c r="E8" s="2" t="s">
        <v>6512</v>
      </c>
      <c r="F8" t="s">
        <v>76</v>
      </c>
      <c r="G8" s="3">
        <v>200006</v>
      </c>
      <c r="H8" t="str">
        <f t="shared" si="0"/>
        <v>Parksville/Qualicum</v>
      </c>
      <c r="I8" t="str">
        <f t="shared" si="1"/>
        <v>Central  Island</v>
      </c>
    </row>
    <row r="9" spans="1:9" x14ac:dyDescent="0.3">
      <c r="A9" t="s">
        <v>5376</v>
      </c>
      <c r="B9" t="s">
        <v>2924</v>
      </c>
      <c r="C9" t="s">
        <v>6514</v>
      </c>
      <c r="D9" t="s">
        <v>3722</v>
      </c>
      <c r="E9" s="2" t="s">
        <v>6512</v>
      </c>
      <c r="F9" t="s">
        <v>76</v>
      </c>
      <c r="G9" s="3">
        <v>200007</v>
      </c>
      <c r="H9" t="str">
        <f t="shared" si="0"/>
        <v>Port Alberni</v>
      </c>
      <c r="I9" t="str">
        <f t="shared" si="1"/>
        <v>Central  Island</v>
      </c>
    </row>
    <row r="10" spans="1:9" x14ac:dyDescent="0.3">
      <c r="A10" t="s">
        <v>5376</v>
      </c>
      <c r="B10" t="s">
        <v>2924</v>
      </c>
      <c r="C10" t="s">
        <v>6514</v>
      </c>
      <c r="D10" t="s">
        <v>6460</v>
      </c>
      <c r="E10" s="2" t="s">
        <v>6512</v>
      </c>
      <c r="F10" t="s">
        <v>76</v>
      </c>
      <c r="G10" s="3">
        <v>200008</v>
      </c>
      <c r="H10" t="str">
        <f t="shared" si="0"/>
        <v>Ucluelet/Tofino</v>
      </c>
      <c r="I10" t="str">
        <f t="shared" si="1"/>
        <v>Central  Island</v>
      </c>
    </row>
    <row r="11" spans="1:9" x14ac:dyDescent="0.3">
      <c r="A11" t="s">
        <v>5376</v>
      </c>
      <c r="B11" t="s">
        <v>2924</v>
      </c>
      <c r="C11" t="s">
        <v>6514</v>
      </c>
      <c r="D11" t="s">
        <v>5351</v>
      </c>
      <c r="E11" s="2" t="s">
        <v>6512</v>
      </c>
      <c r="F11" t="s">
        <v>76</v>
      </c>
      <c r="G11" s="3">
        <v>200009</v>
      </c>
      <c r="H11" t="str">
        <f t="shared" si="0"/>
        <v>Gabriola Island</v>
      </c>
      <c r="I11" t="str">
        <f t="shared" si="1"/>
        <v>Central  Island</v>
      </c>
    </row>
    <row r="12" spans="1:9" x14ac:dyDescent="0.3">
      <c r="A12" t="s">
        <v>5376</v>
      </c>
      <c r="B12" t="s">
        <v>2931</v>
      </c>
      <c r="C12" t="s">
        <v>6515</v>
      </c>
      <c r="D12" t="s">
        <v>6461</v>
      </c>
      <c r="E12" s="2" t="s">
        <v>6512</v>
      </c>
      <c r="F12" t="s">
        <v>76</v>
      </c>
      <c r="G12" s="3">
        <v>200010</v>
      </c>
      <c r="H12" t="str">
        <f t="shared" si="0"/>
        <v>Central Koot., New Denver</v>
      </c>
      <c r="I12" t="str">
        <f t="shared" si="1"/>
        <v>Central Kootenay</v>
      </c>
    </row>
    <row r="13" spans="1:9" x14ac:dyDescent="0.3">
      <c r="A13" t="s">
        <v>5376</v>
      </c>
      <c r="B13" t="s">
        <v>2931</v>
      </c>
      <c r="C13" t="s">
        <v>6515</v>
      </c>
      <c r="D13" t="s">
        <v>6462</v>
      </c>
      <c r="E13" s="2" t="s">
        <v>6512</v>
      </c>
      <c r="F13" t="s">
        <v>76</v>
      </c>
      <c r="G13" s="3">
        <v>200011</v>
      </c>
      <c r="H13" t="str">
        <f t="shared" si="0"/>
        <v>Central Koot., Nakusp</v>
      </c>
      <c r="I13" t="str">
        <f t="shared" si="1"/>
        <v>Central Kootenay</v>
      </c>
    </row>
    <row r="14" spans="1:9" x14ac:dyDescent="0.3">
      <c r="A14" t="s">
        <v>5376</v>
      </c>
      <c r="B14" t="s">
        <v>2931</v>
      </c>
      <c r="C14" t="s">
        <v>6515</v>
      </c>
      <c r="D14" t="s">
        <v>5346</v>
      </c>
      <c r="E14" s="2" t="s">
        <v>6512</v>
      </c>
      <c r="F14" t="s">
        <v>76</v>
      </c>
      <c r="G14" s="3">
        <v>200012</v>
      </c>
      <c r="H14" t="str">
        <f t="shared" si="0"/>
        <v>Creston</v>
      </c>
      <c r="I14" t="str">
        <f t="shared" si="1"/>
        <v>Central Kootenay</v>
      </c>
    </row>
    <row r="15" spans="1:9" x14ac:dyDescent="0.3">
      <c r="A15" t="s">
        <v>5376</v>
      </c>
      <c r="B15" t="s">
        <v>2931</v>
      </c>
      <c r="C15" t="s">
        <v>6515</v>
      </c>
      <c r="D15" t="s">
        <v>6463</v>
      </c>
      <c r="E15" s="2" t="s">
        <v>6512</v>
      </c>
      <c r="F15" t="s">
        <v>76</v>
      </c>
      <c r="G15" s="3">
        <v>200013</v>
      </c>
      <c r="H15" t="str">
        <f t="shared" si="0"/>
        <v>Central Kootenay Nelson</v>
      </c>
      <c r="I15" t="str">
        <f t="shared" si="1"/>
        <v>Central Kootenay</v>
      </c>
    </row>
    <row r="16" spans="1:9" x14ac:dyDescent="0.3">
      <c r="A16" t="s">
        <v>5376</v>
      </c>
      <c r="B16" t="s">
        <v>2931</v>
      </c>
      <c r="C16" t="s">
        <v>6515</v>
      </c>
      <c r="D16" t="s">
        <v>6464</v>
      </c>
      <c r="E16" s="2" t="s">
        <v>6512</v>
      </c>
      <c r="F16" t="s">
        <v>76</v>
      </c>
      <c r="G16" s="3">
        <v>200014</v>
      </c>
      <c r="H16" t="str">
        <f t="shared" si="0"/>
        <v>Out Of District</v>
      </c>
      <c r="I16" t="str">
        <f t="shared" si="1"/>
        <v>Central Kootenay</v>
      </c>
    </row>
    <row r="17" spans="1:9" x14ac:dyDescent="0.3">
      <c r="A17" t="s">
        <v>5376</v>
      </c>
      <c r="B17" t="s">
        <v>2931</v>
      </c>
      <c r="C17" t="s">
        <v>6515</v>
      </c>
      <c r="D17" t="s">
        <v>6465</v>
      </c>
      <c r="E17" s="2" t="s">
        <v>6512</v>
      </c>
      <c r="F17" t="s">
        <v>76</v>
      </c>
      <c r="G17" s="3">
        <v>200015</v>
      </c>
      <c r="H17" t="str">
        <f t="shared" si="0"/>
        <v>Central Kootenay Salmo</v>
      </c>
      <c r="I17" t="str">
        <f t="shared" si="1"/>
        <v>Central Kootenay</v>
      </c>
    </row>
    <row r="18" spans="1:9" x14ac:dyDescent="0.3">
      <c r="A18" t="s">
        <v>5376</v>
      </c>
      <c r="B18" t="s">
        <v>13</v>
      </c>
      <c r="C18" t="s">
        <v>6516</v>
      </c>
      <c r="D18" t="s">
        <v>3578</v>
      </c>
      <c r="E18" s="2" t="s">
        <v>6512</v>
      </c>
      <c r="F18" t="s">
        <v>76</v>
      </c>
      <c r="G18" s="3">
        <v>200016</v>
      </c>
      <c r="H18" t="str">
        <f t="shared" si="0"/>
        <v>Cranbrook</v>
      </c>
      <c r="I18" t="str">
        <f t="shared" si="1"/>
        <v>East Kootenay</v>
      </c>
    </row>
    <row r="19" spans="1:9" x14ac:dyDescent="0.3">
      <c r="A19" t="s">
        <v>5376</v>
      </c>
      <c r="B19" t="s">
        <v>13</v>
      </c>
      <c r="C19" t="s">
        <v>6516</v>
      </c>
      <c r="D19" t="s">
        <v>6466</v>
      </c>
      <c r="E19" s="2" t="s">
        <v>6512</v>
      </c>
      <c r="F19" t="s">
        <v>76</v>
      </c>
      <c r="G19" s="3">
        <v>200017</v>
      </c>
      <c r="H19" t="str">
        <f t="shared" si="0"/>
        <v>Fernie/Sparwood</v>
      </c>
      <c r="I19" t="str">
        <f t="shared" si="1"/>
        <v>East Kootenay</v>
      </c>
    </row>
    <row r="20" spans="1:9" x14ac:dyDescent="0.3">
      <c r="A20" t="s">
        <v>5376</v>
      </c>
      <c r="B20" t="s">
        <v>13</v>
      </c>
      <c r="C20" t="s">
        <v>6516</v>
      </c>
      <c r="D20" t="s">
        <v>4486</v>
      </c>
      <c r="E20" s="2" t="s">
        <v>6512</v>
      </c>
      <c r="F20" t="s">
        <v>76</v>
      </c>
      <c r="G20" s="3">
        <v>200018</v>
      </c>
      <c r="H20" t="str">
        <f t="shared" si="0"/>
        <v>Invermere</v>
      </c>
      <c r="I20" t="str">
        <f t="shared" si="1"/>
        <v>East Kootenay</v>
      </c>
    </row>
    <row r="21" spans="1:9" x14ac:dyDescent="0.3">
      <c r="A21" t="s">
        <v>5376</v>
      </c>
      <c r="B21" t="s">
        <v>2939</v>
      </c>
      <c r="C21" t="s">
        <v>6517</v>
      </c>
      <c r="D21" t="s">
        <v>15</v>
      </c>
      <c r="E21" s="2" t="s">
        <v>6512</v>
      </c>
      <c r="F21" t="s">
        <v>76</v>
      </c>
      <c r="G21" s="3">
        <v>200019</v>
      </c>
      <c r="H21" t="str">
        <f t="shared" si="0"/>
        <v>Prince George</v>
      </c>
      <c r="I21" t="str">
        <f t="shared" si="1"/>
        <v>Fort George</v>
      </c>
    </row>
    <row r="22" spans="1:9" x14ac:dyDescent="0.3">
      <c r="A22" t="s">
        <v>5376</v>
      </c>
      <c r="B22" t="s">
        <v>10</v>
      </c>
      <c r="C22" t="s">
        <v>6518</v>
      </c>
      <c r="D22" t="s">
        <v>6467</v>
      </c>
      <c r="E22" s="2" t="s">
        <v>6512</v>
      </c>
      <c r="F22" t="s">
        <v>76</v>
      </c>
      <c r="G22" s="3">
        <v>200020</v>
      </c>
      <c r="H22" t="str">
        <f t="shared" si="0"/>
        <v>Chilliwack/Rosedale</v>
      </c>
      <c r="I22" t="str">
        <f t="shared" si="1"/>
        <v>Fraser Valley</v>
      </c>
    </row>
    <row r="23" spans="1:9" x14ac:dyDescent="0.3">
      <c r="A23" t="s">
        <v>5376</v>
      </c>
      <c r="B23" t="s">
        <v>10</v>
      </c>
      <c r="C23" t="s">
        <v>6518</v>
      </c>
      <c r="D23" t="s">
        <v>6468</v>
      </c>
      <c r="E23" s="2" t="s">
        <v>6512</v>
      </c>
      <c r="F23" t="s">
        <v>76</v>
      </c>
      <c r="G23" s="3">
        <v>200021</v>
      </c>
      <c r="H23" t="str">
        <f t="shared" si="0"/>
        <v>Hope/Allison Pass</v>
      </c>
      <c r="I23" t="str">
        <f t="shared" si="1"/>
        <v>Fraser Valley</v>
      </c>
    </row>
    <row r="24" spans="1:9" x14ac:dyDescent="0.3">
      <c r="A24" t="s">
        <v>5376</v>
      </c>
      <c r="B24" t="s">
        <v>10</v>
      </c>
      <c r="C24" t="s">
        <v>6518</v>
      </c>
      <c r="D24" t="s">
        <v>3104</v>
      </c>
      <c r="E24" s="2" t="s">
        <v>6512</v>
      </c>
      <c r="F24" t="s">
        <v>76</v>
      </c>
      <c r="G24" s="3">
        <v>200022</v>
      </c>
      <c r="H24" t="str">
        <f t="shared" si="0"/>
        <v>Abbotsford</v>
      </c>
      <c r="I24" t="str">
        <f t="shared" si="1"/>
        <v>Fraser Valley</v>
      </c>
    </row>
    <row r="25" spans="1:9" x14ac:dyDescent="0.3">
      <c r="A25" t="s">
        <v>5376</v>
      </c>
      <c r="B25" t="s">
        <v>2930</v>
      </c>
      <c r="C25" t="s">
        <v>6519</v>
      </c>
      <c r="D25" t="s">
        <v>6469</v>
      </c>
      <c r="E25" s="2" t="s">
        <v>6512</v>
      </c>
      <c r="F25" t="s">
        <v>76</v>
      </c>
      <c r="G25" s="3">
        <v>200023</v>
      </c>
      <c r="H25" t="str">
        <f t="shared" si="0"/>
        <v>Castlegar And Area</v>
      </c>
      <c r="I25" t="str">
        <f t="shared" si="1"/>
        <v>Kootenay Boundary</v>
      </c>
    </row>
    <row r="26" spans="1:9" x14ac:dyDescent="0.3">
      <c r="A26" t="s">
        <v>5376</v>
      </c>
      <c r="B26" t="s">
        <v>2930</v>
      </c>
      <c r="C26" t="s">
        <v>6519</v>
      </c>
      <c r="D26" t="s">
        <v>6470</v>
      </c>
      <c r="E26" s="2" t="s">
        <v>6512</v>
      </c>
      <c r="F26" t="s">
        <v>76</v>
      </c>
      <c r="G26" s="3">
        <v>200024</v>
      </c>
      <c r="H26" t="str">
        <f t="shared" si="0"/>
        <v>Grand Forks And Area</v>
      </c>
      <c r="I26" t="str">
        <f t="shared" si="1"/>
        <v>Kootenay Boundary</v>
      </c>
    </row>
    <row r="27" spans="1:9" x14ac:dyDescent="0.3">
      <c r="A27" t="s">
        <v>5376</v>
      </c>
      <c r="B27" t="s">
        <v>2930</v>
      </c>
      <c r="C27" t="s">
        <v>6519</v>
      </c>
      <c r="D27" t="s">
        <v>6471</v>
      </c>
      <c r="E27" s="2" t="s">
        <v>6512</v>
      </c>
      <c r="F27" t="s">
        <v>76</v>
      </c>
      <c r="G27" s="3">
        <v>200025</v>
      </c>
      <c r="H27" t="str">
        <f t="shared" si="0"/>
        <v>Rock Creek And Area</v>
      </c>
      <c r="I27" t="str">
        <f t="shared" si="1"/>
        <v>Kootenay Boundary</v>
      </c>
    </row>
    <row r="28" spans="1:9" x14ac:dyDescent="0.3">
      <c r="A28" t="s">
        <v>5376</v>
      </c>
      <c r="B28" t="s">
        <v>2930</v>
      </c>
      <c r="C28" t="s">
        <v>6519</v>
      </c>
      <c r="D28" t="s">
        <v>6472</v>
      </c>
      <c r="E28" s="2" t="s">
        <v>6512</v>
      </c>
      <c r="F28" t="s">
        <v>76</v>
      </c>
      <c r="G28" s="3">
        <v>200026</v>
      </c>
      <c r="H28" t="str">
        <f t="shared" si="0"/>
        <v>Rossland And Area</v>
      </c>
      <c r="I28" t="str">
        <f t="shared" si="1"/>
        <v>Kootenay Boundary</v>
      </c>
    </row>
    <row r="29" spans="1:9" x14ac:dyDescent="0.3">
      <c r="A29" t="s">
        <v>5376</v>
      </c>
      <c r="B29" t="s">
        <v>2944</v>
      </c>
      <c r="C29" t="s">
        <v>6520</v>
      </c>
      <c r="D29" t="s">
        <v>4886</v>
      </c>
      <c r="E29" s="2" t="s">
        <v>6512</v>
      </c>
      <c r="F29" t="s">
        <v>76</v>
      </c>
      <c r="G29" s="3">
        <v>200027</v>
      </c>
      <c r="H29" t="str">
        <f t="shared" si="0"/>
        <v>Burns Lake</v>
      </c>
      <c r="I29" t="str">
        <f t="shared" si="1"/>
        <v>Lakes</v>
      </c>
    </row>
    <row r="30" spans="1:9" x14ac:dyDescent="0.3">
      <c r="A30" t="s">
        <v>5376</v>
      </c>
      <c r="B30" t="s">
        <v>2944</v>
      </c>
      <c r="C30" t="s">
        <v>6520</v>
      </c>
      <c r="D30" t="s">
        <v>4422</v>
      </c>
      <c r="E30" s="2" t="s">
        <v>6512</v>
      </c>
      <c r="F30" t="s">
        <v>76</v>
      </c>
      <c r="G30" s="3">
        <v>200028</v>
      </c>
      <c r="H30" t="str">
        <f t="shared" si="0"/>
        <v>Houston</v>
      </c>
      <c r="I30" t="str">
        <f t="shared" si="1"/>
        <v>Lakes</v>
      </c>
    </row>
    <row r="31" spans="1:9" x14ac:dyDescent="0.3">
      <c r="A31" t="s">
        <v>5376</v>
      </c>
      <c r="B31" t="s">
        <v>2928</v>
      </c>
      <c r="C31" t="s">
        <v>6521</v>
      </c>
      <c r="D31" t="s">
        <v>6473</v>
      </c>
      <c r="E31" s="2" t="s">
        <v>6512</v>
      </c>
      <c r="F31" t="s">
        <v>76</v>
      </c>
      <c r="G31" s="3">
        <v>200029</v>
      </c>
      <c r="H31" t="str">
        <f t="shared" si="0"/>
        <v>Lower Mainland-Surrey/Langley</v>
      </c>
      <c r="I31" t="str">
        <f t="shared" si="1"/>
        <v>Lower Mainland</v>
      </c>
    </row>
    <row r="32" spans="1:9" x14ac:dyDescent="0.3">
      <c r="A32" t="s">
        <v>5376</v>
      </c>
      <c r="B32" t="s">
        <v>2928</v>
      </c>
      <c r="C32" t="s">
        <v>6521</v>
      </c>
      <c r="D32" t="s">
        <v>6474</v>
      </c>
      <c r="E32" s="2" t="s">
        <v>6512</v>
      </c>
      <c r="F32" t="s">
        <v>76</v>
      </c>
      <c r="G32" s="3">
        <v>200030</v>
      </c>
      <c r="H32" t="str">
        <f t="shared" si="0"/>
        <v>Lower Mainland-Coquitlam/Burnaby/Van</v>
      </c>
      <c r="I32" t="str">
        <f t="shared" si="1"/>
        <v>Lower Mainland</v>
      </c>
    </row>
    <row r="33" spans="1:9" x14ac:dyDescent="0.3">
      <c r="A33" t="s">
        <v>5376</v>
      </c>
      <c r="B33" t="s">
        <v>2928</v>
      </c>
      <c r="C33" t="s">
        <v>6521</v>
      </c>
      <c r="D33" t="s">
        <v>6475</v>
      </c>
      <c r="E33" s="2" t="s">
        <v>6512</v>
      </c>
      <c r="F33" t="s">
        <v>76</v>
      </c>
      <c r="G33" s="3">
        <v>200031</v>
      </c>
      <c r="H33" t="str">
        <f t="shared" si="0"/>
        <v>Lower Mainland-Delta/Richmond</v>
      </c>
      <c r="I33" t="str">
        <f t="shared" si="1"/>
        <v>Lower Mainland</v>
      </c>
    </row>
    <row r="34" spans="1:9" x14ac:dyDescent="0.3">
      <c r="A34" t="s">
        <v>5376</v>
      </c>
      <c r="B34" t="s">
        <v>2943</v>
      </c>
      <c r="C34" t="s">
        <v>6522</v>
      </c>
      <c r="D34" t="s">
        <v>49</v>
      </c>
      <c r="E34" s="2" t="s">
        <v>6512</v>
      </c>
      <c r="F34" t="s">
        <v>76</v>
      </c>
      <c r="G34" s="3">
        <v>200032</v>
      </c>
      <c r="H34" t="str">
        <f t="shared" si="0"/>
        <v>Vanderhoof</v>
      </c>
      <c r="I34" t="str">
        <f t="shared" si="1"/>
        <v>Nechako</v>
      </c>
    </row>
    <row r="35" spans="1:9" x14ac:dyDescent="0.3">
      <c r="A35" t="s">
        <v>5376</v>
      </c>
      <c r="B35" t="s">
        <v>2943</v>
      </c>
      <c r="C35" t="s">
        <v>6522</v>
      </c>
      <c r="D35" t="s">
        <v>5757</v>
      </c>
      <c r="E35" s="2" t="s">
        <v>6512</v>
      </c>
      <c r="F35" t="s">
        <v>76</v>
      </c>
      <c r="G35" s="3">
        <v>200033</v>
      </c>
      <c r="H35" t="str">
        <f t="shared" si="0"/>
        <v>Fort St James</v>
      </c>
      <c r="I35" t="str">
        <f t="shared" si="1"/>
        <v>Nechako</v>
      </c>
    </row>
    <row r="36" spans="1:9" x14ac:dyDescent="0.3">
      <c r="A36" t="s">
        <v>5376</v>
      </c>
      <c r="B36" t="s">
        <v>2934</v>
      </c>
      <c r="C36" t="s">
        <v>6523</v>
      </c>
      <c r="D36" t="s">
        <v>5355</v>
      </c>
      <c r="E36" s="2" t="s">
        <v>6512</v>
      </c>
      <c r="F36" t="s">
        <v>76</v>
      </c>
      <c r="G36" s="3">
        <v>200034</v>
      </c>
      <c r="H36" t="str">
        <f t="shared" si="0"/>
        <v>Merritt</v>
      </c>
      <c r="I36" t="str">
        <f t="shared" si="1"/>
        <v>Nicola</v>
      </c>
    </row>
    <row r="37" spans="1:9" x14ac:dyDescent="0.3">
      <c r="A37" t="s">
        <v>5376</v>
      </c>
      <c r="B37" t="s">
        <v>2938</v>
      </c>
      <c r="C37" t="s">
        <v>6524</v>
      </c>
      <c r="D37" t="s">
        <v>6476</v>
      </c>
      <c r="E37" s="2" t="s">
        <v>6512</v>
      </c>
      <c r="F37" t="s">
        <v>76</v>
      </c>
      <c r="G37" s="3">
        <v>200035</v>
      </c>
      <c r="H37" t="str">
        <f t="shared" si="0"/>
        <v>North Cariboo District</v>
      </c>
      <c r="I37" t="str">
        <f t="shared" si="1"/>
        <v>North Cariboo</v>
      </c>
    </row>
    <row r="38" spans="1:9" x14ac:dyDescent="0.3">
      <c r="A38" t="s">
        <v>5376</v>
      </c>
      <c r="B38" t="s">
        <v>2947</v>
      </c>
      <c r="C38" t="s">
        <v>6525</v>
      </c>
      <c r="D38" t="s">
        <v>5358</v>
      </c>
      <c r="E38" s="2" t="s">
        <v>6512</v>
      </c>
      <c r="F38" t="s">
        <v>76</v>
      </c>
      <c r="G38" s="3">
        <v>200036</v>
      </c>
      <c r="H38" t="str">
        <f t="shared" si="0"/>
        <v>Prince Rupert</v>
      </c>
      <c r="I38" t="str">
        <f t="shared" si="1"/>
        <v>North Coast</v>
      </c>
    </row>
    <row r="39" spans="1:9" x14ac:dyDescent="0.3">
      <c r="A39" t="s">
        <v>5376</v>
      </c>
      <c r="B39" t="s">
        <v>2947</v>
      </c>
      <c r="C39" t="s">
        <v>6525</v>
      </c>
      <c r="D39" t="s">
        <v>6477</v>
      </c>
      <c r="E39" s="2" t="s">
        <v>6512</v>
      </c>
      <c r="F39" t="s">
        <v>76</v>
      </c>
      <c r="G39" s="3">
        <v>200037</v>
      </c>
      <c r="H39" t="str">
        <f t="shared" si="0"/>
        <v>Queen Charlotte Islands</v>
      </c>
      <c r="I39" t="str">
        <f t="shared" si="1"/>
        <v>North Coast</v>
      </c>
    </row>
    <row r="40" spans="1:9" x14ac:dyDescent="0.3">
      <c r="A40" t="s">
        <v>5376</v>
      </c>
      <c r="B40" t="s">
        <v>2925</v>
      </c>
      <c r="C40" t="s">
        <v>6526</v>
      </c>
      <c r="D40" t="s">
        <v>4783</v>
      </c>
      <c r="E40" s="2" t="s">
        <v>6512</v>
      </c>
      <c r="F40" t="s">
        <v>76</v>
      </c>
      <c r="G40" s="3">
        <v>200038</v>
      </c>
      <c r="H40" t="str">
        <f t="shared" si="0"/>
        <v>Courtenay</v>
      </c>
      <c r="I40" t="str">
        <f t="shared" si="1"/>
        <v>North  Island</v>
      </c>
    </row>
    <row r="41" spans="1:9" x14ac:dyDescent="0.3">
      <c r="A41" t="s">
        <v>5376</v>
      </c>
      <c r="B41" t="s">
        <v>2925</v>
      </c>
      <c r="C41" t="s">
        <v>6526</v>
      </c>
      <c r="D41" t="s">
        <v>5343</v>
      </c>
      <c r="E41" s="2" t="s">
        <v>6512</v>
      </c>
      <c r="F41" t="s">
        <v>76</v>
      </c>
      <c r="G41" s="3">
        <v>200039</v>
      </c>
      <c r="H41" t="str">
        <f t="shared" si="0"/>
        <v>Campbell River</v>
      </c>
      <c r="I41" t="str">
        <f t="shared" si="1"/>
        <v>North  Island</v>
      </c>
    </row>
    <row r="42" spans="1:9" x14ac:dyDescent="0.3">
      <c r="A42" t="s">
        <v>5376</v>
      </c>
      <c r="B42" t="s">
        <v>2925</v>
      </c>
      <c r="C42" t="s">
        <v>6526</v>
      </c>
      <c r="D42" t="s">
        <v>3769</v>
      </c>
      <c r="E42" s="2" t="s">
        <v>6512</v>
      </c>
      <c r="F42" t="s">
        <v>76</v>
      </c>
      <c r="G42" s="3">
        <v>200040</v>
      </c>
      <c r="H42" t="str">
        <f t="shared" si="0"/>
        <v>Port Hardy</v>
      </c>
      <c r="I42" t="str">
        <f t="shared" si="1"/>
        <v>North  Island</v>
      </c>
    </row>
    <row r="43" spans="1:9" x14ac:dyDescent="0.3">
      <c r="A43" t="s">
        <v>5376</v>
      </c>
      <c r="B43" t="s">
        <v>2925</v>
      </c>
      <c r="C43" t="s">
        <v>6526</v>
      </c>
      <c r="D43" t="s">
        <v>5352</v>
      </c>
      <c r="E43" s="2" t="s">
        <v>6512</v>
      </c>
      <c r="F43" t="s">
        <v>76</v>
      </c>
      <c r="G43" s="3">
        <v>200041</v>
      </c>
      <c r="H43" t="str">
        <f t="shared" si="0"/>
        <v>Gold River</v>
      </c>
      <c r="I43" t="str">
        <f t="shared" si="1"/>
        <v>North  Island</v>
      </c>
    </row>
    <row r="44" spans="1:9" x14ac:dyDescent="0.3">
      <c r="A44" t="s">
        <v>5376</v>
      </c>
      <c r="B44" t="s">
        <v>2942</v>
      </c>
      <c r="C44" t="s">
        <v>6527</v>
      </c>
      <c r="D44" t="s">
        <v>5344</v>
      </c>
      <c r="E44" s="2" t="s">
        <v>6512</v>
      </c>
      <c r="F44" t="s">
        <v>76</v>
      </c>
      <c r="G44" s="3">
        <v>200042</v>
      </c>
      <c r="H44" t="str">
        <f t="shared" si="0"/>
        <v>Clayhurst</v>
      </c>
      <c r="I44" t="str">
        <f t="shared" si="1"/>
        <v>North Peace</v>
      </c>
    </row>
    <row r="45" spans="1:9" x14ac:dyDescent="0.3">
      <c r="A45" t="s">
        <v>5376</v>
      </c>
      <c r="B45" t="s">
        <v>2942</v>
      </c>
      <c r="C45" t="s">
        <v>6527</v>
      </c>
      <c r="D45" t="s">
        <v>5350</v>
      </c>
      <c r="E45" s="2" t="s">
        <v>6512</v>
      </c>
      <c r="F45" t="s">
        <v>76</v>
      </c>
      <c r="G45" s="3">
        <v>200043</v>
      </c>
      <c r="H45" t="str">
        <f t="shared" si="0"/>
        <v>Fort St. John</v>
      </c>
      <c r="I45" t="str">
        <f t="shared" si="1"/>
        <v>North Peace</v>
      </c>
    </row>
    <row r="46" spans="1:9" x14ac:dyDescent="0.3">
      <c r="A46" t="s">
        <v>5376</v>
      </c>
      <c r="B46" t="s">
        <v>2942</v>
      </c>
      <c r="C46" t="s">
        <v>6527</v>
      </c>
      <c r="D46" t="s">
        <v>3923</v>
      </c>
      <c r="E46" s="2" t="s">
        <v>6512</v>
      </c>
      <c r="F46" t="s">
        <v>76</v>
      </c>
      <c r="G46" s="3">
        <v>200044</v>
      </c>
      <c r="H46" t="str">
        <f t="shared" si="0"/>
        <v>Fort Nelson</v>
      </c>
      <c r="I46" t="str">
        <f t="shared" si="1"/>
        <v>North Peace</v>
      </c>
    </row>
    <row r="47" spans="1:9" x14ac:dyDescent="0.3">
      <c r="A47" t="s">
        <v>5376</v>
      </c>
      <c r="B47" t="s">
        <v>2942</v>
      </c>
      <c r="C47" t="s">
        <v>6527</v>
      </c>
      <c r="D47" t="s">
        <v>5357</v>
      </c>
      <c r="E47" s="2" t="s">
        <v>6512</v>
      </c>
      <c r="F47" t="s">
        <v>76</v>
      </c>
      <c r="G47" s="3">
        <v>200045</v>
      </c>
      <c r="H47" t="str">
        <f t="shared" si="0"/>
        <v>Prespatou</v>
      </c>
      <c r="I47" t="str">
        <f t="shared" si="1"/>
        <v>North Peace</v>
      </c>
    </row>
    <row r="48" spans="1:9" x14ac:dyDescent="0.3">
      <c r="A48" t="s">
        <v>5376</v>
      </c>
      <c r="B48" t="s">
        <v>2933</v>
      </c>
      <c r="C48" t="s">
        <v>6528</v>
      </c>
      <c r="D48" t="s">
        <v>6478</v>
      </c>
      <c r="E48" s="2" t="s">
        <v>6512</v>
      </c>
      <c r="F48" t="s">
        <v>76</v>
      </c>
      <c r="G48" s="3">
        <v>200046</v>
      </c>
      <c r="H48" t="str">
        <f t="shared" si="0"/>
        <v>Chase/Celista</v>
      </c>
      <c r="I48" t="str">
        <f t="shared" si="1"/>
        <v>Okanagan - Shuswap</v>
      </c>
    </row>
    <row r="49" spans="1:9" x14ac:dyDescent="0.3">
      <c r="A49" t="s">
        <v>5376</v>
      </c>
      <c r="B49" t="s">
        <v>2933</v>
      </c>
      <c r="C49" t="s">
        <v>6528</v>
      </c>
      <c r="D49" t="s">
        <v>5348</v>
      </c>
      <c r="E49" s="2" t="s">
        <v>6512</v>
      </c>
      <c r="F49" t="s">
        <v>76</v>
      </c>
      <c r="G49" s="3">
        <v>200047</v>
      </c>
      <c r="H49" t="str">
        <f t="shared" si="0"/>
        <v>Enderby</v>
      </c>
      <c r="I49" t="str">
        <f t="shared" si="1"/>
        <v>Okanagan - Shuswap</v>
      </c>
    </row>
    <row r="50" spans="1:9" x14ac:dyDescent="0.3">
      <c r="A50" t="s">
        <v>5376</v>
      </c>
      <c r="B50" t="s">
        <v>2933</v>
      </c>
      <c r="C50" t="s">
        <v>6528</v>
      </c>
      <c r="D50" t="s">
        <v>5349</v>
      </c>
      <c r="E50" s="2" t="s">
        <v>6512</v>
      </c>
      <c r="F50" t="s">
        <v>76</v>
      </c>
      <c r="G50" s="3">
        <v>200048</v>
      </c>
      <c r="H50" t="str">
        <f t="shared" si="0"/>
        <v>Falkland</v>
      </c>
      <c r="I50" t="str">
        <f t="shared" si="1"/>
        <v>Okanagan - Shuswap</v>
      </c>
    </row>
    <row r="51" spans="1:9" x14ac:dyDescent="0.3">
      <c r="A51" t="s">
        <v>5376</v>
      </c>
      <c r="B51" t="s">
        <v>2933</v>
      </c>
      <c r="C51" t="s">
        <v>6528</v>
      </c>
      <c r="D51" t="s">
        <v>6479</v>
      </c>
      <c r="E51" s="2" t="s">
        <v>6512</v>
      </c>
      <c r="F51" t="s">
        <v>76</v>
      </c>
      <c r="G51" s="3">
        <v>200049</v>
      </c>
      <c r="H51" t="str">
        <f t="shared" si="0"/>
        <v>Lumby/Cherryville</v>
      </c>
      <c r="I51" t="str">
        <f t="shared" si="1"/>
        <v>Okanagan - Shuswap</v>
      </c>
    </row>
    <row r="52" spans="1:9" x14ac:dyDescent="0.3">
      <c r="A52" t="s">
        <v>5376</v>
      </c>
      <c r="B52" t="s">
        <v>2933</v>
      </c>
      <c r="C52" t="s">
        <v>6528</v>
      </c>
      <c r="D52" t="s">
        <v>24</v>
      </c>
      <c r="E52" s="2" t="s">
        <v>6512</v>
      </c>
      <c r="F52" t="s">
        <v>76</v>
      </c>
      <c r="G52" s="3">
        <v>200050</v>
      </c>
      <c r="H52" t="str">
        <f t="shared" si="0"/>
        <v>Salmon Arm</v>
      </c>
      <c r="I52" t="str">
        <f t="shared" si="1"/>
        <v>Okanagan - Shuswap</v>
      </c>
    </row>
    <row r="53" spans="1:9" x14ac:dyDescent="0.3">
      <c r="A53" t="s">
        <v>5376</v>
      </c>
      <c r="B53" t="s">
        <v>2933</v>
      </c>
      <c r="C53" t="s">
        <v>6528</v>
      </c>
      <c r="D53" t="s">
        <v>4332</v>
      </c>
      <c r="E53" s="2" t="s">
        <v>6512</v>
      </c>
      <c r="F53" t="s">
        <v>76</v>
      </c>
      <c r="G53" s="3">
        <v>200051</v>
      </c>
      <c r="H53" t="str">
        <f t="shared" si="0"/>
        <v>Sicamous</v>
      </c>
      <c r="I53" t="str">
        <f t="shared" si="1"/>
        <v>Okanagan - Shuswap</v>
      </c>
    </row>
    <row r="54" spans="1:9" x14ac:dyDescent="0.3">
      <c r="A54" t="s">
        <v>5376</v>
      </c>
      <c r="B54" t="s">
        <v>2933</v>
      </c>
      <c r="C54" t="s">
        <v>6528</v>
      </c>
      <c r="D54" t="s">
        <v>48</v>
      </c>
      <c r="E54" s="2" t="s">
        <v>6512</v>
      </c>
      <c r="F54" t="s">
        <v>76</v>
      </c>
      <c r="G54" s="3">
        <v>200052</v>
      </c>
      <c r="H54" t="str">
        <f t="shared" si="0"/>
        <v>Vernon</v>
      </c>
      <c r="I54" t="str">
        <f t="shared" si="1"/>
        <v>Okanagan - Shuswap</v>
      </c>
    </row>
    <row r="55" spans="1:9" x14ac:dyDescent="0.3">
      <c r="A55" t="s">
        <v>5376</v>
      </c>
      <c r="B55" t="s">
        <v>2940</v>
      </c>
      <c r="C55" t="s">
        <v>6529</v>
      </c>
      <c r="D55" t="s">
        <v>6480</v>
      </c>
      <c r="E55" s="2" t="s">
        <v>6512</v>
      </c>
      <c r="F55" t="s">
        <v>76</v>
      </c>
      <c r="G55" s="3">
        <v>200053</v>
      </c>
      <c r="H55" t="str">
        <f t="shared" si="0"/>
        <v>Crescent Spur To Horsey Creek</v>
      </c>
      <c r="I55" t="str">
        <f t="shared" si="1"/>
        <v>Robson</v>
      </c>
    </row>
    <row r="56" spans="1:9" x14ac:dyDescent="0.3">
      <c r="A56" t="s">
        <v>5376</v>
      </c>
      <c r="B56" t="s">
        <v>2940</v>
      </c>
      <c r="C56" t="s">
        <v>6529</v>
      </c>
      <c r="D56" t="s">
        <v>6481</v>
      </c>
      <c r="E56" s="2" t="s">
        <v>6512</v>
      </c>
      <c r="F56" t="s">
        <v>76</v>
      </c>
      <c r="G56" s="3">
        <v>200054</v>
      </c>
      <c r="H56" t="str">
        <f t="shared" si="0"/>
        <v>Horsey Ck-Border S To Albreda</v>
      </c>
      <c r="I56" t="str">
        <f t="shared" si="1"/>
        <v>Robson</v>
      </c>
    </row>
    <row r="57" spans="1:9" x14ac:dyDescent="0.3">
      <c r="A57" t="s">
        <v>5376</v>
      </c>
      <c r="B57" t="s">
        <v>2940</v>
      </c>
      <c r="C57" t="s">
        <v>6529</v>
      </c>
      <c r="D57" t="s">
        <v>6482</v>
      </c>
      <c r="E57" s="2" t="s">
        <v>6512</v>
      </c>
      <c r="F57" t="s">
        <v>76</v>
      </c>
      <c r="G57" s="3">
        <v>200055</v>
      </c>
      <c r="H57" t="str">
        <f t="shared" si="0"/>
        <v>Albreda To Mcmurphy</v>
      </c>
      <c r="I57" t="str">
        <f t="shared" si="1"/>
        <v>Robson</v>
      </c>
    </row>
    <row r="58" spans="1:9" x14ac:dyDescent="0.3">
      <c r="A58" t="s">
        <v>5376</v>
      </c>
      <c r="B58" t="s">
        <v>2932</v>
      </c>
      <c r="C58" t="s">
        <v>6530</v>
      </c>
      <c r="D58" t="s">
        <v>5359</v>
      </c>
      <c r="E58" s="2" t="s">
        <v>6512</v>
      </c>
      <c r="F58" t="s">
        <v>76</v>
      </c>
      <c r="G58" s="3">
        <v>200056</v>
      </c>
      <c r="H58" t="str">
        <f t="shared" si="0"/>
        <v>Revelstoke</v>
      </c>
      <c r="I58" t="str">
        <f t="shared" si="1"/>
        <v>Selkirk</v>
      </c>
    </row>
    <row r="59" spans="1:9" x14ac:dyDescent="0.3">
      <c r="A59" t="s">
        <v>5376</v>
      </c>
      <c r="B59" t="s">
        <v>2932</v>
      </c>
      <c r="C59" t="s">
        <v>6530</v>
      </c>
      <c r="D59" t="s">
        <v>5231</v>
      </c>
      <c r="E59" s="2" t="s">
        <v>6512</v>
      </c>
      <c r="F59" t="s">
        <v>76</v>
      </c>
      <c r="G59" s="3">
        <v>200057</v>
      </c>
      <c r="H59" t="str">
        <f t="shared" si="0"/>
        <v>Golden</v>
      </c>
      <c r="I59" t="str">
        <f t="shared" si="1"/>
        <v>Selkirk</v>
      </c>
    </row>
    <row r="60" spans="1:9" x14ac:dyDescent="0.3">
      <c r="A60" t="s">
        <v>5376</v>
      </c>
      <c r="B60" t="s">
        <v>2946</v>
      </c>
      <c r="C60" t="s">
        <v>6531</v>
      </c>
      <c r="D60" t="s">
        <v>5353</v>
      </c>
      <c r="E60" s="2" t="s">
        <v>6512</v>
      </c>
      <c r="F60" t="s">
        <v>76</v>
      </c>
      <c r="G60" s="3">
        <v>200058</v>
      </c>
      <c r="H60" t="str">
        <f t="shared" si="0"/>
        <v>Kitimat</v>
      </c>
      <c r="I60" t="str">
        <f t="shared" si="1"/>
        <v>Skeena</v>
      </c>
    </row>
    <row r="61" spans="1:9" x14ac:dyDescent="0.3">
      <c r="A61" t="s">
        <v>5376</v>
      </c>
      <c r="B61" t="s">
        <v>2946</v>
      </c>
      <c r="C61" t="s">
        <v>6531</v>
      </c>
      <c r="D61" t="s">
        <v>4251</v>
      </c>
      <c r="E61" s="2" t="s">
        <v>6512</v>
      </c>
      <c r="F61" t="s">
        <v>76</v>
      </c>
      <c r="G61" s="3">
        <v>200059</v>
      </c>
      <c r="H61" t="str">
        <f t="shared" si="0"/>
        <v>Terrace</v>
      </c>
      <c r="I61" t="str">
        <f t="shared" si="1"/>
        <v>Skeena</v>
      </c>
    </row>
    <row r="62" spans="1:9" x14ac:dyDescent="0.3">
      <c r="A62" t="s">
        <v>5376</v>
      </c>
      <c r="B62" t="s">
        <v>2936</v>
      </c>
      <c r="C62" t="s">
        <v>6532</v>
      </c>
      <c r="D62" t="s">
        <v>6483</v>
      </c>
      <c r="E62" s="2" t="s">
        <v>6512</v>
      </c>
      <c r="F62" t="s">
        <v>76</v>
      </c>
      <c r="G62" s="3">
        <v>200060</v>
      </c>
      <c r="H62" t="str">
        <f t="shared" si="0"/>
        <v>100 Mile-Clinton</v>
      </c>
      <c r="I62" t="str">
        <f t="shared" si="1"/>
        <v>South Cariboo</v>
      </c>
    </row>
    <row r="63" spans="1:9" x14ac:dyDescent="0.3">
      <c r="A63" t="s">
        <v>5376</v>
      </c>
      <c r="B63" t="s">
        <v>2936</v>
      </c>
      <c r="C63" t="s">
        <v>6532</v>
      </c>
      <c r="D63" t="s">
        <v>6484</v>
      </c>
      <c r="E63" s="2" t="s">
        <v>6512</v>
      </c>
      <c r="F63" t="s">
        <v>76</v>
      </c>
      <c r="G63" s="3">
        <v>200061</v>
      </c>
      <c r="H63" t="str">
        <f t="shared" si="0"/>
        <v>Lillooet-Goldbridge</v>
      </c>
      <c r="I63" t="str">
        <f t="shared" si="1"/>
        <v>South Cariboo</v>
      </c>
    </row>
    <row r="64" spans="1:9" x14ac:dyDescent="0.3">
      <c r="A64" t="s">
        <v>5376</v>
      </c>
      <c r="B64" t="s">
        <v>2936</v>
      </c>
      <c r="C64" t="s">
        <v>6532</v>
      </c>
      <c r="D64" t="s">
        <v>6485</v>
      </c>
      <c r="E64" s="2" t="s">
        <v>6512</v>
      </c>
      <c r="F64" t="s">
        <v>76</v>
      </c>
      <c r="G64" s="3">
        <v>200062</v>
      </c>
      <c r="H64" t="str">
        <f t="shared" si="0"/>
        <v>20 Mile-Spences Bridge</v>
      </c>
      <c r="I64" t="str">
        <f t="shared" si="1"/>
        <v>South Cariboo</v>
      </c>
    </row>
    <row r="65" spans="1:9" x14ac:dyDescent="0.3">
      <c r="A65" t="s">
        <v>5376</v>
      </c>
      <c r="B65" t="s">
        <v>2936</v>
      </c>
      <c r="C65" t="s">
        <v>6532</v>
      </c>
      <c r="D65" t="s">
        <v>5342</v>
      </c>
      <c r="E65" s="2" t="s">
        <v>6512</v>
      </c>
      <c r="F65" t="s">
        <v>76</v>
      </c>
      <c r="G65" s="3">
        <v>200063</v>
      </c>
      <c r="H65" t="str">
        <f t="shared" si="0"/>
        <v>Bridge Lake</v>
      </c>
      <c r="I65" t="str">
        <f t="shared" si="1"/>
        <v>South Cariboo</v>
      </c>
    </row>
    <row r="66" spans="1:9" x14ac:dyDescent="0.3">
      <c r="A66" t="s">
        <v>5376</v>
      </c>
      <c r="B66" t="s">
        <v>2923</v>
      </c>
      <c r="C66" t="s">
        <v>6533</v>
      </c>
      <c r="D66" t="s">
        <v>5345</v>
      </c>
      <c r="E66" s="2" t="s">
        <v>6512</v>
      </c>
      <c r="F66" t="s">
        <v>76</v>
      </c>
      <c r="G66" s="3">
        <v>200064</v>
      </c>
      <c r="H66" t="str">
        <f t="shared" si="0"/>
        <v>Cobble Hill</v>
      </c>
      <c r="I66" t="str">
        <f t="shared" si="1"/>
        <v>South Island</v>
      </c>
    </row>
    <row r="67" spans="1:9" x14ac:dyDescent="0.3">
      <c r="A67" t="s">
        <v>5376</v>
      </c>
      <c r="B67" t="s">
        <v>2923</v>
      </c>
      <c r="C67" t="s">
        <v>6533</v>
      </c>
      <c r="D67" t="s">
        <v>5354</v>
      </c>
      <c r="E67" s="2" t="s">
        <v>6512</v>
      </c>
      <c r="F67" t="s">
        <v>76</v>
      </c>
      <c r="G67" s="3">
        <v>200065</v>
      </c>
      <c r="H67" t="str">
        <f t="shared" ref="H67:H88" si="2">D67</f>
        <v>Lake Cowichan</v>
      </c>
      <c r="I67" t="str">
        <f t="shared" ref="I67:I88" si="3">B67</f>
        <v>South Island</v>
      </c>
    </row>
    <row r="68" spans="1:9" x14ac:dyDescent="0.3">
      <c r="A68" t="s">
        <v>5376</v>
      </c>
      <c r="B68" t="s">
        <v>2923</v>
      </c>
      <c r="C68" t="s">
        <v>6533</v>
      </c>
      <c r="D68" t="s">
        <v>3297</v>
      </c>
      <c r="E68" s="2" t="s">
        <v>6512</v>
      </c>
      <c r="F68" t="s">
        <v>76</v>
      </c>
      <c r="G68" s="3">
        <v>200066</v>
      </c>
      <c r="H68" t="str">
        <f t="shared" si="2"/>
        <v>Duncan</v>
      </c>
      <c r="I68" t="str">
        <f t="shared" si="3"/>
        <v>South Island</v>
      </c>
    </row>
    <row r="69" spans="1:9" x14ac:dyDescent="0.3">
      <c r="A69" t="s">
        <v>5376</v>
      </c>
      <c r="B69" t="s">
        <v>2923</v>
      </c>
      <c r="C69" t="s">
        <v>6533</v>
      </c>
      <c r="D69" t="s">
        <v>5388</v>
      </c>
      <c r="E69" s="2" t="s">
        <v>6512</v>
      </c>
      <c r="F69" t="s">
        <v>76</v>
      </c>
      <c r="G69" s="3">
        <v>200067</v>
      </c>
      <c r="H69" t="str">
        <f t="shared" si="2"/>
        <v>Saanich Peninsula</v>
      </c>
      <c r="I69" t="str">
        <f t="shared" si="3"/>
        <v>South Island</v>
      </c>
    </row>
    <row r="70" spans="1:9" x14ac:dyDescent="0.3">
      <c r="A70" t="s">
        <v>5376</v>
      </c>
      <c r="B70" t="s">
        <v>2923</v>
      </c>
      <c r="C70" t="s">
        <v>6533</v>
      </c>
      <c r="D70" t="s">
        <v>6486</v>
      </c>
      <c r="E70" s="2" t="s">
        <v>6512</v>
      </c>
      <c r="F70" t="s">
        <v>76</v>
      </c>
      <c r="G70" s="3">
        <v>200068</v>
      </c>
      <c r="H70" t="str">
        <f t="shared" si="2"/>
        <v>Western Communities</v>
      </c>
      <c r="I70" t="str">
        <f t="shared" si="3"/>
        <v>South Island</v>
      </c>
    </row>
    <row r="71" spans="1:9" x14ac:dyDescent="0.3">
      <c r="A71" t="s">
        <v>5376</v>
      </c>
      <c r="B71" t="s">
        <v>2929</v>
      </c>
      <c r="C71" t="s">
        <v>6534</v>
      </c>
      <c r="D71" t="s">
        <v>6487</v>
      </c>
      <c r="E71" s="2" t="s">
        <v>6512</v>
      </c>
      <c r="F71" t="s">
        <v>76</v>
      </c>
      <c r="G71" s="3">
        <v>200069</v>
      </c>
      <c r="H71" t="str">
        <f t="shared" si="2"/>
        <v>Penticton Rd. Management Area</v>
      </c>
      <c r="I71" t="str">
        <f t="shared" si="3"/>
        <v>South Okanagan</v>
      </c>
    </row>
    <row r="72" spans="1:9" x14ac:dyDescent="0.3">
      <c r="A72" t="s">
        <v>5376</v>
      </c>
      <c r="B72" t="s">
        <v>2929</v>
      </c>
      <c r="C72" t="s">
        <v>6534</v>
      </c>
      <c r="D72" t="s">
        <v>6488</v>
      </c>
      <c r="E72" s="2" t="s">
        <v>6512</v>
      </c>
      <c r="F72" t="s">
        <v>76</v>
      </c>
      <c r="G72" s="3">
        <v>200070</v>
      </c>
      <c r="H72" t="str">
        <f t="shared" si="2"/>
        <v>Kelowna Road Management Area</v>
      </c>
      <c r="I72" t="str">
        <f t="shared" si="3"/>
        <v>South Okanagan</v>
      </c>
    </row>
    <row r="73" spans="1:9" x14ac:dyDescent="0.3">
      <c r="A73" t="s">
        <v>5376</v>
      </c>
      <c r="B73" t="s">
        <v>2929</v>
      </c>
      <c r="C73" t="s">
        <v>6534</v>
      </c>
      <c r="D73" t="s">
        <v>6489</v>
      </c>
      <c r="E73" s="2" t="s">
        <v>6512</v>
      </c>
      <c r="F73" t="s">
        <v>76</v>
      </c>
      <c r="G73" s="3">
        <v>200071</v>
      </c>
      <c r="H73" t="str">
        <f t="shared" si="2"/>
        <v>Princeton Road Management Area</v>
      </c>
      <c r="I73" t="str">
        <f t="shared" si="3"/>
        <v>South Okanagan</v>
      </c>
    </row>
    <row r="74" spans="1:9" x14ac:dyDescent="0.3">
      <c r="A74" t="s">
        <v>5376</v>
      </c>
      <c r="B74" t="s">
        <v>2929</v>
      </c>
      <c r="C74" t="s">
        <v>6534</v>
      </c>
      <c r="D74" t="s">
        <v>6490</v>
      </c>
      <c r="E74" s="2" t="s">
        <v>6512</v>
      </c>
      <c r="F74" t="s">
        <v>76</v>
      </c>
      <c r="G74" s="3">
        <v>200072</v>
      </c>
      <c r="H74" t="str">
        <f t="shared" si="2"/>
        <v>Oliver/Osoyoos Rd. Mgmt. Area</v>
      </c>
      <c r="I74" t="str">
        <f t="shared" si="3"/>
        <v>South Okanagan</v>
      </c>
    </row>
    <row r="75" spans="1:9" x14ac:dyDescent="0.3">
      <c r="A75" t="s">
        <v>5376</v>
      </c>
      <c r="B75" t="s">
        <v>2929</v>
      </c>
      <c r="C75" t="s">
        <v>6534</v>
      </c>
      <c r="D75" t="s">
        <v>6491</v>
      </c>
      <c r="E75" s="2" t="s">
        <v>6512</v>
      </c>
      <c r="F75" t="s">
        <v>76</v>
      </c>
      <c r="G75" s="3">
        <v>200073</v>
      </c>
      <c r="H75" t="str">
        <f t="shared" si="2"/>
        <v>Peachland/Westbank Rd.Mgt.Area</v>
      </c>
      <c r="I75" t="str">
        <f t="shared" si="3"/>
        <v>South Okanagan</v>
      </c>
    </row>
    <row r="76" spans="1:9" x14ac:dyDescent="0.3">
      <c r="A76" t="s">
        <v>5376</v>
      </c>
      <c r="B76" t="s">
        <v>2941</v>
      </c>
      <c r="C76" t="s">
        <v>6535</v>
      </c>
      <c r="D76" t="s">
        <v>5131</v>
      </c>
      <c r="E76" s="2" t="s">
        <v>6512</v>
      </c>
      <c r="F76" t="s">
        <v>76</v>
      </c>
      <c r="G76" s="3">
        <v>200074</v>
      </c>
      <c r="H76" t="str">
        <f t="shared" si="2"/>
        <v>Chetwynd</v>
      </c>
      <c r="I76" t="str">
        <f t="shared" si="3"/>
        <v>South Peace</v>
      </c>
    </row>
    <row r="77" spans="1:9" x14ac:dyDescent="0.3">
      <c r="A77" t="s">
        <v>5376</v>
      </c>
      <c r="B77" t="s">
        <v>2941</v>
      </c>
      <c r="C77" t="s">
        <v>6535</v>
      </c>
      <c r="D77" t="s">
        <v>17</v>
      </c>
      <c r="E77" s="2" t="s">
        <v>6512</v>
      </c>
      <c r="F77" t="s">
        <v>76</v>
      </c>
      <c r="G77" s="3">
        <v>200075</v>
      </c>
      <c r="H77" t="str">
        <f t="shared" si="2"/>
        <v>Dawson Creek</v>
      </c>
      <c r="I77" t="str">
        <f t="shared" si="3"/>
        <v>South Peace</v>
      </c>
    </row>
    <row r="78" spans="1:9" x14ac:dyDescent="0.3">
      <c r="A78" t="s">
        <v>5376</v>
      </c>
      <c r="B78" t="s">
        <v>2941</v>
      </c>
      <c r="C78" t="s">
        <v>6535</v>
      </c>
      <c r="D78" t="s">
        <v>5361</v>
      </c>
      <c r="E78" s="2" t="s">
        <v>6512</v>
      </c>
      <c r="F78" t="s">
        <v>76</v>
      </c>
      <c r="G78" s="3">
        <v>200076</v>
      </c>
      <c r="H78" t="str">
        <f t="shared" si="2"/>
        <v>Tumbler Ridge</v>
      </c>
      <c r="I78" t="str">
        <f t="shared" si="3"/>
        <v>South Peace</v>
      </c>
    </row>
    <row r="79" spans="1:9" x14ac:dyDescent="0.3">
      <c r="A79" t="s">
        <v>5376</v>
      </c>
      <c r="B79" t="s">
        <v>2948</v>
      </c>
      <c r="C79" t="s">
        <v>6536</v>
      </c>
      <c r="D79" t="s">
        <v>3705</v>
      </c>
      <c r="E79" s="2" t="s">
        <v>6512</v>
      </c>
      <c r="F79" t="s">
        <v>76</v>
      </c>
      <c r="G79" s="3">
        <v>200077</v>
      </c>
      <c r="H79" t="str">
        <f t="shared" si="2"/>
        <v>Atlin</v>
      </c>
      <c r="I79" t="str">
        <f t="shared" si="3"/>
        <v>Stikine</v>
      </c>
    </row>
    <row r="80" spans="1:9" x14ac:dyDescent="0.3">
      <c r="A80" t="s">
        <v>5376</v>
      </c>
      <c r="B80" t="s">
        <v>2948</v>
      </c>
      <c r="C80" t="s">
        <v>6536</v>
      </c>
      <c r="D80" t="s">
        <v>6492</v>
      </c>
      <c r="E80" s="2" t="s">
        <v>6512</v>
      </c>
      <c r="F80" t="s">
        <v>76</v>
      </c>
      <c r="G80" s="3">
        <v>200078</v>
      </c>
      <c r="H80" t="str">
        <f t="shared" si="2"/>
        <v>Iskut &amp; Bob Quinn</v>
      </c>
      <c r="I80" t="str">
        <f t="shared" si="3"/>
        <v>Stikine</v>
      </c>
    </row>
    <row r="81" spans="1:9" x14ac:dyDescent="0.3">
      <c r="A81" t="s">
        <v>5376</v>
      </c>
      <c r="B81" t="s">
        <v>2948</v>
      </c>
      <c r="C81" t="s">
        <v>6536</v>
      </c>
      <c r="D81" t="s">
        <v>5347</v>
      </c>
      <c r="E81" s="2" t="s">
        <v>6512</v>
      </c>
      <c r="F81" t="s">
        <v>76</v>
      </c>
      <c r="G81" s="3">
        <v>200079</v>
      </c>
      <c r="H81" t="str">
        <f t="shared" si="2"/>
        <v>Dease Lake</v>
      </c>
      <c r="I81" t="str">
        <f t="shared" si="3"/>
        <v>Stikine</v>
      </c>
    </row>
    <row r="82" spans="1:9" x14ac:dyDescent="0.3">
      <c r="A82" t="s">
        <v>5376</v>
      </c>
      <c r="B82" t="s">
        <v>2948</v>
      </c>
      <c r="C82" t="s">
        <v>6536</v>
      </c>
      <c r="D82" t="s">
        <v>5360</v>
      </c>
      <c r="E82" s="2" t="s">
        <v>6512</v>
      </c>
      <c r="F82" t="s">
        <v>76</v>
      </c>
      <c r="G82" s="3">
        <v>200080</v>
      </c>
      <c r="H82" t="str">
        <f t="shared" si="2"/>
        <v>Telegraph Creek</v>
      </c>
      <c r="I82" t="str">
        <f t="shared" si="3"/>
        <v>Stikine</v>
      </c>
    </row>
    <row r="83" spans="1:9" x14ac:dyDescent="0.3">
      <c r="A83" t="s">
        <v>5376</v>
      </c>
      <c r="B83" t="s">
        <v>2927</v>
      </c>
      <c r="C83" t="s">
        <v>6537</v>
      </c>
      <c r="D83" t="s">
        <v>5356</v>
      </c>
      <c r="E83" s="2" t="s">
        <v>6512</v>
      </c>
      <c r="F83" t="s">
        <v>76</v>
      </c>
      <c r="G83" s="3">
        <v>200081</v>
      </c>
      <c r="H83" t="str">
        <f t="shared" si="2"/>
        <v>Powell River</v>
      </c>
      <c r="I83" t="str">
        <f t="shared" si="3"/>
        <v>Sunshine Coast</v>
      </c>
    </row>
    <row r="84" spans="1:9" x14ac:dyDescent="0.3">
      <c r="A84" t="s">
        <v>5376</v>
      </c>
      <c r="B84" t="s">
        <v>2935</v>
      </c>
      <c r="C84" t="s">
        <v>6538</v>
      </c>
      <c r="D84" t="s">
        <v>5341</v>
      </c>
      <c r="E84" s="2" t="s">
        <v>6512</v>
      </c>
      <c r="F84" t="s">
        <v>76</v>
      </c>
      <c r="G84" s="3">
        <v>200082</v>
      </c>
      <c r="H84" t="str">
        <f t="shared" si="2"/>
        <v>Barriere</v>
      </c>
      <c r="I84" t="str">
        <f t="shared" si="3"/>
        <v>Thompson</v>
      </c>
    </row>
    <row r="85" spans="1:9" x14ac:dyDescent="0.3">
      <c r="A85" t="s">
        <v>5376</v>
      </c>
      <c r="B85" t="s">
        <v>2935</v>
      </c>
      <c r="C85" t="s">
        <v>6538</v>
      </c>
      <c r="D85" t="s">
        <v>3689</v>
      </c>
      <c r="E85" s="2" t="s">
        <v>6512</v>
      </c>
      <c r="F85" t="s">
        <v>76</v>
      </c>
      <c r="G85" s="3">
        <v>200083</v>
      </c>
      <c r="H85" t="str">
        <f t="shared" si="2"/>
        <v>Clearwater</v>
      </c>
      <c r="I85" t="str">
        <f t="shared" si="3"/>
        <v>Thompson</v>
      </c>
    </row>
    <row r="86" spans="1:9" x14ac:dyDescent="0.3">
      <c r="A86" t="s">
        <v>5376</v>
      </c>
      <c r="B86" t="s">
        <v>2935</v>
      </c>
      <c r="C86" t="s">
        <v>6538</v>
      </c>
      <c r="D86" t="s">
        <v>6493</v>
      </c>
      <c r="E86" s="2" t="s">
        <v>6512</v>
      </c>
      <c r="F86" t="s">
        <v>76</v>
      </c>
      <c r="G86" s="3">
        <v>200084</v>
      </c>
      <c r="H86" t="str">
        <f t="shared" si="2"/>
        <v>Kamloops &amp; Savona</v>
      </c>
      <c r="I86" t="str">
        <f t="shared" si="3"/>
        <v>Thompson</v>
      </c>
    </row>
    <row r="87" spans="1:9" x14ac:dyDescent="0.3">
      <c r="A87" t="s">
        <v>5376</v>
      </c>
      <c r="B87" t="s">
        <v>2949</v>
      </c>
      <c r="C87" t="s">
        <v>6539</v>
      </c>
      <c r="D87" t="s">
        <v>2949</v>
      </c>
      <c r="E87" s="2" t="s">
        <v>6512</v>
      </c>
      <c r="F87" t="s">
        <v>76</v>
      </c>
      <c r="G87" s="3">
        <v>200085</v>
      </c>
      <c r="H87" t="str">
        <f t="shared" si="2"/>
        <v>NON-BC</v>
      </c>
      <c r="I87" t="str">
        <f t="shared" si="3"/>
        <v>NON-BC</v>
      </c>
    </row>
    <row r="88" spans="1:9" x14ac:dyDescent="0.3">
      <c r="A88" t="s">
        <v>5376</v>
      </c>
      <c r="B88" t="s">
        <v>2950</v>
      </c>
      <c r="C88" t="s">
        <v>6540</v>
      </c>
      <c r="D88" t="s">
        <v>2950</v>
      </c>
      <c r="E88" s="2" t="s">
        <v>6512</v>
      </c>
      <c r="F88" t="s">
        <v>76</v>
      </c>
      <c r="G88" s="3">
        <v>200086</v>
      </c>
      <c r="H88" t="str">
        <f t="shared" si="2"/>
        <v>Unknown</v>
      </c>
      <c r="I88" t="str">
        <f t="shared" si="3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2017-03-20T22:11:22Z</dcterms:modified>
</cp:coreProperties>
</file>