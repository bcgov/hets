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firstSheet="5" activeTab="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I77" i="40"/>
  <c r="I78" i="40"/>
  <c r="I58" i="40"/>
  <c r="I59" i="40"/>
  <c r="I7" i="40"/>
  <c r="I8" i="40"/>
  <c r="I9" i="40"/>
  <c r="I10" i="40"/>
  <c r="I11" i="40"/>
  <c r="I32" i="40"/>
  <c r="I33" i="40"/>
  <c r="I34" i="40"/>
  <c r="I35" i="40"/>
  <c r="I36" i="40"/>
  <c r="I37" i="40"/>
  <c r="I38" i="40"/>
  <c r="I39" i="40"/>
  <c r="I40" i="40"/>
  <c r="I61" i="40"/>
  <c r="I20" i="40"/>
  <c r="I21" i="40"/>
  <c r="I22" i="40"/>
  <c r="I28" i="40"/>
  <c r="I29" i="40"/>
  <c r="I30" i="40"/>
  <c r="I31" i="40"/>
  <c r="I74" i="40"/>
  <c r="I75" i="40"/>
  <c r="I17" i="40"/>
  <c r="I18" i="40"/>
  <c r="I19" i="40"/>
  <c r="I72" i="40"/>
  <c r="I73" i="40"/>
  <c r="I50" i="40"/>
  <c r="I60" i="40"/>
  <c r="I81" i="40"/>
  <c r="I82" i="40"/>
  <c r="I12" i="40"/>
  <c r="I13" i="40"/>
  <c r="I14" i="40"/>
  <c r="I15" i="40"/>
  <c r="I68" i="40"/>
  <c r="I69" i="40"/>
  <c r="I70" i="40"/>
  <c r="I71" i="40"/>
  <c r="I43" i="40"/>
  <c r="I44" i="40"/>
  <c r="I45" i="40"/>
  <c r="I46" i="40"/>
  <c r="I47" i="40"/>
  <c r="I48" i="40"/>
  <c r="I49" i="40"/>
  <c r="I62" i="40"/>
  <c r="I63" i="40"/>
  <c r="I64" i="40"/>
  <c r="I41" i="40"/>
  <c r="I42" i="40"/>
  <c r="I79" i="40"/>
  <c r="I80" i="40"/>
  <c r="I54" i="40"/>
  <c r="I55" i="40"/>
  <c r="I56" i="40"/>
  <c r="I57" i="40"/>
  <c r="I2" i="40"/>
  <c r="I3" i="40"/>
  <c r="I4" i="40"/>
  <c r="I5" i="40"/>
  <c r="I6" i="40"/>
  <c r="I23" i="40"/>
  <c r="I24" i="40"/>
  <c r="I25" i="40"/>
  <c r="I26" i="40"/>
  <c r="I27" i="40"/>
  <c r="I65" i="40"/>
  <c r="I66" i="40"/>
  <c r="I67" i="40"/>
  <c r="I83" i="40"/>
  <c r="I84" i="40"/>
  <c r="I85" i="40"/>
  <c r="I86" i="40"/>
  <c r="I16" i="40"/>
  <c r="I51" i="40"/>
  <c r="I52" i="40"/>
  <c r="I53" i="40"/>
  <c r="I87" i="40"/>
  <c r="I88" i="40"/>
  <c r="I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G117" i="27" l="1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3" i="42"/>
  <c r="E4" i="42"/>
  <c r="E1" i="42"/>
  <c r="E5" i="42"/>
  <c r="E2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<sst xmlns="http://schemas.openxmlformats.org/spreadsheetml/2006/main" count="21439" uniqueCount="7892">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</sst>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2006-06-21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VLOOKUP(H2,LocalAreas.csv!H:I,2,FALSE)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17807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732121</v>
      </c>
      <c r="Q2" t="str">
        <f ca="1">TEXT(TODAY()+RANDBETWEEN(-10,350),"YYYY-MM-DD")</f>
        <v>2017-11-25</v>
      </c>
      <c r="R2" t="str">
        <f ca="1">TEXT(TODAY()+RANDBETWEEN(-10,350),"YYYY-MM-DD")</f>
        <v>2018-01-15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2015-11-14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VLOOKUP(H3,LocalAreas.csv!H:I,2,FALSE)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15876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732105</v>
      </c>
      <c r="Q3" t="str">
        <f t="shared" ref="Q3:R66" ca="1" si="11">TEXT(TODAY()+RANDBETWEEN(-10,350),"YYYY-MM-DD")</f>
        <v>2017-05-23</v>
      </c>
      <c r="R3" t="str">
        <f t="shared" ca="1" si="11"/>
        <v>2017-09-22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2004-05-28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VLOOKUP(H4,LocalAreas.csv!H:I,2,FALSE)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13666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732086</v>
      </c>
      <c r="Q4" t="str">
        <f t="shared" ca="1" si="11"/>
        <v>2017-05-13</v>
      </c>
      <c r="R4" t="str">
        <f t="shared" ca="1" si="11"/>
        <v>2018-01-19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2012-07-19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VLOOKUP(H5,LocalAreas.csv!H:I,2,FALSE)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11664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732139</v>
      </c>
      <c r="Q5" t="str">
        <f t="shared" ca="1" si="11"/>
        <v>2017-12-03</v>
      </c>
      <c r="R5" t="str">
        <f t="shared" ca="1" si="11"/>
        <v>2017-11-20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2007-01-10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VLOOKUP(H6,LocalAreas.csv!H:I,2,FALSE)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14474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732066</v>
      </c>
      <c r="Q6" t="str">
        <f t="shared" ca="1" si="11"/>
        <v>2017-05-03</v>
      </c>
      <c r="R6" t="str">
        <f t="shared" ca="1" si="11"/>
        <v>2017-06-07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2012-06-27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VLOOKUP(H7,LocalAreas.csv!H:I,2,FALSE)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17379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732045</v>
      </c>
      <c r="Q7" t="str">
        <f t="shared" ca="1" si="11"/>
        <v>2017-07-06</v>
      </c>
      <c r="R7" t="str">
        <f t="shared" ca="1" si="11"/>
        <v>2017-11-27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2004-03-26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VLOOKUP(H8,LocalAreas.csv!H:I,2,FALSE)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14672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732151</v>
      </c>
      <c r="Q8" t="str">
        <f t="shared" ca="1" si="11"/>
        <v>2017-08-01</v>
      </c>
      <c r="R8" t="str">
        <f t="shared" ca="1" si="11"/>
        <v>2017-08-09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2011-08-21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VLOOKUP(H9,LocalAreas.csv!H:I,2,FALSE)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17034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732011</v>
      </c>
      <c r="Q9" t="str">
        <f t="shared" ca="1" si="11"/>
        <v>2017-05-30</v>
      </c>
      <c r="R9" t="str">
        <f t="shared" ca="1" si="11"/>
        <v>2017-08-06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2016-08-13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VLOOKUP(H10,LocalAreas.csv!H:I,2,FALSE)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10847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732122</v>
      </c>
      <c r="Q10" t="str">
        <f t="shared" ca="1" si="11"/>
        <v>2017-12-30</v>
      </c>
      <c r="R10" t="str">
        <f t="shared" ca="1" si="11"/>
        <v>2017-07-26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2007-07-22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VLOOKUP(H11,LocalAreas.csv!H:I,2,FALSE)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17228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732059</v>
      </c>
      <c r="Q11" t="str">
        <f t="shared" ca="1" si="11"/>
        <v>2017-12-28</v>
      </c>
      <c r="R11" t="str">
        <f t="shared" ca="1" si="11"/>
        <v>2017-05-13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2013-11-05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VLOOKUP(H12,LocalAreas.csv!H:I,2,FALSE)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13462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732083</v>
      </c>
      <c r="Q12" t="str">
        <f t="shared" ca="1" si="11"/>
        <v>2018-03-04</v>
      </c>
      <c r="R12" t="str">
        <f t="shared" ca="1" si="11"/>
        <v>2017-08-26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2012-01-15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VLOOKUP(H13,LocalAreas.csv!H:I,2,FALSE)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10106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732135</v>
      </c>
      <c r="Q13" t="str">
        <f t="shared" ca="1" si="11"/>
        <v>2017-06-25</v>
      </c>
      <c r="R13" t="str">
        <f ca="1">TEXT(TODAY()+RANDBETWEEN(-10,350),"YYYY-MM-DD")</f>
        <v>2017-10-29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2017-02-11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2008-04-17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VLOOKUP(H14,LocalAreas.csv!H:I,2,FALSE)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18111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732001</v>
      </c>
      <c r="Q14" t="str">
        <f t="shared" ca="1" si="11"/>
        <v>2017-03-25</v>
      </c>
      <c r="R14" t="str">
        <f t="shared" ca="1" si="11"/>
        <v>2017-06-13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2015-09-03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VLOOKUP(H15,LocalAreas.csv!H:I,2,FALSE)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12978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732015</v>
      </c>
      <c r="Q15" t="str">
        <f t="shared" ca="1" si="11"/>
        <v>2017-05-06</v>
      </c>
      <c r="R15" t="str">
        <f t="shared" ca="1" si="11"/>
        <v>2017-07-10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2010-03-15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VLOOKUP(H16,LocalAreas.csv!H:I,2,FALSE)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19342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732076</v>
      </c>
      <c r="Q16" t="str">
        <f t="shared" ca="1" si="11"/>
        <v>2018-01-02</v>
      </c>
      <c r="R16" t="str">
        <f t="shared" ca="1" si="11"/>
        <v>2017-10-29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2013-01-27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VLOOKUP(H17,LocalAreas.csv!H:I,2,FALSE)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16671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732127</v>
      </c>
      <c r="Q17" t="str">
        <f t="shared" ca="1" si="11"/>
        <v>2017-12-01</v>
      </c>
      <c r="R17" t="str">
        <f t="shared" ca="1" si="11"/>
        <v>2018-01-14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2005-01-11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VLOOKUP(H18,LocalAreas.csv!H:I,2,FALSE)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15609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732066</v>
      </c>
      <c r="Q18" t="str">
        <f t="shared" ca="1" si="11"/>
        <v>2017-09-24</v>
      </c>
      <c r="R18" t="str">
        <f t="shared" ca="1" si="11"/>
        <v>2017-04-15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2010-07-27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VLOOKUP(H19,LocalAreas.csv!H:I,2,FALSE)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15861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732186</v>
      </c>
      <c r="Q19" t="str">
        <f t="shared" ca="1" si="11"/>
        <v>2017-09-15</v>
      </c>
      <c r="R19" t="str">
        <f t="shared" ca="1" si="11"/>
        <v>2017-07-13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2004-05-14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VLOOKUP(H20,LocalAreas.csv!H:I,2,FALSE)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15092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732055</v>
      </c>
      <c r="Q20" t="str">
        <f t="shared" ca="1" si="11"/>
        <v>2017-10-13</v>
      </c>
      <c r="R20" t="str">
        <f t="shared" ca="1" si="11"/>
        <v>2017-06-09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2015-06-14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VLOOKUP(H21,LocalAreas.csv!H:I,2,FALSE)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13450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732124</v>
      </c>
      <c r="Q21" t="str">
        <f t="shared" ca="1" si="11"/>
        <v>2018-01-10</v>
      </c>
      <c r="R21" t="str">
        <f t="shared" ca="1" si="11"/>
        <v>2017-07-29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2007-07-18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VLOOKUP(H22,LocalAreas.csv!H:I,2,FALSE)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16390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732164</v>
      </c>
      <c r="Q22" t="str">
        <f t="shared" ca="1" si="11"/>
        <v>2017-12-08</v>
      </c>
      <c r="R22" t="str">
        <f t="shared" ca="1" si="11"/>
        <v>2017-06-08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2006-01-07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VLOOKUP(H23,LocalAreas.csv!H:I,2,FALSE)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16842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732178</v>
      </c>
      <c r="Q23" t="str">
        <f t="shared" ca="1" si="11"/>
        <v>2017-10-26</v>
      </c>
      <c r="R23" t="str">
        <f t="shared" ca="1" si="11"/>
        <v>2017-12-29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2005-02-05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VLOOKUP(H24,LocalAreas.csv!H:I,2,FALSE)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15425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732000</v>
      </c>
      <c r="Q24" t="str">
        <f t="shared" ca="1" si="11"/>
        <v>2018-01-14</v>
      </c>
      <c r="R24" t="str">
        <f t="shared" ca="1" si="11"/>
        <v>2017-06-10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2010-09-06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VLOOKUP(H25,LocalAreas.csv!H:I,2,FALSE)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19549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732153</v>
      </c>
      <c r="Q25" t="str">
        <f t="shared" ca="1" si="11"/>
        <v>2017-05-18</v>
      </c>
      <c r="R25" t="str">
        <f t="shared" ca="1" si="11"/>
        <v>2018-02-26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2010-02-24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VLOOKUP(H26,LocalAreas.csv!H:I,2,FALSE)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15601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732075</v>
      </c>
      <c r="Q26" t="str">
        <f t="shared" ca="1" si="11"/>
        <v>2017-04-17</v>
      </c>
      <c r="R26" t="str">
        <f t="shared" ca="1" si="11"/>
        <v>2017-08-14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2015-05-07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VLOOKUP(H27,LocalAreas.csv!H:I,2,FALSE)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10753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732089</v>
      </c>
      <c r="Q27" t="str">
        <f t="shared" ca="1" si="11"/>
        <v>2017-10-18</v>
      </c>
      <c r="R27" t="str">
        <f t="shared" ca="1" si="11"/>
        <v>2018-01-09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2012-01-06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VLOOKUP(H28,LocalAreas.csv!H:I,2,FALSE)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11461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732069</v>
      </c>
      <c r="Q28" t="str">
        <f t="shared" ca="1" si="11"/>
        <v>2018-01-15</v>
      </c>
      <c r="R28" t="str">
        <f t="shared" ca="1" si="11"/>
        <v>2017-07-26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2004-05-06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VLOOKUP(H29,LocalAreas.csv!H:I,2,FALSE)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16499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732175</v>
      </c>
      <c r="Q29" t="str">
        <f t="shared" ca="1" si="11"/>
        <v>2018-02-12</v>
      </c>
      <c r="R29" t="str">
        <f t="shared" ca="1" si="11"/>
        <v>2018-02-24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2006-01-21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VLOOKUP(H30,LocalAreas.csv!H:I,2,FALSE)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10384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732044</v>
      </c>
      <c r="Q30" t="str">
        <f t="shared" ca="1" si="11"/>
        <v>2017-03-12</v>
      </c>
      <c r="R30" t="str">
        <f t="shared" ca="1" si="11"/>
        <v>2017-10-12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2008-08-06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VLOOKUP(H31,LocalAreas.csv!H:I,2,FALSE)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12454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732098</v>
      </c>
      <c r="Q31" t="str">
        <f t="shared" ca="1" si="11"/>
        <v>2017-06-18</v>
      </c>
      <c r="R31" t="str">
        <f t="shared" ca="1" si="11"/>
        <v>2017-04-24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2013-11-29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VLOOKUP(H32,LocalAreas.csv!H:I,2,FALSE)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16619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732163</v>
      </c>
      <c r="Q32" t="str">
        <f t="shared" ca="1" si="11"/>
        <v>2017-10-18</v>
      </c>
      <c r="R32" t="str">
        <f t="shared" ca="1" si="11"/>
        <v>2017-07-05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2005-11-03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VLOOKUP(H33,LocalAreas.csv!H:I,2,FALSE)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19578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732090</v>
      </c>
      <c r="Q33" t="str">
        <f t="shared" ca="1" si="11"/>
        <v>2017-05-17</v>
      </c>
      <c r="R33" t="str">
        <f t="shared" ca="1" si="11"/>
        <v>2017-11-08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2012-12-29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VLOOKUP(H34,LocalAreas.csv!H:I,2,FALSE)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15969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732097</v>
      </c>
      <c r="Q34" t="str">
        <f t="shared" ca="1" si="11"/>
        <v>2017-06-30</v>
      </c>
      <c r="R34" t="str">
        <f t="shared" ca="1" si="11"/>
        <v>2017-12-09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2010-01-04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VLOOKUP(H35,LocalAreas.csv!H:I,2,FALSE)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16612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732195</v>
      </c>
      <c r="Q35" t="str">
        <f t="shared" ca="1" si="11"/>
        <v>2017-07-05</v>
      </c>
      <c r="R35" t="str">
        <f t="shared" ca="1" si="11"/>
        <v>2017-03-18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2012-09-27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VLOOKUP(H36,LocalAreas.csv!H:I,2,FALSE)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18530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732083</v>
      </c>
      <c r="Q36" t="str">
        <f t="shared" ca="1" si="11"/>
        <v>2017-11-10</v>
      </c>
      <c r="R36" t="str">
        <f t="shared" ca="1" si="11"/>
        <v>2017-06-22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2011-10-09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VLOOKUP(H37,LocalAreas.csv!H:I,2,FALSE)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16773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732124</v>
      </c>
      <c r="Q37" t="str">
        <f t="shared" ca="1" si="11"/>
        <v>2017-12-25</v>
      </c>
      <c r="R37" t="str">
        <f t="shared" ca="1" si="11"/>
        <v>2017-07-20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2011-08-04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VLOOKUP(H38,LocalAreas.csv!H:I,2,FALSE)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15869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732035</v>
      </c>
      <c r="Q38" t="str">
        <f t="shared" ca="1" si="11"/>
        <v>2017-06-02</v>
      </c>
      <c r="R38" t="str">
        <f t="shared" ca="1" si="11"/>
        <v>2017-11-06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2007-11-20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VLOOKUP(H39,LocalAreas.csv!H:I,2,FALSE)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10624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732037</v>
      </c>
      <c r="Q39" t="str">
        <f t="shared" ca="1" si="11"/>
        <v>2017-05-31</v>
      </c>
      <c r="R39" t="str">
        <f t="shared" ca="1" si="11"/>
        <v>2017-04-22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2011-10-12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VLOOKUP(H40,LocalAreas.csv!H:I,2,FALSE)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17071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732028</v>
      </c>
      <c r="Q40" t="str">
        <f t="shared" ca="1" si="11"/>
        <v>2017-06-01</v>
      </c>
      <c r="R40" t="str">
        <f t="shared" ca="1" si="11"/>
        <v>2017-12-12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2009-05-03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VLOOKUP(H41,LocalAreas.csv!H:I,2,FALSE)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10036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732198</v>
      </c>
      <c r="Q41" t="str">
        <f t="shared" ca="1" si="11"/>
        <v>2017-06-28</v>
      </c>
      <c r="R41" t="str">
        <f t="shared" ca="1" si="11"/>
        <v>2018-01-21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2008-10-25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VLOOKUP(H42,LocalAreas.csv!H:I,2,FALSE)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14676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732179</v>
      </c>
      <c r="Q42" t="str">
        <f t="shared" ca="1" si="11"/>
        <v>2017-12-07</v>
      </c>
      <c r="R42" t="str">
        <f t="shared" ca="1" si="11"/>
        <v>2018-01-04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2011-03-20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VLOOKUP(H43,LocalAreas.csv!H:I,2,FALSE)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10812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732142</v>
      </c>
      <c r="Q43" t="str">
        <f t="shared" ca="1" si="11"/>
        <v>2017-12-23</v>
      </c>
      <c r="R43" t="str">
        <f t="shared" ca="1" si="11"/>
        <v>2017-03-28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2005-03-23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VLOOKUP(H44,LocalAreas.csv!H:I,2,FALSE)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10271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732042</v>
      </c>
      <c r="Q44" t="str">
        <f t="shared" ca="1" si="11"/>
        <v>2017-09-16</v>
      </c>
      <c r="R44" t="str">
        <f t="shared" ca="1" si="11"/>
        <v>2018-02-26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2008-01-28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VLOOKUP(H45,LocalAreas.csv!H:I,2,FALSE)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10237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732083</v>
      </c>
      <c r="Q45" t="str">
        <f t="shared" ca="1" si="11"/>
        <v>2018-02-04</v>
      </c>
      <c r="R45" t="str">
        <f t="shared" ca="1" si="11"/>
        <v>2018-02-17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2015-11-15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VLOOKUP(H46,LocalAreas.csv!H:I,2,FALSE)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11805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732166</v>
      </c>
      <c r="Q46" t="str">
        <f t="shared" ca="1" si="11"/>
        <v>2017-10-31</v>
      </c>
      <c r="R46" t="str">
        <f t="shared" ca="1" si="11"/>
        <v>2018-03-02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2011-04-16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VLOOKUP(H47,LocalAreas.csv!H:I,2,FALSE)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17023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732141</v>
      </c>
      <c r="Q47" t="str">
        <f t="shared" ca="1" si="11"/>
        <v>2017-10-19</v>
      </c>
      <c r="R47" t="str">
        <f t="shared" ca="1" si="11"/>
        <v>2017-12-06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2011-01-18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VLOOKUP(H48,LocalAreas.csv!H:I,2,FALSE)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17989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732089</v>
      </c>
      <c r="Q48" t="str">
        <f t="shared" ca="1" si="11"/>
        <v>2017-07-12</v>
      </c>
      <c r="R48" t="str">
        <f t="shared" ca="1" si="11"/>
        <v>2018-02-25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2005-08-29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VLOOKUP(H49,LocalAreas.csv!H:I,2,FALSE)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17114</v>
      </c>
      <c r="N49" t="str">
        <f t="shared" ca="1" si="8"/>
        <v>rg:True</v>
      </c>
      <c r="O49" t="str">
        <f t="shared" ca="1" si="9"/>
        <v>rg:True</v>
      </c>
      <c r="P49">
        <f t="shared" ca="1" si="10"/>
        <v>732152</v>
      </c>
      <c r="Q49" t="str">
        <f t="shared" ca="1" si="11"/>
        <v>2017-10-30</v>
      </c>
      <c r="R49" t="str">
        <f t="shared" ca="1" si="11"/>
        <v>2017-06-23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2012-01-13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VLOOKUP(H50,LocalAreas.csv!H:I,2,FALSE)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14671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732103</v>
      </c>
      <c r="Q50" t="str">
        <f t="shared" ca="1" si="11"/>
        <v>2017-09-23</v>
      </c>
      <c r="R50" t="str">
        <f t="shared" ca="1" si="11"/>
        <v>2017-12-21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2009-11-05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VLOOKUP(H51,LocalAreas.csv!H:I,2,FALSE)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15694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732039</v>
      </c>
      <c r="Q51" t="str">
        <f t="shared" ca="1" si="11"/>
        <v>2017-11-03</v>
      </c>
      <c r="R51" t="str">
        <f t="shared" ca="1" si="11"/>
        <v>2017-07-20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2016-03-09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VLOOKUP(H52,LocalAreas.csv!H:I,2,FALSE)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13520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732152</v>
      </c>
      <c r="Q52" t="str">
        <f t="shared" ca="1" si="11"/>
        <v>2017-10-17</v>
      </c>
      <c r="R52" t="str">
        <f t="shared" ca="1" si="11"/>
        <v>2017-03-26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2010-06-01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VLOOKUP(H53,LocalAreas.csv!H:I,2,FALSE)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10416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732023</v>
      </c>
      <c r="Q53" t="str">
        <f t="shared" ca="1" si="11"/>
        <v>2017-12-15</v>
      </c>
      <c r="R53" t="str">
        <f t="shared" ca="1" si="11"/>
        <v>2018-01-08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2009-06-23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VLOOKUP(H54,LocalAreas.csv!H:I,2,FALSE)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19652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732194</v>
      </c>
      <c r="Q54" t="str">
        <f t="shared" ca="1" si="11"/>
        <v>2017-04-04</v>
      </c>
      <c r="R54" t="str">
        <f t="shared" ca="1" si="11"/>
        <v>2017-04-12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2013-09-20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VLOOKUP(H55,LocalAreas.csv!H:I,2,FALSE)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14091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732006</v>
      </c>
      <c r="Q55" t="str">
        <f t="shared" ca="1" si="11"/>
        <v>2017-11-27</v>
      </c>
      <c r="R55" t="str">
        <f t="shared" ca="1" si="11"/>
        <v>2017-06-27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2009-10-07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VLOOKUP(H56,LocalAreas.csv!H:I,2,FALSE)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19050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732052</v>
      </c>
      <c r="Q56" t="str">
        <f t="shared" ca="1" si="11"/>
        <v>2017-12-04</v>
      </c>
      <c r="R56" t="str">
        <f t="shared" ca="1" si="11"/>
        <v>2017-09-01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2009-06-30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VLOOKUP(H57,LocalAreas.csv!H:I,2,FALSE)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17667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732034</v>
      </c>
      <c r="Q57" t="str">
        <f t="shared" ca="1" si="11"/>
        <v>2017-09-09</v>
      </c>
      <c r="R57" t="str">
        <f t="shared" ca="1" si="11"/>
        <v>2017-10-03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2012-05-29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VLOOKUP(H58,LocalAreas.csv!H:I,2,FALSE)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15543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732056</v>
      </c>
      <c r="Q58" t="str">
        <f t="shared" ca="1" si="11"/>
        <v>2017-04-06</v>
      </c>
      <c r="R58" t="str">
        <f t="shared" ca="1" si="11"/>
        <v>2017-12-21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2016-03-11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VLOOKUP(H59,LocalAreas.csv!H:I,2,FALSE)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12110</v>
      </c>
      <c r="N59" t="str">
        <f t="shared" ca="1" si="8"/>
        <v>rg:True</v>
      </c>
      <c r="O59" t="str">
        <f t="shared" ca="1" si="9"/>
        <v>rg:True</v>
      </c>
      <c r="P59">
        <f t="shared" ca="1" si="10"/>
        <v>732095</v>
      </c>
      <c r="Q59" t="str">
        <f t="shared" ca="1" si="11"/>
        <v>2017-12-18</v>
      </c>
      <c r="R59" t="str">
        <f t="shared" ca="1" si="11"/>
        <v>2017-10-27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2008-12-18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VLOOKUP(H60,LocalAreas.csv!H:I,2,FALSE)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11991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732062</v>
      </c>
      <c r="Q60" t="str">
        <f t="shared" ca="1" si="11"/>
        <v>2017-03-17</v>
      </c>
      <c r="R60" t="str">
        <f t="shared" ca="1" si="11"/>
        <v>2017-10-22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2004-11-27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VLOOKUP(H61,LocalAreas.csv!H:I,2,FALSE)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15226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732141</v>
      </c>
      <c r="Q61" t="str">
        <f t="shared" ca="1" si="11"/>
        <v>2018-03-04</v>
      </c>
      <c r="R61" t="str">
        <f t="shared" ca="1" si="11"/>
        <v>2017-06-11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2013-02-27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VLOOKUP(H62,LocalAreas.csv!H:I,2,FALSE)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10726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732127</v>
      </c>
      <c r="Q62" t="str">
        <f t="shared" ca="1" si="11"/>
        <v>2017-12-20</v>
      </c>
      <c r="R62" t="str">
        <f t="shared" ca="1" si="11"/>
        <v>2017-04-19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2013-01-20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VLOOKUP(H63,LocalAreas.csv!H:I,2,FALSE)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16234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732064</v>
      </c>
      <c r="Q63" t="str">
        <f t="shared" ca="1" si="11"/>
        <v>2017-08-16</v>
      </c>
      <c r="R63" t="str">
        <f t="shared" ca="1" si="11"/>
        <v>2018-02-10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2005-12-18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VLOOKUP(H64,LocalAreas.csv!H:I,2,FALSE)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16713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732065</v>
      </c>
      <c r="Q64" t="str">
        <f t="shared" ca="1" si="11"/>
        <v>2018-01-23</v>
      </c>
      <c r="R64" t="str">
        <f t="shared" ca="1" si="11"/>
        <v>2017-10-25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2007-04-21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VLOOKUP(H65,LocalAreas.csv!H:I,2,FALSE)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19125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732035</v>
      </c>
      <c r="Q65" t="str">
        <f t="shared" ca="1" si="11"/>
        <v>2017-11-09</v>
      </c>
      <c r="R65" t="str">
        <f t="shared" ca="1" si="11"/>
        <v>2018-03-05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2016-05-09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2010-12-29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VLOOKUP(H66,LocalAreas.csv!H:I,2,FALSE)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16465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732077</v>
      </c>
      <c r="Q66" t="str">
        <f t="shared" ca="1" si="11"/>
        <v>2018-02-02</v>
      </c>
      <c r="R66" t="str">
        <f t="shared" ca="1" si="11"/>
        <v>2018-02-23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2012-04-06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VLOOKUP(H67,LocalAreas.csv!H:I,2,FALSE)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17550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732185</v>
      </c>
      <c r="Q67" t="str">
        <f t="shared" ref="Q67:R109" ca="1" si="25">TEXT(TODAY()+RANDBETWEEN(-10,350),"YYYY-MM-DD")</f>
        <v>2017-09-04</v>
      </c>
      <c r="R67" t="str">
        <f t="shared" ca="1" si="25"/>
        <v>2017-07-13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2004-07-05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VLOOKUP(H68,LocalAreas.csv!H:I,2,FALSE)</f>
        <v>Cariboo</v>
      </c>
      <c r="J68" t="str">
        <f t="shared" si="15"/>
        <v>rg:{'id':'200003'}</v>
      </c>
      <c r="K68" t="s">
        <v>7615</v>
      </c>
      <c r="M68">
        <f t="shared" ca="1" si="21"/>
        <v>13808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732018</v>
      </c>
      <c r="Q68" t="str">
        <f t="shared" ca="1" si="25"/>
        <v>2017-03-22</v>
      </c>
      <c r="R68" t="str">
        <f t="shared" ca="1" si="25"/>
        <v>2017-05-28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2013-04-25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VLOOKUP(H69,LocalAreas.csv!H:I,2,FALSE)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14488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732042</v>
      </c>
      <c r="Q69" t="str">
        <f t="shared" ca="1" si="25"/>
        <v>2018-01-02</v>
      </c>
      <c r="R69" t="str">
        <f t="shared" ca="1" si="25"/>
        <v>2017-06-25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2013-06-22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VLOOKUP(H70,LocalAreas.csv!H:I,2,FALSE)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17190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732055</v>
      </c>
      <c r="Q70" t="str">
        <f t="shared" ca="1" si="25"/>
        <v>2017-11-21</v>
      </c>
      <c r="R70" t="str">
        <f t="shared" ca="1" si="25"/>
        <v>2017-07-19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2014-04-20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VLOOKUP(H71,LocalAreas.csv!H:I,2,FALSE)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19916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732168</v>
      </c>
      <c r="Q71" t="str">
        <f t="shared" ca="1" si="25"/>
        <v>2017-04-16</v>
      </c>
      <c r="R71" t="str">
        <f t="shared" ca="1" si="25"/>
        <v>2017-10-11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2005-07-01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VLOOKUP(H72,LocalAreas.csv!H:I,2,FALSE)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10721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732183</v>
      </c>
      <c r="Q72" t="str">
        <f t="shared" ca="1" si="25"/>
        <v>2018-02-24</v>
      </c>
      <c r="R72" t="str">
        <f t="shared" ca="1" si="25"/>
        <v>2017-11-05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2015-04-21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VLOOKUP(H73,LocalAreas.csv!H:I,2,FALSE)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13772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732052</v>
      </c>
      <c r="Q73" t="str">
        <f t="shared" ca="1" si="25"/>
        <v>2017-09-28</v>
      </c>
      <c r="R73" t="str">
        <f t="shared" ca="1" si="25"/>
        <v>2017-05-05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2016-06-27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VLOOKUP(H74,LocalAreas.csv!H:I,2,FALSE)</f>
        <v>Cariboo</v>
      </c>
      <c r="J74" t="str">
        <f t="shared" si="15"/>
        <v>rg:{'id':'200003'}</v>
      </c>
      <c r="K74" t="s">
        <v>7614</v>
      </c>
      <c r="M74">
        <f t="shared" ca="1" si="21"/>
        <v>18085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732044</v>
      </c>
      <c r="Q74" t="str">
        <f t="shared" ca="1" si="25"/>
        <v>2017-12-25</v>
      </c>
      <c r="R74" t="str">
        <f t="shared" ca="1" si="25"/>
        <v>2018-02-15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2016-06-27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VLOOKUP(H75,LocalAreas.csv!H:I,2,FALSE)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10685</v>
      </c>
      <c r="N75" t="str">
        <f t="shared" ca="1" si="22"/>
        <v>rg:True</v>
      </c>
      <c r="O75" t="str">
        <f t="shared" ca="1" si="23"/>
        <v>rg:True</v>
      </c>
      <c r="P75">
        <f t="shared" ca="1" si="24"/>
        <v>732144</v>
      </c>
      <c r="Q75" t="str">
        <f t="shared" ca="1" si="25"/>
        <v>2017-10-29</v>
      </c>
      <c r="R75" t="str">
        <f t="shared" ca="1" si="25"/>
        <v>2017-11-17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2010-09-26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VLOOKUP(H76,LocalAreas.csv!H:I,2,FALSE)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16409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732050</v>
      </c>
      <c r="Q76" t="str">
        <f t="shared" ca="1" si="25"/>
        <v>2018-03-04</v>
      </c>
      <c r="R76" t="str">
        <f t="shared" ca="1" si="25"/>
        <v>2017-04-22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2016-05-27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2005-08-08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VLOOKUP(H77,LocalAreas.csv!H:I,2,FALSE)</f>
        <v>Cariboo</v>
      </c>
      <c r="J77" t="str">
        <f t="shared" si="15"/>
        <v>rg:{'id':'200003'}</v>
      </c>
      <c r="K77" t="s">
        <v>7613</v>
      </c>
      <c r="M77">
        <f t="shared" ca="1" si="21"/>
        <v>11395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732196</v>
      </c>
      <c r="Q77" t="str">
        <f t="shared" ca="1" si="25"/>
        <v>2017-08-05</v>
      </c>
      <c r="R77" t="str">
        <f t="shared" ca="1" si="25"/>
        <v>2017-08-01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2014-11-23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VLOOKUP(H78,LocalAreas.csv!H:I,2,FALSE)</f>
        <v>Cariboo</v>
      </c>
      <c r="J78" t="str">
        <f t="shared" si="15"/>
        <v>rg:{'id':'200003'}</v>
      </c>
      <c r="K78" t="s">
        <v>7612</v>
      </c>
      <c r="M78">
        <f t="shared" ca="1" si="21"/>
        <v>14369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732020</v>
      </c>
      <c r="Q78" t="str">
        <f t="shared" ca="1" si="25"/>
        <v>2017-05-03</v>
      </c>
      <c r="R78" t="str">
        <f t="shared" ca="1" si="25"/>
        <v>2018-01-22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2012-12-14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VLOOKUP(H79,LocalAreas.csv!H:I,2,FALSE)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13246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732092</v>
      </c>
      <c r="Q79" t="str">
        <f t="shared" ca="1" si="25"/>
        <v>2017-08-22</v>
      </c>
      <c r="R79" t="str">
        <f t="shared" ca="1" si="25"/>
        <v>2017-06-20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2013-04-20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VLOOKUP(H80,LocalAreas.csv!H:I,2,FALSE)</f>
        <v>Chilcotin</v>
      </c>
      <c r="J80" t="str">
        <f t="shared" si="15"/>
        <v>rg:{'id':'200004'}</v>
      </c>
      <c r="K80" t="s">
        <v>7611</v>
      </c>
      <c r="M80">
        <f t="shared" ca="1" si="21"/>
        <v>10485</v>
      </c>
      <c r="N80" t="str">
        <f t="shared" ca="1" si="22"/>
        <v>rg:True</v>
      </c>
      <c r="O80" t="str">
        <f t="shared" ca="1" si="23"/>
        <v>rg:True</v>
      </c>
      <c r="P80">
        <f t="shared" ca="1" si="24"/>
        <v>732119</v>
      </c>
      <c r="Q80" t="str">
        <f t="shared" ca="1" si="25"/>
        <v>2017-07-10</v>
      </c>
      <c r="R80" t="str">
        <f t="shared" ca="1" si="25"/>
        <v>2017-06-26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2015-06-05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VLOOKUP(H81,LocalAreas.csv!H:I,2,FALSE)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19297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732034</v>
      </c>
      <c r="Q81" t="str">
        <f t="shared" ca="1" si="25"/>
        <v>2017-03-14</v>
      </c>
      <c r="R81" t="str">
        <f t="shared" ca="1" si="25"/>
        <v>2017-10-15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2009-09-02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VLOOKUP(H82,LocalAreas.csv!H:I,2,FALSE)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19629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732062</v>
      </c>
      <c r="Q82" t="str">
        <f t="shared" ca="1" si="25"/>
        <v>2017-06-22</v>
      </c>
      <c r="R82" t="str">
        <f t="shared" ca="1" si="25"/>
        <v>2017-08-26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2011-11-19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VLOOKUP(H83,LocalAreas.csv!H:I,2,FALSE)</f>
        <v>Chilcotin</v>
      </c>
      <c r="J83" t="str">
        <f t="shared" si="15"/>
        <v>rg:{'id':'200004'}</v>
      </c>
      <c r="K83" t="s">
        <v>7609</v>
      </c>
      <c r="M83">
        <f t="shared" ca="1" si="21"/>
        <v>17831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732171</v>
      </c>
      <c r="Q83" t="str">
        <f t="shared" ca="1" si="25"/>
        <v>2017-07-08</v>
      </c>
      <c r="R83" t="str">
        <f t="shared" ca="1" si="25"/>
        <v>2017-09-03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2006-02-24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VLOOKUP(H84,LocalAreas.csv!H:I,2,FALSE)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18930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732172</v>
      </c>
      <c r="Q84" t="str">
        <f t="shared" ca="1" si="25"/>
        <v>2017-07-28</v>
      </c>
      <c r="R84" t="str">
        <f t="shared" ca="1" si="25"/>
        <v>2017-09-30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2007-02-09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VLOOKUP(H85,LocalAreas.csv!H:I,2,FALSE)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10509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732127</v>
      </c>
      <c r="Q85" t="str">
        <f t="shared" ca="1" si="25"/>
        <v>2017-09-22</v>
      </c>
      <c r="R85" t="str">
        <f t="shared" ca="1" si="25"/>
        <v>2017-08-28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2016-12-05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2009-01-27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VLOOKUP(H86,LocalAreas.csv!H:I,2,FALSE)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19574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732060</v>
      </c>
      <c r="Q86" t="str">
        <f t="shared" ca="1" si="25"/>
        <v>2017-05-06</v>
      </c>
      <c r="R86" t="str">
        <f t="shared" ca="1" si="25"/>
        <v>2018-01-04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2011-02-08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VLOOKUP(H87,LocalAreas.csv!H:I,2,FALSE)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19867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732031</v>
      </c>
      <c r="Q87" t="str">
        <f t="shared" ca="1" si="25"/>
        <v>2017-08-22</v>
      </c>
      <c r="R87" t="str">
        <f t="shared" ca="1" si="25"/>
        <v>2017-10-18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2016-09-19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2014-11-27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VLOOKUP(H88,LocalAreas.csv!H:I,2,FALSE)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10623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732040</v>
      </c>
      <c r="Q88" t="str">
        <f t="shared" ca="1" si="25"/>
        <v>2017-05-27</v>
      </c>
      <c r="R88" t="str">
        <f t="shared" ca="1" si="25"/>
        <v>2017-06-07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2014-06-02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VLOOKUP(H89,LocalAreas.csv!H:I,2,FALSE)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17200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732161</v>
      </c>
      <c r="Q89" t="str">
        <f t="shared" ca="1" si="25"/>
        <v>2017-05-21</v>
      </c>
      <c r="R89" t="str">
        <f t="shared" ca="1" si="25"/>
        <v>2017-04-24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2003-08-02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VLOOKUP(H90,LocalAreas.csv!H:I,2,FALSE)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15234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732178</v>
      </c>
      <c r="Q90" t="str">
        <f t="shared" ca="1" si="25"/>
        <v>2017-06-04</v>
      </c>
      <c r="R90" t="str">
        <f t="shared" ca="1" si="25"/>
        <v>2017-11-29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2003-09-28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VLOOKUP(H91,LocalAreas.csv!H:I,2,FALSE)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11136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732161</v>
      </c>
      <c r="Q91" t="str">
        <f t="shared" ca="1" si="25"/>
        <v>2017-03-25</v>
      </c>
      <c r="R91" t="str">
        <f t="shared" ca="1" si="25"/>
        <v>2017-10-08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2009-08-15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VLOOKUP(H92,LocalAreas.csv!H:I,2,FALSE)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13918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732138</v>
      </c>
      <c r="Q92" t="str">
        <f t="shared" ca="1" si="25"/>
        <v>2018-02-05</v>
      </c>
      <c r="R92" t="str">
        <f t="shared" ca="1" si="25"/>
        <v>2017-09-04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2008-04-14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VLOOKUP(H93,LocalAreas.csv!H:I,2,FALSE)</f>
        <v>Chilcotin</v>
      </c>
      <c r="J93" t="str">
        <f t="shared" si="15"/>
        <v>rg:{'id':'200004'}</v>
      </c>
      <c r="K93" t="s">
        <v>7608</v>
      </c>
      <c r="M93">
        <f t="shared" ca="1" si="21"/>
        <v>19604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732070</v>
      </c>
      <c r="Q93" t="str">
        <f t="shared" ca="1" si="25"/>
        <v>2018-02-05</v>
      </c>
      <c r="R93" t="str">
        <f t="shared" ca="1" si="25"/>
        <v>2017-07-07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2003-11-29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VLOOKUP(H94,LocalAreas.csv!H:I,2,FALSE)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18046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732140</v>
      </c>
      <c r="Q94" t="str">
        <f t="shared" ca="1" si="25"/>
        <v>2018-01-29</v>
      </c>
      <c r="R94" t="str">
        <f t="shared" ca="1" si="25"/>
        <v>2017-09-17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2004-02-09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VLOOKUP(H95,LocalAreas.csv!H:I,2,FALSE)</f>
        <v>Chilcotin</v>
      </c>
      <c r="J95" t="str">
        <f t="shared" si="15"/>
        <v>rg:{'id':'200004'}</v>
      </c>
      <c r="K95" t="s">
        <v>7607</v>
      </c>
      <c r="M95">
        <f t="shared" ca="1" si="21"/>
        <v>19704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732123</v>
      </c>
      <c r="Q95" t="str">
        <f t="shared" ca="1" si="25"/>
        <v>2017-10-03</v>
      </c>
      <c r="R95" t="str">
        <f t="shared" ca="1" si="25"/>
        <v>2017-09-28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2008-10-23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VLOOKUP(H96,LocalAreas.csv!H:I,2,FALSE)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15014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732147</v>
      </c>
      <c r="Q96" t="str">
        <f t="shared" ca="1" si="25"/>
        <v>2017-11-15</v>
      </c>
      <c r="R96" t="str">
        <f t="shared" ca="1" si="25"/>
        <v>2017-07-25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2003-10-02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VLOOKUP(H97,LocalAreas.csv!H:I,2,FALSE)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14749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732074</v>
      </c>
      <c r="Q97" t="str">
        <f t="shared" ca="1" si="25"/>
        <v>2017-12-03</v>
      </c>
      <c r="R97" t="str">
        <f t="shared" ca="1" si="25"/>
        <v>2017-12-14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2004-12-16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VLOOKUP(H98,LocalAreas.csv!H:I,2,FALSE)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10880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732044</v>
      </c>
      <c r="Q98" t="str">
        <f t="shared" ca="1" si="25"/>
        <v>2017-10-29</v>
      </c>
      <c r="R98" t="str">
        <f t="shared" ca="1" si="25"/>
        <v>2017-05-25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2010-09-12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VLOOKUP(H99,LocalAreas.csv!H:I,2,FALSE)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16055</v>
      </c>
      <c r="N99" t="str">
        <f t="shared" ca="1" si="22"/>
        <v>rg:True</v>
      </c>
      <c r="O99" t="str">
        <f t="shared" ca="1" si="23"/>
        <v>rg:True</v>
      </c>
      <c r="P99">
        <f t="shared" ca="1" si="24"/>
        <v>732134</v>
      </c>
      <c r="Q99" t="str">
        <f t="shared" ca="1" si="25"/>
        <v>2017-05-29</v>
      </c>
      <c r="R99" t="str">
        <f t="shared" ca="1" si="25"/>
        <v>2017-06-14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2005-11-11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VLOOKUP(H100,LocalAreas.csv!H:I,2,FALSE)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18714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732013</v>
      </c>
      <c r="Q100" t="str">
        <f t="shared" ca="1" si="25"/>
        <v>2017-03-17</v>
      </c>
      <c r="R100" t="str">
        <f t="shared" ca="1" si="25"/>
        <v>2018-01-07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2006-04-26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VLOOKUP(H101,LocalAreas.csv!H:I,2,FALSE)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17491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732116</v>
      </c>
      <c r="Q101" t="str">
        <f t="shared" ca="1" si="25"/>
        <v>2017-06-16</v>
      </c>
      <c r="R101" t="str">
        <f t="shared" ca="1" si="25"/>
        <v>2017-08-26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2011-10-15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VLOOKUP(H102,LocalAreas.csv!H:I,2,FALSE)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10542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732136</v>
      </c>
      <c r="Q102" t="str">
        <f t="shared" ca="1" si="25"/>
        <v>2017-06-08</v>
      </c>
      <c r="R102" t="str">
        <f t="shared" ca="1" si="25"/>
        <v>2018-01-27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2005-08-19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VLOOKUP(H103,LocalAreas.csv!H:I,2,FALSE)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15034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732035</v>
      </c>
      <c r="Q103" t="str">
        <f t="shared" ca="1" si="25"/>
        <v>2017-04-02</v>
      </c>
      <c r="R103" t="str">
        <f t="shared" ca="1" si="25"/>
        <v>2017-09-23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2007-07-25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VLOOKUP(H104,LocalAreas.csv!H:I,2,FALSE)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15187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732163</v>
      </c>
      <c r="Q104" t="str">
        <f t="shared" ca="1" si="25"/>
        <v>2017-06-22</v>
      </c>
      <c r="R104" t="str">
        <f t="shared" ca="1" si="25"/>
        <v>2017-06-30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2007-04-15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VLOOKUP(H105,LocalAreas.csv!H:I,2,FALSE)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17617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732182</v>
      </c>
      <c r="Q105" t="str">
        <f t="shared" ca="1" si="25"/>
        <v>2017-07-07</v>
      </c>
      <c r="R105" t="str">
        <f t="shared" ca="1" si="25"/>
        <v>2017-03-23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2010-06-04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VLOOKUP(H106,LocalAreas.csv!H:I,2,FALSE)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13263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732095</v>
      </c>
      <c r="Q106" t="str">
        <f t="shared" ca="1" si="25"/>
        <v>2018-02-28</v>
      </c>
      <c r="R106" t="str">
        <f t="shared" ca="1" si="25"/>
        <v>2017-05-17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2010-10-29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VLOOKUP(H107,LocalAreas.csv!H:I,2,FALSE)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19711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732045</v>
      </c>
      <c r="Q107" t="str">
        <f t="shared" ca="1" si="25"/>
        <v>2017-12-25</v>
      </c>
      <c r="R107" t="str">
        <f t="shared" ca="1" si="25"/>
        <v>2018-02-18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2015-10-08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VLOOKUP(H108,LocalAreas.csv!H:I,2,FALSE)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12260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732087</v>
      </c>
      <c r="Q108" t="str">
        <f t="shared" ca="1" si="25"/>
        <v>2017-11-16</v>
      </c>
      <c r="R108" t="str">
        <f t="shared" ca="1" si="25"/>
        <v>2017-06-24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2005-11-18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VLOOKUP(H109,LocalAreas.csv!H:I,2,FALSE)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18627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732172</v>
      </c>
      <c r="Q109" t="str">
        <f t="shared" ca="1" si="25"/>
        <v>2017-06-01</v>
      </c>
      <c r="R109" t="str">
        <f t="shared" ca="1" si="25"/>
        <v>2017-06-20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VLOOKUP(VLOOKUP(E2,LocalAreas.csv!H:J,3,FALSE),ServiceAreas.csv!F:J,5,FALSE)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487.25</v>
      </c>
      <c r="AH2" s="4">
        <f>YEARFRAC(DATE("2016","4","1"),T2)</f>
        <v>11.819444444444445</v>
      </c>
      <c r="AI2">
        <f ca="1">IF(AH2&lt;1,0,RANDBETWEEN(0,200))</f>
        <v>106</v>
      </c>
      <c r="AJ2">
        <f ca="1">IF(AH2&lt;2,0,RANDBETWEEN(0,200))</f>
        <v>98</v>
      </c>
      <c r="AK2">
        <f ca="1">IF(AH2&lt;3,0,RANDBETWEEN(0,200))</f>
        <v>194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VLOOKUP(VLOOKUP(E3,LocalAreas.csv!H:J,3,FALSE),ServiceAreas.csv!F:J,5,FALSE)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rg:False</v>
      </c>
      <c r="V3" t="str">
        <f t="shared" ref="V3:V66" ca="1" si="7">IF(U3="rg:True","This equipment should be archived","rg:None")</f>
        <v>rg:None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172.41666666666669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157</v>
      </c>
      <c r="AJ3">
        <f t="shared" ref="AJ3:AJ66" ca="1" si="12">IF(AH3&lt;2,0,RANDBETWEEN(0,200))</f>
        <v>106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VLOOKUP(VLOOKUP(E4,LocalAreas.csv!H:J,3,FALSE),ServiceAreas.csv!F:J,5,FALSE)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59.499999999999993</v>
      </c>
      <c r="AH4" s="4">
        <f t="shared" si="10"/>
        <v>1.8277777777777777</v>
      </c>
      <c r="AI4">
        <f t="shared" ca="1" si="11"/>
        <v>14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VLOOKUP(VLOOKUP(E5,LocalAreas.csv!H:J,3,FALSE),ServiceAreas.csv!F:J,5,FALSE)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464.25</v>
      </c>
      <c r="AH5" s="4">
        <f t="shared" si="10"/>
        <v>11.375</v>
      </c>
      <c r="AI5">
        <f t="shared" ca="1" si="11"/>
        <v>50</v>
      </c>
      <c r="AJ5">
        <f t="shared" ca="1" si="12"/>
        <v>149</v>
      </c>
      <c r="AK5">
        <f t="shared" ca="1" si="13"/>
        <v>170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VLOOKUP(VLOOKUP(E6,LocalAreas.csv!H:J,3,FALSE),ServiceAreas.csv!F:J,5,FALSE)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rg:True</v>
      </c>
      <c r="V6" t="str">
        <f t="shared" ca="1" si="7"/>
        <v>This equipment should be archived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461.91666666666663</v>
      </c>
      <c r="AH6" s="4">
        <f t="shared" si="10"/>
        <v>10.108333333333333</v>
      </c>
      <c r="AI6">
        <f t="shared" ca="1" si="11"/>
        <v>154</v>
      </c>
      <c r="AJ6">
        <f t="shared" ca="1" si="12"/>
        <v>175</v>
      </c>
      <c r="AK6">
        <f t="shared" ca="1" si="13"/>
        <v>147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VLOOKUP(VLOOKUP(E7,LocalAreas.csv!H:J,3,FALSE),ServiceAreas.csv!F:J,5,FALSE)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103.83333333333333</v>
      </c>
      <c r="AH7" s="4">
        <f t="shared" si="10"/>
        <v>1.7055555555555555</v>
      </c>
      <c r="AI7">
        <f t="shared" ca="1" si="11"/>
        <v>158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VLOOKUP(VLOOKUP(E8,LocalAreas.csv!H:J,3,FALSE),ServiceAreas.csv!F:J,5,FALSE)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413.83333333333331</v>
      </c>
      <c r="AH8" s="4">
        <f t="shared" si="10"/>
        <v>9.65</v>
      </c>
      <c r="AI8">
        <f t="shared" ca="1" si="11"/>
        <v>177</v>
      </c>
      <c r="AJ8">
        <f t="shared" ca="1" si="12"/>
        <v>147</v>
      </c>
      <c r="AK8">
        <f t="shared" ca="1" si="13"/>
        <v>49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VLOOKUP(VLOOKUP(E9,LocalAreas.csv!H:J,3,FALSE),ServiceAreas.csv!F:J,5,FALSE)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597.66666666666663</v>
      </c>
      <c r="AH9" s="4">
        <f t="shared" si="10"/>
        <v>8.9277777777777771</v>
      </c>
      <c r="AI9">
        <f t="shared" ca="1" si="11"/>
        <v>138</v>
      </c>
      <c r="AJ9">
        <f t="shared" ca="1" si="12"/>
        <v>5</v>
      </c>
      <c r="AK9">
        <f t="shared" ca="1" si="13"/>
        <v>43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VLOOKUP(VLOOKUP(E10,LocalAreas.csv!H:J,3,FALSE),ServiceAreas.csv!F:J,5,FALSE)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419.75</v>
      </c>
      <c r="AH10" s="4">
        <f t="shared" si="10"/>
        <v>10.33611111111111</v>
      </c>
      <c r="AI10">
        <f t="shared" ca="1" si="11"/>
        <v>20</v>
      </c>
      <c r="AJ10">
        <f t="shared" ca="1" si="12"/>
        <v>198</v>
      </c>
      <c r="AK10">
        <f t="shared" ca="1" si="13"/>
        <v>111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VLOOKUP(VLOOKUP(E11,LocalAreas.csv!H:J,3,FALSE),ServiceAreas.csv!F:J,5,FALSE)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rg:True</v>
      </c>
      <c r="V11" t="str">
        <f t="shared" ca="1" si="7"/>
        <v>This equipment should be archived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265.5</v>
      </c>
      <c r="AH11" s="4">
        <f t="shared" si="10"/>
        <v>3.9388888888888891</v>
      </c>
      <c r="AI11">
        <f t="shared" ca="1" si="11"/>
        <v>144</v>
      </c>
      <c r="AJ11">
        <f t="shared" ca="1" si="12"/>
        <v>163</v>
      </c>
      <c r="AK11">
        <f t="shared" ca="1" si="13"/>
        <v>135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VLOOKUP(VLOOKUP(E12,LocalAreas.csv!H:J,3,FALSE),ServiceAreas.csv!F:J,5,FALSE)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367.16666666666669</v>
      </c>
      <c r="AH12" s="4">
        <f t="shared" si="10"/>
        <v>9.25</v>
      </c>
      <c r="AI12">
        <f t="shared" ca="1" si="11"/>
        <v>67</v>
      </c>
      <c r="AJ12">
        <f t="shared" ca="1" si="12"/>
        <v>86</v>
      </c>
      <c r="AK12">
        <f t="shared" ca="1" si="13"/>
        <v>116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VLOOKUP(VLOOKUP(E13,LocalAreas.csv!H:J,3,FALSE),ServiceAreas.csv!F:J,5,FALSE)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378.25</v>
      </c>
      <c r="AH13" s="4">
        <f t="shared" si="10"/>
        <v>8.1972222222222229</v>
      </c>
      <c r="AI13">
        <f t="shared" ca="1" si="11"/>
        <v>133</v>
      </c>
      <c r="AJ13">
        <f t="shared" ca="1" si="12"/>
        <v>99</v>
      </c>
      <c r="AK13">
        <f t="shared" ca="1" si="13"/>
        <v>165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VLOOKUP(VLOOKUP(E14,LocalAreas.csv!H:J,3,FALSE),ServiceAreas.csv!F:J,5,FALSE)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343.5</v>
      </c>
      <c r="AH14" s="4">
        <f t="shared" si="10"/>
        <v>7.4722222222222223</v>
      </c>
      <c r="AI14">
        <f t="shared" ca="1" si="11"/>
        <v>96</v>
      </c>
      <c r="AJ14">
        <f t="shared" ca="1" si="12"/>
        <v>115</v>
      </c>
      <c r="AK14">
        <f t="shared" ca="1" si="13"/>
        <v>147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VLOOKUP(VLOOKUP(E15,LocalAreas.csv!H:J,3,FALSE),ServiceAreas.csv!F:J,5,FALSE)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rg:True</v>
      </c>
      <c r="V15" t="str">
        <f t="shared" ca="1" si="7"/>
        <v>This equipment should be archived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271.25</v>
      </c>
      <c r="AH15" s="4">
        <f t="shared" si="10"/>
        <v>4.9083333333333332</v>
      </c>
      <c r="AI15">
        <f t="shared" ca="1" si="11"/>
        <v>53</v>
      </c>
      <c r="AJ15">
        <f t="shared" ca="1" si="12"/>
        <v>126</v>
      </c>
      <c r="AK15">
        <f t="shared" ca="1" si="13"/>
        <v>193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VLOOKUP(VLOOKUP(E16,LocalAreas.csv!H:J,3,FALSE),ServiceAreas.csv!F:J,5,FALSE)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141.66666666666669</v>
      </c>
      <c r="AH16" s="4">
        <f t="shared" si="10"/>
        <v>2.7555555555555555</v>
      </c>
      <c r="AI16">
        <f t="shared" ca="1" si="11"/>
        <v>139</v>
      </c>
      <c r="AJ16">
        <f t="shared" ca="1" si="12"/>
        <v>38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VLOOKUP(VLOOKUP(E17,LocalAreas.csv!H:J,3,FALSE),ServiceAreas.csv!F:J,5,FALSE)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VLOOKUP(VLOOKUP(E18,LocalAreas.csv!H:J,3,FALSE),ServiceAreas.csv!F:J,5,FALSE)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383.08333333333337</v>
      </c>
      <c r="AH18" s="4">
        <f t="shared" si="10"/>
        <v>9.4472222222222229</v>
      </c>
      <c r="AI18">
        <f t="shared" ca="1" si="11"/>
        <v>187</v>
      </c>
      <c r="AJ18">
        <f t="shared" ca="1" si="12"/>
        <v>0</v>
      </c>
      <c r="AK18">
        <f t="shared" ca="1" si="13"/>
        <v>112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VLOOKUP(VLOOKUP(E19,LocalAreas.csv!H:J,3,FALSE),ServiceAreas.csv!F:J,5,FALSE)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494.91666666666669</v>
      </c>
      <c r="AH19" s="4">
        <f t="shared" si="10"/>
        <v>12.252777777777778</v>
      </c>
      <c r="AI19">
        <f t="shared" ca="1" si="11"/>
        <v>129</v>
      </c>
      <c r="AJ19">
        <f t="shared" ca="1" si="12"/>
        <v>113</v>
      </c>
      <c r="AK19">
        <f t="shared" ca="1" si="13"/>
        <v>140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VLOOKUP(VLOOKUP(E20,LocalAreas.csv!H:J,3,FALSE),ServiceAreas.csv!F:J,5,FALSE)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435.41666666666663</v>
      </c>
      <c r="AH20" s="4">
        <f t="shared" si="10"/>
        <v>9.7361111111111107</v>
      </c>
      <c r="AI20">
        <f t="shared" ca="1" si="11"/>
        <v>99</v>
      </c>
      <c r="AJ20">
        <f t="shared" ca="1" si="12"/>
        <v>141</v>
      </c>
      <c r="AK20">
        <f t="shared" ca="1" si="13"/>
        <v>190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VLOOKUP(VLOOKUP(E21,LocalAreas.csv!H:J,3,FALSE),ServiceAreas.csv!F:J,5,FALSE)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298.16666666666669</v>
      </c>
      <c r="AH21" s="4">
        <f t="shared" si="10"/>
        <v>7.427777777777778</v>
      </c>
      <c r="AI21">
        <f t="shared" ca="1" si="11"/>
        <v>42</v>
      </c>
      <c r="AJ21">
        <f t="shared" ca="1" si="12"/>
        <v>120</v>
      </c>
      <c r="AK21">
        <f t="shared" ca="1" si="13"/>
        <v>64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VLOOKUP(VLOOKUP(E22,LocalAreas.csv!H:J,3,FALSE),ServiceAreas.csv!F:J,5,FALSE)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279.08333333333337</v>
      </c>
      <c r="AH22" s="4">
        <f t="shared" si="10"/>
        <v>6.5694444444444446</v>
      </c>
      <c r="AI22">
        <f t="shared" ca="1" si="11"/>
        <v>182</v>
      </c>
      <c r="AJ22">
        <f t="shared" ca="1" si="12"/>
        <v>34</v>
      </c>
      <c r="AK22">
        <f t="shared" ca="1" si="13"/>
        <v>30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VLOOKUP(VLOOKUP(E23,LocalAreas.csv!H:J,3,FALSE),ServiceAreas.csv!F:J,5,FALSE)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rg:True</v>
      </c>
      <c r="AE23" t="str">
        <f t="shared" ca="1" si="9"/>
        <v>Seniority overridden to test things</v>
      </c>
      <c r="AF23" s="1">
        <v>42481</v>
      </c>
      <c r="AG23" s="4">
        <f t="shared" ca="1" si="0"/>
        <v>123</v>
      </c>
      <c r="AH23" s="4">
        <f t="shared" si="10"/>
        <v>2.7333333333333334</v>
      </c>
      <c r="AI23">
        <f t="shared" ca="1" si="11"/>
        <v>18</v>
      </c>
      <c r="AJ23">
        <f t="shared" ca="1" si="12"/>
        <v>105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VLOOKUP(VLOOKUP(E24,LocalAreas.csv!H:J,3,FALSE),ServiceAreas.csv!F:J,5,FALSE)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VLOOKUP(VLOOKUP(E25,LocalAreas.csv!H:J,3,FALSE),ServiceAreas.csv!F:J,5,FALSE)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263.5</v>
      </c>
      <c r="AH25" s="4">
        <f t="shared" si="10"/>
        <v>6.5166666666666666</v>
      </c>
      <c r="AI25">
        <f t="shared" ca="1" si="11"/>
        <v>96</v>
      </c>
      <c r="AJ25">
        <f t="shared" ca="1" si="12"/>
        <v>18</v>
      </c>
      <c r="AK25">
        <f t="shared" ca="1" si="13"/>
        <v>90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VLOOKUP(VLOOKUP(E26,LocalAreas.csv!H:J,3,FALSE),ServiceAreas.csv!F:J,5,FALSE)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381.74999999999994</v>
      </c>
      <c r="AH26" s="4">
        <f t="shared" si="10"/>
        <v>9.2138888888888886</v>
      </c>
      <c r="AI26">
        <f t="shared" ca="1" si="11"/>
        <v>122</v>
      </c>
      <c r="AJ26">
        <f t="shared" ca="1" si="12"/>
        <v>37</v>
      </c>
      <c r="AK26">
        <f t="shared" ca="1" si="13"/>
        <v>157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VLOOKUP(VLOOKUP(E27,LocalAreas.csv!H:J,3,FALSE),ServiceAreas.csv!F:J,5,FALSE)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rg:True</v>
      </c>
      <c r="AE27" t="str">
        <f t="shared" ca="1" si="9"/>
        <v>Seniority overridden to test things</v>
      </c>
      <c r="AF27" s="1">
        <v>42461</v>
      </c>
      <c r="AG27" s="4">
        <f t="shared" ca="1" si="0"/>
        <v>427</v>
      </c>
      <c r="AH27" s="4">
        <f t="shared" si="10"/>
        <v>11.988888888888889</v>
      </c>
      <c r="AI27">
        <f t="shared" ca="1" si="11"/>
        <v>19</v>
      </c>
      <c r="AJ27">
        <f t="shared" ca="1" si="12"/>
        <v>55</v>
      </c>
      <c r="AK27">
        <f t="shared" ca="1" si="13"/>
        <v>128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VLOOKUP(VLOOKUP(E28,LocalAreas.csv!H:J,3,FALSE),ServiceAreas.csv!F:J,5,FALSE)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94.416666666666657</v>
      </c>
      <c r="AH28" s="4">
        <f t="shared" si="10"/>
        <v>2.1694444444444443</v>
      </c>
      <c r="AI28">
        <f t="shared" ca="1" si="11"/>
        <v>26</v>
      </c>
      <c r="AJ28">
        <f t="shared" ca="1" si="12"/>
        <v>62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VLOOKUP(VLOOKUP(E29,LocalAreas.csv!H:J,3,FALSE),ServiceAreas.csv!F:J,5,FALSE)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425.91666666666669</v>
      </c>
      <c r="AH29" s="4">
        <f t="shared" si="10"/>
        <v>11.408333333333333</v>
      </c>
      <c r="AI29">
        <f t="shared" ca="1" si="11"/>
        <v>78</v>
      </c>
      <c r="AJ29">
        <f t="shared" ca="1" si="12"/>
        <v>127</v>
      </c>
      <c r="AK29">
        <f t="shared" ca="1" si="13"/>
        <v>46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VLOOKUP(VLOOKUP(E30,LocalAreas.csv!H:J,3,FALSE),ServiceAreas.csv!F:J,5,FALSE)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459.08333333333337</v>
      </c>
      <c r="AH30" s="4">
        <f t="shared" si="10"/>
        <v>10.613888888888889</v>
      </c>
      <c r="AI30">
        <f t="shared" ca="1" si="11"/>
        <v>181</v>
      </c>
      <c r="AJ30">
        <f t="shared" ca="1" si="12"/>
        <v>182</v>
      </c>
      <c r="AK30">
        <f t="shared" ca="1" si="13"/>
        <v>59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VLOOKUP(VLOOKUP(E31,LocalAreas.csv!H:J,3,FALSE),ServiceAreas.csv!F:J,5,FALSE)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67.416666666666657</v>
      </c>
      <c r="AH31" s="4">
        <f t="shared" si="10"/>
        <v>1.2472222222222222</v>
      </c>
      <c r="AI31">
        <f t="shared" ca="1" si="11"/>
        <v>90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VLOOKUP(VLOOKUP(E32,LocalAreas.csv!H:J,3,FALSE),ServiceAreas.csv!F:J,5,FALSE)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242.58333333333334</v>
      </c>
      <c r="AH32" s="4">
        <f t="shared" si="10"/>
        <v>5.052777777777778</v>
      </c>
      <c r="AI32">
        <f t="shared" ca="1" si="11"/>
        <v>30</v>
      </c>
      <c r="AJ32">
        <f t="shared" ca="1" si="12"/>
        <v>143</v>
      </c>
      <c r="AK32">
        <f t="shared" ca="1" si="13"/>
        <v>100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VLOOKUP(VLOOKUP(E33,LocalAreas.csv!H:J,3,FALSE),ServiceAreas.csv!F:J,5,FALSE)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354.5</v>
      </c>
      <c r="AH33" s="4">
        <f t="shared" si="10"/>
        <v>7.8722222222222218</v>
      </c>
      <c r="AI33">
        <f t="shared" ca="1" si="11"/>
        <v>160</v>
      </c>
      <c r="AJ33">
        <f t="shared" ca="1" si="12"/>
        <v>82</v>
      </c>
      <c r="AK33">
        <f t="shared" ca="1" si="13"/>
        <v>113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VLOOKUP(VLOOKUP(E34,LocalAreas.csv!H:J,3,FALSE),ServiceAreas.csv!F:J,5,FALSE)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252.25</v>
      </c>
      <c r="AH34" s="4">
        <f t="shared" si="10"/>
        <v>5.7527777777777782</v>
      </c>
      <c r="AI34">
        <f t="shared" ca="1" si="11"/>
        <v>162</v>
      </c>
      <c r="AJ34">
        <f t="shared" ca="1" si="12"/>
        <v>7</v>
      </c>
      <c r="AK34">
        <f t="shared" ca="1" si="13"/>
        <v>70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VLOOKUP(VLOOKUP(E35,LocalAreas.csv!H:J,3,FALSE),ServiceAreas.csv!F:J,5,FALSE)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265.5</v>
      </c>
      <c r="AH35" s="4">
        <f t="shared" si="10"/>
        <v>6.6388888888888893</v>
      </c>
      <c r="AI35">
        <f t="shared" ca="1" si="11"/>
        <v>88</v>
      </c>
      <c r="AJ35">
        <f t="shared" ca="1" si="12"/>
        <v>16</v>
      </c>
      <c r="AK35">
        <f t="shared" ca="1" si="13"/>
        <v>95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VLOOKUP(VLOOKUP(E36,LocalAreas.csv!H:J,3,FALSE),ServiceAreas.csv!F:J,5,FALSE)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rg:False</v>
      </c>
      <c r="V36" t="str">
        <f t="shared" ca="1" si="7"/>
        <v>rg:None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307.41666666666669</v>
      </c>
      <c r="AH36" s="4">
        <f t="shared" si="10"/>
        <v>6.0472222222222225</v>
      </c>
      <c r="AI36">
        <f t="shared" ca="1" si="11"/>
        <v>162</v>
      </c>
      <c r="AJ36">
        <f t="shared" ca="1" si="12"/>
        <v>151</v>
      </c>
      <c r="AK36">
        <f t="shared" ca="1" si="13"/>
        <v>65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VLOOKUP(VLOOKUP(E37,LocalAreas.csv!H:J,3,FALSE),ServiceAreas.csv!F:J,5,FALSE)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348.33333333333331</v>
      </c>
      <c r="AH37" s="4">
        <f t="shared" si="10"/>
        <v>8.2222222222222214</v>
      </c>
      <c r="AI37">
        <f t="shared" ca="1" si="11"/>
        <v>167</v>
      </c>
      <c r="AJ37">
        <f t="shared" ca="1" si="12"/>
        <v>44</v>
      </c>
      <c r="AK37">
        <f t="shared" ca="1" si="13"/>
        <v>94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VLOOKUP(VLOOKUP(E38,LocalAreas.csv!H:J,3,FALSE),ServiceAreas.csv!F:J,5,FALSE)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242.33333333333331</v>
      </c>
      <c r="AH38" s="4">
        <f t="shared" si="10"/>
        <v>3.3555555555555556</v>
      </c>
      <c r="AI38">
        <f t="shared" ca="1" si="11"/>
        <v>130</v>
      </c>
      <c r="AJ38">
        <f t="shared" ca="1" si="12"/>
        <v>161</v>
      </c>
      <c r="AK38">
        <f t="shared" ca="1" si="13"/>
        <v>134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VLOOKUP(VLOOKUP(E39,LocalAreas.csv!H:J,3,FALSE),ServiceAreas.csv!F:J,5,FALSE)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VLOOKUP(VLOOKUP(E40,LocalAreas.csv!H:J,3,FALSE),ServiceAreas.csv!F:J,5,FALSE)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210.16666666666669</v>
      </c>
      <c r="AH40" s="4">
        <f t="shared" si="10"/>
        <v>3.9388888888888891</v>
      </c>
      <c r="AI40">
        <f t="shared" ca="1" si="11"/>
        <v>165</v>
      </c>
      <c r="AJ40">
        <f t="shared" ca="1" si="12"/>
        <v>111</v>
      </c>
      <c r="AK40">
        <f t="shared" ca="1" si="13"/>
        <v>0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VLOOKUP(VLOOKUP(E41,LocalAreas.csv!H:J,3,FALSE),ServiceAreas.csv!F:J,5,FALSE)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211.66666666666669</v>
      </c>
      <c r="AH41" s="4">
        <f t="shared" si="10"/>
        <v>3.3555555555555556</v>
      </c>
      <c r="AI41">
        <f t="shared" ca="1" si="11"/>
        <v>152</v>
      </c>
      <c r="AJ41">
        <f t="shared" ca="1" si="12"/>
        <v>12</v>
      </c>
      <c r="AK41">
        <f t="shared" ca="1" si="13"/>
        <v>169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VLOOKUP(VLOOKUP(E42,LocalAreas.csv!H:J,3,FALSE),ServiceAreas.csv!F:J,5,FALSE)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499.33333333333337</v>
      </c>
      <c r="AH42" s="4">
        <f t="shared" si="10"/>
        <v>11.9</v>
      </c>
      <c r="AI42">
        <f t="shared" ca="1" si="11"/>
        <v>128</v>
      </c>
      <c r="AJ42">
        <f t="shared" ca="1" si="12"/>
        <v>134</v>
      </c>
      <c r="AK42">
        <f t="shared" ca="1" si="13"/>
        <v>165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VLOOKUP(VLOOKUP(E43,LocalAreas.csv!H:J,3,FALSE),ServiceAreas.csv!F:J,5,FALSE)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171.08333333333331</v>
      </c>
      <c r="AH43" s="4">
        <f t="shared" si="10"/>
        <v>2.036111111111111</v>
      </c>
      <c r="AI43">
        <f t="shared" ca="1" si="11"/>
        <v>134</v>
      </c>
      <c r="AJ43">
        <f t="shared" ca="1" si="12"/>
        <v>196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VLOOKUP(VLOOKUP(E44,LocalAreas.csv!H:J,3,FALSE),ServiceAreas.csv!F:J,5,FALSE)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186.66666666666666</v>
      </c>
      <c r="AH44" s="4">
        <f t="shared" si="10"/>
        <v>3.3111111111111109</v>
      </c>
      <c r="AI44">
        <f t="shared" ca="1" si="11"/>
        <v>178</v>
      </c>
      <c r="AJ44">
        <f t="shared" ca="1" si="12"/>
        <v>55</v>
      </c>
      <c r="AK44">
        <f t="shared" ca="1" si="13"/>
        <v>29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VLOOKUP(VLOOKUP(E45,LocalAreas.csv!H:J,3,FALSE),ServiceAreas.csv!F:J,5,FALSE)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350.58333333333337</v>
      </c>
      <c r="AH45" s="4">
        <f t="shared" si="10"/>
        <v>6.8083333333333336</v>
      </c>
      <c r="AI45">
        <f t="shared" ca="1" si="11"/>
        <v>163</v>
      </c>
      <c r="AJ45">
        <f t="shared" ca="1" si="12"/>
        <v>115</v>
      </c>
      <c r="AK45">
        <f t="shared" ca="1" si="13"/>
        <v>161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VLOOKUP(VLOOKUP(E46,LocalAreas.csv!H:J,3,FALSE),ServiceAreas.csv!F:J,5,FALSE)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457.58333333333337</v>
      </c>
      <c r="AH46" s="4">
        <f t="shared" si="10"/>
        <v>9.6861111111111118</v>
      </c>
      <c r="AI46">
        <f t="shared" ca="1" si="11"/>
        <v>198</v>
      </c>
      <c r="AJ46">
        <f t="shared" ca="1" si="12"/>
        <v>112</v>
      </c>
      <c r="AK46">
        <f t="shared" ca="1" si="13"/>
        <v>191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VLOOKUP(VLOOKUP(E47,LocalAreas.csv!H:J,3,FALSE),ServiceAreas.csv!F:J,5,FALSE)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178.83333333333331</v>
      </c>
      <c r="AH47" s="4">
        <f t="shared" si="10"/>
        <v>2.35</v>
      </c>
      <c r="AI47">
        <f t="shared" ca="1" si="11"/>
        <v>173</v>
      </c>
      <c r="AJ47">
        <f t="shared" ca="1" si="12"/>
        <v>152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VLOOKUP(VLOOKUP(E48,LocalAreas.csv!H:J,3,FALSE),ServiceAreas.csv!F:J,5,FALSE)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rg:True</v>
      </c>
      <c r="AE48" t="str">
        <f t="shared" ca="1" si="9"/>
        <v>Seniority overridden to test things</v>
      </c>
      <c r="AF48" s="1">
        <v>42480</v>
      </c>
      <c r="AG48" s="4">
        <f t="shared" ca="1" si="0"/>
        <v>460.91666666666663</v>
      </c>
      <c r="AH48" s="4">
        <f t="shared" si="10"/>
        <v>10.58611111111111</v>
      </c>
      <c r="AI48">
        <f t="shared" ca="1" si="11"/>
        <v>179</v>
      </c>
      <c r="AJ48">
        <f t="shared" ca="1" si="12"/>
        <v>195</v>
      </c>
      <c r="AK48">
        <f t="shared" ca="1" si="13"/>
        <v>56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VLOOKUP(VLOOKUP(E49,LocalAreas.csv!H:J,3,FALSE),ServiceAreas.csv!F:J,5,FALSE)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251.25</v>
      </c>
      <c r="AH49" s="4">
        <f t="shared" si="10"/>
        <v>6.1638888888888888</v>
      </c>
      <c r="AI49">
        <f t="shared" ca="1" si="11"/>
        <v>131</v>
      </c>
      <c r="AJ49">
        <f t="shared" ca="1" si="12"/>
        <v>26</v>
      </c>
      <c r="AK49">
        <f t="shared" ca="1" si="13"/>
        <v>42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VLOOKUP(VLOOKUP(E50,LocalAreas.csv!H:J,3,FALSE),ServiceAreas.csv!F:J,5,FALSE)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VLOOKUP(VLOOKUP(E51,LocalAreas.csv!H:J,3,FALSE),ServiceAreas.csv!F:J,5,FALSE)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rg:True</v>
      </c>
      <c r="AE51" t="str">
        <f t="shared" ca="1" si="9"/>
        <v>Seniority overridden to test things</v>
      </c>
      <c r="AF51" s="1">
        <v>42480</v>
      </c>
      <c r="AG51" s="4">
        <f t="shared" ca="1" si="0"/>
        <v>417.16666666666663</v>
      </c>
      <c r="AH51" s="4">
        <f t="shared" si="10"/>
        <v>10.905555555555555</v>
      </c>
      <c r="AI51">
        <f t="shared" ca="1" si="11"/>
        <v>176</v>
      </c>
      <c r="AJ51">
        <f t="shared" ca="1" si="12"/>
        <v>28</v>
      </c>
      <c r="AK51">
        <f t="shared" ca="1" si="13"/>
        <v>66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VLOOKUP(VLOOKUP(E52,LocalAreas.csv!H:J,3,FALSE),ServiceAreas.csv!F:J,5,FALSE)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310.75</v>
      </c>
      <c r="AH52" s="4">
        <f t="shared" si="10"/>
        <v>6.8361111111111112</v>
      </c>
      <c r="AI52">
        <f t="shared" ca="1" si="11"/>
        <v>41</v>
      </c>
      <c r="AJ52">
        <f t="shared" ca="1" si="12"/>
        <v>195</v>
      </c>
      <c r="AK52">
        <f t="shared" ca="1" si="13"/>
        <v>81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VLOOKUP(VLOOKUP(E53,LocalAreas.csv!H:J,3,FALSE),ServiceAreas.csv!F:J,5,FALSE)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VLOOKUP(VLOOKUP(E54,LocalAreas.csv!H:J,3,FALSE),ServiceAreas.csv!F:J,5,FALSE)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VLOOKUP(VLOOKUP(E55,LocalAreas.csv!H:J,3,FALSE),ServiceAreas.csv!F:J,5,FALSE)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354.91666666666669</v>
      </c>
      <c r="AH55" s="4">
        <f t="shared" si="10"/>
        <v>8.2638888888888893</v>
      </c>
      <c r="AI55">
        <f t="shared" ca="1" si="11"/>
        <v>131</v>
      </c>
      <c r="AJ55">
        <f t="shared" ca="1" si="12"/>
        <v>74</v>
      </c>
      <c r="AK55">
        <f t="shared" ca="1" si="13"/>
        <v>116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VLOOKUP(VLOOKUP(E56,LocalAreas.csv!H:J,3,FALSE),ServiceAreas.csv!F:J,5,FALSE)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397.08333333333331</v>
      </c>
      <c r="AH56" s="4">
        <f t="shared" si="10"/>
        <v>10.736111111111111</v>
      </c>
      <c r="AI56">
        <f t="shared" ca="1" si="11"/>
        <v>74</v>
      </c>
      <c r="AJ56">
        <f t="shared" ca="1" si="12"/>
        <v>90</v>
      </c>
      <c r="AK56">
        <f t="shared" ca="1" si="13"/>
        <v>61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VLOOKUP(VLOOKUP(E57,LocalAreas.csv!H:J,3,FALSE),ServiceAreas.csv!F:J,5,FALSE)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75.916666666666671</v>
      </c>
      <c r="AH57" s="4">
        <f t="shared" si="10"/>
        <v>1.9416666666666667</v>
      </c>
      <c r="AI57">
        <f t="shared" ca="1" si="11"/>
        <v>53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VLOOKUP(VLOOKUP(E58,LocalAreas.csv!H:J,3,FALSE),ServiceAreas.csv!F:J,5,FALSE)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322</v>
      </c>
      <c r="AH58" s="4">
        <f t="shared" si="10"/>
        <v>8.8000000000000007</v>
      </c>
      <c r="AI58">
        <f t="shared" ca="1" si="11"/>
        <v>71</v>
      </c>
      <c r="AJ58">
        <f t="shared" ca="1" si="12"/>
        <v>49</v>
      </c>
      <c r="AK58">
        <f t="shared" ca="1" si="13"/>
        <v>54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VLOOKUP(VLOOKUP(E59,LocalAreas.csv!H:J,3,FALSE),ServiceAreas.csv!F:J,5,FALSE)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252.5</v>
      </c>
      <c r="AH59" s="4">
        <f t="shared" si="10"/>
        <v>6.65</v>
      </c>
      <c r="AI59">
        <f t="shared" ca="1" si="11"/>
        <v>119</v>
      </c>
      <c r="AJ59">
        <f t="shared" ca="1" si="12"/>
        <v>18</v>
      </c>
      <c r="AK59">
        <f t="shared" ca="1" si="13"/>
        <v>22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VLOOKUP(VLOOKUP(E60,LocalAreas.csv!H:J,3,FALSE),ServiceAreas.csv!F:J,5,FALSE)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268.58333333333331</v>
      </c>
      <c r="AH60" s="4">
        <f t="shared" si="10"/>
        <v>4.8638888888888889</v>
      </c>
      <c r="AI60">
        <f t="shared" ca="1" si="11"/>
        <v>134</v>
      </c>
      <c r="AJ60">
        <f t="shared" ca="1" si="12"/>
        <v>75</v>
      </c>
      <c r="AK60">
        <f t="shared" ca="1" si="13"/>
        <v>159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VLOOKUP(VLOOKUP(E61,LocalAreas.csv!H:J,3,FALSE),ServiceAreas.csv!F:J,5,FALSE)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rg:True</v>
      </c>
      <c r="AE61" t="str">
        <f t="shared" ca="1" si="9"/>
        <v>Seniority overridden to test things</v>
      </c>
      <c r="AF61" s="1">
        <v>42481</v>
      </c>
      <c r="AG61" s="4">
        <f t="shared" ca="1" si="0"/>
        <v>209.58333333333337</v>
      </c>
      <c r="AH61" s="4">
        <f t="shared" si="10"/>
        <v>4.7638888888888893</v>
      </c>
      <c r="AI61">
        <f t="shared" ca="1" si="11"/>
        <v>146</v>
      </c>
      <c r="AJ61">
        <f t="shared" ca="1" si="12"/>
        <v>41</v>
      </c>
      <c r="AK61">
        <f t="shared" ca="1" si="13"/>
        <v>13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VLOOKUP(VLOOKUP(E62,LocalAreas.csv!H:J,3,FALSE),ServiceAreas.csv!F:J,5,FALSE)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VLOOKUP(VLOOKUP(E63,LocalAreas.csv!H:J,3,FALSE),ServiceAreas.csv!F:J,5,FALSE)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262</v>
      </c>
      <c r="AH63" s="4">
        <f t="shared" si="10"/>
        <v>5.1222222222222218</v>
      </c>
      <c r="AI63">
        <f t="shared" ca="1" si="11"/>
        <v>24</v>
      </c>
      <c r="AJ63">
        <f t="shared" ca="1" si="12"/>
        <v>125</v>
      </c>
      <c r="AK63">
        <f t="shared" ca="1" si="13"/>
        <v>176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VLOOKUP(VLOOKUP(E64,LocalAreas.csv!H:J,3,FALSE),ServiceAreas.csv!F:J,5,FALSE)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256.75</v>
      </c>
      <c r="AH64" s="4">
        <f t="shared" si="10"/>
        <v>3.8027777777777776</v>
      </c>
      <c r="AI64">
        <f t="shared" ca="1" si="11"/>
        <v>138</v>
      </c>
      <c r="AJ64">
        <f t="shared" ca="1" si="12"/>
        <v>170</v>
      </c>
      <c r="AK64">
        <f t="shared" ca="1" si="13"/>
        <v>120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VLOOKUP(VLOOKUP(E65,LocalAreas.csv!H:J,3,FALSE),ServiceAreas.csv!F:J,5,FALSE)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VLOOKUP(VLOOKUP(E66,LocalAreas.csv!H:J,3,FALSE),ServiceAreas.csv!F:J,5,FALSE)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324.16666666666669</v>
      </c>
      <c r="AH66" s="4">
        <f t="shared" si="10"/>
        <v>8.1833333333333336</v>
      </c>
      <c r="AI66">
        <f t="shared" ca="1" si="11"/>
        <v>44</v>
      </c>
      <c r="AJ66">
        <f t="shared" ca="1" si="12"/>
        <v>1</v>
      </c>
      <c r="AK66">
        <f t="shared" ca="1" si="13"/>
        <v>191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VLOOKUP(VLOOKUP(E67,LocalAreas.csv!H:J,3,FALSE),ServiceAreas.csv!F:J,5,FALSE)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462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90</v>
      </c>
      <c r="AJ67">
        <f t="shared" ref="AJ67:AJ130" ca="1" si="26">IF(AH67&lt;2,0,RANDBETWEEN(0,200))</f>
        <v>72</v>
      </c>
      <c r="AK67">
        <f t="shared" ref="AK67:AK130" ca="1" si="27">IF(AH67&lt;3,0,RANDBETWEEN(0,200))</f>
        <v>193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VLOOKUP(VLOOKUP(E68,LocalAreas.csv!H:J,3,FALSE),ServiceAreas.csv!F:J,5,FALSE)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406.41666666666669</v>
      </c>
      <c r="AH68" s="4">
        <f t="shared" si="24"/>
        <v>10.491666666666667</v>
      </c>
      <c r="AI68">
        <f t="shared" ca="1" si="25"/>
        <v>130</v>
      </c>
      <c r="AJ68">
        <f t="shared" ca="1" si="26"/>
        <v>128</v>
      </c>
      <c r="AK68">
        <f t="shared" ca="1" si="27"/>
        <v>17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VLOOKUP(VLOOKUP(E69,LocalAreas.csv!H:J,3,FALSE),ServiceAreas.csv!F:J,5,FALSE)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457.5</v>
      </c>
      <c r="AH69" s="4">
        <f t="shared" si="24"/>
        <v>4.9805555555555552</v>
      </c>
      <c r="AI69">
        <f t="shared" ca="1" si="25"/>
        <v>149</v>
      </c>
      <c r="AJ69">
        <f t="shared" ca="1" si="26"/>
        <v>185</v>
      </c>
      <c r="AK69">
        <f t="shared" ca="1" si="27"/>
        <v>142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VLOOKUP(VLOOKUP(E70,LocalAreas.csv!H:J,3,FALSE),ServiceAreas.csv!F:J,5,FALSE)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553.16666666666674</v>
      </c>
      <c r="AH70" s="4">
        <f t="shared" si="24"/>
        <v>7.7694444444444448</v>
      </c>
      <c r="AI70">
        <f t="shared" ca="1" si="25"/>
        <v>53</v>
      </c>
      <c r="AJ70">
        <f t="shared" ca="1" si="26"/>
        <v>48</v>
      </c>
      <c r="AK70">
        <f t="shared" ca="1" si="27"/>
        <v>160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VLOOKUP(VLOOKUP(E71,LocalAreas.csv!H:J,3,FALSE),ServiceAreas.csv!F:J,5,FALSE)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698.33333333333337</v>
      </c>
      <c r="AH71" s="4">
        <f t="shared" si="24"/>
        <v>9.9499999999999993</v>
      </c>
      <c r="AI71">
        <f t="shared" ca="1" si="25"/>
        <v>128</v>
      </c>
      <c r="AJ71">
        <f t="shared" ca="1" si="26"/>
        <v>104</v>
      </c>
      <c r="AK71">
        <f t="shared" ca="1" si="27"/>
        <v>72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VLOOKUP(VLOOKUP(E72,LocalAreas.csv!H:J,3,FALSE),ServiceAreas.csv!F:J,5,FALSE)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rg:True</v>
      </c>
      <c r="V72" t="str">
        <f t="shared" ca="1" si="21"/>
        <v>This equipment should be archived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452.33333333333331</v>
      </c>
      <c r="AH72" s="4">
        <f t="shared" si="24"/>
        <v>6.2166666666666668</v>
      </c>
      <c r="AI72">
        <f t="shared" ca="1" si="25"/>
        <v>9</v>
      </c>
      <c r="AJ72">
        <f t="shared" ca="1" si="26"/>
        <v>118</v>
      </c>
      <c r="AK72">
        <f t="shared" ca="1" si="27"/>
        <v>111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VLOOKUP(VLOOKUP(E73,LocalAreas.csv!H:J,3,FALSE),ServiceAreas.csv!F:J,5,FALSE)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257</v>
      </c>
      <c r="AH73" s="4">
        <f t="shared" si="24"/>
        <v>3.0722222222222224</v>
      </c>
      <c r="AI73">
        <f t="shared" ca="1" si="25"/>
        <v>107</v>
      </c>
      <c r="AJ73">
        <f t="shared" ca="1" si="26"/>
        <v>99</v>
      </c>
      <c r="AK73">
        <f t="shared" ca="1" si="27"/>
        <v>12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VLOOKUP(VLOOKUP(E74,LocalAreas.csv!H:J,3,FALSE),ServiceAreas.csv!F:J,5,FALSE)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143.66666666666669</v>
      </c>
      <c r="AH74" s="4">
        <f t="shared" si="24"/>
        <v>1.8555555555555556</v>
      </c>
      <c r="AI74">
        <f t="shared" ca="1" si="25"/>
        <v>97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VLOOKUP(VLOOKUP(E75,LocalAreas.csv!H:J,3,FALSE),ServiceAreas.csv!F:J,5,FALSE)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399.16666666666663</v>
      </c>
      <c r="AH75" s="4">
        <f t="shared" si="24"/>
        <v>4.9694444444444441</v>
      </c>
      <c r="AI75">
        <f t="shared" ca="1" si="25"/>
        <v>161</v>
      </c>
      <c r="AJ75">
        <f t="shared" ca="1" si="26"/>
        <v>94</v>
      </c>
      <c r="AK75">
        <f t="shared" ca="1" si="27"/>
        <v>48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VLOOKUP(VLOOKUP(E76,LocalAreas.csv!H:J,3,FALSE),ServiceAreas.csv!F:J,5,FALSE)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530.5</v>
      </c>
      <c r="AH76" s="4">
        <f t="shared" si="24"/>
        <v>6.2750000000000004</v>
      </c>
      <c r="AI76">
        <f t="shared" ca="1" si="25"/>
        <v>67</v>
      </c>
      <c r="AJ76">
        <f t="shared" ca="1" si="26"/>
        <v>197</v>
      </c>
      <c r="AK76">
        <f t="shared" ca="1" si="27"/>
        <v>198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VLOOKUP(VLOOKUP(E77,LocalAreas.csv!H:J,3,FALSE),ServiceAreas.csv!F:J,5,FALSE)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219.66666666666666</v>
      </c>
      <c r="AH77" s="4">
        <f t="shared" si="24"/>
        <v>2.3777777777777778</v>
      </c>
      <c r="AI77">
        <f t="shared" ca="1" si="25"/>
        <v>127</v>
      </c>
      <c r="AJ77">
        <f t="shared" ca="1" si="26"/>
        <v>104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VLOOKUP(VLOOKUP(E78,LocalAreas.csv!H:J,3,FALSE),ServiceAreas.csv!F:J,5,FALSE)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106.83333333333334</v>
      </c>
      <c r="AH78" s="4">
        <f t="shared" si="24"/>
        <v>1.125</v>
      </c>
      <c r="AI78">
        <f t="shared" ca="1" si="25"/>
        <v>118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VLOOKUP(VLOOKUP(E79,LocalAreas.csv!H:J,3,FALSE),ServiceAreas.csv!F:J,5,FALSE)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VLOOKUP(VLOOKUP(E80,LocalAreas.csv!H:J,3,FALSE),ServiceAreas.csv!F:J,5,FALSE)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379.83333333333337</v>
      </c>
      <c r="AH80" s="4">
        <f t="shared" si="24"/>
        <v>4.3361111111111112</v>
      </c>
      <c r="AI80">
        <f t="shared" ca="1" si="25"/>
        <v>160</v>
      </c>
      <c r="AJ80">
        <f t="shared" ca="1" si="26"/>
        <v>81</v>
      </c>
      <c r="AK80">
        <f t="shared" ca="1" si="27"/>
        <v>118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VLOOKUP(VLOOKUP(E81,LocalAreas.csv!H:J,3,FALSE),ServiceAreas.csv!F:J,5,FALSE)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rg:True</v>
      </c>
      <c r="AE81" t="str">
        <f t="shared" ca="1" si="23"/>
        <v>Seniority overridden to test things</v>
      </c>
      <c r="AF81" s="1">
        <v>42481</v>
      </c>
      <c r="AG81" s="4">
        <f t="shared" ca="1" si="14"/>
        <v>570.33333333333326</v>
      </c>
      <c r="AH81" s="4">
        <f t="shared" si="24"/>
        <v>7.2888888888888888</v>
      </c>
      <c r="AI81">
        <f t="shared" ca="1" si="25"/>
        <v>156</v>
      </c>
      <c r="AJ81">
        <f t="shared" ca="1" si="26"/>
        <v>83</v>
      </c>
      <c r="AK81">
        <f t="shared" ca="1" si="27"/>
        <v>160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VLOOKUP(VLOOKUP(E82,LocalAreas.csv!H:J,3,FALSE),ServiceAreas.csv!F:J,5,FALSE)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VLOOKUP(VLOOKUP(E83,LocalAreas.csv!H:J,3,FALSE),ServiceAreas.csv!F:J,5,FALSE)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VLOOKUP(VLOOKUP(E84,LocalAreas.csv!H:J,3,FALSE),ServiceAreas.csv!F:J,5,FALSE)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192.5</v>
      </c>
      <c r="AH84" s="4">
        <f t="shared" si="24"/>
        <v>2.1361111111111111</v>
      </c>
      <c r="AI84">
        <f t="shared" ca="1" si="25"/>
        <v>187</v>
      </c>
      <c r="AJ84">
        <f t="shared" ca="1" si="26"/>
        <v>6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VLOOKUP(VLOOKUP(E85,LocalAreas.csv!H:J,3,FALSE),ServiceAreas.csv!F:J,5,FALSE)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698</v>
      </c>
      <c r="AH85" s="4">
        <f t="shared" si="24"/>
        <v>9.6388888888888893</v>
      </c>
      <c r="AI85">
        <f t="shared" ca="1" si="25"/>
        <v>120</v>
      </c>
      <c r="AJ85">
        <f t="shared" ca="1" si="26"/>
        <v>80</v>
      </c>
      <c r="AK85">
        <f t="shared" ca="1" si="27"/>
        <v>159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VLOOKUP(VLOOKUP(E86,LocalAreas.csv!H:J,3,FALSE),ServiceAreas.csv!F:J,5,FALSE)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639.5</v>
      </c>
      <c r="AH86" s="4">
        <f t="shared" si="24"/>
        <v>8.8638888888888889</v>
      </c>
      <c r="AI86">
        <f t="shared" ca="1" si="25"/>
        <v>132</v>
      </c>
      <c r="AJ86">
        <f t="shared" ca="1" si="26"/>
        <v>64</v>
      </c>
      <c r="AK86">
        <f t="shared" ca="1" si="27"/>
        <v>127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VLOOKUP(VLOOKUP(E87,LocalAreas.csv!H:J,3,FALSE),ServiceAreas.csv!F:J,5,FALSE)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454</v>
      </c>
      <c r="AH87" s="4">
        <f t="shared" si="24"/>
        <v>5.4833333333333334</v>
      </c>
      <c r="AI87">
        <f t="shared" ca="1" si="25"/>
        <v>191</v>
      </c>
      <c r="AJ87">
        <f t="shared" ca="1" si="26"/>
        <v>120</v>
      </c>
      <c r="AK87">
        <f t="shared" ca="1" si="27"/>
        <v>64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VLOOKUP(VLOOKUP(E88,LocalAreas.csv!H:J,3,FALSE),ServiceAreas.csv!F:J,5,FALSE)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563.16666666666674</v>
      </c>
      <c r="AH88" s="4">
        <f t="shared" si="24"/>
        <v>8.3527777777777779</v>
      </c>
      <c r="AI88">
        <f t="shared" ca="1" si="25"/>
        <v>97</v>
      </c>
      <c r="AJ88">
        <f t="shared" ca="1" si="26"/>
        <v>66</v>
      </c>
      <c r="AK88">
        <f t="shared" ca="1" si="27"/>
        <v>23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VLOOKUP(VLOOKUP(E89,LocalAreas.csv!H:J,3,FALSE),ServiceAreas.csv!F:J,5,FALSE)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VLOOKUP(VLOOKUP(E90,LocalAreas.csv!H:J,3,FALSE),ServiceAreas.csv!F:J,5,FALSE)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398.16666666666669</v>
      </c>
      <c r="AH90" s="4">
        <f t="shared" si="24"/>
        <v>4.0472222222222225</v>
      </c>
      <c r="AI90">
        <f t="shared" ca="1" si="25"/>
        <v>169</v>
      </c>
      <c r="AJ90">
        <f t="shared" ca="1" si="26"/>
        <v>102</v>
      </c>
      <c r="AK90">
        <f t="shared" ca="1" si="27"/>
        <v>195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VLOOKUP(VLOOKUP(E91,LocalAreas.csv!H:J,3,FALSE),ServiceAreas.csv!F:J,5,FALSE)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456.66666666666669</v>
      </c>
      <c r="AH91" s="4">
        <f t="shared" si="24"/>
        <v>5.9611111111111112</v>
      </c>
      <c r="AI91">
        <f t="shared" ca="1" si="25"/>
        <v>26</v>
      </c>
      <c r="AJ91">
        <f t="shared" ca="1" si="26"/>
        <v>125</v>
      </c>
      <c r="AK91">
        <f t="shared" ca="1" si="27"/>
        <v>146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VLOOKUP(VLOOKUP(E92,LocalAreas.csv!H:J,3,FALSE),ServiceAreas.csv!F:J,5,FALSE)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781.83333333333337</v>
      </c>
      <c r="AH92" s="4">
        <f t="shared" si="24"/>
        <v>10.291666666666666</v>
      </c>
      <c r="AI92">
        <f t="shared" ca="1" si="25"/>
        <v>165</v>
      </c>
      <c r="AJ92">
        <f t="shared" ca="1" si="26"/>
        <v>174</v>
      </c>
      <c r="AK92">
        <f t="shared" ca="1" si="27"/>
        <v>154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VLOOKUP(VLOOKUP(E93,LocalAreas.csv!H:J,3,FALSE),ServiceAreas.csv!F:J,5,FALSE)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VLOOKUP(VLOOKUP(E94,LocalAreas.csv!H:J,3,FALSE),ServiceAreas.csv!F:J,5,FALSE)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rg:True</v>
      </c>
      <c r="AE94" t="str">
        <f t="shared" ca="1" si="23"/>
        <v>Seniority overridden to test things</v>
      </c>
      <c r="AF94" s="1">
        <v>42481</v>
      </c>
      <c r="AG94" s="4">
        <f t="shared" ca="1" si="14"/>
        <v>401.16666666666663</v>
      </c>
      <c r="AH94" s="4">
        <f t="shared" si="24"/>
        <v>4.291666666666667</v>
      </c>
      <c r="AI94">
        <f t="shared" ca="1" si="25"/>
        <v>199</v>
      </c>
      <c r="AJ94">
        <f t="shared" ca="1" si="26"/>
        <v>121</v>
      </c>
      <c r="AK94">
        <f t="shared" ca="1" si="27"/>
        <v>111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VLOOKUP(VLOOKUP(E95,LocalAreas.csv!H:J,3,FALSE),ServiceAreas.csv!F:J,5,FALSE)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424.83333333333337</v>
      </c>
      <c r="AH95" s="4">
        <f t="shared" si="24"/>
        <v>5.5027777777777782</v>
      </c>
      <c r="AI95">
        <f t="shared" ca="1" si="25"/>
        <v>27</v>
      </c>
      <c r="AJ95">
        <f t="shared" ca="1" si="26"/>
        <v>185</v>
      </c>
      <c r="AK95">
        <f t="shared" ca="1" si="27"/>
        <v>72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VLOOKUP(VLOOKUP(E96,LocalAreas.csv!H:J,3,FALSE),ServiceAreas.csv!F:J,5,FALSE)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613.16666666666663</v>
      </c>
      <c r="AH96" s="4">
        <f t="shared" si="24"/>
        <v>9.2583333333333329</v>
      </c>
      <c r="AI96">
        <f t="shared" ca="1" si="25"/>
        <v>53</v>
      </c>
      <c r="AJ96">
        <f t="shared" ca="1" si="26"/>
        <v>62</v>
      </c>
      <c r="AK96">
        <f t="shared" ca="1" si="27"/>
        <v>58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VLOOKUP(VLOOKUP(E97,LocalAreas.csv!H:J,3,FALSE),ServiceAreas.csv!F:J,5,FALSE)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254.33333333333334</v>
      </c>
      <c r="AH97" s="4">
        <f t="shared" si="24"/>
        <v>2.2555555555555555</v>
      </c>
      <c r="AI97">
        <f t="shared" ca="1" si="25"/>
        <v>197</v>
      </c>
      <c r="AJ97">
        <f t="shared" ca="1" si="26"/>
        <v>160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VLOOKUP(VLOOKUP(E98,LocalAreas.csv!H:J,3,FALSE),ServiceAreas.csv!F:J,5,FALSE)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549.83333333333337</v>
      </c>
      <c r="AH98" s="4">
        <f t="shared" si="24"/>
        <v>7.8361111111111112</v>
      </c>
      <c r="AI98">
        <f t="shared" ca="1" si="25"/>
        <v>55</v>
      </c>
      <c r="AJ98">
        <f t="shared" ca="1" si="26"/>
        <v>170</v>
      </c>
      <c r="AK98">
        <f t="shared" ca="1" si="27"/>
        <v>14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VLOOKUP(VLOOKUP(E99,LocalAreas.csv!H:J,3,FALSE),ServiceAreas.csv!F:J,5,FALSE)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472.33333333333331</v>
      </c>
      <c r="AH99" s="4">
        <f t="shared" si="24"/>
        <v>5.8</v>
      </c>
      <c r="AI99">
        <f t="shared" ca="1" si="25"/>
        <v>173</v>
      </c>
      <c r="AJ99">
        <f t="shared" ca="1" si="26"/>
        <v>30</v>
      </c>
      <c r="AK99">
        <f t="shared" ca="1" si="27"/>
        <v>170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VLOOKUP(VLOOKUP(E100,LocalAreas.csv!H:J,3,FALSE),ServiceAreas.csv!F:J,5,FALSE)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283.16666666666663</v>
      </c>
      <c r="AH100" s="4">
        <f t="shared" si="24"/>
        <v>3.2361111111111112</v>
      </c>
      <c r="AI100">
        <f t="shared" ca="1" si="25"/>
        <v>26</v>
      </c>
      <c r="AJ100">
        <f t="shared" ca="1" si="26"/>
        <v>197</v>
      </c>
      <c r="AK100">
        <f t="shared" ca="1" si="27"/>
        <v>44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VLOOKUP(VLOOKUP(E101,LocalAreas.csv!H:J,3,FALSE),ServiceAreas.csv!F:J,5,FALSE)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707.49999999999989</v>
      </c>
      <c r="AH101" s="4">
        <f t="shared" si="24"/>
        <v>9.5972222222222214</v>
      </c>
      <c r="AI101">
        <f t="shared" ca="1" si="25"/>
        <v>114</v>
      </c>
      <c r="AJ101">
        <f t="shared" ca="1" si="26"/>
        <v>82</v>
      </c>
      <c r="AK101">
        <f t="shared" ca="1" si="27"/>
        <v>199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VLOOKUP(VLOOKUP(E102,LocalAreas.csv!H:J,3,FALSE),ServiceAreas.csv!F:J,5,FALSE)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629.83333333333337</v>
      </c>
      <c r="AH102" s="4">
        <f t="shared" si="24"/>
        <v>8.8638888888888889</v>
      </c>
      <c r="AI102">
        <f t="shared" ca="1" si="25"/>
        <v>29</v>
      </c>
      <c r="AJ102">
        <f t="shared" ca="1" si="26"/>
        <v>199</v>
      </c>
      <c r="AK102">
        <f t="shared" ca="1" si="27"/>
        <v>66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VLOOKUP(VLOOKUP(E103,LocalAreas.csv!H:J,3,FALSE),ServiceAreas.csv!F:J,5,FALSE)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557.66666666666674</v>
      </c>
      <c r="AH103" s="4">
        <f t="shared" si="24"/>
        <v>6.927777777777778</v>
      </c>
      <c r="AI103">
        <f t="shared" ca="1" si="25"/>
        <v>99</v>
      </c>
      <c r="AJ103">
        <f t="shared" ca="1" si="26"/>
        <v>158</v>
      </c>
      <c r="AK103">
        <f t="shared" ca="1" si="27"/>
        <v>169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VLOOKUP(VLOOKUP(E104,LocalAreas.csv!H:J,3,FALSE),ServiceAreas.csv!F:J,5,FALSE)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434.83333333333331</v>
      </c>
      <c r="AH104" s="4">
        <f t="shared" si="24"/>
        <v>5.4249999999999998</v>
      </c>
      <c r="AI104">
        <f t="shared" ca="1" si="25"/>
        <v>51</v>
      </c>
      <c r="AJ104">
        <f t="shared" ca="1" si="26"/>
        <v>148</v>
      </c>
      <c r="AK104">
        <f t="shared" ca="1" si="27"/>
        <v>129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VLOOKUP(VLOOKUP(E105,LocalAreas.csv!H:J,3,FALSE),ServiceAreas.csv!F:J,5,FALSE)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851.83333333333326</v>
      </c>
      <c r="AH105" s="4">
        <f t="shared" si="24"/>
        <v>12.319444444444445</v>
      </c>
      <c r="AI105">
        <f t="shared" ca="1" si="25"/>
        <v>122</v>
      </c>
      <c r="AJ105">
        <f t="shared" ca="1" si="26"/>
        <v>164</v>
      </c>
      <c r="AK105">
        <f t="shared" ca="1" si="27"/>
        <v>52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VLOOKUP(VLOOKUP(E106,LocalAreas.csv!H:J,3,FALSE),ServiceAreas.csv!F:J,5,FALSE)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550.33333333333337</v>
      </c>
      <c r="AH106" s="4">
        <f t="shared" si="24"/>
        <v>7.6388888888888893</v>
      </c>
      <c r="AI106">
        <f t="shared" ca="1" si="25"/>
        <v>110</v>
      </c>
      <c r="AJ106">
        <f t="shared" ca="1" si="26"/>
        <v>3</v>
      </c>
      <c r="AK106">
        <f t="shared" ca="1" si="27"/>
        <v>163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VLOOKUP(VLOOKUP(E107,LocalAreas.csv!H:J,3,FALSE),ServiceAreas.csv!F:J,5,FALSE)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rg:True</v>
      </c>
      <c r="V107" t="str">
        <f t="shared" ca="1" si="21"/>
        <v>This equipment should be archived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299.16666666666663</v>
      </c>
      <c r="AH107" s="4">
        <f t="shared" si="24"/>
        <v>3.7694444444444444</v>
      </c>
      <c r="AI107">
        <f t="shared" ca="1" si="25"/>
        <v>16</v>
      </c>
      <c r="AJ107">
        <f t="shared" ca="1" si="26"/>
        <v>43</v>
      </c>
      <c r="AK107">
        <f t="shared" ca="1" si="27"/>
        <v>160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VLOOKUP(VLOOKUP(E108,LocalAreas.csv!H:J,3,FALSE),ServiceAreas.csv!F:J,5,FALSE)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rg:True</v>
      </c>
      <c r="AE108" t="str">
        <f t="shared" ca="1" si="23"/>
        <v>Seniority overridden to test things</v>
      </c>
      <c r="AF108" s="1">
        <v>42481</v>
      </c>
      <c r="AG108" s="4">
        <f t="shared" ca="1" si="14"/>
        <v>420.16666666666663</v>
      </c>
      <c r="AH108" s="4">
        <f t="shared" si="24"/>
        <v>4.7583333333333337</v>
      </c>
      <c r="AI108">
        <f t="shared" ca="1" si="25"/>
        <v>192</v>
      </c>
      <c r="AJ108">
        <f t="shared" ca="1" si="26"/>
        <v>77</v>
      </c>
      <c r="AK108">
        <f t="shared" ca="1" si="27"/>
        <v>135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VLOOKUP(VLOOKUP(E109,LocalAreas.csv!H:J,3,FALSE),ServiceAreas.csv!F:J,5,FALSE)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rg:True</v>
      </c>
      <c r="AE109" t="str">
        <f t="shared" ca="1" si="23"/>
        <v>Seniority overridden to test things</v>
      </c>
      <c r="AF109" s="1">
        <v>42481</v>
      </c>
      <c r="AG109" s="4">
        <f t="shared" ca="1" si="14"/>
        <v>278</v>
      </c>
      <c r="AH109" s="4">
        <f t="shared" si="24"/>
        <v>6.0333333333333332</v>
      </c>
      <c r="AI109">
        <f t="shared" ca="1" si="25"/>
        <v>124</v>
      </c>
      <c r="AJ109">
        <f t="shared" ca="1" si="26"/>
        <v>33</v>
      </c>
      <c r="AK109">
        <f t="shared" ca="1" si="27"/>
        <v>134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VLOOKUP(VLOOKUP(E110,LocalAreas.csv!H:J,3,FALSE),ServiceAreas.csv!F:J,5,FALSE)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rg:False</v>
      </c>
      <c r="AE110" t="str">
        <f t="shared" ca="1" si="23"/>
        <v>rg:None</v>
      </c>
      <c r="AF110" s="1">
        <v>42481</v>
      </c>
      <c r="AG110" s="4">
        <f t="shared" ca="1" si="14"/>
        <v>107.16666666666666</v>
      </c>
      <c r="AH110" s="4">
        <f t="shared" si="24"/>
        <v>1.7722222222222221</v>
      </c>
      <c r="AI110">
        <f t="shared" ca="1" si="25"/>
        <v>162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VLOOKUP(VLOOKUP(E111,LocalAreas.csv!H:J,3,FALSE),ServiceAreas.csv!F:J,5,FALSE)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138.41666666666666</v>
      </c>
      <c r="AH111" s="4">
        <f t="shared" si="24"/>
        <v>2.6805555555555554</v>
      </c>
      <c r="AI111">
        <f t="shared" ca="1" si="25"/>
        <v>5</v>
      </c>
      <c r="AJ111">
        <f t="shared" ca="1" si="26"/>
        <v>169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VLOOKUP(VLOOKUP(E112,LocalAreas.csv!H:J,3,FALSE),ServiceAreas.csv!F:J,5,FALSE)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374.16666666666663</v>
      </c>
      <c r="AH112" s="4">
        <f t="shared" si="24"/>
        <v>10.294444444444444</v>
      </c>
      <c r="AI112">
        <f t="shared" ca="1" si="25"/>
        <v>24</v>
      </c>
      <c r="AJ112">
        <f t="shared" ca="1" si="26"/>
        <v>168</v>
      </c>
      <c r="AK112">
        <f t="shared" ca="1" si="27"/>
        <v>4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VLOOKUP(VLOOKUP(E113,LocalAreas.csv!H:J,3,FALSE),ServiceAreas.csv!F:J,5,FALSE)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290.33333333333331</v>
      </c>
      <c r="AH113" s="4">
        <f t="shared" si="24"/>
        <v>6.3</v>
      </c>
      <c r="AI113">
        <f t="shared" ca="1" si="25"/>
        <v>56</v>
      </c>
      <c r="AJ113">
        <f t="shared" ca="1" si="26"/>
        <v>112</v>
      </c>
      <c r="AK113">
        <f t="shared" ca="1" si="27"/>
        <v>136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VLOOKUP(VLOOKUP(E114,LocalAreas.csv!H:J,3,FALSE),ServiceAreas.csv!F:J,5,FALSE)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rg:True</v>
      </c>
      <c r="V114" t="str">
        <f t="shared" ca="1" si="21"/>
        <v>This equipment should be archived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352.66666666666669</v>
      </c>
      <c r="AH114" s="4">
        <f t="shared" si="24"/>
        <v>8.7666666666666675</v>
      </c>
      <c r="AI114">
        <f t="shared" ca="1" si="25"/>
        <v>194</v>
      </c>
      <c r="AJ114">
        <f t="shared" ca="1" si="26"/>
        <v>39</v>
      </c>
      <c r="AK114">
        <f t="shared" ca="1" si="27"/>
        <v>36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VLOOKUP(VLOOKUP(E115,LocalAreas.csv!H:J,3,FALSE),ServiceAreas.csv!F:J,5,FALSE)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378.5</v>
      </c>
      <c r="AH115" s="4">
        <f t="shared" si="24"/>
        <v>10.55</v>
      </c>
      <c r="AI115">
        <f t="shared" ca="1" si="25"/>
        <v>71</v>
      </c>
      <c r="AJ115">
        <f t="shared" ca="1" si="26"/>
        <v>99</v>
      </c>
      <c r="AK115">
        <f t="shared" ca="1" si="27"/>
        <v>16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VLOOKUP(VLOOKUP(E116,LocalAreas.csv!H:J,3,FALSE),ServiceAreas.csv!F:J,5,FALSE)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185.66666666666666</v>
      </c>
      <c r="AH116" s="4">
        <f t="shared" si="24"/>
        <v>3.6111111111111112</v>
      </c>
      <c r="AI116">
        <f t="shared" ca="1" si="25"/>
        <v>28</v>
      </c>
      <c r="AJ116">
        <f t="shared" ca="1" si="26"/>
        <v>197</v>
      </c>
      <c r="AK116">
        <f t="shared" ca="1" si="27"/>
        <v>7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VLOOKUP(VLOOKUP(E117,LocalAreas.csv!H:J,3,FALSE),ServiceAreas.csv!F:J,5,FALSE)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298.83333333333331</v>
      </c>
      <c r="AH117" s="4">
        <f t="shared" si="24"/>
        <v>6.8388888888888886</v>
      </c>
      <c r="AI117">
        <f t="shared" ca="1" si="25"/>
        <v>155</v>
      </c>
      <c r="AJ117">
        <f t="shared" ca="1" si="26"/>
        <v>38</v>
      </c>
      <c r="AK117">
        <f t="shared" ca="1" si="27"/>
        <v>88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VLOOKUP(VLOOKUP(E118,LocalAreas.csv!H:J,3,FALSE),ServiceAreas.csv!F:J,5,FALSE)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199.66666666666669</v>
      </c>
      <c r="AH118" s="4">
        <f t="shared" si="24"/>
        <v>3.2555555555555555</v>
      </c>
      <c r="AI118">
        <f t="shared" ca="1" si="25"/>
        <v>103</v>
      </c>
      <c r="AJ118">
        <f t="shared" ca="1" si="26"/>
        <v>96</v>
      </c>
      <c r="AK118">
        <f t="shared" ca="1" si="27"/>
        <v>107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VLOOKUP(VLOOKUP(E119,LocalAreas.csv!H:J,3,FALSE),ServiceAreas.csv!F:J,5,FALSE)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454.83333333333331</v>
      </c>
      <c r="AH119" s="4">
        <f t="shared" si="24"/>
        <v>11.472222222222221</v>
      </c>
      <c r="AI119">
        <f t="shared" ca="1" si="25"/>
        <v>185</v>
      </c>
      <c r="AJ119">
        <f t="shared" ca="1" si="26"/>
        <v>38</v>
      </c>
      <c r="AK119">
        <f t="shared" ca="1" si="27"/>
        <v>109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VLOOKUP(VLOOKUP(E120,LocalAreas.csv!H:J,3,FALSE),ServiceAreas.csv!F:J,5,FALSE)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297.41666666666669</v>
      </c>
      <c r="AH120" s="4">
        <f t="shared" si="24"/>
        <v>6.0027777777777782</v>
      </c>
      <c r="AI120">
        <f t="shared" ca="1" si="25"/>
        <v>185</v>
      </c>
      <c r="AJ120">
        <f t="shared" ca="1" si="26"/>
        <v>144</v>
      </c>
      <c r="AK120">
        <f t="shared" ca="1" si="27"/>
        <v>23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VLOOKUP(VLOOKUP(E121,LocalAreas.csv!H:J,3,FALSE),ServiceAreas.csv!F:J,5,FALSE)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254</v>
      </c>
      <c r="AH121" s="4">
        <f t="shared" si="24"/>
        <v>4.8888888888888893</v>
      </c>
      <c r="AI121">
        <f t="shared" ca="1" si="25"/>
        <v>142</v>
      </c>
      <c r="AJ121">
        <f t="shared" ca="1" si="26"/>
        <v>25</v>
      </c>
      <c r="AK121">
        <f t="shared" ca="1" si="27"/>
        <v>155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VLOOKUP(VLOOKUP(E122,LocalAreas.csv!H:J,3,FALSE),ServiceAreas.csv!F:J,5,FALSE)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267</v>
      </c>
      <c r="AH122" s="4">
        <f t="shared" si="24"/>
        <v>5.4222222222222225</v>
      </c>
      <c r="AI122">
        <f t="shared" ca="1" si="25"/>
        <v>172</v>
      </c>
      <c r="AJ122">
        <f t="shared" ca="1" si="26"/>
        <v>65</v>
      </c>
      <c r="AK122">
        <f t="shared" ca="1" si="27"/>
        <v>76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VLOOKUP(VLOOKUP(E123,LocalAreas.csv!H:J,3,FALSE),ServiceAreas.csv!F:J,5,FALSE)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143.08333333333334</v>
      </c>
      <c r="AH123" s="4">
        <f t="shared" si="24"/>
        <v>2.8250000000000002</v>
      </c>
      <c r="AI123">
        <f t="shared" ca="1" si="25"/>
        <v>47</v>
      </c>
      <c r="AJ123">
        <f t="shared" ca="1" si="26"/>
        <v>128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VLOOKUP(VLOOKUP(E124,LocalAreas.csv!H:J,3,FALSE),ServiceAreas.csv!F:J,5,FALSE)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VLOOKUP(VLOOKUP(E125,LocalAreas.csv!H:J,3,FALSE),ServiceAreas.csv!F:J,5,FALSE)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rg:True</v>
      </c>
      <c r="V125" t="str">
        <f t="shared" ca="1" si="21"/>
        <v>This equipment should be archived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298.66666666666669</v>
      </c>
      <c r="AH125" s="4">
        <f t="shared" si="24"/>
        <v>4.9777777777777779</v>
      </c>
      <c r="AI125">
        <f t="shared" ca="1" si="25"/>
        <v>166</v>
      </c>
      <c r="AJ125">
        <f t="shared" ca="1" si="26"/>
        <v>101</v>
      </c>
      <c r="AK125">
        <f t="shared" ca="1" si="27"/>
        <v>181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VLOOKUP(VLOOKUP(E126,LocalAreas.csv!H:J,3,FALSE),ServiceAreas.csv!F:J,5,FALSE)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184.83333333333331</v>
      </c>
      <c r="AH126" s="4">
        <f t="shared" si="24"/>
        <v>4.5944444444444441</v>
      </c>
      <c r="AI126">
        <f t="shared" ca="1" si="25"/>
        <v>103</v>
      </c>
      <c r="AJ126">
        <f t="shared" ca="1" si="26"/>
        <v>30</v>
      </c>
      <c r="AK126">
        <f t="shared" ca="1" si="27"/>
        <v>8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VLOOKUP(VLOOKUP(E127,LocalAreas.csv!H:J,3,FALSE),ServiceAreas.csv!F:J,5,FALSE)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389.91666666666663</v>
      </c>
      <c r="AH127" s="4">
        <f t="shared" si="24"/>
        <v>8.375</v>
      </c>
      <c r="AI127">
        <f t="shared" ca="1" si="25"/>
        <v>189</v>
      </c>
      <c r="AJ127">
        <f t="shared" ca="1" si="26"/>
        <v>131</v>
      </c>
      <c r="AK127">
        <f t="shared" ca="1" si="27"/>
        <v>96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VLOOKUP(VLOOKUP(E128,LocalAreas.csv!H:J,3,FALSE),ServiceAreas.csv!F:J,5,FALSE)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270.5</v>
      </c>
      <c r="AH128" s="4">
        <f t="shared" si="24"/>
        <v>4.1055555555555552</v>
      </c>
      <c r="AI128">
        <f t="shared" ca="1" si="25"/>
        <v>188</v>
      </c>
      <c r="AJ128">
        <f t="shared" ca="1" si="26"/>
        <v>178</v>
      </c>
      <c r="AK128">
        <f t="shared" ca="1" si="27"/>
        <v>76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VLOOKUP(VLOOKUP(E129,LocalAreas.csv!H:J,3,FALSE),ServiceAreas.csv!F:J,5,FALSE)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287</v>
      </c>
      <c r="AH129" s="4">
        <f t="shared" si="24"/>
        <v>5.166666666666667</v>
      </c>
      <c r="AI129">
        <f t="shared" ca="1" si="25"/>
        <v>101</v>
      </c>
      <c r="AJ129">
        <f t="shared" ca="1" si="26"/>
        <v>127</v>
      </c>
      <c r="AK129">
        <f t="shared" ca="1" si="27"/>
        <v>168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VLOOKUP(VLOOKUP(E130,LocalAreas.csv!H:J,3,FALSE),ServiceAreas.csv!F:J,5,FALSE)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295.41666666666663</v>
      </c>
      <c r="AH130" s="4">
        <f t="shared" si="24"/>
        <v>7.6805555555555554</v>
      </c>
      <c r="AI130">
        <f t="shared" ca="1" si="25"/>
        <v>61</v>
      </c>
      <c r="AJ130">
        <f t="shared" ca="1" si="26"/>
        <v>7</v>
      </c>
      <c r="AK130">
        <f t="shared" ca="1" si="27"/>
        <v>127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VLOOKUP(VLOOKUP(E131,LocalAreas.csv!H:J,3,FALSE),ServiceAreas.csv!F:J,5,FALSE)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VLOOKUP(VLOOKUP(E132,LocalAreas.csv!H:J,3,FALSE),ServiceAreas.csv!F:J,5,FALSE)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VLOOKUP(VLOOKUP(E133,LocalAreas.csv!H:J,3,FALSE),ServiceAreas.csv!F:J,5,FALSE)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346.5</v>
      </c>
      <c r="AH133" s="4">
        <f t="shared" si="38"/>
        <v>7.3944444444444448</v>
      </c>
      <c r="AI133">
        <f t="shared" ca="1" si="39"/>
        <v>83</v>
      </c>
      <c r="AJ133">
        <f t="shared" ca="1" si="40"/>
        <v>128</v>
      </c>
      <c r="AK133">
        <f t="shared" ca="1" si="41"/>
        <v>163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VLOOKUP(VLOOKUP(E134,LocalAreas.csv!H:J,3,FALSE),ServiceAreas.csv!F:J,5,FALSE)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244.66666666666669</v>
      </c>
      <c r="AH134" s="4">
        <f t="shared" si="38"/>
        <v>5.3888888888888893</v>
      </c>
      <c r="AI134">
        <f t="shared" ca="1" si="39"/>
        <v>176</v>
      </c>
      <c r="AJ134">
        <f t="shared" ca="1" si="40"/>
        <v>28</v>
      </c>
      <c r="AK134">
        <f t="shared" ca="1" si="41"/>
        <v>45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VLOOKUP(VLOOKUP(E135,LocalAreas.csv!H:J,3,FALSE),ServiceAreas.csv!F:J,5,FALSE)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481.75</v>
      </c>
      <c r="AH135" s="4">
        <f t="shared" si="38"/>
        <v>12.425000000000001</v>
      </c>
      <c r="AI135">
        <f t="shared" ca="1" si="39"/>
        <v>200</v>
      </c>
      <c r="AJ135">
        <f t="shared" ca="1" si="40"/>
        <v>100</v>
      </c>
      <c r="AK135">
        <f t="shared" ca="1" si="41"/>
        <v>27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VLOOKUP(VLOOKUP(E136,LocalAreas.csv!H:J,3,FALSE),ServiceAreas.csv!F:J,5,FALSE)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VLOOKUP(VLOOKUP(E137,LocalAreas.csv!H:J,3,FALSE),ServiceAreas.csv!F:J,5,FALSE)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296.83333333333337</v>
      </c>
      <c r="AH137" s="4">
        <f t="shared" si="38"/>
        <v>7.6722222222222225</v>
      </c>
      <c r="AI137">
        <f t="shared" ca="1" si="39"/>
        <v>94</v>
      </c>
      <c r="AJ137">
        <f t="shared" ca="1" si="40"/>
        <v>40</v>
      </c>
      <c r="AK137">
        <f t="shared" ca="1" si="41"/>
        <v>66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VLOOKUP(VLOOKUP(E138,LocalAreas.csv!H:J,3,FALSE),ServiceAreas.csv!F:J,5,FALSE)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391.08333333333337</v>
      </c>
      <c r="AH138" s="4">
        <f t="shared" si="38"/>
        <v>9.3805555555555564</v>
      </c>
      <c r="AI138">
        <f t="shared" ca="1" si="39"/>
        <v>128</v>
      </c>
      <c r="AJ138">
        <f t="shared" ca="1" si="40"/>
        <v>185</v>
      </c>
      <c r="AK138">
        <f t="shared" ca="1" si="41"/>
        <v>16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VLOOKUP(VLOOKUP(E139,LocalAreas.csv!H:J,3,FALSE),ServiceAreas.csv!F:J,5,FALSE)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342.5</v>
      </c>
      <c r="AH139" s="4">
        <f t="shared" si="38"/>
        <v>4.447222222222222</v>
      </c>
      <c r="AI139">
        <f t="shared" ca="1" si="39"/>
        <v>47</v>
      </c>
      <c r="AJ139">
        <f t="shared" ca="1" si="40"/>
        <v>157</v>
      </c>
      <c r="AK139">
        <f t="shared" ca="1" si="41"/>
        <v>23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VLOOKUP(VLOOKUP(E140,LocalAreas.csv!H:J,3,FALSE),ServiceAreas.csv!F:J,5,FALSE)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rg:True</v>
      </c>
      <c r="V140" t="str">
        <f t="shared" ca="1" si="35"/>
        <v>This equipment should be archived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459.5</v>
      </c>
      <c r="AH140" s="4">
        <f t="shared" si="38"/>
        <v>6.0361111111111114</v>
      </c>
      <c r="AI140">
        <f t="shared" ca="1" si="39"/>
        <v>151</v>
      </c>
      <c r="AJ140">
        <f t="shared" ca="1" si="40"/>
        <v>86</v>
      </c>
      <c r="AK140">
        <f t="shared" ca="1" si="41"/>
        <v>55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VLOOKUP(VLOOKUP(E141,LocalAreas.csv!H:J,3,FALSE),ServiceAreas.csv!F:J,5,FALSE)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368.33333333333331</v>
      </c>
      <c r="AH141" s="4">
        <f t="shared" si="38"/>
        <v>5.3555555555555552</v>
      </c>
      <c r="AI141">
        <f t="shared" ca="1" si="39"/>
        <v>36</v>
      </c>
      <c r="AJ141">
        <f t="shared" ca="1" si="40"/>
        <v>0</v>
      </c>
      <c r="AK141">
        <f t="shared" ca="1" si="41"/>
        <v>105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VLOOKUP(VLOOKUP(E142,LocalAreas.csv!H:J,3,FALSE),ServiceAreas.csv!F:J,5,FALSE)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365.66666666666669</v>
      </c>
      <c r="AH142" s="4">
        <f t="shared" si="38"/>
        <v>4.2</v>
      </c>
      <c r="AI142">
        <f t="shared" ca="1" si="39"/>
        <v>145</v>
      </c>
      <c r="AJ142">
        <f t="shared" ca="1" si="40"/>
        <v>163</v>
      </c>
      <c r="AK142">
        <f t="shared" ca="1" si="41"/>
        <v>33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VLOOKUP(VLOOKUP(E143,LocalAreas.csv!H:J,3,FALSE),ServiceAreas.csv!F:J,5,FALSE)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VLOOKUP(VLOOKUP(E144,LocalAreas.csv!H:J,3,FALSE),ServiceAreas.csv!F:J,5,FALSE)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478.33333333333331</v>
      </c>
      <c r="AH144" s="4">
        <f t="shared" si="38"/>
        <v>7.072222222222222</v>
      </c>
      <c r="AI144">
        <f t="shared" ca="1" si="39"/>
        <v>90</v>
      </c>
      <c r="AJ144">
        <f t="shared" ca="1" si="40"/>
        <v>4</v>
      </c>
      <c r="AK144">
        <f t="shared" ca="1" si="41"/>
        <v>68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VLOOKUP(VLOOKUP(E145,LocalAreas.csv!H:J,3,FALSE),ServiceAreas.csv!F:J,5,FALSE)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180</v>
      </c>
      <c r="AH145" s="4">
        <f t="shared" si="38"/>
        <v>2.3833333333333333</v>
      </c>
      <c r="AI145">
        <f t="shared" ca="1" si="39"/>
        <v>42</v>
      </c>
      <c r="AJ145">
        <f t="shared" ca="1" si="40"/>
        <v>69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VLOOKUP(VLOOKUP(E146,LocalAreas.csv!H:J,3,FALSE),ServiceAreas.csv!F:J,5,FALSE)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rg:True</v>
      </c>
      <c r="V146" t="str">
        <f t="shared" ca="1" si="35"/>
        <v>This equipment should be archived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VLOOKUP(VLOOKUP(E147,LocalAreas.csv!H:J,3,FALSE),ServiceAreas.csv!F:J,5,FALSE)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586.5</v>
      </c>
      <c r="AH147" s="4">
        <f t="shared" si="38"/>
        <v>8.625</v>
      </c>
      <c r="AI147">
        <f t="shared" ca="1" si="39"/>
        <v>132</v>
      </c>
      <c r="AJ147">
        <f t="shared" ca="1" si="40"/>
        <v>59</v>
      </c>
      <c r="AK147">
        <f t="shared" ca="1" si="41"/>
        <v>16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VLOOKUP(VLOOKUP(E148,LocalAreas.csv!H:J,3,FALSE),ServiceAreas.csv!F:J,5,FALSE)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371.99999999999994</v>
      </c>
      <c r="AH148" s="4">
        <f t="shared" si="38"/>
        <v>4.3277777777777775</v>
      </c>
      <c r="AI148">
        <f t="shared" ca="1" si="39"/>
        <v>46</v>
      </c>
      <c r="AJ148">
        <f t="shared" ca="1" si="40"/>
        <v>110</v>
      </c>
      <c r="AK148">
        <f t="shared" ca="1" si="41"/>
        <v>181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VLOOKUP(VLOOKUP(E149,LocalAreas.csv!H:J,3,FALSE),ServiceAreas.csv!F:J,5,FALSE)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681</v>
      </c>
      <c r="AH149" s="4">
        <f t="shared" si="38"/>
        <v>9.3944444444444439</v>
      </c>
      <c r="AI149">
        <f t="shared" ca="1" si="39"/>
        <v>139</v>
      </c>
      <c r="AJ149">
        <f t="shared" ca="1" si="40"/>
        <v>182</v>
      </c>
      <c r="AK149">
        <f t="shared" ca="1" si="41"/>
        <v>31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VLOOKUP(VLOOKUP(E150,LocalAreas.csv!H:J,3,FALSE),ServiceAreas.csv!F:J,5,FALSE)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768.66666666666663</v>
      </c>
      <c r="AH150" s="4">
        <f t="shared" si="38"/>
        <v>11.722222222222221</v>
      </c>
      <c r="AI150">
        <f t="shared" ca="1" si="39"/>
        <v>178</v>
      </c>
      <c r="AJ150">
        <f t="shared" ca="1" si="40"/>
        <v>8</v>
      </c>
      <c r="AK150">
        <f t="shared" ca="1" si="41"/>
        <v>10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VLOOKUP(VLOOKUP(E151,LocalAreas.csv!H:J,3,FALSE),ServiceAreas.csv!F:J,5,FALSE)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208.83333333333331</v>
      </c>
      <c r="AH151" s="4">
        <f t="shared" si="38"/>
        <v>2.3972222222222221</v>
      </c>
      <c r="AI151">
        <f t="shared" ca="1" si="39"/>
        <v>73</v>
      </c>
      <c r="AJ151">
        <f t="shared" ca="1" si="40"/>
        <v>122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VLOOKUP(VLOOKUP(E152,LocalAreas.csv!H:J,3,FALSE),ServiceAreas.csv!F:J,5,FALSE)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rg:True</v>
      </c>
      <c r="V152" t="str">
        <f t="shared" ca="1" si="35"/>
        <v>This equipment should be archived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542.16666666666663</v>
      </c>
      <c r="AH152" s="4">
        <f t="shared" si="38"/>
        <v>7.6694444444444443</v>
      </c>
      <c r="AI152">
        <f t="shared" ca="1" si="39"/>
        <v>33</v>
      </c>
      <c r="AJ152">
        <f t="shared" ca="1" si="40"/>
        <v>143</v>
      </c>
      <c r="AK152">
        <f t="shared" ca="1" si="41"/>
        <v>70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VLOOKUP(VLOOKUP(E153,LocalAreas.csv!H:J,3,FALSE),ServiceAreas.csv!F:J,5,FALSE)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325.33333333333337</v>
      </c>
      <c r="AH153" s="4">
        <f t="shared" si="38"/>
        <v>3.5055555555555555</v>
      </c>
      <c r="AI153">
        <f t="shared" ca="1" si="39"/>
        <v>139</v>
      </c>
      <c r="AJ153">
        <f t="shared" ca="1" si="40"/>
        <v>8</v>
      </c>
      <c r="AK153">
        <f t="shared" ca="1" si="41"/>
        <v>198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VLOOKUP(VLOOKUP(E154,LocalAreas.csv!H:J,3,FALSE),ServiceAreas.csv!F:J,5,FALSE)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438.33333333333331</v>
      </c>
      <c r="AH154" s="4">
        <f t="shared" si="38"/>
        <v>5.5444444444444443</v>
      </c>
      <c r="AI154">
        <f t="shared" ca="1" si="39"/>
        <v>71</v>
      </c>
      <c r="AJ154">
        <f t="shared" ca="1" si="40"/>
        <v>122</v>
      </c>
      <c r="AK154">
        <f t="shared" ca="1" si="41"/>
        <v>124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VLOOKUP(VLOOKUP(E155,LocalAreas.csv!H:J,3,FALSE),ServiceAreas.csv!F:J,5,FALSE)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415.16666666666669</v>
      </c>
      <c r="AH155" s="4">
        <f t="shared" si="38"/>
        <v>5.0805555555555557</v>
      </c>
      <c r="AI155">
        <f t="shared" ca="1" si="39"/>
        <v>68</v>
      </c>
      <c r="AJ155">
        <f t="shared" ca="1" si="40"/>
        <v>101</v>
      </c>
      <c r="AK155">
        <f t="shared" ca="1" si="41"/>
        <v>162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VLOOKUP(VLOOKUP(E156,LocalAreas.csv!H:J,3,FALSE),ServiceAreas.csv!F:J,5,FALSE)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rg:True</v>
      </c>
      <c r="V156" t="str">
        <f t="shared" ca="1" si="35"/>
        <v>This equipment should be archived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521.5</v>
      </c>
      <c r="AH156" s="4">
        <f t="shared" si="38"/>
        <v>6.0472222222222225</v>
      </c>
      <c r="AI156">
        <f t="shared" ca="1" si="39"/>
        <v>152</v>
      </c>
      <c r="AJ156">
        <f t="shared" ca="1" si="40"/>
        <v>124</v>
      </c>
      <c r="AK156">
        <f t="shared" ca="1" si="41"/>
        <v>200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VLOOKUP(VLOOKUP(E157,LocalAreas.csv!H:J,3,FALSE),ServiceAreas.csv!F:J,5,FALSE)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374.5</v>
      </c>
      <c r="AH157" s="4">
        <f t="shared" si="38"/>
        <v>3.6972222222222224</v>
      </c>
      <c r="AI157">
        <f t="shared" ca="1" si="39"/>
        <v>154</v>
      </c>
      <c r="AJ157">
        <f t="shared" ca="1" si="40"/>
        <v>127</v>
      </c>
      <c r="AK157">
        <f t="shared" ca="1" si="41"/>
        <v>177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VLOOKUP(VLOOKUP(E158,LocalAreas.csv!H:J,3,FALSE),ServiceAreas.csv!F:J,5,FALSE)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295.33333333333331</v>
      </c>
      <c r="AH158" s="4">
        <f t="shared" si="38"/>
        <v>3.0111111111111111</v>
      </c>
      <c r="AI158">
        <f t="shared" ca="1" si="39"/>
        <v>96</v>
      </c>
      <c r="AJ158">
        <f t="shared" ca="1" si="40"/>
        <v>162</v>
      </c>
      <c r="AK158">
        <f t="shared" ca="1" si="41"/>
        <v>86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VLOOKUP(VLOOKUP(E159,LocalAreas.csv!H:J,3,FALSE),ServiceAreas.csv!F:J,5,FALSE)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579.83333333333337</v>
      </c>
      <c r="AH159" s="4">
        <f t="shared" si="38"/>
        <v>8.3416666666666668</v>
      </c>
      <c r="AI159">
        <f t="shared" ca="1" si="39"/>
        <v>164</v>
      </c>
      <c r="AJ159">
        <f t="shared" ca="1" si="40"/>
        <v>22</v>
      </c>
      <c r="AK159">
        <f t="shared" ca="1" si="41"/>
        <v>52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VLOOKUP(VLOOKUP(E160,LocalAreas.csv!H:J,3,FALSE),ServiceAreas.csv!F:J,5,FALSE)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564.66666666666674</v>
      </c>
      <c r="AH160" s="4">
        <f t="shared" si="38"/>
        <v>7.9222222222222225</v>
      </c>
      <c r="AI160">
        <f t="shared" ca="1" si="39"/>
        <v>65</v>
      </c>
      <c r="AJ160">
        <f t="shared" ca="1" si="40"/>
        <v>69</v>
      </c>
      <c r="AK160">
        <f t="shared" ca="1" si="41"/>
        <v>134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VLOOKUP(VLOOKUP(E161,LocalAreas.csv!H:J,3,FALSE),ServiceAreas.csv!F:J,5,FALSE)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488.33333333333331</v>
      </c>
      <c r="AH161" s="4">
        <f t="shared" si="38"/>
        <v>7.0555555555555554</v>
      </c>
      <c r="AI161">
        <f t="shared" ca="1" si="39"/>
        <v>68</v>
      </c>
      <c r="AJ161">
        <f t="shared" ca="1" si="40"/>
        <v>99</v>
      </c>
      <c r="AK161">
        <f t="shared" ca="1" si="41"/>
        <v>28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VLOOKUP(VLOOKUP(E162,LocalAreas.csv!H:J,3,FALSE),ServiceAreas.csv!F:J,5,FALSE)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539</v>
      </c>
      <c r="AH162" s="4">
        <f t="shared" si="38"/>
        <v>6.5055555555555555</v>
      </c>
      <c r="AI162">
        <f t="shared" ca="1" si="39"/>
        <v>198</v>
      </c>
      <c r="AJ162">
        <f t="shared" ca="1" si="40"/>
        <v>54</v>
      </c>
      <c r="AK162">
        <f t="shared" ca="1" si="41"/>
        <v>194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VLOOKUP(VLOOKUP(E163,LocalAreas.csv!H:J,3,FALSE),ServiceAreas.csv!F:J,5,FALSE)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483.5</v>
      </c>
      <c r="AH163" s="4">
        <f t="shared" si="38"/>
        <v>6.0861111111111112</v>
      </c>
      <c r="AI163">
        <f t="shared" ca="1" si="39"/>
        <v>4</v>
      </c>
      <c r="AJ163">
        <f t="shared" ca="1" si="40"/>
        <v>165</v>
      </c>
      <c r="AK163">
        <f t="shared" ca="1" si="41"/>
        <v>186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VLOOKUP(VLOOKUP(E164,LocalAreas.csv!H:J,3,FALSE),ServiceAreas.csv!F:J,5,FALSE)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rg:True</v>
      </c>
      <c r="AE164" t="str">
        <f t="shared" ca="1" si="37"/>
        <v>Seniority overridden to test things</v>
      </c>
      <c r="AF164" s="1">
        <v>42481</v>
      </c>
      <c r="AG164" s="4">
        <f t="shared" ca="1" si="28"/>
        <v>231.66666666666666</v>
      </c>
      <c r="AH164" s="4">
        <f t="shared" si="38"/>
        <v>2.9166666666666665</v>
      </c>
      <c r="AI164">
        <f t="shared" ca="1" si="39"/>
        <v>65</v>
      </c>
      <c r="AJ164">
        <f t="shared" ca="1" si="40"/>
        <v>105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VLOOKUP(VLOOKUP(E165,LocalAreas.csv!H:J,3,FALSE),ServiceAreas.csv!F:J,5,FALSE)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VLOOKUP(VLOOKUP(E166,LocalAreas.csv!H:J,3,FALSE),ServiceAreas.csv!F:J,5,FALSE)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rg:False</v>
      </c>
      <c r="V166" t="str">
        <f t="shared" ca="1" si="35"/>
        <v>rg:None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384.66666666666669</v>
      </c>
      <c r="AH166" s="4">
        <f t="shared" si="38"/>
        <v>10.955555555555556</v>
      </c>
      <c r="AI166">
        <f t="shared" ca="1" si="39"/>
        <v>17</v>
      </c>
      <c r="AJ166">
        <f t="shared" ca="1" si="40"/>
        <v>130</v>
      </c>
      <c r="AK166">
        <f t="shared" ca="1" si="41"/>
        <v>21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VLOOKUP(VLOOKUP(E167,LocalAreas.csv!H:J,3,FALSE),ServiceAreas.csv!F:J,5,FALSE)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414.91666666666663</v>
      </c>
      <c r="AH167" s="4">
        <f t="shared" si="38"/>
        <v>10.919444444444444</v>
      </c>
      <c r="AI167">
        <f t="shared" ca="1" si="39"/>
        <v>36</v>
      </c>
      <c r="AJ167">
        <f t="shared" ca="1" si="40"/>
        <v>135</v>
      </c>
      <c r="AK167">
        <f t="shared" ca="1" si="41"/>
        <v>91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VLOOKUP(VLOOKUP(E168,LocalAreas.csv!H:J,3,FALSE),ServiceAreas.csv!F:J,5,FALSE)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293.33333333333331</v>
      </c>
      <c r="AH168" s="4">
        <f t="shared" si="38"/>
        <v>4.7222222222222223</v>
      </c>
      <c r="AI168">
        <f t="shared" ca="1" si="39"/>
        <v>135</v>
      </c>
      <c r="AJ168">
        <f t="shared" ca="1" si="40"/>
        <v>193</v>
      </c>
      <c r="AK168">
        <f t="shared" ca="1" si="41"/>
        <v>127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VLOOKUP(VLOOKUP(E169,LocalAreas.csv!H:J,3,FALSE),ServiceAreas.csv!F:J,5,FALSE)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282.25</v>
      </c>
      <c r="AH169" s="4">
        <f t="shared" si="38"/>
        <v>5.9416666666666664</v>
      </c>
      <c r="AI169">
        <f t="shared" ca="1" si="39"/>
        <v>80</v>
      </c>
      <c r="AJ169">
        <f t="shared" ca="1" si="40"/>
        <v>77</v>
      </c>
      <c r="AK169">
        <f t="shared" ca="1" si="41"/>
        <v>155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VLOOKUP(VLOOKUP(E170,LocalAreas.csv!H:J,3,FALSE),ServiceAreas.csv!F:J,5,FALSE)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480.08333333333331</v>
      </c>
      <c r="AH170" s="4">
        <f t="shared" si="38"/>
        <v>11.669444444444444</v>
      </c>
      <c r="AI170">
        <f t="shared" ca="1" si="39"/>
        <v>150</v>
      </c>
      <c r="AJ170">
        <f t="shared" ca="1" si="40"/>
        <v>175</v>
      </c>
      <c r="AK170">
        <f t="shared" ca="1" si="41"/>
        <v>65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VLOOKUP(VLOOKUP(E171,LocalAreas.csv!H:J,3,FALSE),ServiceAreas.csv!F:J,5,FALSE)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331.5</v>
      </c>
      <c r="AH171" s="4">
        <f t="shared" si="38"/>
        <v>6.5277777777777777</v>
      </c>
      <c r="AI171">
        <f t="shared" ca="1" si="39"/>
        <v>175</v>
      </c>
      <c r="AJ171">
        <f t="shared" ca="1" si="40"/>
        <v>104</v>
      </c>
      <c r="AK171">
        <f t="shared" ca="1" si="41"/>
        <v>128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VLOOKUP(VLOOKUP(E172,LocalAreas.csv!H:J,3,FALSE),ServiceAreas.csv!F:J,5,FALSE)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VLOOKUP(VLOOKUP(E173,LocalAreas.csv!H:J,3,FALSE),ServiceAreas.csv!F:J,5,FALSE)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rg:True</v>
      </c>
      <c r="AE173" t="str">
        <f t="shared" ca="1" si="37"/>
        <v>Seniority overridden to test things</v>
      </c>
      <c r="AF173" s="1">
        <v>42481</v>
      </c>
      <c r="AG173" s="4">
        <f t="shared" ca="1" si="28"/>
        <v>346.5</v>
      </c>
      <c r="AH173" s="4">
        <f t="shared" si="38"/>
        <v>8.8166666666666664</v>
      </c>
      <c r="AI173">
        <f t="shared" ca="1" si="39"/>
        <v>101</v>
      </c>
      <c r="AJ173">
        <f t="shared" ca="1" si="40"/>
        <v>61</v>
      </c>
      <c r="AK173">
        <f t="shared" ca="1" si="41"/>
        <v>84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VLOOKUP(VLOOKUP(E174,LocalAreas.csv!H:J,3,FALSE),ServiceAreas.csv!F:J,5,FALSE)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517.08333333333337</v>
      </c>
      <c r="AH174" s="4">
        <f t="shared" si="38"/>
        <v>12.480555555555556</v>
      </c>
      <c r="AI174">
        <f t="shared" ca="1" si="39"/>
        <v>168</v>
      </c>
      <c r="AJ174">
        <f t="shared" ca="1" si="40"/>
        <v>141</v>
      </c>
      <c r="AK174">
        <f t="shared" ca="1" si="41"/>
        <v>119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VLOOKUP(VLOOKUP(E175,LocalAreas.csv!H:J,3,FALSE),ServiceAreas.csv!F:J,5,FALSE)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335.66666666666669</v>
      </c>
      <c r="AH175" s="4">
        <f t="shared" si="38"/>
        <v>8.1333333333333329</v>
      </c>
      <c r="AI175">
        <f t="shared" ca="1" si="39"/>
        <v>65</v>
      </c>
      <c r="AJ175">
        <f t="shared" ca="1" si="40"/>
        <v>163</v>
      </c>
      <c r="AK175">
        <f t="shared" ca="1" si="41"/>
        <v>47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VLOOKUP(VLOOKUP(E176,LocalAreas.csv!H:J,3,FALSE),ServiceAreas.csv!F:J,5,FALSE)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391.25000000000006</v>
      </c>
      <c r="AH176" s="4">
        <f t="shared" si="38"/>
        <v>9.2861111111111114</v>
      </c>
      <c r="AI176">
        <f t="shared" ca="1" si="39"/>
        <v>102</v>
      </c>
      <c r="AJ176">
        <f t="shared" ca="1" si="40"/>
        <v>164</v>
      </c>
      <c r="AK176">
        <f t="shared" ca="1" si="41"/>
        <v>72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VLOOKUP(VLOOKUP(E177,LocalAreas.csv!H:J,3,FALSE),ServiceAreas.csv!F:J,5,FALSE)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516.16666666666663</v>
      </c>
      <c r="AH177" s="4">
        <f t="shared" si="38"/>
        <v>12.46111111111111</v>
      </c>
      <c r="AI177">
        <f t="shared" ca="1" si="39"/>
        <v>136</v>
      </c>
      <c r="AJ177">
        <f t="shared" ca="1" si="40"/>
        <v>118</v>
      </c>
      <c r="AK177">
        <f t="shared" ca="1" si="41"/>
        <v>173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VLOOKUP(VLOOKUP(E178,LocalAreas.csv!H:J,3,FALSE),ServiceAreas.csv!F:J,5,FALSE)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207.16666666666666</v>
      </c>
      <c r="AH178" s="4">
        <f t="shared" si="38"/>
        <v>4.8722222222222218</v>
      </c>
      <c r="AI178">
        <f t="shared" ca="1" si="39"/>
        <v>152</v>
      </c>
      <c r="AJ178">
        <f t="shared" ca="1" si="40"/>
        <v>22</v>
      </c>
      <c r="AK178">
        <f t="shared" ca="1" si="41"/>
        <v>9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VLOOKUP(VLOOKUP(E179,LocalAreas.csv!H:J,3,FALSE),ServiceAreas.csv!F:J,5,FALSE)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VLOOKUP(VLOOKUP(E180,LocalAreas.csv!H:J,3,FALSE),ServiceAreas.csv!F:J,5,FALSE)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VLOOKUP(VLOOKUP(E181,LocalAreas.csv!H:J,3,FALSE),ServiceAreas.csv!F:J,5,FALSE)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184.33333333333331</v>
      </c>
      <c r="AH181" s="4">
        <f t="shared" si="38"/>
        <v>4.0111111111111111</v>
      </c>
      <c r="AI181">
        <f t="shared" ca="1" si="39"/>
        <v>3</v>
      </c>
      <c r="AJ181">
        <f t="shared" ca="1" si="40"/>
        <v>61</v>
      </c>
      <c r="AK181">
        <f t="shared" ca="1" si="41"/>
        <v>128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VLOOKUP(VLOOKUP(E182,LocalAreas.csv!H:J,3,FALSE),ServiceAreas.csv!F:J,5,FALSE)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259.75</v>
      </c>
      <c r="AH182" s="4">
        <f t="shared" si="38"/>
        <v>6.1472222222222221</v>
      </c>
      <c r="AI182">
        <f t="shared" ca="1" si="39"/>
        <v>44</v>
      </c>
      <c r="AJ182">
        <f t="shared" ca="1" si="40"/>
        <v>16</v>
      </c>
      <c r="AK182">
        <f t="shared" ca="1" si="41"/>
        <v>166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VLOOKUP(VLOOKUP(E183,LocalAreas.csv!H:J,3,FALSE),ServiceAreas.csv!F:J,5,FALSE)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231.08333333333334</v>
      </c>
      <c r="AH183" s="4">
        <f t="shared" si="38"/>
        <v>6.625</v>
      </c>
      <c r="AI183">
        <f t="shared" ca="1" si="39"/>
        <v>28</v>
      </c>
      <c r="AJ183">
        <f t="shared" ca="1" si="40"/>
        <v>40</v>
      </c>
      <c r="AK183">
        <f t="shared" ca="1" si="41"/>
        <v>29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VLOOKUP(VLOOKUP(E184,LocalAreas.csv!H:J,3,FALSE),ServiceAreas.csv!F:J,5,FALSE)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376.41666666666669</v>
      </c>
      <c r="AH184" s="4">
        <f t="shared" si="38"/>
        <v>7.5027777777777782</v>
      </c>
      <c r="AI184">
        <f t="shared" ca="1" si="39"/>
        <v>192</v>
      </c>
      <c r="AJ184">
        <f t="shared" ca="1" si="40"/>
        <v>147</v>
      </c>
      <c r="AK184">
        <f t="shared" ca="1" si="41"/>
        <v>115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VLOOKUP(VLOOKUP(E185,LocalAreas.csv!H:J,3,FALSE),ServiceAreas.csv!F:J,5,FALSE)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161.08333333333334</v>
      </c>
      <c r="AH185" s="4">
        <f t="shared" si="38"/>
        <v>2.7027777777777779</v>
      </c>
      <c r="AI185">
        <f t="shared" ca="1" si="39"/>
        <v>55</v>
      </c>
      <c r="AJ185">
        <f t="shared" ca="1" si="40"/>
        <v>185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VLOOKUP(VLOOKUP(E186,LocalAreas.csv!H:J,3,FALSE),ServiceAreas.csv!F:J,5,FALSE)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87.333333333333343</v>
      </c>
      <c r="AH186" s="4">
        <f t="shared" si="38"/>
        <v>2.1111111111111112</v>
      </c>
      <c r="AI186">
        <f t="shared" ca="1" si="39"/>
        <v>42</v>
      </c>
      <c r="AJ186">
        <f t="shared" ca="1" si="40"/>
        <v>30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VLOOKUP(VLOOKUP(E187,LocalAreas.csv!H:J,3,FALSE),ServiceAreas.csv!F:J,5,FALSE)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456.75</v>
      </c>
      <c r="AH187" s="4">
        <f t="shared" si="38"/>
        <v>11.802777777777777</v>
      </c>
      <c r="AI187">
        <f t="shared" ca="1" si="39"/>
        <v>97</v>
      </c>
      <c r="AJ187">
        <f t="shared" ca="1" si="40"/>
        <v>47</v>
      </c>
      <c r="AK187">
        <f t="shared" ca="1" si="41"/>
        <v>164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VLOOKUP(VLOOKUP(E188,LocalAreas.csv!H:J,3,FALSE),ServiceAreas.csv!F:J,5,FALSE)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rg:True</v>
      </c>
      <c r="V188" t="str">
        <f t="shared" ca="1" si="35"/>
        <v>This equipment should be archived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272.25</v>
      </c>
      <c r="AH188" s="4">
        <f t="shared" si="38"/>
        <v>5.2416666666666663</v>
      </c>
      <c r="AI188">
        <f t="shared" ca="1" si="39"/>
        <v>119</v>
      </c>
      <c r="AJ188">
        <f t="shared" ca="1" si="40"/>
        <v>67</v>
      </c>
      <c r="AK188">
        <f t="shared" ca="1" si="41"/>
        <v>159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VLOOKUP(VLOOKUP(E189,LocalAreas.csv!H:J,3,FALSE),ServiceAreas.csv!F:J,5,FALSE)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263.91666666666663</v>
      </c>
      <c r="AH189" s="4">
        <f t="shared" si="38"/>
        <v>5.4194444444444443</v>
      </c>
      <c r="AI189">
        <f t="shared" ca="1" si="39"/>
        <v>31</v>
      </c>
      <c r="AJ189">
        <f t="shared" ca="1" si="40"/>
        <v>112</v>
      </c>
      <c r="AK189">
        <f t="shared" ca="1" si="41"/>
        <v>161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VLOOKUP(VLOOKUP(E190,LocalAreas.csv!H:J,3,FALSE),ServiceAreas.csv!F:J,5,FALSE)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VLOOKUP(VLOOKUP(E191,LocalAreas.csv!H:J,3,FALSE),ServiceAreas.csv!F:J,5,FALSE)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418.33333333333331</v>
      </c>
      <c r="AH191" s="4">
        <f t="shared" si="38"/>
        <v>12.533333333333333</v>
      </c>
      <c r="AI191">
        <f t="shared" ca="1" si="39"/>
        <v>36</v>
      </c>
      <c r="AJ191">
        <f t="shared" ca="1" si="40"/>
        <v>86</v>
      </c>
      <c r="AK191">
        <f t="shared" ca="1" si="41"/>
        <v>5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VLOOKUP(VLOOKUP(E192,LocalAreas.csv!H:J,3,FALSE),ServiceAreas.csv!F:J,5,FALSE)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363.91666666666669</v>
      </c>
      <c r="AH192" s="4">
        <f t="shared" si="38"/>
        <v>10.108333333333333</v>
      </c>
      <c r="AI192">
        <f t="shared" ca="1" si="39"/>
        <v>59</v>
      </c>
      <c r="AJ192">
        <f t="shared" ca="1" si="40"/>
        <v>87</v>
      </c>
      <c r="AK192">
        <f t="shared" ca="1" si="41"/>
        <v>36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VLOOKUP(VLOOKUP(E193,LocalAreas.csv!H:J,3,FALSE),ServiceAreas.csv!F:J,5,FALSE)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471.25</v>
      </c>
      <c r="AH193" s="4">
        <f t="shared" si="38"/>
        <v>12.397222222222222</v>
      </c>
      <c r="AI193">
        <f t="shared" ca="1" si="39"/>
        <v>39</v>
      </c>
      <c r="AJ193">
        <f t="shared" ca="1" si="40"/>
        <v>135</v>
      </c>
      <c r="AK193">
        <f t="shared" ca="1" si="41"/>
        <v>124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VLOOKUP(VLOOKUP(E194,LocalAreas.csv!H:J,3,FALSE),ServiceAreas.csv!F:J,5,FALSE)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422.83333333333331</v>
      </c>
      <c r="AH194" s="4">
        <f t="shared" si="38"/>
        <v>11.361111111111111</v>
      </c>
      <c r="AI194">
        <f t="shared" ca="1" si="39"/>
        <v>197</v>
      </c>
      <c r="AJ194">
        <f t="shared" ca="1" si="40"/>
        <v>19</v>
      </c>
      <c r="AK194">
        <f t="shared" ca="1" si="41"/>
        <v>30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VLOOKUP(VLOOKUP(E195,LocalAreas.csv!H:J,3,FALSE),ServiceAreas.csv!F:J,5,FALSE)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383.58333333333337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148</v>
      </c>
      <c r="AJ195">
        <f t="shared" ref="AJ195:AJ204" ca="1" si="54">IF(AH195&lt;2,0,RANDBETWEEN(0,200))</f>
        <v>118</v>
      </c>
      <c r="AK195">
        <f t="shared" ref="AK195:AK204" ca="1" si="55">IF(AH195&lt;3,0,RANDBETWEEN(0,200))</f>
        <v>173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VLOOKUP(VLOOKUP(E196,LocalAreas.csv!H:J,3,FALSE),ServiceAreas.csv!F:J,5,FALSE)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170.75</v>
      </c>
      <c r="AH196" s="4">
        <f t="shared" si="52"/>
        <v>4.7472222222222218</v>
      </c>
      <c r="AI196">
        <f t="shared" ca="1" si="53"/>
        <v>54</v>
      </c>
      <c r="AJ196">
        <f t="shared" ca="1" si="54"/>
        <v>21</v>
      </c>
      <c r="AK196">
        <f t="shared" ca="1" si="55"/>
        <v>10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VLOOKUP(VLOOKUP(E197,LocalAreas.csv!H:J,3,FALSE),ServiceAreas.csv!F:J,5,FALSE)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382.41666666666669</v>
      </c>
      <c r="AH197" s="4">
        <f t="shared" si="52"/>
        <v>9.5805555555555557</v>
      </c>
      <c r="AI197">
        <f t="shared" ca="1" si="53"/>
        <v>64</v>
      </c>
      <c r="AJ197">
        <f t="shared" ca="1" si="54"/>
        <v>36</v>
      </c>
      <c r="AK197">
        <f t="shared" ca="1" si="55"/>
        <v>185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VLOOKUP(VLOOKUP(E198,LocalAreas.csv!H:J,3,FALSE),ServiceAreas.csv!F:J,5,FALSE)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273</v>
      </c>
      <c r="AH198" s="4">
        <f t="shared" si="52"/>
        <v>6.4444444444444446</v>
      </c>
      <c r="AI198">
        <f t="shared" ca="1" si="53"/>
        <v>43</v>
      </c>
      <c r="AJ198">
        <f t="shared" ca="1" si="54"/>
        <v>28</v>
      </c>
      <c r="AK198">
        <f t="shared" ca="1" si="55"/>
        <v>168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VLOOKUP(VLOOKUP(E199,LocalAreas.csv!H:J,3,FALSE),ServiceAreas.csv!F:J,5,FALSE)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285.25</v>
      </c>
      <c r="AH199" s="4">
        <f t="shared" si="52"/>
        <v>5.6194444444444445</v>
      </c>
      <c r="AI199">
        <f t="shared" ca="1" si="53"/>
        <v>147</v>
      </c>
      <c r="AJ199">
        <f t="shared" ca="1" si="54"/>
        <v>4</v>
      </c>
      <c r="AK199">
        <f t="shared" ca="1" si="55"/>
        <v>199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VLOOKUP(VLOOKUP(E200,LocalAreas.csv!H:J,3,FALSE),ServiceAreas.csv!F:J,5,FALSE)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329.66666666666669</v>
      </c>
      <c r="AH200" s="4">
        <f t="shared" si="52"/>
        <v>8.1333333333333329</v>
      </c>
      <c r="AI200">
        <f t="shared" ca="1" si="53"/>
        <v>49</v>
      </c>
      <c r="AJ200">
        <f t="shared" ca="1" si="54"/>
        <v>147</v>
      </c>
      <c r="AK200">
        <f t="shared" ca="1" si="55"/>
        <v>61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VLOOKUP(VLOOKUP(E201,LocalAreas.csv!H:J,3,FALSE),ServiceAreas.csv!F:J,5,FALSE)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387.58333333333337</v>
      </c>
      <c r="AH201" s="4">
        <f t="shared" si="52"/>
        <v>9.2861111111111114</v>
      </c>
      <c r="AI201">
        <f t="shared" ca="1" si="53"/>
        <v>135</v>
      </c>
      <c r="AJ201">
        <f t="shared" ca="1" si="54"/>
        <v>153</v>
      </c>
      <c r="AK201">
        <f t="shared" ca="1" si="55"/>
        <v>39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VLOOKUP(VLOOKUP(E202,LocalAreas.csv!H:J,3,FALSE),ServiceAreas.csv!F:J,5,FALSE)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455.83333333333331</v>
      </c>
      <c r="AH202" s="4">
        <f t="shared" si="52"/>
        <v>12.46111111111111</v>
      </c>
      <c r="AI202">
        <f t="shared" ca="1" si="53"/>
        <v>109</v>
      </c>
      <c r="AJ202">
        <f t="shared" ca="1" si="54"/>
        <v>42</v>
      </c>
      <c r="AK202">
        <f t="shared" ca="1" si="55"/>
        <v>95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VLOOKUP(VLOOKUP(E203,LocalAreas.csv!H:J,3,FALSE),ServiceAreas.csv!F:J,5,FALSE)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231.5</v>
      </c>
      <c r="AH203" s="4">
        <f t="shared" si="52"/>
        <v>4.8722222222222218</v>
      </c>
      <c r="AI203">
        <f t="shared" ca="1" si="53"/>
        <v>8</v>
      </c>
      <c r="AJ203">
        <f t="shared" ca="1" si="54"/>
        <v>198</v>
      </c>
      <c r="AK203">
        <f t="shared" ca="1" si="55"/>
        <v>50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VLOOKUP(VLOOKUP(E204,LocalAreas.csv!H:J,3,FALSE),ServiceAreas.csv!F:J,5,FALSE)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Cleanup Bucket</v>
      </c>
      <c r="B2" t="s">
        <v>5383</v>
      </c>
      <c r="C2" t="s">
        <v>5384</v>
      </c>
      <c r="E2" t="str">
        <f ca="1">CONCATR(A2:C2,",")</f>
        <v>Cleanup Bucket,[Edit],[Del]</v>
      </c>
    </row>
    <row r="3" spans="1:5" x14ac:dyDescent="0.3">
      <c r="A3" t="str">
        <f ca="1">VLOOKUP(RANDBETWEEN(1,10),'Lookups (2)'!A:G,7,FALSE)</f>
        <v>Quick Change</v>
      </c>
      <c r="B3" t="s">
        <v>5383</v>
      </c>
      <c r="C3" t="s">
        <v>5384</v>
      </c>
      <c r="E3" t="str">
        <f ca="1">CONCATR(A3:C3,",")</f>
        <v>Quick Change,[Edit],[Del]</v>
      </c>
    </row>
    <row r="4" spans="1:5" x14ac:dyDescent="0.3">
      <c r="A4" t="str">
        <f ca="1">VLOOKUP(RANDBETWEEN(1,10),'Lookups (2)'!A:G,7,FALSE)</f>
        <v>Discharge Belt</v>
      </c>
      <c r="B4" t="s">
        <v>5383</v>
      </c>
      <c r="C4" t="s">
        <v>5384</v>
      </c>
      <c r="E4" t="str">
        <f ca="1">CONCATR(A4:C4,",")</f>
        <v>Discharge Belt,[Edit],[Del]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topLeftCell="C1" workbookViewId="0">
      <pane ySplit="1" topLeftCell="A80" activePane="bottomLeft" state="frozen"/>
      <selection pane="bottomLeft" activeCell="A2" sqref="A2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Overpass</v>
      </c>
      <c r="F2" s="1" t="s">
        <v>6937</v>
      </c>
      <c r="G2">
        <f>IF(ISNUMBER(G1),G1+1,40000)</f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Bypass</v>
      </c>
      <c r="F3" s="1" t="s">
        <v>6932</v>
      </c>
      <c r="G3">
        <f t="shared" ref="G3:G49" si="2">IF(ISNUMBER(G2),G2+1,40000)</f>
        <v>40001</v>
      </c>
      <c r="H3">
        <f t="shared" ref="H3:H49" si="3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Bypass</v>
      </c>
      <c r="F4" s="1" t="s">
        <v>6938</v>
      </c>
      <c r="G4">
        <f t="shared" si="2"/>
        <v>40002</v>
      </c>
      <c r="H4">
        <f t="shared" si="3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Express Lane</v>
      </c>
      <c r="F5" s="1" t="s">
        <v>6939</v>
      </c>
      <c r="G5">
        <f t="shared" si="2"/>
        <v>40003</v>
      </c>
      <c r="H5">
        <f t="shared" si="3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HOV Lane</v>
      </c>
      <c r="F6" s="1" t="s">
        <v>6940</v>
      </c>
      <c r="G6">
        <f t="shared" si="2"/>
        <v>40004</v>
      </c>
      <c r="H6">
        <f t="shared" si="3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Express Lane</v>
      </c>
      <c r="F7" s="1" t="s">
        <v>6941</v>
      </c>
      <c r="G7">
        <f t="shared" si="2"/>
        <v>40005</v>
      </c>
      <c r="H7">
        <f t="shared" si="3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Extension</v>
      </c>
      <c r="F8" s="1" t="s">
        <v>6942</v>
      </c>
      <c r="G8">
        <f t="shared" si="2"/>
        <v>40006</v>
      </c>
      <c r="H8">
        <f t="shared" si="3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Upgrade</v>
      </c>
      <c r="F9" s="1" t="s">
        <v>6921</v>
      </c>
      <c r="G9">
        <f t="shared" si="2"/>
        <v>40007</v>
      </c>
      <c r="H9">
        <f t="shared" si="3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Cloverleaf</v>
      </c>
      <c r="F10" s="1" t="s">
        <v>6943</v>
      </c>
      <c r="G10">
        <f t="shared" si="2"/>
        <v>40008</v>
      </c>
      <c r="H10">
        <f t="shared" si="3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Overpass</v>
      </c>
      <c r="F11" s="1" t="s">
        <v>6899</v>
      </c>
      <c r="G11">
        <f t="shared" si="2"/>
        <v>40009</v>
      </c>
      <c r="H11">
        <f t="shared" si="3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HOV Lane</v>
      </c>
      <c r="F12" s="1" t="s">
        <v>6944</v>
      </c>
      <c r="G12">
        <f t="shared" si="2"/>
        <v>40010</v>
      </c>
      <c r="H12">
        <f t="shared" si="3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Express Lane</v>
      </c>
      <c r="F13" s="1" t="s">
        <v>6945</v>
      </c>
      <c r="G13">
        <f t="shared" si="2"/>
        <v>40011</v>
      </c>
      <c r="H13">
        <f t="shared" si="3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Building</v>
      </c>
      <c r="F14" s="1" t="s">
        <v>6946</v>
      </c>
      <c r="G14">
        <f t="shared" si="2"/>
        <v>40012</v>
      </c>
      <c r="H14">
        <f t="shared" si="3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Bridge</v>
      </c>
      <c r="F15" s="1" t="s">
        <v>6947</v>
      </c>
      <c r="G15">
        <f t="shared" si="2"/>
        <v>40013</v>
      </c>
      <c r="H15">
        <f t="shared" si="3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Overpass</v>
      </c>
      <c r="F16" s="1" t="s">
        <v>6934</v>
      </c>
      <c r="G16">
        <f t="shared" si="2"/>
        <v>40014</v>
      </c>
      <c r="H16">
        <f t="shared" si="3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Bridge Replacement</v>
      </c>
      <c r="F17" s="1" t="s">
        <v>6948</v>
      </c>
      <c r="G17">
        <f t="shared" si="2"/>
        <v>40015</v>
      </c>
      <c r="H17">
        <f t="shared" si="3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Overpass</v>
      </c>
      <c r="F18" s="1" t="s">
        <v>6917</v>
      </c>
      <c r="G18">
        <f t="shared" si="2"/>
        <v>40016</v>
      </c>
      <c r="H18">
        <f t="shared" si="3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Upgrade</v>
      </c>
      <c r="F19" s="1" t="s">
        <v>6949</v>
      </c>
      <c r="G19">
        <f t="shared" si="2"/>
        <v>40017</v>
      </c>
      <c r="H19">
        <f t="shared" si="3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Cloverleaf</v>
      </c>
      <c r="F20" s="1" t="s">
        <v>6894</v>
      </c>
      <c r="G20">
        <f t="shared" si="2"/>
        <v>40018</v>
      </c>
      <c r="H20">
        <f t="shared" si="3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Cloverleaf</v>
      </c>
      <c r="F21" s="1" t="s">
        <v>6950</v>
      </c>
      <c r="G21">
        <f t="shared" si="2"/>
        <v>40019</v>
      </c>
      <c r="H21">
        <f t="shared" si="3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Bridge</v>
      </c>
      <c r="F22" s="1" t="s">
        <v>6901</v>
      </c>
      <c r="G22">
        <f t="shared" si="2"/>
        <v>40020</v>
      </c>
      <c r="H22">
        <f t="shared" si="3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Extension</v>
      </c>
      <c r="F23" s="1" t="s">
        <v>6951</v>
      </c>
      <c r="G23">
        <f t="shared" si="2"/>
        <v>40021</v>
      </c>
      <c r="H23">
        <f t="shared" si="3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HOV Lane</v>
      </c>
      <c r="F24" s="1" t="s">
        <v>6893</v>
      </c>
      <c r="G24">
        <f t="shared" si="2"/>
        <v>40022</v>
      </c>
      <c r="H24">
        <f t="shared" si="3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Bridge</v>
      </c>
      <c r="F25" s="1" t="s">
        <v>6952</v>
      </c>
      <c r="G25">
        <f t="shared" si="2"/>
        <v>40023</v>
      </c>
      <c r="H25">
        <f t="shared" si="3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Upgrade</v>
      </c>
      <c r="F26" s="1" t="s">
        <v>6953</v>
      </c>
      <c r="G26">
        <f t="shared" si="2"/>
        <v>40024</v>
      </c>
      <c r="H26">
        <f t="shared" si="3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Expressway</v>
      </c>
      <c r="F27" s="1" t="s">
        <v>6912</v>
      </c>
      <c r="G27">
        <f t="shared" si="2"/>
        <v>40025</v>
      </c>
      <c r="H27">
        <f t="shared" si="3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Extension</v>
      </c>
      <c r="F28" s="1" t="s">
        <v>6954</v>
      </c>
      <c r="G28">
        <f t="shared" si="2"/>
        <v>40026</v>
      </c>
      <c r="H28">
        <f t="shared" si="3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Overpass</v>
      </c>
      <c r="F29" s="1" t="s">
        <v>6927</v>
      </c>
      <c r="G29">
        <f t="shared" si="2"/>
        <v>40027</v>
      </c>
      <c r="H29">
        <f t="shared" si="3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Cloverleaf</v>
      </c>
      <c r="F30" s="1" t="s">
        <v>6955</v>
      </c>
      <c r="G30">
        <f t="shared" si="2"/>
        <v>40028</v>
      </c>
      <c r="H30">
        <f t="shared" si="3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Expressway</v>
      </c>
      <c r="F31" s="1" t="s">
        <v>6956</v>
      </c>
      <c r="G31">
        <f t="shared" si="2"/>
        <v>40029</v>
      </c>
      <c r="H31">
        <f t="shared" si="3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Bypass</v>
      </c>
      <c r="F32" s="1" t="s">
        <v>6957</v>
      </c>
      <c r="G32">
        <f t="shared" si="2"/>
        <v>40030</v>
      </c>
      <c r="H32">
        <f t="shared" si="3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Expressway</v>
      </c>
      <c r="F33" s="1" t="s">
        <v>6958</v>
      </c>
      <c r="G33">
        <f t="shared" si="2"/>
        <v>40031</v>
      </c>
      <c r="H33">
        <f t="shared" si="3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Expressway</v>
      </c>
      <c r="F34" s="1" t="s">
        <v>6959</v>
      </c>
      <c r="G34">
        <f t="shared" si="2"/>
        <v>40032</v>
      </c>
      <c r="H34">
        <f t="shared" si="3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HOV Lane</v>
      </c>
      <c r="F35" s="1" t="s">
        <v>6903</v>
      </c>
      <c r="G35">
        <f t="shared" si="2"/>
        <v>40033</v>
      </c>
      <c r="H35">
        <f t="shared" si="3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Building</v>
      </c>
      <c r="F36" s="1" t="s">
        <v>6909</v>
      </c>
      <c r="G36">
        <f>IF(ISNUMBER(#REF!),#REF!+1,40000)</f>
        <v>40000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Building</v>
      </c>
      <c r="F37" s="1" t="s">
        <v>6960</v>
      </c>
      <c r="G37">
        <f>IF(ISNUMBER(#REF!),#REF!+1,40000)</f>
        <v>40000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Upgrade</v>
      </c>
      <c r="F38" s="1" t="s">
        <v>6961</v>
      </c>
      <c r="G38">
        <f>IF(ISNUMBER(#REF!),#REF!+1,40000)</f>
        <v>40000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Building</v>
      </c>
      <c r="F39" s="1" t="s">
        <v>6962</v>
      </c>
      <c r="G39">
        <f>IF(ISNUMBER(#REF!),#REF!+1,40000)</f>
        <v>40000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Cloverleaf</v>
      </c>
      <c r="F40" s="1" t="s">
        <v>6929</v>
      </c>
      <c r="G40">
        <f t="shared" si="2"/>
        <v>40001</v>
      </c>
      <c r="H40">
        <f t="shared" si="3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Express Lane</v>
      </c>
      <c r="F41" s="1" t="s">
        <v>6924</v>
      </c>
      <c r="G41">
        <f>IF(ISNUMBER(#REF!),#REF!+1,40000)</f>
        <v>40000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Bridge Replacement</v>
      </c>
      <c r="F42" s="1" t="s">
        <v>6931</v>
      </c>
      <c r="G42">
        <f>IF(ISNUMBER(#REF!),#REF!+1,40000)</f>
        <v>40000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Overpass</v>
      </c>
      <c r="F43" s="1" t="s">
        <v>6963</v>
      </c>
      <c r="G43">
        <f>IF(ISNUMBER(#REF!),#REF!+1,40000)</f>
        <v>40000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Extension</v>
      </c>
      <c r="F44" s="1" t="s">
        <v>6914</v>
      </c>
      <c r="G44">
        <f>IF(ISNUMBER(#REF!),#REF!+1,40000)</f>
        <v>40000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Bypass</v>
      </c>
      <c r="F45" s="1" t="s">
        <v>6964</v>
      </c>
      <c r="G45">
        <f t="shared" si="2"/>
        <v>40001</v>
      </c>
      <c r="H45">
        <f t="shared" si="3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HOV Lane</v>
      </c>
      <c r="F46" s="1" t="s">
        <v>6965</v>
      </c>
      <c r="G46">
        <f t="shared" si="2"/>
        <v>40002</v>
      </c>
      <c r="H46">
        <f t="shared" si="3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Bypass</v>
      </c>
      <c r="F47" s="1" t="s">
        <v>6966</v>
      </c>
      <c r="G47">
        <f t="shared" si="2"/>
        <v>40003</v>
      </c>
      <c r="H47">
        <f t="shared" si="3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Expressway</v>
      </c>
      <c r="F48" s="1" t="s">
        <v>6967</v>
      </c>
      <c r="G48">
        <f>IF(ISNUMBER(#REF!),#REF!+1,40000)</f>
        <v>40000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Overpass</v>
      </c>
      <c r="F49" s="1" t="s">
        <v>6906</v>
      </c>
      <c r="G49">
        <f t="shared" si="2"/>
        <v>40001</v>
      </c>
      <c r="H49">
        <f t="shared" si="3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Upgrade</v>
      </c>
      <c r="F50" s="1" t="s">
        <v>6968</v>
      </c>
      <c r="G50">
        <f>IF(ISNUMBER(#REF!),#REF!+1,40000)</f>
        <v>40000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HOV Lane</v>
      </c>
      <c r="F51" s="1" t="s">
        <v>6969</v>
      </c>
      <c r="G51">
        <f>IF(ISNUMBER(#REF!),#REF!+1,40000)</f>
        <v>40000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Express Lane</v>
      </c>
      <c r="F52" s="1" t="s">
        <v>6970</v>
      </c>
      <c r="G52">
        <f>IF(ISNUMBER(#REF!),#REF!+1,40000)</f>
        <v>40000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HOV Lane</v>
      </c>
      <c r="F53" s="1" t="s">
        <v>6911</v>
      </c>
      <c r="G53">
        <f t="shared" ref="G53:G75" si="10">IF(ISNUMBER(G52),G52+1,40000)</f>
        <v>40001</v>
      </c>
      <c r="H53">
        <f t="shared" ref="H53:H75" si="11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HOV Lane</v>
      </c>
      <c r="F54" s="1" t="s">
        <v>6910</v>
      </c>
      <c r="G54">
        <f>IF(ISNUMBER(#REF!),#REF!+1,40000)</f>
        <v>40000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Building</v>
      </c>
      <c r="F55" s="1" t="s">
        <v>6971</v>
      </c>
      <c r="G55">
        <f>IF(ISNUMBER(#REF!),#REF!+1,40000)</f>
        <v>40000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Overpass</v>
      </c>
      <c r="F56" s="1" t="s">
        <v>6972</v>
      </c>
      <c r="G56">
        <f>IF(ISNUMBER(#REF!),#REF!+1,40000)</f>
        <v>40000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Bridge</v>
      </c>
      <c r="F57" s="1" t="s">
        <v>6973</v>
      </c>
      <c r="G57">
        <f t="shared" si="10"/>
        <v>40001</v>
      </c>
      <c r="H57">
        <f t="shared" si="11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Cloverleaf</v>
      </c>
      <c r="F58" s="1" t="s">
        <v>6974</v>
      </c>
      <c r="G58">
        <f t="shared" si="10"/>
        <v>40002</v>
      </c>
      <c r="H58">
        <f t="shared" si="11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Express Lane</v>
      </c>
      <c r="F59" s="1" t="s">
        <v>6975</v>
      </c>
      <c r="G59">
        <f>IF(ISNUMBER(#REF!),#REF!+1,40000)</f>
        <v>40000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Upgrade</v>
      </c>
      <c r="F60" s="1" t="s">
        <v>6976</v>
      </c>
      <c r="G60">
        <f t="shared" si="10"/>
        <v>40001</v>
      </c>
      <c r="H60">
        <f t="shared" si="11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Upgrade</v>
      </c>
      <c r="F61" s="1" t="s">
        <v>6977</v>
      </c>
      <c r="G61">
        <f>IF(ISNUMBER(#REF!),#REF!+1,40000)</f>
        <v>40000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Bridge Replacement</v>
      </c>
      <c r="F62" s="1" t="s">
        <v>6978</v>
      </c>
      <c r="G62">
        <f t="shared" si="10"/>
        <v>40001</v>
      </c>
      <c r="H62">
        <f t="shared" si="11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Express Lane</v>
      </c>
      <c r="F63" s="1" t="s">
        <v>6979</v>
      </c>
      <c r="G63">
        <f>IF(ISNUMBER(#REF!),#REF!+1,40000)</f>
        <v>40000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Upgrade</v>
      </c>
      <c r="F64" s="1" t="s">
        <v>6980</v>
      </c>
      <c r="G64">
        <f t="shared" si="10"/>
        <v>40001</v>
      </c>
      <c r="H64">
        <f t="shared" si="11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Cloverleaf</v>
      </c>
      <c r="F65" s="1" t="s">
        <v>6981</v>
      </c>
      <c r="G65">
        <f>IF(ISNUMBER(#REF!),#REF!+1,40000)</f>
        <v>40000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Bridge Replacement</v>
      </c>
      <c r="F66" s="1" t="s">
        <v>6982</v>
      </c>
      <c r="G66">
        <f t="shared" si="10"/>
        <v>40001</v>
      </c>
      <c r="H66">
        <f t="shared" si="11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2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Cloverleaf</v>
      </c>
      <c r="F67" s="1" t="s">
        <v>6916</v>
      </c>
      <c r="G67">
        <f>IF(ISNUMBER(#REF!),#REF!+1,40000)</f>
        <v>40000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2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Building</v>
      </c>
      <c r="F68" s="1" t="s">
        <v>6983</v>
      </c>
      <c r="G68">
        <f>IF(ISNUMBER(#REF!),#REF!+1,40000)</f>
        <v>40000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2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Upgrade</v>
      </c>
      <c r="F69" s="1" t="s">
        <v>6984</v>
      </c>
      <c r="G69">
        <f>IF(ISNUMBER(#REF!),#REF!+1,40000)</f>
        <v>40000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2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Cloverleaf</v>
      </c>
      <c r="F70" s="1" t="s">
        <v>6985</v>
      </c>
      <c r="G70">
        <f t="shared" si="10"/>
        <v>40001</v>
      </c>
      <c r="H70">
        <f t="shared" si="11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2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Upgrade</v>
      </c>
      <c r="F71" s="1" t="s">
        <v>6922</v>
      </c>
      <c r="G71">
        <f>IF(ISNUMBER(#REF!),#REF!+1,40000)</f>
        <v>40000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2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Bypass</v>
      </c>
      <c r="F72" s="1" t="s">
        <v>6986</v>
      </c>
      <c r="G72">
        <f>IF(ISNUMBER(#REF!),#REF!+1,40000)</f>
        <v>40000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2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Upgrade</v>
      </c>
      <c r="F73" s="1" t="s">
        <v>6987</v>
      </c>
      <c r="G73">
        <f t="shared" si="10"/>
        <v>40001</v>
      </c>
      <c r="H73">
        <f t="shared" si="11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2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Extension</v>
      </c>
      <c r="F74" s="1" t="s">
        <v>6988</v>
      </c>
      <c r="G74">
        <f>IF(ISNUMBER(#REF!),#REF!+1,40000)</f>
        <v>40000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2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Bridge</v>
      </c>
      <c r="F75" s="1" t="s">
        <v>6989</v>
      </c>
      <c r="G75">
        <f t="shared" si="10"/>
        <v>40001</v>
      </c>
      <c r="H75">
        <f t="shared" si="11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2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Express Lane</v>
      </c>
      <c r="F76" s="1" t="s">
        <v>6990</v>
      </c>
      <c r="G76">
        <f>IF(ISNUMBER(#REF!),#REF!+1,40000)</f>
        <v>40000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2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Expressway</v>
      </c>
      <c r="F77" s="1" t="s">
        <v>6991</v>
      </c>
      <c r="G77">
        <f>IF(ISNUMBER(#REF!),#REF!+1,40000)</f>
        <v>40000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2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Bridge Replacement</v>
      </c>
      <c r="F78" s="1" t="s">
        <v>6992</v>
      </c>
      <c r="G78">
        <f>IF(ISNUMBER(#REF!),#REF!+1,40000)</f>
        <v>40000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2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Bridge Replacement</v>
      </c>
      <c r="F79" s="1" t="s">
        <v>6902</v>
      </c>
      <c r="G79">
        <f>IF(ISNUMBER(#REF!),#REF!+1,40000)</f>
        <v>40000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2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Extension</v>
      </c>
      <c r="F80" s="1" t="s">
        <v>6897</v>
      </c>
      <c r="G80">
        <f>IF(ISNUMBER(#REF!),#REF!+1,40000)</f>
        <v>40000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2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Building</v>
      </c>
      <c r="F81" s="1" t="s">
        <v>6993</v>
      </c>
      <c r="G81">
        <f t="shared" ref="G81:G112" si="16">IF(ISNUMBER(G80),G80+1,40000)</f>
        <v>40001</v>
      </c>
      <c r="H81">
        <f t="shared" ref="H81:H107" si="17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2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Cloverleaf</v>
      </c>
      <c r="F82" s="1" t="s">
        <v>6994</v>
      </c>
      <c r="G82">
        <f t="shared" si="16"/>
        <v>40002</v>
      </c>
      <c r="H82">
        <f t="shared" si="17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2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Expressway</v>
      </c>
      <c r="F83" s="1" t="s">
        <v>6995</v>
      </c>
      <c r="G83">
        <f>IF(ISNUMBER(#REF!),#REF!+1,40000)</f>
        <v>40000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2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Bridge</v>
      </c>
      <c r="F84" s="1" t="s">
        <v>6996</v>
      </c>
      <c r="G84">
        <f>IF(ISNUMBER(#REF!),#REF!+1,40000)</f>
        <v>40000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2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Bypass</v>
      </c>
      <c r="F85" s="1" t="s">
        <v>6896</v>
      </c>
      <c r="G85">
        <f t="shared" si="16"/>
        <v>40001</v>
      </c>
      <c r="H85">
        <f t="shared" si="17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2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Bridge</v>
      </c>
      <c r="F86" s="1" t="s">
        <v>6997</v>
      </c>
      <c r="G86">
        <f t="shared" si="16"/>
        <v>40002</v>
      </c>
      <c r="H86">
        <f t="shared" si="17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2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Expressway</v>
      </c>
      <c r="F87" s="1" t="s">
        <v>6998</v>
      </c>
      <c r="G87">
        <f>IF(ISNUMBER(#REF!),#REF!+1,40000)</f>
        <v>40000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2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Bypass</v>
      </c>
      <c r="F88" s="1" t="s">
        <v>6999</v>
      </c>
      <c r="G88">
        <f>IF(ISNUMBER(#REF!),#REF!+1,40000)</f>
        <v>40000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2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Upgrade</v>
      </c>
      <c r="F89" s="1" t="s">
        <v>6908</v>
      </c>
      <c r="G89">
        <f t="shared" si="16"/>
        <v>40001</v>
      </c>
      <c r="H89">
        <f t="shared" si="17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2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Express Lane</v>
      </c>
      <c r="F90" s="1" t="s">
        <v>7000</v>
      </c>
      <c r="G90">
        <f t="shared" si="16"/>
        <v>40002</v>
      </c>
      <c r="H90">
        <f t="shared" si="17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2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Building</v>
      </c>
      <c r="F91" s="1" t="s">
        <v>7001</v>
      </c>
      <c r="G91">
        <f>IF(ISNUMBER(#REF!),#REF!+1,40000)</f>
        <v>40000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2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Overpass</v>
      </c>
      <c r="F92" s="1" t="s">
        <v>7002</v>
      </c>
      <c r="G92">
        <f>IF(ISNUMBER(#REF!),#REF!+1,40000)</f>
        <v>40000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2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Expressway</v>
      </c>
      <c r="F93" s="1" t="s">
        <v>7003</v>
      </c>
      <c r="G93">
        <f>IF(ISNUMBER(#REF!),#REF!+1,40000)</f>
        <v>40000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2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Upgrade</v>
      </c>
      <c r="F94" s="1" t="s">
        <v>7004</v>
      </c>
      <c r="G94">
        <f t="shared" si="16"/>
        <v>40001</v>
      </c>
      <c r="H94">
        <f t="shared" si="17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2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Extension</v>
      </c>
      <c r="F95" s="1" t="s">
        <v>6913</v>
      </c>
      <c r="G95">
        <f t="shared" si="16"/>
        <v>40002</v>
      </c>
      <c r="H95">
        <f t="shared" si="17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2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Expressway</v>
      </c>
      <c r="F96" s="1" t="s">
        <v>7005</v>
      </c>
      <c r="G96">
        <f>IF(ISNUMBER(#REF!),#REF!+1,40000)</f>
        <v>40000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2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Bypass</v>
      </c>
      <c r="F97" s="1" t="s">
        <v>7006</v>
      </c>
      <c r="G97">
        <f>IF(ISNUMBER(#REF!),#REF!+1,40000)</f>
        <v>40000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2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Bypass</v>
      </c>
      <c r="F98" s="1" t="s">
        <v>7007</v>
      </c>
      <c r="G98">
        <f t="shared" si="16"/>
        <v>40001</v>
      </c>
      <c r="H98">
        <f t="shared" si="17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8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Express Lane</v>
      </c>
      <c r="F99" s="1" t="s">
        <v>7008</v>
      </c>
      <c r="G99">
        <f t="shared" si="16"/>
        <v>40002</v>
      </c>
      <c r="H99">
        <f t="shared" si="17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8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Bypass</v>
      </c>
      <c r="F100" s="1" t="s">
        <v>7009</v>
      </c>
      <c r="G100">
        <f>IF(ISNUMBER(#REF!),#REF!+1,40000)</f>
        <v>40000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8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Bridge Replacement</v>
      </c>
      <c r="F101" s="1" t="s">
        <v>6920</v>
      </c>
      <c r="G101">
        <f t="shared" si="16"/>
        <v>40001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8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Overpass</v>
      </c>
      <c r="F102" s="1" t="s">
        <v>7010</v>
      </c>
      <c r="G102">
        <f t="shared" si="16"/>
        <v>40002</v>
      </c>
      <c r="H102">
        <f t="shared" si="17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8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Cloverleaf</v>
      </c>
      <c r="F103" s="1" t="s">
        <v>6904</v>
      </c>
      <c r="G103">
        <f>IF(ISNUMBER(#REF!),#REF!+1,40000)</f>
        <v>40000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8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Express Lane</v>
      </c>
      <c r="F104" s="1" t="s">
        <v>7011</v>
      </c>
      <c r="G104">
        <f t="shared" si="16"/>
        <v>40001</v>
      </c>
      <c r="H104">
        <f t="shared" si="17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8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Bridge</v>
      </c>
      <c r="F105" s="1" t="s">
        <v>7012</v>
      </c>
      <c r="G105">
        <f t="shared" si="16"/>
        <v>40002</v>
      </c>
      <c r="H105">
        <f t="shared" si="17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8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Overpass</v>
      </c>
      <c r="F106" s="1" t="s">
        <v>6935</v>
      </c>
      <c r="G106">
        <f>IF(ISNUMBER(#REF!),#REF!+1,40000)</f>
        <v>40000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8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Extension</v>
      </c>
      <c r="F107" s="1" t="s">
        <v>6905</v>
      </c>
      <c r="G107">
        <f t="shared" si="16"/>
        <v>40001</v>
      </c>
      <c r="H107">
        <f t="shared" si="17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8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Express Lane</v>
      </c>
      <c r="F108" s="1" t="s">
        <v>7013</v>
      </c>
      <c r="G108">
        <f>IF(ISNUMBER(#REF!),#REF!+1,40000)</f>
        <v>40000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8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9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HOV Lane</v>
      </c>
      <c r="F109" s="1" t="s">
        <v>7014</v>
      </c>
      <c r="G109">
        <f t="shared" si="16"/>
        <v>40001</v>
      </c>
      <c r="H109">
        <f t="shared" ref="H109:H139" si="20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8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9"/>
        <v>rg{'id': '200000'}'</v>
      </c>
      <c r="E110" s="1" t="str">
        <f ca="1">MID(Names!G64,FIND(" ",Names!G64)+1,LEN(Names!G64)-FIND(" ", Names!G64))&amp;" "&amp;INDEX(PROJ_EXT_Name,RANDBETWEEN(2,12))</f>
        <v>Sixth Street Building</v>
      </c>
      <c r="F110" s="1" t="s">
        <v>7015</v>
      </c>
      <c r="G110">
        <f>IF(ISNUMBER(#REF!),#REF!+1,40000)</f>
        <v>40000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8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9"/>
        <v>rg{'id': '200000'}'</v>
      </c>
      <c r="E111" s="1" t="str">
        <f ca="1">MID(Names!G68,FIND(" ",Names!G68)+1,LEN(Names!G68)-FIND(" ", Names!G68))&amp;" "&amp;INDEX(PROJ_EXT_Name,RANDBETWEEN(2,12))</f>
        <v>James Street Overpass</v>
      </c>
      <c r="F111" s="1" t="s">
        <v>7016</v>
      </c>
      <c r="G111">
        <f>IF(ISNUMBER(#REF!),#REF!+1,40000)</f>
        <v>40000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8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9"/>
        <v>rg{'id': '200000'}'</v>
      </c>
      <c r="E112" s="1" t="str">
        <f ca="1">MID(Names!G69,FIND(" ",Names!G69)+1,LEN(Names!G69)-FIND(" ", Names!G69))&amp;" "&amp;INDEX(PROJ_EXT_Name,RANDBETWEEN(2,12))</f>
        <v>Tolmie St Bridge</v>
      </c>
      <c r="F112" s="1" t="s">
        <v>7017</v>
      </c>
      <c r="G112">
        <f t="shared" si="16"/>
        <v>40001</v>
      </c>
      <c r="H112">
        <f t="shared" si="20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8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9"/>
        <v>rg{'id': '200000'}'</v>
      </c>
      <c r="E113" s="1" t="str">
        <f ca="1">MID(Names!G72,FIND(" ",Names!G72)+1,LEN(Names!G72)-FIND(" ", Names!G72))&amp;" "&amp;INDEX(PROJ_EXT_Name,RANDBETWEEN(2,12))</f>
        <v>Coldstream Avenue HOV Lane</v>
      </c>
      <c r="F113" s="1" t="s">
        <v>7018</v>
      </c>
      <c r="G113">
        <f>IF(ISNUMBER(#REF!),#REF!+1,40000)</f>
        <v>40000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1">IF(ISNUMBER(K113),"rg:{'id':'" &amp; K113 &amp; "'}","rg:None")</f>
        <v>rg:None</v>
      </c>
      <c r="M113" s="4" t="str">
        <f t="shared" ref="M113:M149" si="22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8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9"/>
        <v>rg{'id': '200004'}'</v>
      </c>
      <c r="E114" s="1" t="str">
        <f ca="1">MID(Names!G73,FIND(" ",Names!G73)+1,LEN(Names!G73)-FIND(" ", Names!G73))&amp;" "&amp;INDEX(PROJ_EXT_Name,RANDBETWEEN(2,12))</f>
        <v>Lake City Way Bypass</v>
      </c>
      <c r="F114" s="1" t="s">
        <v>7019</v>
      </c>
      <c r="G114">
        <f t="shared" ref="G114:G149" si="23">IF(ISNUMBER(G113),G113+1,40000)</f>
        <v>40001</v>
      </c>
      <c r="H114">
        <f t="shared" si="20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1"/>
        <v>rg:None</v>
      </c>
      <c r="M114" s="4" t="str">
        <f t="shared" si="22"/>
        <v>rg:[]</v>
      </c>
      <c r="N114" t="s">
        <v>6510</v>
      </c>
      <c r="O114" t="s">
        <v>6510</v>
      </c>
      <c r="P114" t="s">
        <v>6510</v>
      </c>
      <c r="Q114" t="str">
        <f t="shared" si="18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9"/>
        <v>rg{'id': '200004'}'</v>
      </c>
      <c r="E115" s="1" t="str">
        <f ca="1">MID(Names!G74,FIND(" ",Names!G74)+1,LEN(Names!G74)-FIND(" ", Names!G74))&amp;" "&amp;INDEX(PROJ_EXT_Name,RANDBETWEEN(2,12))</f>
        <v>Roger Street Cloverleaf</v>
      </c>
      <c r="F115" s="1" t="s">
        <v>6898</v>
      </c>
      <c r="G115">
        <f t="shared" si="23"/>
        <v>40002</v>
      </c>
      <c r="H115">
        <f t="shared" si="20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1"/>
        <v>rg:None</v>
      </c>
      <c r="M115" s="4" t="str">
        <f t="shared" si="22"/>
        <v>rg:[]</v>
      </c>
      <c r="N115" t="s">
        <v>6510</v>
      </c>
      <c r="O115" t="s">
        <v>6510</v>
      </c>
      <c r="P115" t="s">
        <v>6510</v>
      </c>
      <c r="Q115" t="str">
        <f t="shared" si="18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9"/>
        <v>rg{'id': '200004'}'</v>
      </c>
      <c r="E116" s="1" t="str">
        <f ca="1">MID(Names!G75,FIND(" ",Names!G75)+1,LEN(Names!G75)-FIND(" ", Names!G75))&amp;" "&amp;INDEX(PROJ_EXT_Name,RANDBETWEEN(2,12))</f>
        <v>Essendene Avenue Expressway</v>
      </c>
      <c r="F116" s="1" t="s">
        <v>7020</v>
      </c>
      <c r="G116">
        <f t="shared" si="23"/>
        <v>40003</v>
      </c>
      <c r="H116">
        <f t="shared" si="20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1"/>
        <v>rg:None</v>
      </c>
      <c r="M116" s="4" t="str">
        <f t="shared" si="22"/>
        <v>rg:[]</v>
      </c>
      <c r="N116" t="s">
        <v>6510</v>
      </c>
      <c r="O116" t="s">
        <v>6510</v>
      </c>
      <c r="P116" t="s">
        <v>6510</v>
      </c>
      <c r="Q116" t="str">
        <f t="shared" si="18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9"/>
        <v>rg{'id': '200004'}'</v>
      </c>
      <c r="E117" s="1" t="str">
        <f ca="1">MID(Names!G76,FIND(" ",Names!G76)+1,LEN(Names!G76)-FIND(" ", Names!G76))&amp;" "&amp;INDEX(PROJ_EXT_Name,RANDBETWEEN(2,12))</f>
        <v>Blanshard HOV Lane</v>
      </c>
      <c r="F117" s="1" t="s">
        <v>6925</v>
      </c>
      <c r="G117">
        <f t="shared" si="23"/>
        <v>40004</v>
      </c>
      <c r="H117">
        <f t="shared" si="20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1"/>
        <v>rg:None</v>
      </c>
      <c r="M117" s="4" t="str">
        <f t="shared" si="22"/>
        <v>rg:[]</v>
      </c>
      <c r="N117" t="s">
        <v>6510</v>
      </c>
      <c r="O117" t="s">
        <v>6510</v>
      </c>
      <c r="P117" t="s">
        <v>6510</v>
      </c>
      <c r="Q117" t="str">
        <f t="shared" si="18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9"/>
        <v>rg{'id': '200004'}'</v>
      </c>
      <c r="E118" s="1" t="str">
        <f ca="1">MID(Names!G77,FIND(" ",Names!G77)+1,LEN(Names!G77)-FIND(" ", Names!G77))&amp;" "&amp;INDEX(PROJ_EXT_Name,RANDBETWEEN(2,12))</f>
        <v>Wallace Street Extension</v>
      </c>
      <c r="F118" s="1" t="s">
        <v>6919</v>
      </c>
      <c r="G118">
        <f t="shared" si="23"/>
        <v>40005</v>
      </c>
      <c r="H118">
        <f t="shared" si="20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1"/>
        <v>rg:None</v>
      </c>
      <c r="M118" s="4" t="str">
        <f t="shared" si="22"/>
        <v>rg:[]</v>
      </c>
      <c r="N118" t="s">
        <v>6510</v>
      </c>
      <c r="O118" t="s">
        <v>6510</v>
      </c>
      <c r="P118" t="s">
        <v>6510</v>
      </c>
      <c r="Q118" t="str">
        <f t="shared" si="18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9"/>
        <v>rg{'id': '200004'}'</v>
      </c>
      <c r="E119" s="1" t="str">
        <f ca="1">MID(Names!G80,FIND(" ",Names!G80)+1,LEN(Names!G80)-FIND(" ", Names!G80))&amp;" "&amp;INDEX(PROJ_EXT_Name,RANDBETWEEN(2,12))</f>
        <v>Burdett Avenue Extension</v>
      </c>
      <c r="F119" s="1" t="s">
        <v>7021</v>
      </c>
      <c r="G119">
        <f>IF(ISNUMBER(#REF!),#REF!+1,40000)</f>
        <v>40000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1"/>
        <v>rg:None</v>
      </c>
      <c r="M119" s="4" t="str">
        <f t="shared" si="22"/>
        <v>rg:[]</v>
      </c>
      <c r="N119" t="s">
        <v>6510</v>
      </c>
      <c r="O119" t="s">
        <v>6510</v>
      </c>
      <c r="P119" t="s">
        <v>6510</v>
      </c>
      <c r="Q119" t="str">
        <f t="shared" si="18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9"/>
        <v>rg{'id': '200004'}'</v>
      </c>
      <c r="E120" s="1" t="str">
        <f ca="1">MID(Names!G82,FIND(" ",Names!G82)+1,LEN(Names!G82)-FIND(" ", Names!G82))&amp;" "&amp;INDEX(PROJ_EXT_Name,RANDBETWEEN(2,12))</f>
        <v>Tchesinkut Lake Rd Bridge</v>
      </c>
      <c r="F120" s="1" t="s">
        <v>7022</v>
      </c>
      <c r="G120">
        <f>IF(ISNUMBER(#REF!),#REF!+1,40000)</f>
        <v>40000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1"/>
        <v>rg:None</v>
      </c>
      <c r="M120" s="4" t="str">
        <f t="shared" si="22"/>
        <v>rg:[]</v>
      </c>
      <c r="N120" t="s">
        <v>6510</v>
      </c>
      <c r="O120" t="s">
        <v>6510</v>
      </c>
      <c r="P120" t="s">
        <v>6510</v>
      </c>
      <c r="Q120" t="str">
        <f t="shared" si="18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9"/>
        <v>rg{'id': '200003'}'</v>
      </c>
      <c r="E121" s="1" t="str">
        <f ca="1">MID(Names!G83,FIND(" ",Names!G83)+1,LEN(Names!G83)-FIND(" ", Names!G83))&amp;" "&amp;INDEX(PROJ_EXT_Name,RANDBETWEEN(2,12))</f>
        <v>Blind Bay Road Bypass</v>
      </c>
      <c r="F121" s="1" t="s">
        <v>6907</v>
      </c>
      <c r="G121">
        <f t="shared" si="23"/>
        <v>40001</v>
      </c>
      <c r="H121">
        <f t="shared" si="20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1"/>
        <v>rg:None</v>
      </c>
      <c r="M121" s="4" t="str">
        <f t="shared" si="22"/>
        <v>rg:[]</v>
      </c>
      <c r="N121" t="s">
        <v>6510</v>
      </c>
      <c r="O121" t="s">
        <v>6510</v>
      </c>
      <c r="P121" t="s">
        <v>6510</v>
      </c>
      <c r="Q121" t="str">
        <f t="shared" si="18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9"/>
        <v>rg{'id': '200003'}'</v>
      </c>
      <c r="E122" s="1" t="str">
        <f ca="1">MID(Names!G90,FIND(" ",Names!G90)+1,LEN(Names!G90)-FIND(" ", Names!G90))&amp;" "&amp;INDEX(PROJ_EXT_Name,RANDBETWEEN(2,12))</f>
        <v>Tchesinkut Lake Rd Extension</v>
      </c>
      <c r="F122" s="1" t="s">
        <v>7023</v>
      </c>
      <c r="G122">
        <f>IF(ISNUMBER(#REF!),#REF!+1,40000)</f>
        <v>40000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1"/>
        <v>rg:None</v>
      </c>
      <c r="M122" s="4" t="str">
        <f t="shared" si="22"/>
        <v>rg:[]</v>
      </c>
      <c r="N122" t="s">
        <v>6510</v>
      </c>
      <c r="O122" t="s">
        <v>6510</v>
      </c>
      <c r="P122" t="s">
        <v>6510</v>
      </c>
      <c r="Q122" t="str">
        <f t="shared" si="18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9"/>
        <v>rg{'id': '200003'}'</v>
      </c>
      <c r="E123" s="1" t="str">
        <f ca="1">MID(Names!G93,FIND(" ",Names!G93)+1,LEN(Names!G93)-FIND(" ", Names!G93))&amp;" "&amp;INDEX(PROJ_EXT_Name,RANDBETWEEN(2,12))</f>
        <v>Stum Lake Road HOV Lane</v>
      </c>
      <c r="F123" s="1" t="s">
        <v>7024</v>
      </c>
      <c r="G123">
        <f>IF(ISNUMBER(#REF!),#REF!+1,40000)</f>
        <v>40000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1"/>
        <v>rg:None</v>
      </c>
      <c r="M123" s="4" t="str">
        <f t="shared" si="22"/>
        <v>rg:[]</v>
      </c>
      <c r="N123" t="s">
        <v>6510</v>
      </c>
      <c r="O123" t="s">
        <v>6510</v>
      </c>
      <c r="P123" t="s">
        <v>6510</v>
      </c>
      <c r="Q123" t="str">
        <f t="shared" si="18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9"/>
        <v>rg{'id': '200003'}'</v>
      </c>
      <c r="E124" s="1" t="str">
        <f ca="1">MID(Names!G94,FIND(" ",Names!G94)+1,LEN(Names!G94)-FIND(" ", Names!G94))&amp;" "&amp;INDEX(PROJ_EXT_Name,RANDBETWEEN(2,12))</f>
        <v>Yoho Valley Road Expressway</v>
      </c>
      <c r="F124" s="1" t="s">
        <v>7025</v>
      </c>
      <c r="G124">
        <f t="shared" si="23"/>
        <v>40001</v>
      </c>
      <c r="H124">
        <f t="shared" si="20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1"/>
        <v>rg:None</v>
      </c>
      <c r="M124" s="4" t="str">
        <f t="shared" si="22"/>
        <v>rg:[]</v>
      </c>
      <c r="N124" t="s">
        <v>6510</v>
      </c>
      <c r="O124" t="s">
        <v>6510</v>
      </c>
      <c r="P124" t="s">
        <v>6510</v>
      </c>
      <c r="Q124" t="str">
        <f t="shared" si="18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9"/>
        <v>rg{'id': '200003'}'</v>
      </c>
      <c r="E125" s="1" t="str">
        <f ca="1">MID(Names!G95,FIND(" ",Names!G95)+1,LEN(Names!G95)-FIND(" ", Names!G95))&amp;" "&amp;INDEX(PROJ_EXT_Name,RANDBETWEEN(2,12))</f>
        <v>Keith Road Bridge</v>
      </c>
      <c r="F125" s="1" t="s">
        <v>6923</v>
      </c>
      <c r="G125">
        <f t="shared" si="23"/>
        <v>40002</v>
      </c>
      <c r="H125">
        <f t="shared" si="20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1"/>
        <v>rg:None</v>
      </c>
      <c r="M125" s="4" t="str">
        <f t="shared" si="22"/>
        <v>rg:[]</v>
      </c>
      <c r="N125" t="s">
        <v>6510</v>
      </c>
      <c r="O125" t="s">
        <v>6510</v>
      </c>
      <c r="P125" t="s">
        <v>6510</v>
      </c>
      <c r="Q125" t="str">
        <f t="shared" si="18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9"/>
        <v>rg{'id': '200003'}'</v>
      </c>
      <c r="E126" s="1" t="str">
        <f ca="1">MID(Names!G96,FIND(" ",Names!G96)+1,LEN(Names!G96)-FIND(" ", Names!G96))&amp;" "&amp;INDEX(PROJ_EXT_Name,RANDBETWEEN(2,12))</f>
        <v>Burdett Avenue Bridge</v>
      </c>
      <c r="F126" s="1" t="s">
        <v>7026</v>
      </c>
      <c r="G126">
        <f t="shared" si="23"/>
        <v>40003</v>
      </c>
      <c r="H126">
        <f t="shared" si="20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1"/>
        <v>rg:None</v>
      </c>
      <c r="M126" s="4" t="str">
        <f t="shared" si="22"/>
        <v>rg:[]</v>
      </c>
      <c r="N126" t="s">
        <v>6510</v>
      </c>
      <c r="O126" t="s">
        <v>6510</v>
      </c>
      <c r="P126" t="s">
        <v>6510</v>
      </c>
      <c r="Q126" t="str">
        <f t="shared" si="18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9"/>
        <v>rg{'id': '200003'}'</v>
      </c>
      <c r="E127" s="1" t="str">
        <f ca="1">MID(Names!G98,FIND(" ",Names!G98)+1,LEN(Names!G98)-FIND(" ", Names!G98))&amp;" "&amp;INDEX(PROJ_EXT_Name,RANDBETWEEN(2,12))</f>
        <v>Quayside Dr Express Lane</v>
      </c>
      <c r="F127" s="1" t="s">
        <v>7027</v>
      </c>
      <c r="G127">
        <f>IF(ISNUMBER(#REF!),#REF!+1,40000)</f>
        <v>40000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1"/>
        <v>rg:None</v>
      </c>
      <c r="M127" s="4" t="str">
        <f t="shared" si="22"/>
        <v>rg:[]</v>
      </c>
      <c r="N127" t="s">
        <v>6510</v>
      </c>
      <c r="O127" t="s">
        <v>6510</v>
      </c>
      <c r="P127" t="s">
        <v>6510</v>
      </c>
      <c r="Q127" t="str">
        <f t="shared" si="18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9"/>
        <v>rg{'id': '200002'}'</v>
      </c>
      <c r="E128" s="1" t="str">
        <f ca="1">MID(Names!G99,FIND(" ",Names!G99)+1,LEN(Names!G99)-FIND(" ", Names!G99))&amp;" "&amp;INDEX(PROJ_EXT_Name,RANDBETWEEN(2,12))</f>
        <v>Jade St Expressway</v>
      </c>
      <c r="F128" s="1" t="s">
        <v>6930</v>
      </c>
      <c r="G128">
        <f t="shared" si="23"/>
        <v>40001</v>
      </c>
      <c r="H128">
        <f t="shared" si="20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1"/>
        <v>rg:None</v>
      </c>
      <c r="M128" s="4" t="str">
        <f t="shared" si="22"/>
        <v>rg:[]</v>
      </c>
      <c r="N128" t="s">
        <v>6510</v>
      </c>
      <c r="O128" t="s">
        <v>6510</v>
      </c>
      <c r="P128" t="s">
        <v>6510</v>
      </c>
      <c r="Q128" t="str">
        <f t="shared" si="18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9"/>
        <v>rg{'id': '200002'}'</v>
      </c>
      <c r="E129" s="1" t="str">
        <f ca="1">MID(Names!G100,FIND(" ",Names!G100)+1,LEN(Names!G100)-FIND(" ", Names!G100))&amp;" "&amp;INDEX(PROJ_EXT_Name,RANDBETWEEN(2,12))</f>
        <v>Robson St Overpass</v>
      </c>
      <c r="F129" s="1" t="s">
        <v>7028</v>
      </c>
      <c r="G129">
        <f t="shared" si="23"/>
        <v>40002</v>
      </c>
      <c r="H129">
        <f t="shared" si="20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1"/>
        <v>rg:None</v>
      </c>
      <c r="M129" s="4" t="str">
        <f t="shared" si="22"/>
        <v>rg:[]</v>
      </c>
      <c r="N129" t="s">
        <v>6510</v>
      </c>
      <c r="O129" t="s">
        <v>6510</v>
      </c>
      <c r="P129" t="s">
        <v>6510</v>
      </c>
      <c r="Q129" t="str">
        <f t="shared" si="18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9"/>
        <v>rg{'id': '200002'}'</v>
      </c>
      <c r="E130" s="1" t="str">
        <f ca="1">MID(Names!G101,FIND(" ",Names!G101)+1,LEN(Names!G101)-FIND(" ", Names!G101))&amp;" "&amp;INDEX(PROJ_EXT_Name,RANDBETWEEN(2,12))</f>
        <v>Robson St Building</v>
      </c>
      <c r="F130" s="1" t="s">
        <v>7029</v>
      </c>
      <c r="G130">
        <f t="shared" si="23"/>
        <v>40003</v>
      </c>
      <c r="H130">
        <f t="shared" si="20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1"/>
        <v>rg:None</v>
      </c>
      <c r="M130" s="4" t="str">
        <f t="shared" si="22"/>
        <v>rg:[]</v>
      </c>
      <c r="N130" t="s">
        <v>6510</v>
      </c>
      <c r="O130" t="s">
        <v>6510</v>
      </c>
      <c r="P130" t="s">
        <v>6510</v>
      </c>
      <c r="Q130" t="str">
        <f t="shared" ref="Q130:Q155" si="24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9"/>
        <v>rg{'id': '200002'}'</v>
      </c>
      <c r="E131" s="1" t="str">
        <f ca="1">MID(Names!G104,FIND(" ",Names!G104)+1,LEN(Names!G104)-FIND(" ", Names!G104))&amp;" "&amp;INDEX(PROJ_EXT_Name,RANDBETWEEN(2,12))</f>
        <v>Carlson Road Bypass</v>
      </c>
      <c r="F131" s="1" t="s">
        <v>7030</v>
      </c>
      <c r="G131">
        <f>IF(ISNUMBER(#REF!),#REF!+1,40000)</f>
        <v>40000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1"/>
        <v>rg:None</v>
      </c>
      <c r="M131" s="4" t="str">
        <f t="shared" si="22"/>
        <v>rg:[]</v>
      </c>
      <c r="N131" t="s">
        <v>6510</v>
      </c>
      <c r="O131" t="s">
        <v>6510</v>
      </c>
      <c r="P131" t="s">
        <v>6510</v>
      </c>
      <c r="Q131" t="str">
        <f t="shared" si="24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9"/>
        <v>rg{'id': '200002'}'</v>
      </c>
      <c r="E132" s="1" t="str">
        <f ca="1">MID(Names!G107,FIND(" ",Names!G107)+1,LEN(Names!G107)-FIND(" ", Names!G107))&amp;" "&amp;INDEX(PROJ_EXT_Name,RANDBETWEEN(2,12))</f>
        <v>McGill Road Bridge</v>
      </c>
      <c r="F132" s="1" t="s">
        <v>7031</v>
      </c>
      <c r="G132">
        <f>IF(ISNUMBER(#REF!),#REF!+1,40000)</f>
        <v>40000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1"/>
        <v>rg:None</v>
      </c>
      <c r="M132" s="4" t="str">
        <f t="shared" si="22"/>
        <v>rg:[]</v>
      </c>
      <c r="N132" t="s">
        <v>6510</v>
      </c>
      <c r="O132" t="s">
        <v>6510</v>
      </c>
      <c r="P132" t="s">
        <v>6510</v>
      </c>
      <c r="Q132" t="str">
        <f t="shared" si="24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9"/>
        <v>rg{'id': '200002'}'</v>
      </c>
      <c r="E133" s="1" t="str">
        <f ca="1">MID(Names!G108,FIND(" ",Names!G108)+1,LEN(Names!G108)-FIND(" ", Names!G108))&amp;" "&amp;INDEX(PROJ_EXT_Name,RANDBETWEEN(2,12))</f>
        <v>Russell Avenue Expressway</v>
      </c>
      <c r="F133" s="1" t="s">
        <v>7032</v>
      </c>
      <c r="G133">
        <f t="shared" si="23"/>
        <v>40001</v>
      </c>
      <c r="H133">
        <f t="shared" si="20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1"/>
        <v>rg:None</v>
      </c>
      <c r="M133" s="4" t="str">
        <f t="shared" si="22"/>
        <v>rg:[]</v>
      </c>
      <c r="N133" t="s">
        <v>6510</v>
      </c>
      <c r="O133" t="s">
        <v>6510</v>
      </c>
      <c r="P133" t="s">
        <v>6510</v>
      </c>
      <c r="Q133" t="str">
        <f t="shared" si="24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9"/>
        <v>rg{'id': '200002'}'</v>
      </c>
      <c r="E134" s="1" t="str">
        <f ca="1">MID(Names!G110,FIND(" ",Names!G110)+1,LEN(Names!G110)-FIND(" ", Names!G110))&amp;" "&amp;INDEX(PROJ_EXT_Name,RANDBETWEEN(2,12))</f>
        <v>Findlay Creek Road Overpass</v>
      </c>
      <c r="F134" s="1" t="s">
        <v>7033</v>
      </c>
      <c r="G134">
        <f>IF(ISNUMBER(#REF!),#REF!+1,40000)</f>
        <v>40000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1"/>
        <v>rg:None</v>
      </c>
      <c r="M134" s="4" t="str">
        <f t="shared" si="22"/>
        <v>rg:[]</v>
      </c>
      <c r="N134" t="s">
        <v>6510</v>
      </c>
      <c r="O134" t="s">
        <v>6510</v>
      </c>
      <c r="P134" t="s">
        <v>6510</v>
      </c>
      <c r="Q134" t="str">
        <f t="shared" si="24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9"/>
        <v>rg{'id': '200007'}'</v>
      </c>
      <c r="E135" s="1" t="str">
        <f ca="1">MID(Names!G117,FIND(" ",Names!G117)+1,LEN(Names!G117)-FIND(" ", Names!G117))&amp;" "&amp;INDEX(PROJ_EXT_Name,RANDBETWEEN(2,12))</f>
        <v>Brew Creek Rd Building</v>
      </c>
      <c r="F135" s="1" t="s">
        <v>7034</v>
      </c>
      <c r="G135">
        <f>IF(ISNUMBER(#REF!),#REF!+1,40000)</f>
        <v>40000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1"/>
        <v>rg:None</v>
      </c>
      <c r="M135" s="4" t="str">
        <f t="shared" si="22"/>
        <v>rg:[]</v>
      </c>
      <c r="N135" t="s">
        <v>6510</v>
      </c>
      <c r="O135" t="s">
        <v>6510</v>
      </c>
      <c r="P135" t="s">
        <v>6510</v>
      </c>
      <c r="Q135" t="str">
        <f t="shared" si="24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9"/>
        <v>rg{'id': '200007'}'</v>
      </c>
      <c r="E136" s="1" t="str">
        <f ca="1">MID(Names!G118,FIND(" ",Names!G118)+1,LEN(Names!G118)-FIND(" ", Names!G118))&amp;" "&amp;INDEX(PROJ_EXT_Name,RANDBETWEEN(2,12))</f>
        <v>Roger Street Express Lane</v>
      </c>
      <c r="F136" s="1" t="s">
        <v>6895</v>
      </c>
      <c r="G136">
        <f t="shared" si="23"/>
        <v>40001</v>
      </c>
      <c r="H136">
        <f t="shared" si="20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1"/>
        <v>rg:None</v>
      </c>
      <c r="M136" s="4" t="str">
        <f t="shared" si="22"/>
        <v>rg:[]</v>
      </c>
      <c r="N136" t="s">
        <v>6510</v>
      </c>
      <c r="O136" t="s">
        <v>6510</v>
      </c>
      <c r="P136" t="s">
        <v>6510</v>
      </c>
      <c r="Q136" t="str">
        <f t="shared" si="24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9"/>
        <v>rg{'id': '200007'}'</v>
      </c>
      <c r="E137" s="1" t="str">
        <f ca="1">MID(Names!G119,FIND(" ",Names!G119)+1,LEN(Names!G119)-FIND(" ", Names!G119))&amp;" "&amp;INDEX(PROJ_EXT_Name,RANDBETWEEN(2,12))</f>
        <v>Quayside Dr Bypass</v>
      </c>
      <c r="F137" s="1" t="s">
        <v>7035</v>
      </c>
      <c r="G137">
        <f t="shared" si="23"/>
        <v>40002</v>
      </c>
      <c r="H137">
        <f t="shared" si="20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1"/>
        <v>rg:None</v>
      </c>
      <c r="M137" s="4" t="str">
        <f t="shared" si="22"/>
        <v>rg:[]</v>
      </c>
      <c r="N137" t="s">
        <v>6510</v>
      </c>
      <c r="O137" t="s">
        <v>6510</v>
      </c>
      <c r="P137" t="s">
        <v>6510</v>
      </c>
      <c r="Q137" t="str">
        <f t="shared" si="24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9"/>
        <v>rg{'id': '200007'}'</v>
      </c>
      <c r="E138" s="1" t="str">
        <f ca="1">MID(Names!G120,FIND(" ",Names!G120)+1,LEN(Names!G120)-FIND(" ", Names!G120))&amp;" "&amp;INDEX(PROJ_EXT_Name,RANDBETWEEN(2,12))</f>
        <v>Haaglund Rd Extension</v>
      </c>
      <c r="F138" s="1" t="s">
        <v>6933</v>
      </c>
      <c r="G138">
        <f t="shared" si="23"/>
        <v>40003</v>
      </c>
      <c r="H138">
        <f t="shared" si="20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1"/>
        <v>rg:None</v>
      </c>
      <c r="M138" s="4" t="str">
        <f t="shared" si="22"/>
        <v>rg:[]</v>
      </c>
      <c r="N138" t="s">
        <v>6510</v>
      </c>
      <c r="O138" t="s">
        <v>6510</v>
      </c>
      <c r="P138" t="s">
        <v>6510</v>
      </c>
      <c r="Q138" t="str">
        <f t="shared" si="24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9"/>
        <v>rg{'id': '200007'}'</v>
      </c>
      <c r="E139" s="1" t="str">
        <f ca="1">MID(Names!G121,FIND(" ",Names!G121)+1,LEN(Names!G121)-FIND(" ", Names!G121))&amp;" "&amp;INDEX(PROJ_EXT_Name,RANDBETWEEN(2,12))</f>
        <v>Tchesinkut Lake Rd HOV Lane</v>
      </c>
      <c r="F139" s="1" t="s">
        <v>7036</v>
      </c>
      <c r="G139">
        <f t="shared" si="23"/>
        <v>40004</v>
      </c>
      <c r="H139">
        <f t="shared" si="20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1"/>
        <v>rg:None</v>
      </c>
      <c r="M139" s="4" t="str">
        <f t="shared" si="22"/>
        <v>rg:[]</v>
      </c>
      <c r="N139" t="s">
        <v>6510</v>
      </c>
      <c r="O139" t="s">
        <v>6510</v>
      </c>
      <c r="P139" t="s">
        <v>6510</v>
      </c>
      <c r="Q139" t="str">
        <f t="shared" si="24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9"/>
        <v>rg{'id': '200007'}'</v>
      </c>
      <c r="E140" s="1" t="str">
        <f ca="1">MID(Names!G124,FIND(" ",Names!G124)+1,LEN(Names!G124)-FIND(" ", Names!G124))&amp;" "&amp;INDEX(PROJ_EXT_Name,RANDBETWEEN(2,12))</f>
        <v>Stum Lake Road HOV Lane</v>
      </c>
      <c r="F140" s="1" t="s">
        <v>7037</v>
      </c>
      <c r="G140">
        <f>IF(ISNUMBER(#REF!),#REF!+1,40000)</f>
        <v>40000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1"/>
        <v>rg:None</v>
      </c>
      <c r="M140" s="4" t="str">
        <f t="shared" si="22"/>
        <v>rg:[]</v>
      </c>
      <c r="N140" t="s">
        <v>6510</v>
      </c>
      <c r="O140" t="s">
        <v>6510</v>
      </c>
      <c r="P140" t="s">
        <v>6510</v>
      </c>
      <c r="Q140" t="str">
        <f t="shared" si="24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5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Bypass</v>
      </c>
      <c r="F141" s="1" t="s">
        <v>7038</v>
      </c>
      <c r="G141">
        <f>IF(ISNUMBER(#REF!),#REF!+1,40000)</f>
        <v>40000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1"/>
        <v>rg:None</v>
      </c>
      <c r="M141" s="4" t="str">
        <f t="shared" si="22"/>
        <v>rg:[]</v>
      </c>
      <c r="N141" t="s">
        <v>6510</v>
      </c>
      <c r="O141" t="s">
        <v>6510</v>
      </c>
      <c r="P141" t="s">
        <v>6510</v>
      </c>
      <c r="Q141" t="str">
        <f t="shared" si="24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5"/>
        <v>rg{'id': '200005'}'</v>
      </c>
      <c r="E142" s="1" t="str">
        <f ca="1">MID(Names!G128,FIND(" ",Names!G128)+1,LEN(Names!G128)-FIND(" ", Names!G128))&amp;" "&amp;INDEX(PROJ_EXT_Name,RANDBETWEEN(2,12))</f>
        <v>Shaughnessy St Bypass</v>
      </c>
      <c r="F142" s="1" t="s">
        <v>6926</v>
      </c>
      <c r="G142">
        <f t="shared" si="23"/>
        <v>40001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1"/>
        <v>rg:None</v>
      </c>
      <c r="M142" s="4" t="str">
        <f t="shared" si="22"/>
        <v>rg:[]</v>
      </c>
      <c r="N142" t="s">
        <v>6510</v>
      </c>
      <c r="O142" t="s">
        <v>6510</v>
      </c>
      <c r="P142" t="s">
        <v>6510</v>
      </c>
      <c r="Q142" t="str">
        <f t="shared" si="24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5"/>
        <v>rg{'id': '200005'}'</v>
      </c>
      <c r="E143" s="1" t="str">
        <f ca="1">MID(Names!G129,FIND(" ",Names!G129)+1,LEN(Names!G129)-FIND(" ", Names!G129))&amp;" "&amp;INDEX(PROJ_EXT_Name,RANDBETWEEN(2,12))</f>
        <v>Cordova Street Bridge</v>
      </c>
      <c r="F143" s="1" t="s">
        <v>7039</v>
      </c>
      <c r="G143">
        <f t="shared" si="23"/>
        <v>40002</v>
      </c>
      <c r="H143">
        <f t="shared" ref="H143:H153" si="26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1"/>
        <v>rg:None</v>
      </c>
      <c r="M143" s="4" t="str">
        <f t="shared" si="22"/>
        <v>rg:[]</v>
      </c>
      <c r="N143" t="s">
        <v>6510</v>
      </c>
      <c r="O143" t="s">
        <v>6510</v>
      </c>
      <c r="P143" t="s">
        <v>6510</v>
      </c>
      <c r="Q143" t="str">
        <f t="shared" si="24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5"/>
        <v>rg{'id': '200005'}'</v>
      </c>
      <c r="E144" s="1" t="str">
        <f ca="1">MID(Names!G130,FIND(" ",Names!G130)+1,LEN(Names!G130)-FIND(" ", Names!G130))&amp;" "&amp;INDEX(PROJ_EXT_Name,RANDBETWEEN(2,12))</f>
        <v>Mesa Vista Drive Bridge Replacement</v>
      </c>
      <c r="F144" s="1" t="s">
        <v>7040</v>
      </c>
      <c r="G144">
        <f t="shared" si="23"/>
        <v>40003</v>
      </c>
      <c r="H144">
        <f t="shared" si="26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1"/>
        <v>rg:None</v>
      </c>
      <c r="M144" s="4" t="str">
        <f t="shared" si="22"/>
        <v>rg:[]</v>
      </c>
      <c r="N144" t="s">
        <v>6510</v>
      </c>
      <c r="O144" t="s">
        <v>6510</v>
      </c>
      <c r="P144" t="s">
        <v>6510</v>
      </c>
      <c r="Q144" t="str">
        <f t="shared" si="24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5"/>
        <v>rg{'id': '200005'}'</v>
      </c>
      <c r="E145" s="1" t="str">
        <f ca="1">MID(Names!G131,FIND(" ",Names!G131)+1,LEN(Names!G131)-FIND(" ", Names!G131))&amp;" "&amp;INDEX(PROJ_EXT_Name,RANDBETWEEN(2,12))</f>
        <v>Blanshard Extension</v>
      </c>
      <c r="F145" s="1" t="s">
        <v>7041</v>
      </c>
      <c r="G145">
        <f t="shared" si="23"/>
        <v>40004</v>
      </c>
      <c r="H145">
        <f t="shared" si="26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1"/>
        <v>rg:None</v>
      </c>
      <c r="M145" s="4" t="str">
        <f t="shared" si="22"/>
        <v>rg:[]</v>
      </c>
      <c r="N145" t="s">
        <v>6510</v>
      </c>
      <c r="O145" t="s">
        <v>6510</v>
      </c>
      <c r="P145" t="s">
        <v>6510</v>
      </c>
      <c r="Q145" t="str">
        <f t="shared" si="24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5"/>
        <v>rg{'id': '200005'}'</v>
      </c>
      <c r="E146" s="1" t="str">
        <f ca="1">MID(Names!G133,FIND(" ",Names!G133)+1,LEN(Names!G133)-FIND(" ", Names!G133))&amp;" "&amp;INDEX(PROJ_EXT_Name,RANDBETWEEN(2,12))</f>
        <v>Cordova Street Bridge</v>
      </c>
      <c r="F146" s="1" t="s">
        <v>7042</v>
      </c>
      <c r="G146">
        <f>IF(ISNUMBER(#REF!),#REF!+1,40000)</f>
        <v>40000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1"/>
        <v>rg:None</v>
      </c>
      <c r="M146" s="4" t="str">
        <f t="shared" si="22"/>
        <v>rg:[]</v>
      </c>
      <c r="N146" t="s">
        <v>6510</v>
      </c>
      <c r="O146" t="s">
        <v>6510</v>
      </c>
      <c r="P146" t="s">
        <v>6510</v>
      </c>
      <c r="Q146" t="str">
        <f t="shared" si="24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5"/>
        <v>rg{'id': '200005'}'</v>
      </c>
      <c r="E147" s="1" t="str">
        <f ca="1">MID(Names!G134,FIND(" ",Names!G134)+1,LEN(Names!G134)-FIND(" ", Names!G134))&amp;" "&amp;INDEX(PROJ_EXT_Name,RANDBETWEEN(2,12))</f>
        <v>Kinchant St Bridge Replacement</v>
      </c>
      <c r="F147" s="1" t="s">
        <v>7043</v>
      </c>
      <c r="G147">
        <f t="shared" si="23"/>
        <v>40001</v>
      </c>
      <c r="H147">
        <f t="shared" si="26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1"/>
        <v>rg:None</v>
      </c>
      <c r="M147" s="4" t="str">
        <f t="shared" si="22"/>
        <v>rg:[]</v>
      </c>
      <c r="N147" t="s">
        <v>6510</v>
      </c>
      <c r="O147" t="s">
        <v>6510</v>
      </c>
      <c r="P147" t="s">
        <v>6510</v>
      </c>
      <c r="Q147" t="str">
        <f t="shared" si="24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5"/>
        <v>rg{'id': '200005'}'</v>
      </c>
      <c r="E148" s="1" t="str">
        <f ca="1">MID(Names!G138,FIND(" ",Names!G138)+1,LEN(Names!G138)-FIND(" ", Names!G138))&amp;" "&amp;INDEX(PROJ_EXT_Name,RANDBETWEEN(2,12))</f>
        <v>Alaska Hwy Overpass</v>
      </c>
      <c r="F148" s="1" t="s">
        <v>7044</v>
      </c>
      <c r="G148">
        <f>IF(ISNUMBER(#REF!),#REF!+1,40000)</f>
        <v>40000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1"/>
        <v>rg:None</v>
      </c>
      <c r="M148" s="4" t="str">
        <f t="shared" si="22"/>
        <v>rg:[]</v>
      </c>
      <c r="N148" t="s">
        <v>6510</v>
      </c>
      <c r="O148" t="s">
        <v>6510</v>
      </c>
      <c r="P148" t="s">
        <v>6510</v>
      </c>
      <c r="Q148" t="str">
        <f t="shared" si="24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5"/>
        <v>rg{'id': '200009'}'</v>
      </c>
      <c r="E149" s="1" t="str">
        <f ca="1">MID(Names!G139,FIND(" ",Names!G139)+1,LEN(Names!G139)-FIND(" ", Names!G139))&amp;" "&amp;INDEX(PROJ_EXT_Name,RANDBETWEEN(2,12))</f>
        <v>Stum Lake Road Upgrade</v>
      </c>
      <c r="F149" s="1" t="s">
        <v>6915</v>
      </c>
      <c r="G149">
        <f t="shared" si="23"/>
        <v>40001</v>
      </c>
      <c r="H149">
        <f t="shared" si="26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1"/>
        <v>rg:None</v>
      </c>
      <c r="M149" s="4" t="str">
        <f t="shared" si="22"/>
        <v>rg:[]</v>
      </c>
      <c r="N149" t="s">
        <v>6510</v>
      </c>
      <c r="O149" t="s">
        <v>6510</v>
      </c>
      <c r="P149" t="s">
        <v>6510</v>
      </c>
      <c r="Q149" t="str">
        <f t="shared" si="24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5"/>
        <v>rg{'id': '200009'}'</v>
      </c>
      <c r="E150" s="1" t="str">
        <f ca="1">MID(Names!G142,FIND(" ",Names!G142)+1,LEN(Names!G142)-FIND(" ", Names!G142))&amp;" "&amp;INDEX(PROJ_EXT_Name,RANDBETWEEN(2,12))</f>
        <v>King George Hwy Overpass</v>
      </c>
      <c r="F150" s="1" t="s">
        <v>7045</v>
      </c>
      <c r="G150">
        <f>IF(ISNUMBER(#REF!),#REF!+1,40000)</f>
        <v>40000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7">IF(ISNUMBER(K150),"rg:{'id':'" &amp; K150 &amp; "'}","rg:None")</f>
        <v>rg:None</v>
      </c>
      <c r="M150" s="4" t="str">
        <f t="shared" ref="M150:M155" si="28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4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5"/>
        <v>rg{'id': '200009'}'</v>
      </c>
      <c r="E151" s="1" t="str">
        <f ca="1">MID(Names!G144,FIND(" ",Names!G144)+1,LEN(Names!G144)-FIND(" ", Names!G144))&amp;" "&amp;INDEX(PROJ_EXT_Name,RANDBETWEEN(2,12))</f>
        <v>Burdett Avenue Express Lane</v>
      </c>
      <c r="F151" s="1" t="s">
        <v>6900</v>
      </c>
      <c r="G151">
        <f>IF(ISNUMBER(#REF!),#REF!+1,40000)</f>
        <v>40000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7"/>
        <v>rg:None</v>
      </c>
      <c r="M151" s="4" t="str">
        <f t="shared" si="28"/>
        <v>rg:[]</v>
      </c>
      <c r="N151" t="s">
        <v>6510</v>
      </c>
      <c r="O151" t="s">
        <v>6510</v>
      </c>
      <c r="P151" t="s">
        <v>6510</v>
      </c>
      <c r="Q151" t="str">
        <f t="shared" si="24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5"/>
        <v>rg{'id': '200009'}'</v>
      </c>
      <c r="E152" s="1" t="str">
        <f ca="1">MID(Names!G146,FIND(" ",Names!G146)+1,LEN(Names!G146)-FIND(" ", Names!G146))&amp;" "&amp;INDEX(PROJ_EXT_Name,RANDBETWEEN(2,12))</f>
        <v>Hastings Street Bypass</v>
      </c>
      <c r="F152" s="1" t="s">
        <v>6918</v>
      </c>
      <c r="G152">
        <f>IF(ISNUMBER(#REF!),#REF!+1,40000)</f>
        <v>40000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7"/>
        <v>rg:None</v>
      </c>
      <c r="M152" s="4" t="str">
        <f t="shared" si="28"/>
        <v>rg:[]</v>
      </c>
      <c r="N152" t="s">
        <v>6510</v>
      </c>
      <c r="O152" t="s">
        <v>6510</v>
      </c>
      <c r="P152" t="s">
        <v>6510</v>
      </c>
      <c r="Q152" t="str">
        <f t="shared" si="24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5"/>
        <v>rg{'id': '200009'}'</v>
      </c>
      <c r="E153" s="1" t="str">
        <f ca="1">MID(Names!G147,FIND(" ",Names!G147)+1,LEN(Names!G147)-FIND(" ", Names!G147))&amp;" "&amp;INDEX(PROJ_EXT_Name,RANDBETWEEN(2,12))</f>
        <v>Old Spallumcheen Rd Upgrade</v>
      </c>
      <c r="F153" s="1" t="s">
        <v>7046</v>
      </c>
      <c r="G153">
        <f t="shared" ref="G153" si="29">IF(ISNUMBER(G152),G152+1,40000)</f>
        <v>40001</v>
      </c>
      <c r="H153">
        <f t="shared" si="26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7"/>
        <v>rg:None</v>
      </c>
      <c r="M153" s="4" t="str">
        <f t="shared" si="28"/>
        <v>rg:[]</v>
      </c>
      <c r="N153" t="s">
        <v>6510</v>
      </c>
      <c r="O153" t="s">
        <v>6510</v>
      </c>
      <c r="P153" t="s">
        <v>6510</v>
      </c>
      <c r="Q153" t="str">
        <f t="shared" si="24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5"/>
        <v>rg{'id': '200009'}'</v>
      </c>
      <c r="E154" s="1" t="str">
        <f ca="1">MID(Names!G149,FIND(" ",Names!G149)+1,LEN(Names!G149)-FIND(" ", Names!G149))&amp;" "&amp;INDEX(PROJ_EXT_Name,RANDBETWEEN(2,12))</f>
        <v>Coldstream Avenue Express Lane</v>
      </c>
      <c r="F154" s="1" t="s">
        <v>7047</v>
      </c>
      <c r="G154">
        <f>IF(ISNUMBER(#REF!),#REF!+1,40000)</f>
        <v>40000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7"/>
        <v>rg:None</v>
      </c>
      <c r="M154" s="4" t="str">
        <f t="shared" si="28"/>
        <v>rg:[]</v>
      </c>
      <c r="N154" t="s">
        <v>6510</v>
      </c>
      <c r="O154" t="s">
        <v>6510</v>
      </c>
      <c r="P154" t="s">
        <v>6510</v>
      </c>
      <c r="Q154" t="str">
        <f t="shared" si="24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5"/>
        <v>rg{'id': '200009'}'</v>
      </c>
      <c r="E155" s="1" t="str">
        <f ca="1">MID(Names!G101,FIND(" ",Names!G101)+1,LEN(Names!G101)-FIND(" ", Names!G101))&amp;" "&amp;INDEX(PROJ_EXT_Name,RANDBETWEEN(2,12))</f>
        <v>Robson St Bypass</v>
      </c>
      <c r="F155" s="1" t="s">
        <v>7048</v>
      </c>
      <c r="G155">
        <f>IF(ISNUMBER(#REF!),#REF!+1,40000)</f>
        <v>40000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7"/>
        <v>rg:None</v>
      </c>
      <c r="M155" s="4" t="str">
        <f t="shared" si="28"/>
        <v>rg:[]</v>
      </c>
      <c r="N155" t="s">
        <v>6510</v>
      </c>
      <c r="O155" t="s">
        <v>6510</v>
      </c>
      <c r="P155" t="s">
        <v>6510</v>
      </c>
      <c r="Q155" t="str">
        <f t="shared" si="24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rg:None</v>
      </c>
      <c r="L48" t="str">
        <f ca="1">IF(K48="rg:None",Names!P48,"rg:None")</f>
        <v>250-306-2422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250-688-2790</v>
      </c>
      <c r="L94" t="str">
        <f ca="1">IF(K94="rg:None",Names!P94,"rg:None")</f>
        <v>rg:None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tabSelected="1"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>
        <f>IFERROR(VLOOKUP(VLOOKUP(VLOOKUP(C2,Project.csv!F:Q,12,FALSE),ServiceAreas.csv!B:I,8,FALSE),LocalAreas.csv!B:H,7,FALSE),200029)</f>
        <v>200027</v>
      </c>
      <c r="E2" s="8" t="str">
        <f xml:space="preserve"> "rg:{'id':'" &amp; D2 &amp; "'}"</f>
        <v>rg:{'id':'200027'}</v>
      </c>
      <c r="F2" s="9" t="s">
        <v>7055</v>
      </c>
      <c r="G2" s="9" t="str">
        <f ca="1">INDEX(DistrictEquipmentTypes.csv!F:F,RANDBETWEEN(2,COUNTA(DistrictEquipmentTypes.csv!D:D)),1)</f>
        <v>200003</v>
      </c>
      <c r="H2" s="8" t="str">
        <f ca="1">"rg:{ 'id': '"&amp;G2&amp;"'}"</f>
        <v>rg:{ 'id': '200003'}</v>
      </c>
      <c r="I2" s="8">
        <f ca="1">IF(RANDBETWEEN(1,5)&gt;1,1,RANDBETWEEN(2,5))</f>
        <v>2</v>
      </c>
      <c r="J2" s="8">
        <f ca="1">RANDBETWEEN(4,100)</f>
        <v>91</v>
      </c>
      <c r="K2" s="8" t="str">
        <f ca="1">TEXT(TODAY()+RANDBETWEEN(1,56),"YYYY-MM-DD")</f>
        <v>2017-04-25</v>
      </c>
      <c r="L2" s="8" t="str">
        <f ca="1">TEXT(K2+(I2*J2)/8,"YYYY-MM-DD")</f>
        <v>2017-05-17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>
        <f>IFERROR(VLOOKUP(VLOOKUP(VLOOKUP(C3,Project.csv!F:Q,12,FALSE),ServiceAreas.csv!B:I,8,FALSE),LocalAreas.csv!B:H,7,FALSE),200029)</f>
        <v>200027</v>
      </c>
      <c r="E3" s="8" t="str">
        <f t="shared" ref="E3:E66" si="1" xml:space="preserve"> "rg:{'id':'" &amp; D3 &amp; "'}"</f>
        <v>rg:{'id':'200027'}</v>
      </c>
      <c r="F3" s="9" t="s">
        <v>7056</v>
      </c>
      <c r="G3" s="9" t="str">
        <f ca="1">INDEX(DistrictEquipmentTypes.csv!F:F,RANDBETWEEN(2,COUNTA(DistrictEquipmentTypes.csv!D:D)),1)</f>
        <v>200006</v>
      </c>
      <c r="H3" s="8" t="str">
        <f t="shared" ref="H3:H66" ca="1" si="2">"rg:{ 'id': '"&amp;G3&amp;"'}"</f>
        <v>rg:{ 'id': '200006'}</v>
      </c>
      <c r="I3" s="8">
        <f t="shared" ref="I3:I66" ca="1" si="3">IF(RANDBETWEEN(1,5)&gt;1,1,RANDBETWEEN(2,5))</f>
        <v>1</v>
      </c>
      <c r="J3" s="8">
        <f t="shared" ref="J3:J66" ca="1" si="4">RANDBETWEEN(4,100)</f>
        <v>61</v>
      </c>
      <c r="K3" s="8" t="str">
        <f t="shared" ref="K3:K66" ca="1" si="5">TEXT(TODAY()+RANDBETWEEN(1,56),"YYYY-MM-DD")</f>
        <v>2017-05-01</v>
      </c>
      <c r="L3" s="8" t="str">
        <f t="shared" ref="L3:L66" ca="1" si="6">TEXT(K3+(I3*J3)/8,"YYYY-MM-DD")</f>
        <v>2017-05-08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>
        <f>IFERROR(VLOOKUP(VLOOKUP(VLOOKUP(C4,Project.csv!F:Q,12,FALSE),ServiceAreas.csv!B:I,8,FALSE),LocalAreas.csv!B:H,7,FALSE),200029)</f>
        <v>200027</v>
      </c>
      <c r="E4" s="8" t="str">
        <f t="shared" si="1"/>
        <v>rg:{'id':'200027'}</v>
      </c>
      <c r="F4" s="9" t="s">
        <v>7055</v>
      </c>
      <c r="G4" s="9" t="str">
        <f ca="1">INDEX(DistrictEquipmentTypes.csv!F:F,RANDBETWEEN(2,COUNTA(DistrictEquipmentTypes.csv!D:D)),1)</f>
        <v>200007</v>
      </c>
      <c r="H4" s="8" t="str">
        <f t="shared" ca="1" si="2"/>
        <v>rg:{ 'id': '200007'}</v>
      </c>
      <c r="I4" s="8">
        <f t="shared" ca="1" si="3"/>
        <v>5</v>
      </c>
      <c r="J4" s="8">
        <f t="shared" ca="1" si="4"/>
        <v>29</v>
      </c>
      <c r="K4" s="8" t="str">
        <f t="shared" ca="1" si="5"/>
        <v>2017-04-28</v>
      </c>
      <c r="L4" s="8" t="str">
        <f t="shared" ca="1" si="6"/>
        <v>2017-05-16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>
        <f>IFERROR(VLOOKUP(VLOOKUP(VLOOKUP(C5,Project.csv!F:Q,12,FALSE),ServiceAreas.csv!B:I,8,FALSE),LocalAreas.csv!B:H,7,FALSE),200029)</f>
        <v>200027</v>
      </c>
      <c r="E5" s="8" t="str">
        <f t="shared" si="1"/>
        <v>rg:{'id':'200027'}</v>
      </c>
      <c r="F5" s="9" t="s">
        <v>7055</v>
      </c>
      <c r="G5" s="9" t="str">
        <f ca="1">INDEX(DistrictEquipmentTypes.csv!F:F,RANDBETWEEN(2,COUNTA(DistrictEquipmentTypes.csv!D:D)),1)</f>
        <v>200000</v>
      </c>
      <c r="H5" s="8" t="str">
        <f t="shared" ca="1" si="2"/>
        <v>rg:{ 'id': '200000'}</v>
      </c>
      <c r="I5" s="8">
        <f t="shared" ca="1" si="3"/>
        <v>1</v>
      </c>
      <c r="J5" s="8">
        <f t="shared" ca="1" si="4"/>
        <v>94</v>
      </c>
      <c r="K5" s="8" t="str">
        <f t="shared" ca="1" si="5"/>
        <v>2017-03-29</v>
      </c>
      <c r="L5" s="8" t="str">
        <f t="shared" ca="1" si="6"/>
        <v>2017-04-09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>
        <f>IFERROR(VLOOKUP(VLOOKUP(VLOOKUP(C6,Project.csv!F:Q,12,FALSE),ServiceAreas.csv!B:I,8,FALSE),LocalAreas.csv!B:H,7,FALSE),200029)</f>
        <v>200027</v>
      </c>
      <c r="E6" s="8" t="str">
        <f t="shared" si="1"/>
        <v>rg:{'id':'200027'}</v>
      </c>
      <c r="F6" s="9" t="s">
        <v>7055</v>
      </c>
      <c r="G6" s="9" t="str">
        <f ca="1">INDEX(DistrictEquipmentTypes.csv!F:F,RANDBETWEEN(2,COUNTA(DistrictEquipmentTypes.csv!D:D)),1)</f>
        <v>200009</v>
      </c>
      <c r="H6" s="8" t="str">
        <f t="shared" ca="1" si="2"/>
        <v>rg:{ 'id': '200009'}</v>
      </c>
      <c r="I6" s="8">
        <f t="shared" ca="1" si="3"/>
        <v>1</v>
      </c>
      <c r="J6" s="8">
        <f t="shared" ca="1" si="4"/>
        <v>61</v>
      </c>
      <c r="K6" s="8" t="str">
        <f t="shared" ca="1" si="5"/>
        <v>2017-04-20</v>
      </c>
      <c r="L6" s="8" t="str">
        <f t="shared" ca="1" si="6"/>
        <v>2017-04-27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>
        <f>IFERROR(VLOOKUP(VLOOKUP(VLOOKUP(C7,Project.csv!F:Q,12,FALSE),ServiceAreas.csv!B:I,8,FALSE),LocalAreas.csv!B:H,7,FALSE),200029)</f>
        <v>200027</v>
      </c>
      <c r="E7" s="8" t="str">
        <f t="shared" si="1"/>
        <v>rg:{'id':'200027'}</v>
      </c>
      <c r="F7" s="9" t="s">
        <v>7056</v>
      </c>
      <c r="G7" s="9" t="str">
        <f ca="1">INDEX(DistrictEquipmentTypes.csv!F:F,RANDBETWEEN(2,COUNTA(DistrictEquipmentTypes.csv!D:D)),1)</f>
        <v>200002</v>
      </c>
      <c r="H7" s="8" t="str">
        <f t="shared" ca="1" si="2"/>
        <v>rg:{ 'id': '200002'}</v>
      </c>
      <c r="I7" s="8">
        <f t="shared" ca="1" si="3"/>
        <v>4</v>
      </c>
      <c r="J7" s="8">
        <f t="shared" ca="1" si="4"/>
        <v>43</v>
      </c>
      <c r="K7" s="8" t="str">
        <f t="shared" ca="1" si="5"/>
        <v>2017-05-13</v>
      </c>
      <c r="L7" s="8" t="str">
        <f t="shared" ca="1" si="6"/>
        <v>2017-06-03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>
        <f>IFERROR(VLOOKUP(VLOOKUP(VLOOKUP(C8,Project.csv!F:Q,12,FALSE),ServiceAreas.csv!B:I,8,FALSE),LocalAreas.csv!B:H,7,FALSE),200029)</f>
        <v>200027</v>
      </c>
      <c r="E8" s="8" t="str">
        <f t="shared" si="1"/>
        <v>rg:{'id':'200027'}</v>
      </c>
      <c r="F8" s="9" t="s">
        <v>7056</v>
      </c>
      <c r="G8" s="9" t="str">
        <f ca="1">INDEX(DistrictEquipmentTypes.csv!F:F,RANDBETWEEN(2,COUNTA(DistrictEquipmentTypes.csv!D:D)),1)</f>
        <v>200009</v>
      </c>
      <c r="H8" s="8" t="str">
        <f t="shared" ca="1" si="2"/>
        <v>rg:{ 'id': '200009'}</v>
      </c>
      <c r="I8" s="8">
        <f t="shared" ca="1" si="3"/>
        <v>3</v>
      </c>
      <c r="J8" s="8">
        <f t="shared" ca="1" si="4"/>
        <v>28</v>
      </c>
      <c r="K8" s="8" t="str">
        <f t="shared" ca="1" si="5"/>
        <v>2017-04-08</v>
      </c>
      <c r="L8" s="8" t="str">
        <f t="shared" ca="1" si="6"/>
        <v>2017-04-18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>
        <f>IFERROR(VLOOKUP(VLOOKUP(VLOOKUP(C9,Project.csv!F:Q,12,FALSE),ServiceAreas.csv!B:I,8,FALSE),LocalAreas.csv!B:H,7,FALSE),200029)</f>
        <v>200060</v>
      </c>
      <c r="E9" s="8" t="str">
        <f t="shared" si="1"/>
        <v>rg:{'id':'200060'}</v>
      </c>
      <c r="F9" s="9" t="s">
        <v>7056</v>
      </c>
      <c r="G9" s="9" t="str">
        <f ca="1">INDEX(DistrictEquipmentTypes.csv!F:F,RANDBETWEEN(2,COUNTA(DistrictEquipmentTypes.csv!D:D)),1)</f>
        <v>200007</v>
      </c>
      <c r="H9" s="8" t="str">
        <f t="shared" ca="1" si="2"/>
        <v>rg:{ 'id': '200007'}</v>
      </c>
      <c r="I9" s="8">
        <f t="shared" ca="1" si="3"/>
        <v>1</v>
      </c>
      <c r="J9" s="8">
        <f t="shared" ca="1" si="4"/>
        <v>82</v>
      </c>
      <c r="K9" s="8" t="str">
        <f t="shared" ca="1" si="5"/>
        <v>2017-03-22</v>
      </c>
      <c r="L9" s="8" t="str">
        <f t="shared" ca="1" si="6"/>
        <v>2017-04-01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>
        <f>IFERROR(VLOOKUP(VLOOKUP(VLOOKUP(C10,Project.csv!F:Q,12,FALSE),ServiceAreas.csv!B:I,8,FALSE),LocalAreas.csv!B:H,7,FALSE),200029)</f>
        <v>200060</v>
      </c>
      <c r="E10" s="8" t="str">
        <f t="shared" si="1"/>
        <v>rg:{'id':'200060'}</v>
      </c>
      <c r="F10" s="9" t="s">
        <v>7056</v>
      </c>
      <c r="G10" s="9" t="str">
        <f ca="1">INDEX(DistrictEquipmentTypes.csv!F:F,RANDBETWEEN(2,COUNTA(DistrictEquipmentTypes.csv!D:D)),1)</f>
        <v>200009</v>
      </c>
      <c r="H10" s="8" t="str">
        <f t="shared" ca="1" si="2"/>
        <v>rg:{ 'id': '200009'}</v>
      </c>
      <c r="I10" s="8">
        <f t="shared" ca="1" si="3"/>
        <v>1</v>
      </c>
      <c r="J10" s="8">
        <f t="shared" ca="1" si="4"/>
        <v>66</v>
      </c>
      <c r="K10" s="8" t="str">
        <f t="shared" ca="1" si="5"/>
        <v>2017-04-12</v>
      </c>
      <c r="L10" s="8" t="str">
        <f t="shared" ca="1" si="6"/>
        <v>2017-04-20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>
        <f>IFERROR(VLOOKUP(VLOOKUP(VLOOKUP(C11,Project.csv!F:Q,12,FALSE),ServiceAreas.csv!B:I,8,FALSE),LocalAreas.csv!B:H,7,FALSE),200029)</f>
        <v>200060</v>
      </c>
      <c r="E11" s="8" t="str">
        <f t="shared" si="1"/>
        <v>rg:{'id':'200060'}</v>
      </c>
      <c r="F11" s="9" t="s">
        <v>7055</v>
      </c>
      <c r="G11" s="9" t="str">
        <f ca="1">INDEX(DistrictEquipmentTypes.csv!F:F,RANDBETWEEN(2,COUNTA(DistrictEquipmentTypes.csv!D:D)),1)</f>
        <v>200009</v>
      </c>
      <c r="H11" s="8" t="str">
        <f t="shared" ca="1" si="2"/>
        <v>rg:{ 'id': '200009'}</v>
      </c>
      <c r="I11" s="8">
        <f t="shared" ca="1" si="3"/>
        <v>1</v>
      </c>
      <c r="J11" s="8">
        <f t="shared" ca="1" si="4"/>
        <v>29</v>
      </c>
      <c r="K11" s="8" t="str">
        <f t="shared" ca="1" si="5"/>
        <v>2017-04-09</v>
      </c>
      <c r="L11" s="8" t="str">
        <f t="shared" ca="1" si="6"/>
        <v>2017-04-12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>
        <f>IFERROR(VLOOKUP(VLOOKUP(VLOOKUP(C12,Project.csv!F:Q,12,FALSE),ServiceAreas.csv!B:I,8,FALSE),LocalAreas.csv!B:H,7,FALSE),200029)</f>
        <v>200060</v>
      </c>
      <c r="E12" s="8" t="str">
        <f t="shared" si="1"/>
        <v>rg:{'id':'200060'}</v>
      </c>
      <c r="F12" s="9" t="s">
        <v>7055</v>
      </c>
      <c r="G12" s="9" t="str">
        <f ca="1">INDEX(DistrictEquipmentTypes.csv!F:F,RANDBETWEEN(2,COUNTA(DistrictEquipmentTypes.csv!D:D)),1)</f>
        <v>200009</v>
      </c>
      <c r="H12" s="8" t="str">
        <f t="shared" ca="1" si="2"/>
        <v>rg:{ 'id': '200009'}</v>
      </c>
      <c r="I12" s="8">
        <f t="shared" ca="1" si="3"/>
        <v>1</v>
      </c>
      <c r="J12" s="8">
        <f t="shared" ca="1" si="4"/>
        <v>11</v>
      </c>
      <c r="K12" s="8" t="str">
        <f t="shared" ca="1" si="5"/>
        <v>2017-04-06</v>
      </c>
      <c r="L12" s="8" t="str">
        <f t="shared" ca="1" si="6"/>
        <v>2017-04-07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>
        <f>IFERROR(VLOOKUP(VLOOKUP(VLOOKUP(C13,Project.csv!F:Q,12,FALSE),ServiceAreas.csv!B:I,8,FALSE),LocalAreas.csv!B:H,7,FALSE),200029)</f>
        <v>200060</v>
      </c>
      <c r="E13" s="8" t="str">
        <f t="shared" si="1"/>
        <v>rg:{'id':'200060'}</v>
      </c>
      <c r="F13" s="9" t="s">
        <v>7055</v>
      </c>
      <c r="G13" s="9" t="str">
        <f ca="1">INDEX(DistrictEquipmentTypes.csv!F:F,RANDBETWEEN(2,COUNTA(DistrictEquipmentTypes.csv!D:D)),1)</f>
        <v>200000</v>
      </c>
      <c r="H13" s="8" t="str">
        <f t="shared" ca="1" si="2"/>
        <v>rg:{ 'id': '200000'}</v>
      </c>
      <c r="I13" s="8">
        <f t="shared" ca="1" si="3"/>
        <v>5</v>
      </c>
      <c r="J13" s="8">
        <f t="shared" ca="1" si="4"/>
        <v>70</v>
      </c>
      <c r="K13" s="8" t="str">
        <f t="shared" ca="1" si="5"/>
        <v>2017-04-14</v>
      </c>
      <c r="L13" s="8" t="str">
        <f t="shared" ca="1" si="6"/>
        <v>2017-05-27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>
        <f>IFERROR(VLOOKUP(VLOOKUP(VLOOKUP(C14,Project.csv!F:Q,12,FALSE),ServiceAreas.csv!B:I,8,FALSE),LocalAreas.csv!B:H,7,FALSE),200029)</f>
        <v>200060</v>
      </c>
      <c r="E14" s="8" t="str">
        <f t="shared" si="1"/>
        <v>rg:{'id':'200060'}</v>
      </c>
      <c r="F14" s="9" t="s">
        <v>7055</v>
      </c>
      <c r="G14" s="9" t="str">
        <f ca="1">INDEX(DistrictEquipmentTypes.csv!F:F,RANDBETWEEN(2,COUNTA(DistrictEquipmentTypes.csv!D:D)),1)</f>
        <v>200009</v>
      </c>
      <c r="H14" s="8" t="str">
        <f t="shared" ca="1" si="2"/>
        <v>rg:{ 'id': '200009'}</v>
      </c>
      <c r="I14" s="8">
        <f t="shared" ca="1" si="3"/>
        <v>1</v>
      </c>
      <c r="J14" s="8">
        <f t="shared" ca="1" si="4"/>
        <v>34</v>
      </c>
      <c r="K14" s="8" t="str">
        <f t="shared" ca="1" si="5"/>
        <v>2017-04-13</v>
      </c>
      <c r="L14" s="8" t="str">
        <f t="shared" ca="1" si="6"/>
        <v>2017-04-17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>
        <f>IFERROR(VLOOKUP(VLOOKUP(VLOOKUP(C15,Project.csv!F:Q,12,FALSE),ServiceAreas.csv!B:I,8,FALSE),LocalAreas.csv!B:H,7,FALSE),200029)</f>
        <v>200060</v>
      </c>
      <c r="E15" s="8" t="str">
        <f t="shared" si="1"/>
        <v>rg:{'id':'200060'}</v>
      </c>
      <c r="F15" s="9" t="s">
        <v>7055</v>
      </c>
      <c r="G15" s="9" t="str">
        <f ca="1">INDEX(DistrictEquipmentTypes.csv!F:F,RANDBETWEEN(2,COUNTA(DistrictEquipmentTypes.csv!D:D)),1)</f>
        <v>200009</v>
      </c>
      <c r="H15" s="8" t="str">
        <f t="shared" ca="1" si="2"/>
        <v>rg:{ 'id': '200009'}</v>
      </c>
      <c r="I15" s="8">
        <f t="shared" ca="1" si="3"/>
        <v>1</v>
      </c>
      <c r="J15" s="8">
        <f t="shared" ca="1" si="4"/>
        <v>71</v>
      </c>
      <c r="K15" s="8" t="str">
        <f t="shared" ca="1" si="5"/>
        <v>2017-04-18</v>
      </c>
      <c r="L15" s="8" t="str">
        <f t="shared" ca="1" si="6"/>
        <v>2017-04-26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>
        <f>IFERROR(VLOOKUP(VLOOKUP(VLOOKUP(C16,Project.csv!F:Q,12,FALSE),ServiceAreas.csv!B:I,8,FALSE),LocalAreas.csv!B:H,7,FALSE),200029)</f>
        <v>200060</v>
      </c>
      <c r="E16" s="8" t="str">
        <f t="shared" si="1"/>
        <v>rg:{'id':'200060'}</v>
      </c>
      <c r="F16" s="9" t="s">
        <v>7055</v>
      </c>
      <c r="G16" s="9" t="str">
        <f ca="1">INDEX(DistrictEquipmentTypes.csv!F:F,RANDBETWEEN(2,COUNTA(DistrictEquipmentTypes.csv!D:D)),1)</f>
        <v>200003</v>
      </c>
      <c r="H16" s="8" t="str">
        <f t="shared" ca="1" si="2"/>
        <v>rg:{ 'id': '200003'}</v>
      </c>
      <c r="I16" s="8">
        <f t="shared" ca="1" si="3"/>
        <v>1</v>
      </c>
      <c r="J16" s="8">
        <f t="shared" ca="1" si="4"/>
        <v>92</v>
      </c>
      <c r="K16" s="8" t="str">
        <f t="shared" ca="1" si="5"/>
        <v>2017-04-04</v>
      </c>
      <c r="L16" s="8" t="str">
        <f t="shared" ca="1" si="6"/>
        <v>2017-04-15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>
        <f>IFERROR(VLOOKUP(VLOOKUP(VLOOKUP(C17,Project.csv!F:Q,12,FALSE),ServiceAreas.csv!B:I,8,FALSE),LocalAreas.csv!B:H,7,FALSE),200029)</f>
        <v>200060</v>
      </c>
      <c r="E17" s="8" t="str">
        <f t="shared" si="1"/>
        <v>rg:{'id':'200060'}</v>
      </c>
      <c r="F17" s="9" t="s">
        <v>7055</v>
      </c>
      <c r="G17" s="9" t="str">
        <f ca="1">INDEX(DistrictEquipmentTypes.csv!F:F,RANDBETWEEN(2,COUNTA(DistrictEquipmentTypes.csv!D:D)),1)</f>
        <v>200001</v>
      </c>
      <c r="H17" s="8" t="str">
        <f t="shared" ca="1" si="2"/>
        <v>rg:{ 'id': '200001'}</v>
      </c>
      <c r="I17" s="8">
        <f t="shared" ca="1" si="3"/>
        <v>1</v>
      </c>
      <c r="J17" s="8">
        <f t="shared" ca="1" si="4"/>
        <v>85</v>
      </c>
      <c r="K17" s="8" t="str">
        <f t="shared" ca="1" si="5"/>
        <v>2017-04-16</v>
      </c>
      <c r="L17" s="8" t="str">
        <f t="shared" ca="1" si="6"/>
        <v>2017-04-26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>
        <f>IFERROR(VLOOKUP(VLOOKUP(VLOOKUP(C18,Project.csv!F:Q,12,FALSE),ServiceAreas.csv!B:I,8,FALSE),LocalAreas.csv!B:H,7,FALSE),200029)</f>
        <v>200060</v>
      </c>
      <c r="E18" s="8" t="str">
        <f t="shared" si="1"/>
        <v>rg:{'id':'200060'}</v>
      </c>
      <c r="F18" s="9" t="s">
        <v>7055</v>
      </c>
      <c r="G18" s="9" t="str">
        <f ca="1">INDEX(DistrictEquipmentTypes.csv!F:F,RANDBETWEEN(2,COUNTA(DistrictEquipmentTypes.csv!D:D)),1)</f>
        <v>200009</v>
      </c>
      <c r="H18" s="8" t="str">
        <f t="shared" ca="1" si="2"/>
        <v>rg:{ 'id': '200009'}</v>
      </c>
      <c r="I18" s="8">
        <f t="shared" ca="1" si="3"/>
        <v>1</v>
      </c>
      <c r="J18" s="8">
        <f t="shared" ca="1" si="4"/>
        <v>45</v>
      </c>
      <c r="K18" s="8" t="str">
        <f t="shared" ca="1" si="5"/>
        <v>2017-04-14</v>
      </c>
      <c r="L18" s="8" t="str">
        <f t="shared" ca="1" si="6"/>
        <v>2017-04-19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>
        <f>IFERROR(VLOOKUP(VLOOKUP(VLOOKUP(C19,Project.csv!F:Q,12,FALSE),ServiceAreas.csv!B:I,8,FALSE),LocalAreas.csv!B:H,7,FALSE),200029)</f>
        <v>200060</v>
      </c>
      <c r="E19" s="8" t="str">
        <f t="shared" si="1"/>
        <v>rg:{'id':'200060'}</v>
      </c>
      <c r="F19" s="9" t="s">
        <v>7055</v>
      </c>
      <c r="G19" s="9" t="str">
        <f ca="1">INDEX(DistrictEquipmentTypes.csv!F:F,RANDBETWEEN(2,COUNTA(DistrictEquipmentTypes.csv!D:D)),1)</f>
        <v>200003</v>
      </c>
      <c r="H19" s="8" t="str">
        <f t="shared" ca="1" si="2"/>
        <v>rg:{ 'id': '200003'}</v>
      </c>
      <c r="I19" s="8">
        <f t="shared" ca="1" si="3"/>
        <v>1</v>
      </c>
      <c r="J19" s="8">
        <f t="shared" ca="1" si="4"/>
        <v>90</v>
      </c>
      <c r="K19" s="8" t="str">
        <f t="shared" ca="1" si="5"/>
        <v>2017-04-14</v>
      </c>
      <c r="L19" s="8" t="str">
        <f t="shared" ca="1" si="6"/>
        <v>2017-04-25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>
        <f>IFERROR(VLOOKUP(VLOOKUP(VLOOKUP(C20,Project.csv!F:Q,12,FALSE),ServiceAreas.csv!B:I,8,FALSE),LocalAreas.csv!B:H,7,FALSE),200029)</f>
        <v>200060</v>
      </c>
      <c r="E20" s="8" t="str">
        <f t="shared" si="1"/>
        <v>rg:{'id':'200060'}</v>
      </c>
      <c r="F20" s="9" t="s">
        <v>7055</v>
      </c>
      <c r="G20" s="9" t="str">
        <f ca="1">INDEX(DistrictEquipmentTypes.csv!F:F,RANDBETWEEN(2,COUNTA(DistrictEquipmentTypes.csv!D:D)),1)</f>
        <v>200007</v>
      </c>
      <c r="H20" s="8" t="str">
        <f t="shared" ca="1" si="2"/>
        <v>rg:{ 'id': '200007'}</v>
      </c>
      <c r="I20" s="8">
        <f t="shared" ca="1" si="3"/>
        <v>2</v>
      </c>
      <c r="J20" s="8">
        <f t="shared" ca="1" si="4"/>
        <v>57</v>
      </c>
      <c r="K20" s="8" t="str">
        <f t="shared" ca="1" si="5"/>
        <v>2017-04-04</v>
      </c>
      <c r="L20" s="8" t="str">
        <f t="shared" ca="1" si="6"/>
        <v>2017-04-18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>
        <f>IFERROR(VLOOKUP(VLOOKUP(VLOOKUP(C21,Project.csv!F:Q,12,FALSE),ServiceAreas.csv!B:I,8,FALSE),LocalAreas.csv!B:H,7,FALSE),200029)</f>
        <v>200060</v>
      </c>
      <c r="E21" s="8" t="str">
        <f t="shared" si="1"/>
        <v>rg:{'id':'200060'}</v>
      </c>
      <c r="F21" s="9" t="s">
        <v>7055</v>
      </c>
      <c r="G21" s="9" t="str">
        <f ca="1">INDEX(DistrictEquipmentTypes.csv!F:F,RANDBETWEEN(2,COUNTA(DistrictEquipmentTypes.csv!D:D)),1)</f>
        <v>200002</v>
      </c>
      <c r="H21" s="8" t="str">
        <f t="shared" ca="1" si="2"/>
        <v>rg:{ 'id': '200002'}</v>
      </c>
      <c r="I21" s="8">
        <f t="shared" ca="1" si="3"/>
        <v>3</v>
      </c>
      <c r="J21" s="8">
        <f t="shared" ca="1" si="4"/>
        <v>4</v>
      </c>
      <c r="K21" s="8" t="str">
        <f t="shared" ca="1" si="5"/>
        <v>2017-05-14</v>
      </c>
      <c r="L21" s="8" t="str">
        <f t="shared" ca="1" si="6"/>
        <v>2017-05-15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>
        <f>IFERROR(VLOOKUP(VLOOKUP(VLOOKUP(C22,Project.csv!F:Q,12,FALSE),ServiceAreas.csv!B:I,8,FALSE),LocalAreas.csv!B:H,7,FALSE),200029)</f>
        <v>200060</v>
      </c>
      <c r="E22" s="8" t="str">
        <f t="shared" si="1"/>
        <v>rg:{'id':'200060'}</v>
      </c>
      <c r="F22" s="9" t="s">
        <v>7055</v>
      </c>
      <c r="G22" s="9" t="str">
        <f ca="1">INDEX(DistrictEquipmentTypes.csv!F:F,RANDBETWEEN(2,COUNTA(DistrictEquipmentTypes.csv!D:D)),1)</f>
        <v>200006</v>
      </c>
      <c r="H22" s="8" t="str">
        <f t="shared" ca="1" si="2"/>
        <v>rg:{ 'id': '200006'}</v>
      </c>
      <c r="I22" s="8">
        <f t="shared" ca="1" si="3"/>
        <v>1</v>
      </c>
      <c r="J22" s="8">
        <f t="shared" ca="1" si="4"/>
        <v>93</v>
      </c>
      <c r="K22" s="8" t="str">
        <f t="shared" ca="1" si="5"/>
        <v>2017-04-18</v>
      </c>
      <c r="L22" s="8" t="str">
        <f t="shared" ca="1" si="6"/>
        <v>2017-04-29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>
        <f>IFERROR(VLOOKUP(VLOOKUP(VLOOKUP(C23,Project.csv!F:Q,12,FALSE),ServiceAreas.csv!B:I,8,FALSE),LocalAreas.csv!B:H,7,FALSE),200029)</f>
        <v>200064</v>
      </c>
      <c r="E23" s="8" t="str">
        <f t="shared" si="1"/>
        <v>rg:{'id':'200064'}</v>
      </c>
      <c r="F23" s="9" t="s">
        <v>7055</v>
      </c>
      <c r="G23" s="9" t="str">
        <f ca="1">INDEX(DistrictEquipmentTypes.csv!F:F,RANDBETWEEN(2,COUNTA(DistrictEquipmentTypes.csv!D:D)),1)</f>
        <v>200002</v>
      </c>
      <c r="H23" s="8" t="str">
        <f t="shared" ca="1" si="2"/>
        <v>rg:{ 'id': '200002'}</v>
      </c>
      <c r="I23" s="8">
        <f t="shared" ca="1" si="3"/>
        <v>3</v>
      </c>
      <c r="J23" s="8">
        <f t="shared" ca="1" si="4"/>
        <v>85</v>
      </c>
      <c r="K23" s="8" t="str">
        <f t="shared" ca="1" si="5"/>
        <v>2017-03-26</v>
      </c>
      <c r="L23" s="8" t="str">
        <f t="shared" ca="1" si="6"/>
        <v>2017-04-26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>
        <f>IFERROR(VLOOKUP(VLOOKUP(VLOOKUP(C24,Project.csv!F:Q,12,FALSE),ServiceAreas.csv!B:I,8,FALSE),LocalAreas.csv!B:H,7,FALSE),200029)</f>
        <v>200064</v>
      </c>
      <c r="E24" s="8" t="str">
        <f t="shared" si="1"/>
        <v>rg:{'id':'200064'}</v>
      </c>
      <c r="F24" s="9" t="s">
        <v>7055</v>
      </c>
      <c r="G24" s="9" t="str">
        <f ca="1">INDEX(DistrictEquipmentTypes.csv!F:F,RANDBETWEEN(2,COUNTA(DistrictEquipmentTypes.csv!D:D)),1)</f>
        <v>200004</v>
      </c>
      <c r="H24" s="8" t="str">
        <f t="shared" ca="1" si="2"/>
        <v>rg:{ 'id': '200004'}</v>
      </c>
      <c r="I24" s="8">
        <f t="shared" ca="1" si="3"/>
        <v>1</v>
      </c>
      <c r="J24" s="8">
        <f t="shared" ca="1" si="4"/>
        <v>52</v>
      </c>
      <c r="K24" s="8" t="str">
        <f t="shared" ca="1" si="5"/>
        <v>2017-05-04</v>
      </c>
      <c r="L24" s="8" t="str">
        <f t="shared" ca="1" si="6"/>
        <v>2017-05-10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>
        <f>IFERROR(VLOOKUP(VLOOKUP(VLOOKUP(C25,Project.csv!F:Q,12,FALSE),ServiceAreas.csv!B:I,8,FALSE),LocalAreas.csv!B:H,7,FALSE),200029)</f>
        <v>200064</v>
      </c>
      <c r="E25" s="8" t="str">
        <f t="shared" si="1"/>
        <v>rg:{'id':'200064'}</v>
      </c>
      <c r="F25" s="9" t="s">
        <v>7055</v>
      </c>
      <c r="G25" s="9" t="str">
        <f ca="1">INDEX(DistrictEquipmentTypes.csv!F:F,RANDBETWEEN(2,COUNTA(DistrictEquipmentTypes.csv!D:D)),1)</f>
        <v>200006</v>
      </c>
      <c r="H25" s="8" t="str">
        <f t="shared" ca="1" si="2"/>
        <v>rg:{ 'id': '200006'}</v>
      </c>
      <c r="I25" s="8">
        <f t="shared" ca="1" si="3"/>
        <v>1</v>
      </c>
      <c r="J25" s="8">
        <f t="shared" ca="1" si="4"/>
        <v>20</v>
      </c>
      <c r="K25" s="8" t="str">
        <f t="shared" ca="1" si="5"/>
        <v>2017-04-30</v>
      </c>
      <c r="L25" s="8" t="str">
        <f t="shared" ca="1" si="6"/>
        <v>2017-05-02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>
        <f>IFERROR(VLOOKUP(VLOOKUP(VLOOKUP(C26,Project.csv!F:Q,12,FALSE),ServiceAreas.csv!B:I,8,FALSE),LocalAreas.csv!B:H,7,FALSE),200029)</f>
        <v>200064</v>
      </c>
      <c r="E26" s="8" t="str">
        <f t="shared" si="1"/>
        <v>rg:{'id':'200064'}</v>
      </c>
      <c r="F26" s="9" t="s">
        <v>7055</v>
      </c>
      <c r="G26" s="9" t="str">
        <f ca="1">INDEX(DistrictEquipmentTypes.csv!F:F,RANDBETWEEN(2,COUNTA(DistrictEquipmentTypes.csv!D:D)),1)</f>
        <v>200003</v>
      </c>
      <c r="H26" s="8" t="str">
        <f t="shared" ca="1" si="2"/>
        <v>rg:{ 'id': '200003'}</v>
      </c>
      <c r="I26" s="8">
        <f t="shared" ca="1" si="3"/>
        <v>1</v>
      </c>
      <c r="J26" s="8">
        <f t="shared" ca="1" si="4"/>
        <v>55</v>
      </c>
      <c r="K26" s="8" t="str">
        <f t="shared" ca="1" si="5"/>
        <v>2017-04-06</v>
      </c>
      <c r="L26" s="8" t="str">
        <f t="shared" ca="1" si="6"/>
        <v>2017-04-12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>
        <f>IFERROR(VLOOKUP(VLOOKUP(VLOOKUP(C27,Project.csv!F:Q,12,FALSE),ServiceAreas.csv!B:I,8,FALSE),LocalAreas.csv!B:H,7,FALSE),200029)</f>
        <v>200064</v>
      </c>
      <c r="E27" s="8" t="str">
        <f t="shared" si="1"/>
        <v>rg:{'id':'200064'}</v>
      </c>
      <c r="F27" s="9" t="s">
        <v>7055</v>
      </c>
      <c r="G27" s="9" t="str">
        <f ca="1">INDEX(DistrictEquipmentTypes.csv!F:F,RANDBETWEEN(2,COUNTA(DistrictEquipmentTypes.csv!D:D)),1)</f>
        <v>200001</v>
      </c>
      <c r="H27" s="8" t="str">
        <f t="shared" ca="1" si="2"/>
        <v>rg:{ 'id': '200001'}</v>
      </c>
      <c r="I27" s="8">
        <f t="shared" ca="1" si="3"/>
        <v>1</v>
      </c>
      <c r="J27" s="8">
        <f t="shared" ca="1" si="4"/>
        <v>80</v>
      </c>
      <c r="K27" s="8" t="str">
        <f t="shared" ca="1" si="5"/>
        <v>2017-04-28</v>
      </c>
      <c r="L27" s="8" t="str">
        <f t="shared" ca="1" si="6"/>
        <v>2017-05-08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>
        <f>IFERROR(VLOOKUP(VLOOKUP(VLOOKUP(C28,Project.csv!F:Q,12,FALSE),ServiceAreas.csv!B:I,8,FALSE),LocalAreas.csv!B:H,7,FALSE),200029)</f>
        <v>200064</v>
      </c>
      <c r="E28" s="8" t="str">
        <f t="shared" si="1"/>
        <v>rg:{'id':'200064'}</v>
      </c>
      <c r="F28" s="9" t="s">
        <v>7055</v>
      </c>
      <c r="G28" s="9" t="str">
        <f ca="1">INDEX(DistrictEquipmentTypes.csv!F:F,RANDBETWEEN(2,COUNTA(DistrictEquipmentTypes.csv!D:D)),1)</f>
        <v>200000</v>
      </c>
      <c r="H28" s="8" t="str">
        <f t="shared" ca="1" si="2"/>
        <v>rg:{ 'id': '200000'}</v>
      </c>
      <c r="I28" s="8">
        <f t="shared" ca="1" si="3"/>
        <v>3</v>
      </c>
      <c r="J28" s="8">
        <f t="shared" ca="1" si="4"/>
        <v>59</v>
      </c>
      <c r="K28" s="8" t="str">
        <f t="shared" ca="1" si="5"/>
        <v>2017-03-23</v>
      </c>
      <c r="L28" s="8" t="str">
        <f t="shared" ca="1" si="6"/>
        <v>2017-04-14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>
        <f>IFERROR(VLOOKUP(VLOOKUP(VLOOKUP(C29,Project.csv!F:Q,12,FALSE),ServiceAreas.csv!B:I,8,FALSE),LocalAreas.csv!B:H,7,FALSE),200029)</f>
        <v>200064</v>
      </c>
      <c r="E29" s="8" t="str">
        <f t="shared" si="1"/>
        <v>rg:{'id':'200064'}</v>
      </c>
      <c r="F29" s="9" t="s">
        <v>7055</v>
      </c>
      <c r="G29" s="9" t="str">
        <f ca="1">INDEX(DistrictEquipmentTypes.csv!F:F,RANDBETWEEN(2,COUNTA(DistrictEquipmentTypes.csv!D:D)),1)</f>
        <v>200007</v>
      </c>
      <c r="H29" s="8" t="str">
        <f t="shared" ca="1" si="2"/>
        <v>rg:{ 'id': '200007'}</v>
      </c>
      <c r="I29" s="8">
        <f t="shared" ca="1" si="3"/>
        <v>1</v>
      </c>
      <c r="J29" s="8">
        <f t="shared" ca="1" si="4"/>
        <v>10</v>
      </c>
      <c r="K29" s="8" t="str">
        <f t="shared" ca="1" si="5"/>
        <v>2017-04-19</v>
      </c>
      <c r="L29" s="8" t="str">
        <f t="shared" ca="1" si="6"/>
        <v>2017-04-20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IFERROR(VLOOKUP(VLOOKUP(VLOOKUP(C30,Project.csv!F:Q,12,FALSE),ServiceAreas.csv!B:I,8,FALSE),LocalAreas.csv!B:H,7,FALSE),200029)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200004</v>
      </c>
      <c r="H30" s="8" t="str">
        <f t="shared" ca="1" si="2"/>
        <v>rg:{ 'id': '200004'}</v>
      </c>
      <c r="I30" s="8">
        <f t="shared" ca="1" si="3"/>
        <v>1</v>
      </c>
      <c r="J30" s="8">
        <f t="shared" ca="1" si="4"/>
        <v>24</v>
      </c>
      <c r="K30" s="8" t="str">
        <f t="shared" ca="1" si="5"/>
        <v>2017-04-14</v>
      </c>
      <c r="L30" s="8" t="str">
        <f t="shared" ca="1" si="6"/>
        <v>2017-04-17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IFERROR(VLOOKUP(VLOOKUP(VLOOKUP(C31,Project.csv!F:Q,12,FALSE),ServiceAreas.csv!B:I,8,FALSE),LocalAreas.csv!B:H,7,FALSE),200029)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200000</v>
      </c>
      <c r="H31" s="8" t="str">
        <f t="shared" ca="1" si="2"/>
        <v>rg:{ 'id': '200000'}</v>
      </c>
      <c r="I31" s="8">
        <f t="shared" ca="1" si="3"/>
        <v>1</v>
      </c>
      <c r="J31" s="8">
        <f t="shared" ca="1" si="4"/>
        <v>15</v>
      </c>
      <c r="K31" s="8" t="str">
        <f t="shared" ca="1" si="5"/>
        <v>2017-04-17</v>
      </c>
      <c r="L31" s="8" t="str">
        <f t="shared" ca="1" si="6"/>
        <v>2017-04-18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IFERROR(VLOOKUP(VLOOKUP(VLOOKUP(C32,Project.csv!F:Q,12,FALSE),ServiceAreas.csv!B:I,8,FALSE),LocalAreas.csv!B:H,7,FALSE),200029)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200006</v>
      </c>
      <c r="H32" s="8" t="str">
        <f t="shared" ca="1" si="2"/>
        <v>rg:{ 'id': '200006'}</v>
      </c>
      <c r="I32" s="8">
        <f t="shared" ca="1" si="3"/>
        <v>1</v>
      </c>
      <c r="J32" s="8">
        <f t="shared" ca="1" si="4"/>
        <v>38</v>
      </c>
      <c r="K32" s="8" t="str">
        <f t="shared" ca="1" si="5"/>
        <v>2017-04-10</v>
      </c>
      <c r="L32" s="8" t="str">
        <f t="shared" ca="1" si="6"/>
        <v>2017-04-14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IFERROR(VLOOKUP(VLOOKUP(VLOOKUP(C33,Project.csv!F:Q,12,FALSE),ServiceAreas.csv!B:I,8,FALSE),LocalAreas.csv!B:H,7,FALSE),200029)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200005</v>
      </c>
      <c r="H33" s="8" t="str">
        <f t="shared" ca="1" si="2"/>
        <v>rg:{ 'id': '200005'}</v>
      </c>
      <c r="I33" s="8">
        <f t="shared" ca="1" si="3"/>
        <v>1</v>
      </c>
      <c r="J33" s="8">
        <f t="shared" ca="1" si="4"/>
        <v>20</v>
      </c>
      <c r="K33" s="8" t="str">
        <f t="shared" ca="1" si="5"/>
        <v>2017-04-03</v>
      </c>
      <c r="L33" s="8" t="str">
        <f t="shared" ca="1" si="6"/>
        <v>2017-04-05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IFERROR(VLOOKUP(VLOOKUP(VLOOKUP(C34,Project.csv!F:Q,12,FALSE),ServiceAreas.csv!B:I,8,FALSE),LocalAreas.csv!B:H,7,FALSE),200029)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200006</v>
      </c>
      <c r="H34" s="8" t="str">
        <f t="shared" ca="1" si="2"/>
        <v>rg:{ 'id': '200006'}</v>
      </c>
      <c r="I34" s="8">
        <f t="shared" ca="1" si="3"/>
        <v>1</v>
      </c>
      <c r="J34" s="8">
        <f t="shared" ca="1" si="4"/>
        <v>42</v>
      </c>
      <c r="K34" s="8" t="str">
        <f t="shared" ca="1" si="5"/>
        <v>2017-04-03</v>
      </c>
      <c r="L34" s="8" t="str">
        <f t="shared" ca="1" si="6"/>
        <v>2017-04-08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IFERROR(VLOOKUP(VLOOKUP(VLOOKUP(C35,Project.csv!F:Q,12,FALSE),ServiceAreas.csv!B:I,8,FALSE),LocalAreas.csv!B:H,7,FALSE),200029)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200005</v>
      </c>
      <c r="H35" s="8" t="str">
        <f t="shared" ca="1" si="2"/>
        <v>rg:{ 'id': '200005'}</v>
      </c>
      <c r="I35" s="8">
        <f t="shared" ca="1" si="3"/>
        <v>1</v>
      </c>
      <c r="J35" s="8">
        <f t="shared" ca="1" si="4"/>
        <v>26</v>
      </c>
      <c r="K35" s="8" t="str">
        <f t="shared" ca="1" si="5"/>
        <v>2017-05-07</v>
      </c>
      <c r="L35" s="8" t="str">
        <f t="shared" ca="1" si="6"/>
        <v>2017-05-10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IFERROR(VLOOKUP(VLOOKUP(VLOOKUP(C36,Project.csv!F:Q,12,FALSE),ServiceAreas.csv!B:I,8,FALSE),LocalAreas.csv!B:H,7,FALSE),200029)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200006</v>
      </c>
      <c r="H36" s="8" t="str">
        <f t="shared" ca="1" si="2"/>
        <v>rg:{ 'id': '200006'}</v>
      </c>
      <c r="I36" s="8">
        <f t="shared" ca="1" si="3"/>
        <v>4</v>
      </c>
      <c r="J36" s="8">
        <f t="shared" ca="1" si="4"/>
        <v>43</v>
      </c>
      <c r="K36" s="8" t="str">
        <f t="shared" ca="1" si="5"/>
        <v>2017-04-11</v>
      </c>
      <c r="L36" s="8" t="str">
        <f t="shared" ca="1" si="6"/>
        <v>2017-05-02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>
        <f>IFERROR(VLOOKUP(VLOOKUP(VLOOKUP(C37,Project.csv!F:Q,12,FALSE),ServiceAreas.csv!B:I,8,FALSE),LocalAreas.csv!B:H,7,FALSE),200029)</f>
        <v>200069</v>
      </c>
      <c r="E37" s="8" t="str">
        <f t="shared" si="1"/>
        <v>rg:{'id':'200069'}</v>
      </c>
      <c r="F37" s="9" t="s">
        <v>7056</v>
      </c>
      <c r="G37" s="9" t="str">
        <f ca="1">INDEX(DistrictEquipmentTypes.csv!F:F,RANDBETWEEN(2,COUNTA(DistrictEquipmentTypes.csv!D:D)),1)</f>
        <v>200003</v>
      </c>
      <c r="H37" s="8" t="str">
        <f t="shared" ca="1" si="2"/>
        <v>rg:{ 'id': '200003'}</v>
      </c>
      <c r="I37" s="8">
        <f t="shared" ca="1" si="3"/>
        <v>2</v>
      </c>
      <c r="J37" s="8">
        <f t="shared" ca="1" si="4"/>
        <v>76</v>
      </c>
      <c r="K37" s="8" t="str">
        <f t="shared" ca="1" si="5"/>
        <v>2017-04-17</v>
      </c>
      <c r="L37" s="8" t="str">
        <f t="shared" ca="1" si="6"/>
        <v>2017-05-06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>
        <f>IFERROR(VLOOKUP(VLOOKUP(VLOOKUP(C38,Project.csv!F:Q,12,FALSE),ServiceAreas.csv!B:I,8,FALSE),LocalAreas.csv!B:H,7,FALSE),200029)</f>
        <v>200069</v>
      </c>
      <c r="E38" s="8" t="str">
        <f t="shared" si="1"/>
        <v>rg:{'id':'200069'}</v>
      </c>
      <c r="F38" s="9" t="s">
        <v>7055</v>
      </c>
      <c r="G38" s="9" t="str">
        <f ca="1">INDEX(DistrictEquipmentTypes.csv!F:F,RANDBETWEEN(2,COUNTA(DistrictEquipmentTypes.csv!D:D)),1)</f>
        <v>200003</v>
      </c>
      <c r="H38" s="8" t="str">
        <f t="shared" ca="1" si="2"/>
        <v>rg:{ 'id': '200003'}</v>
      </c>
      <c r="I38" s="8">
        <f t="shared" ca="1" si="3"/>
        <v>1</v>
      </c>
      <c r="J38" s="8">
        <f t="shared" ca="1" si="4"/>
        <v>9</v>
      </c>
      <c r="K38" s="8" t="str">
        <f t="shared" ca="1" si="5"/>
        <v>2017-04-05</v>
      </c>
      <c r="L38" s="8" t="str">
        <f t="shared" ca="1" si="6"/>
        <v>2017-04-06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>
        <f>IFERROR(VLOOKUP(VLOOKUP(VLOOKUP(C39,Project.csv!F:Q,12,FALSE),ServiceAreas.csv!B:I,8,FALSE),LocalAreas.csv!B:H,7,FALSE),200029)</f>
        <v>200069</v>
      </c>
      <c r="E39" s="8" t="str">
        <f t="shared" si="1"/>
        <v>rg:{'id':'200069'}</v>
      </c>
      <c r="F39" s="9" t="s">
        <v>7055</v>
      </c>
      <c r="G39" s="9" t="str">
        <f ca="1">INDEX(DistrictEquipmentTypes.csv!F:F,RANDBETWEEN(2,COUNTA(DistrictEquipmentTypes.csv!D:D)),1)</f>
        <v>200006</v>
      </c>
      <c r="H39" s="8" t="str">
        <f t="shared" ca="1" si="2"/>
        <v>rg:{ 'id': '200006'}</v>
      </c>
      <c r="I39" s="8">
        <f t="shared" ca="1" si="3"/>
        <v>1</v>
      </c>
      <c r="J39" s="8">
        <f t="shared" ca="1" si="4"/>
        <v>15</v>
      </c>
      <c r="K39" s="8" t="str">
        <f t="shared" ca="1" si="5"/>
        <v>2017-04-16</v>
      </c>
      <c r="L39" s="8" t="str">
        <f t="shared" ca="1" si="6"/>
        <v>2017-04-17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>
        <f>IFERROR(VLOOKUP(VLOOKUP(VLOOKUP(C40,Project.csv!F:Q,12,FALSE),ServiceAreas.csv!B:I,8,FALSE),LocalAreas.csv!B:H,7,FALSE),200029)</f>
        <v>200069</v>
      </c>
      <c r="E40" s="8" t="str">
        <f t="shared" si="1"/>
        <v>rg:{'id':'200069'}</v>
      </c>
      <c r="F40" s="9" t="s">
        <v>7055</v>
      </c>
      <c r="G40" s="9" t="str">
        <f ca="1">INDEX(DistrictEquipmentTypes.csv!F:F,RANDBETWEEN(2,COUNTA(DistrictEquipmentTypes.csv!D:D)),1)</f>
        <v>200000</v>
      </c>
      <c r="H40" s="8" t="str">
        <f t="shared" ca="1" si="2"/>
        <v>rg:{ 'id': '200000'}</v>
      </c>
      <c r="I40" s="8">
        <f t="shared" ca="1" si="3"/>
        <v>1</v>
      </c>
      <c r="J40" s="8">
        <f t="shared" ca="1" si="4"/>
        <v>23</v>
      </c>
      <c r="K40" s="8" t="str">
        <f t="shared" ca="1" si="5"/>
        <v>2017-03-24</v>
      </c>
      <c r="L40" s="8" t="str">
        <f t="shared" ca="1" si="6"/>
        <v>2017-03-26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>
        <f>IFERROR(VLOOKUP(VLOOKUP(VLOOKUP(C41,Project.csv!F:Q,12,FALSE),ServiceAreas.csv!B:I,8,FALSE),LocalAreas.csv!B:H,7,FALSE),200029)</f>
        <v>200069</v>
      </c>
      <c r="E41" s="8" t="str">
        <f t="shared" si="1"/>
        <v>rg:{'id':'200069'}</v>
      </c>
      <c r="F41" s="9" t="s">
        <v>7055</v>
      </c>
      <c r="G41" s="9" t="str">
        <f ca="1">INDEX(DistrictEquipmentTypes.csv!F:F,RANDBETWEEN(2,COUNTA(DistrictEquipmentTypes.csv!D:D)),1)</f>
        <v>200000</v>
      </c>
      <c r="H41" s="8" t="str">
        <f t="shared" ca="1" si="2"/>
        <v>rg:{ 'id': '200000'}</v>
      </c>
      <c r="I41" s="8">
        <f t="shared" ca="1" si="3"/>
        <v>1</v>
      </c>
      <c r="J41" s="8">
        <f t="shared" ca="1" si="4"/>
        <v>69</v>
      </c>
      <c r="K41" s="8" t="str">
        <f t="shared" ca="1" si="5"/>
        <v>2017-05-04</v>
      </c>
      <c r="L41" s="8" t="str">
        <f t="shared" ca="1" si="6"/>
        <v>2017-05-12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>
        <f>IFERROR(VLOOKUP(VLOOKUP(VLOOKUP(C42,Project.csv!F:Q,12,FALSE),ServiceAreas.csv!B:I,8,FALSE),LocalAreas.csv!B:H,7,FALSE),200029)</f>
        <v>200069</v>
      </c>
      <c r="E42" s="8" t="str">
        <f t="shared" si="1"/>
        <v>rg:{'id':'200069'}</v>
      </c>
      <c r="F42" s="9" t="s">
        <v>7055</v>
      </c>
      <c r="G42" s="9" t="str">
        <f ca="1">INDEX(DistrictEquipmentTypes.csv!F:F,RANDBETWEEN(2,COUNTA(DistrictEquipmentTypes.csv!D:D)),1)</f>
        <v>200000</v>
      </c>
      <c r="H42" s="8" t="str">
        <f t="shared" ca="1" si="2"/>
        <v>rg:{ 'id': '200000'}</v>
      </c>
      <c r="I42" s="8">
        <f t="shared" ca="1" si="3"/>
        <v>1</v>
      </c>
      <c r="J42" s="8">
        <f t="shared" ca="1" si="4"/>
        <v>59</v>
      </c>
      <c r="K42" s="8" t="str">
        <f t="shared" ca="1" si="5"/>
        <v>2017-04-08</v>
      </c>
      <c r="L42" s="8" t="str">
        <f t="shared" ca="1" si="6"/>
        <v>2017-04-15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>
        <f>IFERROR(VLOOKUP(VLOOKUP(VLOOKUP(C43,Project.csv!F:Q,12,FALSE),ServiceAreas.csv!B:I,8,FALSE),LocalAreas.csv!B:H,7,FALSE),200029)</f>
        <v>200069</v>
      </c>
      <c r="E43" s="8" t="str">
        <f t="shared" si="1"/>
        <v>rg:{'id':'200069'}</v>
      </c>
      <c r="F43" s="9" t="s">
        <v>7055</v>
      </c>
      <c r="G43" s="9" t="str">
        <f ca="1">INDEX(DistrictEquipmentTypes.csv!F:F,RANDBETWEEN(2,COUNTA(DistrictEquipmentTypes.csv!D:D)),1)</f>
        <v>200006</v>
      </c>
      <c r="H43" s="8" t="str">
        <f t="shared" ca="1" si="2"/>
        <v>rg:{ 'id': '200006'}</v>
      </c>
      <c r="I43" s="8">
        <f t="shared" ca="1" si="3"/>
        <v>1</v>
      </c>
      <c r="J43" s="8">
        <f t="shared" ca="1" si="4"/>
        <v>29</v>
      </c>
      <c r="K43" s="8" t="str">
        <f t="shared" ca="1" si="5"/>
        <v>2017-04-11</v>
      </c>
      <c r="L43" s="8" t="str">
        <f t="shared" ca="1" si="6"/>
        <v>2017-04-14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>
        <f>IFERROR(VLOOKUP(VLOOKUP(VLOOKUP(C44,Project.csv!F:Q,12,FALSE),ServiceAreas.csv!B:I,8,FALSE),LocalAreas.csv!B:H,7,FALSE),200029)</f>
        <v>200023</v>
      </c>
      <c r="E44" s="8" t="str">
        <f t="shared" si="1"/>
        <v>rg:{'id':'200023'}</v>
      </c>
      <c r="F44" s="9" t="s">
        <v>7056</v>
      </c>
      <c r="G44" s="9" t="str">
        <f ca="1">INDEX(DistrictEquipmentTypes.csv!F:F,RANDBETWEEN(2,COUNTA(DistrictEquipmentTypes.csv!D:D)),1)</f>
        <v>200005</v>
      </c>
      <c r="H44" s="8" t="str">
        <f t="shared" ca="1" si="2"/>
        <v>rg:{ 'id': '200005'}</v>
      </c>
      <c r="I44" s="8">
        <f t="shared" ca="1" si="3"/>
        <v>1</v>
      </c>
      <c r="J44" s="8">
        <f t="shared" ca="1" si="4"/>
        <v>66</v>
      </c>
      <c r="K44" s="8" t="str">
        <f t="shared" ca="1" si="5"/>
        <v>2017-05-14</v>
      </c>
      <c r="L44" s="8" t="str">
        <f t="shared" ca="1" si="6"/>
        <v>2017-05-22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>
        <f>IFERROR(VLOOKUP(VLOOKUP(VLOOKUP(C45,Project.csv!F:Q,12,FALSE),ServiceAreas.csv!B:I,8,FALSE),LocalAreas.csv!B:H,7,FALSE),200029)</f>
        <v>200023</v>
      </c>
      <c r="E45" s="8" t="str">
        <f t="shared" si="1"/>
        <v>rg:{'id':'200023'}</v>
      </c>
      <c r="F45" s="9" t="s">
        <v>7055</v>
      </c>
      <c r="G45" s="9" t="str">
        <f ca="1">INDEX(DistrictEquipmentTypes.csv!F:F,RANDBETWEEN(2,COUNTA(DistrictEquipmentTypes.csv!D:D)),1)</f>
        <v>200004</v>
      </c>
      <c r="H45" s="8" t="str">
        <f t="shared" ca="1" si="2"/>
        <v>rg:{ 'id': '200004'}</v>
      </c>
      <c r="I45" s="8">
        <f t="shared" ca="1" si="3"/>
        <v>1</v>
      </c>
      <c r="J45" s="8">
        <f t="shared" ca="1" si="4"/>
        <v>5</v>
      </c>
      <c r="K45" s="8" t="str">
        <f t="shared" ca="1" si="5"/>
        <v>2017-04-20</v>
      </c>
      <c r="L45" s="8" t="str">
        <f t="shared" ca="1" si="6"/>
        <v>2017-04-20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>
        <f>IFERROR(VLOOKUP(VLOOKUP(VLOOKUP(C46,Project.csv!F:Q,12,FALSE),ServiceAreas.csv!B:I,8,FALSE),LocalAreas.csv!B:H,7,FALSE),200029)</f>
        <v>200023</v>
      </c>
      <c r="E46" s="8" t="str">
        <f t="shared" si="1"/>
        <v>rg:{'id':'200023'}</v>
      </c>
      <c r="F46" s="9" t="s">
        <v>7055</v>
      </c>
      <c r="G46" s="9" t="str">
        <f ca="1">INDEX(DistrictEquipmentTypes.csv!F:F,RANDBETWEEN(2,COUNTA(DistrictEquipmentTypes.csv!D:D)),1)</f>
        <v>200003</v>
      </c>
      <c r="H46" s="8" t="str">
        <f t="shared" ca="1" si="2"/>
        <v>rg:{ 'id': '200003'}</v>
      </c>
      <c r="I46" s="8">
        <f t="shared" ca="1" si="3"/>
        <v>1</v>
      </c>
      <c r="J46" s="8">
        <f t="shared" ca="1" si="4"/>
        <v>18</v>
      </c>
      <c r="K46" s="8" t="str">
        <f t="shared" ca="1" si="5"/>
        <v>2017-04-30</v>
      </c>
      <c r="L46" s="8" t="str">
        <f t="shared" ca="1" si="6"/>
        <v>2017-05-02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>
        <f>IFERROR(VLOOKUP(VLOOKUP(VLOOKUP(C47,Project.csv!F:Q,12,FALSE),ServiceAreas.csv!B:I,8,FALSE),LocalAreas.csv!B:H,7,FALSE),200029)</f>
        <v>200023</v>
      </c>
      <c r="E47" s="8" t="str">
        <f t="shared" si="1"/>
        <v>rg:{'id':'200023'}</v>
      </c>
      <c r="F47" s="9" t="s">
        <v>7055</v>
      </c>
      <c r="G47" s="9" t="str">
        <f ca="1">INDEX(DistrictEquipmentTypes.csv!F:F,RANDBETWEEN(2,COUNTA(DistrictEquipmentTypes.csv!D:D)),1)</f>
        <v>200007</v>
      </c>
      <c r="H47" s="8" t="str">
        <f t="shared" ca="1" si="2"/>
        <v>rg:{ 'id': '200007'}</v>
      </c>
      <c r="I47" s="8">
        <f t="shared" ca="1" si="3"/>
        <v>1</v>
      </c>
      <c r="J47" s="8">
        <f t="shared" ca="1" si="4"/>
        <v>85</v>
      </c>
      <c r="K47" s="8" t="str">
        <f t="shared" ca="1" si="5"/>
        <v>2017-05-06</v>
      </c>
      <c r="L47" s="8" t="str">
        <f t="shared" ca="1" si="6"/>
        <v>2017-05-16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>
        <f>IFERROR(VLOOKUP(VLOOKUP(VLOOKUP(C48,Project.csv!F:Q,12,FALSE),ServiceAreas.csv!B:I,8,FALSE),LocalAreas.csv!B:H,7,FALSE),200029)</f>
        <v>200023</v>
      </c>
      <c r="E48" s="8" t="str">
        <f t="shared" si="1"/>
        <v>rg:{'id':'200023'}</v>
      </c>
      <c r="F48" s="9" t="s">
        <v>7055</v>
      </c>
      <c r="G48" s="9" t="str">
        <f ca="1">INDEX(DistrictEquipmentTypes.csv!F:F,RANDBETWEEN(2,COUNTA(DistrictEquipmentTypes.csv!D:D)),1)</f>
        <v>200004</v>
      </c>
      <c r="H48" s="8" t="str">
        <f t="shared" ca="1" si="2"/>
        <v>rg:{ 'id': '200004'}</v>
      </c>
      <c r="I48" s="8">
        <f t="shared" ca="1" si="3"/>
        <v>1</v>
      </c>
      <c r="J48" s="8">
        <f t="shared" ca="1" si="4"/>
        <v>45</v>
      </c>
      <c r="K48" s="8" t="str">
        <f t="shared" ca="1" si="5"/>
        <v>2017-05-15</v>
      </c>
      <c r="L48" s="8" t="str">
        <f t="shared" ca="1" si="6"/>
        <v>2017-05-20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>
        <f>IFERROR(VLOOKUP(VLOOKUP(VLOOKUP(C49,Project.csv!F:Q,12,FALSE),ServiceAreas.csv!B:I,8,FALSE),LocalAreas.csv!B:H,7,FALSE),200029)</f>
        <v>200023</v>
      </c>
      <c r="E49" s="8" t="str">
        <f t="shared" si="1"/>
        <v>rg:{'id':'200023'}</v>
      </c>
      <c r="F49" s="9" t="s">
        <v>7055</v>
      </c>
      <c r="G49" s="9" t="str">
        <f ca="1">INDEX(DistrictEquipmentTypes.csv!F:F,RANDBETWEEN(2,COUNTA(DistrictEquipmentTypes.csv!D:D)),1)</f>
        <v>200004</v>
      </c>
      <c r="H49" s="8" t="str">
        <f t="shared" ca="1" si="2"/>
        <v>rg:{ 'id': '200004'}</v>
      </c>
      <c r="I49" s="8">
        <f t="shared" ca="1" si="3"/>
        <v>1</v>
      </c>
      <c r="J49" s="8">
        <f t="shared" ca="1" si="4"/>
        <v>82</v>
      </c>
      <c r="K49" s="8" t="str">
        <f t="shared" ca="1" si="5"/>
        <v>2017-04-11</v>
      </c>
      <c r="L49" s="8" t="str">
        <f t="shared" ca="1" si="6"/>
        <v>2017-04-21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>
        <f>IFERROR(VLOOKUP(VLOOKUP(VLOOKUP(C50,Project.csv!F:Q,12,FALSE),ServiceAreas.csv!B:I,8,FALSE),LocalAreas.csv!B:H,7,FALSE),200029)</f>
        <v>200023</v>
      </c>
      <c r="E50" s="8" t="str">
        <f t="shared" si="1"/>
        <v>rg:{'id':'200023'}</v>
      </c>
      <c r="F50" s="9" t="s">
        <v>7055</v>
      </c>
      <c r="G50" s="9" t="str">
        <f ca="1">INDEX(DistrictEquipmentTypes.csv!F:F,RANDBETWEEN(2,COUNTA(DistrictEquipmentTypes.csv!D:D)),1)</f>
        <v>200002</v>
      </c>
      <c r="H50" s="8" t="str">
        <f t="shared" ca="1" si="2"/>
        <v>rg:{ 'id': '200002'}</v>
      </c>
      <c r="I50" s="8">
        <f t="shared" ca="1" si="3"/>
        <v>4</v>
      </c>
      <c r="J50" s="8">
        <f t="shared" ca="1" si="4"/>
        <v>57</v>
      </c>
      <c r="K50" s="8" t="str">
        <f t="shared" ca="1" si="5"/>
        <v>2017-04-03</v>
      </c>
      <c r="L50" s="8" t="str">
        <f t="shared" ca="1" si="6"/>
        <v>2017-05-01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>
        <f>IFERROR(VLOOKUP(VLOOKUP(VLOOKUP(C51,Project.csv!F:Q,12,FALSE),ServiceAreas.csv!B:I,8,FALSE),LocalAreas.csv!B:H,7,FALSE),200029)</f>
        <v>200016</v>
      </c>
      <c r="E51" s="8" t="str">
        <f t="shared" si="1"/>
        <v>rg:{'id':'200016'}</v>
      </c>
      <c r="F51" s="9" t="s">
        <v>7056</v>
      </c>
      <c r="G51" s="9" t="str">
        <f ca="1">INDEX(DistrictEquipmentTypes.csv!F:F,RANDBETWEEN(2,COUNTA(DistrictEquipmentTypes.csv!D:D)),1)</f>
        <v>200001</v>
      </c>
      <c r="H51" s="8" t="str">
        <f t="shared" ca="1" si="2"/>
        <v>rg:{ 'id': '200001'}</v>
      </c>
      <c r="I51" s="8">
        <f t="shared" ca="1" si="3"/>
        <v>1</v>
      </c>
      <c r="J51" s="8">
        <f t="shared" ca="1" si="4"/>
        <v>52</v>
      </c>
      <c r="K51" s="8" t="str">
        <f t="shared" ca="1" si="5"/>
        <v>2017-04-17</v>
      </c>
      <c r="L51" s="8" t="str">
        <f t="shared" ca="1" si="6"/>
        <v>2017-04-23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>
        <f>IFERROR(VLOOKUP(VLOOKUP(VLOOKUP(C52,Project.csv!F:Q,12,FALSE),ServiceAreas.csv!B:I,8,FALSE),LocalAreas.csv!B:H,7,FALSE),200029)</f>
        <v>200016</v>
      </c>
      <c r="E52" s="8" t="str">
        <f t="shared" si="1"/>
        <v>rg:{'id':'200016'}</v>
      </c>
      <c r="F52" s="9" t="s">
        <v>7055</v>
      </c>
      <c r="G52" s="9" t="str">
        <f ca="1">INDEX(DistrictEquipmentTypes.csv!F:F,RANDBETWEEN(2,COUNTA(DistrictEquipmentTypes.csv!D:D)),1)</f>
        <v>200000</v>
      </c>
      <c r="H52" s="8" t="str">
        <f t="shared" ca="1" si="2"/>
        <v>rg:{ 'id': '200000'}</v>
      </c>
      <c r="I52" s="8">
        <f t="shared" ca="1" si="3"/>
        <v>1</v>
      </c>
      <c r="J52" s="8">
        <f t="shared" ca="1" si="4"/>
        <v>92</v>
      </c>
      <c r="K52" s="8" t="str">
        <f t="shared" ca="1" si="5"/>
        <v>2017-05-15</v>
      </c>
      <c r="L52" s="8" t="str">
        <f t="shared" ca="1" si="6"/>
        <v>2017-05-26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>
        <f>IFERROR(VLOOKUP(VLOOKUP(VLOOKUP(C53,Project.csv!F:Q,12,FALSE),ServiceAreas.csv!B:I,8,FALSE),LocalAreas.csv!B:H,7,FALSE),200029)</f>
        <v>200016</v>
      </c>
      <c r="E53" s="8" t="str">
        <f t="shared" si="1"/>
        <v>rg:{'id':'200016'}</v>
      </c>
      <c r="F53" s="9" t="s">
        <v>7055</v>
      </c>
      <c r="G53" s="9" t="str">
        <f ca="1">INDEX(DistrictEquipmentTypes.csv!F:F,RANDBETWEEN(2,COUNTA(DistrictEquipmentTypes.csv!D:D)),1)</f>
        <v>200006</v>
      </c>
      <c r="H53" s="8" t="str">
        <f t="shared" ca="1" si="2"/>
        <v>rg:{ 'id': '200006'}</v>
      </c>
      <c r="I53" s="8">
        <f t="shared" ca="1" si="3"/>
        <v>1</v>
      </c>
      <c r="J53" s="8">
        <f t="shared" ca="1" si="4"/>
        <v>58</v>
      </c>
      <c r="K53" s="8" t="str">
        <f t="shared" ca="1" si="5"/>
        <v>2017-04-25</v>
      </c>
      <c r="L53" s="8" t="str">
        <f t="shared" ca="1" si="6"/>
        <v>2017-05-02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>
        <f>IFERROR(VLOOKUP(VLOOKUP(VLOOKUP(C54,Project.csv!F:Q,12,FALSE),ServiceAreas.csv!B:I,8,FALSE),LocalAreas.csv!B:H,7,FALSE),200029)</f>
        <v>200016</v>
      </c>
      <c r="E54" s="8" t="str">
        <f t="shared" si="1"/>
        <v>rg:{'id':'200016'}</v>
      </c>
      <c r="F54" s="9" t="s">
        <v>7055</v>
      </c>
      <c r="G54" s="9" t="str">
        <f ca="1">INDEX(DistrictEquipmentTypes.csv!F:F,RANDBETWEEN(2,COUNTA(DistrictEquipmentTypes.csv!D:D)),1)</f>
        <v>200001</v>
      </c>
      <c r="H54" s="8" t="str">
        <f t="shared" ca="1" si="2"/>
        <v>rg:{ 'id': '200001'}</v>
      </c>
      <c r="I54" s="8">
        <f t="shared" ca="1" si="3"/>
        <v>1</v>
      </c>
      <c r="J54" s="8">
        <f t="shared" ca="1" si="4"/>
        <v>37</v>
      </c>
      <c r="K54" s="8" t="str">
        <f t="shared" ca="1" si="5"/>
        <v>2017-04-29</v>
      </c>
      <c r="L54" s="8" t="str">
        <f t="shared" ca="1" si="6"/>
        <v>2017-05-03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>
        <f>IFERROR(VLOOKUP(VLOOKUP(VLOOKUP(C55,Project.csv!F:Q,12,FALSE),ServiceAreas.csv!B:I,8,FALSE),LocalAreas.csv!B:H,7,FALSE),200029)</f>
        <v>200016</v>
      </c>
      <c r="E55" s="8" t="str">
        <f t="shared" si="1"/>
        <v>rg:{'id':'200016'}</v>
      </c>
      <c r="F55" s="9" t="s">
        <v>7055</v>
      </c>
      <c r="G55" s="9" t="str">
        <f ca="1">INDEX(DistrictEquipmentTypes.csv!F:F,RANDBETWEEN(2,COUNTA(DistrictEquipmentTypes.csv!D:D)),1)</f>
        <v>200003</v>
      </c>
      <c r="H55" s="8" t="str">
        <f t="shared" ca="1" si="2"/>
        <v>rg:{ 'id': '200003'}</v>
      </c>
      <c r="I55" s="8">
        <f t="shared" ca="1" si="3"/>
        <v>1</v>
      </c>
      <c r="J55" s="8">
        <f t="shared" ca="1" si="4"/>
        <v>77</v>
      </c>
      <c r="K55" s="8" t="str">
        <f t="shared" ca="1" si="5"/>
        <v>2017-04-08</v>
      </c>
      <c r="L55" s="8" t="str">
        <f t="shared" ca="1" si="6"/>
        <v>2017-04-17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>
        <f>IFERROR(VLOOKUP(VLOOKUP(VLOOKUP(C56,Project.csv!F:Q,12,FALSE),ServiceAreas.csv!B:I,8,FALSE),LocalAreas.csv!B:H,7,FALSE),200029)</f>
        <v>200016</v>
      </c>
      <c r="E56" s="8" t="str">
        <f t="shared" si="1"/>
        <v>rg:{'id':'200016'}</v>
      </c>
      <c r="F56" s="9" t="s">
        <v>7057</v>
      </c>
      <c r="G56" s="9" t="str">
        <f ca="1">INDEX(DistrictEquipmentTypes.csv!F:F,RANDBETWEEN(2,COUNTA(DistrictEquipmentTypes.csv!D:D)),1)</f>
        <v>200006</v>
      </c>
      <c r="H56" s="8" t="str">
        <f t="shared" ca="1" si="2"/>
        <v>rg:{ 'id': '200006'}</v>
      </c>
      <c r="I56" s="8">
        <f t="shared" ca="1" si="3"/>
        <v>1</v>
      </c>
      <c r="J56" s="8">
        <f t="shared" ca="1" si="4"/>
        <v>11</v>
      </c>
      <c r="K56" s="8" t="str">
        <f t="shared" ca="1" si="5"/>
        <v>2017-05-16</v>
      </c>
      <c r="L56" s="8" t="str">
        <f t="shared" ca="1" si="6"/>
        <v>2017-05-17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>
        <f>IFERROR(VLOOKUP(VLOOKUP(VLOOKUP(C57,Project.csv!F:Q,12,FALSE),ServiceAreas.csv!B:I,8,FALSE),LocalAreas.csv!B:H,7,FALSE),200029)</f>
        <v>200016</v>
      </c>
      <c r="E57" s="8" t="str">
        <f t="shared" si="1"/>
        <v>rg:{'id':'200016'}</v>
      </c>
      <c r="F57" s="9" t="s">
        <v>7057</v>
      </c>
      <c r="G57" s="9" t="str">
        <f ca="1">INDEX(DistrictEquipmentTypes.csv!F:F,RANDBETWEEN(2,COUNTA(DistrictEquipmentTypes.csv!D:D)),1)</f>
        <v>200002</v>
      </c>
      <c r="H57" s="8" t="str">
        <f t="shared" ca="1" si="2"/>
        <v>rg:{ 'id': '200002'}</v>
      </c>
      <c r="I57" s="8">
        <f t="shared" ca="1" si="3"/>
        <v>1</v>
      </c>
      <c r="J57" s="8">
        <f t="shared" ca="1" si="4"/>
        <v>73</v>
      </c>
      <c r="K57" s="8" t="str">
        <f t="shared" ca="1" si="5"/>
        <v>2017-04-02</v>
      </c>
      <c r="L57" s="8" t="str">
        <f t="shared" ca="1" si="6"/>
        <v>2017-04-11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>
        <f>IFERROR(VLOOKUP(VLOOKUP(VLOOKUP(C58,Project.csv!F:Q,12,FALSE),ServiceAreas.csv!B:I,8,FALSE),LocalAreas.csv!B:H,7,FALSE),200029)</f>
        <v>200074</v>
      </c>
      <c r="E58" s="8" t="str">
        <f t="shared" si="1"/>
        <v>rg:{'id':'200074'}</v>
      </c>
      <c r="F58" s="9" t="s">
        <v>7055</v>
      </c>
      <c r="G58" s="9" t="str">
        <f ca="1">INDEX(DistrictEquipmentTypes.csv!F:F,RANDBETWEEN(2,COUNTA(DistrictEquipmentTypes.csv!D:D)),1)</f>
        <v>200005</v>
      </c>
      <c r="H58" s="8" t="str">
        <f t="shared" ca="1" si="2"/>
        <v>rg:{ 'id': '200005'}</v>
      </c>
      <c r="I58" s="8">
        <f t="shared" ca="1" si="3"/>
        <v>1</v>
      </c>
      <c r="J58" s="8">
        <f t="shared" ca="1" si="4"/>
        <v>54</v>
      </c>
      <c r="K58" s="8" t="str">
        <f t="shared" ca="1" si="5"/>
        <v>2017-03-29</v>
      </c>
      <c r="L58" s="8" t="str">
        <f t="shared" ca="1" si="6"/>
        <v>2017-04-04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>
        <f>IFERROR(VLOOKUP(VLOOKUP(VLOOKUP(C59,Project.csv!F:Q,12,FALSE),ServiceAreas.csv!B:I,8,FALSE),LocalAreas.csv!B:H,7,FALSE),200029)</f>
        <v>200074</v>
      </c>
      <c r="E59" s="8" t="str">
        <f t="shared" si="1"/>
        <v>rg:{'id':'200074'}</v>
      </c>
      <c r="F59" s="9" t="s">
        <v>7055</v>
      </c>
      <c r="G59" s="9" t="str">
        <f ca="1">INDEX(DistrictEquipmentTypes.csv!F:F,RANDBETWEEN(2,COUNTA(DistrictEquipmentTypes.csv!D:D)),1)</f>
        <v>200009</v>
      </c>
      <c r="H59" s="8" t="str">
        <f t="shared" ca="1" si="2"/>
        <v>rg:{ 'id': '200009'}</v>
      </c>
      <c r="I59" s="8">
        <f t="shared" ca="1" si="3"/>
        <v>1</v>
      </c>
      <c r="J59" s="8">
        <f t="shared" ca="1" si="4"/>
        <v>98</v>
      </c>
      <c r="K59" s="8" t="str">
        <f t="shared" ca="1" si="5"/>
        <v>2017-03-29</v>
      </c>
      <c r="L59" s="8" t="str">
        <f t="shared" ca="1" si="6"/>
        <v>2017-04-10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>
        <f>IFERROR(VLOOKUP(VLOOKUP(VLOOKUP(C60,Project.csv!F:Q,12,FALSE),ServiceAreas.csv!B:I,8,FALSE),LocalAreas.csv!B:H,7,FALSE),200029)</f>
        <v>200074</v>
      </c>
      <c r="E60" s="8" t="str">
        <f t="shared" si="1"/>
        <v>rg:{'id':'200074'}</v>
      </c>
      <c r="F60" s="9" t="s">
        <v>7055</v>
      </c>
      <c r="G60" s="9" t="str">
        <f ca="1">INDEX(DistrictEquipmentTypes.csv!F:F,RANDBETWEEN(2,COUNTA(DistrictEquipmentTypes.csv!D:D)),1)</f>
        <v>200003</v>
      </c>
      <c r="H60" s="8" t="str">
        <f t="shared" ca="1" si="2"/>
        <v>rg:{ 'id': '200003'}</v>
      </c>
      <c r="I60" s="8">
        <f t="shared" ca="1" si="3"/>
        <v>1</v>
      </c>
      <c r="J60" s="8">
        <f t="shared" ca="1" si="4"/>
        <v>81</v>
      </c>
      <c r="K60" s="8" t="str">
        <f t="shared" ca="1" si="5"/>
        <v>2017-04-19</v>
      </c>
      <c r="L60" s="8" t="str">
        <f t="shared" ca="1" si="6"/>
        <v>2017-04-29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>
        <f>IFERROR(VLOOKUP(VLOOKUP(VLOOKUP(C61,Project.csv!F:Q,12,FALSE),ServiceAreas.csv!B:I,8,FALSE),LocalAreas.csv!B:H,7,FALSE),200029)</f>
        <v>200074</v>
      </c>
      <c r="E61" s="8" t="str">
        <f t="shared" si="1"/>
        <v>rg:{'id':'200074'}</v>
      </c>
      <c r="F61" s="9" t="s">
        <v>7057</v>
      </c>
      <c r="G61" s="9" t="str">
        <f ca="1">INDEX(DistrictEquipmentTypes.csv!F:F,RANDBETWEEN(2,COUNTA(DistrictEquipmentTypes.csv!D:D)),1)</f>
        <v>200000</v>
      </c>
      <c r="H61" s="8" t="str">
        <f t="shared" ca="1" si="2"/>
        <v>rg:{ 'id': '200000'}</v>
      </c>
      <c r="I61" s="8">
        <f t="shared" ca="1" si="3"/>
        <v>1</v>
      </c>
      <c r="J61" s="8">
        <f t="shared" ca="1" si="4"/>
        <v>17</v>
      </c>
      <c r="K61" s="8" t="str">
        <f t="shared" ca="1" si="5"/>
        <v>2017-04-17</v>
      </c>
      <c r="L61" s="8" t="str">
        <f t="shared" ca="1" si="6"/>
        <v>2017-04-19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>
        <f>IFERROR(VLOOKUP(VLOOKUP(VLOOKUP(C62,Project.csv!F:Q,12,FALSE),ServiceAreas.csv!B:I,8,FALSE),LocalAreas.csv!B:H,7,FALSE),200029)</f>
        <v>200074</v>
      </c>
      <c r="E62" s="8" t="str">
        <f t="shared" si="1"/>
        <v>rg:{'id':'200074'}</v>
      </c>
      <c r="F62" s="9" t="s">
        <v>7055</v>
      </c>
      <c r="G62" s="9" t="str">
        <f ca="1">INDEX(DistrictEquipmentTypes.csv!F:F,RANDBETWEEN(2,COUNTA(DistrictEquipmentTypes.csv!D:D)),1)</f>
        <v>200003</v>
      </c>
      <c r="H62" s="8" t="str">
        <f t="shared" ca="1" si="2"/>
        <v>rg:{ 'id': '200003'}</v>
      </c>
      <c r="I62" s="8">
        <f t="shared" ca="1" si="3"/>
        <v>1</v>
      </c>
      <c r="J62" s="8">
        <f t="shared" ca="1" si="4"/>
        <v>8</v>
      </c>
      <c r="K62" s="8" t="str">
        <f t="shared" ca="1" si="5"/>
        <v>2017-05-13</v>
      </c>
      <c r="L62" s="8" t="str">
        <f t="shared" ca="1" si="6"/>
        <v>2017-05-14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>
        <f>IFERROR(VLOOKUP(VLOOKUP(VLOOKUP(C63,Project.csv!F:Q,12,FALSE),ServiceAreas.csv!B:I,8,FALSE),LocalAreas.csv!B:H,7,FALSE),200029)</f>
        <v>200074</v>
      </c>
      <c r="E63" s="8" t="str">
        <f t="shared" si="1"/>
        <v>rg:{'id':'200074'}</v>
      </c>
      <c r="F63" s="9" t="s">
        <v>7055</v>
      </c>
      <c r="G63" s="9" t="str">
        <f ca="1">INDEX(DistrictEquipmentTypes.csv!F:F,RANDBETWEEN(2,COUNTA(DistrictEquipmentTypes.csv!D:D)),1)</f>
        <v>200005</v>
      </c>
      <c r="H63" s="8" t="str">
        <f t="shared" ca="1" si="2"/>
        <v>rg:{ 'id': '200005'}</v>
      </c>
      <c r="I63" s="8">
        <f t="shared" ca="1" si="3"/>
        <v>1</v>
      </c>
      <c r="J63" s="8">
        <f t="shared" ca="1" si="4"/>
        <v>8</v>
      </c>
      <c r="K63" s="8" t="str">
        <f t="shared" ca="1" si="5"/>
        <v>2017-03-23</v>
      </c>
      <c r="L63" s="8" t="str">
        <f t="shared" ca="1" si="6"/>
        <v>2017-03-24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>
        <f>IFERROR(VLOOKUP(VLOOKUP(VLOOKUP(C64,Project.csv!F:Q,12,FALSE),ServiceAreas.csv!B:I,8,FALSE),LocalAreas.csv!B:H,7,FALSE),200029)</f>
        <v>200074</v>
      </c>
      <c r="E64" s="8" t="str">
        <f t="shared" si="1"/>
        <v>rg:{'id':'200074'}</v>
      </c>
      <c r="F64" s="9" t="s">
        <v>7057</v>
      </c>
      <c r="G64" s="9" t="str">
        <f ca="1">INDEX(DistrictEquipmentTypes.csv!F:F,RANDBETWEEN(2,COUNTA(DistrictEquipmentTypes.csv!D:D)),1)</f>
        <v>200000</v>
      </c>
      <c r="H64" s="8" t="str">
        <f t="shared" ca="1" si="2"/>
        <v>rg:{ 'id': '200000'}</v>
      </c>
      <c r="I64" s="8">
        <f t="shared" ca="1" si="3"/>
        <v>1</v>
      </c>
      <c r="J64" s="8">
        <f t="shared" ca="1" si="4"/>
        <v>38</v>
      </c>
      <c r="K64" s="8" t="str">
        <f t="shared" ca="1" si="5"/>
        <v>2017-05-06</v>
      </c>
      <c r="L64" s="8" t="str">
        <f t="shared" ca="1" si="6"/>
        <v>2017-05-10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>
        <f>IFERROR(VLOOKUP(VLOOKUP(VLOOKUP(C65,Project.csv!F:Q,12,FALSE),ServiceAreas.csv!B:I,8,FALSE),LocalAreas.csv!B:H,7,FALSE),200029)</f>
        <v>200034</v>
      </c>
      <c r="E65" s="8" t="str">
        <f t="shared" si="1"/>
        <v>rg:{'id':'200034'}</v>
      </c>
      <c r="F65" s="9" t="s">
        <v>7055</v>
      </c>
      <c r="G65" s="9" t="str">
        <f ca="1">INDEX(DistrictEquipmentTypes.csv!F:F,RANDBETWEEN(2,COUNTA(DistrictEquipmentTypes.csv!D:D)),1)</f>
        <v>200004</v>
      </c>
      <c r="H65" s="8" t="str">
        <f t="shared" ca="1" si="2"/>
        <v>rg:{ 'id': '200004'}</v>
      </c>
      <c r="I65" s="8">
        <f t="shared" ca="1" si="3"/>
        <v>1</v>
      </c>
      <c r="J65" s="8">
        <f t="shared" ca="1" si="4"/>
        <v>9</v>
      </c>
      <c r="K65" s="8" t="str">
        <f t="shared" ca="1" si="5"/>
        <v>2017-04-12</v>
      </c>
      <c r="L65" s="8" t="str">
        <f t="shared" ca="1" si="6"/>
        <v>2017-04-13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>
        <f>IFERROR(VLOOKUP(VLOOKUP(VLOOKUP(C66,Project.csv!F:Q,12,FALSE),ServiceAreas.csv!B:I,8,FALSE),LocalAreas.csv!B:H,7,FALSE),200029)</f>
        <v>200034</v>
      </c>
      <c r="E66" s="8" t="str">
        <f t="shared" si="1"/>
        <v>rg:{'id':'200034'}</v>
      </c>
      <c r="F66" s="9" t="s">
        <v>7055</v>
      </c>
      <c r="G66" s="9" t="str">
        <f ca="1">INDEX(DistrictEquipmentTypes.csv!F:F,RANDBETWEEN(2,COUNTA(DistrictEquipmentTypes.csv!D:D)),1)</f>
        <v>200005</v>
      </c>
      <c r="H66" s="8" t="str">
        <f t="shared" ca="1" si="2"/>
        <v>rg:{ 'id': '200005'}</v>
      </c>
      <c r="I66" s="8">
        <f t="shared" ca="1" si="3"/>
        <v>1</v>
      </c>
      <c r="J66" s="8">
        <f t="shared" ca="1" si="4"/>
        <v>39</v>
      </c>
      <c r="K66" s="8" t="str">
        <f t="shared" ca="1" si="5"/>
        <v>2017-04-04</v>
      </c>
      <c r="L66" s="8" t="str">
        <f t="shared" ca="1" si="6"/>
        <v>2017-04-08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>
        <f>IFERROR(VLOOKUP(VLOOKUP(VLOOKUP(C67,Project.csv!F:Q,12,FALSE),ServiceAreas.csv!B:I,8,FALSE),LocalAreas.csv!B:H,7,FALSE),200029)</f>
        <v>200034</v>
      </c>
      <c r="E67" s="8" t="str">
        <f t="shared" ref="E67:E130" si="8" xml:space="preserve"> "rg:{'id':'" &amp; D67 &amp; "'}"</f>
        <v>rg:{'id':'200034'}</v>
      </c>
      <c r="F67" s="9" t="s">
        <v>7055</v>
      </c>
      <c r="G67" s="9" t="str">
        <f ca="1">INDEX(DistrictEquipmentTypes.csv!F:F,RANDBETWEEN(2,COUNTA(DistrictEquipmentTypes.csv!D:D)),1)</f>
        <v>200001</v>
      </c>
      <c r="H67" s="8" t="str">
        <f t="shared" ref="H67:H130" ca="1" si="9">"rg:{ 'id': '"&amp;G67&amp;"'}"</f>
        <v>rg:{ 'id': '200001'}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62</v>
      </c>
      <c r="K67" s="8" t="str">
        <f t="shared" ref="K67:K130" ca="1" si="12">TEXT(TODAY()+RANDBETWEEN(1,56),"YYYY-MM-DD")</f>
        <v>2017-05-03</v>
      </c>
      <c r="L67" s="8" t="str">
        <f t="shared" ref="L67:L130" ca="1" si="13">TEXT(K67+(I67*J67)/8,"YYYY-MM-DD")</f>
        <v>2017-05-10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>
        <f>IFERROR(VLOOKUP(VLOOKUP(VLOOKUP(C68,Project.csv!F:Q,12,FALSE),ServiceAreas.csv!B:I,8,FALSE),LocalAreas.csv!B:H,7,FALSE),200029)</f>
        <v>200034</v>
      </c>
      <c r="E68" s="8" t="str">
        <f t="shared" si="8"/>
        <v>rg:{'id':'200034'}</v>
      </c>
      <c r="F68" s="9" t="s">
        <v>7055</v>
      </c>
      <c r="G68" s="9" t="str">
        <f ca="1">INDEX(DistrictEquipmentTypes.csv!F:F,RANDBETWEEN(2,COUNTA(DistrictEquipmentTypes.csv!D:D)),1)</f>
        <v>200006</v>
      </c>
      <c r="H68" s="8" t="str">
        <f t="shared" ca="1" si="9"/>
        <v>rg:{ 'id': '200006'}</v>
      </c>
      <c r="I68" s="8">
        <f t="shared" ca="1" si="10"/>
        <v>2</v>
      </c>
      <c r="J68" s="8">
        <f t="shared" ca="1" si="11"/>
        <v>48</v>
      </c>
      <c r="K68" s="8" t="str">
        <f t="shared" ca="1" si="12"/>
        <v>2017-04-23</v>
      </c>
      <c r="L68" s="8" t="str">
        <f t="shared" ca="1" si="13"/>
        <v>2017-05-05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>
        <f>IFERROR(VLOOKUP(VLOOKUP(VLOOKUP(C69,Project.csv!F:Q,12,FALSE),ServiceAreas.csv!B:I,8,FALSE),LocalAreas.csv!B:H,7,FALSE),200029)</f>
        <v>200034</v>
      </c>
      <c r="E69" s="8" t="str">
        <f t="shared" si="8"/>
        <v>rg:{'id':'200034'}</v>
      </c>
      <c r="F69" s="9" t="s">
        <v>7057</v>
      </c>
      <c r="G69" s="9" t="str">
        <f ca="1">INDEX(DistrictEquipmentTypes.csv!F:F,RANDBETWEEN(2,COUNTA(DistrictEquipmentTypes.csv!D:D)),1)</f>
        <v>200003</v>
      </c>
      <c r="H69" s="8" t="str">
        <f t="shared" ca="1" si="9"/>
        <v>rg:{ 'id': '200003'}</v>
      </c>
      <c r="I69" s="8">
        <f t="shared" ca="1" si="10"/>
        <v>1</v>
      </c>
      <c r="J69" s="8">
        <f t="shared" ca="1" si="11"/>
        <v>44</v>
      </c>
      <c r="K69" s="8" t="str">
        <f t="shared" ca="1" si="12"/>
        <v>2017-04-25</v>
      </c>
      <c r="L69" s="8" t="str">
        <f t="shared" ca="1" si="13"/>
        <v>2017-04-30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>
        <f>IFERROR(VLOOKUP(VLOOKUP(VLOOKUP(C70,Project.csv!F:Q,12,FALSE),ServiceAreas.csv!B:I,8,FALSE),LocalAreas.csv!B:H,7,FALSE),200029)</f>
        <v>200034</v>
      </c>
      <c r="E70" s="8" t="str">
        <f t="shared" si="8"/>
        <v>rg:{'id':'200034'}</v>
      </c>
      <c r="F70" s="9" t="s">
        <v>7055</v>
      </c>
      <c r="G70" s="9" t="str">
        <f ca="1">INDEX(DistrictEquipmentTypes.csv!F:F,RANDBETWEEN(2,COUNTA(DistrictEquipmentTypes.csv!D:D)),1)</f>
        <v>200001</v>
      </c>
      <c r="H70" s="8" t="str">
        <f t="shared" ca="1" si="9"/>
        <v>rg:{ 'id': '200001'}</v>
      </c>
      <c r="I70" s="8">
        <f t="shared" ca="1" si="10"/>
        <v>1</v>
      </c>
      <c r="J70" s="8">
        <f t="shared" ca="1" si="11"/>
        <v>81</v>
      </c>
      <c r="K70" s="8" t="str">
        <f t="shared" ca="1" si="12"/>
        <v>2017-04-06</v>
      </c>
      <c r="L70" s="8" t="str">
        <f t="shared" ca="1" si="13"/>
        <v>2017-04-16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>
        <f>IFERROR(VLOOKUP(VLOOKUP(VLOOKUP(C71,Project.csv!F:Q,12,FALSE),ServiceAreas.csv!B:I,8,FALSE),LocalAreas.csv!B:H,7,FALSE),200029)</f>
        <v>200034</v>
      </c>
      <c r="E71" s="8" t="str">
        <f t="shared" si="8"/>
        <v>rg:{'id':'200034'}</v>
      </c>
      <c r="F71" s="9" t="s">
        <v>7055</v>
      </c>
      <c r="G71" s="9" t="str">
        <f ca="1">INDEX(DistrictEquipmentTypes.csv!F:F,RANDBETWEEN(2,COUNTA(DistrictEquipmentTypes.csv!D:D)),1)</f>
        <v>200009</v>
      </c>
      <c r="H71" s="8" t="str">
        <f t="shared" ca="1" si="9"/>
        <v>rg:{ 'id': '200009'}</v>
      </c>
      <c r="I71" s="8">
        <f t="shared" ca="1" si="10"/>
        <v>1</v>
      </c>
      <c r="J71" s="8">
        <f t="shared" ca="1" si="11"/>
        <v>81</v>
      </c>
      <c r="K71" s="8" t="str">
        <f t="shared" ca="1" si="12"/>
        <v>2017-05-12</v>
      </c>
      <c r="L71" s="8" t="str">
        <f t="shared" ca="1" si="13"/>
        <v>2017-05-22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>
        <f>IFERROR(VLOOKUP(VLOOKUP(VLOOKUP(C72,Project.csv!F:Q,12,FALSE),ServiceAreas.csv!B:I,8,FALSE),LocalAreas.csv!B:H,7,FALSE),200029)</f>
        <v>200027</v>
      </c>
      <c r="E72" s="8" t="str">
        <f t="shared" si="8"/>
        <v>rg:{'id':'200027'}</v>
      </c>
      <c r="F72" s="9" t="s">
        <v>7055</v>
      </c>
      <c r="G72" s="9" t="str">
        <f ca="1">INDEX(DistrictEquipmentTypes.csv!F:F,RANDBETWEEN(2,COUNTA(DistrictEquipmentTypes.csv!D:D)),1)</f>
        <v>200005</v>
      </c>
      <c r="H72" s="8" t="str">
        <f t="shared" ca="1" si="9"/>
        <v>rg:{ 'id': '200005'}</v>
      </c>
      <c r="I72" s="8">
        <f t="shared" ca="1" si="10"/>
        <v>1</v>
      </c>
      <c r="J72" s="8">
        <f t="shared" ca="1" si="11"/>
        <v>67</v>
      </c>
      <c r="K72" s="8" t="str">
        <f t="shared" ca="1" si="12"/>
        <v>2017-04-06</v>
      </c>
      <c r="L72" s="8" t="str">
        <f t="shared" ca="1" si="13"/>
        <v>2017-04-14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>
        <f>IFERROR(VLOOKUP(VLOOKUP(VLOOKUP(C73,Project.csv!F:Q,12,FALSE),ServiceAreas.csv!B:I,8,FALSE),LocalAreas.csv!B:H,7,FALSE),200029)</f>
        <v>200027</v>
      </c>
      <c r="E73" s="8" t="str">
        <f t="shared" si="8"/>
        <v>rg:{'id':'200027'}</v>
      </c>
      <c r="F73" s="9" t="s">
        <v>7057</v>
      </c>
      <c r="G73" s="9" t="str">
        <f ca="1">INDEX(DistrictEquipmentTypes.csv!F:F,RANDBETWEEN(2,COUNTA(DistrictEquipmentTypes.csv!D:D)),1)</f>
        <v>200005</v>
      </c>
      <c r="H73" s="8" t="str">
        <f t="shared" ca="1" si="9"/>
        <v>rg:{ 'id': '200005'}</v>
      </c>
      <c r="I73" s="8">
        <f t="shared" ca="1" si="10"/>
        <v>1</v>
      </c>
      <c r="J73" s="8">
        <f t="shared" ca="1" si="11"/>
        <v>64</v>
      </c>
      <c r="K73" s="8" t="str">
        <f t="shared" ca="1" si="12"/>
        <v>2017-04-26</v>
      </c>
      <c r="L73" s="8" t="str">
        <f t="shared" ca="1" si="13"/>
        <v>2017-05-04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>
        <f>IFERROR(VLOOKUP(VLOOKUP(VLOOKUP(C74,Project.csv!F:Q,12,FALSE),ServiceAreas.csv!B:I,8,FALSE),LocalAreas.csv!B:H,7,FALSE),200029)</f>
        <v>200027</v>
      </c>
      <c r="E74" s="8" t="str">
        <f t="shared" si="8"/>
        <v>rg:{'id':'200027'}</v>
      </c>
      <c r="F74" s="9" t="s">
        <v>7055</v>
      </c>
      <c r="G74" s="9" t="str">
        <f ca="1">INDEX(DistrictEquipmentTypes.csv!F:F,RANDBETWEEN(2,COUNTA(DistrictEquipmentTypes.csv!D:D)),1)</f>
        <v>200006</v>
      </c>
      <c r="H74" s="8" t="str">
        <f t="shared" ca="1" si="9"/>
        <v>rg:{ 'id': '200006'}</v>
      </c>
      <c r="I74" s="8">
        <f t="shared" ca="1" si="10"/>
        <v>1</v>
      </c>
      <c r="J74" s="8">
        <f t="shared" ca="1" si="11"/>
        <v>97</v>
      </c>
      <c r="K74" s="8" t="str">
        <f t="shared" ca="1" si="12"/>
        <v>2017-05-12</v>
      </c>
      <c r="L74" s="8" t="str">
        <f t="shared" ca="1" si="13"/>
        <v>2017-05-24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>
        <f>IFERROR(VLOOKUP(VLOOKUP(VLOOKUP(C75,Project.csv!F:Q,12,FALSE),ServiceAreas.csv!B:I,8,FALSE),LocalAreas.csv!B:H,7,FALSE),200029)</f>
        <v>200027</v>
      </c>
      <c r="E75" s="8" t="str">
        <f t="shared" si="8"/>
        <v>rg:{'id':'200027'}</v>
      </c>
      <c r="F75" s="9" t="s">
        <v>7055</v>
      </c>
      <c r="G75" s="9" t="str">
        <f ca="1">INDEX(DistrictEquipmentTypes.csv!F:F,RANDBETWEEN(2,COUNTA(DistrictEquipmentTypes.csv!D:D)),1)</f>
        <v>200001</v>
      </c>
      <c r="H75" s="8" t="str">
        <f t="shared" ca="1" si="9"/>
        <v>rg:{ 'id': '200001'}</v>
      </c>
      <c r="I75" s="8">
        <f t="shared" ca="1" si="10"/>
        <v>1</v>
      </c>
      <c r="J75" s="8">
        <f t="shared" ca="1" si="11"/>
        <v>30</v>
      </c>
      <c r="K75" s="8" t="str">
        <f t="shared" ca="1" si="12"/>
        <v>2017-04-20</v>
      </c>
      <c r="L75" s="8" t="str">
        <f t="shared" ca="1" si="13"/>
        <v>2017-04-23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>
        <f>IFERROR(VLOOKUP(VLOOKUP(VLOOKUP(C76,Project.csv!F:Q,12,FALSE),ServiceAreas.csv!B:I,8,FALSE),LocalAreas.csv!B:H,7,FALSE),200029)</f>
        <v>200027</v>
      </c>
      <c r="E76" s="8" t="str">
        <f t="shared" si="8"/>
        <v>rg:{'id':'200027'}</v>
      </c>
      <c r="F76" s="9" t="s">
        <v>7055</v>
      </c>
      <c r="G76" s="9" t="str">
        <f ca="1">INDEX(DistrictEquipmentTypes.csv!F:F,RANDBETWEEN(2,COUNTA(DistrictEquipmentTypes.csv!D:D)),1)</f>
        <v>200003</v>
      </c>
      <c r="H76" s="8" t="str">
        <f t="shared" ca="1" si="9"/>
        <v>rg:{ 'id': '200003'}</v>
      </c>
      <c r="I76" s="8">
        <f t="shared" ca="1" si="10"/>
        <v>1</v>
      </c>
      <c r="J76" s="8">
        <f t="shared" ca="1" si="11"/>
        <v>11</v>
      </c>
      <c r="K76" s="8" t="str">
        <f t="shared" ca="1" si="12"/>
        <v>2017-05-03</v>
      </c>
      <c r="L76" s="8" t="str">
        <f t="shared" ca="1" si="13"/>
        <v>2017-05-04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>
        <f>IFERROR(VLOOKUP(VLOOKUP(VLOOKUP(C77,Project.csv!F:Q,12,FALSE),ServiceAreas.csv!B:I,8,FALSE),LocalAreas.csv!B:H,7,FALSE),200029)</f>
        <v>200027</v>
      </c>
      <c r="E77" s="8" t="str">
        <f t="shared" si="8"/>
        <v>rg:{'id':'200027'}</v>
      </c>
      <c r="F77" s="9" t="s">
        <v>7055</v>
      </c>
      <c r="G77" s="9" t="str">
        <f ca="1">INDEX(DistrictEquipmentTypes.csv!F:F,RANDBETWEEN(2,COUNTA(DistrictEquipmentTypes.csv!D:D)),1)</f>
        <v>200009</v>
      </c>
      <c r="H77" s="8" t="str">
        <f t="shared" ca="1" si="9"/>
        <v>rg:{ 'id': '200009'}</v>
      </c>
      <c r="I77" s="8">
        <f t="shared" ca="1" si="10"/>
        <v>1</v>
      </c>
      <c r="J77" s="8">
        <f t="shared" ca="1" si="11"/>
        <v>55</v>
      </c>
      <c r="K77" s="8" t="str">
        <f t="shared" ca="1" si="12"/>
        <v>2017-04-17</v>
      </c>
      <c r="L77" s="8" t="str">
        <f t="shared" ca="1" si="13"/>
        <v>2017-04-23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>
        <f>IFERROR(VLOOKUP(VLOOKUP(VLOOKUP(C78,Project.csv!F:Q,12,FALSE),ServiceAreas.csv!B:I,8,FALSE),LocalAreas.csv!B:H,7,FALSE),200029)</f>
        <v>200027</v>
      </c>
      <c r="E78" s="8" t="str">
        <f t="shared" si="8"/>
        <v>rg:{'id':'200027'}</v>
      </c>
      <c r="F78" s="9" t="s">
        <v>7055</v>
      </c>
      <c r="G78" s="9" t="str">
        <f ca="1">INDEX(DistrictEquipmentTypes.csv!F:F,RANDBETWEEN(2,COUNTA(DistrictEquipmentTypes.csv!D:D)),1)</f>
        <v>200009</v>
      </c>
      <c r="H78" s="8" t="str">
        <f t="shared" ca="1" si="9"/>
        <v>rg:{ 'id': '200009'}</v>
      </c>
      <c r="I78" s="8">
        <f t="shared" ca="1" si="10"/>
        <v>1</v>
      </c>
      <c r="J78" s="8">
        <f t="shared" ca="1" si="11"/>
        <v>7</v>
      </c>
      <c r="K78" s="8" t="str">
        <f t="shared" ca="1" si="12"/>
        <v>2017-05-14</v>
      </c>
      <c r="L78" s="8" t="str">
        <f t="shared" ca="1" si="13"/>
        <v>2017-05-14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>
        <f>IFERROR(VLOOKUP(VLOOKUP(VLOOKUP(C79,Project.csv!F:Q,12,FALSE),ServiceAreas.csv!B:I,8,FALSE),LocalAreas.csv!B:H,7,FALSE),200029)</f>
        <v>200027</v>
      </c>
      <c r="E79" s="8" t="str">
        <f t="shared" si="8"/>
        <v>rg:{'id':'200027'}</v>
      </c>
      <c r="F79" s="9" t="s">
        <v>7057</v>
      </c>
      <c r="G79" s="9" t="str">
        <f ca="1">INDEX(DistrictEquipmentTypes.csv!F:F,RANDBETWEEN(2,COUNTA(DistrictEquipmentTypes.csv!D:D)),1)</f>
        <v>200002</v>
      </c>
      <c r="H79" s="8" t="str">
        <f t="shared" ca="1" si="9"/>
        <v>rg:{ 'id': '200002'}</v>
      </c>
      <c r="I79" s="8">
        <f t="shared" ca="1" si="10"/>
        <v>1</v>
      </c>
      <c r="J79" s="8">
        <f t="shared" ca="1" si="11"/>
        <v>99</v>
      </c>
      <c r="K79" s="8" t="str">
        <f t="shared" ca="1" si="12"/>
        <v>2017-05-15</v>
      </c>
      <c r="L79" s="8" t="str">
        <f t="shared" ca="1" si="13"/>
        <v>2017-05-27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>
        <f>IFERROR(VLOOKUP(VLOOKUP(VLOOKUP(C80,Project.csv!F:Q,12,FALSE),ServiceAreas.csv!B:I,8,FALSE),LocalAreas.csv!B:H,7,FALSE),200029)</f>
        <v>200027</v>
      </c>
      <c r="E80" s="8" t="str">
        <f t="shared" si="8"/>
        <v>rg:{'id':'200027'}</v>
      </c>
      <c r="F80" s="9" t="s">
        <v>7055</v>
      </c>
      <c r="G80" s="9" t="str">
        <f ca="1">INDEX(DistrictEquipmentTypes.csv!F:F,RANDBETWEEN(2,COUNTA(DistrictEquipmentTypes.csv!D:D)),1)</f>
        <v>200006</v>
      </c>
      <c r="H80" s="8" t="str">
        <f t="shared" ca="1" si="9"/>
        <v>rg:{ 'id': '200006'}</v>
      </c>
      <c r="I80" s="8">
        <f t="shared" ca="1" si="10"/>
        <v>1</v>
      </c>
      <c r="J80" s="8">
        <f t="shared" ca="1" si="11"/>
        <v>17</v>
      </c>
      <c r="K80" s="8" t="str">
        <f t="shared" ca="1" si="12"/>
        <v>2017-04-18</v>
      </c>
      <c r="L80" s="8" t="str">
        <f t="shared" ca="1" si="13"/>
        <v>2017-04-20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>
        <f>IFERROR(VLOOKUP(VLOOKUP(VLOOKUP(C81,Project.csv!F:Q,12,FALSE),ServiceAreas.csv!B:I,8,FALSE),LocalAreas.csv!B:H,7,FALSE),200029)</f>
        <v>200027</v>
      </c>
      <c r="E81" s="8" t="str">
        <f t="shared" si="8"/>
        <v>rg:{'id':'200027'}</v>
      </c>
      <c r="F81" s="9" t="s">
        <v>7055</v>
      </c>
      <c r="G81" s="9" t="str">
        <f ca="1">INDEX(DistrictEquipmentTypes.csv!F:F,RANDBETWEEN(2,COUNTA(DistrictEquipmentTypes.csv!D:D)),1)</f>
        <v>200001</v>
      </c>
      <c r="H81" s="8" t="str">
        <f t="shared" ca="1" si="9"/>
        <v>rg:{ 'id': '200001'}</v>
      </c>
      <c r="I81" s="8">
        <f t="shared" ca="1" si="10"/>
        <v>1</v>
      </c>
      <c r="J81" s="8">
        <f t="shared" ca="1" si="11"/>
        <v>85</v>
      </c>
      <c r="K81" s="8" t="str">
        <f t="shared" ca="1" si="12"/>
        <v>2017-05-06</v>
      </c>
      <c r="L81" s="8" t="str">
        <f t="shared" ca="1" si="13"/>
        <v>2017-05-16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>
        <f>IFERROR(VLOOKUP(VLOOKUP(VLOOKUP(C82,Project.csv!F:Q,12,FALSE),ServiceAreas.csv!B:I,8,FALSE),LocalAreas.csv!B:H,7,FALSE),200029)</f>
        <v>200027</v>
      </c>
      <c r="E82" s="8" t="str">
        <f t="shared" si="8"/>
        <v>rg:{'id':'200027'}</v>
      </c>
      <c r="F82" s="9" t="s">
        <v>7055</v>
      </c>
      <c r="G82" s="9" t="str">
        <f ca="1">INDEX(DistrictEquipmentTypes.csv!F:F,RANDBETWEEN(2,COUNTA(DistrictEquipmentTypes.csv!D:D)),1)</f>
        <v>200002</v>
      </c>
      <c r="H82" s="8" t="str">
        <f t="shared" ca="1" si="9"/>
        <v>rg:{ 'id': '200002'}</v>
      </c>
      <c r="I82" s="8">
        <f t="shared" ca="1" si="10"/>
        <v>1</v>
      </c>
      <c r="J82" s="8">
        <f t="shared" ca="1" si="11"/>
        <v>30</v>
      </c>
      <c r="K82" s="8" t="str">
        <f t="shared" ca="1" si="12"/>
        <v>2017-05-04</v>
      </c>
      <c r="L82" s="8" t="str">
        <f t="shared" ca="1" si="13"/>
        <v>2017-05-07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>
        <f>IFERROR(VLOOKUP(VLOOKUP(VLOOKUP(C83,Project.csv!F:Q,12,FALSE),ServiceAreas.csv!B:I,8,FALSE),LocalAreas.csv!B:H,7,FALSE),200029)</f>
        <v>200027</v>
      </c>
      <c r="E83" s="8" t="str">
        <f t="shared" si="8"/>
        <v>rg:{'id':'200027'}</v>
      </c>
      <c r="F83" s="9" t="s">
        <v>7057</v>
      </c>
      <c r="G83" s="9" t="str">
        <f ca="1">INDEX(DistrictEquipmentTypes.csv!F:F,RANDBETWEEN(2,COUNTA(DistrictEquipmentTypes.csv!D:D)),1)</f>
        <v>200000</v>
      </c>
      <c r="H83" s="8" t="str">
        <f t="shared" ca="1" si="9"/>
        <v>rg:{ 'id': '200000'}</v>
      </c>
      <c r="I83" s="8">
        <f t="shared" ca="1" si="10"/>
        <v>5</v>
      </c>
      <c r="J83" s="8">
        <f t="shared" ca="1" si="11"/>
        <v>100</v>
      </c>
      <c r="K83" s="8" t="str">
        <f t="shared" ca="1" si="12"/>
        <v>2017-04-28</v>
      </c>
      <c r="L83" s="8" t="str">
        <f t="shared" ca="1" si="13"/>
        <v>2017-06-29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>
        <f>IFERROR(VLOOKUP(VLOOKUP(VLOOKUP(C84,Project.csv!F:Q,12,FALSE),ServiceAreas.csv!B:I,8,FALSE),LocalAreas.csv!B:H,7,FALSE),200029)</f>
        <v>200027</v>
      </c>
      <c r="E84" s="8" t="str">
        <f t="shared" si="8"/>
        <v>rg:{'id':'200027'}</v>
      </c>
      <c r="F84" s="9" t="s">
        <v>7056</v>
      </c>
      <c r="G84" s="9" t="str">
        <f ca="1">INDEX(DistrictEquipmentTypes.csv!F:F,RANDBETWEEN(2,COUNTA(DistrictEquipmentTypes.csv!D:D)),1)</f>
        <v>200003</v>
      </c>
      <c r="H84" s="8" t="str">
        <f t="shared" ca="1" si="9"/>
        <v>rg:{ 'id': '200003'}</v>
      </c>
      <c r="I84" s="8">
        <f t="shared" ca="1" si="10"/>
        <v>1</v>
      </c>
      <c r="J84" s="8">
        <f t="shared" ca="1" si="11"/>
        <v>75</v>
      </c>
      <c r="K84" s="8" t="str">
        <f t="shared" ca="1" si="12"/>
        <v>2017-05-02</v>
      </c>
      <c r="L84" s="8" t="str">
        <f t="shared" ca="1" si="13"/>
        <v>2017-05-11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>
        <f>IFERROR(VLOOKUP(VLOOKUP(VLOOKUP(C85,Project.csv!F:Q,12,FALSE),ServiceAreas.csv!B:I,8,FALSE),LocalAreas.csv!B:H,7,FALSE),200029)</f>
        <v>200027</v>
      </c>
      <c r="E85" s="8" t="str">
        <f t="shared" si="8"/>
        <v>rg:{'id':'200027'}</v>
      </c>
      <c r="F85" s="9" t="s">
        <v>7056</v>
      </c>
      <c r="G85" s="9" t="str">
        <f ca="1">INDEX(DistrictEquipmentTypes.csv!F:F,RANDBETWEEN(2,COUNTA(DistrictEquipmentTypes.csv!D:D)),1)</f>
        <v>200000</v>
      </c>
      <c r="H85" s="8" t="str">
        <f t="shared" ca="1" si="9"/>
        <v>rg:{ 'id': '200000'}</v>
      </c>
      <c r="I85" s="8">
        <f t="shared" ca="1" si="10"/>
        <v>1</v>
      </c>
      <c r="J85" s="8">
        <f t="shared" ca="1" si="11"/>
        <v>26</v>
      </c>
      <c r="K85" s="8" t="str">
        <f t="shared" ca="1" si="12"/>
        <v>2017-04-26</v>
      </c>
      <c r="L85" s="8" t="str">
        <f t="shared" ca="1" si="13"/>
        <v>2017-04-29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>
        <f>IFERROR(VLOOKUP(VLOOKUP(VLOOKUP(C86,Project.csv!F:Q,12,FALSE),ServiceAreas.csv!B:I,8,FALSE),LocalAreas.csv!B:H,7,FALSE),200029)</f>
        <v>200060</v>
      </c>
      <c r="E86" s="8" t="str">
        <f t="shared" si="8"/>
        <v>rg:{'id':'200060'}</v>
      </c>
      <c r="F86" s="9" t="s">
        <v>7055</v>
      </c>
      <c r="G86" s="9" t="str">
        <f ca="1">INDEX(DistrictEquipmentTypes.csv!F:F,RANDBETWEEN(2,COUNTA(DistrictEquipmentTypes.csv!D:D)),1)</f>
        <v>200009</v>
      </c>
      <c r="H86" s="8" t="str">
        <f t="shared" ca="1" si="9"/>
        <v>rg:{ 'id': '200009'}</v>
      </c>
      <c r="I86" s="8">
        <f t="shared" ca="1" si="10"/>
        <v>1</v>
      </c>
      <c r="J86" s="8">
        <f t="shared" ca="1" si="11"/>
        <v>42</v>
      </c>
      <c r="K86" s="8" t="str">
        <f t="shared" ca="1" si="12"/>
        <v>2017-04-02</v>
      </c>
      <c r="L86" s="8" t="str">
        <f t="shared" ca="1" si="13"/>
        <v>2017-04-07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>
        <f>IFERROR(VLOOKUP(VLOOKUP(VLOOKUP(C87,Project.csv!F:Q,12,FALSE),ServiceAreas.csv!B:I,8,FALSE),LocalAreas.csv!B:H,7,FALSE),200029)</f>
        <v>200060</v>
      </c>
      <c r="E87" s="8" t="str">
        <f t="shared" si="8"/>
        <v>rg:{'id':'200060'}</v>
      </c>
      <c r="F87" s="9" t="s">
        <v>7057</v>
      </c>
      <c r="G87" s="9" t="str">
        <f ca="1">INDEX(DistrictEquipmentTypes.csv!F:F,RANDBETWEEN(2,COUNTA(DistrictEquipmentTypes.csv!D:D)),1)</f>
        <v>200006</v>
      </c>
      <c r="H87" s="8" t="str">
        <f t="shared" ca="1" si="9"/>
        <v>rg:{ 'id': '200006'}</v>
      </c>
      <c r="I87" s="8">
        <f t="shared" ca="1" si="10"/>
        <v>1</v>
      </c>
      <c r="J87" s="8">
        <f t="shared" ca="1" si="11"/>
        <v>39</v>
      </c>
      <c r="K87" s="8" t="str">
        <f t="shared" ca="1" si="12"/>
        <v>2017-05-01</v>
      </c>
      <c r="L87" s="8" t="str">
        <f t="shared" ca="1" si="13"/>
        <v>2017-05-05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>
        <f>IFERROR(VLOOKUP(VLOOKUP(VLOOKUP(C88,Project.csv!F:Q,12,FALSE),ServiceAreas.csv!B:I,8,FALSE),LocalAreas.csv!B:H,7,FALSE),200029)</f>
        <v>200060</v>
      </c>
      <c r="E88" s="8" t="str">
        <f t="shared" si="8"/>
        <v>rg:{'id':'200060'}</v>
      </c>
      <c r="F88" s="9" t="s">
        <v>7057</v>
      </c>
      <c r="G88" s="9" t="str">
        <f ca="1">INDEX(DistrictEquipmentTypes.csv!F:F,RANDBETWEEN(2,COUNTA(DistrictEquipmentTypes.csv!D:D)),1)</f>
        <v>200003</v>
      </c>
      <c r="H88" s="8" t="str">
        <f t="shared" ca="1" si="9"/>
        <v>rg:{ 'id': '200003'}</v>
      </c>
      <c r="I88" s="8">
        <f t="shared" ca="1" si="10"/>
        <v>1</v>
      </c>
      <c r="J88" s="8">
        <f t="shared" ca="1" si="11"/>
        <v>13</v>
      </c>
      <c r="K88" s="8" t="str">
        <f t="shared" ca="1" si="12"/>
        <v>2017-04-10</v>
      </c>
      <c r="L88" s="8" t="str">
        <f t="shared" ca="1" si="13"/>
        <v>2017-04-11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>
        <f>IFERROR(VLOOKUP(VLOOKUP(VLOOKUP(C89,Project.csv!F:Q,12,FALSE),ServiceAreas.csv!B:I,8,FALSE),LocalAreas.csv!B:H,7,FALSE),200029)</f>
        <v>200060</v>
      </c>
      <c r="E89" s="8" t="str">
        <f t="shared" si="8"/>
        <v>rg:{'id':'200060'}</v>
      </c>
      <c r="F89" s="9" t="s">
        <v>7055</v>
      </c>
      <c r="G89" s="9" t="str">
        <f ca="1">INDEX(DistrictEquipmentTypes.csv!F:F,RANDBETWEEN(2,COUNTA(DistrictEquipmentTypes.csv!D:D)),1)</f>
        <v>200001</v>
      </c>
      <c r="H89" s="8" t="str">
        <f t="shared" ca="1" si="9"/>
        <v>rg:{ 'id': '200001'}</v>
      </c>
      <c r="I89" s="8">
        <f t="shared" ca="1" si="10"/>
        <v>5</v>
      </c>
      <c r="J89" s="8">
        <f t="shared" ca="1" si="11"/>
        <v>11</v>
      </c>
      <c r="K89" s="8" t="str">
        <f t="shared" ca="1" si="12"/>
        <v>2017-04-23</v>
      </c>
      <c r="L89" s="8" t="str">
        <f t="shared" ca="1" si="13"/>
        <v>2017-04-29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>
        <f>IFERROR(VLOOKUP(VLOOKUP(VLOOKUP(C90,Project.csv!F:Q,12,FALSE),ServiceAreas.csv!B:I,8,FALSE),LocalAreas.csv!B:H,7,FALSE),200029)</f>
        <v>200060</v>
      </c>
      <c r="E90" s="8" t="str">
        <f t="shared" si="8"/>
        <v>rg:{'id':'200060'}</v>
      </c>
      <c r="F90" s="9" t="s">
        <v>7055</v>
      </c>
      <c r="G90" s="9" t="str">
        <f ca="1">INDEX(DistrictEquipmentTypes.csv!F:F,RANDBETWEEN(2,COUNTA(DistrictEquipmentTypes.csv!D:D)),1)</f>
        <v>200007</v>
      </c>
      <c r="H90" s="8" t="str">
        <f t="shared" ca="1" si="9"/>
        <v>rg:{ 'id': '200007'}</v>
      </c>
      <c r="I90" s="8">
        <f t="shared" ca="1" si="10"/>
        <v>1</v>
      </c>
      <c r="J90" s="8">
        <f t="shared" ca="1" si="11"/>
        <v>43</v>
      </c>
      <c r="K90" s="8" t="str">
        <f t="shared" ca="1" si="12"/>
        <v>2017-03-28</v>
      </c>
      <c r="L90" s="8" t="str">
        <f t="shared" ca="1" si="13"/>
        <v>2017-04-02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>
        <f>IFERROR(VLOOKUP(VLOOKUP(VLOOKUP(C91,Project.csv!F:Q,12,FALSE),ServiceAreas.csv!B:I,8,FALSE),LocalAreas.csv!B:H,7,FALSE),200029)</f>
        <v>200060</v>
      </c>
      <c r="E91" s="8" t="str">
        <f t="shared" si="8"/>
        <v>rg:{'id':'200060'}</v>
      </c>
      <c r="F91" s="9" t="s">
        <v>7055</v>
      </c>
      <c r="G91" s="9" t="str">
        <f ca="1">INDEX(DistrictEquipmentTypes.csv!F:F,RANDBETWEEN(2,COUNTA(DistrictEquipmentTypes.csv!D:D)),1)</f>
        <v>200009</v>
      </c>
      <c r="H91" s="8" t="str">
        <f t="shared" ca="1" si="9"/>
        <v>rg:{ 'id': '200009'}</v>
      </c>
      <c r="I91" s="8">
        <f t="shared" ca="1" si="10"/>
        <v>1</v>
      </c>
      <c r="J91" s="8">
        <f t="shared" ca="1" si="11"/>
        <v>62</v>
      </c>
      <c r="K91" s="8" t="str">
        <f t="shared" ca="1" si="12"/>
        <v>2017-04-23</v>
      </c>
      <c r="L91" s="8" t="str">
        <f t="shared" ca="1" si="13"/>
        <v>2017-04-30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>
        <f>IFERROR(VLOOKUP(VLOOKUP(VLOOKUP(C92,Project.csv!F:Q,12,FALSE),ServiceAreas.csv!B:I,8,FALSE),LocalAreas.csv!B:H,7,FALSE),200029)</f>
        <v>200060</v>
      </c>
      <c r="E92" s="8" t="str">
        <f t="shared" si="8"/>
        <v>rg:{'id':'200060'}</v>
      </c>
      <c r="F92" s="9" t="s">
        <v>7056</v>
      </c>
      <c r="G92" s="9" t="str">
        <f ca="1">INDEX(DistrictEquipmentTypes.csv!F:F,RANDBETWEEN(2,COUNTA(DistrictEquipmentTypes.csv!D:D)),1)</f>
        <v>200006</v>
      </c>
      <c r="H92" s="8" t="str">
        <f t="shared" ca="1" si="9"/>
        <v>rg:{ 'id': '200006'}</v>
      </c>
      <c r="I92" s="8">
        <f t="shared" ca="1" si="10"/>
        <v>1</v>
      </c>
      <c r="J92" s="8">
        <f t="shared" ca="1" si="11"/>
        <v>5</v>
      </c>
      <c r="K92" s="8" t="str">
        <f t="shared" ca="1" si="12"/>
        <v>2017-04-01</v>
      </c>
      <c r="L92" s="8" t="str">
        <f t="shared" ca="1" si="13"/>
        <v>2017-04-01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>
        <f>IFERROR(VLOOKUP(VLOOKUP(VLOOKUP(C93,Project.csv!F:Q,12,FALSE),ServiceAreas.csv!B:I,8,FALSE),LocalAreas.csv!B:H,7,FALSE),200029)</f>
        <v>200060</v>
      </c>
      <c r="E93" s="8" t="str">
        <f t="shared" si="8"/>
        <v>rg:{'id':'200060'}</v>
      </c>
      <c r="F93" s="9" t="s">
        <v>7055</v>
      </c>
      <c r="G93" s="9" t="str">
        <f ca="1">INDEX(DistrictEquipmentTypes.csv!F:F,RANDBETWEEN(2,COUNTA(DistrictEquipmentTypes.csv!D:D)),1)</f>
        <v>200009</v>
      </c>
      <c r="H93" s="8" t="str">
        <f t="shared" ca="1" si="9"/>
        <v>rg:{ 'id': '200009'}</v>
      </c>
      <c r="I93" s="8">
        <f t="shared" ca="1" si="10"/>
        <v>1</v>
      </c>
      <c r="J93" s="8">
        <f t="shared" ca="1" si="11"/>
        <v>37</v>
      </c>
      <c r="K93" s="8" t="str">
        <f t="shared" ca="1" si="12"/>
        <v>2017-04-02</v>
      </c>
      <c r="L93" s="8" t="str">
        <f t="shared" ca="1" si="13"/>
        <v>2017-04-06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>
        <f>IFERROR(VLOOKUP(VLOOKUP(VLOOKUP(C94,Project.csv!F:Q,12,FALSE),ServiceAreas.csv!B:I,8,FALSE),LocalAreas.csv!B:H,7,FALSE),200029)</f>
        <v>200060</v>
      </c>
      <c r="E94" s="8" t="str">
        <f t="shared" si="8"/>
        <v>rg:{'id':'200060'}</v>
      </c>
      <c r="F94" s="9" t="s">
        <v>7056</v>
      </c>
      <c r="G94" s="9" t="str">
        <f ca="1">INDEX(DistrictEquipmentTypes.csv!F:F,RANDBETWEEN(2,COUNTA(DistrictEquipmentTypes.csv!D:D)),1)</f>
        <v>200009</v>
      </c>
      <c r="H94" s="8" t="str">
        <f t="shared" ca="1" si="9"/>
        <v>rg:{ 'id': '200009'}</v>
      </c>
      <c r="I94" s="8">
        <f t="shared" ca="1" si="10"/>
        <v>4</v>
      </c>
      <c r="J94" s="8">
        <f t="shared" ca="1" si="11"/>
        <v>100</v>
      </c>
      <c r="K94" s="8" t="str">
        <f t="shared" ca="1" si="12"/>
        <v>2017-05-06</v>
      </c>
      <c r="L94" s="8" t="str">
        <f t="shared" ca="1" si="13"/>
        <v>2017-06-25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>
        <f>IFERROR(VLOOKUP(VLOOKUP(VLOOKUP(C95,Project.csv!F:Q,12,FALSE),ServiceAreas.csv!B:I,8,FALSE),LocalAreas.csv!B:H,7,FALSE),200029)</f>
        <v>200060</v>
      </c>
      <c r="E95" s="8" t="str">
        <f t="shared" si="8"/>
        <v>rg:{'id':'200060'}</v>
      </c>
      <c r="F95" s="9" t="s">
        <v>7055</v>
      </c>
      <c r="G95" s="9" t="str">
        <f ca="1">INDEX(DistrictEquipmentTypes.csv!F:F,RANDBETWEEN(2,COUNTA(DistrictEquipmentTypes.csv!D:D)),1)</f>
        <v>200003</v>
      </c>
      <c r="H95" s="8" t="str">
        <f t="shared" ca="1" si="9"/>
        <v>rg:{ 'id': '200003'}</v>
      </c>
      <c r="I95" s="8">
        <f t="shared" ca="1" si="10"/>
        <v>1</v>
      </c>
      <c r="J95" s="8">
        <f t="shared" ca="1" si="11"/>
        <v>63</v>
      </c>
      <c r="K95" s="8" t="str">
        <f t="shared" ca="1" si="12"/>
        <v>2017-04-10</v>
      </c>
      <c r="L95" s="8" t="str">
        <f t="shared" ca="1" si="13"/>
        <v>2017-04-17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>
        <f>IFERROR(VLOOKUP(VLOOKUP(VLOOKUP(C96,Project.csv!F:Q,12,FALSE),ServiceAreas.csv!B:I,8,FALSE),LocalAreas.csv!B:H,7,FALSE),200029)</f>
        <v>200060</v>
      </c>
      <c r="E96" s="8" t="str">
        <f t="shared" si="8"/>
        <v>rg:{'id':'200060'}</v>
      </c>
      <c r="F96" s="9" t="s">
        <v>7057</v>
      </c>
      <c r="G96" s="9" t="str">
        <f ca="1">INDEX(DistrictEquipmentTypes.csv!F:F,RANDBETWEEN(2,COUNTA(DistrictEquipmentTypes.csv!D:D)),1)</f>
        <v>200005</v>
      </c>
      <c r="H96" s="8" t="str">
        <f t="shared" ca="1" si="9"/>
        <v>rg:{ 'id': '200005'}</v>
      </c>
      <c r="I96" s="8">
        <f t="shared" ca="1" si="10"/>
        <v>1</v>
      </c>
      <c r="J96" s="8">
        <f t="shared" ca="1" si="11"/>
        <v>67</v>
      </c>
      <c r="K96" s="8" t="str">
        <f t="shared" ca="1" si="12"/>
        <v>2017-04-13</v>
      </c>
      <c r="L96" s="8" t="str">
        <f t="shared" ca="1" si="13"/>
        <v>2017-04-21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>
        <f>IFERROR(VLOOKUP(VLOOKUP(VLOOKUP(C97,Project.csv!F:Q,12,FALSE),ServiceAreas.csv!B:I,8,FALSE),LocalAreas.csv!B:H,7,FALSE),200029)</f>
        <v>200060</v>
      </c>
      <c r="E97" s="8" t="str">
        <f t="shared" si="8"/>
        <v>rg:{'id':'200060'}</v>
      </c>
      <c r="F97" s="9" t="s">
        <v>7055</v>
      </c>
      <c r="G97" s="9" t="str">
        <f ca="1">INDEX(DistrictEquipmentTypes.csv!F:F,RANDBETWEEN(2,COUNTA(DistrictEquipmentTypes.csv!D:D)),1)</f>
        <v>200000</v>
      </c>
      <c r="H97" s="8" t="str">
        <f t="shared" ca="1" si="9"/>
        <v>rg:{ 'id': '200000'}</v>
      </c>
      <c r="I97" s="8">
        <f t="shared" ca="1" si="10"/>
        <v>1</v>
      </c>
      <c r="J97" s="8">
        <f t="shared" ca="1" si="11"/>
        <v>30</v>
      </c>
      <c r="K97" s="8" t="str">
        <f t="shared" ca="1" si="12"/>
        <v>2017-04-06</v>
      </c>
      <c r="L97" s="8" t="str">
        <f t="shared" ca="1" si="13"/>
        <v>2017-04-09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>
        <f>IFERROR(VLOOKUP(VLOOKUP(VLOOKUP(C98,Project.csv!F:Q,12,FALSE),ServiceAreas.csv!B:I,8,FALSE),LocalAreas.csv!B:H,7,FALSE),200029)</f>
        <v>200060</v>
      </c>
      <c r="E98" s="8" t="str">
        <f t="shared" si="8"/>
        <v>rg:{'id':'200060'}</v>
      </c>
      <c r="F98" s="9" t="s">
        <v>7057</v>
      </c>
      <c r="G98" s="9" t="str">
        <f ca="1">INDEX(DistrictEquipmentTypes.csv!F:F,RANDBETWEEN(2,COUNTA(DistrictEquipmentTypes.csv!D:D)),1)</f>
        <v>200001</v>
      </c>
      <c r="H98" s="8" t="str">
        <f t="shared" ca="1" si="9"/>
        <v>rg:{ 'id': '200001'}</v>
      </c>
      <c r="I98" s="8">
        <f t="shared" ca="1" si="10"/>
        <v>1</v>
      </c>
      <c r="J98" s="8">
        <f t="shared" ca="1" si="11"/>
        <v>77</v>
      </c>
      <c r="K98" s="8" t="str">
        <f t="shared" ca="1" si="12"/>
        <v>2017-05-03</v>
      </c>
      <c r="L98" s="8" t="str">
        <f t="shared" ca="1" si="13"/>
        <v>2017-05-12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>
        <f>IFERROR(VLOOKUP(VLOOKUP(VLOOKUP(C99,Project.csv!F:Q,12,FALSE),ServiceAreas.csv!B:I,8,FALSE),LocalAreas.csv!B:H,7,FALSE),200029)</f>
        <v>200060</v>
      </c>
      <c r="E99" s="8" t="str">
        <f t="shared" si="8"/>
        <v>rg:{'id':'200060'}</v>
      </c>
      <c r="F99" s="9" t="s">
        <v>7055</v>
      </c>
      <c r="G99" s="9" t="str">
        <f ca="1">INDEX(DistrictEquipmentTypes.csv!F:F,RANDBETWEEN(2,COUNTA(DistrictEquipmentTypes.csv!D:D)),1)</f>
        <v>200007</v>
      </c>
      <c r="H99" s="8" t="str">
        <f t="shared" ca="1" si="9"/>
        <v>rg:{ 'id': '200007'}</v>
      </c>
      <c r="I99" s="8">
        <f t="shared" ca="1" si="10"/>
        <v>4</v>
      </c>
      <c r="J99" s="8">
        <f t="shared" ca="1" si="11"/>
        <v>25</v>
      </c>
      <c r="K99" s="8" t="str">
        <f t="shared" ca="1" si="12"/>
        <v>2017-04-09</v>
      </c>
      <c r="L99" s="8" t="str">
        <f t="shared" ca="1" si="13"/>
        <v>2017-04-21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>
        <f>IFERROR(VLOOKUP(VLOOKUP(VLOOKUP(C100,Project.csv!F:Q,12,FALSE),ServiceAreas.csv!B:I,8,FALSE),LocalAreas.csv!B:H,7,FALSE),200029)</f>
        <v>200064</v>
      </c>
      <c r="E100" s="8" t="str">
        <f t="shared" si="8"/>
        <v>rg:{'id':'200064'}</v>
      </c>
      <c r="F100" s="9" t="s">
        <v>7055</v>
      </c>
      <c r="G100" s="9" t="str">
        <f ca="1">INDEX(DistrictEquipmentTypes.csv!F:F,RANDBETWEEN(2,COUNTA(DistrictEquipmentTypes.csv!D:D)),1)</f>
        <v>200003</v>
      </c>
      <c r="H100" s="8" t="str">
        <f t="shared" ca="1" si="9"/>
        <v>rg:{ 'id': '200003'}</v>
      </c>
      <c r="I100" s="8">
        <f t="shared" ca="1" si="10"/>
        <v>1</v>
      </c>
      <c r="J100" s="8">
        <f t="shared" ca="1" si="11"/>
        <v>64</v>
      </c>
      <c r="K100" s="8" t="str">
        <f t="shared" ca="1" si="12"/>
        <v>2017-05-06</v>
      </c>
      <c r="L100" s="8" t="str">
        <f t="shared" ca="1" si="13"/>
        <v>2017-05-14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>
        <f>IFERROR(VLOOKUP(VLOOKUP(VLOOKUP(C101,Project.csv!F:Q,12,FALSE),ServiceAreas.csv!B:I,8,FALSE),LocalAreas.csv!B:H,7,FALSE),200029)</f>
        <v>200064</v>
      </c>
      <c r="E101" s="8" t="str">
        <f t="shared" si="8"/>
        <v>rg:{'id':'200064'}</v>
      </c>
      <c r="F101" s="9" t="s">
        <v>7055</v>
      </c>
      <c r="G101" s="9" t="str">
        <f ca="1">INDEX(DistrictEquipmentTypes.csv!F:F,RANDBETWEEN(2,COUNTA(DistrictEquipmentTypes.csv!D:D)),1)</f>
        <v>200009</v>
      </c>
      <c r="H101" s="8" t="str">
        <f t="shared" ca="1" si="9"/>
        <v>rg:{ 'id': '200009'}</v>
      </c>
      <c r="I101" s="8">
        <f t="shared" ca="1" si="10"/>
        <v>1</v>
      </c>
      <c r="J101" s="8">
        <f t="shared" ca="1" si="11"/>
        <v>78</v>
      </c>
      <c r="K101" s="8" t="str">
        <f t="shared" ca="1" si="12"/>
        <v>2017-04-03</v>
      </c>
      <c r="L101" s="8" t="str">
        <f t="shared" ca="1" si="13"/>
        <v>2017-04-12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>
        <f>IFERROR(VLOOKUP(VLOOKUP(VLOOKUP(C102,Project.csv!F:Q,12,FALSE),ServiceAreas.csv!B:I,8,FALSE),LocalAreas.csv!B:H,7,FALSE),200029)</f>
        <v>200064</v>
      </c>
      <c r="E102" s="8" t="str">
        <f t="shared" si="8"/>
        <v>rg:{'id':'200064'}</v>
      </c>
      <c r="F102" s="9" t="s">
        <v>7055</v>
      </c>
      <c r="G102" s="9" t="str">
        <f ca="1">INDEX(DistrictEquipmentTypes.csv!F:F,RANDBETWEEN(2,COUNTA(DistrictEquipmentTypes.csv!D:D)),1)</f>
        <v>200001</v>
      </c>
      <c r="H102" s="8" t="str">
        <f t="shared" ca="1" si="9"/>
        <v>rg:{ 'id': '200001'}</v>
      </c>
      <c r="I102" s="8">
        <f t="shared" ca="1" si="10"/>
        <v>1</v>
      </c>
      <c r="J102" s="8">
        <f t="shared" ca="1" si="11"/>
        <v>22</v>
      </c>
      <c r="K102" s="8" t="str">
        <f t="shared" ca="1" si="12"/>
        <v>2017-03-22</v>
      </c>
      <c r="L102" s="8" t="str">
        <f t="shared" ca="1" si="13"/>
        <v>2017-03-24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>
        <f>IFERROR(VLOOKUP(VLOOKUP(VLOOKUP(C103,Project.csv!F:Q,12,FALSE),ServiceAreas.csv!B:I,8,FALSE),LocalAreas.csv!B:H,7,FALSE),200029)</f>
        <v>200064</v>
      </c>
      <c r="E103" s="8" t="str">
        <f t="shared" si="8"/>
        <v>rg:{'id':'200064'}</v>
      </c>
      <c r="F103" s="9" t="s">
        <v>7055</v>
      </c>
      <c r="G103" s="9" t="str">
        <f ca="1">INDEX(DistrictEquipmentTypes.csv!F:F,RANDBETWEEN(2,COUNTA(DistrictEquipmentTypes.csv!D:D)),1)</f>
        <v>200009</v>
      </c>
      <c r="H103" s="8" t="str">
        <f t="shared" ca="1" si="9"/>
        <v>rg:{ 'id': '200009'}</v>
      </c>
      <c r="I103" s="8">
        <f t="shared" ca="1" si="10"/>
        <v>1</v>
      </c>
      <c r="J103" s="8">
        <f t="shared" ca="1" si="11"/>
        <v>99</v>
      </c>
      <c r="K103" s="8" t="str">
        <f t="shared" ca="1" si="12"/>
        <v>2017-03-30</v>
      </c>
      <c r="L103" s="8" t="str">
        <f t="shared" ca="1" si="13"/>
        <v>2017-04-11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>
        <f>IFERROR(VLOOKUP(VLOOKUP(VLOOKUP(C104,Project.csv!F:Q,12,FALSE),ServiceAreas.csv!B:I,8,FALSE),LocalAreas.csv!B:H,7,FALSE),200029)</f>
        <v>200064</v>
      </c>
      <c r="E104" s="8" t="str">
        <f t="shared" si="8"/>
        <v>rg:{'id':'200064'}</v>
      </c>
      <c r="F104" s="9" t="s">
        <v>7055</v>
      </c>
      <c r="G104" s="9" t="str">
        <f ca="1">INDEX(DistrictEquipmentTypes.csv!F:F,RANDBETWEEN(2,COUNTA(DistrictEquipmentTypes.csv!D:D)),1)</f>
        <v>200000</v>
      </c>
      <c r="H104" s="8" t="str">
        <f t="shared" ca="1" si="9"/>
        <v>rg:{ 'id': '200000'}</v>
      </c>
      <c r="I104" s="8">
        <f t="shared" ca="1" si="10"/>
        <v>1</v>
      </c>
      <c r="J104" s="8">
        <f t="shared" ca="1" si="11"/>
        <v>54</v>
      </c>
      <c r="K104" s="8" t="str">
        <f t="shared" ca="1" si="12"/>
        <v>2017-03-24</v>
      </c>
      <c r="L104" s="8" t="str">
        <f t="shared" ca="1" si="13"/>
        <v>2017-03-30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>
        <f>IFERROR(VLOOKUP(VLOOKUP(VLOOKUP(C105,Project.csv!F:Q,12,FALSE),ServiceAreas.csv!B:I,8,FALSE),LocalAreas.csv!B:H,7,FALSE),200029)</f>
        <v>200064</v>
      </c>
      <c r="E105" s="8" t="str">
        <f t="shared" si="8"/>
        <v>rg:{'id':'200064'}</v>
      </c>
      <c r="F105" s="9" t="s">
        <v>7055</v>
      </c>
      <c r="G105" s="9" t="str">
        <f ca="1">INDEX(DistrictEquipmentTypes.csv!F:F,RANDBETWEEN(2,COUNTA(DistrictEquipmentTypes.csv!D:D)),1)</f>
        <v>200009</v>
      </c>
      <c r="H105" s="8" t="str">
        <f t="shared" ca="1" si="9"/>
        <v>rg:{ 'id': '200009'}</v>
      </c>
      <c r="I105" s="8">
        <f t="shared" ca="1" si="10"/>
        <v>1</v>
      </c>
      <c r="J105" s="8">
        <f t="shared" ca="1" si="11"/>
        <v>65</v>
      </c>
      <c r="K105" s="8" t="str">
        <f t="shared" ca="1" si="12"/>
        <v>2017-04-17</v>
      </c>
      <c r="L105" s="8" t="str">
        <f t="shared" ca="1" si="13"/>
        <v>2017-04-25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>
        <f>IFERROR(VLOOKUP(VLOOKUP(VLOOKUP(C106,Project.csv!F:Q,12,FALSE),ServiceAreas.csv!B:I,8,FALSE),LocalAreas.csv!B:H,7,FALSE),200029)</f>
        <v>200064</v>
      </c>
      <c r="E106" s="8" t="str">
        <f t="shared" si="8"/>
        <v>rg:{'id':'200064'}</v>
      </c>
      <c r="F106" s="9" t="s">
        <v>7055</v>
      </c>
      <c r="G106" s="9" t="str">
        <f ca="1">INDEX(DistrictEquipmentTypes.csv!F:F,RANDBETWEEN(2,COUNTA(DistrictEquipmentTypes.csv!D:D)),1)</f>
        <v>200007</v>
      </c>
      <c r="H106" s="8" t="str">
        <f t="shared" ca="1" si="9"/>
        <v>rg:{ 'id': '200007'}</v>
      </c>
      <c r="I106" s="8">
        <f t="shared" ca="1" si="10"/>
        <v>3</v>
      </c>
      <c r="J106" s="8">
        <f t="shared" ca="1" si="11"/>
        <v>12</v>
      </c>
      <c r="K106" s="8" t="str">
        <f t="shared" ca="1" si="12"/>
        <v>2017-04-11</v>
      </c>
      <c r="L106" s="8" t="str">
        <f t="shared" ca="1" si="13"/>
        <v>2017-04-15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IFERROR(VLOOKUP(VLOOKUP(VLOOKUP(C107,Project.csv!F:Q,12,FALSE),ServiceAreas.csv!B:I,8,FALSE),LocalAreas.csv!B:H,7,FALSE),200029)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200001</v>
      </c>
      <c r="H107" s="8" t="str">
        <f t="shared" ca="1" si="9"/>
        <v>rg:{ 'id': '200001'}</v>
      </c>
      <c r="I107" s="8">
        <f t="shared" ca="1" si="10"/>
        <v>3</v>
      </c>
      <c r="J107" s="8">
        <f t="shared" ca="1" si="11"/>
        <v>70</v>
      </c>
      <c r="K107" s="8" t="str">
        <f t="shared" ca="1" si="12"/>
        <v>2017-05-05</v>
      </c>
      <c r="L107" s="8" t="str">
        <f t="shared" ca="1" si="13"/>
        <v>2017-05-31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IFERROR(VLOOKUP(VLOOKUP(VLOOKUP(C108,Project.csv!F:Q,12,FALSE),ServiceAreas.csv!B:I,8,FALSE),LocalAreas.csv!B:H,7,FALSE),200029)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200009</v>
      </c>
      <c r="H108" s="8" t="str">
        <f t="shared" ca="1" si="9"/>
        <v>rg:{ 'id': '200009'}</v>
      </c>
      <c r="I108" s="8">
        <f t="shared" ca="1" si="10"/>
        <v>4</v>
      </c>
      <c r="J108" s="8">
        <f t="shared" ca="1" si="11"/>
        <v>56</v>
      </c>
      <c r="K108" s="8" t="str">
        <f t="shared" ca="1" si="12"/>
        <v>2017-05-01</v>
      </c>
      <c r="L108" s="8" t="str">
        <f t="shared" ca="1" si="13"/>
        <v>2017-05-29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IFERROR(VLOOKUP(VLOOKUP(VLOOKUP(C109,Project.csv!F:Q,12,FALSE),ServiceAreas.csv!B:I,8,FALSE),LocalAreas.csv!B:H,7,FALSE),200029)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200004</v>
      </c>
      <c r="H109" s="8" t="str">
        <f t="shared" ca="1" si="9"/>
        <v>rg:{ 'id': '200004'}</v>
      </c>
      <c r="I109" s="8">
        <f t="shared" ca="1" si="10"/>
        <v>1</v>
      </c>
      <c r="J109" s="8">
        <f t="shared" ca="1" si="11"/>
        <v>80</v>
      </c>
      <c r="K109" s="8" t="str">
        <f t="shared" ca="1" si="12"/>
        <v>2017-04-15</v>
      </c>
      <c r="L109" s="8" t="str">
        <f t="shared" ca="1" si="13"/>
        <v>2017-04-25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IFERROR(VLOOKUP(VLOOKUP(VLOOKUP(C110,Project.csv!F:Q,12,FALSE),ServiceAreas.csv!B:I,8,FALSE),LocalAreas.csv!B:H,7,FALSE),200029)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200009</v>
      </c>
      <c r="H110" s="8" t="str">
        <f t="shared" ca="1" si="9"/>
        <v>rg:{ 'id': '200009'}</v>
      </c>
      <c r="I110" s="8">
        <f t="shared" ca="1" si="10"/>
        <v>1</v>
      </c>
      <c r="J110" s="8">
        <f t="shared" ca="1" si="11"/>
        <v>82</v>
      </c>
      <c r="K110" s="8" t="str">
        <f t="shared" ca="1" si="12"/>
        <v>2017-04-23</v>
      </c>
      <c r="L110" s="8" t="str">
        <f t="shared" ca="1" si="13"/>
        <v>2017-05-03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IFERROR(VLOOKUP(VLOOKUP(VLOOKUP(C111,Project.csv!F:Q,12,FALSE),ServiceAreas.csv!B:I,8,FALSE),LocalAreas.csv!B:H,7,FALSE),200029)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200002</v>
      </c>
      <c r="H111" s="8" t="str">
        <f t="shared" ca="1" si="9"/>
        <v>rg:{ 'id': '200002'}</v>
      </c>
      <c r="I111" s="8">
        <f t="shared" ca="1" si="10"/>
        <v>1</v>
      </c>
      <c r="J111" s="8">
        <f t="shared" ca="1" si="11"/>
        <v>75</v>
      </c>
      <c r="K111" s="8" t="str">
        <f t="shared" ca="1" si="12"/>
        <v>2017-04-23</v>
      </c>
      <c r="L111" s="8" t="str">
        <f t="shared" ca="1" si="13"/>
        <v>2017-05-02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IFERROR(VLOOKUP(VLOOKUP(VLOOKUP(C112,Project.csv!F:Q,12,FALSE),ServiceAreas.csv!B:I,8,FALSE),LocalAreas.csv!B:H,7,FALSE),200029)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200003</v>
      </c>
      <c r="H112" s="8" t="str">
        <f t="shared" ca="1" si="9"/>
        <v>rg:{ 'id': '200003'}</v>
      </c>
      <c r="I112" s="8">
        <f t="shared" ca="1" si="10"/>
        <v>2</v>
      </c>
      <c r="J112" s="8">
        <f t="shared" ca="1" si="11"/>
        <v>65</v>
      </c>
      <c r="K112" s="8" t="str">
        <f t="shared" ca="1" si="12"/>
        <v>2017-04-09</v>
      </c>
      <c r="L112" s="8" t="str">
        <f t="shared" ca="1" si="13"/>
        <v>2017-04-25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IFERROR(VLOOKUP(VLOOKUP(VLOOKUP(C113,Project.csv!F:Q,12,FALSE),ServiceAreas.csv!B:I,8,FALSE),LocalAreas.csv!B:H,7,FALSE),200029)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200006</v>
      </c>
      <c r="H113" s="8" t="str">
        <f t="shared" ca="1" si="9"/>
        <v>rg:{ 'id': '200006'}</v>
      </c>
      <c r="I113" s="8">
        <f t="shared" ca="1" si="10"/>
        <v>5</v>
      </c>
      <c r="J113" s="8">
        <f t="shared" ca="1" si="11"/>
        <v>7</v>
      </c>
      <c r="K113" s="8" t="str">
        <f t="shared" ca="1" si="12"/>
        <v>2017-05-06</v>
      </c>
      <c r="L113" s="8" t="str">
        <f t="shared" ca="1" si="13"/>
        <v>2017-05-10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>
        <f>IFERROR(VLOOKUP(VLOOKUP(VLOOKUP(C114,Project.csv!F:Q,12,FALSE),ServiceAreas.csv!B:I,8,FALSE),LocalAreas.csv!B:H,7,FALSE),200029)</f>
        <v>200069</v>
      </c>
      <c r="E114" s="8" t="str">
        <f t="shared" si="8"/>
        <v>rg:{'id':'200069'}</v>
      </c>
      <c r="F114" s="9" t="s">
        <v>7055</v>
      </c>
      <c r="G114" s="9" t="str">
        <f ca="1">INDEX(DistrictEquipmentTypes.csv!F:F,RANDBETWEEN(2,COUNTA(DistrictEquipmentTypes.csv!D:D)),1)</f>
        <v>200004</v>
      </c>
      <c r="H114" s="8" t="str">
        <f t="shared" ca="1" si="9"/>
        <v>rg:{ 'id': '200004'}</v>
      </c>
      <c r="I114" s="8">
        <f t="shared" ca="1" si="10"/>
        <v>1</v>
      </c>
      <c r="J114" s="8">
        <f t="shared" ca="1" si="11"/>
        <v>79</v>
      </c>
      <c r="K114" s="8" t="str">
        <f t="shared" ca="1" si="12"/>
        <v>2017-04-07</v>
      </c>
      <c r="L114" s="8" t="str">
        <f t="shared" ca="1" si="13"/>
        <v>2017-04-16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>
        <f>IFERROR(VLOOKUP(VLOOKUP(VLOOKUP(C115,Project.csv!F:Q,12,FALSE),ServiceAreas.csv!B:I,8,FALSE),LocalAreas.csv!B:H,7,FALSE),200029)</f>
        <v>200069</v>
      </c>
      <c r="E115" s="8" t="str">
        <f t="shared" si="8"/>
        <v>rg:{'id':'200069'}</v>
      </c>
      <c r="F115" s="9" t="s">
        <v>7055</v>
      </c>
      <c r="G115" s="9" t="str">
        <f ca="1">INDEX(DistrictEquipmentTypes.csv!F:F,RANDBETWEEN(2,COUNTA(DistrictEquipmentTypes.csv!D:D)),1)</f>
        <v>200006</v>
      </c>
      <c r="H115" s="8" t="str">
        <f t="shared" ca="1" si="9"/>
        <v>rg:{ 'id': '200006'}</v>
      </c>
      <c r="I115" s="8">
        <f t="shared" ca="1" si="10"/>
        <v>1</v>
      </c>
      <c r="J115" s="8">
        <f t="shared" ca="1" si="11"/>
        <v>91</v>
      </c>
      <c r="K115" s="8" t="str">
        <f t="shared" ca="1" si="12"/>
        <v>2017-04-24</v>
      </c>
      <c r="L115" s="8" t="str">
        <f t="shared" ca="1" si="13"/>
        <v>2017-05-05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>
        <f>IFERROR(VLOOKUP(VLOOKUP(VLOOKUP(C116,Project.csv!F:Q,12,FALSE),ServiceAreas.csv!B:I,8,FALSE),LocalAreas.csv!B:H,7,FALSE),200029)</f>
        <v>200069</v>
      </c>
      <c r="E116" s="8" t="str">
        <f t="shared" si="8"/>
        <v>rg:{'id':'200069'}</v>
      </c>
      <c r="F116" s="9" t="s">
        <v>7055</v>
      </c>
      <c r="G116" s="9" t="str">
        <f ca="1">INDEX(DistrictEquipmentTypes.csv!F:F,RANDBETWEEN(2,COUNTA(DistrictEquipmentTypes.csv!D:D)),1)</f>
        <v>200007</v>
      </c>
      <c r="H116" s="8" t="str">
        <f t="shared" ca="1" si="9"/>
        <v>rg:{ 'id': '200007'}</v>
      </c>
      <c r="I116" s="8">
        <f t="shared" ca="1" si="10"/>
        <v>1</v>
      </c>
      <c r="J116" s="8">
        <f t="shared" ca="1" si="11"/>
        <v>79</v>
      </c>
      <c r="K116" s="8" t="str">
        <f t="shared" ca="1" si="12"/>
        <v>2017-05-10</v>
      </c>
      <c r="L116" s="8" t="str">
        <f t="shared" ca="1" si="13"/>
        <v>2017-05-19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>
        <f>IFERROR(VLOOKUP(VLOOKUP(VLOOKUP(C117,Project.csv!F:Q,12,FALSE),ServiceAreas.csv!B:I,8,FALSE),LocalAreas.csv!B:H,7,FALSE),200029)</f>
        <v>200069</v>
      </c>
      <c r="E117" s="8" t="str">
        <f t="shared" si="8"/>
        <v>rg:{'id':'200069'}</v>
      </c>
      <c r="F117" s="9" t="s">
        <v>7055</v>
      </c>
      <c r="G117" s="9" t="str">
        <f ca="1">INDEX(DistrictEquipmentTypes.csv!F:F,RANDBETWEEN(2,COUNTA(DistrictEquipmentTypes.csv!D:D)),1)</f>
        <v>200006</v>
      </c>
      <c r="H117" s="8" t="str">
        <f t="shared" ca="1" si="9"/>
        <v>rg:{ 'id': '200006'}</v>
      </c>
      <c r="I117" s="8">
        <f t="shared" ca="1" si="10"/>
        <v>1</v>
      </c>
      <c r="J117" s="8">
        <f t="shared" ca="1" si="11"/>
        <v>9</v>
      </c>
      <c r="K117" s="8" t="str">
        <f t="shared" ca="1" si="12"/>
        <v>2017-05-14</v>
      </c>
      <c r="L117" s="8" t="str">
        <f t="shared" ca="1" si="13"/>
        <v>2017-05-15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>
        <f>IFERROR(VLOOKUP(VLOOKUP(VLOOKUP(C118,Project.csv!F:Q,12,FALSE),ServiceAreas.csv!B:I,8,FALSE),LocalAreas.csv!B:H,7,FALSE),200029)</f>
        <v>200069</v>
      </c>
      <c r="E118" s="8" t="str">
        <f t="shared" si="8"/>
        <v>rg:{'id':'200069'}</v>
      </c>
      <c r="F118" s="9" t="s">
        <v>7055</v>
      </c>
      <c r="G118" s="9" t="str">
        <f ca="1">INDEX(DistrictEquipmentTypes.csv!F:F,RANDBETWEEN(2,COUNTA(DistrictEquipmentTypes.csv!D:D)),1)</f>
        <v>200009</v>
      </c>
      <c r="H118" s="8" t="str">
        <f t="shared" ca="1" si="9"/>
        <v>rg:{ 'id': '200009'}</v>
      </c>
      <c r="I118" s="8">
        <f t="shared" ca="1" si="10"/>
        <v>1</v>
      </c>
      <c r="J118" s="8">
        <f t="shared" ca="1" si="11"/>
        <v>14</v>
      </c>
      <c r="K118" s="8" t="str">
        <f t="shared" ca="1" si="12"/>
        <v>2017-04-17</v>
      </c>
      <c r="L118" s="8" t="str">
        <f t="shared" ca="1" si="13"/>
        <v>2017-04-18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>
        <f>IFERROR(VLOOKUP(VLOOKUP(VLOOKUP(C119,Project.csv!F:Q,12,FALSE),ServiceAreas.csv!B:I,8,FALSE),LocalAreas.csv!B:H,7,FALSE),200029)</f>
        <v>200069</v>
      </c>
      <c r="E119" s="8" t="str">
        <f t="shared" si="8"/>
        <v>rg:{'id':'200069'}</v>
      </c>
      <c r="F119" s="9" t="s">
        <v>7055</v>
      </c>
      <c r="G119" s="9" t="str">
        <f ca="1">INDEX(DistrictEquipmentTypes.csv!F:F,RANDBETWEEN(2,COUNTA(DistrictEquipmentTypes.csv!D:D)),1)</f>
        <v>200009</v>
      </c>
      <c r="H119" s="8" t="str">
        <f t="shared" ca="1" si="9"/>
        <v>rg:{ 'id': '200009'}</v>
      </c>
      <c r="I119" s="8">
        <f t="shared" ca="1" si="10"/>
        <v>1</v>
      </c>
      <c r="J119" s="8">
        <f t="shared" ca="1" si="11"/>
        <v>73</v>
      </c>
      <c r="K119" s="8" t="str">
        <f t="shared" ca="1" si="12"/>
        <v>2017-04-05</v>
      </c>
      <c r="L119" s="8" t="str">
        <f t="shared" ca="1" si="13"/>
        <v>2017-04-14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>
        <f>IFERROR(VLOOKUP(VLOOKUP(VLOOKUP(C120,Project.csv!F:Q,12,FALSE),ServiceAreas.csv!B:I,8,FALSE),LocalAreas.csv!B:H,7,FALSE),200029)</f>
        <v>200069</v>
      </c>
      <c r="E120" s="8" t="str">
        <f t="shared" si="8"/>
        <v>rg:{'id':'200069'}</v>
      </c>
      <c r="F120" s="9" t="s">
        <v>7055</v>
      </c>
      <c r="G120" s="9" t="str">
        <f ca="1">INDEX(DistrictEquipmentTypes.csv!F:F,RANDBETWEEN(2,COUNTA(DistrictEquipmentTypes.csv!D:D)),1)</f>
        <v>200009</v>
      </c>
      <c r="H120" s="8" t="str">
        <f t="shared" ca="1" si="9"/>
        <v>rg:{ 'id': '200009'}</v>
      </c>
      <c r="I120" s="8">
        <f t="shared" ca="1" si="10"/>
        <v>1</v>
      </c>
      <c r="J120" s="8">
        <f t="shared" ca="1" si="11"/>
        <v>37</v>
      </c>
      <c r="K120" s="8" t="str">
        <f t="shared" ca="1" si="12"/>
        <v>2017-04-17</v>
      </c>
      <c r="L120" s="8" t="str">
        <f t="shared" ca="1" si="13"/>
        <v>2017-04-21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>
        <f>IFERROR(VLOOKUP(VLOOKUP(VLOOKUP(C121,Project.csv!F:Q,12,FALSE),ServiceAreas.csv!B:I,8,FALSE),LocalAreas.csv!B:H,7,FALSE),200029)</f>
        <v>200023</v>
      </c>
      <c r="E121" s="8" t="str">
        <f t="shared" si="8"/>
        <v>rg:{'id':'200023'}</v>
      </c>
      <c r="F121" s="9" t="s">
        <v>7055</v>
      </c>
      <c r="G121" s="9" t="str">
        <f ca="1">INDEX(DistrictEquipmentTypes.csv!F:F,RANDBETWEEN(2,COUNTA(DistrictEquipmentTypes.csv!D:D)),1)</f>
        <v>200003</v>
      </c>
      <c r="H121" s="8" t="str">
        <f t="shared" ca="1" si="9"/>
        <v>rg:{ 'id': '200003'}</v>
      </c>
      <c r="I121" s="8">
        <f t="shared" ca="1" si="10"/>
        <v>5</v>
      </c>
      <c r="J121" s="8">
        <f t="shared" ca="1" si="11"/>
        <v>94</v>
      </c>
      <c r="K121" s="8" t="str">
        <f t="shared" ca="1" si="12"/>
        <v>2017-05-04</v>
      </c>
      <c r="L121" s="8" t="str">
        <f t="shared" ca="1" si="13"/>
        <v>2017-07-01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>
        <f>IFERROR(VLOOKUP(VLOOKUP(VLOOKUP(C122,Project.csv!F:Q,12,FALSE),ServiceAreas.csv!B:I,8,FALSE),LocalAreas.csv!B:H,7,FALSE),200029)</f>
        <v>200023</v>
      </c>
      <c r="E122" s="8" t="str">
        <f t="shared" si="8"/>
        <v>rg:{'id':'200023'}</v>
      </c>
      <c r="F122" s="9" t="s">
        <v>7055</v>
      </c>
      <c r="G122" s="9" t="str">
        <f ca="1">INDEX(DistrictEquipmentTypes.csv!F:F,RANDBETWEEN(2,COUNTA(DistrictEquipmentTypes.csv!D:D)),1)</f>
        <v>200009</v>
      </c>
      <c r="H122" s="8" t="str">
        <f t="shared" ca="1" si="9"/>
        <v>rg:{ 'id': '200009'}</v>
      </c>
      <c r="I122" s="8">
        <f t="shared" ca="1" si="10"/>
        <v>1</v>
      </c>
      <c r="J122" s="8">
        <f t="shared" ca="1" si="11"/>
        <v>24</v>
      </c>
      <c r="K122" s="8" t="str">
        <f t="shared" ca="1" si="12"/>
        <v>2017-04-09</v>
      </c>
      <c r="L122" s="8" t="str">
        <f t="shared" ca="1" si="13"/>
        <v>2017-04-12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>
        <f>IFERROR(VLOOKUP(VLOOKUP(VLOOKUP(C123,Project.csv!F:Q,12,FALSE),ServiceAreas.csv!B:I,8,FALSE),LocalAreas.csv!B:H,7,FALSE),200029)</f>
        <v>200023</v>
      </c>
      <c r="E123" s="8" t="str">
        <f t="shared" si="8"/>
        <v>rg:{'id':'200023'}</v>
      </c>
      <c r="F123" s="9" t="s">
        <v>7055</v>
      </c>
      <c r="G123" s="9" t="str">
        <f ca="1">INDEX(DistrictEquipmentTypes.csv!F:F,RANDBETWEEN(2,COUNTA(DistrictEquipmentTypes.csv!D:D)),1)</f>
        <v>200001</v>
      </c>
      <c r="H123" s="8" t="str">
        <f t="shared" ca="1" si="9"/>
        <v>rg:{ 'id': '200001'}</v>
      </c>
      <c r="I123" s="8">
        <f t="shared" ca="1" si="10"/>
        <v>1</v>
      </c>
      <c r="J123" s="8">
        <f t="shared" ca="1" si="11"/>
        <v>77</v>
      </c>
      <c r="K123" s="8" t="str">
        <f t="shared" ca="1" si="12"/>
        <v>2017-05-04</v>
      </c>
      <c r="L123" s="8" t="str">
        <f t="shared" ca="1" si="13"/>
        <v>2017-05-13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>
        <f>IFERROR(VLOOKUP(VLOOKUP(VLOOKUP(C124,Project.csv!F:Q,12,FALSE),ServiceAreas.csv!B:I,8,FALSE),LocalAreas.csv!B:H,7,FALSE),200029)</f>
        <v>200023</v>
      </c>
      <c r="E124" s="8" t="str">
        <f t="shared" si="8"/>
        <v>rg:{'id':'200023'}</v>
      </c>
      <c r="F124" s="9" t="s">
        <v>7055</v>
      </c>
      <c r="G124" s="9" t="str">
        <f ca="1">INDEX(DistrictEquipmentTypes.csv!F:F,RANDBETWEEN(2,COUNTA(DistrictEquipmentTypes.csv!D:D)),1)</f>
        <v>200001</v>
      </c>
      <c r="H124" s="8" t="str">
        <f t="shared" ca="1" si="9"/>
        <v>rg:{ 'id': '200001'}</v>
      </c>
      <c r="I124" s="8">
        <f t="shared" ca="1" si="10"/>
        <v>1</v>
      </c>
      <c r="J124" s="8">
        <f t="shared" ca="1" si="11"/>
        <v>60</v>
      </c>
      <c r="K124" s="8" t="str">
        <f t="shared" ca="1" si="12"/>
        <v>2017-03-24</v>
      </c>
      <c r="L124" s="8" t="str">
        <f t="shared" ca="1" si="13"/>
        <v>2017-03-31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>
        <f>IFERROR(VLOOKUP(VLOOKUP(VLOOKUP(C125,Project.csv!F:Q,12,FALSE),ServiceAreas.csv!B:I,8,FALSE),LocalAreas.csv!B:H,7,FALSE),200029)</f>
        <v>200023</v>
      </c>
      <c r="E125" s="8" t="str">
        <f t="shared" si="8"/>
        <v>rg:{'id':'200023'}</v>
      </c>
      <c r="F125" s="9" t="s">
        <v>7055</v>
      </c>
      <c r="G125" s="9" t="str">
        <f ca="1">INDEX(DistrictEquipmentTypes.csv!F:F,RANDBETWEEN(2,COUNTA(DistrictEquipmentTypes.csv!D:D)),1)</f>
        <v>200001</v>
      </c>
      <c r="H125" s="8" t="str">
        <f t="shared" ca="1" si="9"/>
        <v>rg:{ 'id': '200001'}</v>
      </c>
      <c r="I125" s="8">
        <f t="shared" ca="1" si="10"/>
        <v>5</v>
      </c>
      <c r="J125" s="8">
        <f t="shared" ca="1" si="11"/>
        <v>81</v>
      </c>
      <c r="K125" s="8" t="str">
        <f t="shared" ca="1" si="12"/>
        <v>2017-04-30</v>
      </c>
      <c r="L125" s="8" t="str">
        <f t="shared" ca="1" si="13"/>
        <v>2017-06-19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>
        <f>IFERROR(VLOOKUP(VLOOKUP(VLOOKUP(C126,Project.csv!F:Q,12,FALSE),ServiceAreas.csv!B:I,8,FALSE),LocalAreas.csv!B:H,7,FALSE),200029)</f>
        <v>200023</v>
      </c>
      <c r="E126" s="8" t="str">
        <f t="shared" si="8"/>
        <v>rg:{'id':'200023'}</v>
      </c>
      <c r="F126" s="9" t="s">
        <v>7056</v>
      </c>
      <c r="G126" s="9" t="str">
        <f ca="1">INDEX(DistrictEquipmentTypes.csv!F:F,RANDBETWEEN(2,COUNTA(DistrictEquipmentTypes.csv!D:D)),1)</f>
        <v>200006</v>
      </c>
      <c r="H126" s="8" t="str">
        <f t="shared" ca="1" si="9"/>
        <v>rg:{ 'id': '200006'}</v>
      </c>
      <c r="I126" s="8">
        <f t="shared" ca="1" si="10"/>
        <v>1</v>
      </c>
      <c r="J126" s="8">
        <f t="shared" ca="1" si="11"/>
        <v>21</v>
      </c>
      <c r="K126" s="8" t="str">
        <f t="shared" ca="1" si="12"/>
        <v>2017-04-27</v>
      </c>
      <c r="L126" s="8" t="str">
        <f t="shared" ca="1" si="13"/>
        <v>2017-04-29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>
        <f>IFERROR(VLOOKUP(VLOOKUP(VLOOKUP(C127,Project.csv!F:Q,12,FALSE),ServiceAreas.csv!B:I,8,FALSE),LocalAreas.csv!B:H,7,FALSE),200029)</f>
        <v>200023</v>
      </c>
      <c r="E127" s="8" t="str">
        <f t="shared" si="8"/>
        <v>rg:{'id':'200023'}</v>
      </c>
      <c r="F127" s="9" t="s">
        <v>7056</v>
      </c>
      <c r="G127" s="9" t="str">
        <f ca="1">INDEX(DistrictEquipmentTypes.csv!F:F,RANDBETWEEN(2,COUNTA(DistrictEquipmentTypes.csv!D:D)),1)</f>
        <v>200003</v>
      </c>
      <c r="H127" s="8" t="str">
        <f t="shared" ca="1" si="9"/>
        <v>rg:{ 'id': '200003'}</v>
      </c>
      <c r="I127" s="8">
        <f t="shared" ca="1" si="10"/>
        <v>1</v>
      </c>
      <c r="J127" s="8">
        <f t="shared" ca="1" si="11"/>
        <v>64</v>
      </c>
      <c r="K127" s="8" t="str">
        <f t="shared" ca="1" si="12"/>
        <v>2017-05-09</v>
      </c>
      <c r="L127" s="8" t="str">
        <f t="shared" ca="1" si="13"/>
        <v>2017-05-17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>
        <f>IFERROR(VLOOKUP(VLOOKUP(VLOOKUP(C128,Project.csv!F:Q,12,FALSE),ServiceAreas.csv!B:I,8,FALSE),LocalAreas.csv!B:H,7,FALSE),200029)</f>
        <v>200016</v>
      </c>
      <c r="E128" s="8" t="str">
        <f t="shared" si="8"/>
        <v>rg:{'id':'200016'}</v>
      </c>
      <c r="F128" s="9" t="s">
        <v>7056</v>
      </c>
      <c r="G128" s="9" t="str">
        <f ca="1">INDEX(DistrictEquipmentTypes.csv!F:F,RANDBETWEEN(2,COUNTA(DistrictEquipmentTypes.csv!D:D)),1)</f>
        <v>200003</v>
      </c>
      <c r="H128" s="8" t="str">
        <f t="shared" ca="1" si="9"/>
        <v>rg:{ 'id': '200003'}</v>
      </c>
      <c r="I128" s="8">
        <f t="shared" ca="1" si="10"/>
        <v>1</v>
      </c>
      <c r="J128" s="8">
        <f t="shared" ca="1" si="11"/>
        <v>23</v>
      </c>
      <c r="K128" s="8" t="str">
        <f t="shared" ca="1" si="12"/>
        <v>2017-03-25</v>
      </c>
      <c r="L128" s="8" t="str">
        <f t="shared" ca="1" si="13"/>
        <v>2017-03-27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>
        <f>IFERROR(VLOOKUP(VLOOKUP(VLOOKUP(C129,Project.csv!F:Q,12,FALSE),ServiceAreas.csv!B:I,8,FALSE),LocalAreas.csv!B:H,7,FALSE),200029)</f>
        <v>200016</v>
      </c>
      <c r="E129" s="8" t="str">
        <f t="shared" si="8"/>
        <v>rg:{'id':'200016'}</v>
      </c>
      <c r="F129" s="9" t="s">
        <v>7055</v>
      </c>
      <c r="G129" s="9" t="str">
        <f ca="1">INDEX(DistrictEquipmentTypes.csv!F:F,RANDBETWEEN(2,COUNTA(DistrictEquipmentTypes.csv!D:D)),1)</f>
        <v>200000</v>
      </c>
      <c r="H129" s="8" t="str">
        <f t="shared" ca="1" si="9"/>
        <v>rg:{ 'id': '200000'}</v>
      </c>
      <c r="I129" s="8">
        <f t="shared" ca="1" si="10"/>
        <v>1</v>
      </c>
      <c r="J129" s="8">
        <f t="shared" ca="1" si="11"/>
        <v>27</v>
      </c>
      <c r="K129" s="8" t="str">
        <f t="shared" ca="1" si="12"/>
        <v>2017-05-05</v>
      </c>
      <c r="L129" s="8" t="str">
        <f t="shared" ca="1" si="13"/>
        <v>2017-05-08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>
        <f>IFERROR(VLOOKUP(VLOOKUP(VLOOKUP(C130,Project.csv!F:Q,12,FALSE),ServiceAreas.csv!B:I,8,FALSE),LocalAreas.csv!B:H,7,FALSE),200029)</f>
        <v>200016</v>
      </c>
      <c r="E130" s="8" t="str">
        <f t="shared" si="8"/>
        <v>rg:{'id':'200016'}</v>
      </c>
      <c r="F130" s="9" t="s">
        <v>7055</v>
      </c>
      <c r="G130" s="9" t="str">
        <f ca="1">INDEX(DistrictEquipmentTypes.csv!F:F,RANDBETWEEN(2,COUNTA(DistrictEquipmentTypes.csv!D:D)),1)</f>
        <v>200006</v>
      </c>
      <c r="H130" s="8" t="str">
        <f t="shared" ca="1" si="9"/>
        <v>rg:{ 'id': '200006'}</v>
      </c>
      <c r="I130" s="8">
        <f t="shared" ca="1" si="10"/>
        <v>2</v>
      </c>
      <c r="J130" s="8">
        <f t="shared" ca="1" si="11"/>
        <v>73</v>
      </c>
      <c r="K130" s="8" t="str">
        <f t="shared" ca="1" si="12"/>
        <v>2017-04-21</v>
      </c>
      <c r="L130" s="8" t="str">
        <f t="shared" ca="1" si="13"/>
        <v>2017-05-09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>
        <f>IFERROR(VLOOKUP(VLOOKUP(VLOOKUP(C131,Project.csv!F:Q,12,FALSE),ServiceAreas.csv!B:I,8,FALSE),LocalAreas.csv!B:H,7,FALSE),200029)</f>
        <v>200016</v>
      </c>
      <c r="E131" s="8" t="str">
        <f t="shared" ref="E131:E194" si="15" xml:space="preserve"> "rg:{'id':'" &amp; D131 &amp; "'}"</f>
        <v>rg:{'id':'200016'}</v>
      </c>
      <c r="F131" s="9" t="s">
        <v>7055</v>
      </c>
      <c r="G131" s="9" t="str">
        <f ca="1">INDEX(DistrictEquipmentTypes.csv!F:F,RANDBETWEEN(2,COUNTA(DistrictEquipmentTypes.csv!D:D)),1)</f>
        <v>200001</v>
      </c>
      <c r="H131" s="8" t="str">
        <f t="shared" ref="H131:H194" ca="1" si="16">"rg:{ 'id': '"&amp;G131&amp;"'}"</f>
        <v>rg:{ 'id': '200001'}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29</v>
      </c>
      <c r="K131" s="8" t="str">
        <f t="shared" ref="K131:K194" ca="1" si="19">TEXT(TODAY()+RANDBETWEEN(1,56),"YYYY-MM-DD")</f>
        <v>2017-03-29</v>
      </c>
      <c r="L131" s="8" t="str">
        <f t="shared" ref="L131:L194" ca="1" si="20">TEXT(K131+(I131*J131)/8,"YYYY-MM-DD")</f>
        <v>2017-04-01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>
        <f>IFERROR(VLOOKUP(VLOOKUP(VLOOKUP(C132,Project.csv!F:Q,12,FALSE),ServiceAreas.csv!B:I,8,FALSE),LocalAreas.csv!B:H,7,FALSE),200029)</f>
        <v>200016</v>
      </c>
      <c r="E132" s="8" t="str">
        <f t="shared" si="15"/>
        <v>rg:{'id':'200016'}</v>
      </c>
      <c r="F132" s="9" t="s">
        <v>7055</v>
      </c>
      <c r="G132" s="9" t="str">
        <f ca="1">INDEX(DistrictEquipmentTypes.csv!F:F,RANDBETWEEN(2,COUNTA(DistrictEquipmentTypes.csv!D:D)),1)</f>
        <v>200009</v>
      </c>
      <c r="H132" s="8" t="str">
        <f t="shared" ca="1" si="16"/>
        <v>rg:{ 'id': '200009'}</v>
      </c>
      <c r="I132" s="8">
        <f t="shared" ca="1" si="17"/>
        <v>1</v>
      </c>
      <c r="J132" s="8">
        <f t="shared" ca="1" si="18"/>
        <v>42</v>
      </c>
      <c r="K132" s="8" t="str">
        <f t="shared" ca="1" si="19"/>
        <v>2017-05-03</v>
      </c>
      <c r="L132" s="8" t="str">
        <f t="shared" ca="1" si="20"/>
        <v>2017-05-08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>
        <f>IFERROR(VLOOKUP(VLOOKUP(VLOOKUP(C133,Project.csv!F:Q,12,FALSE),ServiceAreas.csv!B:I,8,FALSE),LocalAreas.csv!B:H,7,FALSE),200029)</f>
        <v>200016</v>
      </c>
      <c r="E133" s="8" t="str">
        <f t="shared" si="15"/>
        <v>rg:{'id':'200016'}</v>
      </c>
      <c r="F133" s="9" t="s">
        <v>7055</v>
      </c>
      <c r="G133" s="9" t="str">
        <f ca="1">INDEX(DistrictEquipmentTypes.csv!F:F,RANDBETWEEN(2,COUNTA(DistrictEquipmentTypes.csv!D:D)),1)</f>
        <v>200006</v>
      </c>
      <c r="H133" s="8" t="str">
        <f t="shared" ca="1" si="16"/>
        <v>rg:{ 'id': '200006'}</v>
      </c>
      <c r="I133" s="8">
        <f t="shared" ca="1" si="17"/>
        <v>1</v>
      </c>
      <c r="J133" s="8">
        <f t="shared" ca="1" si="18"/>
        <v>65</v>
      </c>
      <c r="K133" s="8" t="str">
        <f t="shared" ca="1" si="19"/>
        <v>2017-03-22</v>
      </c>
      <c r="L133" s="8" t="str">
        <f t="shared" ca="1" si="20"/>
        <v>2017-03-30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>
        <f>IFERROR(VLOOKUP(VLOOKUP(VLOOKUP(C134,Project.csv!F:Q,12,FALSE),ServiceAreas.csv!B:I,8,FALSE),LocalAreas.csv!B:H,7,FALSE),200029)</f>
        <v>200016</v>
      </c>
      <c r="E134" s="8" t="str">
        <f t="shared" si="15"/>
        <v>rg:{'id':'200016'}</v>
      </c>
      <c r="F134" s="9" t="s">
        <v>7055</v>
      </c>
      <c r="G134" s="9" t="str">
        <f ca="1">INDEX(DistrictEquipmentTypes.csv!F:F,RANDBETWEEN(2,COUNTA(DistrictEquipmentTypes.csv!D:D)),1)</f>
        <v>200003</v>
      </c>
      <c r="H134" s="8" t="str">
        <f t="shared" ca="1" si="16"/>
        <v>rg:{ 'id': '200003'}</v>
      </c>
      <c r="I134" s="8">
        <f t="shared" ca="1" si="17"/>
        <v>1</v>
      </c>
      <c r="J134" s="8">
        <f t="shared" ca="1" si="18"/>
        <v>44</v>
      </c>
      <c r="K134" s="8" t="str">
        <f t="shared" ca="1" si="19"/>
        <v>2017-04-30</v>
      </c>
      <c r="L134" s="8" t="str">
        <f t="shared" ca="1" si="20"/>
        <v>2017-05-05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>
        <f>IFERROR(VLOOKUP(VLOOKUP(VLOOKUP(C135,Project.csv!F:Q,12,FALSE),ServiceAreas.csv!B:I,8,FALSE),LocalAreas.csv!B:H,7,FALSE),200029)</f>
        <v>200074</v>
      </c>
      <c r="E135" s="8" t="str">
        <f t="shared" si="15"/>
        <v>rg:{'id':'200074'}</v>
      </c>
      <c r="F135" s="9" t="s">
        <v>7055</v>
      </c>
      <c r="G135" s="9" t="str">
        <f ca="1">INDEX(DistrictEquipmentTypes.csv!F:F,RANDBETWEEN(2,COUNTA(DistrictEquipmentTypes.csv!D:D)),1)</f>
        <v>200009</v>
      </c>
      <c r="H135" s="8" t="str">
        <f t="shared" ca="1" si="16"/>
        <v>rg:{ 'id': '200009'}</v>
      </c>
      <c r="I135" s="8">
        <f t="shared" ca="1" si="17"/>
        <v>1</v>
      </c>
      <c r="J135" s="8">
        <f t="shared" ca="1" si="18"/>
        <v>74</v>
      </c>
      <c r="K135" s="8" t="str">
        <f t="shared" ca="1" si="19"/>
        <v>2017-04-10</v>
      </c>
      <c r="L135" s="8" t="str">
        <f t="shared" ca="1" si="20"/>
        <v>2017-04-19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>
        <f>IFERROR(VLOOKUP(VLOOKUP(VLOOKUP(C136,Project.csv!F:Q,12,FALSE),ServiceAreas.csv!B:I,8,FALSE),LocalAreas.csv!B:H,7,FALSE),200029)</f>
        <v>200074</v>
      </c>
      <c r="E136" s="8" t="str">
        <f t="shared" si="15"/>
        <v>rg:{'id':'200074'}</v>
      </c>
      <c r="F136" s="9" t="s">
        <v>7055</v>
      </c>
      <c r="G136" s="9" t="str">
        <f ca="1">INDEX(DistrictEquipmentTypes.csv!F:F,RANDBETWEEN(2,COUNTA(DistrictEquipmentTypes.csv!D:D)),1)</f>
        <v>200009</v>
      </c>
      <c r="H136" s="8" t="str">
        <f t="shared" ca="1" si="16"/>
        <v>rg:{ 'id': '200009'}</v>
      </c>
      <c r="I136" s="8">
        <f t="shared" ca="1" si="17"/>
        <v>1</v>
      </c>
      <c r="J136" s="8">
        <f t="shared" ca="1" si="18"/>
        <v>38</v>
      </c>
      <c r="K136" s="8" t="str">
        <f t="shared" ca="1" si="19"/>
        <v>2017-04-23</v>
      </c>
      <c r="L136" s="8" t="str">
        <f t="shared" ca="1" si="20"/>
        <v>2017-04-27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>
        <f>IFERROR(VLOOKUP(VLOOKUP(VLOOKUP(C137,Project.csv!F:Q,12,FALSE),ServiceAreas.csv!B:I,8,FALSE),LocalAreas.csv!B:H,7,FALSE),200029)</f>
        <v>200074</v>
      </c>
      <c r="E137" s="8" t="str">
        <f t="shared" si="15"/>
        <v>rg:{'id':'200074'}</v>
      </c>
      <c r="F137" s="9" t="s">
        <v>7055</v>
      </c>
      <c r="G137" s="9" t="str">
        <f ca="1">INDEX(DistrictEquipmentTypes.csv!F:F,RANDBETWEEN(2,COUNTA(DistrictEquipmentTypes.csv!D:D)),1)</f>
        <v>200009</v>
      </c>
      <c r="H137" s="8" t="str">
        <f t="shared" ca="1" si="16"/>
        <v>rg:{ 'id': '200009'}</v>
      </c>
      <c r="I137" s="8">
        <f t="shared" ca="1" si="17"/>
        <v>1</v>
      </c>
      <c r="J137" s="8">
        <f t="shared" ca="1" si="18"/>
        <v>37</v>
      </c>
      <c r="K137" s="8" t="str">
        <f t="shared" ca="1" si="19"/>
        <v>2017-04-18</v>
      </c>
      <c r="L137" s="8" t="str">
        <f t="shared" ca="1" si="20"/>
        <v>2017-04-22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>
        <f>IFERROR(VLOOKUP(VLOOKUP(VLOOKUP(C138,Project.csv!F:Q,12,FALSE),ServiceAreas.csv!B:I,8,FALSE),LocalAreas.csv!B:H,7,FALSE),200029)</f>
        <v>200074</v>
      </c>
      <c r="E138" s="8" t="str">
        <f t="shared" si="15"/>
        <v>rg:{'id':'200074'}</v>
      </c>
      <c r="F138" s="9" t="s">
        <v>7055</v>
      </c>
      <c r="G138" s="9" t="str">
        <f ca="1">INDEX(DistrictEquipmentTypes.csv!F:F,RANDBETWEEN(2,COUNTA(DistrictEquipmentTypes.csv!D:D)),1)</f>
        <v>200009</v>
      </c>
      <c r="H138" s="8" t="str">
        <f t="shared" ca="1" si="16"/>
        <v>rg:{ 'id': '200009'}</v>
      </c>
      <c r="I138" s="8">
        <f t="shared" ca="1" si="17"/>
        <v>1</v>
      </c>
      <c r="J138" s="8">
        <f t="shared" ca="1" si="18"/>
        <v>70</v>
      </c>
      <c r="K138" s="8" t="str">
        <f t="shared" ca="1" si="19"/>
        <v>2017-04-19</v>
      </c>
      <c r="L138" s="8" t="str">
        <f t="shared" ca="1" si="20"/>
        <v>2017-04-27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>
        <f>IFERROR(VLOOKUP(VLOOKUP(VLOOKUP(C139,Project.csv!F:Q,12,FALSE),ServiceAreas.csv!B:I,8,FALSE),LocalAreas.csv!B:H,7,FALSE),200029)</f>
        <v>200074</v>
      </c>
      <c r="E139" s="8" t="str">
        <f t="shared" si="15"/>
        <v>rg:{'id':'200074'}</v>
      </c>
      <c r="F139" s="9" t="s">
        <v>7055</v>
      </c>
      <c r="G139" s="9" t="str">
        <f ca="1">INDEX(DistrictEquipmentTypes.csv!F:F,RANDBETWEEN(2,COUNTA(DistrictEquipmentTypes.csv!D:D)),1)</f>
        <v>200002</v>
      </c>
      <c r="H139" s="8" t="str">
        <f t="shared" ca="1" si="16"/>
        <v>rg:{ 'id': '200002'}</v>
      </c>
      <c r="I139" s="8">
        <f t="shared" ca="1" si="17"/>
        <v>1</v>
      </c>
      <c r="J139" s="8">
        <f t="shared" ca="1" si="18"/>
        <v>35</v>
      </c>
      <c r="K139" s="8" t="str">
        <f t="shared" ca="1" si="19"/>
        <v>2017-03-24</v>
      </c>
      <c r="L139" s="8" t="str">
        <f t="shared" ca="1" si="20"/>
        <v>2017-03-28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>
        <f>IFERROR(VLOOKUP(VLOOKUP(VLOOKUP(C140,Project.csv!F:Q,12,FALSE),ServiceAreas.csv!B:I,8,FALSE),LocalAreas.csv!B:H,7,FALSE),200029)</f>
        <v>200074</v>
      </c>
      <c r="E140" s="8" t="str">
        <f t="shared" si="15"/>
        <v>rg:{'id':'200074'}</v>
      </c>
      <c r="F140" s="9" t="s">
        <v>7055</v>
      </c>
      <c r="G140" s="9" t="str">
        <f ca="1">INDEX(DistrictEquipmentTypes.csv!F:F,RANDBETWEEN(2,COUNTA(DistrictEquipmentTypes.csv!D:D)),1)</f>
        <v>200007</v>
      </c>
      <c r="H140" s="8" t="str">
        <f t="shared" ca="1" si="16"/>
        <v>rg:{ 'id': '200007'}</v>
      </c>
      <c r="I140" s="8">
        <f t="shared" ca="1" si="17"/>
        <v>1</v>
      </c>
      <c r="J140" s="8">
        <f t="shared" ca="1" si="18"/>
        <v>19</v>
      </c>
      <c r="K140" s="8" t="str">
        <f t="shared" ca="1" si="19"/>
        <v>2017-04-21</v>
      </c>
      <c r="L140" s="8" t="str">
        <f t="shared" ca="1" si="20"/>
        <v>2017-04-23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>
        <f>IFERROR(VLOOKUP(VLOOKUP(VLOOKUP(C141,Project.csv!F:Q,12,FALSE),ServiceAreas.csv!B:I,8,FALSE),LocalAreas.csv!B:H,7,FALSE),200029)</f>
        <v>200074</v>
      </c>
      <c r="E141" s="8" t="str">
        <f t="shared" si="15"/>
        <v>rg:{'id':'200074'}</v>
      </c>
      <c r="F141" s="9" t="s">
        <v>7055</v>
      </c>
      <c r="G141" s="9" t="str">
        <f ca="1">INDEX(DistrictEquipmentTypes.csv!F:F,RANDBETWEEN(2,COUNTA(DistrictEquipmentTypes.csv!D:D)),1)</f>
        <v>200006</v>
      </c>
      <c r="H141" s="8" t="str">
        <f t="shared" ca="1" si="16"/>
        <v>rg:{ 'id': '200006'}</v>
      </c>
      <c r="I141" s="8">
        <f t="shared" ca="1" si="17"/>
        <v>1</v>
      </c>
      <c r="J141" s="8">
        <f t="shared" ca="1" si="18"/>
        <v>50</v>
      </c>
      <c r="K141" s="8" t="str">
        <f t="shared" ca="1" si="19"/>
        <v>2017-04-14</v>
      </c>
      <c r="L141" s="8" t="str">
        <f t="shared" ca="1" si="20"/>
        <v>2017-04-20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>
        <f>IFERROR(VLOOKUP(VLOOKUP(VLOOKUP(C142,Project.csv!F:Q,12,FALSE),ServiceAreas.csv!B:I,8,FALSE),LocalAreas.csv!B:H,7,FALSE),200029)</f>
        <v>200034</v>
      </c>
      <c r="E142" s="8" t="str">
        <f t="shared" si="15"/>
        <v>rg:{'id':'200034'}</v>
      </c>
      <c r="F142" s="9" t="s">
        <v>7055</v>
      </c>
      <c r="G142" s="9" t="str">
        <f ca="1">INDEX(DistrictEquipmentTypes.csv!F:F,RANDBETWEEN(2,COUNTA(DistrictEquipmentTypes.csv!D:D)),1)</f>
        <v>200002</v>
      </c>
      <c r="H142" s="8" t="str">
        <f t="shared" ca="1" si="16"/>
        <v>rg:{ 'id': '200002'}</v>
      </c>
      <c r="I142" s="8">
        <f t="shared" ca="1" si="17"/>
        <v>1</v>
      </c>
      <c r="J142" s="8">
        <f t="shared" ca="1" si="18"/>
        <v>29</v>
      </c>
      <c r="K142" s="8" t="str">
        <f t="shared" ca="1" si="19"/>
        <v>2017-04-27</v>
      </c>
      <c r="L142" s="8" t="str">
        <f t="shared" ca="1" si="20"/>
        <v>2017-04-30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>
        <f>IFERROR(VLOOKUP(VLOOKUP(VLOOKUP(C143,Project.csv!F:Q,12,FALSE),ServiceAreas.csv!B:I,8,FALSE),LocalAreas.csv!B:H,7,FALSE),200029)</f>
        <v>200034</v>
      </c>
      <c r="E143" s="8" t="str">
        <f t="shared" si="15"/>
        <v>rg:{'id':'200034'}</v>
      </c>
      <c r="F143" s="9" t="s">
        <v>7055</v>
      </c>
      <c r="G143" s="9" t="str">
        <f ca="1">INDEX(DistrictEquipmentTypes.csv!F:F,RANDBETWEEN(2,COUNTA(DistrictEquipmentTypes.csv!D:D)),1)</f>
        <v>200003</v>
      </c>
      <c r="H143" s="8" t="str">
        <f t="shared" ca="1" si="16"/>
        <v>rg:{ 'id': '200003'}</v>
      </c>
      <c r="I143" s="8">
        <f t="shared" ca="1" si="17"/>
        <v>1</v>
      </c>
      <c r="J143" s="8">
        <f t="shared" ca="1" si="18"/>
        <v>26</v>
      </c>
      <c r="K143" s="8" t="str">
        <f t="shared" ca="1" si="19"/>
        <v>2017-03-23</v>
      </c>
      <c r="L143" s="8" t="str">
        <f t="shared" ca="1" si="20"/>
        <v>2017-03-26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>
        <f>IFERROR(VLOOKUP(VLOOKUP(VLOOKUP(C144,Project.csv!F:Q,12,FALSE),ServiceAreas.csv!B:I,8,FALSE),LocalAreas.csv!B:H,7,FALSE),200029)</f>
        <v>200034</v>
      </c>
      <c r="E144" s="8" t="str">
        <f t="shared" si="15"/>
        <v>rg:{'id':'200034'}</v>
      </c>
      <c r="F144" s="9" t="s">
        <v>7056</v>
      </c>
      <c r="G144" s="9" t="str">
        <f ca="1">INDEX(DistrictEquipmentTypes.csv!F:F,RANDBETWEEN(2,COUNTA(DistrictEquipmentTypes.csv!D:D)),1)</f>
        <v>200000</v>
      </c>
      <c r="H144" s="8" t="str">
        <f t="shared" ca="1" si="16"/>
        <v>rg:{ 'id': '200000'}</v>
      </c>
      <c r="I144" s="8">
        <f t="shared" ca="1" si="17"/>
        <v>2</v>
      </c>
      <c r="J144" s="8">
        <f t="shared" ca="1" si="18"/>
        <v>39</v>
      </c>
      <c r="K144" s="8" t="str">
        <f t="shared" ca="1" si="19"/>
        <v>2017-04-20</v>
      </c>
      <c r="L144" s="8" t="str">
        <f t="shared" ca="1" si="20"/>
        <v>2017-04-29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>
        <f>IFERROR(VLOOKUP(VLOOKUP(VLOOKUP(C145,Project.csv!F:Q,12,FALSE),ServiceAreas.csv!B:I,8,FALSE),LocalAreas.csv!B:H,7,FALSE),200029)</f>
        <v>200034</v>
      </c>
      <c r="E145" s="8" t="str">
        <f t="shared" si="15"/>
        <v>rg:{'id':'200034'}</v>
      </c>
      <c r="F145" s="9" t="s">
        <v>7056</v>
      </c>
      <c r="G145" s="9" t="str">
        <f ca="1">INDEX(DistrictEquipmentTypes.csv!F:F,RANDBETWEEN(2,COUNTA(DistrictEquipmentTypes.csv!D:D)),1)</f>
        <v>200006</v>
      </c>
      <c r="H145" s="8" t="str">
        <f t="shared" ca="1" si="16"/>
        <v>rg:{ 'id': '200006'}</v>
      </c>
      <c r="I145" s="8">
        <f t="shared" ca="1" si="17"/>
        <v>1</v>
      </c>
      <c r="J145" s="8">
        <f t="shared" ca="1" si="18"/>
        <v>51</v>
      </c>
      <c r="K145" s="8" t="str">
        <f t="shared" ca="1" si="19"/>
        <v>2017-03-29</v>
      </c>
      <c r="L145" s="8" t="str">
        <f t="shared" ca="1" si="20"/>
        <v>2017-04-04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>
        <f>IFERROR(VLOOKUP(VLOOKUP(VLOOKUP(C146,Project.csv!F:Q,12,FALSE),ServiceAreas.csv!B:I,8,FALSE),LocalAreas.csv!B:H,7,FALSE),200029)</f>
        <v>200034</v>
      </c>
      <c r="E146" s="8" t="str">
        <f t="shared" si="15"/>
        <v>rg:{'id':'200034'}</v>
      </c>
      <c r="F146" s="9" t="s">
        <v>7056</v>
      </c>
      <c r="G146" s="9" t="str">
        <f ca="1">INDEX(DistrictEquipmentTypes.csv!F:F,RANDBETWEEN(2,COUNTA(DistrictEquipmentTypes.csv!D:D)),1)</f>
        <v>200006</v>
      </c>
      <c r="H146" s="8" t="str">
        <f t="shared" ca="1" si="16"/>
        <v>rg:{ 'id': '200006'}</v>
      </c>
      <c r="I146" s="8">
        <f t="shared" ca="1" si="17"/>
        <v>1</v>
      </c>
      <c r="J146" s="8">
        <f t="shared" ca="1" si="18"/>
        <v>90</v>
      </c>
      <c r="K146" s="8" t="str">
        <f t="shared" ca="1" si="19"/>
        <v>2017-05-06</v>
      </c>
      <c r="L146" s="8" t="str">
        <f t="shared" ca="1" si="20"/>
        <v>2017-05-17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>
        <f>IFERROR(VLOOKUP(VLOOKUP(VLOOKUP(C147,Project.csv!F:Q,12,FALSE),ServiceAreas.csv!B:I,8,FALSE),LocalAreas.csv!B:H,7,FALSE),200029)</f>
        <v>200034</v>
      </c>
      <c r="E147" s="8" t="str">
        <f t="shared" si="15"/>
        <v>rg:{'id':'200034'}</v>
      </c>
      <c r="F147" s="9" t="s">
        <v>7056</v>
      </c>
      <c r="G147" s="9" t="str">
        <f ca="1">INDEX(DistrictEquipmentTypes.csv!F:F,RANDBETWEEN(2,COUNTA(DistrictEquipmentTypes.csv!D:D)),1)</f>
        <v>200000</v>
      </c>
      <c r="H147" s="8" t="str">
        <f t="shared" ca="1" si="16"/>
        <v>rg:{ 'id': '200000'}</v>
      </c>
      <c r="I147" s="8">
        <f t="shared" ca="1" si="17"/>
        <v>1</v>
      </c>
      <c r="J147" s="8">
        <f t="shared" ca="1" si="18"/>
        <v>86</v>
      </c>
      <c r="K147" s="8" t="str">
        <f t="shared" ca="1" si="19"/>
        <v>2017-04-26</v>
      </c>
      <c r="L147" s="8" t="str">
        <f t="shared" ca="1" si="20"/>
        <v>2017-05-06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>
        <f>IFERROR(VLOOKUP(VLOOKUP(VLOOKUP(C148,Project.csv!F:Q,12,FALSE),ServiceAreas.csv!B:I,8,FALSE),LocalAreas.csv!B:H,7,FALSE),200029)</f>
        <v>200034</v>
      </c>
      <c r="E148" s="8" t="str">
        <f t="shared" si="15"/>
        <v>rg:{'id':'200034'}</v>
      </c>
      <c r="F148" s="9" t="s">
        <v>7055</v>
      </c>
      <c r="G148" s="9" t="str">
        <f ca="1">INDEX(DistrictEquipmentTypes.csv!F:F,RANDBETWEEN(2,COUNTA(DistrictEquipmentTypes.csv!D:D)),1)</f>
        <v>200009</v>
      </c>
      <c r="H148" s="8" t="str">
        <f t="shared" ca="1" si="16"/>
        <v>rg:{ 'id': '200009'}</v>
      </c>
      <c r="I148" s="8">
        <f t="shared" ca="1" si="17"/>
        <v>1</v>
      </c>
      <c r="J148" s="8">
        <f t="shared" ca="1" si="18"/>
        <v>25</v>
      </c>
      <c r="K148" s="8" t="str">
        <f t="shared" ca="1" si="19"/>
        <v>2017-03-29</v>
      </c>
      <c r="L148" s="8" t="str">
        <f t="shared" ca="1" si="20"/>
        <v>2017-04-01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>
        <f>IFERROR(VLOOKUP(VLOOKUP(VLOOKUP(C149,Project.csv!F:Q,12,FALSE),ServiceAreas.csv!B:I,8,FALSE),LocalAreas.csv!B:H,7,FALSE),200029)</f>
        <v>200027</v>
      </c>
      <c r="E149" s="8" t="str">
        <f t="shared" si="15"/>
        <v>rg:{'id':'200027'}</v>
      </c>
      <c r="F149" s="9" t="s">
        <v>7056</v>
      </c>
      <c r="G149" s="9" t="str">
        <f ca="1">INDEX(DistrictEquipmentTypes.csv!F:F,RANDBETWEEN(2,COUNTA(DistrictEquipmentTypes.csv!D:D)),1)</f>
        <v>200001</v>
      </c>
      <c r="H149" s="8" t="str">
        <f t="shared" ca="1" si="16"/>
        <v>rg:{ 'id': '200001'}</v>
      </c>
      <c r="I149" s="8">
        <f t="shared" ca="1" si="17"/>
        <v>1</v>
      </c>
      <c r="J149" s="8">
        <f t="shared" ca="1" si="18"/>
        <v>99</v>
      </c>
      <c r="K149" s="8" t="str">
        <f t="shared" ca="1" si="19"/>
        <v>2017-03-28</v>
      </c>
      <c r="L149" s="8" t="str">
        <f t="shared" ca="1" si="20"/>
        <v>2017-04-09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>
        <f>IFERROR(VLOOKUP(VLOOKUP(VLOOKUP(C150,Project.csv!F:Q,12,FALSE),ServiceAreas.csv!B:I,8,FALSE),LocalAreas.csv!B:H,7,FALSE),200029)</f>
        <v>200027</v>
      </c>
      <c r="E150" s="8" t="str">
        <f t="shared" si="15"/>
        <v>rg:{'id':'200027'}</v>
      </c>
      <c r="F150" s="9" t="s">
        <v>7056</v>
      </c>
      <c r="G150" s="9" t="str">
        <f ca="1">INDEX(DistrictEquipmentTypes.csv!F:F,RANDBETWEEN(2,COUNTA(DistrictEquipmentTypes.csv!D:D)),1)</f>
        <v>200007</v>
      </c>
      <c r="H150" s="8" t="str">
        <f t="shared" ca="1" si="16"/>
        <v>rg:{ 'id': '200007'}</v>
      </c>
      <c r="I150" s="8">
        <f t="shared" ca="1" si="17"/>
        <v>1</v>
      </c>
      <c r="J150" s="8">
        <f t="shared" ca="1" si="18"/>
        <v>22</v>
      </c>
      <c r="K150" s="8" t="str">
        <f t="shared" ca="1" si="19"/>
        <v>2017-04-09</v>
      </c>
      <c r="L150" s="8" t="str">
        <f t="shared" ca="1" si="20"/>
        <v>2017-04-11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>
        <f>IFERROR(VLOOKUP(VLOOKUP(VLOOKUP(C151,Project.csv!F:Q,12,FALSE),ServiceAreas.csv!B:I,8,FALSE),LocalAreas.csv!B:H,7,FALSE),200029)</f>
        <v>200027</v>
      </c>
      <c r="E151" s="8" t="str">
        <f t="shared" si="15"/>
        <v>rg:{'id':'200027'}</v>
      </c>
      <c r="F151" s="9" t="s">
        <v>7055</v>
      </c>
      <c r="G151" s="9" t="str">
        <f ca="1">INDEX(DistrictEquipmentTypes.csv!F:F,RANDBETWEEN(2,COUNTA(DistrictEquipmentTypes.csv!D:D)),1)</f>
        <v>200001</v>
      </c>
      <c r="H151" s="8" t="str">
        <f t="shared" ca="1" si="16"/>
        <v>rg:{ 'id': '200001'}</v>
      </c>
      <c r="I151" s="8">
        <f t="shared" ca="1" si="17"/>
        <v>1</v>
      </c>
      <c r="J151" s="8">
        <f t="shared" ca="1" si="18"/>
        <v>77</v>
      </c>
      <c r="K151" s="8" t="str">
        <f t="shared" ca="1" si="19"/>
        <v>2017-04-25</v>
      </c>
      <c r="L151" s="8" t="str">
        <f t="shared" ca="1" si="20"/>
        <v>2017-05-04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>
        <f>IFERROR(VLOOKUP(VLOOKUP(VLOOKUP(C152,Project.csv!F:Q,12,FALSE),ServiceAreas.csv!B:I,8,FALSE),LocalAreas.csv!B:H,7,FALSE),200029)</f>
        <v>200027</v>
      </c>
      <c r="E152" s="8" t="str">
        <f t="shared" si="15"/>
        <v>rg:{'id':'200027'}</v>
      </c>
      <c r="F152" s="9" t="s">
        <v>7055</v>
      </c>
      <c r="G152" s="9" t="str">
        <f ca="1">INDEX(DistrictEquipmentTypes.csv!F:F,RANDBETWEEN(2,COUNTA(DistrictEquipmentTypes.csv!D:D)),1)</f>
        <v>200003</v>
      </c>
      <c r="H152" s="8" t="str">
        <f t="shared" ca="1" si="16"/>
        <v>rg:{ 'id': '200003'}</v>
      </c>
      <c r="I152" s="8">
        <f t="shared" ca="1" si="17"/>
        <v>2</v>
      </c>
      <c r="J152" s="8">
        <f t="shared" ca="1" si="18"/>
        <v>99</v>
      </c>
      <c r="K152" s="8" t="str">
        <f t="shared" ca="1" si="19"/>
        <v>2017-04-04</v>
      </c>
      <c r="L152" s="8" t="str">
        <f t="shared" ca="1" si="20"/>
        <v>2017-04-28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>
        <f>IFERROR(VLOOKUP(VLOOKUP(VLOOKUP(C153,Project.csv!F:Q,12,FALSE),ServiceAreas.csv!B:I,8,FALSE),LocalAreas.csv!B:H,7,FALSE),200029)</f>
        <v>200027</v>
      </c>
      <c r="E153" s="8" t="str">
        <f t="shared" si="15"/>
        <v>rg:{'id':'200027'}</v>
      </c>
      <c r="F153" s="9" t="s">
        <v>7055</v>
      </c>
      <c r="G153" s="9" t="str">
        <f ca="1">INDEX(DistrictEquipmentTypes.csv!F:F,RANDBETWEEN(2,COUNTA(DistrictEquipmentTypes.csv!D:D)),1)</f>
        <v>200003</v>
      </c>
      <c r="H153" s="8" t="str">
        <f t="shared" ca="1" si="16"/>
        <v>rg:{ 'id': '200003'}</v>
      </c>
      <c r="I153" s="8">
        <f t="shared" ca="1" si="17"/>
        <v>1</v>
      </c>
      <c r="J153" s="8">
        <f t="shared" ca="1" si="18"/>
        <v>5</v>
      </c>
      <c r="K153" s="8" t="str">
        <f t="shared" ca="1" si="19"/>
        <v>2017-05-10</v>
      </c>
      <c r="L153" s="8" t="str">
        <f t="shared" ca="1" si="20"/>
        <v>2017-05-10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>
        <f>IFERROR(VLOOKUP(VLOOKUP(VLOOKUP(C154,Project.csv!F:Q,12,FALSE),ServiceAreas.csv!B:I,8,FALSE),LocalAreas.csv!B:H,7,FALSE),200029)</f>
        <v>200027</v>
      </c>
      <c r="E154" s="8" t="str">
        <f t="shared" si="15"/>
        <v>rg:{'id':'200027'}</v>
      </c>
      <c r="F154" s="9" t="s">
        <v>7055</v>
      </c>
      <c r="G154" s="9" t="str">
        <f ca="1">INDEX(DistrictEquipmentTypes.csv!F:F,RANDBETWEEN(2,COUNTA(DistrictEquipmentTypes.csv!D:D)),1)</f>
        <v>200004</v>
      </c>
      <c r="H154" s="8" t="str">
        <f t="shared" ca="1" si="16"/>
        <v>rg:{ 'id': '200004'}</v>
      </c>
      <c r="I154" s="8">
        <f t="shared" ca="1" si="17"/>
        <v>1</v>
      </c>
      <c r="J154" s="8">
        <f t="shared" ca="1" si="18"/>
        <v>67</v>
      </c>
      <c r="K154" s="8" t="str">
        <f t="shared" ca="1" si="19"/>
        <v>2017-04-17</v>
      </c>
      <c r="L154" s="8" t="str">
        <f t="shared" ca="1" si="20"/>
        <v>2017-04-25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>
        <f>IFERROR(VLOOKUP(VLOOKUP(VLOOKUP(C155,Project.csv!F:Q,12,FALSE),ServiceAreas.csv!B:I,8,FALSE),LocalAreas.csv!B:H,7,FALSE),200029)</f>
        <v>200027</v>
      </c>
      <c r="E155" s="8" t="str">
        <f t="shared" si="15"/>
        <v>rg:{'id':'200027'}</v>
      </c>
      <c r="F155" s="9" t="s">
        <v>7055</v>
      </c>
      <c r="G155" s="9" t="str">
        <f ca="1">INDEX(DistrictEquipmentTypes.csv!F:F,RANDBETWEEN(2,COUNTA(DistrictEquipmentTypes.csv!D:D)),1)</f>
        <v>200001</v>
      </c>
      <c r="H155" s="8" t="str">
        <f t="shared" ca="1" si="16"/>
        <v>rg:{ 'id': '200001'}</v>
      </c>
      <c r="I155" s="8">
        <f t="shared" ca="1" si="17"/>
        <v>1</v>
      </c>
      <c r="J155" s="8">
        <f t="shared" ca="1" si="18"/>
        <v>58</v>
      </c>
      <c r="K155" s="8" t="str">
        <f t="shared" ca="1" si="19"/>
        <v>2017-05-02</v>
      </c>
      <c r="L155" s="8" t="str">
        <f t="shared" ca="1" si="20"/>
        <v>2017-05-09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IFERROR(VLOOKUP(VLOOKUP(VLOOKUP(C156,Project.csv!F:Q,12,FALSE),ServiceAreas.csv!B:I,8,FALSE),LocalAreas.csv!B:H,7,FALSE),200029)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200007</v>
      </c>
      <c r="H156" s="8" t="str">
        <f t="shared" ca="1" si="16"/>
        <v>rg:{ 'id': '200007'}</v>
      </c>
      <c r="I156" s="8">
        <f t="shared" ca="1" si="17"/>
        <v>1</v>
      </c>
      <c r="J156" s="8">
        <f t="shared" ca="1" si="18"/>
        <v>12</v>
      </c>
      <c r="K156" s="8" t="str">
        <f t="shared" ca="1" si="19"/>
        <v>2017-05-12</v>
      </c>
      <c r="L156" s="8" t="str">
        <f t="shared" ca="1" si="20"/>
        <v>2017-05-13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IFERROR(VLOOKUP(VLOOKUP(VLOOKUP(C157,Project.csv!F:Q,12,FALSE),ServiceAreas.csv!B:I,8,FALSE),LocalAreas.csv!B:H,7,FALSE),200029)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200005</v>
      </c>
      <c r="H157" s="8" t="str">
        <f t="shared" ca="1" si="16"/>
        <v>rg:{ 'id': '200005'}</v>
      </c>
      <c r="I157" s="8">
        <f t="shared" ca="1" si="17"/>
        <v>1</v>
      </c>
      <c r="J157" s="8">
        <f t="shared" ca="1" si="18"/>
        <v>65</v>
      </c>
      <c r="K157" s="8" t="str">
        <f t="shared" ca="1" si="19"/>
        <v>2017-03-23</v>
      </c>
      <c r="L157" s="8" t="str">
        <f t="shared" ca="1" si="20"/>
        <v>2017-03-31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IFERROR(VLOOKUP(VLOOKUP(VLOOKUP(C158,Project.csv!F:Q,12,FALSE),ServiceAreas.csv!B:I,8,FALSE),LocalAreas.csv!B:H,7,FALSE),200029)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200000</v>
      </c>
      <c r="H158" s="8" t="str">
        <f t="shared" ca="1" si="16"/>
        <v>rg:{ 'id': '200000'}</v>
      </c>
      <c r="I158" s="8">
        <f t="shared" ca="1" si="17"/>
        <v>1</v>
      </c>
      <c r="J158" s="8">
        <f t="shared" ca="1" si="18"/>
        <v>24</v>
      </c>
      <c r="K158" s="8" t="str">
        <f t="shared" ca="1" si="19"/>
        <v>2017-03-29</v>
      </c>
      <c r="L158" s="8" t="str">
        <f t="shared" ca="1" si="20"/>
        <v>2017-04-01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IFERROR(VLOOKUP(VLOOKUP(VLOOKUP(C159,Project.csv!F:Q,12,FALSE),ServiceAreas.csv!B:I,8,FALSE),LocalAreas.csv!B:H,7,FALSE),200029)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200006</v>
      </c>
      <c r="H159" s="8" t="str">
        <f t="shared" ca="1" si="16"/>
        <v>rg:{ 'id': '200006'}</v>
      </c>
      <c r="I159" s="8">
        <f t="shared" ca="1" si="17"/>
        <v>1</v>
      </c>
      <c r="J159" s="8">
        <f t="shared" ca="1" si="18"/>
        <v>48</v>
      </c>
      <c r="K159" s="8" t="str">
        <f t="shared" ca="1" si="19"/>
        <v>2017-05-08</v>
      </c>
      <c r="L159" s="8" t="str">
        <f t="shared" ca="1" si="20"/>
        <v>2017-05-14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IFERROR(VLOOKUP(VLOOKUP(VLOOKUP(C160,Project.csv!F:Q,12,FALSE),ServiceAreas.csv!B:I,8,FALSE),LocalAreas.csv!B:H,7,FALSE),200029)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200005</v>
      </c>
      <c r="H160" s="8" t="str">
        <f t="shared" ca="1" si="16"/>
        <v>rg:{ 'id': '200005'}</v>
      </c>
      <c r="I160" s="8">
        <f t="shared" ca="1" si="17"/>
        <v>2</v>
      </c>
      <c r="J160" s="8">
        <f t="shared" ca="1" si="18"/>
        <v>59</v>
      </c>
      <c r="K160" s="8" t="str">
        <f t="shared" ca="1" si="19"/>
        <v>2017-04-15</v>
      </c>
      <c r="L160" s="8" t="str">
        <f t="shared" ca="1" si="20"/>
        <v>2017-04-29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IFERROR(VLOOKUP(VLOOKUP(VLOOKUP(C161,Project.csv!F:Q,12,FALSE),ServiceAreas.csv!B:I,8,FALSE),LocalAreas.csv!B:H,7,FALSE),200029)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200006</v>
      </c>
      <c r="H161" s="8" t="str">
        <f t="shared" ca="1" si="16"/>
        <v>rg:{ 'id': '200006'}</v>
      </c>
      <c r="I161" s="8">
        <f t="shared" ca="1" si="17"/>
        <v>1</v>
      </c>
      <c r="J161" s="8">
        <f t="shared" ca="1" si="18"/>
        <v>56</v>
      </c>
      <c r="K161" s="8" t="str">
        <f t="shared" ca="1" si="19"/>
        <v>2017-05-05</v>
      </c>
      <c r="L161" s="8" t="str">
        <f t="shared" ca="1" si="20"/>
        <v>2017-05-12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IFERROR(VLOOKUP(VLOOKUP(VLOOKUP(C162,Project.csv!F:Q,12,FALSE),ServiceAreas.csv!B:I,8,FALSE),LocalAreas.csv!B:H,7,FALSE),200029)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200006</v>
      </c>
      <c r="H162" s="8" t="str">
        <f t="shared" ca="1" si="16"/>
        <v>rg:{ 'id': '200006'}</v>
      </c>
      <c r="I162" s="8">
        <f t="shared" ca="1" si="17"/>
        <v>1</v>
      </c>
      <c r="J162" s="8">
        <f t="shared" ca="1" si="18"/>
        <v>89</v>
      </c>
      <c r="K162" s="8" t="str">
        <f t="shared" ca="1" si="19"/>
        <v>2017-03-22</v>
      </c>
      <c r="L162" s="8" t="str">
        <f t="shared" ca="1" si="20"/>
        <v>2017-04-02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IFERROR(VLOOKUP(VLOOKUP(VLOOKUP(C163,Project.csv!F:Q,12,FALSE),ServiceAreas.csv!B:I,8,FALSE),LocalAreas.csv!B:H,7,FALSE),200029)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200007</v>
      </c>
      <c r="H163" s="8" t="str">
        <f t="shared" ca="1" si="16"/>
        <v>rg:{ 'id': '200007'}</v>
      </c>
      <c r="I163" s="8">
        <f t="shared" ca="1" si="17"/>
        <v>1</v>
      </c>
      <c r="J163" s="8">
        <f t="shared" ca="1" si="18"/>
        <v>66</v>
      </c>
      <c r="K163" s="8" t="str">
        <f t="shared" ca="1" si="19"/>
        <v>2017-04-14</v>
      </c>
      <c r="L163" s="8" t="str">
        <f t="shared" ca="1" si="20"/>
        <v>2017-04-22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>
        <f>IFERROR(VLOOKUP(VLOOKUP(VLOOKUP(C164,Project.csv!F:Q,12,FALSE),ServiceAreas.csv!B:I,8,FALSE),LocalAreas.csv!B:H,7,FALSE),200029)</f>
        <v>200027</v>
      </c>
      <c r="E164" s="8" t="str">
        <f t="shared" si="15"/>
        <v>rg:{'id':'200027'}</v>
      </c>
      <c r="F164" s="9" t="s">
        <v>7055</v>
      </c>
      <c r="G164" s="9" t="str">
        <f ca="1">INDEX(DistrictEquipmentTypes.csv!F:F,RANDBETWEEN(2,COUNTA(DistrictEquipmentTypes.csv!D:D)),1)</f>
        <v>200006</v>
      </c>
      <c r="H164" s="8" t="str">
        <f t="shared" ca="1" si="16"/>
        <v>rg:{ 'id': '200006'}</v>
      </c>
      <c r="I164" s="8">
        <f t="shared" ca="1" si="17"/>
        <v>1</v>
      </c>
      <c r="J164" s="8">
        <f t="shared" ca="1" si="18"/>
        <v>52</v>
      </c>
      <c r="K164" s="8" t="str">
        <f t="shared" ca="1" si="19"/>
        <v>2017-05-08</v>
      </c>
      <c r="L164" s="8" t="str">
        <f t="shared" ca="1" si="20"/>
        <v>2017-05-14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>
        <f>IFERROR(VLOOKUP(VLOOKUP(VLOOKUP(C165,Project.csv!F:Q,12,FALSE),ServiceAreas.csv!B:I,8,FALSE),LocalAreas.csv!B:H,7,FALSE),200029)</f>
        <v>200027</v>
      </c>
      <c r="E165" s="8" t="str">
        <f t="shared" si="15"/>
        <v>rg:{'id':'200027'}</v>
      </c>
      <c r="F165" s="9" t="s">
        <v>7055</v>
      </c>
      <c r="G165" s="9" t="str">
        <f ca="1">INDEX(DistrictEquipmentTypes.csv!F:F,RANDBETWEEN(2,COUNTA(DistrictEquipmentTypes.csv!D:D)),1)</f>
        <v>200004</v>
      </c>
      <c r="H165" s="8" t="str">
        <f t="shared" ca="1" si="16"/>
        <v>rg:{ 'id': '200004'}</v>
      </c>
      <c r="I165" s="8">
        <f t="shared" ca="1" si="17"/>
        <v>1</v>
      </c>
      <c r="J165" s="8">
        <f t="shared" ca="1" si="18"/>
        <v>31</v>
      </c>
      <c r="K165" s="8" t="str">
        <f t="shared" ca="1" si="19"/>
        <v>2017-04-02</v>
      </c>
      <c r="L165" s="8" t="str">
        <f t="shared" ca="1" si="20"/>
        <v>2017-04-05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>
        <f>IFERROR(VLOOKUP(VLOOKUP(VLOOKUP(C166,Project.csv!F:Q,12,FALSE),ServiceAreas.csv!B:I,8,FALSE),LocalAreas.csv!B:H,7,FALSE),200029)</f>
        <v>200027</v>
      </c>
      <c r="E166" s="8" t="str">
        <f t="shared" si="15"/>
        <v>rg:{'id':'200027'}</v>
      </c>
      <c r="F166" s="9" t="s">
        <v>7056</v>
      </c>
      <c r="G166" s="9" t="str">
        <f ca="1">INDEX(DistrictEquipmentTypes.csv!F:F,RANDBETWEEN(2,COUNTA(DistrictEquipmentTypes.csv!D:D)),1)</f>
        <v>200006</v>
      </c>
      <c r="H166" s="8" t="str">
        <f t="shared" ca="1" si="16"/>
        <v>rg:{ 'id': '200006'}</v>
      </c>
      <c r="I166" s="8">
        <f t="shared" ca="1" si="17"/>
        <v>2</v>
      </c>
      <c r="J166" s="8">
        <f t="shared" ca="1" si="18"/>
        <v>88</v>
      </c>
      <c r="K166" s="8" t="str">
        <f t="shared" ca="1" si="19"/>
        <v>2017-04-28</v>
      </c>
      <c r="L166" s="8" t="str">
        <f t="shared" ca="1" si="20"/>
        <v>2017-05-20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>
        <f>IFERROR(VLOOKUP(VLOOKUP(VLOOKUP(C167,Project.csv!F:Q,12,FALSE),ServiceAreas.csv!B:I,8,FALSE),LocalAreas.csv!B:H,7,FALSE),200029)</f>
        <v>200027</v>
      </c>
      <c r="E167" s="8" t="str">
        <f t="shared" si="15"/>
        <v>rg:{'id':'200027'}</v>
      </c>
      <c r="F167" s="9" t="s">
        <v>7055</v>
      </c>
      <c r="G167" s="9" t="str">
        <f ca="1">INDEX(DistrictEquipmentTypes.csv!F:F,RANDBETWEEN(2,COUNTA(DistrictEquipmentTypes.csv!D:D)),1)</f>
        <v>200009</v>
      </c>
      <c r="H167" s="8" t="str">
        <f t="shared" ca="1" si="16"/>
        <v>rg:{ 'id': '200009'}</v>
      </c>
      <c r="I167" s="8">
        <f t="shared" ca="1" si="17"/>
        <v>1</v>
      </c>
      <c r="J167" s="8">
        <f t="shared" ca="1" si="18"/>
        <v>40</v>
      </c>
      <c r="K167" s="8" t="str">
        <f t="shared" ca="1" si="19"/>
        <v>2017-05-13</v>
      </c>
      <c r="L167" s="8" t="str">
        <f t="shared" ca="1" si="20"/>
        <v>2017-05-18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>
        <f>IFERROR(VLOOKUP(VLOOKUP(VLOOKUP(C168,Project.csv!F:Q,12,FALSE),ServiceAreas.csv!B:I,8,FALSE),LocalAreas.csv!B:H,7,FALSE),200029)</f>
        <v>200027</v>
      </c>
      <c r="E168" s="8" t="str">
        <f t="shared" si="15"/>
        <v>rg:{'id':'200027'}</v>
      </c>
      <c r="F168" s="9" t="s">
        <v>7055</v>
      </c>
      <c r="G168" s="9" t="str">
        <f ca="1">INDEX(DistrictEquipmentTypes.csv!F:F,RANDBETWEEN(2,COUNTA(DistrictEquipmentTypes.csv!D:D)),1)</f>
        <v>200001</v>
      </c>
      <c r="H168" s="8" t="str">
        <f t="shared" ca="1" si="16"/>
        <v>rg:{ 'id': '200001'}</v>
      </c>
      <c r="I168" s="8">
        <f t="shared" ca="1" si="17"/>
        <v>1</v>
      </c>
      <c r="J168" s="8">
        <f t="shared" ca="1" si="18"/>
        <v>45</v>
      </c>
      <c r="K168" s="8" t="str">
        <f t="shared" ca="1" si="19"/>
        <v>2017-04-30</v>
      </c>
      <c r="L168" s="8" t="str">
        <f t="shared" ca="1" si="20"/>
        <v>2017-05-05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>
        <f>IFERROR(VLOOKUP(VLOOKUP(VLOOKUP(C169,Project.csv!F:Q,12,FALSE),ServiceAreas.csv!B:I,8,FALSE),LocalAreas.csv!B:H,7,FALSE),200029)</f>
        <v>200027</v>
      </c>
      <c r="E169" s="8" t="str">
        <f t="shared" si="15"/>
        <v>rg:{'id':'200027'}</v>
      </c>
      <c r="F169" s="9" t="s">
        <v>7055</v>
      </c>
      <c r="G169" s="9" t="str">
        <f ca="1">INDEX(DistrictEquipmentTypes.csv!F:F,RANDBETWEEN(2,COUNTA(DistrictEquipmentTypes.csv!D:D)),1)</f>
        <v>200005</v>
      </c>
      <c r="H169" s="8" t="str">
        <f t="shared" ca="1" si="16"/>
        <v>rg:{ 'id': '200005'}</v>
      </c>
      <c r="I169" s="8">
        <f t="shared" ca="1" si="17"/>
        <v>1</v>
      </c>
      <c r="J169" s="8">
        <f t="shared" ca="1" si="18"/>
        <v>71</v>
      </c>
      <c r="K169" s="8" t="str">
        <f t="shared" ca="1" si="19"/>
        <v>2017-05-08</v>
      </c>
      <c r="L169" s="8" t="str">
        <f t="shared" ca="1" si="20"/>
        <v>2017-05-16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>
        <f>IFERROR(VLOOKUP(VLOOKUP(VLOOKUP(C170,Project.csv!F:Q,12,FALSE),ServiceAreas.csv!B:I,8,FALSE),LocalAreas.csv!B:H,7,FALSE),200029)</f>
        <v>200027</v>
      </c>
      <c r="E170" s="8" t="str">
        <f t="shared" si="15"/>
        <v>rg:{'id':'200027'}</v>
      </c>
      <c r="F170" s="9" t="s">
        <v>7056</v>
      </c>
      <c r="G170" s="9" t="str">
        <f ca="1">INDEX(DistrictEquipmentTypes.csv!F:F,RANDBETWEEN(2,COUNTA(DistrictEquipmentTypes.csv!D:D)),1)</f>
        <v>200005</v>
      </c>
      <c r="H170" s="8" t="str">
        <f t="shared" ca="1" si="16"/>
        <v>rg:{ 'id': '200005'}</v>
      </c>
      <c r="I170" s="8">
        <f t="shared" ca="1" si="17"/>
        <v>1</v>
      </c>
      <c r="J170" s="8">
        <f t="shared" ca="1" si="18"/>
        <v>17</v>
      </c>
      <c r="K170" s="8" t="str">
        <f t="shared" ca="1" si="19"/>
        <v>2017-05-09</v>
      </c>
      <c r="L170" s="8" t="str">
        <f t="shared" ca="1" si="20"/>
        <v>2017-05-11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>
        <f>IFERROR(VLOOKUP(VLOOKUP(VLOOKUP(C171,Project.csv!F:Q,12,FALSE),ServiceAreas.csv!B:I,8,FALSE),LocalAreas.csv!B:H,7,FALSE),200029)</f>
        <v>200060</v>
      </c>
      <c r="E171" s="8" t="str">
        <f t="shared" si="15"/>
        <v>rg:{'id':'200060'}</v>
      </c>
      <c r="F171" s="9" t="s">
        <v>7055</v>
      </c>
      <c r="G171" s="9" t="str">
        <f ca="1">INDEX(DistrictEquipmentTypes.csv!F:F,RANDBETWEEN(2,COUNTA(DistrictEquipmentTypes.csv!D:D)),1)</f>
        <v>200003</v>
      </c>
      <c r="H171" s="8" t="str">
        <f t="shared" ca="1" si="16"/>
        <v>rg:{ 'id': '200003'}</v>
      </c>
      <c r="I171" s="8">
        <f t="shared" ca="1" si="17"/>
        <v>1</v>
      </c>
      <c r="J171" s="8">
        <f t="shared" ca="1" si="18"/>
        <v>6</v>
      </c>
      <c r="K171" s="8" t="str">
        <f t="shared" ca="1" si="19"/>
        <v>2017-05-02</v>
      </c>
      <c r="L171" s="8" t="str">
        <f t="shared" ca="1" si="20"/>
        <v>2017-05-02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>
        <f>IFERROR(VLOOKUP(VLOOKUP(VLOOKUP(C172,Project.csv!F:Q,12,FALSE),ServiceAreas.csv!B:I,8,FALSE),LocalAreas.csv!B:H,7,FALSE),200029)</f>
        <v>200060</v>
      </c>
      <c r="E172" s="8" t="str">
        <f t="shared" si="15"/>
        <v>rg:{'id':'200060'}</v>
      </c>
      <c r="F172" s="9" t="s">
        <v>7055</v>
      </c>
      <c r="G172" s="9" t="str">
        <f ca="1">INDEX(DistrictEquipmentTypes.csv!F:F,RANDBETWEEN(2,COUNTA(DistrictEquipmentTypes.csv!D:D)),1)</f>
        <v>200009</v>
      </c>
      <c r="H172" s="8" t="str">
        <f t="shared" ca="1" si="16"/>
        <v>rg:{ 'id': '200009'}</v>
      </c>
      <c r="I172" s="8">
        <f t="shared" ca="1" si="17"/>
        <v>1</v>
      </c>
      <c r="J172" s="8">
        <f t="shared" ca="1" si="18"/>
        <v>68</v>
      </c>
      <c r="K172" s="8" t="str">
        <f t="shared" ca="1" si="19"/>
        <v>2017-04-16</v>
      </c>
      <c r="L172" s="8" t="str">
        <f t="shared" ca="1" si="20"/>
        <v>2017-04-24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>
        <f>IFERROR(VLOOKUP(VLOOKUP(VLOOKUP(C173,Project.csv!F:Q,12,FALSE),ServiceAreas.csv!B:I,8,FALSE),LocalAreas.csv!B:H,7,FALSE),200029)</f>
        <v>200060</v>
      </c>
      <c r="E173" s="8" t="str">
        <f t="shared" si="15"/>
        <v>rg:{'id':'200060'}</v>
      </c>
      <c r="F173" s="9" t="s">
        <v>7055</v>
      </c>
      <c r="G173" s="9" t="str">
        <f ca="1">INDEX(DistrictEquipmentTypes.csv!F:F,RANDBETWEEN(2,COUNTA(DistrictEquipmentTypes.csv!D:D)),1)</f>
        <v>200009</v>
      </c>
      <c r="H173" s="8" t="str">
        <f t="shared" ca="1" si="16"/>
        <v>rg:{ 'id': '200009'}</v>
      </c>
      <c r="I173" s="8">
        <f t="shared" ca="1" si="17"/>
        <v>1</v>
      </c>
      <c r="J173" s="8">
        <f t="shared" ca="1" si="18"/>
        <v>49</v>
      </c>
      <c r="K173" s="8" t="str">
        <f t="shared" ca="1" si="19"/>
        <v>2017-03-26</v>
      </c>
      <c r="L173" s="8" t="str">
        <f t="shared" ca="1" si="20"/>
        <v>2017-04-01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>
        <f>IFERROR(VLOOKUP(VLOOKUP(VLOOKUP(C174,Project.csv!F:Q,12,FALSE),ServiceAreas.csv!B:I,8,FALSE),LocalAreas.csv!B:H,7,FALSE),200029)</f>
        <v>200060</v>
      </c>
      <c r="E174" s="8" t="str">
        <f t="shared" si="15"/>
        <v>rg:{'id':'200060'}</v>
      </c>
      <c r="F174" s="9" t="s">
        <v>7055</v>
      </c>
      <c r="G174" s="9" t="str">
        <f ca="1">INDEX(DistrictEquipmentTypes.csv!F:F,RANDBETWEEN(2,COUNTA(DistrictEquipmentTypes.csv!D:D)),1)</f>
        <v>200006</v>
      </c>
      <c r="H174" s="8" t="str">
        <f t="shared" ca="1" si="16"/>
        <v>rg:{ 'id': '200006'}</v>
      </c>
      <c r="I174" s="8">
        <f t="shared" ca="1" si="17"/>
        <v>1</v>
      </c>
      <c r="J174" s="8">
        <f t="shared" ca="1" si="18"/>
        <v>48</v>
      </c>
      <c r="K174" s="8" t="str">
        <f t="shared" ca="1" si="19"/>
        <v>2017-04-08</v>
      </c>
      <c r="L174" s="8" t="str">
        <f t="shared" ca="1" si="20"/>
        <v>2017-04-14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>
        <f>IFERROR(VLOOKUP(VLOOKUP(VLOOKUP(C175,Project.csv!F:Q,12,FALSE),ServiceAreas.csv!B:I,8,FALSE),LocalAreas.csv!B:H,7,FALSE),200029)</f>
        <v>200060</v>
      </c>
      <c r="E175" s="8" t="str">
        <f t="shared" si="15"/>
        <v>rg:{'id':'200060'}</v>
      </c>
      <c r="F175" s="9" t="s">
        <v>7055</v>
      </c>
      <c r="G175" s="9" t="str">
        <f ca="1">INDEX(DistrictEquipmentTypes.csv!F:F,RANDBETWEEN(2,COUNTA(DistrictEquipmentTypes.csv!D:D)),1)</f>
        <v>200006</v>
      </c>
      <c r="H175" s="8" t="str">
        <f t="shared" ca="1" si="16"/>
        <v>rg:{ 'id': '200006'}</v>
      </c>
      <c r="I175" s="8">
        <f t="shared" ca="1" si="17"/>
        <v>1</v>
      </c>
      <c r="J175" s="8">
        <f t="shared" ca="1" si="18"/>
        <v>72</v>
      </c>
      <c r="K175" s="8" t="str">
        <f t="shared" ca="1" si="19"/>
        <v>2017-04-20</v>
      </c>
      <c r="L175" s="8" t="str">
        <f t="shared" ca="1" si="20"/>
        <v>2017-04-29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>
        <f>IFERROR(VLOOKUP(VLOOKUP(VLOOKUP(C176,Project.csv!F:Q,12,FALSE),ServiceAreas.csv!B:I,8,FALSE),LocalAreas.csv!B:H,7,FALSE),200029)</f>
        <v>200060</v>
      </c>
      <c r="E176" s="8" t="str">
        <f t="shared" si="15"/>
        <v>rg:{'id':'200060'}</v>
      </c>
      <c r="F176" s="9" t="s">
        <v>7055</v>
      </c>
      <c r="G176" s="9" t="str">
        <f ca="1">INDEX(DistrictEquipmentTypes.csv!F:F,RANDBETWEEN(2,COUNTA(DistrictEquipmentTypes.csv!D:D)),1)</f>
        <v>200009</v>
      </c>
      <c r="H176" s="8" t="str">
        <f t="shared" ca="1" si="16"/>
        <v>rg:{ 'id': '200009'}</v>
      </c>
      <c r="I176" s="8">
        <f t="shared" ca="1" si="17"/>
        <v>1</v>
      </c>
      <c r="J176" s="8">
        <f t="shared" ca="1" si="18"/>
        <v>50</v>
      </c>
      <c r="K176" s="8" t="str">
        <f t="shared" ca="1" si="19"/>
        <v>2017-04-10</v>
      </c>
      <c r="L176" s="8" t="str">
        <f t="shared" ca="1" si="20"/>
        <v>2017-04-16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>
        <f>IFERROR(VLOOKUP(VLOOKUP(VLOOKUP(C177,Project.csv!F:Q,12,FALSE),ServiceAreas.csv!B:I,8,FALSE),LocalAreas.csv!B:H,7,FALSE),200029)</f>
        <v>200060</v>
      </c>
      <c r="E177" s="8" t="str">
        <f t="shared" si="15"/>
        <v>rg:{'id':'200060'}</v>
      </c>
      <c r="F177" s="9" t="s">
        <v>7055</v>
      </c>
      <c r="G177" s="9" t="str">
        <f ca="1">INDEX(DistrictEquipmentTypes.csv!F:F,RANDBETWEEN(2,COUNTA(DistrictEquipmentTypes.csv!D:D)),1)</f>
        <v>200002</v>
      </c>
      <c r="H177" s="8" t="str">
        <f t="shared" ca="1" si="16"/>
        <v>rg:{ 'id': '200002'}</v>
      </c>
      <c r="I177" s="8">
        <f t="shared" ca="1" si="17"/>
        <v>1</v>
      </c>
      <c r="J177" s="8">
        <f t="shared" ca="1" si="18"/>
        <v>80</v>
      </c>
      <c r="K177" s="8" t="str">
        <f t="shared" ca="1" si="19"/>
        <v>2017-04-03</v>
      </c>
      <c r="L177" s="8" t="str">
        <f t="shared" ca="1" si="20"/>
        <v>2017-04-13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>
        <f>IFERROR(VLOOKUP(VLOOKUP(VLOOKUP(C178,Project.csv!F:Q,12,FALSE),ServiceAreas.csv!B:I,8,FALSE),LocalAreas.csv!B:H,7,FALSE),200029)</f>
        <v>200060</v>
      </c>
      <c r="E178" s="8" t="str">
        <f t="shared" si="15"/>
        <v>rg:{'id':'200060'}</v>
      </c>
      <c r="F178" s="9" t="s">
        <v>7055</v>
      </c>
      <c r="G178" s="9" t="str">
        <f ca="1">INDEX(DistrictEquipmentTypes.csv!F:F,RANDBETWEEN(2,COUNTA(DistrictEquipmentTypes.csv!D:D)),1)</f>
        <v>200009</v>
      </c>
      <c r="H178" s="8" t="str">
        <f t="shared" ca="1" si="16"/>
        <v>rg:{ 'id': '200009'}</v>
      </c>
      <c r="I178" s="8">
        <f t="shared" ca="1" si="17"/>
        <v>1</v>
      </c>
      <c r="J178" s="8">
        <f t="shared" ca="1" si="18"/>
        <v>49</v>
      </c>
      <c r="K178" s="8" t="str">
        <f t="shared" ca="1" si="19"/>
        <v>2017-04-12</v>
      </c>
      <c r="L178" s="8" t="str">
        <f t="shared" ca="1" si="20"/>
        <v>2017-04-18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>
        <f>IFERROR(VLOOKUP(VLOOKUP(VLOOKUP(C179,Project.csv!F:Q,12,FALSE),ServiceAreas.csv!B:I,8,FALSE),LocalAreas.csv!B:H,7,FALSE),200029)</f>
        <v>200060</v>
      </c>
      <c r="E179" s="8" t="str">
        <f t="shared" si="15"/>
        <v>rg:{'id':'200060'}</v>
      </c>
      <c r="F179" s="9" t="s">
        <v>7055</v>
      </c>
      <c r="G179" s="9" t="str">
        <f ca="1">INDEX(DistrictEquipmentTypes.csv!F:F,RANDBETWEEN(2,COUNTA(DistrictEquipmentTypes.csv!D:D)),1)</f>
        <v>200006</v>
      </c>
      <c r="H179" s="8" t="str">
        <f t="shared" ca="1" si="16"/>
        <v>rg:{ 'id': '200006'}</v>
      </c>
      <c r="I179" s="8">
        <f t="shared" ca="1" si="17"/>
        <v>1</v>
      </c>
      <c r="J179" s="8">
        <f t="shared" ca="1" si="18"/>
        <v>63</v>
      </c>
      <c r="K179" s="8" t="str">
        <f t="shared" ca="1" si="19"/>
        <v>2017-05-09</v>
      </c>
      <c r="L179" s="8" t="str">
        <f t="shared" ca="1" si="20"/>
        <v>2017-05-16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>
        <f>IFERROR(VLOOKUP(VLOOKUP(VLOOKUP(C180,Project.csv!F:Q,12,FALSE),ServiceAreas.csv!B:I,8,FALSE),LocalAreas.csv!B:H,7,FALSE),200029)</f>
        <v>200060</v>
      </c>
      <c r="E180" s="8" t="str">
        <f t="shared" si="15"/>
        <v>rg:{'id':'200060'}</v>
      </c>
      <c r="F180" s="9" t="s">
        <v>7055</v>
      </c>
      <c r="G180" s="9" t="str">
        <f ca="1">INDEX(DistrictEquipmentTypes.csv!F:F,RANDBETWEEN(2,COUNTA(DistrictEquipmentTypes.csv!D:D)),1)</f>
        <v>200007</v>
      </c>
      <c r="H180" s="8" t="str">
        <f t="shared" ca="1" si="16"/>
        <v>rg:{ 'id': '200007'}</v>
      </c>
      <c r="I180" s="8">
        <f t="shared" ca="1" si="17"/>
        <v>1</v>
      </c>
      <c r="J180" s="8">
        <f t="shared" ca="1" si="18"/>
        <v>8</v>
      </c>
      <c r="K180" s="8" t="str">
        <f t="shared" ca="1" si="19"/>
        <v>2017-04-27</v>
      </c>
      <c r="L180" s="8" t="str">
        <f t="shared" ca="1" si="20"/>
        <v>2017-04-28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>
        <f>IFERROR(VLOOKUP(VLOOKUP(VLOOKUP(C181,Project.csv!F:Q,12,FALSE),ServiceAreas.csv!B:I,8,FALSE),LocalAreas.csv!B:H,7,FALSE),200029)</f>
        <v>200060</v>
      </c>
      <c r="E181" s="8" t="str">
        <f t="shared" si="15"/>
        <v>rg:{'id':'200060'}</v>
      </c>
      <c r="F181" s="9" t="s">
        <v>7055</v>
      </c>
      <c r="G181" s="9" t="str">
        <f ca="1">INDEX(DistrictEquipmentTypes.csv!F:F,RANDBETWEEN(2,COUNTA(DistrictEquipmentTypes.csv!D:D)),1)</f>
        <v>200006</v>
      </c>
      <c r="H181" s="8" t="str">
        <f t="shared" ca="1" si="16"/>
        <v>rg:{ 'id': '200006'}</v>
      </c>
      <c r="I181" s="8">
        <f t="shared" ca="1" si="17"/>
        <v>1</v>
      </c>
      <c r="J181" s="8">
        <f t="shared" ca="1" si="18"/>
        <v>51</v>
      </c>
      <c r="K181" s="8" t="str">
        <f t="shared" ca="1" si="19"/>
        <v>2017-04-04</v>
      </c>
      <c r="L181" s="8" t="str">
        <f t="shared" ca="1" si="20"/>
        <v>2017-04-10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>
        <f>IFERROR(VLOOKUP(VLOOKUP(VLOOKUP(C182,Project.csv!F:Q,12,FALSE),ServiceAreas.csv!B:I,8,FALSE),LocalAreas.csv!B:H,7,FALSE),200029)</f>
        <v>200060</v>
      </c>
      <c r="E182" s="8" t="str">
        <f t="shared" si="15"/>
        <v>rg:{'id':'200060'}</v>
      </c>
      <c r="F182" s="9" t="s">
        <v>7055</v>
      </c>
      <c r="G182" s="9" t="str">
        <f ca="1">INDEX(DistrictEquipmentTypes.csv!F:F,RANDBETWEEN(2,COUNTA(DistrictEquipmentTypes.csv!D:D)),1)</f>
        <v>200003</v>
      </c>
      <c r="H182" s="8" t="str">
        <f t="shared" ca="1" si="16"/>
        <v>rg:{ 'id': '200003'}</v>
      </c>
      <c r="I182" s="8">
        <f t="shared" ca="1" si="17"/>
        <v>1</v>
      </c>
      <c r="J182" s="8">
        <f t="shared" ca="1" si="18"/>
        <v>59</v>
      </c>
      <c r="K182" s="8" t="str">
        <f t="shared" ca="1" si="19"/>
        <v>2017-04-02</v>
      </c>
      <c r="L182" s="8" t="str">
        <f t="shared" ca="1" si="20"/>
        <v>2017-04-09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>
        <f>IFERROR(VLOOKUP(VLOOKUP(VLOOKUP(C183,Project.csv!F:Q,12,FALSE),ServiceAreas.csv!B:I,8,FALSE),LocalAreas.csv!B:H,7,FALSE),200029)</f>
        <v>200060</v>
      </c>
      <c r="E183" s="8" t="str">
        <f t="shared" si="15"/>
        <v>rg:{'id':'200060'}</v>
      </c>
      <c r="F183" s="9" t="s">
        <v>7055</v>
      </c>
      <c r="G183" s="9" t="str">
        <f ca="1">INDEX(DistrictEquipmentTypes.csv!F:F,RANDBETWEEN(2,COUNTA(DistrictEquipmentTypes.csv!D:D)),1)</f>
        <v>200002</v>
      </c>
      <c r="H183" s="8" t="str">
        <f t="shared" ca="1" si="16"/>
        <v>rg:{ 'id': '200002'}</v>
      </c>
      <c r="I183" s="8">
        <f t="shared" ca="1" si="17"/>
        <v>1</v>
      </c>
      <c r="J183" s="8">
        <f t="shared" ca="1" si="18"/>
        <v>91</v>
      </c>
      <c r="K183" s="8" t="str">
        <f t="shared" ca="1" si="19"/>
        <v>2017-04-13</v>
      </c>
      <c r="L183" s="8" t="str">
        <f t="shared" ca="1" si="20"/>
        <v>2017-04-24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>
        <f>IFERROR(VLOOKUP(VLOOKUP(VLOOKUP(C184,Project.csv!F:Q,12,FALSE),ServiceAreas.csv!B:I,8,FALSE),LocalAreas.csv!B:H,7,FALSE),200029)</f>
        <v>200060</v>
      </c>
      <c r="E184" s="8" t="str">
        <f t="shared" si="15"/>
        <v>rg:{'id':'200060'}</v>
      </c>
      <c r="F184" s="9" t="s">
        <v>7055</v>
      </c>
      <c r="G184" s="9" t="str">
        <f ca="1">INDEX(DistrictEquipmentTypes.csv!F:F,RANDBETWEEN(2,COUNTA(DistrictEquipmentTypes.csv!D:D)),1)</f>
        <v>200005</v>
      </c>
      <c r="H184" s="8" t="str">
        <f t="shared" ca="1" si="16"/>
        <v>rg:{ 'id': '200005'}</v>
      </c>
      <c r="I184" s="8">
        <f t="shared" ca="1" si="17"/>
        <v>1</v>
      </c>
      <c r="J184" s="8">
        <f t="shared" ca="1" si="18"/>
        <v>42</v>
      </c>
      <c r="K184" s="8" t="str">
        <f t="shared" ca="1" si="19"/>
        <v>2017-03-23</v>
      </c>
      <c r="L184" s="8" t="str">
        <f t="shared" ca="1" si="20"/>
        <v>2017-03-28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>
        <f>IFERROR(VLOOKUP(VLOOKUP(VLOOKUP(C185,Project.csv!F:Q,12,FALSE),ServiceAreas.csv!B:I,8,FALSE),LocalAreas.csv!B:H,7,FALSE),200029)</f>
        <v>200064</v>
      </c>
      <c r="E185" s="8" t="str">
        <f t="shared" si="15"/>
        <v>rg:{'id':'200064'}</v>
      </c>
      <c r="F185" s="9" t="s">
        <v>7055</v>
      </c>
      <c r="G185" s="9" t="str">
        <f ca="1">INDEX(DistrictEquipmentTypes.csv!F:F,RANDBETWEEN(2,COUNTA(DistrictEquipmentTypes.csv!D:D)),1)</f>
        <v>200009</v>
      </c>
      <c r="H185" s="8" t="str">
        <f t="shared" ca="1" si="16"/>
        <v>rg:{ 'id': '200009'}</v>
      </c>
      <c r="I185" s="8">
        <f t="shared" ca="1" si="17"/>
        <v>1</v>
      </c>
      <c r="J185" s="8">
        <f t="shared" ca="1" si="18"/>
        <v>73</v>
      </c>
      <c r="K185" s="8" t="str">
        <f t="shared" ca="1" si="19"/>
        <v>2017-04-21</v>
      </c>
      <c r="L185" s="8" t="str">
        <f t="shared" ca="1" si="20"/>
        <v>2017-04-30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>
        <f>IFERROR(VLOOKUP(VLOOKUP(VLOOKUP(C186,Project.csv!F:Q,12,FALSE),ServiceAreas.csv!B:I,8,FALSE),LocalAreas.csv!B:H,7,FALSE),200029)</f>
        <v>200064</v>
      </c>
      <c r="E186" s="8" t="str">
        <f t="shared" si="15"/>
        <v>rg:{'id':'200064'}</v>
      </c>
      <c r="F186" s="9" t="s">
        <v>7055</v>
      </c>
      <c r="G186" s="9" t="str">
        <f ca="1">INDEX(DistrictEquipmentTypes.csv!F:F,RANDBETWEEN(2,COUNTA(DistrictEquipmentTypes.csv!D:D)),1)</f>
        <v>200007</v>
      </c>
      <c r="H186" s="8" t="str">
        <f t="shared" ca="1" si="16"/>
        <v>rg:{ 'id': '200007'}</v>
      </c>
      <c r="I186" s="8">
        <f t="shared" ca="1" si="17"/>
        <v>1</v>
      </c>
      <c r="J186" s="8">
        <f t="shared" ca="1" si="18"/>
        <v>31</v>
      </c>
      <c r="K186" s="8" t="str">
        <f t="shared" ca="1" si="19"/>
        <v>2017-04-14</v>
      </c>
      <c r="L186" s="8" t="str">
        <f t="shared" ca="1" si="20"/>
        <v>2017-04-17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>
        <f>IFERROR(VLOOKUP(VLOOKUP(VLOOKUP(C187,Project.csv!F:Q,12,FALSE),ServiceAreas.csv!B:I,8,FALSE),LocalAreas.csv!B:H,7,FALSE),200029)</f>
        <v>200064</v>
      </c>
      <c r="E187" s="8" t="str">
        <f t="shared" si="15"/>
        <v>rg:{'id':'200064'}</v>
      </c>
      <c r="F187" s="9" t="s">
        <v>7055</v>
      </c>
      <c r="G187" s="9" t="str">
        <f ca="1">INDEX(DistrictEquipmentTypes.csv!F:F,RANDBETWEEN(2,COUNTA(DistrictEquipmentTypes.csv!D:D)),1)</f>
        <v>200003</v>
      </c>
      <c r="H187" s="8" t="str">
        <f t="shared" ca="1" si="16"/>
        <v>rg:{ 'id': '200003'}</v>
      </c>
      <c r="I187" s="8">
        <f t="shared" ca="1" si="17"/>
        <v>1</v>
      </c>
      <c r="J187" s="8">
        <f t="shared" ca="1" si="18"/>
        <v>62</v>
      </c>
      <c r="K187" s="8" t="str">
        <f t="shared" ca="1" si="19"/>
        <v>2017-05-08</v>
      </c>
      <c r="L187" s="8" t="str">
        <f t="shared" ca="1" si="20"/>
        <v>2017-05-15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>
        <f>IFERROR(VLOOKUP(VLOOKUP(VLOOKUP(C188,Project.csv!F:Q,12,FALSE),ServiceAreas.csv!B:I,8,FALSE),LocalAreas.csv!B:H,7,FALSE),200029)</f>
        <v>200064</v>
      </c>
      <c r="E188" s="8" t="str">
        <f t="shared" si="15"/>
        <v>rg:{'id':'200064'}</v>
      </c>
      <c r="F188" s="9" t="s">
        <v>7055</v>
      </c>
      <c r="G188" s="9" t="str">
        <f ca="1">INDEX(DistrictEquipmentTypes.csv!F:F,RANDBETWEEN(2,COUNTA(DistrictEquipmentTypes.csv!D:D)),1)</f>
        <v>200004</v>
      </c>
      <c r="H188" s="8" t="str">
        <f t="shared" ca="1" si="16"/>
        <v>rg:{ 'id': '200004'}</v>
      </c>
      <c r="I188" s="8">
        <f t="shared" ca="1" si="17"/>
        <v>5</v>
      </c>
      <c r="J188" s="8">
        <f t="shared" ca="1" si="18"/>
        <v>64</v>
      </c>
      <c r="K188" s="8" t="str">
        <f t="shared" ca="1" si="19"/>
        <v>2017-04-16</v>
      </c>
      <c r="L188" s="8" t="str">
        <f t="shared" ca="1" si="20"/>
        <v>2017-05-26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>
        <f>IFERROR(VLOOKUP(VLOOKUP(VLOOKUP(C189,Project.csv!F:Q,12,FALSE),ServiceAreas.csv!B:I,8,FALSE),LocalAreas.csv!B:H,7,FALSE),200029)</f>
        <v>200064</v>
      </c>
      <c r="E189" s="8" t="str">
        <f t="shared" si="15"/>
        <v>rg:{'id':'200064'}</v>
      </c>
      <c r="F189" s="9" t="s">
        <v>7055</v>
      </c>
      <c r="G189" s="9" t="str">
        <f ca="1">INDEX(DistrictEquipmentTypes.csv!F:F,RANDBETWEEN(2,COUNTA(DistrictEquipmentTypes.csv!D:D)),1)</f>
        <v>200004</v>
      </c>
      <c r="H189" s="8" t="str">
        <f t="shared" ca="1" si="16"/>
        <v>rg:{ 'id': '200004'}</v>
      </c>
      <c r="I189" s="8">
        <f t="shared" ca="1" si="17"/>
        <v>1</v>
      </c>
      <c r="J189" s="8">
        <f t="shared" ca="1" si="18"/>
        <v>98</v>
      </c>
      <c r="K189" s="8" t="str">
        <f t="shared" ca="1" si="19"/>
        <v>2017-04-13</v>
      </c>
      <c r="L189" s="8" t="str">
        <f t="shared" ca="1" si="20"/>
        <v>2017-04-25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>
        <f>IFERROR(VLOOKUP(VLOOKUP(VLOOKUP(C190,Project.csv!F:Q,12,FALSE),ServiceAreas.csv!B:I,8,FALSE),LocalAreas.csv!B:H,7,FALSE),200029)</f>
        <v>200064</v>
      </c>
      <c r="E190" s="8" t="str">
        <f t="shared" si="15"/>
        <v>rg:{'id':'200064'}</v>
      </c>
      <c r="F190" s="9" t="s">
        <v>7055</v>
      </c>
      <c r="G190" s="9" t="str">
        <f ca="1">INDEX(DistrictEquipmentTypes.csv!F:F,RANDBETWEEN(2,COUNTA(DistrictEquipmentTypes.csv!D:D)),1)</f>
        <v>200007</v>
      </c>
      <c r="H190" s="8" t="str">
        <f t="shared" ca="1" si="16"/>
        <v>rg:{ 'id': '200007'}</v>
      </c>
      <c r="I190" s="8">
        <f t="shared" ca="1" si="17"/>
        <v>5</v>
      </c>
      <c r="J190" s="8">
        <f t="shared" ca="1" si="18"/>
        <v>32</v>
      </c>
      <c r="K190" s="8" t="str">
        <f t="shared" ca="1" si="19"/>
        <v>2017-04-12</v>
      </c>
      <c r="L190" s="8" t="str">
        <f t="shared" ca="1" si="20"/>
        <v>2017-05-02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>
        <f>IFERROR(VLOOKUP(VLOOKUP(VLOOKUP(C191,Project.csv!F:Q,12,FALSE),ServiceAreas.csv!B:I,8,FALSE),LocalAreas.csv!B:H,7,FALSE),200029)</f>
        <v>200064</v>
      </c>
      <c r="E191" s="8" t="str">
        <f t="shared" si="15"/>
        <v>rg:{'id':'200064'}</v>
      </c>
      <c r="F191" s="9" t="s">
        <v>7055</v>
      </c>
      <c r="G191" s="9" t="str">
        <f ca="1">INDEX(DistrictEquipmentTypes.csv!F:F,RANDBETWEEN(2,COUNTA(DistrictEquipmentTypes.csv!D:D)),1)</f>
        <v>200004</v>
      </c>
      <c r="H191" s="8" t="str">
        <f t="shared" ca="1" si="16"/>
        <v>rg:{ 'id': '200004'}</v>
      </c>
      <c r="I191" s="8">
        <f t="shared" ca="1" si="17"/>
        <v>1</v>
      </c>
      <c r="J191" s="8">
        <f t="shared" ca="1" si="18"/>
        <v>65</v>
      </c>
      <c r="K191" s="8" t="str">
        <f t="shared" ca="1" si="19"/>
        <v>2017-04-10</v>
      </c>
      <c r="L191" s="8" t="str">
        <f t="shared" ca="1" si="20"/>
        <v>2017-04-18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IFERROR(VLOOKUP(VLOOKUP(VLOOKUP(C192,Project.csv!F:Q,12,FALSE),ServiceAreas.csv!B:I,8,FALSE),LocalAreas.csv!B:H,7,FALSE),200029)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200003</v>
      </c>
      <c r="H192" s="8" t="str">
        <f t="shared" ca="1" si="16"/>
        <v>rg:{ 'id': '200003'}</v>
      </c>
      <c r="I192" s="8">
        <f t="shared" ca="1" si="17"/>
        <v>1</v>
      </c>
      <c r="J192" s="8">
        <f t="shared" ca="1" si="18"/>
        <v>82</v>
      </c>
      <c r="K192" s="8" t="str">
        <f t="shared" ca="1" si="19"/>
        <v>2017-04-09</v>
      </c>
      <c r="L192" s="8" t="str">
        <f t="shared" ca="1" si="20"/>
        <v>2017-04-19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IFERROR(VLOOKUP(VLOOKUP(VLOOKUP(C193,Project.csv!F:Q,12,FALSE),ServiceAreas.csv!B:I,8,FALSE),LocalAreas.csv!B:H,7,FALSE),200029)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200009</v>
      </c>
      <c r="H193" s="8" t="str">
        <f t="shared" ca="1" si="16"/>
        <v>rg:{ 'id': '200009'}</v>
      </c>
      <c r="I193" s="8">
        <f t="shared" ca="1" si="17"/>
        <v>1</v>
      </c>
      <c r="J193" s="8">
        <f t="shared" ca="1" si="18"/>
        <v>100</v>
      </c>
      <c r="K193" s="8" t="str">
        <f t="shared" ca="1" si="19"/>
        <v>2017-04-04</v>
      </c>
      <c r="L193" s="8" t="str">
        <f t="shared" ca="1" si="20"/>
        <v>2017-04-16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IFERROR(VLOOKUP(VLOOKUP(VLOOKUP(C194,Project.csv!F:Q,12,FALSE),ServiceAreas.csv!B:I,8,FALSE),LocalAreas.csv!B:H,7,FALSE),200029)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200002</v>
      </c>
      <c r="H194" s="8" t="str">
        <f t="shared" ca="1" si="16"/>
        <v>rg:{ 'id': '200002'}</v>
      </c>
      <c r="I194" s="8">
        <f t="shared" ca="1" si="17"/>
        <v>1</v>
      </c>
      <c r="J194" s="8">
        <f t="shared" ca="1" si="18"/>
        <v>57</v>
      </c>
      <c r="K194" s="8" t="str">
        <f t="shared" ca="1" si="19"/>
        <v>2017-04-20</v>
      </c>
      <c r="L194" s="8" t="str">
        <f t="shared" ca="1" si="20"/>
        <v>2017-04-27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IFERROR(VLOOKUP(VLOOKUP(VLOOKUP(C195,Project.csv!F:Q,12,FALSE),ServiceAreas.csv!B:I,8,FALSE),LocalAreas.csv!B:H,7,FALSE),200029)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200007</v>
      </c>
      <c r="H195" s="8" t="str">
        <f t="shared" ref="H195:H258" ca="1" si="23">"rg:{ 'id': '"&amp;G195&amp;"'}"</f>
        <v>rg:{ 'id': '200007'}</v>
      </c>
      <c r="I195" s="8">
        <f t="shared" ref="I195:I258" ca="1" si="24">IF(RANDBETWEEN(1,5)&gt;1,1,RANDBETWEEN(2,5))</f>
        <v>4</v>
      </c>
      <c r="J195" s="8">
        <f t="shared" ref="J195:J258" ca="1" si="25">RANDBETWEEN(4,100)</f>
        <v>43</v>
      </c>
      <c r="K195" s="8" t="str">
        <f t="shared" ref="K195:K258" ca="1" si="26">TEXT(TODAY()+RANDBETWEEN(1,56),"YYYY-MM-DD")</f>
        <v>2017-03-24</v>
      </c>
      <c r="L195" s="8" t="str">
        <f t="shared" ref="L195:L258" ca="1" si="27">TEXT(K195+(I195*J195)/8,"YYYY-MM-DD")</f>
        <v>2017-04-14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IFERROR(VLOOKUP(VLOOKUP(VLOOKUP(C196,Project.csv!F:Q,12,FALSE),ServiceAreas.csv!B:I,8,FALSE),LocalAreas.csv!B:H,7,FALSE),200029)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200006</v>
      </c>
      <c r="H196" s="8" t="str">
        <f t="shared" ca="1" si="23"/>
        <v>rg:{ 'id': '200006'}</v>
      </c>
      <c r="I196" s="8">
        <f t="shared" ca="1" si="24"/>
        <v>1</v>
      </c>
      <c r="J196" s="8">
        <f t="shared" ca="1" si="25"/>
        <v>25</v>
      </c>
      <c r="K196" s="8" t="str">
        <f t="shared" ca="1" si="26"/>
        <v>2017-04-22</v>
      </c>
      <c r="L196" s="8" t="str">
        <f t="shared" ca="1" si="27"/>
        <v>2017-04-25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IFERROR(VLOOKUP(VLOOKUP(VLOOKUP(C197,Project.csv!F:Q,12,FALSE),ServiceAreas.csv!B:I,8,FALSE),LocalAreas.csv!B:H,7,FALSE),200029)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200005</v>
      </c>
      <c r="H197" s="8" t="str">
        <f t="shared" ca="1" si="23"/>
        <v>rg:{ 'id': '200005'}</v>
      </c>
      <c r="I197" s="8">
        <f t="shared" ca="1" si="24"/>
        <v>1</v>
      </c>
      <c r="J197" s="8">
        <f t="shared" ca="1" si="25"/>
        <v>57</v>
      </c>
      <c r="K197" s="8" t="str">
        <f t="shared" ca="1" si="26"/>
        <v>2017-03-25</v>
      </c>
      <c r="L197" s="8" t="str">
        <f t="shared" ca="1" si="27"/>
        <v>2017-04-01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IFERROR(VLOOKUP(VLOOKUP(VLOOKUP(C198,Project.csv!F:Q,12,FALSE),ServiceAreas.csv!B:I,8,FALSE),LocalAreas.csv!B:H,7,FALSE),200029)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200006</v>
      </c>
      <c r="H198" s="8" t="str">
        <f t="shared" ca="1" si="23"/>
        <v>rg:{ 'id': '200006'}</v>
      </c>
      <c r="I198" s="8">
        <f t="shared" ca="1" si="24"/>
        <v>1</v>
      </c>
      <c r="J198" s="8">
        <f t="shared" ca="1" si="25"/>
        <v>30</v>
      </c>
      <c r="K198" s="8" t="str">
        <f t="shared" ca="1" si="26"/>
        <v>2017-03-29</v>
      </c>
      <c r="L198" s="8" t="str">
        <f t="shared" ca="1" si="27"/>
        <v>2017-04-01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>
        <f>IFERROR(VLOOKUP(VLOOKUP(VLOOKUP(C199,Project.csv!F:Q,12,FALSE),ServiceAreas.csv!B:I,8,FALSE),LocalAreas.csv!B:H,7,FALSE),200029)</f>
        <v>200069</v>
      </c>
      <c r="E199" s="8" t="str">
        <f t="shared" si="22"/>
        <v>rg:{'id':'200069'}</v>
      </c>
      <c r="F199" s="9" t="s">
        <v>7055</v>
      </c>
      <c r="G199" s="9" t="str">
        <f ca="1">INDEX(DistrictEquipmentTypes.csv!F:F,RANDBETWEEN(2,COUNTA(DistrictEquipmentTypes.csv!D:D)),1)</f>
        <v>200002</v>
      </c>
      <c r="H199" s="8" t="str">
        <f t="shared" ca="1" si="23"/>
        <v>rg:{ 'id': '200002'}</v>
      </c>
      <c r="I199" s="8">
        <f t="shared" ca="1" si="24"/>
        <v>5</v>
      </c>
      <c r="J199" s="8">
        <f t="shared" ca="1" si="25"/>
        <v>88</v>
      </c>
      <c r="K199" s="8" t="str">
        <f t="shared" ca="1" si="26"/>
        <v>2017-05-08</v>
      </c>
      <c r="L199" s="8" t="str">
        <f t="shared" ca="1" si="27"/>
        <v>2017-07-02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>
        <f>IFERROR(VLOOKUP(VLOOKUP(VLOOKUP(C200,Project.csv!F:Q,12,FALSE),ServiceAreas.csv!B:I,8,FALSE),LocalAreas.csv!B:H,7,FALSE),200029)</f>
        <v>200069</v>
      </c>
      <c r="E200" s="8" t="str">
        <f t="shared" si="22"/>
        <v>rg:{'id':'200069'}</v>
      </c>
      <c r="F200" s="9" t="s">
        <v>7055</v>
      </c>
      <c r="G200" s="9" t="str">
        <f ca="1">INDEX(DistrictEquipmentTypes.csv!F:F,RANDBETWEEN(2,COUNTA(DistrictEquipmentTypes.csv!D:D)),1)</f>
        <v>200006</v>
      </c>
      <c r="H200" s="8" t="str">
        <f t="shared" ca="1" si="23"/>
        <v>rg:{ 'id': '200006'}</v>
      </c>
      <c r="I200" s="8">
        <f t="shared" ca="1" si="24"/>
        <v>5</v>
      </c>
      <c r="J200" s="8">
        <f t="shared" ca="1" si="25"/>
        <v>17</v>
      </c>
      <c r="K200" s="8" t="str">
        <f t="shared" ca="1" si="26"/>
        <v>2017-03-28</v>
      </c>
      <c r="L200" s="8" t="str">
        <f t="shared" ca="1" si="27"/>
        <v>2017-04-07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>
        <f>IFERROR(VLOOKUP(VLOOKUP(VLOOKUP(C201,Project.csv!F:Q,12,FALSE),ServiceAreas.csv!B:I,8,FALSE),LocalAreas.csv!B:H,7,FALSE),200029)</f>
        <v>200069</v>
      </c>
      <c r="E201" s="8" t="str">
        <f t="shared" si="22"/>
        <v>rg:{'id':'200069'}</v>
      </c>
      <c r="F201" s="9" t="s">
        <v>7055</v>
      </c>
      <c r="G201" s="9" t="str">
        <f ca="1">INDEX(DistrictEquipmentTypes.csv!F:F,RANDBETWEEN(2,COUNTA(DistrictEquipmentTypes.csv!D:D)),1)</f>
        <v>200006</v>
      </c>
      <c r="H201" s="8" t="str">
        <f t="shared" ca="1" si="23"/>
        <v>rg:{ 'id': '200006'}</v>
      </c>
      <c r="I201" s="8">
        <f t="shared" ca="1" si="24"/>
        <v>1</v>
      </c>
      <c r="J201" s="8">
        <f t="shared" ca="1" si="25"/>
        <v>18</v>
      </c>
      <c r="K201" s="8" t="str">
        <f t="shared" ca="1" si="26"/>
        <v>2017-04-11</v>
      </c>
      <c r="L201" s="8" t="str">
        <f t="shared" ca="1" si="27"/>
        <v>2017-04-13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>
        <f>IFERROR(VLOOKUP(VLOOKUP(VLOOKUP(C202,Project.csv!F:Q,12,FALSE),ServiceAreas.csv!B:I,8,FALSE),LocalAreas.csv!B:H,7,FALSE),200029)</f>
        <v>200069</v>
      </c>
      <c r="E202" s="8" t="str">
        <f t="shared" si="22"/>
        <v>rg:{'id':'200069'}</v>
      </c>
      <c r="F202" s="9" t="s">
        <v>7055</v>
      </c>
      <c r="G202" s="9" t="str">
        <f ca="1">INDEX(DistrictEquipmentTypes.csv!F:F,RANDBETWEEN(2,COUNTA(DistrictEquipmentTypes.csv!D:D)),1)</f>
        <v>200000</v>
      </c>
      <c r="H202" s="8" t="str">
        <f t="shared" ca="1" si="23"/>
        <v>rg:{ 'id': '200000'}</v>
      </c>
      <c r="I202" s="8">
        <f t="shared" ca="1" si="24"/>
        <v>1</v>
      </c>
      <c r="J202" s="8">
        <f t="shared" ca="1" si="25"/>
        <v>75</v>
      </c>
      <c r="K202" s="8" t="str">
        <f t="shared" ca="1" si="26"/>
        <v>2017-05-04</v>
      </c>
      <c r="L202" s="8" t="str">
        <f t="shared" ca="1" si="27"/>
        <v>2017-05-13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>
        <f>IFERROR(VLOOKUP(VLOOKUP(VLOOKUP(C203,Project.csv!F:Q,12,FALSE),ServiceAreas.csv!B:I,8,FALSE),LocalAreas.csv!B:H,7,FALSE),200029)</f>
        <v>200069</v>
      </c>
      <c r="E203" s="8" t="str">
        <f t="shared" si="22"/>
        <v>rg:{'id':'200069'}</v>
      </c>
      <c r="F203" s="9" t="s">
        <v>7055</v>
      </c>
      <c r="G203" s="9" t="str">
        <f ca="1">INDEX(DistrictEquipmentTypes.csv!F:F,RANDBETWEEN(2,COUNTA(DistrictEquipmentTypes.csv!D:D)),1)</f>
        <v>200005</v>
      </c>
      <c r="H203" s="8" t="str">
        <f t="shared" ca="1" si="23"/>
        <v>rg:{ 'id': '200005'}</v>
      </c>
      <c r="I203" s="8">
        <f t="shared" ca="1" si="24"/>
        <v>1</v>
      </c>
      <c r="J203" s="8">
        <f t="shared" ca="1" si="25"/>
        <v>87</v>
      </c>
      <c r="K203" s="8" t="str">
        <f t="shared" ca="1" si="26"/>
        <v>2017-04-18</v>
      </c>
      <c r="L203" s="8" t="str">
        <f t="shared" ca="1" si="27"/>
        <v>2017-04-28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>
        <f>IFERROR(VLOOKUP(VLOOKUP(VLOOKUP(C204,Project.csv!F:Q,12,FALSE),ServiceAreas.csv!B:I,8,FALSE),LocalAreas.csv!B:H,7,FALSE),200029)</f>
        <v>200069</v>
      </c>
      <c r="E204" s="8" t="str">
        <f t="shared" si="22"/>
        <v>rg:{'id':'200069'}</v>
      </c>
      <c r="F204" s="9" t="s">
        <v>7055</v>
      </c>
      <c r="G204" s="9" t="str">
        <f ca="1">INDEX(DistrictEquipmentTypes.csv!F:F,RANDBETWEEN(2,COUNTA(DistrictEquipmentTypes.csv!D:D)),1)</f>
        <v>200009</v>
      </c>
      <c r="H204" s="8" t="str">
        <f t="shared" ca="1" si="23"/>
        <v>rg:{ 'id': '200009'}</v>
      </c>
      <c r="I204" s="8">
        <f t="shared" ca="1" si="24"/>
        <v>1</v>
      </c>
      <c r="J204" s="8">
        <f t="shared" ca="1" si="25"/>
        <v>86</v>
      </c>
      <c r="K204" s="8" t="str">
        <f t="shared" ca="1" si="26"/>
        <v>2017-03-25</v>
      </c>
      <c r="L204" s="8" t="str">
        <f t="shared" ca="1" si="27"/>
        <v>2017-04-04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>
        <f>IFERROR(VLOOKUP(VLOOKUP(VLOOKUP(C205,Project.csv!F:Q,12,FALSE),ServiceAreas.csv!B:I,8,FALSE),LocalAreas.csv!B:H,7,FALSE),200029)</f>
        <v>200069</v>
      </c>
      <c r="E205" s="8" t="str">
        <f t="shared" si="22"/>
        <v>rg:{'id':'200069'}</v>
      </c>
      <c r="F205" s="9" t="s">
        <v>7055</v>
      </c>
      <c r="G205" s="9" t="str">
        <f ca="1">INDEX(DistrictEquipmentTypes.csv!F:F,RANDBETWEEN(2,COUNTA(DistrictEquipmentTypes.csv!D:D)),1)</f>
        <v>200006</v>
      </c>
      <c r="H205" s="8" t="str">
        <f t="shared" ca="1" si="23"/>
        <v>rg:{ 'id': '200006'}</v>
      </c>
      <c r="I205" s="8">
        <f t="shared" ca="1" si="24"/>
        <v>1</v>
      </c>
      <c r="J205" s="8">
        <f t="shared" ca="1" si="25"/>
        <v>98</v>
      </c>
      <c r="K205" s="8" t="str">
        <f t="shared" ca="1" si="26"/>
        <v>2017-04-12</v>
      </c>
      <c r="L205" s="8" t="str">
        <f t="shared" ca="1" si="27"/>
        <v>2017-04-24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>
        <f>IFERROR(VLOOKUP(VLOOKUP(VLOOKUP(C206,Project.csv!F:Q,12,FALSE),ServiceAreas.csv!B:I,8,FALSE),LocalAreas.csv!B:H,7,FALSE),200029)</f>
        <v>200023</v>
      </c>
      <c r="E206" s="8" t="str">
        <f t="shared" si="22"/>
        <v>rg:{'id':'200023'}</v>
      </c>
      <c r="F206" s="9" t="s">
        <v>7055</v>
      </c>
      <c r="G206" s="9" t="str">
        <f ca="1">INDEX(DistrictEquipmentTypes.csv!F:F,RANDBETWEEN(2,COUNTA(DistrictEquipmentTypes.csv!D:D)),1)</f>
        <v>200006</v>
      </c>
      <c r="H206" s="8" t="str">
        <f t="shared" ca="1" si="23"/>
        <v>rg:{ 'id': '200006'}</v>
      </c>
      <c r="I206" s="8">
        <f t="shared" ca="1" si="24"/>
        <v>1</v>
      </c>
      <c r="J206" s="8">
        <f t="shared" ca="1" si="25"/>
        <v>43</v>
      </c>
      <c r="K206" s="8" t="str">
        <f t="shared" ca="1" si="26"/>
        <v>2017-04-03</v>
      </c>
      <c r="L206" s="8" t="str">
        <f t="shared" ca="1" si="27"/>
        <v>2017-04-08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>
        <f>IFERROR(VLOOKUP(VLOOKUP(VLOOKUP(C207,Project.csv!F:Q,12,FALSE),ServiceAreas.csv!B:I,8,FALSE),LocalAreas.csv!B:H,7,FALSE),200029)</f>
        <v>200023</v>
      </c>
      <c r="E207" s="8" t="str">
        <f t="shared" si="22"/>
        <v>rg:{'id':'200023'}</v>
      </c>
      <c r="F207" s="9" t="s">
        <v>7055</v>
      </c>
      <c r="G207" s="9" t="str">
        <f ca="1">INDEX(DistrictEquipmentTypes.csv!F:F,RANDBETWEEN(2,COUNTA(DistrictEquipmentTypes.csv!D:D)),1)</f>
        <v>200004</v>
      </c>
      <c r="H207" s="8" t="str">
        <f t="shared" ca="1" si="23"/>
        <v>rg:{ 'id': '200004'}</v>
      </c>
      <c r="I207" s="8">
        <f t="shared" ca="1" si="24"/>
        <v>1</v>
      </c>
      <c r="J207" s="8">
        <f t="shared" ca="1" si="25"/>
        <v>77</v>
      </c>
      <c r="K207" s="8" t="str">
        <f t="shared" ca="1" si="26"/>
        <v>2017-05-14</v>
      </c>
      <c r="L207" s="8" t="str">
        <f t="shared" ca="1" si="27"/>
        <v>2017-05-23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>
        <f>IFERROR(VLOOKUP(VLOOKUP(VLOOKUP(C208,Project.csv!F:Q,12,FALSE),ServiceAreas.csv!B:I,8,FALSE),LocalAreas.csv!B:H,7,FALSE),200029)</f>
        <v>200023</v>
      </c>
      <c r="E208" s="8" t="str">
        <f t="shared" si="22"/>
        <v>rg:{'id':'200023'}</v>
      </c>
      <c r="F208" s="9" t="s">
        <v>7055</v>
      </c>
      <c r="G208" s="9" t="str">
        <f ca="1">INDEX(DistrictEquipmentTypes.csv!F:F,RANDBETWEEN(2,COUNTA(DistrictEquipmentTypes.csv!D:D)),1)</f>
        <v>200000</v>
      </c>
      <c r="H208" s="8" t="str">
        <f t="shared" ca="1" si="23"/>
        <v>rg:{ 'id': '200000'}</v>
      </c>
      <c r="I208" s="8">
        <f t="shared" ca="1" si="24"/>
        <v>3</v>
      </c>
      <c r="J208" s="8">
        <f t="shared" ca="1" si="25"/>
        <v>89</v>
      </c>
      <c r="K208" s="8" t="str">
        <f t="shared" ca="1" si="26"/>
        <v>2017-05-12</v>
      </c>
      <c r="L208" s="8" t="str">
        <f t="shared" ca="1" si="27"/>
        <v>2017-06-14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>
        <f>IFERROR(VLOOKUP(VLOOKUP(VLOOKUP(C209,Project.csv!F:Q,12,FALSE),ServiceAreas.csv!B:I,8,FALSE),LocalAreas.csv!B:H,7,FALSE),200029)</f>
        <v>200023</v>
      </c>
      <c r="E209" s="8" t="str">
        <f t="shared" si="22"/>
        <v>rg:{'id':'200023'}</v>
      </c>
      <c r="F209" s="9" t="s">
        <v>7055</v>
      </c>
      <c r="G209" s="9" t="str">
        <f ca="1">INDEX(DistrictEquipmentTypes.csv!F:F,RANDBETWEEN(2,COUNTA(DistrictEquipmentTypes.csv!D:D)),1)</f>
        <v>200006</v>
      </c>
      <c r="H209" s="8" t="str">
        <f t="shared" ca="1" si="23"/>
        <v>rg:{ 'id': '200006'}</v>
      </c>
      <c r="I209" s="8">
        <f t="shared" ca="1" si="24"/>
        <v>2</v>
      </c>
      <c r="J209" s="8">
        <f t="shared" ca="1" si="25"/>
        <v>9</v>
      </c>
      <c r="K209" s="8" t="str">
        <f t="shared" ca="1" si="26"/>
        <v>2017-04-03</v>
      </c>
      <c r="L209" s="8" t="str">
        <f t="shared" ca="1" si="27"/>
        <v>2017-04-05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>
        <f>IFERROR(VLOOKUP(VLOOKUP(VLOOKUP(C210,Project.csv!F:Q,12,FALSE),ServiceAreas.csv!B:I,8,FALSE),LocalAreas.csv!B:H,7,FALSE),200029)</f>
        <v>200023</v>
      </c>
      <c r="E210" s="8" t="str">
        <f t="shared" si="22"/>
        <v>rg:{'id':'200023'}</v>
      </c>
      <c r="F210" s="9" t="s">
        <v>7055</v>
      </c>
      <c r="G210" s="9" t="str">
        <f ca="1">INDEX(DistrictEquipmentTypes.csv!F:F,RANDBETWEEN(2,COUNTA(DistrictEquipmentTypes.csv!D:D)),1)</f>
        <v>200003</v>
      </c>
      <c r="H210" s="8" t="str">
        <f t="shared" ca="1" si="23"/>
        <v>rg:{ 'id': '200003'}</v>
      </c>
      <c r="I210" s="8">
        <f t="shared" ca="1" si="24"/>
        <v>1</v>
      </c>
      <c r="J210" s="8">
        <f t="shared" ca="1" si="25"/>
        <v>47</v>
      </c>
      <c r="K210" s="8" t="str">
        <f t="shared" ca="1" si="26"/>
        <v>2017-04-10</v>
      </c>
      <c r="L210" s="8" t="str">
        <f t="shared" ca="1" si="27"/>
        <v>2017-04-15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>
        <f>IFERROR(VLOOKUP(VLOOKUP(VLOOKUP(C211,Project.csv!F:Q,12,FALSE),ServiceAreas.csv!B:I,8,FALSE),LocalAreas.csv!B:H,7,FALSE),200029)</f>
        <v>200023</v>
      </c>
      <c r="E211" s="8" t="str">
        <f t="shared" si="22"/>
        <v>rg:{'id':'200023'}</v>
      </c>
      <c r="F211" s="9" t="s">
        <v>7055</v>
      </c>
      <c r="G211" s="9" t="str">
        <f ca="1">INDEX(DistrictEquipmentTypes.csv!F:F,RANDBETWEEN(2,COUNTA(DistrictEquipmentTypes.csv!D:D)),1)</f>
        <v>200009</v>
      </c>
      <c r="H211" s="8" t="str">
        <f t="shared" ca="1" si="23"/>
        <v>rg:{ 'id': '200009'}</v>
      </c>
      <c r="I211" s="8">
        <f t="shared" ca="1" si="24"/>
        <v>1</v>
      </c>
      <c r="J211" s="8">
        <f t="shared" ca="1" si="25"/>
        <v>11</v>
      </c>
      <c r="K211" s="8" t="str">
        <f t="shared" ca="1" si="26"/>
        <v>2017-04-27</v>
      </c>
      <c r="L211" s="8" t="str">
        <f t="shared" ca="1" si="27"/>
        <v>2017-04-28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>
        <f>IFERROR(VLOOKUP(VLOOKUP(VLOOKUP(C212,Project.csv!F:Q,12,FALSE),ServiceAreas.csv!B:I,8,FALSE),LocalAreas.csv!B:H,7,FALSE),200029)</f>
        <v>200023</v>
      </c>
      <c r="E212" s="8" t="str">
        <f t="shared" si="22"/>
        <v>rg:{'id':'200023'}</v>
      </c>
      <c r="F212" s="9" t="s">
        <v>7055</v>
      </c>
      <c r="G212" s="9" t="str">
        <f ca="1">INDEX(DistrictEquipmentTypes.csv!F:F,RANDBETWEEN(2,COUNTA(DistrictEquipmentTypes.csv!D:D)),1)</f>
        <v>200009</v>
      </c>
      <c r="H212" s="8" t="str">
        <f t="shared" ca="1" si="23"/>
        <v>rg:{ 'id': '200009'}</v>
      </c>
      <c r="I212" s="8">
        <f t="shared" ca="1" si="24"/>
        <v>1</v>
      </c>
      <c r="J212" s="8">
        <f t="shared" ca="1" si="25"/>
        <v>31</v>
      </c>
      <c r="K212" s="8" t="str">
        <f t="shared" ca="1" si="26"/>
        <v>2017-04-19</v>
      </c>
      <c r="L212" s="8" t="str">
        <f t="shared" ca="1" si="27"/>
        <v>2017-04-22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>
        <f>IFERROR(VLOOKUP(VLOOKUP(VLOOKUP(C213,Project.csv!F:Q,12,FALSE),ServiceAreas.csv!B:I,8,FALSE),LocalAreas.csv!B:H,7,FALSE),200029)</f>
        <v>200016</v>
      </c>
      <c r="E213" s="8" t="str">
        <f t="shared" si="22"/>
        <v>rg:{'id':'200016'}</v>
      </c>
      <c r="F213" s="9" t="s">
        <v>7055</v>
      </c>
      <c r="G213" s="9" t="str">
        <f ca="1">INDEX(DistrictEquipmentTypes.csv!F:F,RANDBETWEEN(2,COUNTA(DistrictEquipmentTypes.csv!D:D)),1)</f>
        <v>200007</v>
      </c>
      <c r="H213" s="8" t="str">
        <f t="shared" ca="1" si="23"/>
        <v>rg:{ 'id': '200007'}</v>
      </c>
      <c r="I213" s="8">
        <f t="shared" ca="1" si="24"/>
        <v>4</v>
      </c>
      <c r="J213" s="8">
        <f t="shared" ca="1" si="25"/>
        <v>56</v>
      </c>
      <c r="K213" s="8" t="str">
        <f t="shared" ca="1" si="26"/>
        <v>2017-04-08</v>
      </c>
      <c r="L213" s="8" t="str">
        <f t="shared" ca="1" si="27"/>
        <v>2017-05-06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>
        <f>IFERROR(VLOOKUP(VLOOKUP(VLOOKUP(C214,Project.csv!F:Q,12,FALSE),ServiceAreas.csv!B:I,8,FALSE),LocalAreas.csv!B:H,7,FALSE),200029)</f>
        <v>200016</v>
      </c>
      <c r="E214" s="8" t="str">
        <f t="shared" si="22"/>
        <v>rg:{'id':'200016'}</v>
      </c>
      <c r="F214" s="9" t="s">
        <v>7055</v>
      </c>
      <c r="G214" s="9" t="str">
        <f ca="1">INDEX(DistrictEquipmentTypes.csv!F:F,RANDBETWEEN(2,COUNTA(DistrictEquipmentTypes.csv!D:D)),1)</f>
        <v>200007</v>
      </c>
      <c r="H214" s="8" t="str">
        <f t="shared" ca="1" si="23"/>
        <v>rg:{ 'id': '200007'}</v>
      </c>
      <c r="I214" s="8">
        <f t="shared" ca="1" si="24"/>
        <v>1</v>
      </c>
      <c r="J214" s="8">
        <f t="shared" ca="1" si="25"/>
        <v>62</v>
      </c>
      <c r="K214" s="8" t="str">
        <f t="shared" ca="1" si="26"/>
        <v>2017-04-27</v>
      </c>
      <c r="L214" s="8" t="str">
        <f t="shared" ca="1" si="27"/>
        <v>2017-05-04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>
        <f>IFERROR(VLOOKUP(VLOOKUP(VLOOKUP(C215,Project.csv!F:Q,12,FALSE),ServiceAreas.csv!B:I,8,FALSE),LocalAreas.csv!B:H,7,FALSE),200029)</f>
        <v>200016</v>
      </c>
      <c r="E215" s="8" t="str">
        <f t="shared" si="22"/>
        <v>rg:{'id':'200016'}</v>
      </c>
      <c r="F215" s="9" t="s">
        <v>7055</v>
      </c>
      <c r="G215" s="9" t="str">
        <f ca="1">INDEX(DistrictEquipmentTypes.csv!F:F,RANDBETWEEN(2,COUNTA(DistrictEquipmentTypes.csv!D:D)),1)</f>
        <v>200002</v>
      </c>
      <c r="H215" s="8" t="str">
        <f t="shared" ca="1" si="23"/>
        <v>rg:{ 'id': '200002'}</v>
      </c>
      <c r="I215" s="8">
        <f t="shared" ca="1" si="24"/>
        <v>1</v>
      </c>
      <c r="J215" s="8">
        <f t="shared" ca="1" si="25"/>
        <v>28</v>
      </c>
      <c r="K215" s="8" t="str">
        <f t="shared" ca="1" si="26"/>
        <v>2017-05-04</v>
      </c>
      <c r="L215" s="8" t="str">
        <f t="shared" ca="1" si="27"/>
        <v>2017-05-07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>
        <f>IFERROR(VLOOKUP(VLOOKUP(VLOOKUP(C216,Project.csv!F:Q,12,FALSE),ServiceAreas.csv!B:I,8,FALSE),LocalAreas.csv!B:H,7,FALSE),200029)</f>
        <v>200016</v>
      </c>
      <c r="E216" s="8" t="str">
        <f t="shared" si="22"/>
        <v>rg:{'id':'200016'}</v>
      </c>
      <c r="F216" s="9" t="s">
        <v>7055</v>
      </c>
      <c r="G216" s="9" t="str">
        <f ca="1">INDEX(DistrictEquipmentTypes.csv!F:F,RANDBETWEEN(2,COUNTA(DistrictEquipmentTypes.csv!D:D)),1)</f>
        <v>200004</v>
      </c>
      <c r="H216" s="8" t="str">
        <f t="shared" ca="1" si="23"/>
        <v>rg:{ 'id': '200004'}</v>
      </c>
      <c r="I216" s="8">
        <f t="shared" ca="1" si="24"/>
        <v>1</v>
      </c>
      <c r="J216" s="8">
        <f t="shared" ca="1" si="25"/>
        <v>73</v>
      </c>
      <c r="K216" s="8" t="str">
        <f t="shared" ca="1" si="26"/>
        <v>2017-04-26</v>
      </c>
      <c r="L216" s="8" t="str">
        <f t="shared" ca="1" si="27"/>
        <v>2017-05-05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>
        <f>IFERROR(VLOOKUP(VLOOKUP(VLOOKUP(C217,Project.csv!F:Q,12,FALSE),ServiceAreas.csv!B:I,8,FALSE),LocalAreas.csv!B:H,7,FALSE),200029)</f>
        <v>200016</v>
      </c>
      <c r="E217" s="8" t="str">
        <f t="shared" si="22"/>
        <v>rg:{'id':'200016'}</v>
      </c>
      <c r="F217" s="9" t="s">
        <v>7055</v>
      </c>
      <c r="G217" s="9" t="str">
        <f ca="1">INDEX(DistrictEquipmentTypes.csv!F:F,RANDBETWEEN(2,COUNTA(DistrictEquipmentTypes.csv!D:D)),1)</f>
        <v>200007</v>
      </c>
      <c r="H217" s="8" t="str">
        <f t="shared" ca="1" si="23"/>
        <v>rg:{ 'id': '200007'}</v>
      </c>
      <c r="I217" s="8">
        <f t="shared" ca="1" si="24"/>
        <v>4</v>
      </c>
      <c r="J217" s="8">
        <f t="shared" ca="1" si="25"/>
        <v>86</v>
      </c>
      <c r="K217" s="8" t="str">
        <f t="shared" ca="1" si="26"/>
        <v>2017-04-10</v>
      </c>
      <c r="L217" s="8" t="str">
        <f t="shared" ca="1" si="27"/>
        <v>2017-05-23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>
        <f>IFERROR(VLOOKUP(VLOOKUP(VLOOKUP(C218,Project.csv!F:Q,12,FALSE),ServiceAreas.csv!B:I,8,FALSE),LocalAreas.csv!B:H,7,FALSE),200029)</f>
        <v>200016</v>
      </c>
      <c r="E218" s="8" t="str">
        <f t="shared" si="22"/>
        <v>rg:{'id':'200016'}</v>
      </c>
      <c r="F218" s="9" t="s">
        <v>7055</v>
      </c>
      <c r="G218" s="9" t="str">
        <f ca="1">INDEX(DistrictEquipmentTypes.csv!F:F,RANDBETWEEN(2,COUNTA(DistrictEquipmentTypes.csv!D:D)),1)</f>
        <v>200000</v>
      </c>
      <c r="H218" s="8" t="str">
        <f t="shared" ca="1" si="23"/>
        <v>rg:{ 'id': '200000'}</v>
      </c>
      <c r="I218" s="8">
        <f t="shared" ca="1" si="24"/>
        <v>1</v>
      </c>
      <c r="J218" s="8">
        <f t="shared" ca="1" si="25"/>
        <v>71</v>
      </c>
      <c r="K218" s="8" t="str">
        <f t="shared" ca="1" si="26"/>
        <v>2017-04-19</v>
      </c>
      <c r="L218" s="8" t="str">
        <f t="shared" ca="1" si="27"/>
        <v>2017-04-27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>
        <f>IFERROR(VLOOKUP(VLOOKUP(VLOOKUP(C219,Project.csv!F:Q,12,FALSE),ServiceAreas.csv!B:I,8,FALSE),LocalAreas.csv!B:H,7,FALSE),200029)</f>
        <v>200016</v>
      </c>
      <c r="E219" s="8" t="str">
        <f t="shared" si="22"/>
        <v>rg:{'id':'200016'}</v>
      </c>
      <c r="F219" s="9" t="s">
        <v>7055</v>
      </c>
      <c r="G219" s="9" t="str">
        <f ca="1">INDEX(DistrictEquipmentTypes.csv!F:F,RANDBETWEEN(2,COUNTA(DistrictEquipmentTypes.csv!D:D)),1)</f>
        <v>200006</v>
      </c>
      <c r="H219" s="8" t="str">
        <f t="shared" ca="1" si="23"/>
        <v>rg:{ 'id': '200006'}</v>
      </c>
      <c r="I219" s="8">
        <f t="shared" ca="1" si="24"/>
        <v>5</v>
      </c>
      <c r="J219" s="8">
        <f t="shared" ca="1" si="25"/>
        <v>73</v>
      </c>
      <c r="K219" s="8" t="str">
        <f t="shared" ca="1" si="26"/>
        <v>2017-05-11</v>
      </c>
      <c r="L219" s="8" t="str">
        <f t="shared" ca="1" si="27"/>
        <v>2017-06-25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>
        <f>IFERROR(VLOOKUP(VLOOKUP(VLOOKUP(C220,Project.csv!F:Q,12,FALSE),ServiceAreas.csv!B:I,8,FALSE),LocalAreas.csv!B:H,7,FALSE),200029)</f>
        <v>200074</v>
      </c>
      <c r="E220" s="8" t="str">
        <f t="shared" si="22"/>
        <v>rg:{'id':'200074'}</v>
      </c>
      <c r="F220" s="9" t="s">
        <v>7055</v>
      </c>
      <c r="G220" s="9" t="str">
        <f ca="1">INDEX(DistrictEquipmentTypes.csv!F:F,RANDBETWEEN(2,COUNTA(DistrictEquipmentTypes.csv!D:D)),1)</f>
        <v>200003</v>
      </c>
      <c r="H220" s="8" t="str">
        <f t="shared" ca="1" si="23"/>
        <v>rg:{ 'id': '200003'}</v>
      </c>
      <c r="I220" s="8">
        <f t="shared" ca="1" si="24"/>
        <v>4</v>
      </c>
      <c r="J220" s="8">
        <f t="shared" ca="1" si="25"/>
        <v>90</v>
      </c>
      <c r="K220" s="8" t="str">
        <f t="shared" ca="1" si="26"/>
        <v>2017-04-28</v>
      </c>
      <c r="L220" s="8" t="str">
        <f t="shared" ca="1" si="27"/>
        <v>2017-06-12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>
        <f>IFERROR(VLOOKUP(VLOOKUP(VLOOKUP(C221,Project.csv!F:Q,12,FALSE),ServiceAreas.csv!B:I,8,FALSE),LocalAreas.csv!B:H,7,FALSE),200029)</f>
        <v>200074</v>
      </c>
      <c r="E221" s="8" t="str">
        <f t="shared" si="22"/>
        <v>rg:{'id':'200074'}</v>
      </c>
      <c r="F221" s="9" t="s">
        <v>7055</v>
      </c>
      <c r="G221" s="9" t="str">
        <f ca="1">INDEX(DistrictEquipmentTypes.csv!F:F,RANDBETWEEN(2,COUNTA(DistrictEquipmentTypes.csv!D:D)),1)</f>
        <v>200002</v>
      </c>
      <c r="H221" s="8" t="str">
        <f t="shared" ca="1" si="23"/>
        <v>rg:{ 'id': '200002'}</v>
      </c>
      <c r="I221" s="8">
        <f t="shared" ca="1" si="24"/>
        <v>4</v>
      </c>
      <c r="J221" s="8">
        <f t="shared" ca="1" si="25"/>
        <v>34</v>
      </c>
      <c r="K221" s="8" t="str">
        <f t="shared" ca="1" si="26"/>
        <v>2017-05-14</v>
      </c>
      <c r="L221" s="8" t="str">
        <f t="shared" ca="1" si="27"/>
        <v>2017-05-31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>
        <f>IFERROR(VLOOKUP(VLOOKUP(VLOOKUP(C222,Project.csv!F:Q,12,FALSE),ServiceAreas.csv!B:I,8,FALSE),LocalAreas.csv!B:H,7,FALSE),200029)</f>
        <v>200074</v>
      </c>
      <c r="E222" s="8" t="str">
        <f t="shared" si="22"/>
        <v>rg:{'id':'200074'}</v>
      </c>
      <c r="F222" s="9" t="s">
        <v>7055</v>
      </c>
      <c r="G222" s="9" t="str">
        <f ca="1">INDEX(DistrictEquipmentTypes.csv!F:F,RANDBETWEEN(2,COUNTA(DistrictEquipmentTypes.csv!D:D)),1)</f>
        <v>200001</v>
      </c>
      <c r="H222" s="8" t="str">
        <f t="shared" ca="1" si="23"/>
        <v>rg:{ 'id': '200001'}</v>
      </c>
      <c r="I222" s="8">
        <f t="shared" ca="1" si="24"/>
        <v>3</v>
      </c>
      <c r="J222" s="8">
        <f t="shared" ca="1" si="25"/>
        <v>64</v>
      </c>
      <c r="K222" s="8" t="str">
        <f t="shared" ca="1" si="26"/>
        <v>2017-04-23</v>
      </c>
      <c r="L222" s="8" t="str">
        <f t="shared" ca="1" si="27"/>
        <v>2017-05-17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>
        <f>IFERROR(VLOOKUP(VLOOKUP(VLOOKUP(C223,Project.csv!F:Q,12,FALSE),ServiceAreas.csv!B:I,8,FALSE),LocalAreas.csv!B:H,7,FALSE),200029)</f>
        <v>200074</v>
      </c>
      <c r="E223" s="8" t="str">
        <f t="shared" si="22"/>
        <v>rg:{'id':'200074'}</v>
      </c>
      <c r="F223" s="9" t="s">
        <v>7055</v>
      </c>
      <c r="G223" s="9" t="str">
        <f ca="1">INDEX(DistrictEquipmentTypes.csv!F:F,RANDBETWEEN(2,COUNTA(DistrictEquipmentTypes.csv!D:D)),1)</f>
        <v>200001</v>
      </c>
      <c r="H223" s="8" t="str">
        <f t="shared" ca="1" si="23"/>
        <v>rg:{ 'id': '200001'}</v>
      </c>
      <c r="I223" s="8">
        <f t="shared" ca="1" si="24"/>
        <v>1</v>
      </c>
      <c r="J223" s="8">
        <f t="shared" ca="1" si="25"/>
        <v>59</v>
      </c>
      <c r="K223" s="8" t="str">
        <f t="shared" ca="1" si="26"/>
        <v>2017-04-09</v>
      </c>
      <c r="L223" s="8" t="str">
        <f t="shared" ca="1" si="27"/>
        <v>2017-04-16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>
        <f>IFERROR(VLOOKUP(VLOOKUP(VLOOKUP(C224,Project.csv!F:Q,12,FALSE),ServiceAreas.csv!B:I,8,FALSE),LocalAreas.csv!B:H,7,FALSE),200029)</f>
        <v>200074</v>
      </c>
      <c r="E224" s="8" t="str">
        <f t="shared" si="22"/>
        <v>rg:{'id':'200074'}</v>
      </c>
      <c r="F224" s="9" t="s">
        <v>7055</v>
      </c>
      <c r="G224" s="9" t="str">
        <f ca="1">INDEX(DistrictEquipmentTypes.csv!F:F,RANDBETWEEN(2,COUNTA(DistrictEquipmentTypes.csv!D:D)),1)</f>
        <v>200002</v>
      </c>
      <c r="H224" s="8" t="str">
        <f t="shared" ca="1" si="23"/>
        <v>rg:{ 'id': '200002'}</v>
      </c>
      <c r="I224" s="8">
        <f t="shared" ca="1" si="24"/>
        <v>1</v>
      </c>
      <c r="J224" s="8">
        <f t="shared" ca="1" si="25"/>
        <v>48</v>
      </c>
      <c r="K224" s="8" t="str">
        <f t="shared" ca="1" si="26"/>
        <v>2017-04-06</v>
      </c>
      <c r="L224" s="8" t="str">
        <f t="shared" ca="1" si="27"/>
        <v>2017-04-12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>
        <f>IFERROR(VLOOKUP(VLOOKUP(VLOOKUP(C225,Project.csv!F:Q,12,FALSE),ServiceAreas.csv!B:I,8,FALSE),LocalAreas.csv!B:H,7,FALSE),200029)</f>
        <v>200074</v>
      </c>
      <c r="E225" s="8" t="str">
        <f t="shared" si="22"/>
        <v>rg:{'id':'200074'}</v>
      </c>
      <c r="F225" s="9" t="s">
        <v>7055</v>
      </c>
      <c r="G225" s="9" t="str">
        <f ca="1">INDEX(DistrictEquipmentTypes.csv!F:F,RANDBETWEEN(2,COUNTA(DistrictEquipmentTypes.csv!D:D)),1)</f>
        <v>200004</v>
      </c>
      <c r="H225" s="8" t="str">
        <f t="shared" ca="1" si="23"/>
        <v>rg:{ 'id': '200004'}</v>
      </c>
      <c r="I225" s="8">
        <f t="shared" ca="1" si="24"/>
        <v>1</v>
      </c>
      <c r="J225" s="8">
        <f t="shared" ca="1" si="25"/>
        <v>67</v>
      </c>
      <c r="K225" s="8" t="str">
        <f t="shared" ca="1" si="26"/>
        <v>2017-04-12</v>
      </c>
      <c r="L225" s="8" t="str">
        <f t="shared" ca="1" si="27"/>
        <v>2017-04-20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>
        <f>IFERROR(VLOOKUP(VLOOKUP(VLOOKUP(C226,Project.csv!F:Q,12,FALSE),ServiceAreas.csv!B:I,8,FALSE),LocalAreas.csv!B:H,7,FALSE),200029)</f>
        <v>200074</v>
      </c>
      <c r="E226" s="8" t="str">
        <f t="shared" si="22"/>
        <v>rg:{'id':'200074'}</v>
      </c>
      <c r="F226" s="9" t="s">
        <v>7055</v>
      </c>
      <c r="G226" s="9" t="str">
        <f ca="1">INDEX(DistrictEquipmentTypes.csv!F:F,RANDBETWEEN(2,COUNTA(DistrictEquipmentTypes.csv!D:D)),1)</f>
        <v>200004</v>
      </c>
      <c r="H226" s="8" t="str">
        <f t="shared" ca="1" si="23"/>
        <v>rg:{ 'id': '200004'}</v>
      </c>
      <c r="I226" s="8">
        <f t="shared" ca="1" si="24"/>
        <v>1</v>
      </c>
      <c r="J226" s="8">
        <f t="shared" ca="1" si="25"/>
        <v>70</v>
      </c>
      <c r="K226" s="8" t="str">
        <f t="shared" ca="1" si="26"/>
        <v>2017-03-25</v>
      </c>
      <c r="L226" s="8" t="str">
        <f t="shared" ca="1" si="27"/>
        <v>2017-04-02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>
        <f>IFERROR(VLOOKUP(VLOOKUP(VLOOKUP(C227,Project.csv!F:Q,12,FALSE),ServiceAreas.csv!B:I,8,FALSE),LocalAreas.csv!B:H,7,FALSE),200029)</f>
        <v>200034</v>
      </c>
      <c r="E227" s="8" t="str">
        <f t="shared" si="22"/>
        <v>rg:{'id':'200034'}</v>
      </c>
      <c r="F227" s="9" t="s">
        <v>7055</v>
      </c>
      <c r="G227" s="9" t="str">
        <f ca="1">INDEX(DistrictEquipmentTypes.csv!F:F,RANDBETWEEN(2,COUNTA(DistrictEquipmentTypes.csv!D:D)),1)</f>
        <v>200001</v>
      </c>
      <c r="H227" s="8" t="str">
        <f t="shared" ca="1" si="23"/>
        <v>rg:{ 'id': '200001'}</v>
      </c>
      <c r="I227" s="8">
        <f t="shared" ca="1" si="24"/>
        <v>1</v>
      </c>
      <c r="J227" s="8">
        <f t="shared" ca="1" si="25"/>
        <v>45</v>
      </c>
      <c r="K227" s="8" t="str">
        <f t="shared" ca="1" si="26"/>
        <v>2017-05-03</v>
      </c>
      <c r="L227" s="8" t="str">
        <f t="shared" ca="1" si="27"/>
        <v>2017-05-08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>
        <f>IFERROR(VLOOKUP(VLOOKUP(VLOOKUP(C228,Project.csv!F:Q,12,FALSE),ServiceAreas.csv!B:I,8,FALSE),LocalAreas.csv!B:H,7,FALSE),200029)</f>
        <v>200034</v>
      </c>
      <c r="E228" s="8" t="str">
        <f t="shared" si="22"/>
        <v>rg:{'id':'200034'}</v>
      </c>
      <c r="F228" s="9" t="s">
        <v>7055</v>
      </c>
      <c r="G228" s="9" t="str">
        <f ca="1">INDEX(DistrictEquipmentTypes.csv!F:F,RANDBETWEEN(2,COUNTA(DistrictEquipmentTypes.csv!D:D)),1)</f>
        <v>200005</v>
      </c>
      <c r="H228" s="8" t="str">
        <f t="shared" ca="1" si="23"/>
        <v>rg:{ 'id': '200005'}</v>
      </c>
      <c r="I228" s="8">
        <f t="shared" ca="1" si="24"/>
        <v>3</v>
      </c>
      <c r="J228" s="8">
        <f t="shared" ca="1" si="25"/>
        <v>71</v>
      </c>
      <c r="K228" s="8" t="str">
        <f t="shared" ca="1" si="26"/>
        <v>2017-04-10</v>
      </c>
      <c r="L228" s="8" t="str">
        <f t="shared" ca="1" si="27"/>
        <v>2017-05-06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>
        <f>IFERROR(VLOOKUP(VLOOKUP(VLOOKUP(C229,Project.csv!F:Q,12,FALSE),ServiceAreas.csv!B:I,8,FALSE),LocalAreas.csv!B:H,7,FALSE),200029)</f>
        <v>200034</v>
      </c>
      <c r="E229" s="8" t="str">
        <f t="shared" si="22"/>
        <v>rg:{'id':'200034'}</v>
      </c>
      <c r="F229" s="9" t="s">
        <v>7055</v>
      </c>
      <c r="G229" s="9" t="str">
        <f ca="1">INDEX(DistrictEquipmentTypes.csv!F:F,RANDBETWEEN(2,COUNTA(DistrictEquipmentTypes.csv!D:D)),1)</f>
        <v>200003</v>
      </c>
      <c r="H229" s="8" t="str">
        <f t="shared" ca="1" si="23"/>
        <v>rg:{ 'id': '200003'}</v>
      </c>
      <c r="I229" s="8">
        <f t="shared" ca="1" si="24"/>
        <v>1</v>
      </c>
      <c r="J229" s="8">
        <f t="shared" ca="1" si="25"/>
        <v>69</v>
      </c>
      <c r="K229" s="8" t="str">
        <f t="shared" ca="1" si="26"/>
        <v>2017-04-14</v>
      </c>
      <c r="L229" s="8" t="str">
        <f t="shared" ca="1" si="27"/>
        <v>2017-04-22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>
        <f>IFERROR(VLOOKUP(VLOOKUP(VLOOKUP(C230,Project.csv!F:Q,12,FALSE),ServiceAreas.csv!B:I,8,FALSE),LocalAreas.csv!B:H,7,FALSE),200029)</f>
        <v>200034</v>
      </c>
      <c r="E230" s="8" t="str">
        <f t="shared" si="22"/>
        <v>rg:{'id':'200034'}</v>
      </c>
      <c r="F230" s="9" t="s">
        <v>7055</v>
      </c>
      <c r="G230" s="9" t="str">
        <f ca="1">INDEX(DistrictEquipmentTypes.csv!F:F,RANDBETWEEN(2,COUNTA(DistrictEquipmentTypes.csv!D:D)),1)</f>
        <v>200003</v>
      </c>
      <c r="H230" s="8" t="str">
        <f t="shared" ca="1" si="23"/>
        <v>rg:{ 'id': '200003'}</v>
      </c>
      <c r="I230" s="8">
        <f t="shared" ca="1" si="24"/>
        <v>1</v>
      </c>
      <c r="J230" s="8">
        <f t="shared" ca="1" si="25"/>
        <v>8</v>
      </c>
      <c r="K230" s="8" t="str">
        <f t="shared" ca="1" si="26"/>
        <v>2017-04-04</v>
      </c>
      <c r="L230" s="8" t="str">
        <f t="shared" ca="1" si="27"/>
        <v>2017-04-05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>
        <f>IFERROR(VLOOKUP(VLOOKUP(VLOOKUP(C231,Project.csv!F:Q,12,FALSE),ServiceAreas.csv!B:I,8,FALSE),LocalAreas.csv!B:H,7,FALSE),200029)</f>
        <v>200034</v>
      </c>
      <c r="E231" s="8" t="str">
        <f t="shared" si="22"/>
        <v>rg:{'id':'200034'}</v>
      </c>
      <c r="F231" s="9" t="s">
        <v>7055</v>
      </c>
      <c r="G231" s="9" t="str">
        <f ca="1">INDEX(DistrictEquipmentTypes.csv!F:F,RANDBETWEEN(2,COUNTA(DistrictEquipmentTypes.csv!D:D)),1)</f>
        <v>200007</v>
      </c>
      <c r="H231" s="8" t="str">
        <f t="shared" ca="1" si="23"/>
        <v>rg:{ 'id': '200007'}</v>
      </c>
      <c r="I231" s="8">
        <f t="shared" ca="1" si="24"/>
        <v>1</v>
      </c>
      <c r="J231" s="8">
        <f t="shared" ca="1" si="25"/>
        <v>17</v>
      </c>
      <c r="K231" s="8" t="str">
        <f t="shared" ca="1" si="26"/>
        <v>2017-05-03</v>
      </c>
      <c r="L231" s="8" t="str">
        <f t="shared" ca="1" si="27"/>
        <v>2017-05-05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>
        <f>IFERROR(VLOOKUP(VLOOKUP(VLOOKUP(C232,Project.csv!F:Q,12,FALSE),ServiceAreas.csv!B:I,8,FALSE),LocalAreas.csv!B:H,7,FALSE),200029)</f>
        <v>200034</v>
      </c>
      <c r="E232" s="8" t="str">
        <f t="shared" si="22"/>
        <v>rg:{'id':'200034'}</v>
      </c>
      <c r="F232" s="9" t="s">
        <v>7055</v>
      </c>
      <c r="G232" s="9" t="str">
        <f ca="1">INDEX(DistrictEquipmentTypes.csv!F:F,RANDBETWEEN(2,COUNTA(DistrictEquipmentTypes.csv!D:D)),1)</f>
        <v>200000</v>
      </c>
      <c r="H232" s="8" t="str">
        <f t="shared" ca="1" si="23"/>
        <v>rg:{ 'id': '200000'}</v>
      </c>
      <c r="I232" s="8">
        <f t="shared" ca="1" si="24"/>
        <v>1</v>
      </c>
      <c r="J232" s="8">
        <f t="shared" ca="1" si="25"/>
        <v>12</v>
      </c>
      <c r="K232" s="8" t="str">
        <f t="shared" ca="1" si="26"/>
        <v>2017-04-17</v>
      </c>
      <c r="L232" s="8" t="str">
        <f t="shared" ca="1" si="27"/>
        <v>2017-04-18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>
        <f>IFERROR(VLOOKUP(VLOOKUP(VLOOKUP(C233,Project.csv!F:Q,12,FALSE),ServiceAreas.csv!B:I,8,FALSE),LocalAreas.csv!B:H,7,FALSE),200029)</f>
        <v>200034</v>
      </c>
      <c r="E233" s="8" t="str">
        <f t="shared" si="22"/>
        <v>rg:{'id':'200034'}</v>
      </c>
      <c r="F233" s="9" t="s">
        <v>7055</v>
      </c>
      <c r="G233" s="9" t="str">
        <f ca="1">INDEX(DistrictEquipmentTypes.csv!F:F,RANDBETWEEN(2,COUNTA(DistrictEquipmentTypes.csv!D:D)),1)</f>
        <v>200002</v>
      </c>
      <c r="H233" s="8" t="str">
        <f t="shared" ca="1" si="23"/>
        <v>rg:{ 'id': '200002'}</v>
      </c>
      <c r="I233" s="8">
        <f t="shared" ca="1" si="24"/>
        <v>1</v>
      </c>
      <c r="J233" s="8">
        <f t="shared" ca="1" si="25"/>
        <v>67</v>
      </c>
      <c r="K233" s="8" t="str">
        <f t="shared" ca="1" si="26"/>
        <v>2017-05-12</v>
      </c>
      <c r="L233" s="8" t="str">
        <f t="shared" ca="1" si="27"/>
        <v>2017-05-20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>
        <f>IFERROR(VLOOKUP(VLOOKUP(VLOOKUP(C234,Project.csv!F:Q,12,FALSE),ServiceAreas.csv!B:I,8,FALSE),LocalAreas.csv!B:H,7,FALSE),200029)</f>
        <v>200027</v>
      </c>
      <c r="E234" s="8" t="str">
        <f t="shared" si="22"/>
        <v>rg:{'id':'200027'}</v>
      </c>
      <c r="F234" s="9" t="s">
        <v>7055</v>
      </c>
      <c r="G234" s="9" t="str">
        <f ca="1">INDEX(DistrictEquipmentTypes.csv!F:F,RANDBETWEEN(2,COUNTA(DistrictEquipmentTypes.csv!D:D)),1)</f>
        <v>200007</v>
      </c>
      <c r="H234" s="8" t="str">
        <f t="shared" ca="1" si="23"/>
        <v>rg:{ 'id': '200007'}</v>
      </c>
      <c r="I234" s="8">
        <f t="shared" ca="1" si="24"/>
        <v>1</v>
      </c>
      <c r="J234" s="8">
        <f t="shared" ca="1" si="25"/>
        <v>86</v>
      </c>
      <c r="K234" s="8" t="str">
        <f t="shared" ca="1" si="26"/>
        <v>2017-04-17</v>
      </c>
      <c r="L234" s="8" t="str">
        <f t="shared" ca="1" si="27"/>
        <v>2017-04-27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>
        <f>IFERROR(VLOOKUP(VLOOKUP(VLOOKUP(C235,Project.csv!F:Q,12,FALSE),ServiceAreas.csv!B:I,8,FALSE),LocalAreas.csv!B:H,7,FALSE),200029)</f>
        <v>200027</v>
      </c>
      <c r="E235" s="8" t="str">
        <f t="shared" si="22"/>
        <v>rg:{'id':'200027'}</v>
      </c>
      <c r="F235" s="9" t="s">
        <v>7055</v>
      </c>
      <c r="G235" s="9" t="str">
        <f ca="1">INDEX(DistrictEquipmentTypes.csv!F:F,RANDBETWEEN(2,COUNTA(DistrictEquipmentTypes.csv!D:D)),1)</f>
        <v>200006</v>
      </c>
      <c r="H235" s="8" t="str">
        <f t="shared" ca="1" si="23"/>
        <v>rg:{ 'id': '200006'}</v>
      </c>
      <c r="I235" s="8">
        <f t="shared" ca="1" si="24"/>
        <v>1</v>
      </c>
      <c r="J235" s="8">
        <f t="shared" ca="1" si="25"/>
        <v>52</v>
      </c>
      <c r="K235" s="8" t="str">
        <f t="shared" ca="1" si="26"/>
        <v>2017-04-23</v>
      </c>
      <c r="L235" s="8" t="str">
        <f t="shared" ca="1" si="27"/>
        <v>2017-04-29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>
        <f>IFERROR(VLOOKUP(VLOOKUP(VLOOKUP(C236,Project.csv!F:Q,12,FALSE),ServiceAreas.csv!B:I,8,FALSE),LocalAreas.csv!B:H,7,FALSE),200029)</f>
        <v>200027</v>
      </c>
      <c r="E236" s="8" t="str">
        <f t="shared" si="22"/>
        <v>rg:{'id':'200027'}</v>
      </c>
      <c r="F236" s="9" t="s">
        <v>7055</v>
      </c>
      <c r="G236" s="9" t="str">
        <f ca="1">INDEX(DistrictEquipmentTypes.csv!F:F,RANDBETWEEN(2,COUNTA(DistrictEquipmentTypes.csv!D:D)),1)</f>
        <v>200009</v>
      </c>
      <c r="H236" s="8" t="str">
        <f t="shared" ca="1" si="23"/>
        <v>rg:{ 'id': '200009'}</v>
      </c>
      <c r="I236" s="8">
        <f t="shared" ca="1" si="24"/>
        <v>1</v>
      </c>
      <c r="J236" s="8">
        <f t="shared" ca="1" si="25"/>
        <v>82</v>
      </c>
      <c r="K236" s="8" t="str">
        <f t="shared" ca="1" si="26"/>
        <v>2017-04-06</v>
      </c>
      <c r="L236" s="8" t="str">
        <f t="shared" ca="1" si="27"/>
        <v>2017-04-16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>
        <f>IFERROR(VLOOKUP(VLOOKUP(VLOOKUP(C237,Project.csv!F:Q,12,FALSE),ServiceAreas.csv!B:I,8,FALSE),LocalAreas.csv!B:H,7,FALSE),200029)</f>
        <v>200027</v>
      </c>
      <c r="E237" s="8" t="str">
        <f t="shared" si="22"/>
        <v>rg:{'id':'200027'}</v>
      </c>
      <c r="F237" s="9" t="s">
        <v>7055</v>
      </c>
      <c r="G237" s="9" t="str">
        <f ca="1">INDEX(DistrictEquipmentTypes.csv!F:F,RANDBETWEEN(2,COUNTA(DistrictEquipmentTypes.csv!D:D)),1)</f>
        <v>200001</v>
      </c>
      <c r="H237" s="8" t="str">
        <f t="shared" ca="1" si="23"/>
        <v>rg:{ 'id': '200001'}</v>
      </c>
      <c r="I237" s="8">
        <f t="shared" ca="1" si="24"/>
        <v>1</v>
      </c>
      <c r="J237" s="8">
        <f t="shared" ca="1" si="25"/>
        <v>34</v>
      </c>
      <c r="K237" s="8" t="str">
        <f t="shared" ca="1" si="26"/>
        <v>2017-04-03</v>
      </c>
      <c r="L237" s="8" t="str">
        <f t="shared" ca="1" si="27"/>
        <v>2017-04-07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>
        <f>IFERROR(VLOOKUP(VLOOKUP(VLOOKUP(C238,Project.csv!F:Q,12,FALSE),ServiceAreas.csv!B:I,8,FALSE),LocalAreas.csv!B:H,7,FALSE),200029)</f>
        <v>200027</v>
      </c>
      <c r="E238" s="8" t="str">
        <f t="shared" si="22"/>
        <v>rg:{'id':'200027'}</v>
      </c>
      <c r="F238" s="9" t="s">
        <v>7055</v>
      </c>
      <c r="G238" s="9" t="str">
        <f ca="1">INDEX(DistrictEquipmentTypes.csv!F:F,RANDBETWEEN(2,COUNTA(DistrictEquipmentTypes.csv!D:D)),1)</f>
        <v>200009</v>
      </c>
      <c r="H238" s="8" t="str">
        <f t="shared" ca="1" si="23"/>
        <v>rg:{ 'id': '200009'}</v>
      </c>
      <c r="I238" s="8">
        <f t="shared" ca="1" si="24"/>
        <v>1</v>
      </c>
      <c r="J238" s="8">
        <f t="shared" ca="1" si="25"/>
        <v>55</v>
      </c>
      <c r="K238" s="8" t="str">
        <f t="shared" ca="1" si="26"/>
        <v>2017-05-15</v>
      </c>
      <c r="L238" s="8" t="str">
        <f t="shared" ca="1" si="27"/>
        <v>2017-05-21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>
        <f>IFERROR(VLOOKUP(VLOOKUP(VLOOKUP(C239,Project.csv!F:Q,12,FALSE),ServiceAreas.csv!B:I,8,FALSE),LocalAreas.csv!B:H,7,FALSE),200029)</f>
        <v>200027</v>
      </c>
      <c r="E239" s="8" t="str">
        <f t="shared" si="22"/>
        <v>rg:{'id':'200027'}</v>
      </c>
      <c r="F239" s="9" t="s">
        <v>7055</v>
      </c>
      <c r="G239" s="9" t="str">
        <f ca="1">INDEX(DistrictEquipmentTypes.csv!F:F,RANDBETWEEN(2,COUNTA(DistrictEquipmentTypes.csv!D:D)),1)</f>
        <v>200004</v>
      </c>
      <c r="H239" s="8" t="str">
        <f t="shared" ca="1" si="23"/>
        <v>rg:{ 'id': '200004'}</v>
      </c>
      <c r="I239" s="8">
        <f t="shared" ca="1" si="24"/>
        <v>1</v>
      </c>
      <c r="J239" s="8">
        <f t="shared" ca="1" si="25"/>
        <v>7</v>
      </c>
      <c r="K239" s="8" t="str">
        <f t="shared" ca="1" si="26"/>
        <v>2017-04-14</v>
      </c>
      <c r="L239" s="8" t="str">
        <f t="shared" ca="1" si="27"/>
        <v>2017-04-14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>
        <f>IFERROR(VLOOKUP(VLOOKUP(VLOOKUP(C240,Project.csv!F:Q,12,FALSE),ServiceAreas.csv!B:I,8,FALSE),LocalAreas.csv!B:H,7,FALSE),200029)</f>
        <v>200027</v>
      </c>
      <c r="E240" s="8" t="str">
        <f t="shared" si="22"/>
        <v>rg:{'id':'200027'}</v>
      </c>
      <c r="F240" s="9" t="s">
        <v>7055</v>
      </c>
      <c r="G240" s="9" t="str">
        <f ca="1">INDEX(DistrictEquipmentTypes.csv!F:F,RANDBETWEEN(2,COUNTA(DistrictEquipmentTypes.csv!D:D)),1)</f>
        <v>200004</v>
      </c>
      <c r="H240" s="8" t="str">
        <f t="shared" ca="1" si="23"/>
        <v>rg:{ 'id': '200004'}</v>
      </c>
      <c r="I240" s="8">
        <f t="shared" ca="1" si="24"/>
        <v>1</v>
      </c>
      <c r="J240" s="8">
        <f t="shared" ca="1" si="25"/>
        <v>92</v>
      </c>
      <c r="K240" s="8" t="str">
        <f t="shared" ca="1" si="26"/>
        <v>2017-04-04</v>
      </c>
      <c r="L240" s="8" t="str">
        <f t="shared" ca="1" si="27"/>
        <v>2017-04-15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>
        <f>IFERROR(VLOOKUP(VLOOKUP(VLOOKUP(C241,Project.csv!F:Q,12,FALSE),ServiceAreas.csv!B:I,8,FALSE),LocalAreas.csv!B:H,7,FALSE),200029)</f>
        <v>200027</v>
      </c>
      <c r="E241" s="8" t="str">
        <f t="shared" si="22"/>
        <v>rg:{'id':'200027'}</v>
      </c>
      <c r="F241" s="9" t="s">
        <v>7055</v>
      </c>
      <c r="G241" s="9" t="str">
        <f ca="1">INDEX(DistrictEquipmentTypes.csv!F:F,RANDBETWEEN(2,COUNTA(DistrictEquipmentTypes.csv!D:D)),1)</f>
        <v>200006</v>
      </c>
      <c r="H241" s="8" t="str">
        <f t="shared" ca="1" si="23"/>
        <v>rg:{ 'id': '200006'}</v>
      </c>
      <c r="I241" s="8">
        <f t="shared" ca="1" si="24"/>
        <v>1</v>
      </c>
      <c r="J241" s="8">
        <f t="shared" ca="1" si="25"/>
        <v>98</v>
      </c>
      <c r="K241" s="8" t="str">
        <f t="shared" ca="1" si="26"/>
        <v>2017-04-15</v>
      </c>
      <c r="L241" s="8" t="str">
        <f t="shared" ca="1" si="27"/>
        <v>2017-04-27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>
        <f>IFERROR(VLOOKUP(VLOOKUP(VLOOKUP(C242,Project.csv!F:Q,12,FALSE),ServiceAreas.csv!B:I,8,FALSE),LocalAreas.csv!B:H,7,FALSE),200029)</f>
        <v>200027</v>
      </c>
      <c r="E242" s="8" t="str">
        <f t="shared" si="22"/>
        <v>rg:{'id':'200027'}</v>
      </c>
      <c r="F242" s="9" t="s">
        <v>7055</v>
      </c>
      <c r="G242" s="9" t="str">
        <f ca="1">INDEX(DistrictEquipmentTypes.csv!F:F,RANDBETWEEN(2,COUNTA(DistrictEquipmentTypes.csv!D:D)),1)</f>
        <v>200006</v>
      </c>
      <c r="H242" s="8" t="str">
        <f t="shared" ca="1" si="23"/>
        <v>rg:{ 'id': '200006'}</v>
      </c>
      <c r="I242" s="8">
        <f t="shared" ca="1" si="24"/>
        <v>1</v>
      </c>
      <c r="J242" s="8">
        <f t="shared" ca="1" si="25"/>
        <v>68</v>
      </c>
      <c r="K242" s="8" t="str">
        <f t="shared" ca="1" si="26"/>
        <v>2017-04-20</v>
      </c>
      <c r="L242" s="8" t="str">
        <f t="shared" ca="1" si="27"/>
        <v>2017-04-28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>
        <f>IFERROR(VLOOKUP(VLOOKUP(VLOOKUP(C243,Project.csv!F:Q,12,FALSE),ServiceAreas.csv!B:I,8,FALSE),LocalAreas.csv!B:H,7,FALSE),200029)</f>
        <v>200027</v>
      </c>
      <c r="E243" s="8" t="str">
        <f t="shared" si="22"/>
        <v>rg:{'id':'200027'}</v>
      </c>
      <c r="F243" s="9" t="s">
        <v>7055</v>
      </c>
      <c r="G243" s="9" t="str">
        <f ca="1">INDEX(DistrictEquipmentTypes.csv!F:F,RANDBETWEEN(2,COUNTA(DistrictEquipmentTypes.csv!D:D)),1)</f>
        <v>200005</v>
      </c>
      <c r="H243" s="8" t="str">
        <f t="shared" ca="1" si="23"/>
        <v>rg:{ 'id': '200005'}</v>
      </c>
      <c r="I243" s="8">
        <f t="shared" ca="1" si="24"/>
        <v>1</v>
      </c>
      <c r="J243" s="8">
        <f t="shared" ca="1" si="25"/>
        <v>12</v>
      </c>
      <c r="K243" s="8" t="str">
        <f t="shared" ca="1" si="26"/>
        <v>2017-04-20</v>
      </c>
      <c r="L243" s="8" t="str">
        <f t="shared" ca="1" si="27"/>
        <v>2017-04-21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>
        <f>IFERROR(VLOOKUP(VLOOKUP(VLOOKUP(C244,Project.csv!F:Q,12,FALSE),ServiceAreas.csv!B:I,8,FALSE),LocalAreas.csv!B:H,7,FALSE),200029)</f>
        <v>200027</v>
      </c>
      <c r="E244" s="8" t="str">
        <f t="shared" si="22"/>
        <v>rg:{'id':'200027'}</v>
      </c>
      <c r="F244" s="9" t="s">
        <v>7055</v>
      </c>
      <c r="G244" s="9" t="str">
        <f ca="1">INDEX(DistrictEquipmentTypes.csv!F:F,RANDBETWEEN(2,COUNTA(DistrictEquipmentTypes.csv!D:D)),1)</f>
        <v>200000</v>
      </c>
      <c r="H244" s="8" t="str">
        <f t="shared" ca="1" si="23"/>
        <v>rg:{ 'id': '200000'}</v>
      </c>
      <c r="I244" s="8">
        <f t="shared" ca="1" si="24"/>
        <v>1</v>
      </c>
      <c r="J244" s="8">
        <f t="shared" ca="1" si="25"/>
        <v>19</v>
      </c>
      <c r="K244" s="8" t="str">
        <f t="shared" ca="1" si="26"/>
        <v>2017-05-11</v>
      </c>
      <c r="L244" s="8" t="str">
        <f t="shared" ca="1" si="27"/>
        <v>2017-05-13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>
        <f>IFERROR(VLOOKUP(VLOOKUP(VLOOKUP(C245,Project.csv!F:Q,12,FALSE),ServiceAreas.csv!B:I,8,FALSE),LocalAreas.csv!B:H,7,FALSE),200029)</f>
        <v>200027</v>
      </c>
      <c r="E245" s="8" t="str">
        <f t="shared" si="22"/>
        <v>rg:{'id':'200027'}</v>
      </c>
      <c r="F245" s="9" t="s">
        <v>7055</v>
      </c>
      <c r="G245" s="9" t="str">
        <f ca="1">INDEX(DistrictEquipmentTypes.csv!F:F,RANDBETWEEN(2,COUNTA(DistrictEquipmentTypes.csv!D:D)),1)</f>
        <v>200005</v>
      </c>
      <c r="H245" s="8" t="str">
        <f t="shared" ca="1" si="23"/>
        <v>rg:{ 'id': '200005'}</v>
      </c>
      <c r="I245" s="8">
        <f t="shared" ca="1" si="24"/>
        <v>1</v>
      </c>
      <c r="J245" s="8">
        <f t="shared" ca="1" si="25"/>
        <v>79</v>
      </c>
      <c r="K245" s="8" t="str">
        <f t="shared" ca="1" si="26"/>
        <v>2017-05-03</v>
      </c>
      <c r="L245" s="8" t="str">
        <f t="shared" ca="1" si="27"/>
        <v>2017-05-12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>
        <f>IFERROR(VLOOKUP(VLOOKUP(VLOOKUP(C246,Project.csv!F:Q,12,FALSE),ServiceAreas.csv!B:I,8,FALSE),LocalAreas.csv!B:H,7,FALSE),200029)</f>
        <v>200027</v>
      </c>
      <c r="E246" s="8" t="str">
        <f t="shared" si="22"/>
        <v>rg:{'id':'200027'}</v>
      </c>
      <c r="F246" s="9" t="s">
        <v>7055</v>
      </c>
      <c r="G246" s="9" t="str">
        <f ca="1">INDEX(DistrictEquipmentTypes.csv!F:F,RANDBETWEEN(2,COUNTA(DistrictEquipmentTypes.csv!D:D)),1)</f>
        <v>200001</v>
      </c>
      <c r="H246" s="8" t="str">
        <f t="shared" ca="1" si="23"/>
        <v>rg:{ 'id': '200001'}</v>
      </c>
      <c r="I246" s="8">
        <f t="shared" ca="1" si="24"/>
        <v>1</v>
      </c>
      <c r="J246" s="8">
        <f t="shared" ca="1" si="25"/>
        <v>11</v>
      </c>
      <c r="K246" s="8" t="str">
        <f t="shared" ca="1" si="26"/>
        <v>2017-04-11</v>
      </c>
      <c r="L246" s="8" t="str">
        <f t="shared" ca="1" si="27"/>
        <v>2017-04-12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>
        <f>IFERROR(VLOOKUP(VLOOKUP(VLOOKUP(C247,Project.csv!F:Q,12,FALSE),ServiceAreas.csv!B:I,8,FALSE),LocalAreas.csv!B:H,7,FALSE),200029)</f>
        <v>200027</v>
      </c>
      <c r="E247" s="8" t="str">
        <f t="shared" si="22"/>
        <v>rg:{'id':'200027'}</v>
      </c>
      <c r="F247" s="9" t="s">
        <v>7055</v>
      </c>
      <c r="G247" s="9" t="str">
        <f ca="1">INDEX(DistrictEquipmentTypes.csv!F:F,RANDBETWEEN(2,COUNTA(DistrictEquipmentTypes.csv!D:D)),1)</f>
        <v>200007</v>
      </c>
      <c r="H247" s="8" t="str">
        <f t="shared" ca="1" si="23"/>
        <v>rg:{ 'id': '200007'}</v>
      </c>
      <c r="I247" s="8">
        <f t="shared" ca="1" si="24"/>
        <v>1</v>
      </c>
      <c r="J247" s="8">
        <f t="shared" ca="1" si="25"/>
        <v>47</v>
      </c>
      <c r="K247" s="8" t="str">
        <f t="shared" ca="1" si="26"/>
        <v>2017-04-16</v>
      </c>
      <c r="L247" s="8" t="str">
        <f t="shared" ca="1" si="27"/>
        <v>2017-04-21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>
        <f>IFERROR(VLOOKUP(VLOOKUP(VLOOKUP(C248,Project.csv!F:Q,12,FALSE),ServiceAreas.csv!B:I,8,FALSE),LocalAreas.csv!B:H,7,FALSE),200029)</f>
        <v>200060</v>
      </c>
      <c r="E248" s="8" t="str">
        <f t="shared" si="22"/>
        <v>rg:{'id':'200060'}</v>
      </c>
      <c r="F248" s="9" t="s">
        <v>7055</v>
      </c>
      <c r="G248" s="9" t="str">
        <f ca="1">INDEX(DistrictEquipmentTypes.csv!F:F,RANDBETWEEN(2,COUNTA(DistrictEquipmentTypes.csv!D:D)),1)</f>
        <v>200001</v>
      </c>
      <c r="H248" s="8" t="str">
        <f t="shared" ca="1" si="23"/>
        <v>rg:{ 'id': '200001'}</v>
      </c>
      <c r="I248" s="8">
        <f t="shared" ca="1" si="24"/>
        <v>1</v>
      </c>
      <c r="J248" s="8">
        <f t="shared" ca="1" si="25"/>
        <v>83</v>
      </c>
      <c r="K248" s="8" t="str">
        <f t="shared" ca="1" si="26"/>
        <v>2017-03-29</v>
      </c>
      <c r="L248" s="8" t="str">
        <f t="shared" ca="1" si="27"/>
        <v>2017-04-08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>
        <f>IFERROR(VLOOKUP(VLOOKUP(VLOOKUP(C249,Project.csv!F:Q,12,FALSE),ServiceAreas.csv!B:I,8,FALSE),LocalAreas.csv!B:H,7,FALSE),200029)</f>
        <v>200060</v>
      </c>
      <c r="E249" s="8" t="str">
        <f t="shared" si="22"/>
        <v>rg:{'id':'200060'}</v>
      </c>
      <c r="F249" s="9" t="s">
        <v>7055</v>
      </c>
      <c r="G249" s="9" t="str">
        <f ca="1">INDEX(DistrictEquipmentTypes.csv!F:F,RANDBETWEEN(2,COUNTA(DistrictEquipmentTypes.csv!D:D)),1)</f>
        <v>200009</v>
      </c>
      <c r="H249" s="8" t="str">
        <f t="shared" ca="1" si="23"/>
        <v>rg:{ 'id': '200009'}</v>
      </c>
      <c r="I249" s="8">
        <f t="shared" ca="1" si="24"/>
        <v>1</v>
      </c>
      <c r="J249" s="8">
        <f t="shared" ca="1" si="25"/>
        <v>72</v>
      </c>
      <c r="K249" s="8" t="str">
        <f t="shared" ca="1" si="26"/>
        <v>2017-04-15</v>
      </c>
      <c r="L249" s="8" t="str">
        <f t="shared" ca="1" si="27"/>
        <v>2017-04-24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>
        <f>IFERROR(VLOOKUP(VLOOKUP(VLOOKUP(C250,Project.csv!F:Q,12,FALSE),ServiceAreas.csv!B:I,8,FALSE),LocalAreas.csv!B:H,7,FALSE),200029)</f>
        <v>200060</v>
      </c>
      <c r="E250" s="8" t="str">
        <f t="shared" si="22"/>
        <v>rg:{'id':'200060'}</v>
      </c>
      <c r="F250" s="9" t="s">
        <v>7055</v>
      </c>
      <c r="G250" s="9" t="str">
        <f ca="1">INDEX(DistrictEquipmentTypes.csv!F:F,RANDBETWEEN(2,COUNTA(DistrictEquipmentTypes.csv!D:D)),1)</f>
        <v>200009</v>
      </c>
      <c r="H250" s="8" t="str">
        <f t="shared" ca="1" si="23"/>
        <v>rg:{ 'id': '200009'}</v>
      </c>
      <c r="I250" s="8">
        <f t="shared" ca="1" si="24"/>
        <v>4</v>
      </c>
      <c r="J250" s="8">
        <f t="shared" ca="1" si="25"/>
        <v>42</v>
      </c>
      <c r="K250" s="8" t="str">
        <f t="shared" ca="1" si="26"/>
        <v>2017-04-23</v>
      </c>
      <c r="L250" s="8" t="str">
        <f t="shared" ca="1" si="27"/>
        <v>2017-05-14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>
        <f>IFERROR(VLOOKUP(VLOOKUP(VLOOKUP(C251,Project.csv!F:Q,12,FALSE),ServiceAreas.csv!B:I,8,FALSE),LocalAreas.csv!B:H,7,FALSE),200029)</f>
        <v>200060</v>
      </c>
      <c r="E251" s="8" t="str">
        <f t="shared" si="22"/>
        <v>rg:{'id':'200060'}</v>
      </c>
      <c r="F251" s="9" t="s">
        <v>7055</v>
      </c>
      <c r="G251" s="9" t="str">
        <f ca="1">INDEX(DistrictEquipmentTypes.csv!F:F,RANDBETWEEN(2,COUNTA(DistrictEquipmentTypes.csv!D:D)),1)</f>
        <v>200007</v>
      </c>
      <c r="H251" s="8" t="str">
        <f t="shared" ca="1" si="23"/>
        <v>rg:{ 'id': '200007'}</v>
      </c>
      <c r="I251" s="8">
        <f t="shared" ca="1" si="24"/>
        <v>1</v>
      </c>
      <c r="J251" s="8">
        <f t="shared" ca="1" si="25"/>
        <v>73</v>
      </c>
      <c r="K251" s="8" t="str">
        <f t="shared" ca="1" si="26"/>
        <v>2017-05-15</v>
      </c>
      <c r="L251" s="8" t="str">
        <f t="shared" ca="1" si="27"/>
        <v>2017-05-24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>
        <f>IFERROR(VLOOKUP(VLOOKUP(VLOOKUP(C252,Project.csv!F:Q,12,FALSE),ServiceAreas.csv!B:I,8,FALSE),LocalAreas.csv!B:H,7,FALSE),200029)</f>
        <v>200060</v>
      </c>
      <c r="E252" s="8" t="str">
        <f t="shared" si="22"/>
        <v>rg:{'id':'200060'}</v>
      </c>
      <c r="F252" s="9" t="s">
        <v>7055</v>
      </c>
      <c r="G252" s="9" t="str">
        <f ca="1">INDEX(DistrictEquipmentTypes.csv!F:F,RANDBETWEEN(2,COUNTA(DistrictEquipmentTypes.csv!D:D)),1)</f>
        <v>200006</v>
      </c>
      <c r="H252" s="8" t="str">
        <f t="shared" ca="1" si="23"/>
        <v>rg:{ 'id': '200006'}</v>
      </c>
      <c r="I252" s="8">
        <f t="shared" ca="1" si="24"/>
        <v>1</v>
      </c>
      <c r="J252" s="8">
        <f t="shared" ca="1" si="25"/>
        <v>47</v>
      </c>
      <c r="K252" s="8" t="str">
        <f t="shared" ca="1" si="26"/>
        <v>2017-04-22</v>
      </c>
      <c r="L252" s="8" t="str">
        <f t="shared" ca="1" si="27"/>
        <v>2017-04-27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>
        <f>IFERROR(VLOOKUP(VLOOKUP(VLOOKUP(C253,Project.csv!F:Q,12,FALSE),ServiceAreas.csv!B:I,8,FALSE),LocalAreas.csv!B:H,7,FALSE),200029)</f>
        <v>200060</v>
      </c>
      <c r="E253" s="8" t="str">
        <f t="shared" si="22"/>
        <v>rg:{'id':'200060'}</v>
      </c>
      <c r="F253" s="9" t="s">
        <v>7055</v>
      </c>
      <c r="G253" s="9" t="str">
        <f ca="1">INDEX(DistrictEquipmentTypes.csv!F:F,RANDBETWEEN(2,COUNTA(DistrictEquipmentTypes.csv!D:D)),1)</f>
        <v>200004</v>
      </c>
      <c r="H253" s="8" t="str">
        <f t="shared" ca="1" si="23"/>
        <v>rg:{ 'id': '200004'}</v>
      </c>
      <c r="I253" s="8">
        <f t="shared" ca="1" si="24"/>
        <v>3</v>
      </c>
      <c r="J253" s="8">
        <f t="shared" ca="1" si="25"/>
        <v>62</v>
      </c>
      <c r="K253" s="8" t="str">
        <f t="shared" ca="1" si="26"/>
        <v>2017-05-03</v>
      </c>
      <c r="L253" s="8" t="str">
        <f t="shared" ca="1" si="27"/>
        <v>2017-05-26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>
        <f>IFERROR(VLOOKUP(VLOOKUP(VLOOKUP(C254,Project.csv!F:Q,12,FALSE),ServiceAreas.csv!B:I,8,FALSE),LocalAreas.csv!B:H,7,FALSE),200029)</f>
        <v>200060</v>
      </c>
      <c r="E254" s="8" t="str">
        <f t="shared" si="22"/>
        <v>rg:{'id':'200060'}</v>
      </c>
      <c r="F254" s="9" t="s">
        <v>7055</v>
      </c>
      <c r="G254" s="9" t="str">
        <f ca="1">INDEX(DistrictEquipmentTypes.csv!F:F,RANDBETWEEN(2,COUNTA(DistrictEquipmentTypes.csv!D:D)),1)</f>
        <v>200005</v>
      </c>
      <c r="H254" s="8" t="str">
        <f t="shared" ca="1" si="23"/>
        <v>rg:{ 'id': '200005'}</v>
      </c>
      <c r="I254" s="8">
        <f t="shared" ca="1" si="24"/>
        <v>1</v>
      </c>
      <c r="J254" s="8">
        <f t="shared" ca="1" si="25"/>
        <v>96</v>
      </c>
      <c r="K254" s="8" t="str">
        <f t="shared" ca="1" si="26"/>
        <v>2017-03-26</v>
      </c>
      <c r="L254" s="8" t="str">
        <f t="shared" ca="1" si="27"/>
        <v>2017-04-07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>
        <f>IFERROR(VLOOKUP(VLOOKUP(VLOOKUP(C255,Project.csv!F:Q,12,FALSE),ServiceAreas.csv!B:I,8,FALSE),LocalAreas.csv!B:H,7,FALSE),200029)</f>
        <v>200060</v>
      </c>
      <c r="E255" s="8" t="str">
        <f t="shared" si="22"/>
        <v>rg:{'id':'200060'}</v>
      </c>
      <c r="F255" s="9" t="s">
        <v>7055</v>
      </c>
      <c r="G255" s="9" t="str">
        <f ca="1">INDEX(DistrictEquipmentTypes.csv!F:F,RANDBETWEEN(2,COUNTA(DistrictEquipmentTypes.csv!D:D)),1)</f>
        <v>200003</v>
      </c>
      <c r="H255" s="8" t="str">
        <f t="shared" ca="1" si="23"/>
        <v>rg:{ 'id': '200003'}</v>
      </c>
      <c r="I255" s="8">
        <f t="shared" ca="1" si="24"/>
        <v>4</v>
      </c>
      <c r="J255" s="8">
        <f t="shared" ca="1" si="25"/>
        <v>53</v>
      </c>
      <c r="K255" s="8" t="str">
        <f t="shared" ca="1" si="26"/>
        <v>2017-03-27</v>
      </c>
      <c r="L255" s="8" t="str">
        <f t="shared" ca="1" si="27"/>
        <v>2017-04-22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>
        <f>IFERROR(VLOOKUP(VLOOKUP(VLOOKUP(C256,Project.csv!F:Q,12,FALSE),ServiceAreas.csv!B:I,8,FALSE),LocalAreas.csv!B:H,7,FALSE),200029)</f>
        <v>200060</v>
      </c>
      <c r="E256" s="8" t="str">
        <f t="shared" si="22"/>
        <v>rg:{'id':'200060'}</v>
      </c>
      <c r="F256" s="9" t="s">
        <v>7055</v>
      </c>
      <c r="G256" s="9" t="str">
        <f ca="1">INDEX(DistrictEquipmentTypes.csv!F:F,RANDBETWEEN(2,COUNTA(DistrictEquipmentTypes.csv!D:D)),1)</f>
        <v>200003</v>
      </c>
      <c r="H256" s="8" t="str">
        <f t="shared" ca="1" si="23"/>
        <v>rg:{ 'id': '200003'}</v>
      </c>
      <c r="I256" s="8">
        <f t="shared" ca="1" si="24"/>
        <v>1</v>
      </c>
      <c r="J256" s="8">
        <f t="shared" ca="1" si="25"/>
        <v>57</v>
      </c>
      <c r="K256" s="8" t="str">
        <f t="shared" ca="1" si="26"/>
        <v>2017-04-06</v>
      </c>
      <c r="L256" s="8" t="str">
        <f t="shared" ca="1" si="27"/>
        <v>2017-04-13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>
        <f>IFERROR(VLOOKUP(VLOOKUP(VLOOKUP(C257,Project.csv!F:Q,12,FALSE),ServiceAreas.csv!B:I,8,FALSE),LocalAreas.csv!B:H,7,FALSE),200029)</f>
        <v>200060</v>
      </c>
      <c r="E257" s="8" t="str">
        <f t="shared" si="22"/>
        <v>rg:{'id':'200060'}</v>
      </c>
      <c r="F257" s="9" t="s">
        <v>7055</v>
      </c>
      <c r="G257" s="9" t="str">
        <f ca="1">INDEX(DistrictEquipmentTypes.csv!F:F,RANDBETWEEN(2,COUNTA(DistrictEquipmentTypes.csv!D:D)),1)</f>
        <v>200000</v>
      </c>
      <c r="H257" s="8" t="str">
        <f t="shared" ca="1" si="23"/>
        <v>rg:{ 'id': '200000'}</v>
      </c>
      <c r="I257" s="8">
        <f t="shared" ca="1" si="24"/>
        <v>1</v>
      </c>
      <c r="J257" s="8">
        <f t="shared" ca="1" si="25"/>
        <v>87</v>
      </c>
      <c r="K257" s="8" t="str">
        <f t="shared" ca="1" si="26"/>
        <v>2017-05-11</v>
      </c>
      <c r="L257" s="8" t="str">
        <f t="shared" ca="1" si="27"/>
        <v>2017-05-21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>
        <f>IFERROR(VLOOKUP(VLOOKUP(VLOOKUP(C258,Project.csv!F:Q,12,FALSE),ServiceAreas.csv!B:I,8,FALSE),LocalAreas.csv!B:H,7,FALSE),200029)</f>
        <v>200060</v>
      </c>
      <c r="E258" s="8" t="str">
        <f t="shared" si="22"/>
        <v>rg:{'id':'200060'}</v>
      </c>
      <c r="F258" s="9" t="s">
        <v>7055</v>
      </c>
      <c r="G258" s="9" t="str">
        <f ca="1">INDEX(DistrictEquipmentTypes.csv!F:F,RANDBETWEEN(2,COUNTA(DistrictEquipmentTypes.csv!D:D)),1)</f>
        <v>200003</v>
      </c>
      <c r="H258" s="8" t="str">
        <f t="shared" ca="1" si="23"/>
        <v>rg:{ 'id': '200003'}</v>
      </c>
      <c r="I258" s="8">
        <f t="shared" ca="1" si="24"/>
        <v>1</v>
      </c>
      <c r="J258" s="8">
        <f t="shared" ca="1" si="25"/>
        <v>6</v>
      </c>
      <c r="K258" s="8" t="str">
        <f t="shared" ca="1" si="26"/>
        <v>2017-05-16</v>
      </c>
      <c r="L258" s="8" t="str">
        <f t="shared" ca="1" si="27"/>
        <v>2017-05-16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>
        <f>IFERROR(VLOOKUP(VLOOKUP(VLOOKUP(C259,Project.csv!F:Q,12,FALSE),ServiceAreas.csv!B:I,8,FALSE),LocalAreas.csv!B:H,7,FALSE),200029)</f>
        <v>200060</v>
      </c>
      <c r="E259" s="8" t="str">
        <f t="shared" ref="E259:E322" si="29" xml:space="preserve"> "rg:{'id':'" &amp; D259 &amp; "'}"</f>
        <v>rg:{'id':'200060'}</v>
      </c>
      <c r="F259" s="9" t="s">
        <v>7055</v>
      </c>
      <c r="G259" s="9" t="str">
        <f ca="1">INDEX(DistrictEquipmentTypes.csv!F:F,RANDBETWEEN(2,COUNTA(DistrictEquipmentTypes.csv!D:D)),1)</f>
        <v>200003</v>
      </c>
      <c r="H259" s="8" t="str">
        <f t="shared" ref="H259:H322" ca="1" si="30">"rg:{ 'id': '"&amp;G259&amp;"'}"</f>
        <v>rg:{ 'id': '200003'}</v>
      </c>
      <c r="I259" s="8">
        <f t="shared" ref="I259:I322" ca="1" si="31">IF(RANDBETWEEN(1,5)&gt;1,1,RANDBETWEEN(2,5))</f>
        <v>2</v>
      </c>
      <c r="J259" s="8">
        <f t="shared" ref="J259:J322" ca="1" si="32">RANDBETWEEN(4,100)</f>
        <v>36</v>
      </c>
      <c r="K259" s="8" t="str">
        <f t="shared" ref="K259:K322" ca="1" si="33">TEXT(TODAY()+RANDBETWEEN(1,56),"YYYY-MM-DD")</f>
        <v>2017-03-29</v>
      </c>
      <c r="L259" s="8" t="str">
        <f t="shared" ref="L259:L322" ca="1" si="34">TEXT(K259+(I259*J259)/8,"YYYY-MM-DD")</f>
        <v>2017-04-07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>
        <f>IFERROR(VLOOKUP(VLOOKUP(VLOOKUP(C260,Project.csv!F:Q,12,FALSE),ServiceAreas.csv!B:I,8,FALSE),LocalAreas.csv!B:H,7,FALSE),200029)</f>
        <v>200060</v>
      </c>
      <c r="E260" s="8" t="str">
        <f t="shared" si="29"/>
        <v>rg:{'id':'200060'}</v>
      </c>
      <c r="F260" s="9" t="s">
        <v>7055</v>
      </c>
      <c r="G260" s="9" t="str">
        <f ca="1">INDEX(DistrictEquipmentTypes.csv!F:F,RANDBETWEEN(2,COUNTA(DistrictEquipmentTypes.csv!D:D)),1)</f>
        <v>200001</v>
      </c>
      <c r="H260" s="8" t="str">
        <f t="shared" ca="1" si="30"/>
        <v>rg:{ 'id': '200001'}</v>
      </c>
      <c r="I260" s="8">
        <f t="shared" ca="1" si="31"/>
        <v>1</v>
      </c>
      <c r="J260" s="8">
        <f t="shared" ca="1" si="32"/>
        <v>81</v>
      </c>
      <c r="K260" s="8" t="str">
        <f t="shared" ca="1" si="33"/>
        <v>2017-03-23</v>
      </c>
      <c r="L260" s="8" t="str">
        <f t="shared" ca="1" si="34"/>
        <v>2017-04-02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>
        <f>IFERROR(VLOOKUP(VLOOKUP(VLOOKUP(C261,Project.csv!F:Q,12,FALSE),ServiceAreas.csv!B:I,8,FALSE),LocalAreas.csv!B:H,7,FALSE),200029)</f>
        <v>200060</v>
      </c>
      <c r="E261" s="8" t="str">
        <f t="shared" si="29"/>
        <v>rg:{'id':'200060'}</v>
      </c>
      <c r="F261" s="9" t="s">
        <v>7055</v>
      </c>
      <c r="G261" s="9" t="str">
        <f ca="1">INDEX(DistrictEquipmentTypes.csv!F:F,RANDBETWEEN(2,COUNTA(DistrictEquipmentTypes.csv!D:D)),1)</f>
        <v>200003</v>
      </c>
      <c r="H261" s="8" t="str">
        <f t="shared" ca="1" si="30"/>
        <v>rg:{ 'id': '200003'}</v>
      </c>
      <c r="I261" s="8">
        <f t="shared" ca="1" si="31"/>
        <v>1</v>
      </c>
      <c r="J261" s="8">
        <f t="shared" ca="1" si="32"/>
        <v>53</v>
      </c>
      <c r="K261" s="8" t="str">
        <f t="shared" ca="1" si="33"/>
        <v>2017-05-06</v>
      </c>
      <c r="L261" s="8" t="str">
        <f t="shared" ca="1" si="34"/>
        <v>2017-05-12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>
        <f>IFERROR(VLOOKUP(VLOOKUP(VLOOKUP(C262,Project.csv!F:Q,12,FALSE),ServiceAreas.csv!B:I,8,FALSE),LocalAreas.csv!B:H,7,FALSE),200029)</f>
        <v>200064</v>
      </c>
      <c r="E262" s="8" t="str">
        <f t="shared" si="29"/>
        <v>rg:{'id':'200064'}</v>
      </c>
      <c r="F262" s="9" t="s">
        <v>7055</v>
      </c>
      <c r="G262" s="9" t="str">
        <f ca="1">INDEX(DistrictEquipmentTypes.csv!F:F,RANDBETWEEN(2,COUNTA(DistrictEquipmentTypes.csv!D:D)),1)</f>
        <v>200005</v>
      </c>
      <c r="H262" s="8" t="str">
        <f t="shared" ca="1" si="30"/>
        <v>rg:{ 'id': '200005'}</v>
      </c>
      <c r="I262" s="8">
        <f t="shared" ca="1" si="31"/>
        <v>1</v>
      </c>
      <c r="J262" s="8">
        <f t="shared" ca="1" si="32"/>
        <v>6</v>
      </c>
      <c r="K262" s="8" t="str">
        <f t="shared" ca="1" si="33"/>
        <v>2017-04-07</v>
      </c>
      <c r="L262" s="8" t="str">
        <f t="shared" ca="1" si="34"/>
        <v>2017-04-07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>
        <f>IFERROR(VLOOKUP(VLOOKUP(VLOOKUP(C263,Project.csv!F:Q,12,FALSE),ServiceAreas.csv!B:I,8,FALSE),LocalAreas.csv!B:H,7,FALSE),200029)</f>
        <v>200064</v>
      </c>
      <c r="E263" s="8" t="str">
        <f t="shared" si="29"/>
        <v>rg:{'id':'200064'}</v>
      </c>
      <c r="F263" s="9" t="s">
        <v>7055</v>
      </c>
      <c r="G263" s="9" t="str">
        <f ca="1">INDEX(DistrictEquipmentTypes.csv!F:F,RANDBETWEEN(2,COUNTA(DistrictEquipmentTypes.csv!D:D)),1)</f>
        <v>200009</v>
      </c>
      <c r="H263" s="8" t="str">
        <f t="shared" ca="1" si="30"/>
        <v>rg:{ 'id': '200009'}</v>
      </c>
      <c r="I263" s="8">
        <f t="shared" ca="1" si="31"/>
        <v>5</v>
      </c>
      <c r="J263" s="8">
        <f t="shared" ca="1" si="32"/>
        <v>98</v>
      </c>
      <c r="K263" s="8" t="str">
        <f t="shared" ca="1" si="33"/>
        <v>2017-03-23</v>
      </c>
      <c r="L263" s="8" t="str">
        <f t="shared" ca="1" si="34"/>
        <v>2017-05-23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>
        <f>IFERROR(VLOOKUP(VLOOKUP(VLOOKUP(C264,Project.csv!F:Q,12,FALSE),ServiceAreas.csv!B:I,8,FALSE),LocalAreas.csv!B:H,7,FALSE),200029)</f>
        <v>200064</v>
      </c>
      <c r="E264" s="8" t="str">
        <f t="shared" si="29"/>
        <v>rg:{'id':'200064'}</v>
      </c>
      <c r="F264" s="9" t="s">
        <v>7055</v>
      </c>
      <c r="G264" s="9" t="str">
        <f ca="1">INDEX(DistrictEquipmentTypes.csv!F:F,RANDBETWEEN(2,COUNTA(DistrictEquipmentTypes.csv!D:D)),1)</f>
        <v>200009</v>
      </c>
      <c r="H264" s="8" t="str">
        <f t="shared" ca="1" si="30"/>
        <v>rg:{ 'id': '200009'}</v>
      </c>
      <c r="I264" s="8">
        <f t="shared" ca="1" si="31"/>
        <v>1</v>
      </c>
      <c r="J264" s="8">
        <f t="shared" ca="1" si="32"/>
        <v>12</v>
      </c>
      <c r="K264" s="8" t="str">
        <f t="shared" ca="1" si="33"/>
        <v>2017-04-25</v>
      </c>
      <c r="L264" s="8" t="str">
        <f t="shared" ca="1" si="34"/>
        <v>2017-04-26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>
        <f>IFERROR(VLOOKUP(VLOOKUP(VLOOKUP(C265,Project.csv!F:Q,12,FALSE),ServiceAreas.csv!B:I,8,FALSE),LocalAreas.csv!B:H,7,FALSE),200029)</f>
        <v>200064</v>
      </c>
      <c r="E265" s="8" t="str">
        <f t="shared" si="29"/>
        <v>rg:{'id':'200064'}</v>
      </c>
      <c r="F265" s="9" t="s">
        <v>7055</v>
      </c>
      <c r="G265" s="9" t="str">
        <f ca="1">INDEX(DistrictEquipmentTypes.csv!F:F,RANDBETWEEN(2,COUNTA(DistrictEquipmentTypes.csv!D:D)),1)</f>
        <v>200004</v>
      </c>
      <c r="H265" s="8" t="str">
        <f t="shared" ca="1" si="30"/>
        <v>rg:{ 'id': '200004'}</v>
      </c>
      <c r="I265" s="8">
        <f t="shared" ca="1" si="31"/>
        <v>1</v>
      </c>
      <c r="J265" s="8">
        <f t="shared" ca="1" si="32"/>
        <v>78</v>
      </c>
      <c r="K265" s="8" t="str">
        <f t="shared" ca="1" si="33"/>
        <v>2017-04-14</v>
      </c>
      <c r="L265" s="8" t="str">
        <f t="shared" ca="1" si="34"/>
        <v>2017-04-23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>
        <f>IFERROR(VLOOKUP(VLOOKUP(VLOOKUP(C266,Project.csv!F:Q,12,FALSE),ServiceAreas.csv!B:I,8,FALSE),LocalAreas.csv!B:H,7,FALSE),200029)</f>
        <v>200064</v>
      </c>
      <c r="E266" s="8" t="str">
        <f t="shared" si="29"/>
        <v>rg:{'id':'200064'}</v>
      </c>
      <c r="F266" s="9" t="s">
        <v>7055</v>
      </c>
      <c r="G266" s="9" t="str">
        <f ca="1">INDEX(DistrictEquipmentTypes.csv!F:F,RANDBETWEEN(2,COUNTA(DistrictEquipmentTypes.csv!D:D)),1)</f>
        <v>200003</v>
      </c>
      <c r="H266" s="8" t="str">
        <f t="shared" ca="1" si="30"/>
        <v>rg:{ 'id': '200003'}</v>
      </c>
      <c r="I266" s="8">
        <f t="shared" ca="1" si="31"/>
        <v>1</v>
      </c>
      <c r="J266" s="8">
        <f t="shared" ca="1" si="32"/>
        <v>24</v>
      </c>
      <c r="K266" s="8" t="str">
        <f t="shared" ca="1" si="33"/>
        <v>2017-04-25</v>
      </c>
      <c r="L266" s="8" t="str">
        <f t="shared" ca="1" si="34"/>
        <v>2017-04-28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>
        <f>IFERROR(VLOOKUP(VLOOKUP(VLOOKUP(C267,Project.csv!F:Q,12,FALSE),ServiceAreas.csv!B:I,8,FALSE),LocalAreas.csv!B:H,7,FALSE),200029)</f>
        <v>200064</v>
      </c>
      <c r="E267" s="8" t="str">
        <f t="shared" si="29"/>
        <v>rg:{'id':'200064'}</v>
      </c>
      <c r="F267" s="9" t="s">
        <v>7055</v>
      </c>
      <c r="G267" s="9" t="str">
        <f ca="1">INDEX(DistrictEquipmentTypes.csv!F:F,RANDBETWEEN(2,COUNTA(DistrictEquipmentTypes.csv!D:D)),1)</f>
        <v>200009</v>
      </c>
      <c r="H267" s="8" t="str">
        <f t="shared" ca="1" si="30"/>
        <v>rg:{ 'id': '200009'}</v>
      </c>
      <c r="I267" s="8">
        <f t="shared" ca="1" si="31"/>
        <v>1</v>
      </c>
      <c r="J267" s="8">
        <f t="shared" ca="1" si="32"/>
        <v>82</v>
      </c>
      <c r="K267" s="8" t="str">
        <f t="shared" ca="1" si="33"/>
        <v>2017-04-14</v>
      </c>
      <c r="L267" s="8" t="str">
        <f t="shared" ca="1" si="34"/>
        <v>2017-04-24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>
        <f>IFERROR(VLOOKUP(VLOOKUP(VLOOKUP(C268,Project.csv!F:Q,12,FALSE),ServiceAreas.csv!B:I,8,FALSE),LocalAreas.csv!B:H,7,FALSE),200029)</f>
        <v>200064</v>
      </c>
      <c r="E268" s="8" t="str">
        <f t="shared" si="29"/>
        <v>rg:{'id':'200064'}</v>
      </c>
      <c r="F268" s="9" t="s">
        <v>7055</v>
      </c>
      <c r="G268" s="9" t="str">
        <f ca="1">INDEX(DistrictEquipmentTypes.csv!F:F,RANDBETWEEN(2,COUNTA(DistrictEquipmentTypes.csv!D:D)),1)</f>
        <v>200002</v>
      </c>
      <c r="H268" s="8" t="str">
        <f t="shared" ca="1" si="30"/>
        <v>rg:{ 'id': '200002'}</v>
      </c>
      <c r="I268" s="8">
        <f t="shared" ca="1" si="31"/>
        <v>1</v>
      </c>
      <c r="J268" s="8">
        <f t="shared" ca="1" si="32"/>
        <v>11</v>
      </c>
      <c r="K268" s="8" t="str">
        <f t="shared" ca="1" si="33"/>
        <v>2017-04-14</v>
      </c>
      <c r="L268" s="8" t="str">
        <f t="shared" ca="1" si="34"/>
        <v>2017-04-15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IFERROR(VLOOKUP(VLOOKUP(VLOOKUP(C269,Project.csv!F:Q,12,FALSE),ServiceAreas.csv!B:I,8,FALSE),LocalAreas.csv!B:H,7,FALSE),200029)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200006</v>
      </c>
      <c r="H269" s="8" t="str">
        <f t="shared" ca="1" si="30"/>
        <v>rg:{ 'id': '200006'}</v>
      </c>
      <c r="I269" s="8">
        <f t="shared" ca="1" si="31"/>
        <v>1</v>
      </c>
      <c r="J269" s="8">
        <f t="shared" ca="1" si="32"/>
        <v>33</v>
      </c>
      <c r="K269" s="8" t="str">
        <f t="shared" ca="1" si="33"/>
        <v>2017-04-23</v>
      </c>
      <c r="L269" s="8" t="str">
        <f t="shared" ca="1" si="34"/>
        <v>2017-04-27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IFERROR(VLOOKUP(VLOOKUP(VLOOKUP(C270,Project.csv!F:Q,12,FALSE),ServiceAreas.csv!B:I,8,FALSE),LocalAreas.csv!B:H,7,FALSE),200029)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200004</v>
      </c>
      <c r="H270" s="8" t="str">
        <f t="shared" ca="1" si="30"/>
        <v>rg:{ 'id': '200004'}</v>
      </c>
      <c r="I270" s="8">
        <f t="shared" ca="1" si="31"/>
        <v>1</v>
      </c>
      <c r="J270" s="8">
        <f t="shared" ca="1" si="32"/>
        <v>52</v>
      </c>
      <c r="K270" s="8" t="str">
        <f t="shared" ca="1" si="33"/>
        <v>2017-03-29</v>
      </c>
      <c r="L270" s="8" t="str">
        <f t="shared" ca="1" si="34"/>
        <v>2017-04-04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IFERROR(VLOOKUP(VLOOKUP(VLOOKUP(C271,Project.csv!F:Q,12,FALSE),ServiceAreas.csv!B:I,8,FALSE),LocalAreas.csv!B:H,7,FALSE),200029)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200001</v>
      </c>
      <c r="H271" s="8" t="str">
        <f t="shared" ca="1" si="30"/>
        <v>rg:{ 'id': '200001'}</v>
      </c>
      <c r="I271" s="8">
        <f t="shared" ca="1" si="31"/>
        <v>1</v>
      </c>
      <c r="J271" s="8">
        <f t="shared" ca="1" si="32"/>
        <v>24</v>
      </c>
      <c r="K271" s="8" t="str">
        <f t="shared" ca="1" si="33"/>
        <v>2017-04-14</v>
      </c>
      <c r="L271" s="8" t="str">
        <f t="shared" ca="1" si="34"/>
        <v>2017-04-17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IFERROR(VLOOKUP(VLOOKUP(VLOOKUP(C272,Project.csv!F:Q,12,FALSE),ServiceAreas.csv!B:I,8,FALSE),LocalAreas.csv!B:H,7,FALSE),200029)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200007</v>
      </c>
      <c r="H272" s="8" t="str">
        <f t="shared" ca="1" si="30"/>
        <v>rg:{ 'id': '200007'}</v>
      </c>
      <c r="I272" s="8">
        <f t="shared" ca="1" si="31"/>
        <v>1</v>
      </c>
      <c r="J272" s="8">
        <f t="shared" ca="1" si="32"/>
        <v>20</v>
      </c>
      <c r="K272" s="8" t="str">
        <f t="shared" ca="1" si="33"/>
        <v>2017-05-11</v>
      </c>
      <c r="L272" s="8" t="str">
        <f t="shared" ca="1" si="34"/>
        <v>2017-05-13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IFERROR(VLOOKUP(VLOOKUP(VLOOKUP(C273,Project.csv!F:Q,12,FALSE),ServiceAreas.csv!B:I,8,FALSE),LocalAreas.csv!B:H,7,FALSE),200029)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200005</v>
      </c>
      <c r="H273" s="8" t="str">
        <f t="shared" ca="1" si="30"/>
        <v>rg:{ 'id': '200005'}</v>
      </c>
      <c r="I273" s="8">
        <f t="shared" ca="1" si="31"/>
        <v>1</v>
      </c>
      <c r="J273" s="8">
        <f t="shared" ca="1" si="32"/>
        <v>76</v>
      </c>
      <c r="K273" s="8" t="str">
        <f t="shared" ca="1" si="33"/>
        <v>2017-05-12</v>
      </c>
      <c r="L273" s="8" t="str">
        <f t="shared" ca="1" si="34"/>
        <v>2017-05-21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IFERROR(VLOOKUP(VLOOKUP(VLOOKUP(C274,Project.csv!F:Q,12,FALSE),ServiceAreas.csv!B:I,8,FALSE),LocalAreas.csv!B:H,7,FALSE),200029)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200001</v>
      </c>
      <c r="H274" s="8" t="str">
        <f t="shared" ca="1" si="30"/>
        <v>rg:{ 'id': '200001'}</v>
      </c>
      <c r="I274" s="8">
        <f t="shared" ca="1" si="31"/>
        <v>1</v>
      </c>
      <c r="J274" s="8">
        <f t="shared" ca="1" si="32"/>
        <v>17</v>
      </c>
      <c r="K274" s="8" t="str">
        <f t="shared" ca="1" si="33"/>
        <v>2017-04-19</v>
      </c>
      <c r="L274" s="8" t="str">
        <f t="shared" ca="1" si="34"/>
        <v>2017-04-21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IFERROR(VLOOKUP(VLOOKUP(VLOOKUP(C275,Project.csv!F:Q,12,FALSE),ServiceAreas.csv!B:I,8,FALSE),LocalAreas.csv!B:H,7,FALSE),200029)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200007</v>
      </c>
      <c r="H275" s="8" t="str">
        <f t="shared" ca="1" si="30"/>
        <v>rg:{ 'id': '200007'}</v>
      </c>
      <c r="I275" s="8">
        <f t="shared" ca="1" si="31"/>
        <v>1</v>
      </c>
      <c r="J275" s="8">
        <f t="shared" ca="1" si="32"/>
        <v>82</v>
      </c>
      <c r="K275" s="8" t="str">
        <f t="shared" ca="1" si="33"/>
        <v>2017-04-01</v>
      </c>
      <c r="L275" s="8" t="str">
        <f t="shared" ca="1" si="34"/>
        <v>2017-04-11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>
        <f>IFERROR(VLOOKUP(VLOOKUP(VLOOKUP(C276,Project.csv!F:Q,12,FALSE),ServiceAreas.csv!B:I,8,FALSE),LocalAreas.csv!B:H,7,FALSE),200029)</f>
        <v>200069</v>
      </c>
      <c r="E276" s="8" t="str">
        <f t="shared" si="29"/>
        <v>rg:{'id':'200069'}</v>
      </c>
      <c r="F276" s="9" t="s">
        <v>7055</v>
      </c>
      <c r="G276" s="9" t="str">
        <f ca="1">INDEX(DistrictEquipmentTypes.csv!F:F,RANDBETWEEN(2,COUNTA(DistrictEquipmentTypes.csv!D:D)),1)</f>
        <v>200002</v>
      </c>
      <c r="H276" s="8" t="str">
        <f t="shared" ca="1" si="30"/>
        <v>rg:{ 'id': '200002'}</v>
      </c>
      <c r="I276" s="8">
        <f t="shared" ca="1" si="31"/>
        <v>1</v>
      </c>
      <c r="J276" s="8">
        <f t="shared" ca="1" si="32"/>
        <v>53</v>
      </c>
      <c r="K276" s="8" t="str">
        <f t="shared" ca="1" si="33"/>
        <v>2017-05-12</v>
      </c>
      <c r="L276" s="8" t="str">
        <f t="shared" ca="1" si="34"/>
        <v>2017-05-18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>
        <f>IFERROR(VLOOKUP(VLOOKUP(VLOOKUP(C277,Project.csv!F:Q,12,FALSE),ServiceAreas.csv!B:I,8,FALSE),LocalAreas.csv!B:H,7,FALSE),200029)</f>
        <v>200069</v>
      </c>
      <c r="E277" s="8" t="str">
        <f t="shared" si="29"/>
        <v>rg:{'id':'200069'}</v>
      </c>
      <c r="F277" s="9" t="s">
        <v>7055</v>
      </c>
      <c r="G277" s="9" t="str">
        <f ca="1">INDEX(DistrictEquipmentTypes.csv!F:F,RANDBETWEEN(2,COUNTA(DistrictEquipmentTypes.csv!D:D)),1)</f>
        <v>200007</v>
      </c>
      <c r="H277" s="8" t="str">
        <f t="shared" ca="1" si="30"/>
        <v>rg:{ 'id': '200007'}</v>
      </c>
      <c r="I277" s="8">
        <f t="shared" ca="1" si="31"/>
        <v>1</v>
      </c>
      <c r="J277" s="8">
        <f t="shared" ca="1" si="32"/>
        <v>65</v>
      </c>
      <c r="K277" s="8" t="str">
        <f t="shared" ca="1" si="33"/>
        <v>2017-03-23</v>
      </c>
      <c r="L277" s="8" t="str">
        <f t="shared" ca="1" si="34"/>
        <v>2017-03-31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>
        <f>IFERROR(VLOOKUP(VLOOKUP(VLOOKUP(C278,Project.csv!F:Q,12,FALSE),ServiceAreas.csv!B:I,8,FALSE),LocalAreas.csv!B:H,7,FALSE),200029)</f>
        <v>200069</v>
      </c>
      <c r="E278" s="8" t="str">
        <f t="shared" si="29"/>
        <v>rg:{'id':'200069'}</v>
      </c>
      <c r="F278" s="9" t="s">
        <v>7055</v>
      </c>
      <c r="G278" s="9" t="str">
        <f ca="1">INDEX(DistrictEquipmentTypes.csv!F:F,RANDBETWEEN(2,COUNTA(DistrictEquipmentTypes.csv!D:D)),1)</f>
        <v>200003</v>
      </c>
      <c r="H278" s="8" t="str">
        <f t="shared" ca="1" si="30"/>
        <v>rg:{ 'id': '200003'}</v>
      </c>
      <c r="I278" s="8">
        <f t="shared" ca="1" si="31"/>
        <v>1</v>
      </c>
      <c r="J278" s="8">
        <f t="shared" ca="1" si="32"/>
        <v>7</v>
      </c>
      <c r="K278" s="8" t="str">
        <f t="shared" ca="1" si="33"/>
        <v>2017-04-12</v>
      </c>
      <c r="L278" s="8" t="str">
        <f t="shared" ca="1" si="34"/>
        <v>2017-04-12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>
        <f>IFERROR(VLOOKUP(VLOOKUP(VLOOKUP(C279,Project.csv!F:Q,12,FALSE),ServiceAreas.csv!B:I,8,FALSE),LocalAreas.csv!B:H,7,FALSE),200029)</f>
        <v>200069</v>
      </c>
      <c r="E279" s="8" t="str">
        <f t="shared" si="29"/>
        <v>rg:{'id':'200069'}</v>
      </c>
      <c r="F279" s="9" t="s">
        <v>7055</v>
      </c>
      <c r="G279" s="9" t="str">
        <f ca="1">INDEX(DistrictEquipmentTypes.csv!F:F,RANDBETWEEN(2,COUNTA(DistrictEquipmentTypes.csv!D:D)),1)</f>
        <v>200002</v>
      </c>
      <c r="H279" s="8" t="str">
        <f t="shared" ca="1" si="30"/>
        <v>rg:{ 'id': '200002'}</v>
      </c>
      <c r="I279" s="8">
        <f t="shared" ca="1" si="31"/>
        <v>3</v>
      </c>
      <c r="J279" s="8">
        <f t="shared" ca="1" si="32"/>
        <v>88</v>
      </c>
      <c r="K279" s="8" t="str">
        <f t="shared" ca="1" si="33"/>
        <v>2017-04-26</v>
      </c>
      <c r="L279" s="8" t="str">
        <f t="shared" ca="1" si="34"/>
        <v>2017-05-29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>
        <f>IFERROR(VLOOKUP(VLOOKUP(VLOOKUP(C280,Project.csv!F:Q,12,FALSE),ServiceAreas.csv!B:I,8,FALSE),LocalAreas.csv!B:H,7,FALSE),200029)</f>
        <v>200069</v>
      </c>
      <c r="E280" s="8" t="str">
        <f t="shared" si="29"/>
        <v>rg:{'id':'200069'}</v>
      </c>
      <c r="F280" s="9" t="s">
        <v>7055</v>
      </c>
      <c r="G280" s="9" t="str">
        <f ca="1">INDEX(DistrictEquipmentTypes.csv!F:F,RANDBETWEEN(2,COUNTA(DistrictEquipmentTypes.csv!D:D)),1)</f>
        <v>200004</v>
      </c>
      <c r="H280" s="8" t="str">
        <f t="shared" ca="1" si="30"/>
        <v>rg:{ 'id': '200004'}</v>
      </c>
      <c r="I280" s="8">
        <f t="shared" ca="1" si="31"/>
        <v>1</v>
      </c>
      <c r="J280" s="8">
        <f t="shared" ca="1" si="32"/>
        <v>96</v>
      </c>
      <c r="K280" s="8" t="str">
        <f t="shared" ca="1" si="33"/>
        <v>2017-05-02</v>
      </c>
      <c r="L280" s="8" t="str">
        <f t="shared" ca="1" si="34"/>
        <v>2017-05-14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>
        <f>IFERROR(VLOOKUP(VLOOKUP(VLOOKUP(C281,Project.csv!F:Q,12,FALSE),ServiceAreas.csv!B:I,8,FALSE),LocalAreas.csv!B:H,7,FALSE),200029)</f>
        <v>200069</v>
      </c>
      <c r="E281" s="8" t="str">
        <f t="shared" si="29"/>
        <v>rg:{'id':'200069'}</v>
      </c>
      <c r="F281" s="9" t="s">
        <v>7055</v>
      </c>
      <c r="G281" s="9" t="str">
        <f ca="1">INDEX(DistrictEquipmentTypes.csv!F:F,RANDBETWEEN(2,COUNTA(DistrictEquipmentTypes.csv!D:D)),1)</f>
        <v>200006</v>
      </c>
      <c r="H281" s="8" t="str">
        <f t="shared" ca="1" si="30"/>
        <v>rg:{ 'id': '200006'}</v>
      </c>
      <c r="I281" s="8">
        <f t="shared" ca="1" si="31"/>
        <v>1</v>
      </c>
      <c r="J281" s="8">
        <f t="shared" ca="1" si="32"/>
        <v>72</v>
      </c>
      <c r="K281" s="8" t="str">
        <f t="shared" ca="1" si="33"/>
        <v>2017-03-27</v>
      </c>
      <c r="L281" s="8" t="str">
        <f t="shared" ca="1" si="34"/>
        <v>2017-04-05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>
        <f>IFERROR(VLOOKUP(VLOOKUP(VLOOKUP(C282,Project.csv!F:Q,12,FALSE),ServiceAreas.csv!B:I,8,FALSE),LocalAreas.csv!B:H,7,FALSE),200029)</f>
        <v>200069</v>
      </c>
      <c r="E282" s="8" t="str">
        <f t="shared" si="29"/>
        <v>rg:{'id':'200069'}</v>
      </c>
      <c r="F282" s="9" t="s">
        <v>7055</v>
      </c>
      <c r="G282" s="9" t="str">
        <f ca="1">INDEX(DistrictEquipmentTypes.csv!F:F,RANDBETWEEN(2,COUNTA(DistrictEquipmentTypes.csv!D:D)),1)</f>
        <v>200003</v>
      </c>
      <c r="H282" s="8" t="str">
        <f t="shared" ca="1" si="30"/>
        <v>rg:{ 'id': '200003'}</v>
      </c>
      <c r="I282" s="8">
        <f t="shared" ca="1" si="31"/>
        <v>2</v>
      </c>
      <c r="J282" s="8">
        <f t="shared" ca="1" si="32"/>
        <v>19</v>
      </c>
      <c r="K282" s="8" t="str">
        <f t="shared" ca="1" si="33"/>
        <v>2017-05-02</v>
      </c>
      <c r="L282" s="8" t="str">
        <f t="shared" ca="1" si="34"/>
        <v>2017-05-06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>
        <f>IFERROR(VLOOKUP(VLOOKUP(VLOOKUP(C283,Project.csv!F:Q,12,FALSE),ServiceAreas.csv!B:I,8,FALSE),LocalAreas.csv!B:H,7,FALSE),200029)</f>
        <v>200023</v>
      </c>
      <c r="E283" s="8" t="str">
        <f t="shared" si="29"/>
        <v>rg:{'id':'200023'}</v>
      </c>
      <c r="F283" s="9" t="s">
        <v>7055</v>
      </c>
      <c r="G283" s="9" t="str">
        <f ca="1">INDEX(DistrictEquipmentTypes.csv!F:F,RANDBETWEEN(2,COUNTA(DistrictEquipmentTypes.csv!D:D)),1)</f>
        <v>200007</v>
      </c>
      <c r="H283" s="8" t="str">
        <f t="shared" ca="1" si="30"/>
        <v>rg:{ 'id': '200007'}</v>
      </c>
      <c r="I283" s="8">
        <f t="shared" ca="1" si="31"/>
        <v>1</v>
      </c>
      <c r="J283" s="8">
        <f t="shared" ca="1" si="32"/>
        <v>79</v>
      </c>
      <c r="K283" s="8" t="str">
        <f t="shared" ca="1" si="33"/>
        <v>2017-05-01</v>
      </c>
      <c r="L283" s="8" t="str">
        <f t="shared" ca="1" si="34"/>
        <v>2017-05-10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>
        <f>IFERROR(VLOOKUP(VLOOKUP(VLOOKUP(C284,Project.csv!F:Q,12,FALSE),ServiceAreas.csv!B:I,8,FALSE),LocalAreas.csv!B:H,7,FALSE),200029)</f>
        <v>200023</v>
      </c>
      <c r="E284" s="8" t="str">
        <f t="shared" si="29"/>
        <v>rg:{'id':'200023'}</v>
      </c>
      <c r="F284" s="9" t="s">
        <v>7055</v>
      </c>
      <c r="G284" s="9" t="str">
        <f ca="1">INDEX(DistrictEquipmentTypes.csv!F:F,RANDBETWEEN(2,COUNTA(DistrictEquipmentTypes.csv!D:D)),1)</f>
        <v>200002</v>
      </c>
      <c r="H284" s="8" t="str">
        <f t="shared" ca="1" si="30"/>
        <v>rg:{ 'id': '200002'}</v>
      </c>
      <c r="I284" s="8">
        <f t="shared" ca="1" si="31"/>
        <v>1</v>
      </c>
      <c r="J284" s="8">
        <f t="shared" ca="1" si="32"/>
        <v>28</v>
      </c>
      <c r="K284" s="8" t="str">
        <f t="shared" ca="1" si="33"/>
        <v>2017-04-05</v>
      </c>
      <c r="L284" s="8" t="str">
        <f t="shared" ca="1" si="34"/>
        <v>2017-04-08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>
        <f>IFERROR(VLOOKUP(VLOOKUP(VLOOKUP(C285,Project.csv!F:Q,12,FALSE),ServiceAreas.csv!B:I,8,FALSE),LocalAreas.csv!B:H,7,FALSE),200029)</f>
        <v>200023</v>
      </c>
      <c r="E285" s="8" t="str">
        <f t="shared" si="29"/>
        <v>rg:{'id':'200023'}</v>
      </c>
      <c r="F285" s="9" t="s">
        <v>7055</v>
      </c>
      <c r="G285" s="9" t="str">
        <f ca="1">INDEX(DistrictEquipmentTypes.csv!F:F,RANDBETWEEN(2,COUNTA(DistrictEquipmentTypes.csv!D:D)),1)</f>
        <v>200004</v>
      </c>
      <c r="H285" s="8" t="str">
        <f t="shared" ca="1" si="30"/>
        <v>rg:{ 'id': '200004'}</v>
      </c>
      <c r="I285" s="8">
        <f t="shared" ca="1" si="31"/>
        <v>1</v>
      </c>
      <c r="J285" s="8">
        <f t="shared" ca="1" si="32"/>
        <v>94</v>
      </c>
      <c r="K285" s="8" t="str">
        <f t="shared" ca="1" si="33"/>
        <v>2017-03-30</v>
      </c>
      <c r="L285" s="8" t="str">
        <f t="shared" ca="1" si="34"/>
        <v>2017-04-10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>
        <f>IFERROR(VLOOKUP(VLOOKUP(VLOOKUP(C286,Project.csv!F:Q,12,FALSE),ServiceAreas.csv!B:I,8,FALSE),LocalAreas.csv!B:H,7,FALSE),200029)</f>
        <v>200023</v>
      </c>
      <c r="E286" s="8" t="str">
        <f t="shared" si="29"/>
        <v>rg:{'id':'200023'}</v>
      </c>
      <c r="F286" s="9" t="s">
        <v>7055</v>
      </c>
      <c r="G286" s="9" t="str">
        <f ca="1">INDEX(DistrictEquipmentTypes.csv!F:F,RANDBETWEEN(2,COUNTA(DistrictEquipmentTypes.csv!D:D)),1)</f>
        <v>200007</v>
      </c>
      <c r="H286" s="8" t="str">
        <f t="shared" ca="1" si="30"/>
        <v>rg:{ 'id': '200007'}</v>
      </c>
      <c r="I286" s="8">
        <f t="shared" ca="1" si="31"/>
        <v>1</v>
      </c>
      <c r="J286" s="8">
        <f t="shared" ca="1" si="32"/>
        <v>24</v>
      </c>
      <c r="K286" s="8" t="str">
        <f t="shared" ca="1" si="33"/>
        <v>2017-04-14</v>
      </c>
      <c r="L286" s="8" t="str">
        <f t="shared" ca="1" si="34"/>
        <v>2017-04-17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>
        <f>IFERROR(VLOOKUP(VLOOKUP(VLOOKUP(C287,Project.csv!F:Q,12,FALSE),ServiceAreas.csv!B:I,8,FALSE),LocalAreas.csv!B:H,7,FALSE),200029)</f>
        <v>200023</v>
      </c>
      <c r="E287" s="8" t="str">
        <f t="shared" si="29"/>
        <v>rg:{'id':'200023'}</v>
      </c>
      <c r="F287" s="9" t="s">
        <v>7055</v>
      </c>
      <c r="G287" s="9" t="str">
        <f ca="1">INDEX(DistrictEquipmentTypes.csv!F:F,RANDBETWEEN(2,COUNTA(DistrictEquipmentTypes.csv!D:D)),1)</f>
        <v>200007</v>
      </c>
      <c r="H287" s="8" t="str">
        <f t="shared" ca="1" si="30"/>
        <v>rg:{ 'id': '200007'}</v>
      </c>
      <c r="I287" s="8">
        <f t="shared" ca="1" si="31"/>
        <v>1</v>
      </c>
      <c r="J287" s="8">
        <f t="shared" ca="1" si="32"/>
        <v>87</v>
      </c>
      <c r="K287" s="8" t="str">
        <f t="shared" ca="1" si="33"/>
        <v>2017-04-06</v>
      </c>
      <c r="L287" s="8" t="str">
        <f t="shared" ca="1" si="34"/>
        <v>2017-04-16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>
        <f>IFERROR(VLOOKUP(VLOOKUP(VLOOKUP(C288,Project.csv!F:Q,12,FALSE),ServiceAreas.csv!B:I,8,FALSE),LocalAreas.csv!B:H,7,FALSE),200029)</f>
        <v>200023</v>
      </c>
      <c r="E288" s="8" t="str">
        <f t="shared" si="29"/>
        <v>rg:{'id':'200023'}</v>
      </c>
      <c r="F288" s="9" t="s">
        <v>7055</v>
      </c>
      <c r="G288" s="9" t="str">
        <f ca="1">INDEX(DistrictEquipmentTypes.csv!F:F,RANDBETWEEN(2,COUNTA(DistrictEquipmentTypes.csv!D:D)),1)</f>
        <v>200009</v>
      </c>
      <c r="H288" s="8" t="str">
        <f t="shared" ca="1" si="30"/>
        <v>rg:{ 'id': '200009'}</v>
      </c>
      <c r="I288" s="8">
        <f t="shared" ca="1" si="31"/>
        <v>5</v>
      </c>
      <c r="J288" s="8">
        <f t="shared" ca="1" si="32"/>
        <v>81</v>
      </c>
      <c r="K288" s="8" t="str">
        <f t="shared" ca="1" si="33"/>
        <v>2017-04-07</v>
      </c>
      <c r="L288" s="8" t="str">
        <f t="shared" ca="1" si="34"/>
        <v>2017-05-27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>
        <f>IFERROR(VLOOKUP(VLOOKUP(VLOOKUP(C289,Project.csv!F:Q,12,FALSE),ServiceAreas.csv!B:I,8,FALSE),LocalAreas.csv!B:H,7,FALSE),200029)</f>
        <v>200023</v>
      </c>
      <c r="E289" s="8" t="str">
        <f t="shared" si="29"/>
        <v>rg:{'id':'200023'}</v>
      </c>
      <c r="F289" s="9" t="s">
        <v>7055</v>
      </c>
      <c r="G289" s="9" t="str">
        <f ca="1">INDEX(DistrictEquipmentTypes.csv!F:F,RANDBETWEEN(2,COUNTA(DistrictEquipmentTypes.csv!D:D)),1)</f>
        <v>200006</v>
      </c>
      <c r="H289" s="8" t="str">
        <f t="shared" ca="1" si="30"/>
        <v>rg:{ 'id': '200006'}</v>
      </c>
      <c r="I289" s="8">
        <f t="shared" ca="1" si="31"/>
        <v>1</v>
      </c>
      <c r="J289" s="8">
        <f t="shared" ca="1" si="32"/>
        <v>27</v>
      </c>
      <c r="K289" s="8" t="str">
        <f t="shared" ca="1" si="33"/>
        <v>2017-03-27</v>
      </c>
      <c r="L289" s="8" t="str">
        <f t="shared" ca="1" si="34"/>
        <v>2017-03-30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>
        <f>IFERROR(VLOOKUP(VLOOKUP(VLOOKUP(C290,Project.csv!F:Q,12,FALSE),ServiceAreas.csv!B:I,8,FALSE),LocalAreas.csv!B:H,7,FALSE),200029)</f>
        <v>200016</v>
      </c>
      <c r="E290" s="8" t="str">
        <f t="shared" si="29"/>
        <v>rg:{'id':'200016'}</v>
      </c>
      <c r="F290" s="9" t="s">
        <v>7055</v>
      </c>
      <c r="G290" s="9" t="str">
        <f ca="1">INDEX(DistrictEquipmentTypes.csv!F:F,RANDBETWEEN(2,COUNTA(DistrictEquipmentTypes.csv!D:D)),1)</f>
        <v>200005</v>
      </c>
      <c r="H290" s="8" t="str">
        <f t="shared" ca="1" si="30"/>
        <v>rg:{ 'id': '200005'}</v>
      </c>
      <c r="I290" s="8">
        <f t="shared" ca="1" si="31"/>
        <v>1</v>
      </c>
      <c r="J290" s="8">
        <f t="shared" ca="1" si="32"/>
        <v>59</v>
      </c>
      <c r="K290" s="8" t="str">
        <f t="shared" ca="1" si="33"/>
        <v>2017-04-29</v>
      </c>
      <c r="L290" s="8" t="str">
        <f t="shared" ca="1" si="34"/>
        <v>2017-05-06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>
        <f>IFERROR(VLOOKUP(VLOOKUP(VLOOKUP(C291,Project.csv!F:Q,12,FALSE),ServiceAreas.csv!B:I,8,FALSE),LocalAreas.csv!B:H,7,FALSE),200029)</f>
        <v>200016</v>
      </c>
      <c r="E291" s="8" t="str">
        <f t="shared" si="29"/>
        <v>rg:{'id':'200016'}</v>
      </c>
      <c r="F291" s="9" t="s">
        <v>7055</v>
      </c>
      <c r="G291" s="9" t="str">
        <f ca="1">INDEX(DistrictEquipmentTypes.csv!F:F,RANDBETWEEN(2,COUNTA(DistrictEquipmentTypes.csv!D:D)),1)</f>
        <v>200005</v>
      </c>
      <c r="H291" s="8" t="str">
        <f t="shared" ca="1" si="30"/>
        <v>rg:{ 'id': '200005'}</v>
      </c>
      <c r="I291" s="8">
        <f t="shared" ca="1" si="31"/>
        <v>1</v>
      </c>
      <c r="J291" s="8">
        <f t="shared" ca="1" si="32"/>
        <v>24</v>
      </c>
      <c r="K291" s="8" t="str">
        <f t="shared" ca="1" si="33"/>
        <v>2017-05-01</v>
      </c>
      <c r="L291" s="8" t="str">
        <f t="shared" ca="1" si="34"/>
        <v>2017-05-04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>
        <f>IFERROR(VLOOKUP(VLOOKUP(VLOOKUP(C292,Project.csv!F:Q,12,FALSE),ServiceAreas.csv!B:I,8,FALSE),LocalAreas.csv!B:H,7,FALSE),200029)</f>
        <v>200016</v>
      </c>
      <c r="E292" s="8" t="str">
        <f t="shared" si="29"/>
        <v>rg:{'id':'200016'}</v>
      </c>
      <c r="F292" s="9" t="s">
        <v>7055</v>
      </c>
      <c r="G292" s="9" t="str">
        <f ca="1">INDEX(DistrictEquipmentTypes.csv!F:F,RANDBETWEEN(2,COUNTA(DistrictEquipmentTypes.csv!D:D)),1)</f>
        <v>200009</v>
      </c>
      <c r="H292" s="8" t="str">
        <f t="shared" ca="1" si="30"/>
        <v>rg:{ 'id': '200009'}</v>
      </c>
      <c r="I292" s="8">
        <f t="shared" ca="1" si="31"/>
        <v>1</v>
      </c>
      <c r="J292" s="8">
        <f t="shared" ca="1" si="32"/>
        <v>57</v>
      </c>
      <c r="K292" s="8" t="str">
        <f t="shared" ca="1" si="33"/>
        <v>2017-05-13</v>
      </c>
      <c r="L292" s="8" t="str">
        <f t="shared" ca="1" si="34"/>
        <v>2017-05-20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>
        <f>IFERROR(VLOOKUP(VLOOKUP(VLOOKUP(C293,Project.csv!F:Q,12,FALSE),ServiceAreas.csv!B:I,8,FALSE),LocalAreas.csv!B:H,7,FALSE),200029)</f>
        <v>200016</v>
      </c>
      <c r="E293" s="8" t="str">
        <f t="shared" si="29"/>
        <v>rg:{'id':'200016'}</v>
      </c>
      <c r="F293" s="9" t="s">
        <v>7055</v>
      </c>
      <c r="G293" s="9" t="str">
        <f ca="1">INDEX(DistrictEquipmentTypes.csv!F:F,RANDBETWEEN(2,COUNTA(DistrictEquipmentTypes.csv!D:D)),1)</f>
        <v>200009</v>
      </c>
      <c r="H293" s="8" t="str">
        <f t="shared" ca="1" si="30"/>
        <v>rg:{ 'id': '200009'}</v>
      </c>
      <c r="I293" s="8">
        <f t="shared" ca="1" si="31"/>
        <v>1</v>
      </c>
      <c r="J293" s="8">
        <f t="shared" ca="1" si="32"/>
        <v>17</v>
      </c>
      <c r="K293" s="8" t="str">
        <f t="shared" ca="1" si="33"/>
        <v>2017-04-28</v>
      </c>
      <c r="L293" s="8" t="str">
        <f t="shared" ca="1" si="34"/>
        <v>2017-04-30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>
        <f>IFERROR(VLOOKUP(VLOOKUP(VLOOKUP(C294,Project.csv!F:Q,12,FALSE),ServiceAreas.csv!B:I,8,FALSE),LocalAreas.csv!B:H,7,FALSE),200029)</f>
        <v>200016</v>
      </c>
      <c r="E294" s="8" t="str">
        <f t="shared" si="29"/>
        <v>rg:{'id':'200016'}</v>
      </c>
      <c r="F294" s="9" t="s">
        <v>7055</v>
      </c>
      <c r="G294" s="9" t="str">
        <f ca="1">INDEX(DistrictEquipmentTypes.csv!F:F,RANDBETWEEN(2,COUNTA(DistrictEquipmentTypes.csv!D:D)),1)</f>
        <v>200005</v>
      </c>
      <c r="H294" s="8" t="str">
        <f t="shared" ca="1" si="30"/>
        <v>rg:{ 'id': '200005'}</v>
      </c>
      <c r="I294" s="8">
        <f t="shared" ca="1" si="31"/>
        <v>1</v>
      </c>
      <c r="J294" s="8">
        <f t="shared" ca="1" si="32"/>
        <v>57</v>
      </c>
      <c r="K294" s="8" t="str">
        <f t="shared" ca="1" si="33"/>
        <v>2017-04-01</v>
      </c>
      <c r="L294" s="8" t="str">
        <f t="shared" ca="1" si="34"/>
        <v>2017-04-08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>
        <f>IFERROR(VLOOKUP(VLOOKUP(VLOOKUP(C295,Project.csv!F:Q,12,FALSE),ServiceAreas.csv!B:I,8,FALSE),LocalAreas.csv!B:H,7,FALSE),200029)</f>
        <v>200016</v>
      </c>
      <c r="E295" s="8" t="str">
        <f t="shared" si="29"/>
        <v>rg:{'id':'200016'}</v>
      </c>
      <c r="F295" s="9" t="s">
        <v>7055</v>
      </c>
      <c r="G295" s="9" t="str">
        <f ca="1">INDEX(DistrictEquipmentTypes.csv!F:F,RANDBETWEEN(2,COUNTA(DistrictEquipmentTypes.csv!D:D)),1)</f>
        <v>200004</v>
      </c>
      <c r="H295" s="8" t="str">
        <f t="shared" ca="1" si="30"/>
        <v>rg:{ 'id': '200004'}</v>
      </c>
      <c r="I295" s="8">
        <f t="shared" ca="1" si="31"/>
        <v>1</v>
      </c>
      <c r="J295" s="8">
        <f t="shared" ca="1" si="32"/>
        <v>14</v>
      </c>
      <c r="K295" s="8" t="str">
        <f t="shared" ca="1" si="33"/>
        <v>2017-04-16</v>
      </c>
      <c r="L295" s="8" t="str">
        <f t="shared" ca="1" si="34"/>
        <v>2017-04-17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>
        <f>IFERROR(VLOOKUP(VLOOKUP(VLOOKUP(C296,Project.csv!F:Q,12,FALSE),ServiceAreas.csv!B:I,8,FALSE),LocalAreas.csv!B:H,7,FALSE),200029)</f>
        <v>200016</v>
      </c>
      <c r="E296" s="8" t="str">
        <f t="shared" si="29"/>
        <v>rg:{'id':'200016'}</v>
      </c>
      <c r="F296" s="9" t="s">
        <v>7055</v>
      </c>
      <c r="G296" s="9" t="str">
        <f ca="1">INDEX(DistrictEquipmentTypes.csv!F:F,RANDBETWEEN(2,COUNTA(DistrictEquipmentTypes.csv!D:D)),1)</f>
        <v>200001</v>
      </c>
      <c r="H296" s="8" t="str">
        <f t="shared" ca="1" si="30"/>
        <v>rg:{ 'id': '200001'}</v>
      </c>
      <c r="I296" s="8">
        <f t="shared" ca="1" si="31"/>
        <v>5</v>
      </c>
      <c r="J296" s="8">
        <f t="shared" ca="1" si="32"/>
        <v>92</v>
      </c>
      <c r="K296" s="8" t="str">
        <f t="shared" ca="1" si="33"/>
        <v>2017-04-14</v>
      </c>
      <c r="L296" s="8" t="str">
        <f t="shared" ca="1" si="34"/>
        <v>2017-06-10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>
        <f>IFERROR(VLOOKUP(VLOOKUP(VLOOKUP(C297,Project.csv!F:Q,12,FALSE),ServiceAreas.csv!B:I,8,FALSE),LocalAreas.csv!B:H,7,FALSE),200029)</f>
        <v>200074</v>
      </c>
      <c r="E297" s="8" t="str">
        <f t="shared" si="29"/>
        <v>rg:{'id':'200074'}</v>
      </c>
      <c r="F297" s="9" t="s">
        <v>7055</v>
      </c>
      <c r="G297" s="9" t="str">
        <f ca="1">INDEX(DistrictEquipmentTypes.csv!F:F,RANDBETWEEN(2,COUNTA(DistrictEquipmentTypes.csv!D:D)),1)</f>
        <v>200006</v>
      </c>
      <c r="H297" s="8" t="str">
        <f t="shared" ca="1" si="30"/>
        <v>rg:{ 'id': '200006'}</v>
      </c>
      <c r="I297" s="8">
        <f t="shared" ca="1" si="31"/>
        <v>1</v>
      </c>
      <c r="J297" s="8">
        <f t="shared" ca="1" si="32"/>
        <v>80</v>
      </c>
      <c r="K297" s="8" t="str">
        <f t="shared" ca="1" si="33"/>
        <v>2017-05-10</v>
      </c>
      <c r="L297" s="8" t="str">
        <f t="shared" ca="1" si="34"/>
        <v>2017-05-20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>
        <f>IFERROR(VLOOKUP(VLOOKUP(VLOOKUP(C298,Project.csv!F:Q,12,FALSE),ServiceAreas.csv!B:I,8,FALSE),LocalAreas.csv!B:H,7,FALSE),200029)</f>
        <v>200074</v>
      </c>
      <c r="E298" s="8" t="str">
        <f t="shared" si="29"/>
        <v>rg:{'id':'200074'}</v>
      </c>
      <c r="F298" s="9" t="s">
        <v>7055</v>
      </c>
      <c r="G298" s="9" t="str">
        <f ca="1">INDEX(DistrictEquipmentTypes.csv!F:F,RANDBETWEEN(2,COUNTA(DistrictEquipmentTypes.csv!D:D)),1)</f>
        <v>200001</v>
      </c>
      <c r="H298" s="8" t="str">
        <f t="shared" ca="1" si="30"/>
        <v>rg:{ 'id': '200001'}</v>
      </c>
      <c r="I298" s="8">
        <f t="shared" ca="1" si="31"/>
        <v>1</v>
      </c>
      <c r="J298" s="8">
        <f t="shared" ca="1" si="32"/>
        <v>34</v>
      </c>
      <c r="K298" s="8" t="str">
        <f t="shared" ca="1" si="33"/>
        <v>2017-05-11</v>
      </c>
      <c r="L298" s="8" t="str">
        <f t="shared" ca="1" si="34"/>
        <v>2017-05-15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>
        <f>IFERROR(VLOOKUP(VLOOKUP(VLOOKUP(C299,Project.csv!F:Q,12,FALSE),ServiceAreas.csv!B:I,8,FALSE),LocalAreas.csv!B:H,7,FALSE),200029)</f>
        <v>200074</v>
      </c>
      <c r="E299" s="8" t="str">
        <f t="shared" si="29"/>
        <v>rg:{'id':'200074'}</v>
      </c>
      <c r="F299" s="9" t="s">
        <v>7055</v>
      </c>
      <c r="G299" s="9" t="str">
        <f ca="1">INDEX(DistrictEquipmentTypes.csv!F:F,RANDBETWEEN(2,COUNTA(DistrictEquipmentTypes.csv!D:D)),1)</f>
        <v>200002</v>
      </c>
      <c r="H299" s="8" t="str">
        <f t="shared" ca="1" si="30"/>
        <v>rg:{ 'id': '200002'}</v>
      </c>
      <c r="I299" s="8">
        <f t="shared" ca="1" si="31"/>
        <v>4</v>
      </c>
      <c r="J299" s="8">
        <f t="shared" ca="1" si="32"/>
        <v>51</v>
      </c>
      <c r="K299" s="8" t="str">
        <f t="shared" ca="1" si="33"/>
        <v>2017-04-02</v>
      </c>
      <c r="L299" s="8" t="str">
        <f t="shared" ca="1" si="34"/>
        <v>2017-04-27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>
        <f>IFERROR(VLOOKUP(VLOOKUP(VLOOKUP(C300,Project.csv!F:Q,12,FALSE),ServiceAreas.csv!B:I,8,FALSE),LocalAreas.csv!B:H,7,FALSE),200029)</f>
        <v>200074</v>
      </c>
      <c r="E300" s="8" t="str">
        <f t="shared" si="29"/>
        <v>rg:{'id':'200074'}</v>
      </c>
      <c r="F300" s="9" t="s">
        <v>7055</v>
      </c>
      <c r="G300" s="9" t="str">
        <f ca="1">INDEX(DistrictEquipmentTypes.csv!F:F,RANDBETWEEN(2,COUNTA(DistrictEquipmentTypes.csv!D:D)),1)</f>
        <v>200000</v>
      </c>
      <c r="H300" s="8" t="str">
        <f t="shared" ca="1" si="30"/>
        <v>rg:{ 'id': '200000'}</v>
      </c>
      <c r="I300" s="8">
        <f t="shared" ca="1" si="31"/>
        <v>1</v>
      </c>
      <c r="J300" s="8">
        <f t="shared" ca="1" si="32"/>
        <v>28</v>
      </c>
      <c r="K300" s="8" t="str">
        <f t="shared" ca="1" si="33"/>
        <v>2017-03-31</v>
      </c>
      <c r="L300" s="8" t="str">
        <f t="shared" ca="1" si="34"/>
        <v>2017-04-03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>
        <f>IFERROR(VLOOKUP(VLOOKUP(VLOOKUP(C301,Project.csv!F:Q,12,FALSE),ServiceAreas.csv!B:I,8,FALSE),LocalAreas.csv!B:H,7,FALSE),200029)</f>
        <v>200074</v>
      </c>
      <c r="E301" s="8" t="str">
        <f t="shared" si="29"/>
        <v>rg:{'id':'200074'}</v>
      </c>
      <c r="F301" s="9" t="s">
        <v>7055</v>
      </c>
      <c r="G301" s="9" t="str">
        <f ca="1">INDEX(DistrictEquipmentTypes.csv!F:F,RANDBETWEEN(2,COUNTA(DistrictEquipmentTypes.csv!D:D)),1)</f>
        <v>200005</v>
      </c>
      <c r="H301" s="8" t="str">
        <f t="shared" ca="1" si="30"/>
        <v>rg:{ 'id': '200005'}</v>
      </c>
      <c r="I301" s="8">
        <f t="shared" ca="1" si="31"/>
        <v>1</v>
      </c>
      <c r="J301" s="8">
        <f t="shared" ca="1" si="32"/>
        <v>86</v>
      </c>
      <c r="K301" s="8" t="str">
        <f t="shared" ca="1" si="33"/>
        <v>2017-04-20</v>
      </c>
      <c r="L301" s="8" t="str">
        <f t="shared" ca="1" si="34"/>
        <v>2017-04-30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>
        <f>IFERROR(VLOOKUP(VLOOKUP(VLOOKUP(C302,Project.csv!F:Q,12,FALSE),ServiceAreas.csv!B:I,8,FALSE),LocalAreas.csv!B:H,7,FALSE),200029)</f>
        <v>200074</v>
      </c>
      <c r="E302" s="8" t="str">
        <f t="shared" si="29"/>
        <v>rg:{'id':'200074'}</v>
      </c>
      <c r="F302" s="9" t="s">
        <v>7055</v>
      </c>
      <c r="G302" s="9" t="str">
        <f ca="1">INDEX(DistrictEquipmentTypes.csv!F:F,RANDBETWEEN(2,COUNTA(DistrictEquipmentTypes.csv!D:D)),1)</f>
        <v>200009</v>
      </c>
      <c r="H302" s="8" t="str">
        <f t="shared" ca="1" si="30"/>
        <v>rg:{ 'id': '200009'}</v>
      </c>
      <c r="I302" s="8">
        <f t="shared" ca="1" si="31"/>
        <v>1</v>
      </c>
      <c r="J302" s="8">
        <f t="shared" ca="1" si="32"/>
        <v>27</v>
      </c>
      <c r="K302" s="8" t="str">
        <f t="shared" ca="1" si="33"/>
        <v>2017-04-12</v>
      </c>
      <c r="L302" s="8" t="str">
        <f t="shared" ca="1" si="34"/>
        <v>2017-04-15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>
        <f>IFERROR(VLOOKUP(VLOOKUP(VLOOKUP(C303,Project.csv!F:Q,12,FALSE),ServiceAreas.csv!B:I,8,FALSE),LocalAreas.csv!B:H,7,FALSE),200029)</f>
        <v>200074</v>
      </c>
      <c r="E303" s="8" t="str">
        <f t="shared" si="29"/>
        <v>rg:{'id':'200074'}</v>
      </c>
      <c r="F303" s="9" t="s">
        <v>7055</v>
      </c>
      <c r="G303" s="9" t="str">
        <f ca="1">INDEX(DistrictEquipmentTypes.csv!F:F,RANDBETWEEN(2,COUNTA(DistrictEquipmentTypes.csv!D:D)),1)</f>
        <v>200000</v>
      </c>
      <c r="H303" s="8" t="str">
        <f t="shared" ca="1" si="30"/>
        <v>rg:{ 'id': '200000'}</v>
      </c>
      <c r="I303" s="8">
        <f t="shared" ca="1" si="31"/>
        <v>1</v>
      </c>
      <c r="J303" s="8">
        <f t="shared" ca="1" si="32"/>
        <v>89</v>
      </c>
      <c r="K303" s="8" t="str">
        <f t="shared" ca="1" si="33"/>
        <v>2017-04-28</v>
      </c>
      <c r="L303" s="8" t="str">
        <f t="shared" ca="1" si="34"/>
        <v>2017-05-09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>
        <f>IFERROR(VLOOKUP(VLOOKUP(VLOOKUP(C304,Project.csv!F:Q,12,FALSE),ServiceAreas.csv!B:I,8,FALSE),LocalAreas.csv!B:H,7,FALSE),200029)</f>
        <v>200034</v>
      </c>
      <c r="E304" s="8" t="str">
        <f t="shared" si="29"/>
        <v>rg:{'id':'200034'}</v>
      </c>
      <c r="F304" s="9" t="s">
        <v>7055</v>
      </c>
      <c r="G304" s="9" t="str">
        <f ca="1">INDEX(DistrictEquipmentTypes.csv!F:F,RANDBETWEEN(2,COUNTA(DistrictEquipmentTypes.csv!D:D)),1)</f>
        <v>200002</v>
      </c>
      <c r="H304" s="8" t="str">
        <f t="shared" ca="1" si="30"/>
        <v>rg:{ 'id': '200002'}</v>
      </c>
      <c r="I304" s="8">
        <f t="shared" ca="1" si="31"/>
        <v>1</v>
      </c>
      <c r="J304" s="8">
        <f t="shared" ca="1" si="32"/>
        <v>89</v>
      </c>
      <c r="K304" s="8" t="str">
        <f t="shared" ca="1" si="33"/>
        <v>2017-04-20</v>
      </c>
      <c r="L304" s="8" t="str">
        <f t="shared" ca="1" si="34"/>
        <v>2017-05-01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>
        <f>IFERROR(VLOOKUP(VLOOKUP(VLOOKUP(C305,Project.csv!F:Q,12,FALSE),ServiceAreas.csv!B:I,8,FALSE),LocalAreas.csv!B:H,7,FALSE),200029)</f>
        <v>200034</v>
      </c>
      <c r="E305" s="8" t="str">
        <f t="shared" si="29"/>
        <v>rg:{'id':'200034'}</v>
      </c>
      <c r="F305" s="9" t="s">
        <v>7055</v>
      </c>
      <c r="G305" s="9" t="str">
        <f ca="1">INDEX(DistrictEquipmentTypes.csv!F:F,RANDBETWEEN(2,COUNTA(DistrictEquipmentTypes.csv!D:D)),1)</f>
        <v>200007</v>
      </c>
      <c r="H305" s="8" t="str">
        <f t="shared" ca="1" si="30"/>
        <v>rg:{ 'id': '200007'}</v>
      </c>
      <c r="I305" s="8">
        <f t="shared" ca="1" si="31"/>
        <v>1</v>
      </c>
      <c r="J305" s="8">
        <f t="shared" ca="1" si="32"/>
        <v>34</v>
      </c>
      <c r="K305" s="8" t="str">
        <f t="shared" ca="1" si="33"/>
        <v>2017-04-14</v>
      </c>
      <c r="L305" s="8" t="str">
        <f t="shared" ca="1" si="34"/>
        <v>2017-04-18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>
        <f>IFERROR(VLOOKUP(VLOOKUP(VLOOKUP(C306,Project.csv!F:Q,12,FALSE),ServiceAreas.csv!B:I,8,FALSE),LocalAreas.csv!B:H,7,FALSE),200029)</f>
        <v>200034</v>
      </c>
      <c r="E306" s="8" t="str">
        <f t="shared" si="29"/>
        <v>rg:{'id':'200034'}</v>
      </c>
      <c r="F306" s="9" t="s">
        <v>7055</v>
      </c>
      <c r="G306" s="9" t="str">
        <f ca="1">INDEX(DistrictEquipmentTypes.csv!F:F,RANDBETWEEN(2,COUNTA(DistrictEquipmentTypes.csv!D:D)),1)</f>
        <v>200002</v>
      </c>
      <c r="H306" s="8" t="str">
        <f t="shared" ca="1" si="30"/>
        <v>rg:{ 'id': '200002'}</v>
      </c>
      <c r="I306" s="8">
        <f t="shared" ca="1" si="31"/>
        <v>5</v>
      </c>
      <c r="J306" s="8">
        <f t="shared" ca="1" si="32"/>
        <v>39</v>
      </c>
      <c r="K306" s="8" t="str">
        <f t="shared" ca="1" si="33"/>
        <v>2017-04-27</v>
      </c>
      <c r="L306" s="8" t="str">
        <f t="shared" ca="1" si="34"/>
        <v>2017-05-21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>
        <f>IFERROR(VLOOKUP(VLOOKUP(VLOOKUP(C307,Project.csv!F:Q,12,FALSE),ServiceAreas.csv!B:I,8,FALSE),LocalAreas.csv!B:H,7,FALSE),200029)</f>
        <v>200034</v>
      </c>
      <c r="E307" s="8" t="str">
        <f t="shared" si="29"/>
        <v>rg:{'id':'200034'}</v>
      </c>
      <c r="F307" s="9" t="s">
        <v>7055</v>
      </c>
      <c r="G307" s="9" t="str">
        <f ca="1">INDEX(DistrictEquipmentTypes.csv!F:F,RANDBETWEEN(2,COUNTA(DistrictEquipmentTypes.csv!D:D)),1)</f>
        <v>200001</v>
      </c>
      <c r="H307" s="8" t="str">
        <f t="shared" ca="1" si="30"/>
        <v>rg:{ 'id': '200001'}</v>
      </c>
      <c r="I307" s="8">
        <f t="shared" ca="1" si="31"/>
        <v>1</v>
      </c>
      <c r="J307" s="8">
        <f t="shared" ca="1" si="32"/>
        <v>36</v>
      </c>
      <c r="K307" s="8" t="str">
        <f t="shared" ca="1" si="33"/>
        <v>2017-05-14</v>
      </c>
      <c r="L307" s="8" t="str">
        <f t="shared" ca="1" si="34"/>
        <v>2017-05-18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>
        <f>IFERROR(VLOOKUP(VLOOKUP(VLOOKUP(C308,Project.csv!F:Q,12,FALSE),ServiceAreas.csv!B:I,8,FALSE),LocalAreas.csv!B:H,7,FALSE),200029)</f>
        <v>200034</v>
      </c>
      <c r="E308" s="8" t="str">
        <f t="shared" si="29"/>
        <v>rg:{'id':'200034'}</v>
      </c>
      <c r="F308" s="9" t="s">
        <v>7055</v>
      </c>
      <c r="G308" s="9" t="str">
        <f ca="1">INDEX(DistrictEquipmentTypes.csv!F:F,RANDBETWEEN(2,COUNTA(DistrictEquipmentTypes.csv!D:D)),1)</f>
        <v>200004</v>
      </c>
      <c r="H308" s="8" t="str">
        <f t="shared" ca="1" si="30"/>
        <v>rg:{ 'id': '200004'}</v>
      </c>
      <c r="I308" s="8">
        <f t="shared" ca="1" si="31"/>
        <v>1</v>
      </c>
      <c r="J308" s="8">
        <f t="shared" ca="1" si="32"/>
        <v>22</v>
      </c>
      <c r="K308" s="8" t="str">
        <f t="shared" ca="1" si="33"/>
        <v>2017-03-25</v>
      </c>
      <c r="L308" s="8" t="str">
        <f t="shared" ca="1" si="34"/>
        <v>2017-03-27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>
        <f>IFERROR(VLOOKUP(VLOOKUP(VLOOKUP(C309,Project.csv!F:Q,12,FALSE),ServiceAreas.csv!B:I,8,FALSE),LocalAreas.csv!B:H,7,FALSE),200029)</f>
        <v>200034</v>
      </c>
      <c r="E309" s="8" t="str">
        <f t="shared" si="29"/>
        <v>rg:{'id':'200034'}</v>
      </c>
      <c r="F309" s="9" t="s">
        <v>7055</v>
      </c>
      <c r="G309" s="9" t="str">
        <f ca="1">INDEX(DistrictEquipmentTypes.csv!F:F,RANDBETWEEN(2,COUNTA(DistrictEquipmentTypes.csv!D:D)),1)</f>
        <v>200004</v>
      </c>
      <c r="H309" s="8" t="str">
        <f t="shared" ca="1" si="30"/>
        <v>rg:{ 'id': '200004'}</v>
      </c>
      <c r="I309" s="8">
        <f t="shared" ca="1" si="31"/>
        <v>5</v>
      </c>
      <c r="J309" s="8">
        <f t="shared" ca="1" si="32"/>
        <v>65</v>
      </c>
      <c r="K309" s="8" t="str">
        <f t="shared" ca="1" si="33"/>
        <v>2017-04-14</v>
      </c>
      <c r="L309" s="8" t="str">
        <f t="shared" ca="1" si="34"/>
        <v>2017-05-24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>
        <f>IFERROR(VLOOKUP(VLOOKUP(VLOOKUP(C310,Project.csv!F:Q,12,FALSE),ServiceAreas.csv!B:I,8,FALSE),LocalAreas.csv!B:H,7,FALSE),200029)</f>
        <v>200034</v>
      </c>
      <c r="E310" s="8" t="str">
        <f t="shared" si="29"/>
        <v>rg:{'id':'200034'}</v>
      </c>
      <c r="F310" s="9" t="s">
        <v>7055</v>
      </c>
      <c r="G310" s="9" t="str">
        <f ca="1">INDEX(DistrictEquipmentTypes.csv!F:F,RANDBETWEEN(2,COUNTA(DistrictEquipmentTypes.csv!D:D)),1)</f>
        <v>200001</v>
      </c>
      <c r="H310" s="8" t="str">
        <f t="shared" ca="1" si="30"/>
        <v>rg:{ 'id': '200001'}</v>
      </c>
      <c r="I310" s="8">
        <f t="shared" ca="1" si="31"/>
        <v>1</v>
      </c>
      <c r="J310" s="8">
        <f t="shared" ca="1" si="32"/>
        <v>45</v>
      </c>
      <c r="K310" s="8" t="str">
        <f t="shared" ca="1" si="33"/>
        <v>2017-04-20</v>
      </c>
      <c r="L310" s="8" t="str">
        <f t="shared" ca="1" si="34"/>
        <v>2017-04-25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>
        <f>IFERROR(VLOOKUP(VLOOKUP(VLOOKUP(C311,Project.csv!F:Q,12,FALSE),ServiceAreas.csv!B:I,8,FALSE),LocalAreas.csv!B:H,7,FALSE),200029)</f>
        <v>200027</v>
      </c>
      <c r="E311" s="8" t="str">
        <f t="shared" si="29"/>
        <v>rg:{'id':'200027'}</v>
      </c>
      <c r="F311" s="9" t="s">
        <v>7055</v>
      </c>
      <c r="G311" s="9" t="str">
        <f ca="1">INDEX(DistrictEquipmentTypes.csv!F:F,RANDBETWEEN(2,COUNTA(DistrictEquipmentTypes.csv!D:D)),1)</f>
        <v>200004</v>
      </c>
      <c r="H311" s="8" t="str">
        <f t="shared" ca="1" si="30"/>
        <v>rg:{ 'id': '200004'}</v>
      </c>
      <c r="I311" s="8">
        <f t="shared" ca="1" si="31"/>
        <v>1</v>
      </c>
      <c r="J311" s="8">
        <f t="shared" ca="1" si="32"/>
        <v>68</v>
      </c>
      <c r="K311" s="8" t="str">
        <f t="shared" ca="1" si="33"/>
        <v>2017-04-01</v>
      </c>
      <c r="L311" s="8" t="str">
        <f t="shared" ca="1" si="34"/>
        <v>2017-04-09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>
        <f>IFERROR(VLOOKUP(VLOOKUP(VLOOKUP(C312,Project.csv!F:Q,12,FALSE),ServiceAreas.csv!B:I,8,FALSE),LocalAreas.csv!B:H,7,FALSE),200029)</f>
        <v>200027</v>
      </c>
      <c r="E312" s="8" t="str">
        <f t="shared" si="29"/>
        <v>rg:{'id':'200027'}</v>
      </c>
      <c r="F312" s="9" t="s">
        <v>7055</v>
      </c>
      <c r="G312" s="9" t="str">
        <f ca="1">INDEX(DistrictEquipmentTypes.csv!F:F,RANDBETWEEN(2,COUNTA(DistrictEquipmentTypes.csv!D:D)),1)</f>
        <v>200001</v>
      </c>
      <c r="H312" s="8" t="str">
        <f t="shared" ca="1" si="30"/>
        <v>rg:{ 'id': '200001'}</v>
      </c>
      <c r="I312" s="8">
        <f t="shared" ca="1" si="31"/>
        <v>1</v>
      </c>
      <c r="J312" s="8">
        <f t="shared" ca="1" si="32"/>
        <v>74</v>
      </c>
      <c r="K312" s="8" t="str">
        <f t="shared" ca="1" si="33"/>
        <v>2017-03-28</v>
      </c>
      <c r="L312" s="8" t="str">
        <f t="shared" ca="1" si="34"/>
        <v>2017-04-06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>
        <f>IFERROR(VLOOKUP(VLOOKUP(VLOOKUP(C313,Project.csv!F:Q,12,FALSE),ServiceAreas.csv!B:I,8,FALSE),LocalAreas.csv!B:H,7,FALSE),200029)</f>
        <v>200027</v>
      </c>
      <c r="E313" s="8" t="str">
        <f t="shared" si="29"/>
        <v>rg:{'id':'200027'}</v>
      </c>
      <c r="F313" s="9" t="s">
        <v>7055</v>
      </c>
      <c r="G313" s="9" t="str">
        <f ca="1">INDEX(DistrictEquipmentTypes.csv!F:F,RANDBETWEEN(2,COUNTA(DistrictEquipmentTypes.csv!D:D)),1)</f>
        <v>200007</v>
      </c>
      <c r="H313" s="8" t="str">
        <f t="shared" ca="1" si="30"/>
        <v>rg:{ 'id': '200007'}</v>
      </c>
      <c r="I313" s="8">
        <f t="shared" ca="1" si="31"/>
        <v>1</v>
      </c>
      <c r="J313" s="8">
        <f t="shared" ca="1" si="32"/>
        <v>22</v>
      </c>
      <c r="K313" s="8" t="str">
        <f t="shared" ca="1" si="33"/>
        <v>2017-05-14</v>
      </c>
      <c r="L313" s="8" t="str">
        <f t="shared" ca="1" si="34"/>
        <v>2017-05-16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>
        <f>IFERROR(VLOOKUP(VLOOKUP(VLOOKUP(C314,Project.csv!F:Q,12,FALSE),ServiceAreas.csv!B:I,8,FALSE),LocalAreas.csv!B:H,7,FALSE),200029)</f>
        <v>200027</v>
      </c>
      <c r="E314" s="8" t="str">
        <f t="shared" si="29"/>
        <v>rg:{'id':'200027'}</v>
      </c>
      <c r="F314" s="9" t="s">
        <v>7055</v>
      </c>
      <c r="G314" s="9" t="str">
        <f ca="1">INDEX(DistrictEquipmentTypes.csv!F:F,RANDBETWEEN(2,COUNTA(DistrictEquipmentTypes.csv!D:D)),1)</f>
        <v>200006</v>
      </c>
      <c r="H314" s="8" t="str">
        <f t="shared" ca="1" si="30"/>
        <v>rg:{ 'id': '200006'}</v>
      </c>
      <c r="I314" s="8">
        <f t="shared" ca="1" si="31"/>
        <v>1</v>
      </c>
      <c r="J314" s="8">
        <f t="shared" ca="1" si="32"/>
        <v>44</v>
      </c>
      <c r="K314" s="8" t="str">
        <f t="shared" ca="1" si="33"/>
        <v>2017-04-20</v>
      </c>
      <c r="L314" s="8" t="str">
        <f t="shared" ca="1" si="34"/>
        <v>2017-04-25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>
        <f>IFERROR(VLOOKUP(VLOOKUP(VLOOKUP(C315,Project.csv!F:Q,12,FALSE),ServiceAreas.csv!B:I,8,FALSE),LocalAreas.csv!B:H,7,FALSE),200029)</f>
        <v>200027</v>
      </c>
      <c r="E315" s="8" t="str">
        <f t="shared" si="29"/>
        <v>rg:{'id':'200027'}</v>
      </c>
      <c r="F315" s="9" t="s">
        <v>7055</v>
      </c>
      <c r="G315" s="9" t="str">
        <f ca="1">INDEX(DistrictEquipmentTypes.csv!F:F,RANDBETWEEN(2,COUNTA(DistrictEquipmentTypes.csv!D:D)),1)</f>
        <v>200001</v>
      </c>
      <c r="H315" s="8" t="str">
        <f t="shared" ca="1" si="30"/>
        <v>rg:{ 'id': '200001'}</v>
      </c>
      <c r="I315" s="8">
        <f t="shared" ca="1" si="31"/>
        <v>1</v>
      </c>
      <c r="J315" s="8">
        <f t="shared" ca="1" si="32"/>
        <v>50</v>
      </c>
      <c r="K315" s="8" t="str">
        <f t="shared" ca="1" si="33"/>
        <v>2017-05-06</v>
      </c>
      <c r="L315" s="8" t="str">
        <f t="shared" ca="1" si="34"/>
        <v>2017-05-12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>
        <f>IFERROR(VLOOKUP(VLOOKUP(VLOOKUP(C316,Project.csv!F:Q,12,FALSE),ServiceAreas.csv!B:I,8,FALSE),LocalAreas.csv!B:H,7,FALSE),200029)</f>
        <v>200027</v>
      </c>
      <c r="E316" s="8" t="str">
        <f t="shared" si="29"/>
        <v>rg:{'id':'200027'}</v>
      </c>
      <c r="F316" s="9" t="s">
        <v>7055</v>
      </c>
      <c r="G316" s="9" t="str">
        <f ca="1">INDEX(DistrictEquipmentTypes.csv!F:F,RANDBETWEEN(2,COUNTA(DistrictEquipmentTypes.csv!D:D)),1)</f>
        <v>200006</v>
      </c>
      <c r="H316" s="8" t="str">
        <f t="shared" ca="1" si="30"/>
        <v>rg:{ 'id': '200006'}</v>
      </c>
      <c r="I316" s="8">
        <f t="shared" ca="1" si="31"/>
        <v>1</v>
      </c>
      <c r="J316" s="8">
        <f t="shared" ca="1" si="32"/>
        <v>36</v>
      </c>
      <c r="K316" s="8" t="str">
        <f t="shared" ca="1" si="33"/>
        <v>2017-05-09</v>
      </c>
      <c r="L316" s="8" t="str">
        <f t="shared" ca="1" si="34"/>
        <v>2017-05-13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>
        <f>IFERROR(VLOOKUP(VLOOKUP(VLOOKUP(C317,Project.csv!F:Q,12,FALSE),ServiceAreas.csv!B:I,8,FALSE),LocalAreas.csv!B:H,7,FALSE),200029)</f>
        <v>200027</v>
      </c>
      <c r="E317" s="8" t="str">
        <f t="shared" si="29"/>
        <v>rg:{'id':'200027'}</v>
      </c>
      <c r="F317" s="9" t="s">
        <v>7055</v>
      </c>
      <c r="G317" s="9" t="str">
        <f ca="1">INDEX(DistrictEquipmentTypes.csv!F:F,RANDBETWEEN(2,COUNTA(DistrictEquipmentTypes.csv!D:D)),1)</f>
        <v>200005</v>
      </c>
      <c r="H317" s="8" t="str">
        <f t="shared" ca="1" si="30"/>
        <v>rg:{ 'id': '200005'}</v>
      </c>
      <c r="I317" s="8">
        <f t="shared" ca="1" si="31"/>
        <v>1</v>
      </c>
      <c r="J317" s="8">
        <f t="shared" ca="1" si="32"/>
        <v>56</v>
      </c>
      <c r="K317" s="8" t="str">
        <f t="shared" ca="1" si="33"/>
        <v>2017-04-24</v>
      </c>
      <c r="L317" s="8" t="str">
        <f t="shared" ca="1" si="34"/>
        <v>2017-05-01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IFERROR(VLOOKUP(VLOOKUP(VLOOKUP(C318,Project.csv!F:Q,12,FALSE),ServiceAreas.csv!B:I,8,FALSE),LocalAreas.csv!B:H,7,FALSE),200029)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200002</v>
      </c>
      <c r="H318" s="8" t="str">
        <f t="shared" ca="1" si="30"/>
        <v>rg:{ 'id': '200002'}</v>
      </c>
      <c r="I318" s="8">
        <f t="shared" ca="1" si="31"/>
        <v>1</v>
      </c>
      <c r="J318" s="8">
        <f t="shared" ca="1" si="32"/>
        <v>86</v>
      </c>
      <c r="K318" s="8" t="str">
        <f t="shared" ca="1" si="33"/>
        <v>2017-04-04</v>
      </c>
      <c r="L318" s="8" t="str">
        <f t="shared" ca="1" si="34"/>
        <v>2017-04-14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IFERROR(VLOOKUP(VLOOKUP(VLOOKUP(C319,Project.csv!F:Q,12,FALSE),ServiceAreas.csv!B:I,8,FALSE),LocalAreas.csv!B:H,7,FALSE),200029)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200003</v>
      </c>
      <c r="H319" s="8" t="str">
        <f t="shared" ca="1" si="30"/>
        <v>rg:{ 'id': '200003'}</v>
      </c>
      <c r="I319" s="8">
        <f t="shared" ca="1" si="31"/>
        <v>1</v>
      </c>
      <c r="J319" s="8">
        <f t="shared" ca="1" si="32"/>
        <v>84</v>
      </c>
      <c r="K319" s="8" t="str">
        <f t="shared" ca="1" si="33"/>
        <v>2017-05-01</v>
      </c>
      <c r="L319" s="8" t="str">
        <f t="shared" ca="1" si="34"/>
        <v>2017-05-11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IFERROR(VLOOKUP(VLOOKUP(VLOOKUP(C320,Project.csv!F:Q,12,FALSE),ServiceAreas.csv!B:I,8,FALSE),LocalAreas.csv!B:H,7,FALSE),200029)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200004</v>
      </c>
      <c r="H320" s="8" t="str">
        <f t="shared" ca="1" si="30"/>
        <v>rg:{ 'id': '200004'}</v>
      </c>
      <c r="I320" s="8">
        <f t="shared" ca="1" si="31"/>
        <v>1</v>
      </c>
      <c r="J320" s="8">
        <f t="shared" ca="1" si="32"/>
        <v>25</v>
      </c>
      <c r="K320" s="8" t="str">
        <f t="shared" ca="1" si="33"/>
        <v>2017-05-07</v>
      </c>
      <c r="L320" s="8" t="str">
        <f t="shared" ca="1" si="34"/>
        <v>2017-05-10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IFERROR(VLOOKUP(VLOOKUP(VLOOKUP(C321,Project.csv!F:Q,12,FALSE),ServiceAreas.csv!B:I,8,FALSE),LocalAreas.csv!B:H,7,FALSE),200029)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200006</v>
      </c>
      <c r="H321" s="8" t="str">
        <f t="shared" ca="1" si="30"/>
        <v>rg:{ 'id': '200006'}</v>
      </c>
      <c r="I321" s="8">
        <f t="shared" ca="1" si="31"/>
        <v>1</v>
      </c>
      <c r="J321" s="8">
        <f t="shared" ca="1" si="32"/>
        <v>33</v>
      </c>
      <c r="K321" s="8" t="str">
        <f t="shared" ca="1" si="33"/>
        <v>2017-05-10</v>
      </c>
      <c r="L321" s="8" t="str">
        <f t="shared" ca="1" si="34"/>
        <v>2017-05-14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IFERROR(VLOOKUP(VLOOKUP(VLOOKUP(C322,Project.csv!F:Q,12,FALSE),ServiceAreas.csv!B:I,8,FALSE),LocalAreas.csv!B:H,7,FALSE),200029)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200007</v>
      </c>
      <c r="H322" s="8" t="str">
        <f t="shared" ca="1" si="30"/>
        <v>rg:{ 'id': '200007'}</v>
      </c>
      <c r="I322" s="8">
        <f t="shared" ca="1" si="31"/>
        <v>1</v>
      </c>
      <c r="J322" s="8">
        <f t="shared" ca="1" si="32"/>
        <v>95</v>
      </c>
      <c r="K322" s="8" t="str">
        <f t="shared" ca="1" si="33"/>
        <v>2017-05-09</v>
      </c>
      <c r="L322" s="8" t="str">
        <f t="shared" ca="1" si="34"/>
        <v>2017-05-20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IFERROR(VLOOKUP(VLOOKUP(VLOOKUP(C323,Project.csv!F:Q,12,FALSE),ServiceAreas.csv!B:I,8,FALSE),LocalAreas.csv!B:H,7,FALSE),200029)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200009</v>
      </c>
      <c r="H323" s="8" t="str">
        <f t="shared" ref="H323:H325" ca="1" si="37">"rg:{ 'id': '"&amp;G323&amp;"'}"</f>
        <v>rg:{ 'id': '200009'}</v>
      </c>
      <c r="I323" s="8">
        <f t="shared" ref="I323:I325" ca="1" si="38">IF(RANDBETWEEN(1,5)&gt;1,1,RANDBETWEEN(2,5))</f>
        <v>3</v>
      </c>
      <c r="J323" s="8">
        <f t="shared" ref="J323:J325" ca="1" si="39">RANDBETWEEN(4,100)</f>
        <v>7</v>
      </c>
      <c r="K323" s="8" t="str">
        <f t="shared" ref="K323:K325" ca="1" si="40">TEXT(TODAY()+RANDBETWEEN(1,56),"YYYY-MM-DD")</f>
        <v>2017-05-02</v>
      </c>
      <c r="L323" s="8" t="str">
        <f t="shared" ref="L323:L325" ca="1" si="41">TEXT(K323+(I323*J323)/8,"YYYY-MM-DD")</f>
        <v>2017-05-04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IFERROR(VLOOKUP(VLOOKUP(VLOOKUP(C324,Project.csv!F:Q,12,FALSE),ServiceAreas.csv!B:I,8,FALSE),LocalAreas.csv!B:H,7,FALSE),200029)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200007</v>
      </c>
      <c r="H324" s="8" t="str">
        <f t="shared" ca="1" si="37"/>
        <v>rg:{ 'id': '200007'}</v>
      </c>
      <c r="I324" s="8">
        <f t="shared" ca="1" si="38"/>
        <v>1</v>
      </c>
      <c r="J324" s="8">
        <f t="shared" ca="1" si="39"/>
        <v>31</v>
      </c>
      <c r="K324" s="8" t="str">
        <f t="shared" ca="1" si="40"/>
        <v>2017-04-20</v>
      </c>
      <c r="L324" s="8" t="str">
        <f t="shared" ca="1" si="41"/>
        <v>2017-04-23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IFERROR(VLOOKUP(VLOOKUP(VLOOKUP(C325,Project.csv!F:Q,12,FALSE),ServiceAreas.csv!B:I,8,FALSE),LocalAreas.csv!B:H,7,FALSE),200029)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200005</v>
      </c>
      <c r="H325" s="8" t="str">
        <f t="shared" ca="1" si="37"/>
        <v>rg:{ 'id': '200005'}</v>
      </c>
      <c r="I325" s="8">
        <f t="shared" ca="1" si="38"/>
        <v>1</v>
      </c>
      <c r="J325" s="8">
        <f t="shared" ca="1" si="39"/>
        <v>4</v>
      </c>
      <c r="K325" s="8" t="str">
        <f t="shared" ca="1" si="40"/>
        <v>2017-05-15</v>
      </c>
      <c r="L325" s="8" t="str">
        <f t="shared" ca="1" si="41"/>
        <v>2017-05-15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7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</row>
    <row r="2" spans="1:7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</row>
    <row r="3" spans="1:7" x14ac:dyDescent="0.3">
      <c r="A3" t="s">
        <v>7883</v>
      </c>
      <c r="B3" t="s">
        <v>7776</v>
      </c>
      <c r="C3" t="s">
        <v>76</v>
      </c>
      <c r="D3">
        <v>3</v>
      </c>
      <c r="E3" t="s">
        <v>7779</v>
      </c>
      <c r="F3" t="s">
        <v>6664</v>
      </c>
    </row>
    <row r="4" spans="1:7" x14ac:dyDescent="0.3">
      <c r="A4" t="s">
        <v>7883</v>
      </c>
      <c r="B4" t="s">
        <v>7776</v>
      </c>
      <c r="C4" t="s">
        <v>76</v>
      </c>
      <c r="D4">
        <v>1</v>
      </c>
      <c r="E4" t="s">
        <v>7780</v>
      </c>
      <c r="F4" t="s">
        <v>6665</v>
      </c>
    </row>
    <row r="5" spans="1:7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</row>
    <row r="6" spans="1:7" x14ac:dyDescent="0.3">
      <c r="A6" t="s">
        <v>7883</v>
      </c>
      <c r="B6" t="s">
        <v>7781</v>
      </c>
      <c r="C6" t="s">
        <v>76</v>
      </c>
      <c r="D6">
        <v>3</v>
      </c>
      <c r="E6" t="s">
        <v>7779</v>
      </c>
      <c r="F6" t="s">
        <v>6664</v>
      </c>
    </row>
    <row r="7" spans="1:7" x14ac:dyDescent="0.3">
      <c r="A7" t="s">
        <v>7883</v>
      </c>
      <c r="B7" t="s">
        <v>7781</v>
      </c>
      <c r="C7" t="s">
        <v>76</v>
      </c>
      <c r="D7">
        <v>1</v>
      </c>
      <c r="E7" t="s">
        <v>7780</v>
      </c>
      <c r="F7" t="s">
        <v>6665</v>
      </c>
    </row>
    <row r="8" spans="1:7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</row>
    <row r="9" spans="1:7" x14ac:dyDescent="0.3">
      <c r="A9" t="s">
        <v>7883</v>
      </c>
      <c r="B9" t="s">
        <v>7782</v>
      </c>
      <c r="C9" t="s">
        <v>76</v>
      </c>
      <c r="D9">
        <v>2</v>
      </c>
      <c r="E9" t="s">
        <v>7785</v>
      </c>
      <c r="F9" t="s">
        <v>7056</v>
      </c>
    </row>
    <row r="10" spans="1:7" x14ac:dyDescent="0.3">
      <c r="A10" t="s">
        <v>7883</v>
      </c>
      <c r="B10" t="s">
        <v>7782</v>
      </c>
      <c r="C10" t="s">
        <v>76</v>
      </c>
      <c r="D10">
        <v>3</v>
      </c>
      <c r="E10" t="s">
        <v>7786</v>
      </c>
      <c r="F10" t="s">
        <v>7057</v>
      </c>
    </row>
    <row r="11" spans="1:7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</row>
    <row r="12" spans="1:7" x14ac:dyDescent="0.3">
      <c r="A12" t="s">
        <v>7883</v>
      </c>
      <c r="B12" t="s">
        <v>7787</v>
      </c>
      <c r="C12" t="s">
        <v>76</v>
      </c>
      <c r="D12">
        <v>2</v>
      </c>
      <c r="E12" t="s">
        <v>5324</v>
      </c>
      <c r="F12" t="s">
        <v>7790</v>
      </c>
    </row>
    <row r="13" spans="1:7" x14ac:dyDescent="0.3">
      <c r="A13" t="s">
        <v>7883</v>
      </c>
      <c r="B13" t="s">
        <v>7791</v>
      </c>
      <c r="C13" t="s">
        <v>76</v>
      </c>
      <c r="D13">
        <v>1</v>
      </c>
      <c r="E13" t="s">
        <v>7792</v>
      </c>
      <c r="F13" t="s">
        <v>7792</v>
      </c>
      <c r="G13" t="s">
        <v>7793</v>
      </c>
    </row>
    <row r="14" spans="1:7" x14ac:dyDescent="0.3">
      <c r="A14" t="s">
        <v>7883</v>
      </c>
      <c r="B14" t="s">
        <v>7791</v>
      </c>
      <c r="C14" t="s">
        <v>76</v>
      </c>
      <c r="D14">
        <v>2</v>
      </c>
      <c r="E14" t="s">
        <v>7794</v>
      </c>
      <c r="F14" t="s">
        <v>7794</v>
      </c>
    </row>
    <row r="15" spans="1:7" x14ac:dyDescent="0.3">
      <c r="A15" t="s">
        <v>7883</v>
      </c>
      <c r="B15" t="s">
        <v>7791</v>
      </c>
      <c r="C15" t="s">
        <v>76</v>
      </c>
      <c r="D15">
        <v>3</v>
      </c>
      <c r="E15" t="s">
        <v>7795</v>
      </c>
      <c r="F15" t="s">
        <v>7795</v>
      </c>
    </row>
    <row r="16" spans="1:7" x14ac:dyDescent="0.3">
      <c r="A16" t="s">
        <v>7883</v>
      </c>
      <c r="B16" t="s">
        <v>7791</v>
      </c>
      <c r="C16" t="s">
        <v>76</v>
      </c>
      <c r="D16">
        <v>4</v>
      </c>
      <c r="E16" t="s">
        <v>7796</v>
      </c>
      <c r="F16" t="s">
        <v>7797</v>
      </c>
    </row>
    <row r="17" spans="1:7" x14ac:dyDescent="0.3">
      <c r="A17" t="s">
        <v>7883</v>
      </c>
      <c r="B17" t="s">
        <v>7791</v>
      </c>
      <c r="C17" t="s">
        <v>76</v>
      </c>
      <c r="D17">
        <v>5</v>
      </c>
      <c r="E17" t="s">
        <v>7798</v>
      </c>
      <c r="F17" t="s">
        <v>7799</v>
      </c>
    </row>
    <row r="18" spans="1:7" x14ac:dyDescent="0.3">
      <c r="A18" t="s">
        <v>7883</v>
      </c>
      <c r="B18" t="s">
        <v>7791</v>
      </c>
      <c r="C18" t="s">
        <v>76</v>
      </c>
      <c r="D18">
        <v>6</v>
      </c>
      <c r="E18" t="s">
        <v>7800</v>
      </c>
      <c r="F18" t="s">
        <v>7801</v>
      </c>
    </row>
    <row r="19" spans="1:7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</row>
    <row r="20" spans="1:7" x14ac:dyDescent="0.3">
      <c r="A20" t="s">
        <v>7883</v>
      </c>
      <c r="B20" t="s">
        <v>7802</v>
      </c>
      <c r="C20" t="s">
        <v>76</v>
      </c>
      <c r="D20">
        <v>2</v>
      </c>
      <c r="E20" t="s">
        <v>7886</v>
      </c>
      <c r="F20" t="s">
        <v>7885</v>
      </c>
    </row>
    <row r="21" spans="1:7" x14ac:dyDescent="0.3">
      <c r="A21" t="s">
        <v>7883</v>
      </c>
      <c r="B21" t="s">
        <v>7802</v>
      </c>
      <c r="C21" t="s">
        <v>76</v>
      </c>
      <c r="D21">
        <v>3</v>
      </c>
      <c r="E21" t="s">
        <v>7805</v>
      </c>
      <c r="F21" t="s">
        <v>7806</v>
      </c>
    </row>
    <row r="22" spans="1:7" x14ac:dyDescent="0.3">
      <c r="A22" t="s">
        <v>7883</v>
      </c>
      <c r="B22" t="s">
        <v>7802</v>
      </c>
      <c r="C22" t="s">
        <v>76</v>
      </c>
      <c r="D22">
        <v>4</v>
      </c>
      <c r="E22" t="s">
        <v>5324</v>
      </c>
      <c r="F22" t="s">
        <v>7807</v>
      </c>
    </row>
    <row r="23" spans="1:7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</row>
    <row r="24" spans="1:7" x14ac:dyDescent="0.3">
      <c r="A24" t="s">
        <v>7883</v>
      </c>
      <c r="B24" t="s">
        <v>7808</v>
      </c>
      <c r="C24" t="s">
        <v>76</v>
      </c>
      <c r="D24">
        <v>2</v>
      </c>
      <c r="E24" t="s">
        <v>7785</v>
      </c>
      <c r="F24" t="s">
        <v>7056</v>
      </c>
    </row>
    <row r="25" spans="1:7" x14ac:dyDescent="0.3">
      <c r="A25" t="s">
        <v>7883</v>
      </c>
      <c r="B25" t="s">
        <v>7808</v>
      </c>
      <c r="C25" t="s">
        <v>76</v>
      </c>
      <c r="D25">
        <v>3</v>
      </c>
      <c r="E25" t="s">
        <v>7786</v>
      </c>
      <c r="F25" t="s">
        <v>7057</v>
      </c>
    </row>
    <row r="26" spans="1:7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</row>
    <row r="27" spans="1:7" x14ac:dyDescent="0.3">
      <c r="A27" t="s">
        <v>7883</v>
      </c>
      <c r="B27" t="s">
        <v>7809</v>
      </c>
      <c r="C27" t="s">
        <v>76</v>
      </c>
      <c r="D27">
        <v>2</v>
      </c>
      <c r="E27" t="s">
        <v>7785</v>
      </c>
      <c r="F27" t="s">
        <v>7056</v>
      </c>
    </row>
    <row r="28" spans="1:7" x14ac:dyDescent="0.3">
      <c r="A28" t="s">
        <v>7883</v>
      </c>
      <c r="B28" t="s">
        <v>7811</v>
      </c>
      <c r="C28" t="s">
        <v>76</v>
      </c>
      <c r="D28">
        <v>1</v>
      </c>
      <c r="E28" t="s">
        <v>7812</v>
      </c>
      <c r="F28" t="s">
        <v>7813</v>
      </c>
    </row>
    <row r="29" spans="1:7" x14ac:dyDescent="0.3">
      <c r="A29" t="s">
        <v>7883</v>
      </c>
      <c r="B29" t="s">
        <v>7811</v>
      </c>
      <c r="C29" t="s">
        <v>76</v>
      </c>
      <c r="D29">
        <v>2</v>
      </c>
      <c r="E29" t="s">
        <v>7814</v>
      </c>
      <c r="F29" t="s">
        <v>7815</v>
      </c>
    </row>
    <row r="30" spans="1:7" x14ac:dyDescent="0.3">
      <c r="A30" t="s">
        <v>7883</v>
      </c>
      <c r="B30" t="s">
        <v>7811</v>
      </c>
      <c r="C30" t="s">
        <v>76</v>
      </c>
      <c r="D30">
        <v>3</v>
      </c>
      <c r="E30" t="s">
        <v>7816</v>
      </c>
      <c r="F30" t="s">
        <v>7817</v>
      </c>
    </row>
    <row r="31" spans="1:7" x14ac:dyDescent="0.3">
      <c r="A31" t="s">
        <v>7883</v>
      </c>
      <c r="B31" t="s">
        <v>5672</v>
      </c>
      <c r="C31" t="s">
        <v>76</v>
      </c>
      <c r="D31">
        <v>1</v>
      </c>
      <c r="E31" t="s">
        <v>7818</v>
      </c>
      <c r="F31" t="s">
        <v>7819</v>
      </c>
    </row>
    <row r="32" spans="1:7" x14ac:dyDescent="0.3">
      <c r="A32" t="s">
        <v>7883</v>
      </c>
      <c r="B32" t="s">
        <v>5672</v>
      </c>
      <c r="C32" t="s">
        <v>76</v>
      </c>
      <c r="D32">
        <v>2</v>
      </c>
      <c r="E32" t="s">
        <v>7820</v>
      </c>
      <c r="F32" t="s">
        <v>7821</v>
      </c>
    </row>
    <row r="33" spans="1:6" x14ac:dyDescent="0.3">
      <c r="A33" t="s">
        <v>7883</v>
      </c>
      <c r="B33" t="s">
        <v>5672</v>
      </c>
      <c r="C33" t="s">
        <v>76</v>
      </c>
      <c r="D33">
        <v>3</v>
      </c>
      <c r="E33" t="s">
        <v>7822</v>
      </c>
      <c r="F33" t="s">
        <v>7823</v>
      </c>
    </row>
    <row r="34" spans="1:6" x14ac:dyDescent="0.3">
      <c r="A34" t="s">
        <v>7883</v>
      </c>
      <c r="B34" t="s">
        <v>5672</v>
      </c>
      <c r="C34" t="s">
        <v>76</v>
      </c>
      <c r="D34">
        <v>4</v>
      </c>
      <c r="E34" t="s">
        <v>7824</v>
      </c>
      <c r="F34" t="s">
        <v>7825</v>
      </c>
    </row>
    <row r="35" spans="1:6" x14ac:dyDescent="0.3">
      <c r="A35" t="s">
        <v>7883</v>
      </c>
      <c r="B35" t="s">
        <v>5672</v>
      </c>
      <c r="C35" t="s">
        <v>76</v>
      </c>
      <c r="D35">
        <v>5</v>
      </c>
      <c r="E35" t="s">
        <v>7826</v>
      </c>
      <c r="F35" t="s">
        <v>7827</v>
      </c>
    </row>
    <row r="36" spans="1:6" x14ac:dyDescent="0.3">
      <c r="A36" t="s">
        <v>7883</v>
      </c>
      <c r="B36" t="s">
        <v>7828</v>
      </c>
      <c r="C36" t="s">
        <v>76</v>
      </c>
      <c r="E36" t="s">
        <v>7829</v>
      </c>
      <c r="F36" t="s">
        <v>7830</v>
      </c>
    </row>
    <row r="37" spans="1:6" x14ac:dyDescent="0.3">
      <c r="A37" t="s">
        <v>7883</v>
      </c>
      <c r="B37" t="s">
        <v>7828</v>
      </c>
      <c r="C37" t="s">
        <v>76</v>
      </c>
      <c r="E37" t="s">
        <v>7831</v>
      </c>
      <c r="F37" t="s">
        <v>7832</v>
      </c>
    </row>
    <row r="38" spans="1:6" x14ac:dyDescent="0.3">
      <c r="A38" t="s">
        <v>7883</v>
      </c>
      <c r="B38" t="s">
        <v>7828</v>
      </c>
      <c r="C38" t="s">
        <v>76</v>
      </c>
      <c r="E38" t="s">
        <v>7833</v>
      </c>
      <c r="F38" t="s">
        <v>7834</v>
      </c>
    </row>
    <row r="39" spans="1:6" x14ac:dyDescent="0.3">
      <c r="A39" t="s">
        <v>7883</v>
      </c>
      <c r="B39" t="s">
        <v>7828</v>
      </c>
      <c r="C39" t="s">
        <v>76</v>
      </c>
      <c r="E39" t="s">
        <v>7835</v>
      </c>
      <c r="F39" t="s">
        <v>7836</v>
      </c>
    </row>
    <row r="40" spans="1:6" x14ac:dyDescent="0.3">
      <c r="A40" t="s">
        <v>7883</v>
      </c>
      <c r="B40" t="s">
        <v>7828</v>
      </c>
      <c r="C40" t="s">
        <v>76</v>
      </c>
      <c r="E40" t="s">
        <v>7837</v>
      </c>
      <c r="F40" t="s">
        <v>7838</v>
      </c>
    </row>
    <row r="41" spans="1:6" x14ac:dyDescent="0.3">
      <c r="A41" t="s">
        <v>7883</v>
      </c>
      <c r="B41" t="s">
        <v>7828</v>
      </c>
      <c r="C41" t="s">
        <v>76</v>
      </c>
      <c r="E41" t="s">
        <v>7839</v>
      </c>
      <c r="F41" t="s">
        <v>7840</v>
      </c>
    </row>
    <row r="42" spans="1:6" x14ac:dyDescent="0.3">
      <c r="A42" t="s">
        <v>7883</v>
      </c>
      <c r="B42" t="s">
        <v>7828</v>
      </c>
      <c r="C42" t="s">
        <v>76</v>
      </c>
      <c r="E42" t="s">
        <v>2837</v>
      </c>
      <c r="F42" t="s">
        <v>7841</v>
      </c>
    </row>
    <row r="43" spans="1:6" x14ac:dyDescent="0.3">
      <c r="A43" t="s">
        <v>7883</v>
      </c>
      <c r="B43" t="s">
        <v>7828</v>
      </c>
      <c r="C43" t="s">
        <v>76</v>
      </c>
      <c r="E43" t="s">
        <v>7842</v>
      </c>
      <c r="F43" t="s">
        <v>7843</v>
      </c>
    </row>
    <row r="44" spans="1:6" x14ac:dyDescent="0.3">
      <c r="A44" t="s">
        <v>7883</v>
      </c>
      <c r="B44" t="s">
        <v>7844</v>
      </c>
      <c r="C44" t="s">
        <v>76</v>
      </c>
      <c r="E44" t="s">
        <v>7845</v>
      </c>
      <c r="F44" t="s">
        <v>7845</v>
      </c>
    </row>
    <row r="45" spans="1:6" x14ac:dyDescent="0.3">
      <c r="A45" t="s">
        <v>7883</v>
      </c>
      <c r="B45" t="s">
        <v>7844</v>
      </c>
      <c r="C45" t="s">
        <v>76</v>
      </c>
      <c r="E45" t="s">
        <v>7846</v>
      </c>
      <c r="F45" t="s">
        <v>7847</v>
      </c>
    </row>
    <row r="46" spans="1:6" x14ac:dyDescent="0.3">
      <c r="A46" t="s">
        <v>7883</v>
      </c>
      <c r="B46" t="s">
        <v>7844</v>
      </c>
      <c r="C46" t="s">
        <v>76</v>
      </c>
      <c r="E46" t="s">
        <v>7848</v>
      </c>
      <c r="F46" t="s">
        <v>7849</v>
      </c>
    </row>
    <row r="47" spans="1:6" x14ac:dyDescent="0.3">
      <c r="A47" t="s">
        <v>7883</v>
      </c>
      <c r="B47" t="s">
        <v>7844</v>
      </c>
      <c r="C47" t="s">
        <v>76</v>
      </c>
      <c r="E47" t="s">
        <v>7850</v>
      </c>
      <c r="F47" t="s">
        <v>7851</v>
      </c>
    </row>
    <row r="48" spans="1:6" x14ac:dyDescent="0.3">
      <c r="A48" t="s">
        <v>7883</v>
      </c>
      <c r="B48" t="s">
        <v>7852</v>
      </c>
      <c r="C48" t="s">
        <v>76</v>
      </c>
      <c r="E48" t="s">
        <v>7845</v>
      </c>
      <c r="F48" t="s">
        <v>7845</v>
      </c>
    </row>
    <row r="49" spans="1:6" x14ac:dyDescent="0.3">
      <c r="A49" t="s">
        <v>7883</v>
      </c>
      <c r="B49" t="s">
        <v>7853</v>
      </c>
      <c r="C49" t="s">
        <v>76</v>
      </c>
      <c r="E49" t="s">
        <v>7854</v>
      </c>
      <c r="F49" t="s">
        <v>7855</v>
      </c>
    </row>
    <row r="50" spans="1:6" x14ac:dyDescent="0.3">
      <c r="A50" t="s">
        <v>7883</v>
      </c>
      <c r="B50" t="s">
        <v>7853</v>
      </c>
      <c r="C50" t="s">
        <v>76</v>
      </c>
      <c r="E50" t="s">
        <v>7856</v>
      </c>
      <c r="F50" t="s">
        <v>7857</v>
      </c>
    </row>
    <row r="51" spans="1:6" x14ac:dyDescent="0.3">
      <c r="A51" t="s">
        <v>7883</v>
      </c>
      <c r="B51" t="s">
        <v>7858</v>
      </c>
      <c r="C51" t="s">
        <v>76</v>
      </c>
      <c r="E51" t="s">
        <v>7859</v>
      </c>
      <c r="F51" t="s">
        <v>7859</v>
      </c>
    </row>
    <row r="52" spans="1:6" x14ac:dyDescent="0.3">
      <c r="A52" t="s">
        <v>7883</v>
      </c>
      <c r="B52" t="s">
        <v>7858</v>
      </c>
      <c r="C52" t="s">
        <v>76</v>
      </c>
      <c r="E52" t="s">
        <v>7848</v>
      </c>
      <c r="F52" t="s">
        <v>7849</v>
      </c>
    </row>
    <row r="53" spans="1:6" x14ac:dyDescent="0.3">
      <c r="A53" t="s">
        <v>7883</v>
      </c>
      <c r="B53" t="s">
        <v>7860</v>
      </c>
      <c r="C53" t="s">
        <v>76</v>
      </c>
      <c r="E53" t="s">
        <v>7861</v>
      </c>
      <c r="F53" t="s">
        <v>7862</v>
      </c>
    </row>
    <row r="54" spans="1:6" x14ac:dyDescent="0.3">
      <c r="A54" t="s">
        <v>7883</v>
      </c>
      <c r="B54" t="s">
        <v>7860</v>
      </c>
      <c r="C54" t="s">
        <v>76</v>
      </c>
      <c r="E54" t="s">
        <v>7863</v>
      </c>
      <c r="F54" t="s">
        <v>7863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19732394</v>
      </c>
      <c r="H2">
        <f ca="1">RANDBETWEEN(100,1000)</f>
        <v>847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20766385</v>
      </c>
      <c r="H3">
        <f t="shared" ref="H3:H11" ca="1" si="1">RANDBETWEEN(100,1000)</f>
        <v>260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44189599</v>
      </c>
      <c r="H4">
        <f t="shared" ca="1" si="1"/>
        <v>173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24164385</v>
      </c>
      <c r="H5">
        <f t="shared" ca="1" si="1"/>
        <v>917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19360112</v>
      </c>
      <c r="H6">
        <f t="shared" ca="1" si="1"/>
        <v>314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10663122</v>
      </c>
      <c r="H7">
        <f t="shared" ca="1" si="1"/>
        <v>536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41523155</v>
      </c>
      <c r="H8">
        <f t="shared" ca="1" si="1"/>
        <v>532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14263251</v>
      </c>
      <c r="H9">
        <f t="shared" ca="1" si="1"/>
        <v>299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20842357</v>
      </c>
      <c r="H10">
        <f t="shared" ca="1" si="1"/>
        <v>713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30798909</v>
      </c>
      <c r="H11">
        <f t="shared" ca="1" si="1"/>
        <v>558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EDW073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MCA018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CLO022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ARB105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ARG027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ASH003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FBA034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BIC026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BRA043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HEA105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88"/>
  <sheetViews>
    <sheetView workbookViewId="0">
      <pane ySplit="1" topLeftCell="A2" activePane="bottomLeft" state="frozen"/>
      <selection pane="bottomLeft" activeCell="B2" sqref="B2:B88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1" customWidth="1"/>
  </cols>
  <sheetData>
    <row r="1" spans="1:10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70</v>
      </c>
      <c r="G1" t="s">
        <v>71</v>
      </c>
      <c r="H1" t="s">
        <v>5325</v>
      </c>
      <c r="I1" t="s">
        <v>6936</v>
      </c>
      <c r="J1" t="s">
        <v>7880</v>
      </c>
    </row>
    <row r="2" spans="1:10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 s="2" t="s">
        <v>6512</v>
      </c>
      <c r="G2" t="s">
        <v>76</v>
      </c>
      <c r="H2" s="3">
        <v>200064</v>
      </c>
      <c r="I2" t="str">
        <f>E2</f>
        <v>Cobble Hill</v>
      </c>
      <c r="J2" t="str">
        <f>C2</f>
        <v>South Island</v>
      </c>
    </row>
    <row r="3" spans="1:10" x14ac:dyDescent="0.3">
      <c r="A3" t="s">
        <v>5376</v>
      </c>
      <c r="B3">
        <f t="shared" ref="B3:B66" si="0">_xlfn.NUMBERVALUE(MID(D3,13,6))</f>
        <v>200000</v>
      </c>
      <c r="C3" t="s">
        <v>2923</v>
      </c>
      <c r="D3" t="s">
        <v>6533</v>
      </c>
      <c r="E3" t="s">
        <v>5354</v>
      </c>
      <c r="F3" s="2" t="s">
        <v>6512</v>
      </c>
      <c r="G3" t="s">
        <v>76</v>
      </c>
      <c r="H3" s="3">
        <v>200065</v>
      </c>
      <c r="I3" t="str">
        <f>E3</f>
        <v>Lake Cowichan</v>
      </c>
      <c r="J3" t="str">
        <f>C3</f>
        <v>South Island</v>
      </c>
    </row>
    <row r="4" spans="1:10" x14ac:dyDescent="0.3">
      <c r="A4" t="s">
        <v>5376</v>
      </c>
      <c r="B4">
        <f t="shared" si="0"/>
        <v>200000</v>
      </c>
      <c r="C4" t="s">
        <v>2923</v>
      </c>
      <c r="D4" t="s">
        <v>6533</v>
      </c>
      <c r="E4" t="s">
        <v>3297</v>
      </c>
      <c r="F4" s="2" t="s">
        <v>6512</v>
      </c>
      <c r="G4" t="s">
        <v>76</v>
      </c>
      <c r="H4" s="3">
        <v>200066</v>
      </c>
      <c r="I4" t="str">
        <f>E4</f>
        <v>Duncan</v>
      </c>
      <c r="J4" t="str">
        <f>C4</f>
        <v>South Island</v>
      </c>
    </row>
    <row r="5" spans="1:10" x14ac:dyDescent="0.3">
      <c r="A5" t="s">
        <v>5376</v>
      </c>
      <c r="B5">
        <f t="shared" si="0"/>
        <v>200000</v>
      </c>
      <c r="C5" t="s">
        <v>2923</v>
      </c>
      <c r="D5" t="s">
        <v>6533</v>
      </c>
      <c r="E5" t="s">
        <v>5388</v>
      </c>
      <c r="F5" s="2" t="s">
        <v>6512</v>
      </c>
      <c r="G5" t="s">
        <v>76</v>
      </c>
      <c r="H5" s="3">
        <v>200067</v>
      </c>
      <c r="I5" t="str">
        <f>E5</f>
        <v>Saanich Peninsula</v>
      </c>
      <c r="J5" t="str">
        <f>C5</f>
        <v>South Island</v>
      </c>
    </row>
    <row r="6" spans="1:10" x14ac:dyDescent="0.3">
      <c r="A6" t="s">
        <v>5376</v>
      </c>
      <c r="B6">
        <f t="shared" si="0"/>
        <v>200000</v>
      </c>
      <c r="C6" t="s">
        <v>2923</v>
      </c>
      <c r="D6" t="s">
        <v>6533</v>
      </c>
      <c r="E6" t="s">
        <v>6486</v>
      </c>
      <c r="F6" s="2" t="s">
        <v>6512</v>
      </c>
      <c r="G6" t="s">
        <v>76</v>
      </c>
      <c r="H6" s="3">
        <v>200068</v>
      </c>
      <c r="I6" t="str">
        <f>E6</f>
        <v>Western Communities</v>
      </c>
      <c r="J6" t="str">
        <f>C6</f>
        <v>South Island</v>
      </c>
    </row>
    <row r="7" spans="1:10" x14ac:dyDescent="0.3">
      <c r="A7" t="s">
        <v>5376</v>
      </c>
      <c r="B7">
        <f t="shared" si="0"/>
        <v>200001</v>
      </c>
      <c r="C7" t="s">
        <v>2924</v>
      </c>
      <c r="D7" t="s">
        <v>6514</v>
      </c>
      <c r="E7" t="s">
        <v>6458</v>
      </c>
      <c r="F7" s="2" t="s">
        <v>6512</v>
      </c>
      <c r="G7" t="s">
        <v>76</v>
      </c>
      <c r="H7" s="3">
        <v>200005</v>
      </c>
      <c r="I7" t="str">
        <f>E7</f>
        <v>Nanaimo/Ladysmith/Lantzville</v>
      </c>
      <c r="J7" t="str">
        <f>C7</f>
        <v>Central  Island</v>
      </c>
    </row>
    <row r="8" spans="1:10" x14ac:dyDescent="0.3">
      <c r="A8" t="s">
        <v>5376</v>
      </c>
      <c r="B8">
        <f t="shared" si="0"/>
        <v>200001</v>
      </c>
      <c r="C8" t="s">
        <v>2924</v>
      </c>
      <c r="D8" t="s">
        <v>6514</v>
      </c>
      <c r="E8" t="s">
        <v>6459</v>
      </c>
      <c r="F8" s="2" t="s">
        <v>6512</v>
      </c>
      <c r="G8" t="s">
        <v>76</v>
      </c>
      <c r="H8" s="3">
        <v>200006</v>
      </c>
      <c r="I8" t="str">
        <f>E8</f>
        <v>Parksville/Qualicum</v>
      </c>
      <c r="J8" t="str">
        <f>C8</f>
        <v>Central  Island</v>
      </c>
    </row>
    <row r="9" spans="1:10" x14ac:dyDescent="0.3">
      <c r="A9" t="s">
        <v>5376</v>
      </c>
      <c r="B9">
        <f t="shared" si="0"/>
        <v>200001</v>
      </c>
      <c r="C9" t="s">
        <v>2924</v>
      </c>
      <c r="D9" t="s">
        <v>6514</v>
      </c>
      <c r="E9" t="s">
        <v>3722</v>
      </c>
      <c r="F9" s="2" t="s">
        <v>6512</v>
      </c>
      <c r="G9" t="s">
        <v>76</v>
      </c>
      <c r="H9" s="3">
        <v>200007</v>
      </c>
      <c r="I9" t="str">
        <f>E9</f>
        <v>Port Alberni</v>
      </c>
      <c r="J9" t="str">
        <f>C9</f>
        <v>Central  Island</v>
      </c>
    </row>
    <row r="10" spans="1:10" x14ac:dyDescent="0.3">
      <c r="A10" t="s">
        <v>5376</v>
      </c>
      <c r="B10">
        <f t="shared" si="0"/>
        <v>200001</v>
      </c>
      <c r="C10" t="s">
        <v>2924</v>
      </c>
      <c r="D10" t="s">
        <v>6514</v>
      </c>
      <c r="E10" t="s">
        <v>6460</v>
      </c>
      <c r="F10" s="2" t="s">
        <v>6512</v>
      </c>
      <c r="G10" t="s">
        <v>76</v>
      </c>
      <c r="H10" s="3">
        <v>200008</v>
      </c>
      <c r="I10" t="str">
        <f>E10</f>
        <v>Ucluelet/Tofino</v>
      </c>
      <c r="J10" t="str">
        <f>C10</f>
        <v>Central  Island</v>
      </c>
    </row>
    <row r="11" spans="1:10" x14ac:dyDescent="0.3">
      <c r="A11" t="s">
        <v>5376</v>
      </c>
      <c r="B11">
        <f t="shared" si="0"/>
        <v>200001</v>
      </c>
      <c r="C11" t="s">
        <v>2924</v>
      </c>
      <c r="D11" t="s">
        <v>6514</v>
      </c>
      <c r="E11" t="s">
        <v>5351</v>
      </c>
      <c r="F11" s="2" t="s">
        <v>6512</v>
      </c>
      <c r="G11" t="s">
        <v>76</v>
      </c>
      <c r="H11" s="3">
        <v>200009</v>
      </c>
      <c r="I11" t="str">
        <f>E11</f>
        <v>Gabriola Island</v>
      </c>
      <c r="J11" t="str">
        <f>C11</f>
        <v>Central  Island</v>
      </c>
    </row>
    <row r="12" spans="1:10" x14ac:dyDescent="0.3">
      <c r="A12" t="s">
        <v>5376</v>
      </c>
      <c r="B12">
        <f t="shared" si="0"/>
        <v>200002</v>
      </c>
      <c r="C12" t="s">
        <v>2925</v>
      </c>
      <c r="D12" t="s">
        <v>6526</v>
      </c>
      <c r="E12" t="s">
        <v>4783</v>
      </c>
      <c r="F12" s="2" t="s">
        <v>6512</v>
      </c>
      <c r="G12" t="s">
        <v>76</v>
      </c>
      <c r="H12" s="3">
        <v>200038</v>
      </c>
      <c r="I12" t="str">
        <f>E12</f>
        <v>Courtenay</v>
      </c>
      <c r="J12" t="str">
        <f>C12</f>
        <v>North  Island</v>
      </c>
    </row>
    <row r="13" spans="1:10" x14ac:dyDescent="0.3">
      <c r="A13" t="s">
        <v>5376</v>
      </c>
      <c r="B13">
        <f t="shared" si="0"/>
        <v>200002</v>
      </c>
      <c r="C13" t="s">
        <v>2925</v>
      </c>
      <c r="D13" t="s">
        <v>6526</v>
      </c>
      <c r="E13" t="s">
        <v>5343</v>
      </c>
      <c r="F13" s="2" t="s">
        <v>6512</v>
      </c>
      <c r="G13" t="s">
        <v>76</v>
      </c>
      <c r="H13" s="3">
        <v>200039</v>
      </c>
      <c r="I13" t="str">
        <f>E13</f>
        <v>Campbell River</v>
      </c>
      <c r="J13" t="str">
        <f>C13</f>
        <v>North  Island</v>
      </c>
    </row>
    <row r="14" spans="1:10" x14ac:dyDescent="0.3">
      <c r="A14" t="s">
        <v>5376</v>
      </c>
      <c r="B14">
        <f t="shared" si="0"/>
        <v>200002</v>
      </c>
      <c r="C14" t="s">
        <v>2925</v>
      </c>
      <c r="D14" t="s">
        <v>6526</v>
      </c>
      <c r="E14" t="s">
        <v>3769</v>
      </c>
      <c r="F14" s="2" t="s">
        <v>6512</v>
      </c>
      <c r="G14" t="s">
        <v>76</v>
      </c>
      <c r="H14" s="3">
        <v>200040</v>
      </c>
      <c r="I14" t="str">
        <f>E14</f>
        <v>Port Hardy</v>
      </c>
      <c r="J14" t="str">
        <f>C14</f>
        <v>North  Island</v>
      </c>
    </row>
    <row r="15" spans="1:10" x14ac:dyDescent="0.3">
      <c r="A15" t="s">
        <v>5376</v>
      </c>
      <c r="B15">
        <f t="shared" si="0"/>
        <v>200002</v>
      </c>
      <c r="C15" t="s">
        <v>2925</v>
      </c>
      <c r="D15" t="s">
        <v>6526</v>
      </c>
      <c r="E15" t="s">
        <v>5352</v>
      </c>
      <c r="F15" s="2" t="s">
        <v>6512</v>
      </c>
      <c r="G15" t="s">
        <v>76</v>
      </c>
      <c r="H15" s="3">
        <v>200041</v>
      </c>
      <c r="I15" t="str">
        <f>E15</f>
        <v>Gold River</v>
      </c>
      <c r="J15" t="str">
        <f>C15</f>
        <v>North  Island</v>
      </c>
    </row>
    <row r="16" spans="1:10" x14ac:dyDescent="0.3">
      <c r="A16" t="s">
        <v>5376</v>
      </c>
      <c r="B16">
        <f t="shared" si="0"/>
        <v>200004</v>
      </c>
      <c r="C16" t="s">
        <v>2927</v>
      </c>
      <c r="D16" t="s">
        <v>6537</v>
      </c>
      <c r="E16" t="s">
        <v>5356</v>
      </c>
      <c r="F16" s="2" t="s">
        <v>6512</v>
      </c>
      <c r="G16" t="s">
        <v>76</v>
      </c>
      <c r="H16" s="3">
        <v>200081</v>
      </c>
      <c r="I16" t="str">
        <f>E16</f>
        <v>Powell River</v>
      </c>
      <c r="J16" t="str">
        <f>C16</f>
        <v>Sunshine Coast</v>
      </c>
    </row>
    <row r="17" spans="1:10" x14ac:dyDescent="0.3">
      <c r="A17" t="s">
        <v>5376</v>
      </c>
      <c r="B17">
        <f t="shared" si="0"/>
        <v>200005</v>
      </c>
      <c r="C17" t="s">
        <v>2928</v>
      </c>
      <c r="D17" t="s">
        <v>6521</v>
      </c>
      <c r="E17" t="s">
        <v>6473</v>
      </c>
      <c r="F17" s="2" t="s">
        <v>6512</v>
      </c>
      <c r="G17" t="s">
        <v>76</v>
      </c>
      <c r="H17" s="3">
        <v>200029</v>
      </c>
      <c r="I17" t="str">
        <f>E17</f>
        <v>Lower Mainland-Surrey/Langley</v>
      </c>
      <c r="J17" t="str">
        <f>C17</f>
        <v>Lower Mainland</v>
      </c>
    </row>
    <row r="18" spans="1:10" x14ac:dyDescent="0.3">
      <c r="A18" t="s">
        <v>5376</v>
      </c>
      <c r="B18">
        <f t="shared" si="0"/>
        <v>200005</v>
      </c>
      <c r="C18" t="s">
        <v>2928</v>
      </c>
      <c r="D18" t="s">
        <v>6521</v>
      </c>
      <c r="E18" t="s">
        <v>6474</v>
      </c>
      <c r="F18" s="2" t="s">
        <v>6512</v>
      </c>
      <c r="G18" t="s">
        <v>76</v>
      </c>
      <c r="H18" s="3">
        <v>200030</v>
      </c>
      <c r="I18" t="str">
        <f>E18</f>
        <v>Lower Mainland-Coquitlam/Burnaby/Van</v>
      </c>
      <c r="J18" t="str">
        <f>C18</f>
        <v>Lower Mainland</v>
      </c>
    </row>
    <row r="19" spans="1:10" x14ac:dyDescent="0.3">
      <c r="A19" t="s">
        <v>5376</v>
      </c>
      <c r="B19">
        <f t="shared" si="0"/>
        <v>200005</v>
      </c>
      <c r="C19" t="s">
        <v>2928</v>
      </c>
      <c r="D19" t="s">
        <v>6521</v>
      </c>
      <c r="E19" t="s">
        <v>6475</v>
      </c>
      <c r="F19" s="2" t="s">
        <v>6512</v>
      </c>
      <c r="G19" t="s">
        <v>76</v>
      </c>
      <c r="H19" s="3">
        <v>200031</v>
      </c>
      <c r="I19" t="str">
        <f>E19</f>
        <v>Lower Mainland-Delta/Richmond</v>
      </c>
      <c r="J19" t="str">
        <f>C19</f>
        <v>Lower Mainland</v>
      </c>
    </row>
    <row r="20" spans="1:10" x14ac:dyDescent="0.3">
      <c r="A20" t="s">
        <v>5376</v>
      </c>
      <c r="B20">
        <f t="shared" si="0"/>
        <v>200006</v>
      </c>
      <c r="C20" t="s">
        <v>10</v>
      </c>
      <c r="D20" t="s">
        <v>6518</v>
      </c>
      <c r="E20" t="s">
        <v>6467</v>
      </c>
      <c r="F20" s="2" t="s">
        <v>6512</v>
      </c>
      <c r="G20" t="s">
        <v>76</v>
      </c>
      <c r="H20" s="3">
        <v>200020</v>
      </c>
      <c r="I20" t="str">
        <f>E20</f>
        <v>Chilliwack/Rosedale</v>
      </c>
      <c r="J20" t="str">
        <f>C20</f>
        <v>Fraser Valley</v>
      </c>
    </row>
    <row r="21" spans="1:10" x14ac:dyDescent="0.3">
      <c r="A21" t="s">
        <v>5376</v>
      </c>
      <c r="B21">
        <f t="shared" si="0"/>
        <v>200006</v>
      </c>
      <c r="C21" t="s">
        <v>10</v>
      </c>
      <c r="D21" t="s">
        <v>6518</v>
      </c>
      <c r="E21" t="s">
        <v>6468</v>
      </c>
      <c r="F21" s="2" t="s">
        <v>6512</v>
      </c>
      <c r="G21" t="s">
        <v>76</v>
      </c>
      <c r="H21" s="3">
        <v>200021</v>
      </c>
      <c r="I21" t="str">
        <f>E21</f>
        <v>Hope/Allison Pass</v>
      </c>
      <c r="J21" t="str">
        <f>C21</f>
        <v>Fraser Valley</v>
      </c>
    </row>
    <row r="22" spans="1:10" x14ac:dyDescent="0.3">
      <c r="A22" t="s">
        <v>5376</v>
      </c>
      <c r="B22">
        <f t="shared" si="0"/>
        <v>200006</v>
      </c>
      <c r="C22" t="s">
        <v>10</v>
      </c>
      <c r="D22" t="s">
        <v>6518</v>
      </c>
      <c r="E22" t="s">
        <v>3104</v>
      </c>
      <c r="F22" s="2" t="s">
        <v>6512</v>
      </c>
      <c r="G22" t="s">
        <v>76</v>
      </c>
      <c r="H22" s="3">
        <v>200022</v>
      </c>
      <c r="I22" t="str">
        <f>E22</f>
        <v>Abbotsford</v>
      </c>
      <c r="J22" t="str">
        <f>C22</f>
        <v>Fraser Valley</v>
      </c>
    </row>
    <row r="23" spans="1:10" x14ac:dyDescent="0.3">
      <c r="A23" t="s">
        <v>5376</v>
      </c>
      <c r="B23">
        <f t="shared" si="0"/>
        <v>200007</v>
      </c>
      <c r="C23" t="s">
        <v>2929</v>
      </c>
      <c r="D23" t="s">
        <v>6534</v>
      </c>
      <c r="E23" t="s">
        <v>6487</v>
      </c>
      <c r="F23" s="2" t="s">
        <v>6512</v>
      </c>
      <c r="G23" t="s">
        <v>76</v>
      </c>
      <c r="H23" s="3">
        <v>200069</v>
      </c>
      <c r="I23" t="str">
        <f>E23</f>
        <v>Penticton Rd. Management Area</v>
      </c>
      <c r="J23" t="str">
        <f>C23</f>
        <v>South Okanagan</v>
      </c>
    </row>
    <row r="24" spans="1:10" x14ac:dyDescent="0.3">
      <c r="A24" t="s">
        <v>5376</v>
      </c>
      <c r="B24">
        <f t="shared" si="0"/>
        <v>200007</v>
      </c>
      <c r="C24" t="s">
        <v>2929</v>
      </c>
      <c r="D24" t="s">
        <v>6534</v>
      </c>
      <c r="E24" t="s">
        <v>6488</v>
      </c>
      <c r="F24" s="2" t="s">
        <v>6512</v>
      </c>
      <c r="G24" t="s">
        <v>76</v>
      </c>
      <c r="H24" s="3">
        <v>200070</v>
      </c>
      <c r="I24" t="str">
        <f>E24</f>
        <v>Kelowna Road Management Area</v>
      </c>
      <c r="J24" t="str">
        <f>C24</f>
        <v>South Okanagan</v>
      </c>
    </row>
    <row r="25" spans="1:10" x14ac:dyDescent="0.3">
      <c r="A25" t="s">
        <v>5376</v>
      </c>
      <c r="B25">
        <f t="shared" si="0"/>
        <v>200007</v>
      </c>
      <c r="C25" t="s">
        <v>2929</v>
      </c>
      <c r="D25" t="s">
        <v>6534</v>
      </c>
      <c r="E25" t="s">
        <v>6489</v>
      </c>
      <c r="F25" s="2" t="s">
        <v>6512</v>
      </c>
      <c r="G25" t="s">
        <v>76</v>
      </c>
      <c r="H25" s="3">
        <v>200071</v>
      </c>
      <c r="I25" t="str">
        <f>E25</f>
        <v>Princeton Road Management Area</v>
      </c>
      <c r="J25" t="str">
        <f>C25</f>
        <v>South Okanagan</v>
      </c>
    </row>
    <row r="26" spans="1:10" x14ac:dyDescent="0.3">
      <c r="A26" t="s">
        <v>5376</v>
      </c>
      <c r="B26">
        <f t="shared" si="0"/>
        <v>200007</v>
      </c>
      <c r="C26" t="s">
        <v>2929</v>
      </c>
      <c r="D26" t="s">
        <v>6534</v>
      </c>
      <c r="E26" t="s">
        <v>6490</v>
      </c>
      <c r="F26" s="2" t="s">
        <v>6512</v>
      </c>
      <c r="G26" t="s">
        <v>76</v>
      </c>
      <c r="H26" s="3">
        <v>200072</v>
      </c>
      <c r="I26" t="str">
        <f>E26</f>
        <v>Oliver/Osoyoos Rd. Mgmt. Area</v>
      </c>
      <c r="J26" t="str">
        <f>C26</f>
        <v>South Okanagan</v>
      </c>
    </row>
    <row r="27" spans="1:10" x14ac:dyDescent="0.3">
      <c r="A27" t="s">
        <v>5376</v>
      </c>
      <c r="B27">
        <f t="shared" si="0"/>
        <v>200007</v>
      </c>
      <c r="C27" t="s">
        <v>2929</v>
      </c>
      <c r="D27" t="s">
        <v>6534</v>
      </c>
      <c r="E27" t="s">
        <v>6491</v>
      </c>
      <c r="F27" s="2" t="s">
        <v>6512</v>
      </c>
      <c r="G27" t="s">
        <v>76</v>
      </c>
      <c r="H27" s="3">
        <v>200073</v>
      </c>
      <c r="I27" t="str">
        <f>E27</f>
        <v>Peachland/Westbank Rd.Mgt.Area</v>
      </c>
      <c r="J27" t="str">
        <f>C27</f>
        <v>South Okanagan</v>
      </c>
    </row>
    <row r="28" spans="1:10" x14ac:dyDescent="0.3">
      <c r="A28" t="s">
        <v>5376</v>
      </c>
      <c r="B28">
        <f t="shared" si="0"/>
        <v>200008</v>
      </c>
      <c r="C28" t="s">
        <v>2930</v>
      </c>
      <c r="D28" t="s">
        <v>6519</v>
      </c>
      <c r="E28" t="s">
        <v>6469</v>
      </c>
      <c r="F28" s="2" t="s">
        <v>6512</v>
      </c>
      <c r="G28" t="s">
        <v>76</v>
      </c>
      <c r="H28" s="3">
        <v>200023</v>
      </c>
      <c r="I28" t="str">
        <f>E28</f>
        <v>Castlegar And Area</v>
      </c>
      <c r="J28" t="str">
        <f>C28</f>
        <v>Kootenay Boundary</v>
      </c>
    </row>
    <row r="29" spans="1:10" x14ac:dyDescent="0.3">
      <c r="A29" t="s">
        <v>5376</v>
      </c>
      <c r="B29">
        <f t="shared" si="0"/>
        <v>200008</v>
      </c>
      <c r="C29" t="s">
        <v>2930</v>
      </c>
      <c r="D29" t="s">
        <v>6519</v>
      </c>
      <c r="E29" t="s">
        <v>6470</v>
      </c>
      <c r="F29" s="2" t="s">
        <v>6512</v>
      </c>
      <c r="G29" t="s">
        <v>76</v>
      </c>
      <c r="H29" s="3">
        <v>200024</v>
      </c>
      <c r="I29" t="str">
        <f>E29</f>
        <v>Grand Forks And Area</v>
      </c>
      <c r="J29" t="str">
        <f>C29</f>
        <v>Kootenay Boundary</v>
      </c>
    </row>
    <row r="30" spans="1:10" x14ac:dyDescent="0.3">
      <c r="A30" t="s">
        <v>5376</v>
      </c>
      <c r="B30">
        <f t="shared" si="0"/>
        <v>200008</v>
      </c>
      <c r="C30" t="s">
        <v>2930</v>
      </c>
      <c r="D30" t="s">
        <v>6519</v>
      </c>
      <c r="E30" t="s">
        <v>6471</v>
      </c>
      <c r="F30" s="2" t="s">
        <v>6512</v>
      </c>
      <c r="G30" t="s">
        <v>76</v>
      </c>
      <c r="H30" s="3">
        <v>200025</v>
      </c>
      <c r="I30" t="str">
        <f>E30</f>
        <v>Rock Creek And Area</v>
      </c>
      <c r="J30" t="str">
        <f>C30</f>
        <v>Kootenay Boundary</v>
      </c>
    </row>
    <row r="31" spans="1:10" x14ac:dyDescent="0.3">
      <c r="A31" t="s">
        <v>5376</v>
      </c>
      <c r="B31">
        <f t="shared" si="0"/>
        <v>200008</v>
      </c>
      <c r="C31" t="s">
        <v>2930</v>
      </c>
      <c r="D31" t="s">
        <v>6519</v>
      </c>
      <c r="E31" t="s">
        <v>6472</v>
      </c>
      <c r="F31" s="2" t="s">
        <v>6512</v>
      </c>
      <c r="G31" t="s">
        <v>76</v>
      </c>
      <c r="H31" s="3">
        <v>200026</v>
      </c>
      <c r="I31" t="str">
        <f>E31</f>
        <v>Rossland And Area</v>
      </c>
      <c r="J31" t="str">
        <f>C31</f>
        <v>Kootenay Boundary</v>
      </c>
    </row>
    <row r="32" spans="1:10" x14ac:dyDescent="0.3">
      <c r="A32" t="s">
        <v>5376</v>
      </c>
      <c r="B32">
        <f t="shared" si="0"/>
        <v>200009</v>
      </c>
      <c r="C32" t="s">
        <v>2931</v>
      </c>
      <c r="D32" t="s">
        <v>6515</v>
      </c>
      <c r="E32" t="s">
        <v>6461</v>
      </c>
      <c r="F32" s="2" t="s">
        <v>6512</v>
      </c>
      <c r="G32" t="s">
        <v>76</v>
      </c>
      <c r="H32" s="3">
        <v>200010</v>
      </c>
      <c r="I32" t="str">
        <f>E32</f>
        <v>Central Koot., New Denver</v>
      </c>
      <c r="J32" t="str">
        <f>C32</f>
        <v>Central Kootenay</v>
      </c>
    </row>
    <row r="33" spans="1:10" x14ac:dyDescent="0.3">
      <c r="A33" t="s">
        <v>5376</v>
      </c>
      <c r="B33">
        <f t="shared" si="0"/>
        <v>200009</v>
      </c>
      <c r="C33" t="s">
        <v>2931</v>
      </c>
      <c r="D33" t="s">
        <v>6515</v>
      </c>
      <c r="E33" t="s">
        <v>6462</v>
      </c>
      <c r="F33" s="2" t="s">
        <v>6512</v>
      </c>
      <c r="G33" t="s">
        <v>76</v>
      </c>
      <c r="H33" s="3">
        <v>200011</v>
      </c>
      <c r="I33" t="str">
        <f>E33</f>
        <v>Central Koot., Nakusp</v>
      </c>
      <c r="J33" t="str">
        <f>C33</f>
        <v>Central Kootenay</v>
      </c>
    </row>
    <row r="34" spans="1:10" x14ac:dyDescent="0.3">
      <c r="A34" t="s">
        <v>5376</v>
      </c>
      <c r="B34">
        <f t="shared" si="0"/>
        <v>200009</v>
      </c>
      <c r="C34" t="s">
        <v>2931</v>
      </c>
      <c r="D34" t="s">
        <v>6515</v>
      </c>
      <c r="E34" t="s">
        <v>5346</v>
      </c>
      <c r="F34" s="2" t="s">
        <v>6512</v>
      </c>
      <c r="G34" t="s">
        <v>76</v>
      </c>
      <c r="H34" s="3">
        <v>200012</v>
      </c>
      <c r="I34" t="str">
        <f>E34</f>
        <v>Creston</v>
      </c>
      <c r="J34" t="str">
        <f>C34</f>
        <v>Central Kootenay</v>
      </c>
    </row>
    <row r="35" spans="1:10" x14ac:dyDescent="0.3">
      <c r="A35" t="s">
        <v>5376</v>
      </c>
      <c r="B35">
        <f t="shared" si="0"/>
        <v>200009</v>
      </c>
      <c r="C35" t="s">
        <v>2931</v>
      </c>
      <c r="D35" t="s">
        <v>6515</v>
      </c>
      <c r="E35" t="s">
        <v>6463</v>
      </c>
      <c r="F35" s="2" t="s">
        <v>6512</v>
      </c>
      <c r="G35" t="s">
        <v>76</v>
      </c>
      <c r="H35" s="3">
        <v>200013</v>
      </c>
      <c r="I35" t="str">
        <f>E35</f>
        <v>Central Kootenay Nelson</v>
      </c>
      <c r="J35" t="str">
        <f>C35</f>
        <v>Central Kootenay</v>
      </c>
    </row>
    <row r="36" spans="1:10" x14ac:dyDescent="0.3">
      <c r="A36" t="s">
        <v>5376</v>
      </c>
      <c r="B36">
        <f t="shared" si="0"/>
        <v>200009</v>
      </c>
      <c r="C36" t="s">
        <v>2931</v>
      </c>
      <c r="D36" t="s">
        <v>6515</v>
      </c>
      <c r="E36" t="s">
        <v>6464</v>
      </c>
      <c r="F36" s="2" t="s">
        <v>6512</v>
      </c>
      <c r="G36" t="s">
        <v>76</v>
      </c>
      <c r="H36" s="3">
        <v>200014</v>
      </c>
      <c r="I36" t="str">
        <f>E36</f>
        <v>Out Of District</v>
      </c>
      <c r="J36" t="str">
        <f>C36</f>
        <v>Central Kootenay</v>
      </c>
    </row>
    <row r="37" spans="1:10" x14ac:dyDescent="0.3">
      <c r="A37" t="s">
        <v>5376</v>
      </c>
      <c r="B37">
        <f t="shared" si="0"/>
        <v>200009</v>
      </c>
      <c r="C37" t="s">
        <v>2931</v>
      </c>
      <c r="D37" t="s">
        <v>6515</v>
      </c>
      <c r="E37" t="s">
        <v>6465</v>
      </c>
      <c r="F37" s="2" t="s">
        <v>6512</v>
      </c>
      <c r="G37" t="s">
        <v>76</v>
      </c>
      <c r="H37" s="3">
        <v>200015</v>
      </c>
      <c r="I37" t="str">
        <f>E37</f>
        <v>Central Kootenay Salmo</v>
      </c>
      <c r="J37" t="str">
        <f>C37</f>
        <v>Central Kootenay</v>
      </c>
    </row>
    <row r="38" spans="1:10" x14ac:dyDescent="0.3">
      <c r="A38" t="s">
        <v>5376</v>
      </c>
      <c r="B38">
        <f t="shared" si="0"/>
        <v>200010</v>
      </c>
      <c r="C38" t="s">
        <v>13</v>
      </c>
      <c r="D38" t="s">
        <v>6516</v>
      </c>
      <c r="E38" t="s">
        <v>3578</v>
      </c>
      <c r="F38" s="2" t="s">
        <v>6512</v>
      </c>
      <c r="G38" t="s">
        <v>76</v>
      </c>
      <c r="H38" s="3">
        <v>200016</v>
      </c>
      <c r="I38" t="str">
        <f>E38</f>
        <v>Cranbrook</v>
      </c>
      <c r="J38" t="str">
        <f>C38</f>
        <v>East Kootenay</v>
      </c>
    </row>
    <row r="39" spans="1:10" x14ac:dyDescent="0.3">
      <c r="A39" t="s">
        <v>5376</v>
      </c>
      <c r="B39">
        <f t="shared" si="0"/>
        <v>200010</v>
      </c>
      <c r="C39" t="s">
        <v>13</v>
      </c>
      <c r="D39" t="s">
        <v>6516</v>
      </c>
      <c r="E39" t="s">
        <v>6466</v>
      </c>
      <c r="F39" s="2" t="s">
        <v>6512</v>
      </c>
      <c r="G39" t="s">
        <v>76</v>
      </c>
      <c r="H39" s="3">
        <v>200017</v>
      </c>
      <c r="I39" t="str">
        <f>E39</f>
        <v>Fernie/Sparwood</v>
      </c>
      <c r="J39" t="str">
        <f>C39</f>
        <v>East Kootenay</v>
      </c>
    </row>
    <row r="40" spans="1:10" x14ac:dyDescent="0.3">
      <c r="A40" t="s">
        <v>5376</v>
      </c>
      <c r="B40">
        <f t="shared" si="0"/>
        <v>200010</v>
      </c>
      <c r="C40" t="s">
        <v>13</v>
      </c>
      <c r="D40" t="s">
        <v>6516</v>
      </c>
      <c r="E40" t="s">
        <v>4486</v>
      </c>
      <c r="F40" s="2" t="s">
        <v>6512</v>
      </c>
      <c r="G40" t="s">
        <v>76</v>
      </c>
      <c r="H40" s="3">
        <v>200018</v>
      </c>
      <c r="I40" t="str">
        <f>E40</f>
        <v>Invermere</v>
      </c>
      <c r="J40" t="str">
        <f>C40</f>
        <v>East Kootenay</v>
      </c>
    </row>
    <row r="41" spans="1:10" x14ac:dyDescent="0.3">
      <c r="A41" t="s">
        <v>5376</v>
      </c>
      <c r="B41">
        <f t="shared" si="0"/>
        <v>200011</v>
      </c>
      <c r="C41" t="s">
        <v>2932</v>
      </c>
      <c r="D41" t="s">
        <v>6530</v>
      </c>
      <c r="E41" t="s">
        <v>5359</v>
      </c>
      <c r="F41" s="2" t="s">
        <v>6512</v>
      </c>
      <c r="G41" t="s">
        <v>76</v>
      </c>
      <c r="H41" s="3">
        <v>200056</v>
      </c>
      <c r="I41" t="str">
        <f>E41</f>
        <v>Revelstoke</v>
      </c>
      <c r="J41" t="str">
        <f>C41</f>
        <v>Selkirk</v>
      </c>
    </row>
    <row r="42" spans="1:10" x14ac:dyDescent="0.3">
      <c r="A42" t="s">
        <v>5376</v>
      </c>
      <c r="B42">
        <f t="shared" si="0"/>
        <v>200011</v>
      </c>
      <c r="C42" t="s">
        <v>2932</v>
      </c>
      <c r="D42" t="s">
        <v>6530</v>
      </c>
      <c r="E42" t="s">
        <v>5231</v>
      </c>
      <c r="F42" s="2" t="s">
        <v>6512</v>
      </c>
      <c r="G42" t="s">
        <v>76</v>
      </c>
      <c r="H42" s="3">
        <v>200057</v>
      </c>
      <c r="I42" t="str">
        <f>E42</f>
        <v>Golden</v>
      </c>
      <c r="J42" t="str">
        <f>C42</f>
        <v>Selkirk</v>
      </c>
    </row>
    <row r="43" spans="1:10" x14ac:dyDescent="0.3">
      <c r="A43" t="s">
        <v>5376</v>
      </c>
      <c r="B43">
        <f t="shared" si="0"/>
        <v>200012</v>
      </c>
      <c r="C43" t="s">
        <v>2933</v>
      </c>
      <c r="D43" t="s">
        <v>6528</v>
      </c>
      <c r="E43" t="s">
        <v>6478</v>
      </c>
      <c r="F43" s="2" t="s">
        <v>6512</v>
      </c>
      <c r="G43" t="s">
        <v>76</v>
      </c>
      <c r="H43" s="3">
        <v>200046</v>
      </c>
      <c r="I43" t="str">
        <f>E43</f>
        <v>Chase/Celista</v>
      </c>
      <c r="J43" t="str">
        <f>C43</f>
        <v>Okanagan - Shuswap</v>
      </c>
    </row>
    <row r="44" spans="1:10" x14ac:dyDescent="0.3">
      <c r="A44" t="s">
        <v>5376</v>
      </c>
      <c r="B44">
        <f t="shared" si="0"/>
        <v>200012</v>
      </c>
      <c r="C44" t="s">
        <v>2933</v>
      </c>
      <c r="D44" t="s">
        <v>6528</v>
      </c>
      <c r="E44" t="s">
        <v>5348</v>
      </c>
      <c r="F44" s="2" t="s">
        <v>6512</v>
      </c>
      <c r="G44" t="s">
        <v>76</v>
      </c>
      <c r="H44" s="3">
        <v>200047</v>
      </c>
      <c r="I44" t="str">
        <f>E44</f>
        <v>Enderby</v>
      </c>
      <c r="J44" t="str">
        <f>C44</f>
        <v>Okanagan - Shuswap</v>
      </c>
    </row>
    <row r="45" spans="1:10" x14ac:dyDescent="0.3">
      <c r="A45" t="s">
        <v>5376</v>
      </c>
      <c r="B45">
        <f t="shared" si="0"/>
        <v>200012</v>
      </c>
      <c r="C45" t="s">
        <v>2933</v>
      </c>
      <c r="D45" t="s">
        <v>6528</v>
      </c>
      <c r="E45" t="s">
        <v>5349</v>
      </c>
      <c r="F45" s="2" t="s">
        <v>6512</v>
      </c>
      <c r="G45" t="s">
        <v>76</v>
      </c>
      <c r="H45" s="3">
        <v>200048</v>
      </c>
      <c r="I45" t="str">
        <f>E45</f>
        <v>Falkland</v>
      </c>
      <c r="J45" t="str">
        <f>C45</f>
        <v>Okanagan - Shuswap</v>
      </c>
    </row>
    <row r="46" spans="1:10" x14ac:dyDescent="0.3">
      <c r="A46" t="s">
        <v>5376</v>
      </c>
      <c r="B46">
        <f t="shared" si="0"/>
        <v>200012</v>
      </c>
      <c r="C46" t="s">
        <v>2933</v>
      </c>
      <c r="D46" t="s">
        <v>6528</v>
      </c>
      <c r="E46" t="s">
        <v>6479</v>
      </c>
      <c r="F46" s="2" t="s">
        <v>6512</v>
      </c>
      <c r="G46" t="s">
        <v>76</v>
      </c>
      <c r="H46" s="3">
        <v>200049</v>
      </c>
      <c r="I46" t="str">
        <f>E46</f>
        <v>Lumby/Cherryville</v>
      </c>
      <c r="J46" t="str">
        <f>C46</f>
        <v>Okanagan - Shuswap</v>
      </c>
    </row>
    <row r="47" spans="1:10" x14ac:dyDescent="0.3">
      <c r="A47" t="s">
        <v>5376</v>
      </c>
      <c r="B47">
        <f t="shared" si="0"/>
        <v>200012</v>
      </c>
      <c r="C47" t="s">
        <v>2933</v>
      </c>
      <c r="D47" t="s">
        <v>6528</v>
      </c>
      <c r="E47" t="s">
        <v>24</v>
      </c>
      <c r="F47" s="2" t="s">
        <v>6512</v>
      </c>
      <c r="G47" t="s">
        <v>76</v>
      </c>
      <c r="H47" s="3">
        <v>200050</v>
      </c>
      <c r="I47" t="str">
        <f>E47</f>
        <v>Salmon Arm</v>
      </c>
      <c r="J47" t="str">
        <f>C47</f>
        <v>Okanagan - Shuswap</v>
      </c>
    </row>
    <row r="48" spans="1:10" x14ac:dyDescent="0.3">
      <c r="A48" t="s">
        <v>5376</v>
      </c>
      <c r="B48">
        <f t="shared" si="0"/>
        <v>200012</v>
      </c>
      <c r="C48" t="s">
        <v>2933</v>
      </c>
      <c r="D48" t="s">
        <v>6528</v>
      </c>
      <c r="E48" t="s">
        <v>4332</v>
      </c>
      <c r="F48" s="2" t="s">
        <v>6512</v>
      </c>
      <c r="G48" t="s">
        <v>76</v>
      </c>
      <c r="H48" s="3">
        <v>200051</v>
      </c>
      <c r="I48" t="str">
        <f>E48</f>
        <v>Sicamous</v>
      </c>
      <c r="J48" t="str">
        <f>C48</f>
        <v>Okanagan - Shuswap</v>
      </c>
    </row>
    <row r="49" spans="1:10" x14ac:dyDescent="0.3">
      <c r="A49" t="s">
        <v>5376</v>
      </c>
      <c r="B49">
        <f t="shared" si="0"/>
        <v>200012</v>
      </c>
      <c r="C49" t="s">
        <v>2933</v>
      </c>
      <c r="D49" t="s">
        <v>6528</v>
      </c>
      <c r="E49" t="s">
        <v>48</v>
      </c>
      <c r="F49" s="2" t="s">
        <v>6512</v>
      </c>
      <c r="G49" t="s">
        <v>76</v>
      </c>
      <c r="H49" s="3">
        <v>200052</v>
      </c>
      <c r="I49" t="str">
        <f>E49</f>
        <v>Vernon</v>
      </c>
      <c r="J49" t="str">
        <f>C49</f>
        <v>Okanagan - Shuswap</v>
      </c>
    </row>
    <row r="50" spans="1:10" x14ac:dyDescent="0.3">
      <c r="A50" t="s">
        <v>5376</v>
      </c>
      <c r="B50">
        <f t="shared" si="0"/>
        <v>200013</v>
      </c>
      <c r="C50" t="s">
        <v>2934</v>
      </c>
      <c r="D50" t="s">
        <v>6523</v>
      </c>
      <c r="E50" t="s">
        <v>5355</v>
      </c>
      <c r="F50" s="2" t="s">
        <v>6512</v>
      </c>
      <c r="G50" t="s">
        <v>76</v>
      </c>
      <c r="H50" s="3">
        <v>200034</v>
      </c>
      <c r="I50" t="str">
        <f>E50</f>
        <v>Merritt</v>
      </c>
      <c r="J50" t="str">
        <f>C50</f>
        <v>Nicola</v>
      </c>
    </row>
    <row r="51" spans="1:10" x14ac:dyDescent="0.3">
      <c r="A51" t="s">
        <v>5376</v>
      </c>
      <c r="B51">
        <f t="shared" si="0"/>
        <v>200014</v>
      </c>
      <c r="C51" t="s">
        <v>2935</v>
      </c>
      <c r="D51" t="s">
        <v>6538</v>
      </c>
      <c r="E51" t="s">
        <v>5341</v>
      </c>
      <c r="F51" s="2" t="s">
        <v>6512</v>
      </c>
      <c r="G51" t="s">
        <v>76</v>
      </c>
      <c r="H51" s="3">
        <v>200082</v>
      </c>
      <c r="I51" t="str">
        <f>E51</f>
        <v>Barriere</v>
      </c>
      <c r="J51" t="str">
        <f>C51</f>
        <v>Thompson</v>
      </c>
    </row>
    <row r="52" spans="1:10" x14ac:dyDescent="0.3">
      <c r="A52" t="s">
        <v>5376</v>
      </c>
      <c r="B52">
        <f t="shared" si="0"/>
        <v>200014</v>
      </c>
      <c r="C52" t="s">
        <v>2935</v>
      </c>
      <c r="D52" t="s">
        <v>6538</v>
      </c>
      <c r="E52" t="s">
        <v>3689</v>
      </c>
      <c r="F52" s="2" t="s">
        <v>6512</v>
      </c>
      <c r="G52" t="s">
        <v>76</v>
      </c>
      <c r="H52" s="3">
        <v>200083</v>
      </c>
      <c r="I52" t="str">
        <f>E52</f>
        <v>Clearwater</v>
      </c>
      <c r="J52" t="str">
        <f>C52</f>
        <v>Thompson</v>
      </c>
    </row>
    <row r="53" spans="1:10" x14ac:dyDescent="0.3">
      <c r="A53" t="s">
        <v>5376</v>
      </c>
      <c r="B53">
        <f t="shared" si="0"/>
        <v>200014</v>
      </c>
      <c r="C53" t="s">
        <v>2935</v>
      </c>
      <c r="D53" t="s">
        <v>6538</v>
      </c>
      <c r="E53" t="s">
        <v>6493</v>
      </c>
      <c r="F53" s="2" t="s">
        <v>6512</v>
      </c>
      <c r="G53" t="s">
        <v>76</v>
      </c>
      <c r="H53" s="3">
        <v>200084</v>
      </c>
      <c r="I53" t="str">
        <f>E53</f>
        <v>Kamloops &amp; Savona</v>
      </c>
      <c r="J53" t="str">
        <f>C53</f>
        <v>Thompson</v>
      </c>
    </row>
    <row r="54" spans="1:10" x14ac:dyDescent="0.3">
      <c r="A54" t="s">
        <v>5376</v>
      </c>
      <c r="B54">
        <f t="shared" si="0"/>
        <v>200015</v>
      </c>
      <c r="C54" t="s">
        <v>2936</v>
      </c>
      <c r="D54" t="s">
        <v>6532</v>
      </c>
      <c r="E54" t="s">
        <v>6483</v>
      </c>
      <c r="F54" s="2" t="s">
        <v>6512</v>
      </c>
      <c r="G54" t="s">
        <v>76</v>
      </c>
      <c r="H54" s="3">
        <v>200060</v>
      </c>
      <c r="I54" t="str">
        <f>E54</f>
        <v>100 Mile-Clinton</v>
      </c>
      <c r="J54" t="str">
        <f>C54</f>
        <v>South Cariboo</v>
      </c>
    </row>
    <row r="55" spans="1:10" x14ac:dyDescent="0.3">
      <c r="A55" t="s">
        <v>5376</v>
      </c>
      <c r="B55">
        <f t="shared" si="0"/>
        <v>200015</v>
      </c>
      <c r="C55" t="s">
        <v>2936</v>
      </c>
      <c r="D55" t="s">
        <v>6532</v>
      </c>
      <c r="E55" t="s">
        <v>6484</v>
      </c>
      <c r="F55" s="2" t="s">
        <v>6512</v>
      </c>
      <c r="G55" t="s">
        <v>76</v>
      </c>
      <c r="H55" s="3">
        <v>200061</v>
      </c>
      <c r="I55" t="str">
        <f>E55</f>
        <v>Lillooet-Goldbridge</v>
      </c>
      <c r="J55" t="str">
        <f>C55</f>
        <v>South Cariboo</v>
      </c>
    </row>
    <row r="56" spans="1:10" x14ac:dyDescent="0.3">
      <c r="A56" t="s">
        <v>5376</v>
      </c>
      <c r="B56">
        <f t="shared" si="0"/>
        <v>200015</v>
      </c>
      <c r="C56" t="s">
        <v>2936</v>
      </c>
      <c r="D56" t="s">
        <v>6532</v>
      </c>
      <c r="E56" t="s">
        <v>6485</v>
      </c>
      <c r="F56" s="2" t="s">
        <v>6512</v>
      </c>
      <c r="G56" t="s">
        <v>76</v>
      </c>
      <c r="H56" s="3">
        <v>200062</v>
      </c>
      <c r="I56" t="str">
        <f>E56</f>
        <v>20 Mile-Spences Bridge</v>
      </c>
      <c r="J56" t="str">
        <f>C56</f>
        <v>South Cariboo</v>
      </c>
    </row>
    <row r="57" spans="1:10" x14ac:dyDescent="0.3">
      <c r="A57" t="s">
        <v>5376</v>
      </c>
      <c r="B57">
        <f t="shared" si="0"/>
        <v>200015</v>
      </c>
      <c r="C57" t="s">
        <v>2936</v>
      </c>
      <c r="D57" t="s">
        <v>6532</v>
      </c>
      <c r="E57" t="s">
        <v>5342</v>
      </c>
      <c r="F57" s="2" t="s">
        <v>6512</v>
      </c>
      <c r="G57" t="s">
        <v>76</v>
      </c>
      <c r="H57" s="3">
        <v>200063</v>
      </c>
      <c r="I57" t="str">
        <f>E57</f>
        <v>Bridge Lake</v>
      </c>
      <c r="J57" t="str">
        <f>C57</f>
        <v>South Cariboo</v>
      </c>
    </row>
    <row r="58" spans="1:10" x14ac:dyDescent="0.3">
      <c r="A58" t="s">
        <v>5376</v>
      </c>
      <c r="B58">
        <f t="shared" si="0"/>
        <v>200016</v>
      </c>
      <c r="C58" t="s">
        <v>2937</v>
      </c>
      <c r="D58" t="s">
        <v>6513</v>
      </c>
      <c r="E58" t="s">
        <v>2955</v>
      </c>
      <c r="F58" s="2" t="s">
        <v>6512</v>
      </c>
      <c r="G58" t="s">
        <v>76</v>
      </c>
      <c r="H58" s="3">
        <v>200003</v>
      </c>
      <c r="I58" t="str">
        <f>E58</f>
        <v>Cariboo</v>
      </c>
      <c r="J58" t="str">
        <f>C58</f>
        <v>Central Cariboo</v>
      </c>
    </row>
    <row r="59" spans="1:10" x14ac:dyDescent="0.3">
      <c r="A59" t="s">
        <v>5376</v>
      </c>
      <c r="B59">
        <f t="shared" si="0"/>
        <v>200016</v>
      </c>
      <c r="C59" t="s">
        <v>2937</v>
      </c>
      <c r="D59" t="s">
        <v>6513</v>
      </c>
      <c r="E59" t="s">
        <v>6457</v>
      </c>
      <c r="F59" s="2" t="s">
        <v>6512</v>
      </c>
      <c r="G59" t="s">
        <v>76</v>
      </c>
      <c r="H59" s="3">
        <v>200004</v>
      </c>
      <c r="I59" t="str">
        <f>E59</f>
        <v>Chilcotin</v>
      </c>
      <c r="J59" t="str">
        <f>C59</f>
        <v>Central Cariboo</v>
      </c>
    </row>
    <row r="60" spans="1:10" x14ac:dyDescent="0.3">
      <c r="A60" t="s">
        <v>5376</v>
      </c>
      <c r="B60">
        <f t="shared" si="0"/>
        <v>200017</v>
      </c>
      <c r="C60" t="s">
        <v>2938</v>
      </c>
      <c r="D60" t="s">
        <v>6524</v>
      </c>
      <c r="E60" t="s">
        <v>6476</v>
      </c>
      <c r="F60" s="2" t="s">
        <v>6512</v>
      </c>
      <c r="G60" t="s">
        <v>76</v>
      </c>
      <c r="H60" s="3">
        <v>200035</v>
      </c>
      <c r="I60" t="str">
        <f>E60</f>
        <v>North Cariboo District</v>
      </c>
      <c r="J60" t="str">
        <f>C60</f>
        <v>North Cariboo</v>
      </c>
    </row>
    <row r="61" spans="1:10" x14ac:dyDescent="0.3">
      <c r="A61" t="s">
        <v>5376</v>
      </c>
      <c r="B61">
        <f t="shared" si="0"/>
        <v>200018</v>
      </c>
      <c r="C61" t="s">
        <v>2939</v>
      </c>
      <c r="D61" t="s">
        <v>6517</v>
      </c>
      <c r="E61" t="s">
        <v>15</v>
      </c>
      <c r="F61" s="2" t="s">
        <v>6512</v>
      </c>
      <c r="G61" t="s">
        <v>76</v>
      </c>
      <c r="H61" s="3">
        <v>200019</v>
      </c>
      <c r="I61" t="str">
        <f>E61</f>
        <v>Prince George</v>
      </c>
      <c r="J61" t="str">
        <f>C61</f>
        <v>Fort George</v>
      </c>
    </row>
    <row r="62" spans="1:10" x14ac:dyDescent="0.3">
      <c r="A62" t="s">
        <v>5376</v>
      </c>
      <c r="B62">
        <f t="shared" si="0"/>
        <v>200019</v>
      </c>
      <c r="C62" t="s">
        <v>2940</v>
      </c>
      <c r="D62" t="s">
        <v>6529</v>
      </c>
      <c r="E62" t="s">
        <v>6480</v>
      </c>
      <c r="F62" s="2" t="s">
        <v>6512</v>
      </c>
      <c r="G62" t="s">
        <v>76</v>
      </c>
      <c r="H62" s="3">
        <v>200053</v>
      </c>
      <c r="I62" t="str">
        <f>E62</f>
        <v>Crescent Spur To Horsey Creek</v>
      </c>
      <c r="J62" t="str">
        <f>C62</f>
        <v>Robson</v>
      </c>
    </row>
    <row r="63" spans="1:10" x14ac:dyDescent="0.3">
      <c r="A63" t="s">
        <v>5376</v>
      </c>
      <c r="B63">
        <f t="shared" si="0"/>
        <v>200019</v>
      </c>
      <c r="C63" t="s">
        <v>2940</v>
      </c>
      <c r="D63" t="s">
        <v>6529</v>
      </c>
      <c r="E63" t="s">
        <v>6481</v>
      </c>
      <c r="F63" s="2" t="s">
        <v>6512</v>
      </c>
      <c r="G63" t="s">
        <v>76</v>
      </c>
      <c r="H63" s="3">
        <v>200054</v>
      </c>
      <c r="I63" t="str">
        <f>E63</f>
        <v>Horsey Ck-Border S To Albreda</v>
      </c>
      <c r="J63" t="str">
        <f>C63</f>
        <v>Robson</v>
      </c>
    </row>
    <row r="64" spans="1:10" x14ac:dyDescent="0.3">
      <c r="A64" t="s">
        <v>5376</v>
      </c>
      <c r="B64">
        <f t="shared" si="0"/>
        <v>200019</v>
      </c>
      <c r="C64" t="s">
        <v>2940</v>
      </c>
      <c r="D64" t="s">
        <v>6529</v>
      </c>
      <c r="E64" t="s">
        <v>6482</v>
      </c>
      <c r="F64" s="2" t="s">
        <v>6512</v>
      </c>
      <c r="G64" t="s">
        <v>76</v>
      </c>
      <c r="H64" s="3">
        <v>200055</v>
      </c>
      <c r="I64" t="str">
        <f>E64</f>
        <v>Albreda To Mcmurphy</v>
      </c>
      <c r="J64" t="str">
        <f>C64</f>
        <v>Robson</v>
      </c>
    </row>
    <row r="65" spans="1:10" x14ac:dyDescent="0.3">
      <c r="A65" t="s">
        <v>5376</v>
      </c>
      <c r="B65">
        <f t="shared" si="0"/>
        <v>200020</v>
      </c>
      <c r="C65" t="s">
        <v>2941</v>
      </c>
      <c r="D65" t="s">
        <v>6535</v>
      </c>
      <c r="E65" t="s">
        <v>5131</v>
      </c>
      <c r="F65" s="2" t="s">
        <v>6512</v>
      </c>
      <c r="G65" t="s">
        <v>76</v>
      </c>
      <c r="H65" s="3">
        <v>200074</v>
      </c>
      <c r="I65" t="str">
        <f>E65</f>
        <v>Chetwynd</v>
      </c>
      <c r="J65" t="str">
        <f>C65</f>
        <v>South Peace</v>
      </c>
    </row>
    <row r="66" spans="1:10" x14ac:dyDescent="0.3">
      <c r="A66" t="s">
        <v>5376</v>
      </c>
      <c r="B66">
        <f t="shared" si="0"/>
        <v>200020</v>
      </c>
      <c r="C66" t="s">
        <v>2941</v>
      </c>
      <c r="D66" t="s">
        <v>6535</v>
      </c>
      <c r="E66" t="s">
        <v>17</v>
      </c>
      <c r="F66" s="2" t="s">
        <v>6512</v>
      </c>
      <c r="G66" t="s">
        <v>76</v>
      </c>
      <c r="H66" s="3">
        <v>200075</v>
      </c>
      <c r="I66" t="str">
        <f>E66</f>
        <v>Dawson Creek</v>
      </c>
      <c r="J66" t="str">
        <f>C66</f>
        <v>South Peace</v>
      </c>
    </row>
    <row r="67" spans="1:10" x14ac:dyDescent="0.3">
      <c r="A67" t="s">
        <v>5376</v>
      </c>
      <c r="B67">
        <f t="shared" ref="B67:B88" si="1">_xlfn.NUMBERVALUE(MID(D67,13,6))</f>
        <v>200020</v>
      </c>
      <c r="C67" t="s">
        <v>2941</v>
      </c>
      <c r="D67" t="s">
        <v>6535</v>
      </c>
      <c r="E67" t="s">
        <v>5361</v>
      </c>
      <c r="F67" s="2" t="s">
        <v>6512</v>
      </c>
      <c r="G67" t="s">
        <v>76</v>
      </c>
      <c r="H67" s="3">
        <v>200076</v>
      </c>
      <c r="I67" t="str">
        <f>E67</f>
        <v>Tumbler Ridge</v>
      </c>
      <c r="J67" t="str">
        <f>C67</f>
        <v>South Peace</v>
      </c>
    </row>
    <row r="68" spans="1:10" x14ac:dyDescent="0.3">
      <c r="A68" t="s">
        <v>5376</v>
      </c>
      <c r="B68">
        <f t="shared" si="1"/>
        <v>200021</v>
      </c>
      <c r="C68" t="s">
        <v>2942</v>
      </c>
      <c r="D68" t="s">
        <v>6527</v>
      </c>
      <c r="E68" t="s">
        <v>5344</v>
      </c>
      <c r="F68" s="2" t="s">
        <v>6512</v>
      </c>
      <c r="G68" t="s">
        <v>76</v>
      </c>
      <c r="H68" s="3">
        <v>200042</v>
      </c>
      <c r="I68" t="str">
        <f>E68</f>
        <v>Clayhurst</v>
      </c>
      <c r="J68" t="str">
        <f>C68</f>
        <v>North Peace</v>
      </c>
    </row>
    <row r="69" spans="1:10" x14ac:dyDescent="0.3">
      <c r="A69" t="s">
        <v>5376</v>
      </c>
      <c r="B69">
        <f t="shared" si="1"/>
        <v>200021</v>
      </c>
      <c r="C69" t="s">
        <v>2942</v>
      </c>
      <c r="D69" t="s">
        <v>6527</v>
      </c>
      <c r="E69" t="s">
        <v>5350</v>
      </c>
      <c r="F69" s="2" t="s">
        <v>6512</v>
      </c>
      <c r="G69" t="s">
        <v>76</v>
      </c>
      <c r="H69" s="3">
        <v>200043</v>
      </c>
      <c r="I69" t="str">
        <f>E69</f>
        <v>Fort St. John</v>
      </c>
      <c r="J69" t="str">
        <f>C69</f>
        <v>North Peace</v>
      </c>
    </row>
    <row r="70" spans="1:10" x14ac:dyDescent="0.3">
      <c r="A70" t="s">
        <v>5376</v>
      </c>
      <c r="B70">
        <f t="shared" si="1"/>
        <v>200021</v>
      </c>
      <c r="C70" t="s">
        <v>2942</v>
      </c>
      <c r="D70" t="s">
        <v>6527</v>
      </c>
      <c r="E70" t="s">
        <v>3923</v>
      </c>
      <c r="F70" s="2" t="s">
        <v>6512</v>
      </c>
      <c r="G70" t="s">
        <v>76</v>
      </c>
      <c r="H70" s="3">
        <v>200044</v>
      </c>
      <c r="I70" t="str">
        <f>E70</f>
        <v>Fort Nelson</v>
      </c>
      <c r="J70" t="str">
        <f>C70</f>
        <v>North Peace</v>
      </c>
    </row>
    <row r="71" spans="1:10" x14ac:dyDescent="0.3">
      <c r="A71" t="s">
        <v>5376</v>
      </c>
      <c r="B71">
        <f t="shared" si="1"/>
        <v>200021</v>
      </c>
      <c r="C71" t="s">
        <v>2942</v>
      </c>
      <c r="D71" t="s">
        <v>6527</v>
      </c>
      <c r="E71" t="s">
        <v>5357</v>
      </c>
      <c r="F71" s="2" t="s">
        <v>6512</v>
      </c>
      <c r="G71" t="s">
        <v>76</v>
      </c>
      <c r="H71" s="3">
        <v>200045</v>
      </c>
      <c r="I71" t="str">
        <f>E71</f>
        <v>Prespatou</v>
      </c>
      <c r="J71" t="str">
        <f>C71</f>
        <v>North Peace</v>
      </c>
    </row>
    <row r="72" spans="1:10" x14ac:dyDescent="0.3">
      <c r="A72" t="s">
        <v>5376</v>
      </c>
      <c r="B72">
        <f t="shared" si="1"/>
        <v>200022</v>
      </c>
      <c r="C72" t="s">
        <v>2943</v>
      </c>
      <c r="D72" t="s">
        <v>6522</v>
      </c>
      <c r="E72" t="s">
        <v>49</v>
      </c>
      <c r="F72" s="2" t="s">
        <v>6512</v>
      </c>
      <c r="G72" t="s">
        <v>76</v>
      </c>
      <c r="H72" s="3">
        <v>200032</v>
      </c>
      <c r="I72" t="str">
        <f>E72</f>
        <v>Vanderhoof</v>
      </c>
      <c r="J72" t="str">
        <f>C72</f>
        <v>Nechako</v>
      </c>
    </row>
    <row r="73" spans="1:10" x14ac:dyDescent="0.3">
      <c r="A73" t="s">
        <v>5376</v>
      </c>
      <c r="B73">
        <f t="shared" si="1"/>
        <v>200022</v>
      </c>
      <c r="C73" t="s">
        <v>2943</v>
      </c>
      <c r="D73" t="s">
        <v>6522</v>
      </c>
      <c r="E73" t="s">
        <v>5757</v>
      </c>
      <c r="F73" s="2" t="s">
        <v>6512</v>
      </c>
      <c r="G73" t="s">
        <v>76</v>
      </c>
      <c r="H73" s="3">
        <v>200033</v>
      </c>
      <c r="I73" t="str">
        <f>E73</f>
        <v>Fort St James</v>
      </c>
      <c r="J73" t="str">
        <f>C73</f>
        <v>Nechako</v>
      </c>
    </row>
    <row r="74" spans="1:10" x14ac:dyDescent="0.3">
      <c r="A74" t="s">
        <v>5376</v>
      </c>
      <c r="B74">
        <f t="shared" si="1"/>
        <v>200023</v>
      </c>
      <c r="C74" t="s">
        <v>2944</v>
      </c>
      <c r="D74" t="s">
        <v>6520</v>
      </c>
      <c r="E74" t="s">
        <v>4886</v>
      </c>
      <c r="F74" s="2" t="s">
        <v>6512</v>
      </c>
      <c r="G74" t="s">
        <v>76</v>
      </c>
      <c r="H74" s="3">
        <v>200027</v>
      </c>
      <c r="I74" t="str">
        <f>E74</f>
        <v>Burns Lake</v>
      </c>
      <c r="J74" t="str">
        <f>C74</f>
        <v>Lakes</v>
      </c>
    </row>
    <row r="75" spans="1:10" x14ac:dyDescent="0.3">
      <c r="A75" t="s">
        <v>5376</v>
      </c>
      <c r="B75">
        <f t="shared" si="1"/>
        <v>200023</v>
      </c>
      <c r="C75" t="s">
        <v>2944</v>
      </c>
      <c r="D75" t="s">
        <v>6520</v>
      </c>
      <c r="E75" t="s">
        <v>4422</v>
      </c>
      <c r="F75" s="2" t="s">
        <v>6512</v>
      </c>
      <c r="G75" t="s">
        <v>76</v>
      </c>
      <c r="H75" s="3">
        <v>200028</v>
      </c>
      <c r="I75" t="str">
        <f>E75</f>
        <v>Houston</v>
      </c>
      <c r="J75" t="str">
        <f>C75</f>
        <v>Lakes</v>
      </c>
    </row>
    <row r="76" spans="1:10" x14ac:dyDescent="0.3">
      <c r="A76" t="s">
        <v>5376</v>
      </c>
      <c r="B76">
        <f t="shared" si="1"/>
        <v>200024</v>
      </c>
      <c r="C76" t="s">
        <v>2945</v>
      </c>
      <c r="D76" t="s">
        <v>6511</v>
      </c>
      <c r="E76" t="s">
        <v>6454</v>
      </c>
      <c r="F76" s="2" t="s">
        <v>6512</v>
      </c>
      <c r="G76" t="s">
        <v>76</v>
      </c>
      <c r="H76" s="3">
        <v>200000</v>
      </c>
      <c r="I76" t="str">
        <f>E76</f>
        <v>Smithers/Telkwa</v>
      </c>
      <c r="J76" t="str">
        <f>C76</f>
        <v>Bulkley - Nass</v>
      </c>
    </row>
    <row r="77" spans="1:10" x14ac:dyDescent="0.3">
      <c r="A77" t="s">
        <v>5376</v>
      </c>
      <c r="B77">
        <f t="shared" si="1"/>
        <v>200024</v>
      </c>
      <c r="C77" t="s">
        <v>2945</v>
      </c>
      <c r="D77" t="s">
        <v>6511</v>
      </c>
      <c r="E77" t="s">
        <v>6455</v>
      </c>
      <c r="F77" s="2" t="s">
        <v>6512</v>
      </c>
      <c r="G77" t="s">
        <v>76</v>
      </c>
      <c r="H77" s="3">
        <v>200001</v>
      </c>
      <c r="I77" t="str">
        <f>E77</f>
        <v>Hazelton/Kitwanga</v>
      </c>
      <c r="J77" t="str">
        <f>C77</f>
        <v>Bulkley - Nass</v>
      </c>
    </row>
    <row r="78" spans="1:10" x14ac:dyDescent="0.3">
      <c r="A78" t="s">
        <v>5376</v>
      </c>
      <c r="B78">
        <f t="shared" si="1"/>
        <v>200024</v>
      </c>
      <c r="C78" t="s">
        <v>2945</v>
      </c>
      <c r="D78" t="s">
        <v>6511</v>
      </c>
      <c r="E78" t="s">
        <v>6456</v>
      </c>
      <c r="F78" s="2" t="s">
        <v>6512</v>
      </c>
      <c r="G78" t="s">
        <v>76</v>
      </c>
      <c r="H78" s="3">
        <v>200002</v>
      </c>
      <c r="I78" t="str">
        <f>E78</f>
        <v>Stewart/Meziadin</v>
      </c>
      <c r="J78" t="str">
        <f>C78</f>
        <v>Bulkley - Nass</v>
      </c>
    </row>
    <row r="79" spans="1:10" x14ac:dyDescent="0.3">
      <c r="A79" t="s">
        <v>5376</v>
      </c>
      <c r="B79">
        <f t="shared" si="1"/>
        <v>200025</v>
      </c>
      <c r="C79" t="s">
        <v>2946</v>
      </c>
      <c r="D79" t="s">
        <v>6531</v>
      </c>
      <c r="E79" t="s">
        <v>5353</v>
      </c>
      <c r="F79" s="2" t="s">
        <v>6512</v>
      </c>
      <c r="G79" t="s">
        <v>76</v>
      </c>
      <c r="H79" s="3">
        <v>200058</v>
      </c>
      <c r="I79" t="str">
        <f>E79</f>
        <v>Kitimat</v>
      </c>
      <c r="J79" t="str">
        <f>C79</f>
        <v>Skeena</v>
      </c>
    </row>
    <row r="80" spans="1:10" x14ac:dyDescent="0.3">
      <c r="A80" t="s">
        <v>5376</v>
      </c>
      <c r="B80">
        <f t="shared" si="1"/>
        <v>200025</v>
      </c>
      <c r="C80" t="s">
        <v>2946</v>
      </c>
      <c r="D80" t="s">
        <v>6531</v>
      </c>
      <c r="E80" t="s">
        <v>4251</v>
      </c>
      <c r="F80" s="2" t="s">
        <v>6512</v>
      </c>
      <c r="G80" t="s">
        <v>76</v>
      </c>
      <c r="H80" s="3">
        <v>200059</v>
      </c>
      <c r="I80" t="str">
        <f>E80</f>
        <v>Terrace</v>
      </c>
      <c r="J80" t="str">
        <f>C80</f>
        <v>Skeena</v>
      </c>
    </row>
    <row r="81" spans="1:10" x14ac:dyDescent="0.3">
      <c r="A81" t="s">
        <v>5376</v>
      </c>
      <c r="B81">
        <f t="shared" si="1"/>
        <v>200026</v>
      </c>
      <c r="C81" t="s">
        <v>2947</v>
      </c>
      <c r="D81" t="s">
        <v>6525</v>
      </c>
      <c r="E81" t="s">
        <v>5358</v>
      </c>
      <c r="F81" s="2" t="s">
        <v>6512</v>
      </c>
      <c r="G81" t="s">
        <v>76</v>
      </c>
      <c r="H81" s="3">
        <v>200036</v>
      </c>
      <c r="I81" t="str">
        <f>E81</f>
        <v>Prince Rupert</v>
      </c>
      <c r="J81" t="str">
        <f>C81</f>
        <v>North Coast</v>
      </c>
    </row>
    <row r="82" spans="1:10" x14ac:dyDescent="0.3">
      <c r="A82" t="s">
        <v>5376</v>
      </c>
      <c r="B82">
        <f t="shared" si="1"/>
        <v>200026</v>
      </c>
      <c r="C82" t="s">
        <v>2947</v>
      </c>
      <c r="D82" t="s">
        <v>6525</v>
      </c>
      <c r="E82" t="s">
        <v>6477</v>
      </c>
      <c r="F82" s="2" t="s">
        <v>6512</v>
      </c>
      <c r="G82" t="s">
        <v>76</v>
      </c>
      <c r="H82" s="3">
        <v>200037</v>
      </c>
      <c r="I82" t="str">
        <f>E82</f>
        <v>Queen Charlotte Islands</v>
      </c>
      <c r="J82" t="str">
        <f>C82</f>
        <v>North Coast</v>
      </c>
    </row>
    <row r="83" spans="1:10" x14ac:dyDescent="0.3">
      <c r="A83" t="s">
        <v>5376</v>
      </c>
      <c r="B83">
        <f t="shared" si="1"/>
        <v>200027</v>
      </c>
      <c r="C83" t="s">
        <v>2948</v>
      </c>
      <c r="D83" t="s">
        <v>6536</v>
      </c>
      <c r="E83" t="s">
        <v>3705</v>
      </c>
      <c r="F83" s="2" t="s">
        <v>6512</v>
      </c>
      <c r="G83" t="s">
        <v>76</v>
      </c>
      <c r="H83" s="3">
        <v>200077</v>
      </c>
      <c r="I83" t="str">
        <f>E83</f>
        <v>Atlin</v>
      </c>
      <c r="J83" t="str">
        <f>C83</f>
        <v>Stikine</v>
      </c>
    </row>
    <row r="84" spans="1:10" x14ac:dyDescent="0.3">
      <c r="A84" t="s">
        <v>5376</v>
      </c>
      <c r="B84">
        <f t="shared" si="1"/>
        <v>200027</v>
      </c>
      <c r="C84" t="s">
        <v>2948</v>
      </c>
      <c r="D84" t="s">
        <v>6536</v>
      </c>
      <c r="E84" t="s">
        <v>6492</v>
      </c>
      <c r="F84" s="2" t="s">
        <v>6512</v>
      </c>
      <c r="G84" t="s">
        <v>76</v>
      </c>
      <c r="H84" s="3">
        <v>200078</v>
      </c>
      <c r="I84" t="str">
        <f>E84</f>
        <v>Iskut &amp; Bob Quinn</v>
      </c>
      <c r="J84" t="str">
        <f>C84</f>
        <v>Stikine</v>
      </c>
    </row>
    <row r="85" spans="1:10" x14ac:dyDescent="0.3">
      <c r="A85" t="s">
        <v>5376</v>
      </c>
      <c r="B85">
        <f t="shared" si="1"/>
        <v>200027</v>
      </c>
      <c r="C85" t="s">
        <v>2948</v>
      </c>
      <c r="D85" t="s">
        <v>6536</v>
      </c>
      <c r="E85" t="s">
        <v>5347</v>
      </c>
      <c r="F85" s="2" t="s">
        <v>6512</v>
      </c>
      <c r="G85" t="s">
        <v>76</v>
      </c>
      <c r="H85" s="3">
        <v>200079</v>
      </c>
      <c r="I85" t="str">
        <f>E85</f>
        <v>Dease Lake</v>
      </c>
      <c r="J85" t="str">
        <f>C85</f>
        <v>Stikine</v>
      </c>
    </row>
    <row r="86" spans="1:10" x14ac:dyDescent="0.3">
      <c r="A86" t="s">
        <v>5376</v>
      </c>
      <c r="B86">
        <f t="shared" si="1"/>
        <v>200027</v>
      </c>
      <c r="C86" t="s">
        <v>2948</v>
      </c>
      <c r="D86" t="s">
        <v>6536</v>
      </c>
      <c r="E86" t="s">
        <v>5360</v>
      </c>
      <c r="F86" s="2" t="s">
        <v>6512</v>
      </c>
      <c r="G86" t="s">
        <v>76</v>
      </c>
      <c r="H86" s="3">
        <v>200080</v>
      </c>
      <c r="I86" t="str">
        <f>E86</f>
        <v>Telegraph Creek</v>
      </c>
      <c r="J86" t="str">
        <f>C86</f>
        <v>Stikine</v>
      </c>
    </row>
    <row r="87" spans="1:10" x14ac:dyDescent="0.3">
      <c r="A87" t="s">
        <v>5376</v>
      </c>
      <c r="B87">
        <f t="shared" si="1"/>
        <v>200028</v>
      </c>
      <c r="C87" t="s">
        <v>2949</v>
      </c>
      <c r="D87" t="s">
        <v>6539</v>
      </c>
      <c r="E87" t="s">
        <v>2949</v>
      </c>
      <c r="F87" s="2" t="s">
        <v>6512</v>
      </c>
      <c r="G87" t="s">
        <v>76</v>
      </c>
      <c r="H87" s="3">
        <v>200085</v>
      </c>
      <c r="I87" t="str">
        <f>E87</f>
        <v>NON-BC</v>
      </c>
      <c r="J87" t="str">
        <f>C87</f>
        <v>NON-BC</v>
      </c>
    </row>
    <row r="88" spans="1:10" x14ac:dyDescent="0.3">
      <c r="A88" t="s">
        <v>5376</v>
      </c>
      <c r="B88">
        <f t="shared" si="1"/>
        <v>200029</v>
      </c>
      <c r="C88" t="s">
        <v>2950</v>
      </c>
      <c r="D88" t="s">
        <v>6540</v>
      </c>
      <c r="E88" t="s">
        <v>2950</v>
      </c>
      <c r="F88" s="2" t="s">
        <v>6512</v>
      </c>
      <c r="G88" t="s">
        <v>76</v>
      </c>
      <c r="H88" s="3">
        <v>200086</v>
      </c>
      <c r="I88" t="str">
        <f>E88</f>
        <v>Unknown</v>
      </c>
      <c r="J88" t="str">
        <f>C88</f>
        <v>Unknown</v>
      </c>
    </row>
  </sheetData>
  <sortState ref="A2:J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2017-03-21T22:17:02Z</dcterms:modified>
</cp:coreProperties>
</file>