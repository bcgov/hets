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activeTab="1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M3" i="27" l="1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M98" i="27"/>
  <c r="M99" i="27"/>
  <c r="M100" i="27"/>
  <c r="M101" i="27"/>
  <c r="M102" i="27"/>
  <c r="M103" i="27"/>
  <c r="M104" i="27"/>
  <c r="M105" i="27"/>
  <c r="M106" i="27"/>
  <c r="M107" i="27"/>
  <c r="M108" i="27"/>
  <c r="M109" i="27"/>
  <c r="M110" i="27"/>
  <c r="M111" i="27"/>
  <c r="M112" i="27"/>
  <c r="M113" i="27"/>
  <c r="M114" i="27"/>
  <c r="M115" i="27"/>
  <c r="M116" i="27"/>
  <c r="M117" i="27"/>
  <c r="M118" i="27"/>
  <c r="M119" i="27"/>
  <c r="M120" i="27"/>
  <c r="M121" i="27"/>
  <c r="M122" i="27"/>
  <c r="M123" i="27"/>
  <c r="M124" i="27"/>
  <c r="M125" i="27"/>
  <c r="M126" i="27"/>
  <c r="M127" i="27"/>
  <c r="M128" i="27"/>
  <c r="M129" i="27"/>
  <c r="M130" i="27"/>
  <c r="M131" i="27"/>
  <c r="M132" i="27"/>
  <c r="M133" i="27"/>
  <c r="M134" i="27"/>
  <c r="M135" i="27"/>
  <c r="M136" i="27"/>
  <c r="M137" i="27"/>
  <c r="M138" i="27"/>
  <c r="M139" i="27"/>
  <c r="M140" i="27"/>
  <c r="M141" i="27"/>
  <c r="M142" i="27"/>
  <c r="M143" i="27"/>
  <c r="M144" i="27"/>
  <c r="M145" i="27"/>
  <c r="M146" i="27"/>
  <c r="M147" i="27"/>
  <c r="M148" i="27"/>
  <c r="M149" i="27"/>
  <c r="M150" i="27"/>
  <c r="M151" i="27"/>
  <c r="M152" i="27"/>
  <c r="M153" i="27"/>
  <c r="M154" i="27"/>
  <c r="M155" i="27"/>
  <c r="M156" i="27"/>
  <c r="M157" i="27"/>
  <c r="M158" i="27"/>
  <c r="M159" i="27"/>
  <c r="M160" i="27"/>
  <c r="M161" i="27"/>
  <c r="M162" i="27"/>
  <c r="M163" i="27"/>
  <c r="M164" i="27"/>
  <c r="M165" i="27"/>
  <c r="M166" i="27"/>
  <c r="M167" i="27"/>
  <c r="M168" i="27"/>
  <c r="M169" i="27"/>
  <c r="M170" i="27"/>
  <c r="M171" i="27"/>
  <c r="M172" i="27"/>
  <c r="M173" i="27"/>
  <c r="M174" i="27"/>
  <c r="M175" i="27"/>
  <c r="M176" i="27"/>
  <c r="M177" i="27"/>
  <c r="M178" i="27"/>
  <c r="M179" i="27"/>
  <c r="M180" i="27"/>
  <c r="M181" i="27"/>
  <c r="M182" i="27"/>
  <c r="M183" i="27"/>
  <c r="M184" i="27"/>
  <c r="M185" i="27"/>
  <c r="M186" i="27"/>
  <c r="M187" i="27"/>
  <c r="M188" i="27"/>
  <c r="M189" i="27"/>
  <c r="M190" i="27"/>
  <c r="M191" i="27"/>
  <c r="M192" i="27"/>
  <c r="M193" i="27"/>
  <c r="M194" i="27"/>
  <c r="M195" i="27"/>
  <c r="M196" i="27"/>
  <c r="M197" i="27"/>
  <c r="M198" i="27"/>
  <c r="M199" i="27"/>
  <c r="M200" i="27"/>
  <c r="M201" i="27"/>
  <c r="M202" i="27"/>
  <c r="M203" i="27"/>
  <c r="M204" i="27"/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37" i="27"/>
  <c r="D45" i="27"/>
  <c r="D53" i="27"/>
  <c r="D61" i="27"/>
  <c r="D69" i="27"/>
  <c r="D77" i="27"/>
  <c r="D85" i="27"/>
  <c r="D93" i="27"/>
  <c r="D100" i="27"/>
  <c r="D107" i="27"/>
  <c r="D111" i="27"/>
  <c r="D115" i="27"/>
  <c r="D119" i="27"/>
  <c r="D123" i="27"/>
  <c r="D127" i="27"/>
  <c r="D38" i="27"/>
  <c r="D46" i="27"/>
  <c r="D54" i="27"/>
  <c r="D62" i="27"/>
  <c r="D70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9" i="27"/>
  <c r="AH47" i="27"/>
  <c r="AH55" i="27"/>
  <c r="AI55" i="27" s="1"/>
  <c r="AH63" i="27"/>
  <c r="AH71" i="27"/>
  <c r="AH79" i="27"/>
  <c r="AH87" i="27"/>
  <c r="AI87" i="27" s="1"/>
  <c r="AH95" i="27"/>
  <c r="AH102" i="27"/>
  <c r="AH32" i="27"/>
  <c r="AH40" i="27"/>
  <c r="AI40" i="27" s="1"/>
  <c r="AH48" i="27"/>
  <c r="AH56" i="27"/>
  <c r="AH64" i="27"/>
  <c r="AH72" i="27"/>
  <c r="AI72" i="27" s="1"/>
  <c r="AH80" i="27"/>
  <c r="AH88" i="27"/>
  <c r="AH96" i="27"/>
  <c r="AH103" i="27"/>
  <c r="AI103" i="27" s="1"/>
  <c r="AH33" i="27"/>
  <c r="AH41" i="27"/>
  <c r="AH49" i="27"/>
  <c r="AH57" i="27"/>
  <c r="AI57" i="27" s="1"/>
  <c r="AH65" i="27"/>
  <c r="AH73" i="27"/>
  <c r="AH81" i="27"/>
  <c r="AH89" i="27"/>
  <c r="AI89" i="27" s="1"/>
  <c r="AH97" i="27"/>
  <c r="AH104" i="27"/>
  <c r="AH34" i="27"/>
  <c r="AH42" i="27"/>
  <c r="AI42" i="27" s="1"/>
  <c r="AH50" i="27"/>
  <c r="AH58" i="27"/>
  <c r="AH66" i="27"/>
  <c r="AH74" i="27"/>
  <c r="AI74" i="27" s="1"/>
  <c r="AH82" i="27"/>
  <c r="AH90" i="27"/>
  <c r="AH35" i="27"/>
  <c r="AH43" i="27"/>
  <c r="AI43" i="27" s="1"/>
  <c r="AH51" i="27"/>
  <c r="AH59" i="27"/>
  <c r="AH67" i="27"/>
  <c r="AH75" i="27"/>
  <c r="AI75" i="27" s="1"/>
  <c r="AH83" i="27"/>
  <c r="AH91" i="27"/>
  <c r="AH98" i="27"/>
  <c r="AH105" i="27"/>
  <c r="AI105" i="27" s="1"/>
  <c r="AH109" i="27"/>
  <c r="AH113" i="27"/>
  <c r="AH117" i="27"/>
  <c r="AH121" i="27"/>
  <c r="AI121" i="27" s="1"/>
  <c r="AH125" i="27"/>
  <c r="AH129" i="27"/>
  <c r="AH131" i="27"/>
  <c r="AH133" i="27"/>
  <c r="AI133" i="27" s="1"/>
  <c r="AH135" i="27"/>
  <c r="AH137" i="27"/>
  <c r="AH36" i="27"/>
  <c r="AH44" i="27"/>
  <c r="AI44" i="27" s="1"/>
  <c r="AH52" i="27"/>
  <c r="AH60" i="27"/>
  <c r="AH68" i="27"/>
  <c r="AH76" i="27"/>
  <c r="AI76" i="27" s="1"/>
  <c r="AH84" i="27"/>
  <c r="AH92" i="27"/>
  <c r="AH99" i="27"/>
  <c r="AH106" i="27"/>
  <c r="AI106" i="27" s="1"/>
  <c r="AH110" i="27"/>
  <c r="AH114" i="27"/>
  <c r="AH118" i="27"/>
  <c r="AH122" i="27"/>
  <c r="AI122" i="27" s="1"/>
  <c r="AH126" i="27"/>
  <c r="AH130" i="27"/>
  <c r="AH132" i="27"/>
  <c r="AH134" i="27"/>
  <c r="AI134" i="27" s="1"/>
  <c r="AH136" i="27"/>
  <c r="AH138" i="27"/>
  <c r="AH37" i="27"/>
  <c r="AH45" i="27"/>
  <c r="AI45" i="27" s="1"/>
  <c r="AH53" i="27"/>
  <c r="AH61" i="27"/>
  <c r="AH69" i="27"/>
  <c r="AH77" i="27"/>
  <c r="AI77" i="27" s="1"/>
  <c r="AH85" i="27"/>
  <c r="AH93" i="27"/>
  <c r="AH100" i="27"/>
  <c r="AH107" i="27"/>
  <c r="AI107" i="27" s="1"/>
  <c r="AH111" i="27"/>
  <c r="AH115" i="27"/>
  <c r="AH119" i="27"/>
  <c r="AH123" i="27"/>
  <c r="AI123" i="27" s="1"/>
  <c r="AH127" i="27"/>
  <c r="AH38" i="27"/>
  <c r="AH46" i="27"/>
  <c r="AH54" i="27"/>
  <c r="AI54" i="27" s="1"/>
  <c r="AH62" i="27"/>
  <c r="AH70" i="27"/>
  <c r="AH78" i="27"/>
  <c r="AH86" i="27"/>
  <c r="AI86" i="27" s="1"/>
  <c r="AH94" i="27"/>
  <c r="AH101" i="27"/>
  <c r="AH108" i="27"/>
  <c r="AH112" i="27"/>
  <c r="AI112" i="27" s="1"/>
  <c r="AH116" i="27"/>
  <c r="AH120" i="27"/>
  <c r="AH124" i="27"/>
  <c r="AH128" i="27"/>
  <c r="AI128" i="27" s="1"/>
  <c r="AH139" i="27"/>
  <c r="AH143" i="27"/>
  <c r="AH147" i="27"/>
  <c r="AK147" i="27" s="1"/>
  <c r="AH151" i="27"/>
  <c r="AK151" i="27" s="1"/>
  <c r="AH155" i="27"/>
  <c r="AK155" i="27" s="1"/>
  <c r="AH159" i="27"/>
  <c r="AK159" i="27" s="1"/>
  <c r="AH163" i="27"/>
  <c r="AK163" i="27" s="1"/>
  <c r="AH166" i="27"/>
  <c r="AK166" i="27" s="1"/>
  <c r="AH169" i="27"/>
  <c r="AK169" i="27" s="1"/>
  <c r="AH172" i="27"/>
  <c r="AK172" i="27" s="1"/>
  <c r="AH175" i="27"/>
  <c r="AK175" i="27" s="1"/>
  <c r="AH178" i="27"/>
  <c r="AK178" i="27" s="1"/>
  <c r="AH181" i="27"/>
  <c r="AK181" i="27" s="1"/>
  <c r="AH184" i="27"/>
  <c r="AK184" i="27" s="1"/>
  <c r="AH187" i="27"/>
  <c r="AK187" i="27" s="1"/>
  <c r="AH190" i="27"/>
  <c r="AK190" i="27" s="1"/>
  <c r="AH193" i="27"/>
  <c r="AK193" i="27" s="1"/>
  <c r="AH196" i="27"/>
  <c r="AK196" i="27" s="1"/>
  <c r="AH199" i="27"/>
  <c r="AK199" i="27" s="1"/>
  <c r="AH202" i="27"/>
  <c r="AK202" i="27" s="1"/>
  <c r="AH140" i="27"/>
  <c r="AK140" i="27" s="1"/>
  <c r="AH144" i="27"/>
  <c r="AK144" i="27" s="1"/>
  <c r="AH148" i="27"/>
  <c r="AK148" i="27" s="1"/>
  <c r="AH152" i="27"/>
  <c r="AK152" i="27" s="1"/>
  <c r="AH156" i="27"/>
  <c r="AK156" i="27" s="1"/>
  <c r="AH160" i="27"/>
  <c r="AK160" i="27" s="1"/>
  <c r="AH141" i="27"/>
  <c r="AK141" i="27" s="1"/>
  <c r="AH145" i="27"/>
  <c r="AK145" i="27" s="1"/>
  <c r="AH149" i="27"/>
  <c r="AK149" i="27" s="1"/>
  <c r="AH153" i="27"/>
  <c r="AK153" i="27" s="1"/>
  <c r="AH157" i="27"/>
  <c r="AK157" i="27" s="1"/>
  <c r="AH161" i="27"/>
  <c r="AK161" i="27" s="1"/>
  <c r="AH164" i="27"/>
  <c r="AK164" i="27" s="1"/>
  <c r="AH167" i="27"/>
  <c r="AK167" i="27" s="1"/>
  <c r="AH170" i="27"/>
  <c r="AK170" i="27" s="1"/>
  <c r="AH173" i="27"/>
  <c r="AK173" i="27" s="1"/>
  <c r="AH176" i="27"/>
  <c r="AK176" i="27" s="1"/>
  <c r="AH179" i="27"/>
  <c r="AK179" i="27" s="1"/>
  <c r="AH182" i="27"/>
  <c r="AK182" i="27" s="1"/>
  <c r="AH185" i="27"/>
  <c r="AK185" i="27" s="1"/>
  <c r="AH188" i="27"/>
  <c r="AK188" i="27" s="1"/>
  <c r="AH191" i="27"/>
  <c r="AK191" i="27" s="1"/>
  <c r="AH194" i="27"/>
  <c r="AK194" i="27" s="1"/>
  <c r="AH197" i="27"/>
  <c r="AK197" i="27" s="1"/>
  <c r="AH200" i="27"/>
  <c r="AK200" i="27" s="1"/>
  <c r="AH203" i="27"/>
  <c r="AK203" i="27" s="1"/>
  <c r="AH142" i="27"/>
  <c r="AK142" i="27" s="1"/>
  <c r="AH146" i="27"/>
  <c r="AK146" i="27" s="1"/>
  <c r="AH150" i="27"/>
  <c r="AK150" i="27" s="1"/>
  <c r="AH154" i="27"/>
  <c r="AK154" i="27" s="1"/>
  <c r="AH158" i="27"/>
  <c r="AK158" i="27" s="1"/>
  <c r="AH162" i="27"/>
  <c r="AK162" i="27" s="1"/>
  <c r="AH165" i="27"/>
  <c r="AK165" i="27" s="1"/>
  <c r="AH168" i="27"/>
  <c r="AK168" i="27" s="1"/>
  <c r="AH171" i="27"/>
  <c r="AK171" i="27" s="1"/>
  <c r="AH174" i="27"/>
  <c r="AK174" i="27" s="1"/>
  <c r="AH177" i="27"/>
  <c r="AK177" i="27" s="1"/>
  <c r="AH180" i="27"/>
  <c r="AK180" i="27" s="1"/>
  <c r="AH183" i="27"/>
  <c r="AK183" i="27" s="1"/>
  <c r="AH186" i="27"/>
  <c r="AK186" i="27" s="1"/>
  <c r="AH189" i="27"/>
  <c r="AK189" i="27" s="1"/>
  <c r="AH192" i="27"/>
  <c r="AK192" i="27" s="1"/>
  <c r="AH195" i="27"/>
  <c r="AK195" i="27" s="1"/>
  <c r="AH198" i="27"/>
  <c r="AK198" i="27" s="1"/>
  <c r="AH201" i="27"/>
  <c r="AK201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9" i="27"/>
  <c r="V39" i="27" s="1"/>
  <c r="U47" i="27"/>
  <c r="V47" i="27" s="1"/>
  <c r="U55" i="27"/>
  <c r="V55" i="27" s="1"/>
  <c r="U63" i="27"/>
  <c r="V63" i="27" s="1"/>
  <c r="U71" i="27"/>
  <c r="V71" i="27" s="1"/>
  <c r="U79" i="27"/>
  <c r="V79" i="27" s="1"/>
  <c r="U87" i="27"/>
  <c r="V87" i="27" s="1"/>
  <c r="U95" i="27"/>
  <c r="V95" i="27" s="1"/>
  <c r="U102" i="27"/>
  <c r="V102" i="27" s="1"/>
  <c r="U32" i="27"/>
  <c r="V32" i="27" s="1"/>
  <c r="U40" i="27"/>
  <c r="V40" i="27" s="1"/>
  <c r="U48" i="27"/>
  <c r="V48" i="27" s="1"/>
  <c r="U56" i="27"/>
  <c r="V56" i="27" s="1"/>
  <c r="U64" i="27"/>
  <c r="V64" i="27" s="1"/>
  <c r="U72" i="27"/>
  <c r="V72" i="27" s="1"/>
  <c r="U80" i="27"/>
  <c r="V80" i="27" s="1"/>
  <c r="U88" i="27"/>
  <c r="V88" i="27" s="1"/>
  <c r="U96" i="27"/>
  <c r="V96" i="27" s="1"/>
  <c r="U103" i="27"/>
  <c r="V103" i="27" s="1"/>
  <c r="U33" i="27"/>
  <c r="V33" i="27" s="1"/>
  <c r="U41" i="27"/>
  <c r="V41" i="27" s="1"/>
  <c r="U49" i="27"/>
  <c r="V49" i="27" s="1"/>
  <c r="U57" i="27"/>
  <c r="V57" i="27" s="1"/>
  <c r="U65" i="27"/>
  <c r="V65" i="27" s="1"/>
  <c r="U73" i="27"/>
  <c r="V73" i="27" s="1"/>
  <c r="U81" i="27"/>
  <c r="V81" i="27" s="1"/>
  <c r="U89" i="27"/>
  <c r="V89" i="27" s="1"/>
  <c r="U97" i="27"/>
  <c r="V97" i="27" s="1"/>
  <c r="U104" i="27"/>
  <c r="V104" i="27" s="1"/>
  <c r="U34" i="27"/>
  <c r="V34" i="27" s="1"/>
  <c r="U42" i="27"/>
  <c r="V42" i="27" s="1"/>
  <c r="U50" i="27"/>
  <c r="V50" i="27" s="1"/>
  <c r="U58" i="27"/>
  <c r="V58" i="27" s="1"/>
  <c r="U66" i="27"/>
  <c r="V66" i="27" s="1"/>
  <c r="U74" i="27"/>
  <c r="V74" i="27" s="1"/>
  <c r="U82" i="27"/>
  <c r="V82" i="27" s="1"/>
  <c r="U90" i="27"/>
  <c r="V90" i="27" s="1"/>
  <c r="U35" i="27"/>
  <c r="V35" i="27" s="1"/>
  <c r="U43" i="27"/>
  <c r="V43" i="27" s="1"/>
  <c r="U51" i="27"/>
  <c r="V51" i="27" s="1"/>
  <c r="U59" i="27"/>
  <c r="V59" i="27" s="1"/>
  <c r="U67" i="27"/>
  <c r="V67" i="27" s="1"/>
  <c r="U75" i="27"/>
  <c r="V75" i="27" s="1"/>
  <c r="U83" i="27"/>
  <c r="V83" i="27" s="1"/>
  <c r="U91" i="27"/>
  <c r="V91" i="27" s="1"/>
  <c r="U98" i="27"/>
  <c r="V98" i="27" s="1"/>
  <c r="U105" i="27"/>
  <c r="V105" i="27" s="1"/>
  <c r="U109" i="27"/>
  <c r="V109" i="27" s="1"/>
  <c r="U113" i="27"/>
  <c r="V113" i="27" s="1"/>
  <c r="U117" i="27"/>
  <c r="V117" i="27" s="1"/>
  <c r="U121" i="27"/>
  <c r="V121" i="27" s="1"/>
  <c r="U125" i="27"/>
  <c r="V125" i="27" s="1"/>
  <c r="U129" i="27"/>
  <c r="V129" i="27" s="1"/>
  <c r="U131" i="27"/>
  <c r="V131" i="27" s="1"/>
  <c r="U133" i="27"/>
  <c r="V133" i="27" s="1"/>
  <c r="U135" i="27"/>
  <c r="V135" i="27" s="1"/>
  <c r="U137" i="27"/>
  <c r="V137" i="27" s="1"/>
  <c r="U36" i="27"/>
  <c r="V36" i="27" s="1"/>
  <c r="U44" i="27"/>
  <c r="V44" i="27" s="1"/>
  <c r="U52" i="27"/>
  <c r="V52" i="27" s="1"/>
  <c r="U60" i="27"/>
  <c r="V60" i="27" s="1"/>
  <c r="U68" i="27"/>
  <c r="V68" i="27" s="1"/>
  <c r="U76" i="27"/>
  <c r="V76" i="27" s="1"/>
  <c r="U84" i="27"/>
  <c r="V84" i="27" s="1"/>
  <c r="U92" i="27"/>
  <c r="V92" i="27" s="1"/>
  <c r="U99" i="27"/>
  <c r="V99" i="27" s="1"/>
  <c r="U106" i="27"/>
  <c r="V106" i="27" s="1"/>
  <c r="U110" i="27"/>
  <c r="V110" i="27" s="1"/>
  <c r="U114" i="27"/>
  <c r="V114" i="27" s="1"/>
  <c r="U118" i="27"/>
  <c r="V118" i="27" s="1"/>
  <c r="U122" i="27"/>
  <c r="V122" i="27" s="1"/>
  <c r="U126" i="27"/>
  <c r="V126" i="27" s="1"/>
  <c r="U130" i="27"/>
  <c r="V130" i="27" s="1"/>
  <c r="U132" i="27"/>
  <c r="V132" i="27" s="1"/>
  <c r="U134" i="27"/>
  <c r="V134" i="27" s="1"/>
  <c r="U136" i="27"/>
  <c r="V136" i="27" s="1"/>
  <c r="U138" i="27"/>
  <c r="V138" i="27" s="1"/>
  <c r="U37" i="27"/>
  <c r="V37" i="27" s="1"/>
  <c r="U45" i="27"/>
  <c r="V45" i="27" s="1"/>
  <c r="U53" i="27"/>
  <c r="V53" i="27" s="1"/>
  <c r="U61" i="27"/>
  <c r="V61" i="27" s="1"/>
  <c r="U69" i="27"/>
  <c r="V69" i="27" s="1"/>
  <c r="U77" i="27"/>
  <c r="V77" i="27" s="1"/>
  <c r="U85" i="27"/>
  <c r="V85" i="27" s="1"/>
  <c r="U93" i="27"/>
  <c r="V93" i="27" s="1"/>
  <c r="U100" i="27"/>
  <c r="V100" i="27" s="1"/>
  <c r="U107" i="27"/>
  <c r="V107" i="27" s="1"/>
  <c r="U111" i="27"/>
  <c r="V111" i="27" s="1"/>
  <c r="U115" i="27"/>
  <c r="V115" i="27" s="1"/>
  <c r="U119" i="27"/>
  <c r="V119" i="27" s="1"/>
  <c r="U123" i="27"/>
  <c r="V123" i="27" s="1"/>
  <c r="U127" i="27"/>
  <c r="V127" i="27" s="1"/>
  <c r="U38" i="27"/>
  <c r="V38" i="27" s="1"/>
  <c r="U46" i="27"/>
  <c r="V46" i="27" s="1"/>
  <c r="U54" i="27"/>
  <c r="V54" i="27" s="1"/>
  <c r="U62" i="27"/>
  <c r="V62" i="27" s="1"/>
  <c r="U70" i="27"/>
  <c r="V70" i="27" s="1"/>
  <c r="U78" i="27"/>
  <c r="V78" i="27" s="1"/>
  <c r="U86" i="27"/>
  <c r="V86" i="27" s="1"/>
  <c r="U94" i="27"/>
  <c r="V94" i="27" s="1"/>
  <c r="U101" i="27"/>
  <c r="V101" i="27" s="1"/>
  <c r="U108" i="27"/>
  <c r="V108" i="27" s="1"/>
  <c r="U112" i="27"/>
  <c r="V112" i="27" s="1"/>
  <c r="U116" i="27"/>
  <c r="V116" i="27" s="1"/>
  <c r="U120" i="27"/>
  <c r="V120" i="27" s="1"/>
  <c r="U124" i="27"/>
  <c r="V124" i="27" s="1"/>
  <c r="U128" i="27"/>
  <c r="V128" i="27" s="1"/>
  <c r="U139" i="27"/>
  <c r="V139" i="27" s="1"/>
  <c r="U143" i="27"/>
  <c r="V143" i="27" s="1"/>
  <c r="U147" i="27"/>
  <c r="V147" i="27" s="1"/>
  <c r="U151" i="27"/>
  <c r="V151" i="27" s="1"/>
  <c r="U155" i="27"/>
  <c r="V155" i="27" s="1"/>
  <c r="U159" i="27"/>
  <c r="V159" i="27" s="1"/>
  <c r="U163" i="27"/>
  <c r="V163" i="27" s="1"/>
  <c r="U166" i="27"/>
  <c r="V166" i="27" s="1"/>
  <c r="U169" i="27"/>
  <c r="V169" i="27" s="1"/>
  <c r="U172" i="27"/>
  <c r="V172" i="27" s="1"/>
  <c r="U175" i="27"/>
  <c r="V175" i="27" s="1"/>
  <c r="U178" i="27"/>
  <c r="V178" i="27" s="1"/>
  <c r="U181" i="27"/>
  <c r="V181" i="27" s="1"/>
  <c r="U184" i="27"/>
  <c r="V184" i="27" s="1"/>
  <c r="U187" i="27"/>
  <c r="V187" i="27" s="1"/>
  <c r="U190" i="27"/>
  <c r="V190" i="27" s="1"/>
  <c r="U193" i="27"/>
  <c r="V193" i="27" s="1"/>
  <c r="U196" i="27"/>
  <c r="V196" i="27" s="1"/>
  <c r="U199" i="27"/>
  <c r="V199" i="27" s="1"/>
  <c r="U202" i="27"/>
  <c r="V202" i="27" s="1"/>
  <c r="U140" i="27"/>
  <c r="V140" i="27" s="1"/>
  <c r="U144" i="27"/>
  <c r="V144" i="27" s="1"/>
  <c r="U148" i="27"/>
  <c r="V148" i="27" s="1"/>
  <c r="U152" i="27"/>
  <c r="V152" i="27" s="1"/>
  <c r="U156" i="27"/>
  <c r="V156" i="27" s="1"/>
  <c r="U160" i="27"/>
  <c r="V160" i="27" s="1"/>
  <c r="U141" i="27"/>
  <c r="V141" i="27" s="1"/>
  <c r="U145" i="27"/>
  <c r="V145" i="27" s="1"/>
  <c r="U149" i="27"/>
  <c r="V149" i="27" s="1"/>
  <c r="U153" i="27"/>
  <c r="V153" i="27" s="1"/>
  <c r="U157" i="27"/>
  <c r="V157" i="27" s="1"/>
  <c r="U161" i="27"/>
  <c r="V161" i="27" s="1"/>
  <c r="U164" i="27"/>
  <c r="V164" i="27" s="1"/>
  <c r="U167" i="27"/>
  <c r="V167" i="27" s="1"/>
  <c r="U170" i="27"/>
  <c r="V170" i="27" s="1"/>
  <c r="U173" i="27"/>
  <c r="V173" i="27" s="1"/>
  <c r="U176" i="27"/>
  <c r="V176" i="27" s="1"/>
  <c r="U179" i="27"/>
  <c r="V179" i="27" s="1"/>
  <c r="U182" i="27"/>
  <c r="V182" i="27" s="1"/>
  <c r="U185" i="27"/>
  <c r="V185" i="27" s="1"/>
  <c r="U188" i="27"/>
  <c r="V188" i="27" s="1"/>
  <c r="U191" i="27"/>
  <c r="V191" i="27" s="1"/>
  <c r="U194" i="27"/>
  <c r="V194" i="27" s="1"/>
  <c r="U197" i="27"/>
  <c r="V197" i="27" s="1"/>
  <c r="U200" i="27"/>
  <c r="V200" i="27" s="1"/>
  <c r="U203" i="27"/>
  <c r="V203" i="27" s="1"/>
  <c r="U142" i="27"/>
  <c r="V142" i="27" s="1"/>
  <c r="U146" i="27"/>
  <c r="V146" i="27" s="1"/>
  <c r="U150" i="27"/>
  <c r="V150" i="27" s="1"/>
  <c r="U154" i="27"/>
  <c r="V154" i="27" s="1"/>
  <c r="U158" i="27"/>
  <c r="V158" i="27" s="1"/>
  <c r="U162" i="27"/>
  <c r="V162" i="27" s="1"/>
  <c r="U165" i="27"/>
  <c r="V165" i="27" s="1"/>
  <c r="U168" i="27"/>
  <c r="V168" i="27" s="1"/>
  <c r="U171" i="27"/>
  <c r="V171" i="27" s="1"/>
  <c r="U174" i="27"/>
  <c r="V174" i="27" s="1"/>
  <c r="U177" i="27"/>
  <c r="V177" i="27" s="1"/>
  <c r="U180" i="27"/>
  <c r="V180" i="27" s="1"/>
  <c r="U183" i="27"/>
  <c r="V183" i="27" s="1"/>
  <c r="U186" i="27"/>
  <c r="V186" i="27" s="1"/>
  <c r="U189" i="27"/>
  <c r="V189" i="27" s="1"/>
  <c r="U192" i="27"/>
  <c r="V192" i="27" s="1"/>
  <c r="U195" i="27"/>
  <c r="V195" i="27" s="1"/>
  <c r="U198" i="27"/>
  <c r="V198" i="27" s="1"/>
  <c r="U201" i="27"/>
  <c r="V201" i="27" s="1"/>
  <c r="U204" i="27"/>
  <c r="V204" i="27" s="1"/>
  <c r="U2" i="27"/>
  <c r="V2" i="27" s="1"/>
  <c r="L8" i="27"/>
  <c r="L14" i="27"/>
  <c r="L15" i="27" s="1"/>
  <c r="L16" i="27" s="1"/>
  <c r="L17" i="27" s="1"/>
  <c r="L20" i="27"/>
  <c r="L27" i="27"/>
  <c r="L39" i="27"/>
  <c r="L55" i="27"/>
  <c r="L63" i="27" s="1"/>
  <c r="L64" i="27" s="1"/>
  <c r="L71" i="27"/>
  <c r="L79" i="27"/>
  <c r="L87" i="27"/>
  <c r="L95" i="27"/>
  <c r="L96" i="27" s="1"/>
  <c r="L102" i="27"/>
  <c r="L109" i="27"/>
  <c r="L117" i="27"/>
  <c r="L121" i="27"/>
  <c r="L125" i="27" s="1"/>
  <c r="L129" i="27" s="1"/>
  <c r="L131" i="27"/>
  <c r="L133" i="27"/>
  <c r="L135" i="27"/>
  <c r="L137" i="27"/>
  <c r="L110" i="27"/>
  <c r="L118" i="27"/>
  <c r="L122" i="27"/>
  <c r="L132" i="27"/>
  <c r="L134" i="27"/>
  <c r="L138" i="27"/>
  <c r="L139" i="27"/>
  <c r="L143" i="27"/>
  <c r="L159" i="27"/>
  <c r="L163" i="27"/>
  <c r="L166" i="27"/>
  <c r="L169" i="27"/>
  <c r="L172" i="27"/>
  <c r="L173" i="27" s="1"/>
  <c r="L175" i="27"/>
  <c r="L178" i="27"/>
  <c r="L181" i="27"/>
  <c r="L184" i="27"/>
  <c r="L187" i="27"/>
  <c r="L190" i="27"/>
  <c r="L193" i="27"/>
  <c r="L196" i="27"/>
  <c r="L199" i="27"/>
  <c r="L200" i="27" s="1"/>
  <c r="L202" i="27"/>
  <c r="L140" i="27"/>
  <c r="L144" i="27"/>
  <c r="L160" i="27"/>
  <c r="L141" i="27" s="1"/>
  <c r="L164" i="27"/>
  <c r="L167" i="27"/>
  <c r="L170" i="27"/>
  <c r="L185" i="27"/>
  <c r="L191" i="27"/>
  <c r="L194" i="27"/>
  <c r="L203" i="27"/>
  <c r="L192" i="27"/>
  <c r="L195" i="27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9" i="27"/>
  <c r="D47" i="27"/>
  <c r="D55" i="27"/>
  <c r="D63" i="27"/>
  <c r="D71" i="27"/>
  <c r="D79" i="27"/>
  <c r="D87" i="27"/>
  <c r="D95" i="27"/>
  <c r="D102" i="27"/>
  <c r="D32" i="27"/>
  <c r="D40" i="27"/>
  <c r="D48" i="27"/>
  <c r="D56" i="27"/>
  <c r="D64" i="27"/>
  <c r="D72" i="27"/>
  <c r="D80" i="27"/>
  <c r="D88" i="27"/>
  <c r="D96" i="27"/>
  <c r="D103" i="27"/>
  <c r="D33" i="27"/>
  <c r="D41" i="27"/>
  <c r="D49" i="27"/>
  <c r="D57" i="27"/>
  <c r="D65" i="27"/>
  <c r="D73" i="27"/>
  <c r="D81" i="27"/>
  <c r="D89" i="27"/>
  <c r="D97" i="27"/>
  <c r="D104" i="27"/>
  <c r="D34" i="27"/>
  <c r="D42" i="27"/>
  <c r="D50" i="27"/>
  <c r="D58" i="27"/>
  <c r="D66" i="27"/>
  <c r="D74" i="27"/>
  <c r="D82" i="27"/>
  <c r="D90" i="27"/>
  <c r="D35" i="27"/>
  <c r="D43" i="27"/>
  <c r="D51" i="27"/>
  <c r="D59" i="27"/>
  <c r="D67" i="27"/>
  <c r="D75" i="27"/>
  <c r="D83" i="27"/>
  <c r="D91" i="27"/>
  <c r="D98" i="27"/>
  <c r="D105" i="27"/>
  <c r="D109" i="27"/>
  <c r="D113" i="27"/>
  <c r="D117" i="27"/>
  <c r="D121" i="27"/>
  <c r="D125" i="27"/>
  <c r="D129" i="27"/>
  <c r="D131" i="27"/>
  <c r="D133" i="27"/>
  <c r="D135" i="27"/>
  <c r="D137" i="27"/>
  <c r="D36" i="27"/>
  <c r="D44" i="27"/>
  <c r="D52" i="27"/>
  <c r="D60" i="27"/>
  <c r="D68" i="27"/>
  <c r="D76" i="27"/>
  <c r="D84" i="27"/>
  <c r="D92" i="27"/>
  <c r="D99" i="27"/>
  <c r="D106" i="27"/>
  <c r="D110" i="27"/>
  <c r="D114" i="27"/>
  <c r="D118" i="27"/>
  <c r="D122" i="27"/>
  <c r="D126" i="27"/>
  <c r="D130" i="27"/>
  <c r="D132" i="27"/>
  <c r="D134" i="27"/>
  <c r="D136" i="27"/>
  <c r="D138" i="27"/>
  <c r="D78" i="27"/>
  <c r="D86" i="27"/>
  <c r="D94" i="27"/>
  <c r="D101" i="27"/>
  <c r="D108" i="27"/>
  <c r="D112" i="27"/>
  <c r="D116" i="27"/>
  <c r="D120" i="27"/>
  <c r="D124" i="27"/>
  <c r="D128" i="27"/>
  <c r="D139" i="27"/>
  <c r="D143" i="27"/>
  <c r="D147" i="27"/>
  <c r="D151" i="27"/>
  <c r="D155" i="27"/>
  <c r="D159" i="27"/>
  <c r="D163" i="27"/>
  <c r="D166" i="27"/>
  <c r="D169" i="27"/>
  <c r="D172" i="27"/>
  <c r="D175" i="27"/>
  <c r="D178" i="27"/>
  <c r="D181" i="27"/>
  <c r="D184" i="27"/>
  <c r="D187" i="27"/>
  <c r="D190" i="27"/>
  <c r="D193" i="27"/>
  <c r="D196" i="27"/>
  <c r="D199" i="27"/>
  <c r="D202" i="27"/>
  <c r="D140" i="27"/>
  <c r="D144" i="27"/>
  <c r="D148" i="27"/>
  <c r="D152" i="27"/>
  <c r="D156" i="27"/>
  <c r="D160" i="27"/>
  <c r="D141" i="27"/>
  <c r="D145" i="27"/>
  <c r="D149" i="27"/>
  <c r="D153" i="27"/>
  <c r="D157" i="27"/>
  <c r="D161" i="27"/>
  <c r="D164" i="27"/>
  <c r="D167" i="27"/>
  <c r="D170" i="27"/>
  <c r="D173" i="27"/>
  <c r="D176" i="27"/>
  <c r="D179" i="27"/>
  <c r="D182" i="27"/>
  <c r="D185" i="27"/>
  <c r="D188" i="27"/>
  <c r="D191" i="27"/>
  <c r="D194" i="27"/>
  <c r="D197" i="27"/>
  <c r="D200" i="27"/>
  <c r="D203" i="27"/>
  <c r="D142" i="27"/>
  <c r="D146" i="27"/>
  <c r="D150" i="27"/>
  <c r="D154" i="27"/>
  <c r="D158" i="27"/>
  <c r="D162" i="27"/>
  <c r="D165" i="27"/>
  <c r="D168" i="27"/>
  <c r="D171" i="27"/>
  <c r="D174" i="27"/>
  <c r="D177" i="27"/>
  <c r="D180" i="27"/>
  <c r="D183" i="27"/>
  <c r="D186" i="27"/>
  <c r="D189" i="27"/>
  <c r="D192" i="27"/>
  <c r="D195" i="27"/>
  <c r="D198" i="27"/>
  <c r="D201" i="27"/>
  <c r="D204" i="27"/>
  <c r="D2" i="27"/>
  <c r="E194" i="27"/>
  <c r="F194" i="27" s="1"/>
  <c r="J194" i="27" s="1"/>
  <c r="E197" i="27"/>
  <c r="E200" i="27"/>
  <c r="E203" i="27"/>
  <c r="F203" i="27" s="1"/>
  <c r="J203" i="27" s="1"/>
  <c r="E142" i="27"/>
  <c r="E146" i="27"/>
  <c r="E150" i="27"/>
  <c r="E154" i="27"/>
  <c r="F154" i="27" s="1"/>
  <c r="J154" i="27" s="1"/>
  <c r="E158" i="27"/>
  <c r="F158" i="27" s="1"/>
  <c r="J158" i="27" s="1"/>
  <c r="E162" i="27"/>
  <c r="E165" i="27"/>
  <c r="E168" i="27"/>
  <c r="F168" i="27" s="1"/>
  <c r="J168" i="27" s="1"/>
  <c r="E171" i="27"/>
  <c r="F171" i="27" s="1"/>
  <c r="J171" i="27" s="1"/>
  <c r="E174" i="27"/>
  <c r="E177" i="27"/>
  <c r="E180" i="27"/>
  <c r="F180" i="27" s="1"/>
  <c r="J180" i="27" s="1"/>
  <c r="E183" i="27"/>
  <c r="F183" i="27" s="1"/>
  <c r="J183" i="27" s="1"/>
  <c r="E186" i="27"/>
  <c r="E18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91" i="27"/>
  <c r="F191" i="27" s="1"/>
  <c r="J191" i="27" s="1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2" i="2" s="1"/>
  <c r="L142" i="27" l="1"/>
  <c r="L176" i="27"/>
  <c r="L179" i="27" s="1"/>
  <c r="L182" i="27" s="1"/>
  <c r="L136" i="27"/>
  <c r="L56" i="27"/>
  <c r="L57" i="27" s="1"/>
  <c r="L204" i="27"/>
  <c r="L65" i="27"/>
  <c r="L58" i="27"/>
  <c r="L97" i="27"/>
  <c r="L201" i="27"/>
  <c r="L161" i="27"/>
  <c r="L188" i="27"/>
  <c r="L103" i="27"/>
  <c r="G174" i="27"/>
  <c r="F174" i="27"/>
  <c r="J174" i="27" s="1"/>
  <c r="G162" i="27"/>
  <c r="F162" i="27"/>
  <c r="J162" i="27" s="1"/>
  <c r="G146" i="27"/>
  <c r="F146" i="27"/>
  <c r="J146" i="27" s="1"/>
  <c r="G197" i="27"/>
  <c r="F197" i="27"/>
  <c r="J197" i="27" s="1"/>
  <c r="G186" i="27"/>
  <c r="F186" i="27"/>
  <c r="J186" i="27" s="1"/>
  <c r="G142" i="27"/>
  <c r="F142" i="27"/>
  <c r="J142" i="27" s="1"/>
  <c r="G189" i="27"/>
  <c r="F189" i="27"/>
  <c r="J189" i="27" s="1"/>
  <c r="G177" i="27"/>
  <c r="F177" i="27"/>
  <c r="J177" i="27" s="1"/>
  <c r="G165" i="27"/>
  <c r="F165" i="27"/>
  <c r="J165" i="27" s="1"/>
  <c r="G150" i="27"/>
  <c r="F150" i="27"/>
  <c r="J150" i="27" s="1"/>
  <c r="G200" i="27"/>
  <c r="F200" i="27"/>
  <c r="J200" i="27" s="1"/>
  <c r="B6" i="53"/>
  <c r="K6" i="53" s="1"/>
  <c r="AJ124" i="27"/>
  <c r="AK124" i="27"/>
  <c r="AJ108" i="27"/>
  <c r="AK108" i="27"/>
  <c r="AJ78" i="27"/>
  <c r="AK78" i="27"/>
  <c r="AJ46" i="27"/>
  <c r="AK46" i="27"/>
  <c r="AJ119" i="27"/>
  <c r="AK119" i="27"/>
  <c r="AJ100" i="27"/>
  <c r="AK100" i="27"/>
  <c r="AJ69" i="27"/>
  <c r="AK69" i="27"/>
  <c r="AJ37" i="27"/>
  <c r="AK37" i="27"/>
  <c r="AJ132" i="27"/>
  <c r="AK132" i="27"/>
  <c r="AJ118" i="27"/>
  <c r="AK118" i="27"/>
  <c r="AJ99" i="27"/>
  <c r="AK99" i="27"/>
  <c r="AJ68" i="27"/>
  <c r="AK68" i="27"/>
  <c r="AJ36" i="27"/>
  <c r="AK36" i="27"/>
  <c r="AJ131" i="27"/>
  <c r="AK131" i="27"/>
  <c r="AJ117" i="27"/>
  <c r="AK117" i="27"/>
  <c r="AJ98" i="27"/>
  <c r="AK98" i="27"/>
  <c r="AJ67" i="27"/>
  <c r="AK67" i="27"/>
  <c r="AJ35" i="27"/>
  <c r="AK35" i="27"/>
  <c r="AJ66" i="27"/>
  <c r="AK66" i="27"/>
  <c r="AJ34" i="27"/>
  <c r="AK34" i="27"/>
  <c r="AJ81" i="27"/>
  <c r="AK81" i="27"/>
  <c r="AJ49" i="27"/>
  <c r="AK49" i="27"/>
  <c r="AJ96" i="27"/>
  <c r="AK96" i="27"/>
  <c r="AJ64" i="27"/>
  <c r="AK64" i="27"/>
  <c r="AJ32" i="27"/>
  <c r="AK32" i="27"/>
  <c r="AJ79" i="27"/>
  <c r="AK79" i="27"/>
  <c r="AJ47" i="27"/>
  <c r="AK47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198" i="27"/>
  <c r="AI186" i="27"/>
  <c r="AI174" i="27"/>
  <c r="AI162" i="27"/>
  <c r="AI146" i="27"/>
  <c r="AI197" i="27"/>
  <c r="AI185" i="27"/>
  <c r="AI173" i="27"/>
  <c r="AI161" i="27"/>
  <c r="AI145" i="27"/>
  <c r="AI152" i="27"/>
  <c r="AI202" i="27"/>
  <c r="AI190" i="27"/>
  <c r="AI178" i="27"/>
  <c r="AI166" i="27"/>
  <c r="AI151" i="27"/>
  <c r="AJ204" i="27"/>
  <c r="AJ192" i="27"/>
  <c r="AJ180" i="27"/>
  <c r="AJ168" i="27"/>
  <c r="AJ154" i="27"/>
  <c r="AJ203" i="27"/>
  <c r="AJ191" i="27"/>
  <c r="AJ179" i="27"/>
  <c r="AJ167" i="27"/>
  <c r="AJ153" i="27"/>
  <c r="AJ160" i="27"/>
  <c r="AJ144" i="27"/>
  <c r="AJ196" i="27"/>
  <c r="AJ184" i="27"/>
  <c r="AJ172" i="27"/>
  <c r="AJ159" i="27"/>
  <c r="AK143" i="27"/>
  <c r="AJ143" i="27"/>
  <c r="AK120" i="27"/>
  <c r="AJ120" i="27"/>
  <c r="AK101" i="27"/>
  <c r="AJ101" i="27"/>
  <c r="AK70" i="27"/>
  <c r="AJ70" i="27"/>
  <c r="AK38" i="27"/>
  <c r="AJ38" i="27"/>
  <c r="AK115" i="27"/>
  <c r="AJ115" i="27"/>
  <c r="AK93" i="27"/>
  <c r="AJ93" i="27"/>
  <c r="AK61" i="27"/>
  <c r="AJ61" i="27"/>
  <c r="AK138" i="27"/>
  <c r="AJ138" i="27"/>
  <c r="AK130" i="27"/>
  <c r="AJ130" i="27"/>
  <c r="AK114" i="27"/>
  <c r="AJ114" i="27"/>
  <c r="AK92" i="27"/>
  <c r="AJ92" i="27"/>
  <c r="AK60" i="27"/>
  <c r="AJ60" i="27"/>
  <c r="AK137" i="27"/>
  <c r="AJ137" i="27"/>
  <c r="AK129" i="27"/>
  <c r="AJ129" i="27"/>
  <c r="AK113" i="27"/>
  <c r="AJ113" i="27"/>
  <c r="AK91" i="27"/>
  <c r="AJ91" i="27"/>
  <c r="AK59" i="27"/>
  <c r="AJ59" i="27"/>
  <c r="AK90" i="27"/>
  <c r="AJ90" i="27"/>
  <c r="AK58" i="27"/>
  <c r="AJ58" i="27"/>
  <c r="AK104" i="27"/>
  <c r="AJ104" i="27"/>
  <c r="AK73" i="27"/>
  <c r="AJ73" i="27"/>
  <c r="AK41" i="27"/>
  <c r="AJ41" i="27"/>
  <c r="AK88" i="27"/>
  <c r="AJ88" i="27"/>
  <c r="AK56" i="27"/>
  <c r="AJ56" i="27"/>
  <c r="AK102" i="27"/>
  <c r="AJ102" i="27"/>
  <c r="AK71" i="27"/>
  <c r="AJ71" i="27"/>
  <c r="AK39" i="27"/>
  <c r="AJ39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195" i="27"/>
  <c r="AI183" i="27"/>
  <c r="AI171" i="27"/>
  <c r="AI158" i="27"/>
  <c r="AI142" i="27"/>
  <c r="AI194" i="27"/>
  <c r="AI182" i="27"/>
  <c r="AI170" i="27"/>
  <c r="AI157" i="27"/>
  <c r="AI141" i="27"/>
  <c r="AI148" i="27"/>
  <c r="AI199" i="27"/>
  <c r="AI187" i="27"/>
  <c r="AI175" i="27"/>
  <c r="AI163" i="27"/>
  <c r="AI147" i="27"/>
  <c r="AI124" i="27"/>
  <c r="AI108" i="27"/>
  <c r="AI78" i="27"/>
  <c r="AI46" i="27"/>
  <c r="AI119" i="27"/>
  <c r="AI100" i="27"/>
  <c r="AI69" i="27"/>
  <c r="AI37" i="27"/>
  <c r="AI132" i="27"/>
  <c r="AI118" i="27"/>
  <c r="AI99" i="27"/>
  <c r="AI68" i="27"/>
  <c r="AI36" i="27"/>
  <c r="AI131" i="27"/>
  <c r="AI117" i="27"/>
  <c r="AI98" i="27"/>
  <c r="AI67" i="27"/>
  <c r="AI35" i="27"/>
  <c r="AI66" i="27"/>
  <c r="AI34" i="27"/>
  <c r="AI81" i="27"/>
  <c r="AI49" i="27"/>
  <c r="AI96" i="27"/>
  <c r="AI64" i="27"/>
  <c r="AI32" i="27"/>
  <c r="AI79" i="27"/>
  <c r="AI47" i="27"/>
  <c r="AI29" i="27"/>
  <c r="AI25" i="27"/>
  <c r="AI21" i="27"/>
  <c r="AI17" i="27"/>
  <c r="AI13" i="27"/>
  <c r="AI9" i="27"/>
  <c r="AI5" i="27"/>
  <c r="AJ201" i="27"/>
  <c r="AJ189" i="27"/>
  <c r="AJ177" i="27"/>
  <c r="AJ165" i="27"/>
  <c r="AJ150" i="27"/>
  <c r="AJ200" i="27"/>
  <c r="AJ188" i="27"/>
  <c r="AJ176" i="27"/>
  <c r="AJ164" i="27"/>
  <c r="AJ149" i="27"/>
  <c r="AJ156" i="27"/>
  <c r="AJ140" i="27"/>
  <c r="AJ193" i="27"/>
  <c r="AJ181" i="27"/>
  <c r="AJ169" i="27"/>
  <c r="AJ155" i="27"/>
  <c r="L18" i="27"/>
  <c r="AK139" i="27"/>
  <c r="AJ139" i="27"/>
  <c r="AK116" i="27"/>
  <c r="AJ116" i="27"/>
  <c r="AK94" i="27"/>
  <c r="AJ94" i="27"/>
  <c r="AK62" i="27"/>
  <c r="AJ62" i="27"/>
  <c r="AK127" i="27"/>
  <c r="AJ127" i="27"/>
  <c r="AK111" i="27"/>
  <c r="AJ111" i="27"/>
  <c r="AK85" i="27"/>
  <c r="AJ85" i="27"/>
  <c r="AK53" i="27"/>
  <c r="AJ53" i="27"/>
  <c r="AK136" i="27"/>
  <c r="AJ136" i="27"/>
  <c r="AK126" i="27"/>
  <c r="AJ126" i="27"/>
  <c r="AK110" i="27"/>
  <c r="AJ110" i="27"/>
  <c r="AK84" i="27"/>
  <c r="AJ84" i="27"/>
  <c r="AK52" i="27"/>
  <c r="AJ52" i="27"/>
  <c r="AK135" i="27"/>
  <c r="AJ135" i="27"/>
  <c r="AK125" i="27"/>
  <c r="AJ125" i="27"/>
  <c r="AK109" i="27"/>
  <c r="AJ109" i="27"/>
  <c r="AK83" i="27"/>
  <c r="AJ83" i="27"/>
  <c r="AK51" i="27"/>
  <c r="AJ51" i="27"/>
  <c r="AK82" i="27"/>
  <c r="AJ82" i="27"/>
  <c r="AK50" i="27"/>
  <c r="AJ50" i="27"/>
  <c r="AK97" i="27"/>
  <c r="AJ97" i="27"/>
  <c r="AK65" i="27"/>
  <c r="AJ65" i="27"/>
  <c r="AK33" i="27"/>
  <c r="AJ33" i="27"/>
  <c r="AK80" i="27"/>
  <c r="AJ80" i="27"/>
  <c r="AK48" i="27"/>
  <c r="AJ48" i="27"/>
  <c r="AK95" i="27"/>
  <c r="AJ95" i="27"/>
  <c r="AK63" i="27"/>
  <c r="AJ63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192" i="27"/>
  <c r="AG192" i="27" s="1"/>
  <c r="AI180" i="27"/>
  <c r="AG180" i="27" s="1"/>
  <c r="AI168" i="27"/>
  <c r="AG168" i="27" s="1"/>
  <c r="AI154" i="27"/>
  <c r="AG154" i="27" s="1"/>
  <c r="AI203" i="27"/>
  <c r="AG203" i="27" s="1"/>
  <c r="AI191" i="27"/>
  <c r="AG191" i="27" s="1"/>
  <c r="AI179" i="27"/>
  <c r="AG179" i="27" s="1"/>
  <c r="AI167" i="27"/>
  <c r="AG167" i="27" s="1"/>
  <c r="AI153" i="27"/>
  <c r="AG153" i="27" s="1"/>
  <c r="AI160" i="27"/>
  <c r="AG160" i="27" s="1"/>
  <c r="AI144" i="27"/>
  <c r="AG144" i="27" s="1"/>
  <c r="AI196" i="27"/>
  <c r="AG196" i="27" s="1"/>
  <c r="AI184" i="27"/>
  <c r="AG184" i="27" s="1"/>
  <c r="AI172" i="27"/>
  <c r="AG172" i="27" s="1"/>
  <c r="AI159" i="27"/>
  <c r="AI143" i="27"/>
  <c r="AI120" i="27"/>
  <c r="AI101" i="27"/>
  <c r="AI70" i="27"/>
  <c r="AI38" i="27"/>
  <c r="AI115" i="27"/>
  <c r="AI93" i="27"/>
  <c r="AI61" i="27"/>
  <c r="AI138" i="27"/>
  <c r="AI130" i="27"/>
  <c r="AI114" i="27"/>
  <c r="AI92" i="27"/>
  <c r="AI60" i="27"/>
  <c r="AI137" i="27"/>
  <c r="AI129" i="27"/>
  <c r="AI113" i="27"/>
  <c r="AI91" i="27"/>
  <c r="AI59" i="27"/>
  <c r="AI90" i="27"/>
  <c r="AI58" i="27"/>
  <c r="AI104" i="27"/>
  <c r="AI73" i="27"/>
  <c r="AI41" i="27"/>
  <c r="AI88" i="27"/>
  <c r="AI56" i="27"/>
  <c r="AI102" i="27"/>
  <c r="AI71" i="27"/>
  <c r="AI39" i="27"/>
  <c r="AI28" i="27"/>
  <c r="AI24" i="27"/>
  <c r="AI20" i="27"/>
  <c r="AI16" i="27"/>
  <c r="AI12" i="27"/>
  <c r="AI8" i="27"/>
  <c r="AI4" i="27"/>
  <c r="AJ198" i="27"/>
  <c r="AJ186" i="27"/>
  <c r="AJ174" i="27"/>
  <c r="AJ162" i="27"/>
  <c r="AJ146" i="27"/>
  <c r="AJ197" i="27"/>
  <c r="AJ185" i="27"/>
  <c r="AJ173" i="27"/>
  <c r="AJ161" i="27"/>
  <c r="AJ145" i="27"/>
  <c r="AJ152" i="27"/>
  <c r="AJ202" i="27"/>
  <c r="AJ190" i="27"/>
  <c r="AJ178" i="27"/>
  <c r="AJ166" i="27"/>
  <c r="AJ151" i="27"/>
  <c r="AJ128" i="27"/>
  <c r="AK128" i="27"/>
  <c r="AJ112" i="27"/>
  <c r="AK112" i="27"/>
  <c r="AJ86" i="27"/>
  <c r="AK86" i="27"/>
  <c r="AJ54" i="27"/>
  <c r="AK54" i="27"/>
  <c r="AJ123" i="27"/>
  <c r="AK123" i="27"/>
  <c r="AJ107" i="27"/>
  <c r="AK107" i="27"/>
  <c r="AJ77" i="27"/>
  <c r="AK77" i="27"/>
  <c r="AJ45" i="27"/>
  <c r="AK45" i="27"/>
  <c r="AJ134" i="27"/>
  <c r="AK134" i="27"/>
  <c r="AJ122" i="27"/>
  <c r="AK122" i="27"/>
  <c r="AJ106" i="27"/>
  <c r="AK106" i="27"/>
  <c r="AJ76" i="27"/>
  <c r="AK76" i="27"/>
  <c r="AJ44" i="27"/>
  <c r="AK44" i="27"/>
  <c r="AJ133" i="27"/>
  <c r="AK133" i="27"/>
  <c r="AJ121" i="27"/>
  <c r="AK121" i="27"/>
  <c r="AJ105" i="27"/>
  <c r="AK105" i="27"/>
  <c r="AJ75" i="27"/>
  <c r="AK75" i="27"/>
  <c r="AJ43" i="27"/>
  <c r="AK43" i="27"/>
  <c r="AJ74" i="27"/>
  <c r="AK74" i="27"/>
  <c r="AJ42" i="27"/>
  <c r="AK42" i="27"/>
  <c r="AJ89" i="27"/>
  <c r="AK89" i="27"/>
  <c r="AJ57" i="27"/>
  <c r="AK57" i="27"/>
  <c r="AJ103" i="27"/>
  <c r="AK103" i="27"/>
  <c r="AJ72" i="27"/>
  <c r="AK72" i="27"/>
  <c r="AJ40" i="27"/>
  <c r="AK40" i="27"/>
  <c r="AJ87" i="27"/>
  <c r="AK87" i="27"/>
  <c r="AJ55" i="27"/>
  <c r="AK55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1" i="27"/>
  <c r="AI189" i="27"/>
  <c r="AI177" i="27"/>
  <c r="AI165" i="27"/>
  <c r="AI150" i="27"/>
  <c r="AI200" i="27"/>
  <c r="AI188" i="27"/>
  <c r="AI176" i="27"/>
  <c r="AI164" i="27"/>
  <c r="AI149" i="27"/>
  <c r="AI156" i="27"/>
  <c r="AI140" i="27"/>
  <c r="AI193" i="27"/>
  <c r="AI181" i="27"/>
  <c r="AI169" i="27"/>
  <c r="AI155" i="27"/>
  <c r="AI139" i="27"/>
  <c r="AI116" i="27"/>
  <c r="AI94" i="27"/>
  <c r="AI62" i="27"/>
  <c r="AI127" i="27"/>
  <c r="AI111" i="27"/>
  <c r="AI85" i="27"/>
  <c r="AI53" i="27"/>
  <c r="AI136" i="27"/>
  <c r="AI126" i="27"/>
  <c r="AI110" i="27"/>
  <c r="AI84" i="27"/>
  <c r="AI52" i="27"/>
  <c r="AI135" i="27"/>
  <c r="AI125" i="27"/>
  <c r="AI109" i="27"/>
  <c r="AI83" i="27"/>
  <c r="AI51" i="27"/>
  <c r="AI82" i="27"/>
  <c r="AI50" i="27"/>
  <c r="AI97" i="27"/>
  <c r="AI65" i="27"/>
  <c r="AI33" i="27"/>
  <c r="AI80" i="27"/>
  <c r="AI48" i="27"/>
  <c r="AI95" i="27"/>
  <c r="AI63" i="27"/>
  <c r="AI31" i="27"/>
  <c r="AI27" i="27"/>
  <c r="AI23" i="27"/>
  <c r="AI19" i="27"/>
  <c r="AI15" i="27"/>
  <c r="AI11" i="27"/>
  <c r="AI7" i="27"/>
  <c r="AI3" i="27"/>
  <c r="AJ195" i="27"/>
  <c r="AJ183" i="27"/>
  <c r="AJ171" i="27"/>
  <c r="AJ158" i="27"/>
  <c r="AJ142" i="27"/>
  <c r="AJ194" i="27"/>
  <c r="AJ182" i="27"/>
  <c r="AJ170" i="27"/>
  <c r="AJ157" i="27"/>
  <c r="AJ141" i="27"/>
  <c r="AJ148" i="27"/>
  <c r="AJ199" i="27"/>
  <c r="AJ187" i="27"/>
  <c r="AJ175" i="27"/>
  <c r="AJ163" i="27"/>
  <c r="AJ147" i="27"/>
  <c r="L21" i="27"/>
  <c r="L9" i="27"/>
  <c r="L10" i="27" s="1"/>
  <c r="L3" i="27"/>
  <c r="L197" i="27"/>
  <c r="L147" i="27"/>
  <c r="L119" i="27"/>
  <c r="L113" i="27"/>
  <c r="L59" i="27"/>
  <c r="L145" i="27"/>
  <c r="L151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198" i="27"/>
  <c r="E185" i="27"/>
  <c r="F185" i="27" s="1"/>
  <c r="J185" i="27" s="1"/>
  <c r="E173" i="27"/>
  <c r="E161" i="27"/>
  <c r="E145" i="27"/>
  <c r="E152" i="27"/>
  <c r="F152" i="27" s="1"/>
  <c r="J152" i="27" s="1"/>
  <c r="E202" i="27"/>
  <c r="E190" i="27"/>
  <c r="E178" i="27"/>
  <c r="E166" i="27"/>
  <c r="F166" i="27" s="1"/>
  <c r="J166" i="27" s="1"/>
  <c r="E151" i="27"/>
  <c r="E128" i="27"/>
  <c r="F128" i="27" s="1"/>
  <c r="J128" i="27" s="1"/>
  <c r="E112" i="27"/>
  <c r="E86" i="27"/>
  <c r="F86" i="27" s="1"/>
  <c r="J86" i="27" s="1"/>
  <c r="E54" i="27"/>
  <c r="F54" i="27" s="1"/>
  <c r="J54" i="27" s="1"/>
  <c r="E123" i="27"/>
  <c r="F123" i="27" s="1"/>
  <c r="J123" i="27" s="1"/>
  <c r="E107" i="27"/>
  <c r="E77" i="27"/>
  <c r="E45" i="27"/>
  <c r="F45" i="27" s="1"/>
  <c r="J45" i="27" s="1"/>
  <c r="E134" i="27"/>
  <c r="F134" i="27" s="1"/>
  <c r="J134" i="27" s="1"/>
  <c r="E122" i="27"/>
  <c r="E106" i="27"/>
  <c r="E76" i="27"/>
  <c r="F76" i="27" s="1"/>
  <c r="J76" i="27" s="1"/>
  <c r="E44" i="27"/>
  <c r="F44" i="27" s="1"/>
  <c r="J44" i="27" s="1"/>
  <c r="E133" i="27"/>
  <c r="F133" i="27" s="1"/>
  <c r="J133" i="27" s="1"/>
  <c r="E121" i="27"/>
  <c r="F121" i="27" s="1"/>
  <c r="J121" i="27" s="1"/>
  <c r="E105" i="27"/>
  <c r="F105" i="27" s="1"/>
  <c r="J105" i="27" s="1"/>
  <c r="E75" i="27"/>
  <c r="F75" i="27" s="1"/>
  <c r="J75" i="27" s="1"/>
  <c r="E43" i="27"/>
  <c r="E74" i="27"/>
  <c r="F74" i="27" s="1"/>
  <c r="J74" i="27" s="1"/>
  <c r="E42" i="27"/>
  <c r="E89" i="27"/>
  <c r="E57" i="27"/>
  <c r="F57" i="27" s="1"/>
  <c r="J57" i="27" s="1"/>
  <c r="E103" i="27"/>
  <c r="F103" i="27" s="1"/>
  <c r="J103" i="27" s="1"/>
  <c r="E72" i="27"/>
  <c r="F72" i="27" s="1"/>
  <c r="J72" i="27" s="1"/>
  <c r="E40" i="27"/>
  <c r="F40" i="27" s="1"/>
  <c r="J40" i="27" s="1"/>
  <c r="E87" i="27"/>
  <c r="E55" i="27"/>
  <c r="F55" i="27" s="1"/>
  <c r="J55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195" i="27"/>
  <c r="F195" i="27" s="1"/>
  <c r="J195" i="27" s="1"/>
  <c r="G183" i="27"/>
  <c r="G171" i="27"/>
  <c r="G158" i="27"/>
  <c r="G194" i="27"/>
  <c r="E182" i="27"/>
  <c r="F182" i="27" s="1"/>
  <c r="J182" i="27" s="1"/>
  <c r="E170" i="27"/>
  <c r="F170" i="27" s="1"/>
  <c r="J170" i="27" s="1"/>
  <c r="E157" i="27"/>
  <c r="F157" i="27" s="1"/>
  <c r="J157" i="27" s="1"/>
  <c r="E141" i="27"/>
  <c r="F141" i="27" s="1"/>
  <c r="J141" i="27" s="1"/>
  <c r="E148" i="27"/>
  <c r="F148" i="27" s="1"/>
  <c r="J148" i="27" s="1"/>
  <c r="E199" i="27"/>
  <c r="F199" i="27" s="1"/>
  <c r="J199" i="27" s="1"/>
  <c r="E187" i="27"/>
  <c r="F187" i="27" s="1"/>
  <c r="J187" i="27" s="1"/>
  <c r="E175" i="27"/>
  <c r="F175" i="27" s="1"/>
  <c r="J175" i="27" s="1"/>
  <c r="E163" i="27"/>
  <c r="F163" i="27" s="1"/>
  <c r="J163" i="27" s="1"/>
  <c r="E147" i="27"/>
  <c r="F147" i="27" s="1"/>
  <c r="J147" i="27" s="1"/>
  <c r="E124" i="27"/>
  <c r="F124" i="27" s="1"/>
  <c r="J124" i="27" s="1"/>
  <c r="E108" i="27"/>
  <c r="F108" i="27" s="1"/>
  <c r="J108" i="27" s="1"/>
  <c r="E78" i="27"/>
  <c r="F78" i="27" s="1"/>
  <c r="J78" i="27" s="1"/>
  <c r="E46" i="27"/>
  <c r="F46" i="27" s="1"/>
  <c r="J46" i="27" s="1"/>
  <c r="E119" i="27"/>
  <c r="F119" i="27" s="1"/>
  <c r="J119" i="27" s="1"/>
  <c r="E100" i="27"/>
  <c r="F100" i="27" s="1"/>
  <c r="J100" i="27" s="1"/>
  <c r="E69" i="27"/>
  <c r="F69" i="27" s="1"/>
  <c r="J69" i="27" s="1"/>
  <c r="E37" i="27"/>
  <c r="F37" i="27" s="1"/>
  <c r="J37" i="27" s="1"/>
  <c r="E132" i="27"/>
  <c r="F132" i="27" s="1"/>
  <c r="J132" i="27" s="1"/>
  <c r="E118" i="27"/>
  <c r="F118" i="27" s="1"/>
  <c r="J118" i="27" s="1"/>
  <c r="E99" i="27"/>
  <c r="F99" i="27" s="1"/>
  <c r="J99" i="27" s="1"/>
  <c r="E68" i="27"/>
  <c r="F68" i="27" s="1"/>
  <c r="J68" i="27" s="1"/>
  <c r="E36" i="27"/>
  <c r="F36" i="27" s="1"/>
  <c r="J36" i="27" s="1"/>
  <c r="E131" i="27"/>
  <c r="F131" i="27" s="1"/>
  <c r="J131" i="27" s="1"/>
  <c r="E117" i="27"/>
  <c r="F117" i="27" s="1"/>
  <c r="J117" i="27" s="1"/>
  <c r="E98" i="27"/>
  <c r="F98" i="27" s="1"/>
  <c r="J98" i="27" s="1"/>
  <c r="E67" i="27"/>
  <c r="F67" i="27" s="1"/>
  <c r="J67" i="27" s="1"/>
  <c r="E35" i="27"/>
  <c r="F35" i="27" s="1"/>
  <c r="J35" i="27" s="1"/>
  <c r="E66" i="27"/>
  <c r="F66" i="27" s="1"/>
  <c r="J66" i="27" s="1"/>
  <c r="E34" i="27"/>
  <c r="F34" i="27" s="1"/>
  <c r="J34" i="27" s="1"/>
  <c r="E81" i="27"/>
  <c r="F81" i="27" s="1"/>
  <c r="J81" i="27" s="1"/>
  <c r="E49" i="27"/>
  <c r="F49" i="27" s="1"/>
  <c r="J49" i="27" s="1"/>
  <c r="E96" i="27"/>
  <c r="F96" i="27" s="1"/>
  <c r="J96" i="27" s="1"/>
  <c r="E64" i="27"/>
  <c r="F64" i="27" s="1"/>
  <c r="J64" i="27" s="1"/>
  <c r="E32" i="27"/>
  <c r="F32" i="27" s="1"/>
  <c r="J32" i="27" s="1"/>
  <c r="E79" i="27"/>
  <c r="F79" i="27" s="1"/>
  <c r="J79" i="27" s="1"/>
  <c r="E47" i="27"/>
  <c r="F47" i="27" s="1"/>
  <c r="J47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192" i="27"/>
  <c r="G180" i="27"/>
  <c r="G168" i="27"/>
  <c r="G154" i="27"/>
  <c r="G203" i="27"/>
  <c r="E179" i="27"/>
  <c r="F179" i="27" s="1"/>
  <c r="J179" i="27" s="1"/>
  <c r="E167" i="27"/>
  <c r="F167" i="27" s="1"/>
  <c r="J167" i="27" s="1"/>
  <c r="E153" i="27"/>
  <c r="F153" i="27" s="1"/>
  <c r="J153" i="27" s="1"/>
  <c r="E160" i="27"/>
  <c r="F160" i="27" s="1"/>
  <c r="J160" i="27" s="1"/>
  <c r="E144" i="27"/>
  <c r="F144" i="27" s="1"/>
  <c r="J144" i="27" s="1"/>
  <c r="E196" i="27"/>
  <c r="F196" i="27" s="1"/>
  <c r="J196" i="27" s="1"/>
  <c r="E184" i="27"/>
  <c r="F184" i="27" s="1"/>
  <c r="J184" i="27" s="1"/>
  <c r="E172" i="27"/>
  <c r="F172" i="27" s="1"/>
  <c r="J172" i="27" s="1"/>
  <c r="E159" i="27"/>
  <c r="F159" i="27" s="1"/>
  <c r="J159" i="27" s="1"/>
  <c r="E143" i="27"/>
  <c r="F143" i="27" s="1"/>
  <c r="J143" i="27" s="1"/>
  <c r="E120" i="27"/>
  <c r="F120" i="27" s="1"/>
  <c r="J120" i="27" s="1"/>
  <c r="E101" i="27"/>
  <c r="F101" i="27" s="1"/>
  <c r="J101" i="27" s="1"/>
  <c r="E70" i="27"/>
  <c r="F70" i="27" s="1"/>
  <c r="J70" i="27" s="1"/>
  <c r="E38" i="27"/>
  <c r="F38" i="27" s="1"/>
  <c r="J38" i="27" s="1"/>
  <c r="E115" i="27"/>
  <c r="F115" i="27" s="1"/>
  <c r="J115" i="27" s="1"/>
  <c r="E93" i="27"/>
  <c r="F93" i="27" s="1"/>
  <c r="J93" i="27" s="1"/>
  <c r="E61" i="27"/>
  <c r="F61" i="27" s="1"/>
  <c r="J61" i="27" s="1"/>
  <c r="E138" i="27"/>
  <c r="F138" i="27" s="1"/>
  <c r="J138" i="27" s="1"/>
  <c r="E130" i="27"/>
  <c r="F130" i="27" s="1"/>
  <c r="J130" i="27" s="1"/>
  <c r="E114" i="27"/>
  <c r="F114" i="27" s="1"/>
  <c r="J114" i="27" s="1"/>
  <c r="E92" i="27"/>
  <c r="F92" i="27" s="1"/>
  <c r="J92" i="27" s="1"/>
  <c r="E60" i="27"/>
  <c r="F60" i="27" s="1"/>
  <c r="J60" i="27" s="1"/>
  <c r="E137" i="27"/>
  <c r="F137" i="27" s="1"/>
  <c r="J137" i="27" s="1"/>
  <c r="E129" i="27"/>
  <c r="F129" i="27" s="1"/>
  <c r="J129" i="27" s="1"/>
  <c r="E113" i="27"/>
  <c r="F113" i="27" s="1"/>
  <c r="J113" i="27" s="1"/>
  <c r="E91" i="27"/>
  <c r="E59" i="27"/>
  <c r="F59" i="27" s="1"/>
  <c r="J59" i="27" s="1"/>
  <c r="E90" i="27"/>
  <c r="F90" i="27" s="1"/>
  <c r="J90" i="27" s="1"/>
  <c r="E58" i="27"/>
  <c r="F58" i="27" s="1"/>
  <c r="J58" i="27" s="1"/>
  <c r="E104" i="27"/>
  <c r="E73" i="27"/>
  <c r="F73" i="27" s="1"/>
  <c r="J73" i="27" s="1"/>
  <c r="E41" i="27"/>
  <c r="F41" i="27" s="1"/>
  <c r="J41" i="27" s="1"/>
  <c r="E88" i="27"/>
  <c r="F88" i="27" s="1"/>
  <c r="J88" i="27" s="1"/>
  <c r="E56" i="27"/>
  <c r="F56" i="27" s="1"/>
  <c r="J56" i="27" s="1"/>
  <c r="E102" i="27"/>
  <c r="F102" i="27" s="1"/>
  <c r="J102" i="27" s="1"/>
  <c r="E71" i="27"/>
  <c r="F71" i="27" s="1"/>
  <c r="J71" i="27" s="1"/>
  <c r="E39" i="27"/>
  <c r="F39" i="27" s="1"/>
  <c r="J39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1" i="27"/>
  <c r="E188" i="27"/>
  <c r="E176" i="27"/>
  <c r="F176" i="27" s="1"/>
  <c r="J176" i="27" s="1"/>
  <c r="E164" i="27"/>
  <c r="F164" i="27" s="1"/>
  <c r="J164" i="27" s="1"/>
  <c r="E149" i="27"/>
  <c r="E156" i="27"/>
  <c r="E140" i="27"/>
  <c r="E193" i="27"/>
  <c r="F193" i="27" s="1"/>
  <c r="J193" i="27" s="1"/>
  <c r="E181" i="27"/>
  <c r="E169" i="27"/>
  <c r="E155" i="27"/>
  <c r="F155" i="27" s="1"/>
  <c r="J155" i="27" s="1"/>
  <c r="E139" i="27"/>
  <c r="F139" i="27" s="1"/>
  <c r="J139" i="27" s="1"/>
  <c r="E116" i="27"/>
  <c r="E94" i="27"/>
  <c r="F94" i="27" s="1"/>
  <c r="J94" i="27" s="1"/>
  <c r="E62" i="27"/>
  <c r="E127" i="27"/>
  <c r="F127" i="27" s="1"/>
  <c r="J127" i="27" s="1"/>
  <c r="E111" i="27"/>
  <c r="E85" i="27"/>
  <c r="F85" i="27" s="1"/>
  <c r="J85" i="27" s="1"/>
  <c r="E53" i="27"/>
  <c r="E136" i="27"/>
  <c r="F136" i="27" s="1"/>
  <c r="J136" i="27" s="1"/>
  <c r="E126" i="27"/>
  <c r="E110" i="27"/>
  <c r="F110" i="27" s="1"/>
  <c r="J110" i="27" s="1"/>
  <c r="E84" i="27"/>
  <c r="E52" i="27"/>
  <c r="F52" i="27" s="1"/>
  <c r="J52" i="27" s="1"/>
  <c r="E135" i="27"/>
  <c r="E125" i="27"/>
  <c r="F125" i="27" s="1"/>
  <c r="J125" i="27" s="1"/>
  <c r="E109" i="27"/>
  <c r="F109" i="27" s="1"/>
  <c r="J109" i="27" s="1"/>
  <c r="E83" i="27"/>
  <c r="F83" i="27" s="1"/>
  <c r="J83" i="27" s="1"/>
  <c r="E51" i="27"/>
  <c r="E82" i="27"/>
  <c r="F82" i="27" s="1"/>
  <c r="J82" i="27" s="1"/>
  <c r="E50" i="27"/>
  <c r="E97" i="27"/>
  <c r="F97" i="27" s="1"/>
  <c r="J97" i="27" s="1"/>
  <c r="E65" i="27"/>
  <c r="E33" i="27"/>
  <c r="F33" i="27" s="1"/>
  <c r="J33" i="27" s="1"/>
  <c r="E80" i="27"/>
  <c r="F80" i="27" s="1"/>
  <c r="J80" i="27" s="1"/>
  <c r="E48" i="27"/>
  <c r="F48" i="27" s="1"/>
  <c r="J48" i="27" s="1"/>
  <c r="E95" i="27"/>
  <c r="E63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L72" i="27"/>
  <c r="L73" i="27" s="1"/>
  <c r="L40" i="27"/>
  <c r="L28" i="27"/>
  <c r="L126" i="27"/>
  <c r="L127" i="27" s="1"/>
  <c r="L47" i="27"/>
  <c r="G2" i="27"/>
  <c r="G99" i="27"/>
  <c r="G191" i="27"/>
  <c r="G54" i="27"/>
  <c r="G14" i="27"/>
  <c r="G199" i="27"/>
  <c r="G147" i="27"/>
  <c r="G37" i="27"/>
  <c r="G68" i="27"/>
  <c r="G98" i="27"/>
  <c r="G34" i="27"/>
  <c r="G29" i="27"/>
  <c r="G13" i="27"/>
  <c r="G45" i="27"/>
  <c r="G133" i="27"/>
  <c r="G105" i="27"/>
  <c r="G57" i="27"/>
  <c r="G30" i="27"/>
  <c r="G144" i="27"/>
  <c r="G159" i="27"/>
  <c r="G115" i="27"/>
  <c r="G61" i="27"/>
  <c r="G92" i="27"/>
  <c r="G137" i="27"/>
  <c r="G113" i="27"/>
  <c r="G58" i="27"/>
  <c r="G102" i="27"/>
  <c r="G39" i="27"/>
  <c r="G16" i="27"/>
  <c r="G179" i="27"/>
  <c r="G76" i="27"/>
  <c r="G72" i="27"/>
  <c r="G94" i="27"/>
  <c r="G127" i="27"/>
  <c r="G85" i="27"/>
  <c r="G110" i="27"/>
  <c r="G52" i="27"/>
  <c r="G125" i="27"/>
  <c r="G48" i="27"/>
  <c r="G19" i="27"/>
  <c r="G170" i="27"/>
  <c r="G49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9" i="27"/>
  <c r="AE39" i="27" s="1"/>
  <c r="AD47" i="27"/>
  <c r="AE47" i="27" s="1"/>
  <c r="AD55" i="27"/>
  <c r="AE55" i="27" s="1"/>
  <c r="AD63" i="27"/>
  <c r="AE63" i="27" s="1"/>
  <c r="AD71" i="27"/>
  <c r="AE71" i="27" s="1"/>
  <c r="AD79" i="27"/>
  <c r="AE79" i="27" s="1"/>
  <c r="AD87" i="27"/>
  <c r="AE87" i="27" s="1"/>
  <c r="AD95" i="27"/>
  <c r="AE95" i="27" s="1"/>
  <c r="AD102" i="27"/>
  <c r="AE102" i="27" s="1"/>
  <c r="AD32" i="27"/>
  <c r="AE32" i="27" s="1"/>
  <c r="AD40" i="27"/>
  <c r="AE40" i="27" s="1"/>
  <c r="AD48" i="27"/>
  <c r="AE48" i="27" s="1"/>
  <c r="AD56" i="27"/>
  <c r="AE56" i="27" s="1"/>
  <c r="AD64" i="27"/>
  <c r="AE64" i="27" s="1"/>
  <c r="AD72" i="27"/>
  <c r="AE72" i="27" s="1"/>
  <c r="AD80" i="27"/>
  <c r="AE80" i="27" s="1"/>
  <c r="AD88" i="27"/>
  <c r="AE88" i="27" s="1"/>
  <c r="AD96" i="27"/>
  <c r="AE96" i="27" s="1"/>
  <c r="AD103" i="27"/>
  <c r="AE103" i="27" s="1"/>
  <c r="AD33" i="27"/>
  <c r="AE33" i="27" s="1"/>
  <c r="AD41" i="27"/>
  <c r="AE41" i="27" s="1"/>
  <c r="AD49" i="27"/>
  <c r="AE49" i="27" s="1"/>
  <c r="AD57" i="27"/>
  <c r="AE57" i="27" s="1"/>
  <c r="AD65" i="27"/>
  <c r="AE65" i="27" s="1"/>
  <c r="AD73" i="27"/>
  <c r="AE73" i="27" s="1"/>
  <c r="AD81" i="27"/>
  <c r="AE81" i="27" s="1"/>
  <c r="AD89" i="27"/>
  <c r="AE89" i="27" s="1"/>
  <c r="AD97" i="27"/>
  <c r="AE97" i="27" s="1"/>
  <c r="AD104" i="27"/>
  <c r="AE104" i="27" s="1"/>
  <c r="AD34" i="27"/>
  <c r="AE34" i="27" s="1"/>
  <c r="AD42" i="27"/>
  <c r="AE42" i="27" s="1"/>
  <c r="AD50" i="27"/>
  <c r="AE50" i="27" s="1"/>
  <c r="AD58" i="27"/>
  <c r="AE58" i="27" s="1"/>
  <c r="AD66" i="27"/>
  <c r="AE66" i="27" s="1"/>
  <c r="AD74" i="27"/>
  <c r="AE74" i="27" s="1"/>
  <c r="AD82" i="27"/>
  <c r="AE82" i="27" s="1"/>
  <c r="AD90" i="27"/>
  <c r="AE90" i="27" s="1"/>
  <c r="AD35" i="27"/>
  <c r="AE35" i="27" s="1"/>
  <c r="AD43" i="27"/>
  <c r="AE43" i="27" s="1"/>
  <c r="AD51" i="27"/>
  <c r="AE51" i="27" s="1"/>
  <c r="AD59" i="27"/>
  <c r="AE59" i="27" s="1"/>
  <c r="AD67" i="27"/>
  <c r="AE67" i="27" s="1"/>
  <c r="AD75" i="27"/>
  <c r="AE75" i="27" s="1"/>
  <c r="AD83" i="27"/>
  <c r="AE83" i="27" s="1"/>
  <c r="AD91" i="27"/>
  <c r="AE91" i="27" s="1"/>
  <c r="AD98" i="27"/>
  <c r="AE98" i="27" s="1"/>
  <c r="AD105" i="27"/>
  <c r="AE105" i="27" s="1"/>
  <c r="AD109" i="27"/>
  <c r="AE109" i="27" s="1"/>
  <c r="AD113" i="27"/>
  <c r="AE113" i="27" s="1"/>
  <c r="AD117" i="27"/>
  <c r="AE117" i="27" s="1"/>
  <c r="AD121" i="27"/>
  <c r="AE121" i="27" s="1"/>
  <c r="AD125" i="27"/>
  <c r="AE125" i="27" s="1"/>
  <c r="AD129" i="27"/>
  <c r="AE129" i="27" s="1"/>
  <c r="AD131" i="27"/>
  <c r="AE131" i="27" s="1"/>
  <c r="AD133" i="27"/>
  <c r="AE133" i="27" s="1"/>
  <c r="AD135" i="27"/>
  <c r="AE135" i="27" s="1"/>
  <c r="AD137" i="27"/>
  <c r="AE137" i="27" s="1"/>
  <c r="AD36" i="27"/>
  <c r="AE36" i="27" s="1"/>
  <c r="AD44" i="27"/>
  <c r="AE44" i="27" s="1"/>
  <c r="AD52" i="27"/>
  <c r="AE52" i="27" s="1"/>
  <c r="AD60" i="27"/>
  <c r="AE60" i="27" s="1"/>
  <c r="AD68" i="27"/>
  <c r="AE68" i="27" s="1"/>
  <c r="AD76" i="27"/>
  <c r="AE76" i="27" s="1"/>
  <c r="AD84" i="27"/>
  <c r="AE84" i="27" s="1"/>
  <c r="AD92" i="27"/>
  <c r="AE92" i="27" s="1"/>
  <c r="AD99" i="27"/>
  <c r="AE99" i="27" s="1"/>
  <c r="AD106" i="27"/>
  <c r="AE106" i="27" s="1"/>
  <c r="AD110" i="27"/>
  <c r="AE110" i="27" s="1"/>
  <c r="AD114" i="27"/>
  <c r="AE114" i="27" s="1"/>
  <c r="AD118" i="27"/>
  <c r="AE118" i="27" s="1"/>
  <c r="AD122" i="27"/>
  <c r="AE122" i="27" s="1"/>
  <c r="AD126" i="27"/>
  <c r="AE126" i="27" s="1"/>
  <c r="AD130" i="27"/>
  <c r="AE130" i="27" s="1"/>
  <c r="AD132" i="27"/>
  <c r="AE132" i="27" s="1"/>
  <c r="AD134" i="27"/>
  <c r="AE134" i="27" s="1"/>
  <c r="AD136" i="27"/>
  <c r="AE136" i="27" s="1"/>
  <c r="AD138" i="27"/>
  <c r="AE138" i="27" s="1"/>
  <c r="AD37" i="27"/>
  <c r="AE37" i="27" s="1"/>
  <c r="AD45" i="27"/>
  <c r="AE45" i="27" s="1"/>
  <c r="AD53" i="27"/>
  <c r="AE53" i="27" s="1"/>
  <c r="AD61" i="27"/>
  <c r="AE61" i="27" s="1"/>
  <c r="AD69" i="27"/>
  <c r="AE69" i="27" s="1"/>
  <c r="AD77" i="27"/>
  <c r="AE77" i="27" s="1"/>
  <c r="AD85" i="27"/>
  <c r="AE85" i="27" s="1"/>
  <c r="AD93" i="27"/>
  <c r="AE93" i="27" s="1"/>
  <c r="AD100" i="27"/>
  <c r="AE100" i="27" s="1"/>
  <c r="AD107" i="27"/>
  <c r="AE107" i="27" s="1"/>
  <c r="AD111" i="27"/>
  <c r="AE111" i="27" s="1"/>
  <c r="AD115" i="27"/>
  <c r="AE115" i="27" s="1"/>
  <c r="AD119" i="27"/>
  <c r="AE119" i="27" s="1"/>
  <c r="AD123" i="27"/>
  <c r="AE123" i="27" s="1"/>
  <c r="AD127" i="27"/>
  <c r="AE127" i="27" s="1"/>
  <c r="AD38" i="27"/>
  <c r="AE38" i="27" s="1"/>
  <c r="AD46" i="27"/>
  <c r="AE46" i="27" s="1"/>
  <c r="AD54" i="27"/>
  <c r="AE54" i="27" s="1"/>
  <c r="AD62" i="27"/>
  <c r="AE62" i="27" s="1"/>
  <c r="AD70" i="27"/>
  <c r="AE70" i="27" s="1"/>
  <c r="AD78" i="27"/>
  <c r="AE78" i="27" s="1"/>
  <c r="AD86" i="27"/>
  <c r="AE86" i="27" s="1"/>
  <c r="AD94" i="27"/>
  <c r="AE94" i="27" s="1"/>
  <c r="AD101" i="27"/>
  <c r="AE101" i="27" s="1"/>
  <c r="AD108" i="27"/>
  <c r="AE108" i="27" s="1"/>
  <c r="AD112" i="27"/>
  <c r="AE112" i="27" s="1"/>
  <c r="AD116" i="27"/>
  <c r="AE116" i="27" s="1"/>
  <c r="AD120" i="27"/>
  <c r="AE120" i="27" s="1"/>
  <c r="AD124" i="27"/>
  <c r="AE124" i="27" s="1"/>
  <c r="AD128" i="27"/>
  <c r="AE128" i="27" s="1"/>
  <c r="AD139" i="27"/>
  <c r="AE139" i="27" s="1"/>
  <c r="AD143" i="27"/>
  <c r="AE143" i="27" s="1"/>
  <c r="AD147" i="27"/>
  <c r="AE147" i="27" s="1"/>
  <c r="AD151" i="27"/>
  <c r="AE151" i="27" s="1"/>
  <c r="AD155" i="27"/>
  <c r="AE155" i="27" s="1"/>
  <c r="AD159" i="27"/>
  <c r="AE159" i="27" s="1"/>
  <c r="AD163" i="27"/>
  <c r="AE163" i="27" s="1"/>
  <c r="AD166" i="27"/>
  <c r="AE166" i="27" s="1"/>
  <c r="AD169" i="27"/>
  <c r="AE169" i="27" s="1"/>
  <c r="AD172" i="27"/>
  <c r="AE172" i="27" s="1"/>
  <c r="AD175" i="27"/>
  <c r="AE175" i="27" s="1"/>
  <c r="AD178" i="27"/>
  <c r="AE178" i="27" s="1"/>
  <c r="AD181" i="27"/>
  <c r="AE181" i="27" s="1"/>
  <c r="AD184" i="27"/>
  <c r="AE184" i="27" s="1"/>
  <c r="AD187" i="27"/>
  <c r="AE187" i="27" s="1"/>
  <c r="AD190" i="27"/>
  <c r="AE190" i="27" s="1"/>
  <c r="AD193" i="27"/>
  <c r="AE193" i="27" s="1"/>
  <c r="AD196" i="27"/>
  <c r="AE196" i="27" s="1"/>
  <c r="AD199" i="27"/>
  <c r="AE199" i="27" s="1"/>
  <c r="AD202" i="27"/>
  <c r="AE202" i="27" s="1"/>
  <c r="AD140" i="27"/>
  <c r="AE140" i="27" s="1"/>
  <c r="AD144" i="27"/>
  <c r="AE144" i="27" s="1"/>
  <c r="AD148" i="27"/>
  <c r="AE148" i="27" s="1"/>
  <c r="AD152" i="27"/>
  <c r="AE152" i="27" s="1"/>
  <c r="AD156" i="27"/>
  <c r="AE156" i="27" s="1"/>
  <c r="AD160" i="27"/>
  <c r="AE160" i="27" s="1"/>
  <c r="AD141" i="27"/>
  <c r="AE141" i="27" s="1"/>
  <c r="AD145" i="27"/>
  <c r="AE145" i="27" s="1"/>
  <c r="AD149" i="27"/>
  <c r="AE149" i="27" s="1"/>
  <c r="AD153" i="27"/>
  <c r="AE153" i="27" s="1"/>
  <c r="AD157" i="27"/>
  <c r="AE157" i="27" s="1"/>
  <c r="AD161" i="27"/>
  <c r="AE161" i="27" s="1"/>
  <c r="AD164" i="27"/>
  <c r="AE164" i="27" s="1"/>
  <c r="AD167" i="27"/>
  <c r="AE167" i="27" s="1"/>
  <c r="AD170" i="27"/>
  <c r="AE170" i="27" s="1"/>
  <c r="AD173" i="27"/>
  <c r="AE173" i="27" s="1"/>
  <c r="AD176" i="27"/>
  <c r="AE176" i="27" s="1"/>
  <c r="AD179" i="27"/>
  <c r="AE179" i="27" s="1"/>
  <c r="AD182" i="27"/>
  <c r="AE182" i="27" s="1"/>
  <c r="AD185" i="27"/>
  <c r="AE185" i="27" s="1"/>
  <c r="AD188" i="27"/>
  <c r="AE188" i="27" s="1"/>
  <c r="AD191" i="27"/>
  <c r="AE191" i="27" s="1"/>
  <c r="AD194" i="27"/>
  <c r="AE194" i="27" s="1"/>
  <c r="AD197" i="27"/>
  <c r="AE197" i="27" s="1"/>
  <c r="AD200" i="27"/>
  <c r="AE200" i="27" s="1"/>
  <c r="AD203" i="27"/>
  <c r="AE203" i="27" s="1"/>
  <c r="AD142" i="27"/>
  <c r="AE142" i="27" s="1"/>
  <c r="AD146" i="27"/>
  <c r="AE146" i="27" s="1"/>
  <c r="AD150" i="27"/>
  <c r="AE150" i="27" s="1"/>
  <c r="AD154" i="27"/>
  <c r="AE154" i="27" s="1"/>
  <c r="AD158" i="27"/>
  <c r="AE158" i="27" s="1"/>
  <c r="AD162" i="27"/>
  <c r="AE162" i="27" s="1"/>
  <c r="AD165" i="27"/>
  <c r="AE165" i="27" s="1"/>
  <c r="AD168" i="27"/>
  <c r="AE168" i="27" s="1"/>
  <c r="AD171" i="27"/>
  <c r="AE171" i="27" s="1"/>
  <c r="AD174" i="27"/>
  <c r="AE174" i="27" s="1"/>
  <c r="AD177" i="27"/>
  <c r="AE177" i="27" s="1"/>
  <c r="AD180" i="27"/>
  <c r="AE180" i="27" s="1"/>
  <c r="AD183" i="27"/>
  <c r="AE183" i="27" s="1"/>
  <c r="AD186" i="27"/>
  <c r="AE186" i="27" s="1"/>
  <c r="AD189" i="27"/>
  <c r="AE189" i="27" s="1"/>
  <c r="AD192" i="27"/>
  <c r="AE192" i="27" s="1"/>
  <c r="AD195" i="27"/>
  <c r="AE195" i="27" s="1"/>
  <c r="AD198" i="27"/>
  <c r="AD201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L120" i="27" l="1"/>
  <c r="L146" i="27"/>
  <c r="L48" i="27"/>
  <c r="L98" i="27"/>
  <c r="G9" i="27"/>
  <c r="L104" i="27"/>
  <c r="L155" i="27"/>
  <c r="L152" i="27"/>
  <c r="L148" i="27"/>
  <c r="L128" i="27"/>
  <c r="L19" i="27"/>
  <c r="L198" i="27"/>
  <c r="L41" i="27"/>
  <c r="L74" i="27"/>
  <c r="L114" i="27"/>
  <c r="L66" i="27"/>
  <c r="AG159" i="27"/>
  <c r="G100" i="27"/>
  <c r="G83" i="27"/>
  <c r="G136" i="27"/>
  <c r="G139" i="27"/>
  <c r="G59" i="27"/>
  <c r="G130" i="27"/>
  <c r="G152" i="27"/>
  <c r="G95" i="27"/>
  <c r="F95" i="27"/>
  <c r="J95" i="27" s="1"/>
  <c r="G51" i="27"/>
  <c r="F51" i="27"/>
  <c r="J51" i="27" s="1"/>
  <c r="G111" i="27"/>
  <c r="F111" i="27"/>
  <c r="J111" i="27" s="1"/>
  <c r="G201" i="27"/>
  <c r="F201" i="27"/>
  <c r="J201" i="27" s="1"/>
  <c r="G192" i="27"/>
  <c r="F192" i="27"/>
  <c r="J192" i="27" s="1"/>
  <c r="G18" i="27"/>
  <c r="F18" i="27"/>
  <c r="J18" i="27" s="1"/>
  <c r="G106" i="27"/>
  <c r="F106" i="27"/>
  <c r="J106" i="27" s="1"/>
  <c r="G77" i="27"/>
  <c r="F77" i="27"/>
  <c r="J77" i="27" s="1"/>
  <c r="G185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87" i="27"/>
  <c r="F87" i="27"/>
  <c r="J87" i="27" s="1"/>
  <c r="G43" i="27"/>
  <c r="F43" i="27"/>
  <c r="J43" i="27" s="1"/>
  <c r="G122" i="27"/>
  <c r="F122" i="27"/>
  <c r="J122" i="27" s="1"/>
  <c r="G107" i="27"/>
  <c r="F107" i="27"/>
  <c r="J107" i="27" s="1"/>
  <c r="G112" i="27"/>
  <c r="F112" i="27"/>
  <c r="J112" i="27" s="1"/>
  <c r="G178" i="27"/>
  <c r="F178" i="27"/>
  <c r="J178" i="27" s="1"/>
  <c r="G145" i="27"/>
  <c r="F145" i="27"/>
  <c r="J145" i="27" s="1"/>
  <c r="G198" i="27"/>
  <c r="F198" i="27"/>
  <c r="J198" i="27" s="1"/>
  <c r="G7" i="27"/>
  <c r="F7" i="27"/>
  <c r="J7" i="27" s="1"/>
  <c r="G23" i="27"/>
  <c r="F23" i="27"/>
  <c r="J23" i="27" s="1"/>
  <c r="G135" i="27"/>
  <c r="F135" i="27"/>
  <c r="J135" i="27" s="1"/>
  <c r="G116" i="27"/>
  <c r="F116" i="27"/>
  <c r="J116" i="27" s="1"/>
  <c r="G149" i="27"/>
  <c r="F149" i="27"/>
  <c r="J149" i="27" s="1"/>
  <c r="G50" i="27"/>
  <c r="F50" i="27"/>
  <c r="J50" i="27" s="1"/>
  <c r="G84" i="27"/>
  <c r="F84" i="27"/>
  <c r="J84" i="27" s="1"/>
  <c r="G140" i="27"/>
  <c r="F140" i="27"/>
  <c r="J140" i="27" s="1"/>
  <c r="G28" i="27"/>
  <c r="F28" i="27"/>
  <c r="J28" i="27" s="1"/>
  <c r="G104" i="27"/>
  <c r="F104" i="27"/>
  <c r="J104" i="27" s="1"/>
  <c r="G91" i="27"/>
  <c r="F91" i="27"/>
  <c r="J91" i="27" s="1"/>
  <c r="G89" i="27"/>
  <c r="F89" i="27"/>
  <c r="J89" i="27" s="1"/>
  <c r="G65" i="27"/>
  <c r="F65" i="27"/>
  <c r="J65" i="27" s="1"/>
  <c r="G126" i="27"/>
  <c r="F126" i="27"/>
  <c r="J126" i="27" s="1"/>
  <c r="G181" i="27"/>
  <c r="F181" i="27"/>
  <c r="J181" i="27" s="1"/>
  <c r="L4" i="27"/>
  <c r="G31" i="27"/>
  <c r="F31" i="27"/>
  <c r="J31" i="27" s="1"/>
  <c r="G53" i="27"/>
  <c r="F53" i="27"/>
  <c r="J53" i="27" s="1"/>
  <c r="G62" i="27"/>
  <c r="F62" i="27"/>
  <c r="J62" i="27" s="1"/>
  <c r="G190" i="27"/>
  <c r="F190" i="27"/>
  <c r="J190" i="27" s="1"/>
  <c r="G161" i="27"/>
  <c r="F161" i="27"/>
  <c r="J161" i="27" s="1"/>
  <c r="G187" i="27"/>
  <c r="G166" i="27"/>
  <c r="G96" i="27"/>
  <c r="G63" i="27"/>
  <c r="F63" i="27"/>
  <c r="J63" i="27" s="1"/>
  <c r="G169" i="27"/>
  <c r="F169" i="27"/>
  <c r="J169" i="27" s="1"/>
  <c r="G156" i="27"/>
  <c r="F156" i="27"/>
  <c r="J156" i="27" s="1"/>
  <c r="G188" i="27"/>
  <c r="F188" i="27"/>
  <c r="J188" i="27" s="1"/>
  <c r="G42" i="27"/>
  <c r="F42" i="27"/>
  <c r="J42" i="27" s="1"/>
  <c r="G151" i="27"/>
  <c r="F151" i="27"/>
  <c r="J151" i="27" s="1"/>
  <c r="G202" i="27"/>
  <c r="F202" i="27"/>
  <c r="J202" i="27" s="1"/>
  <c r="G173" i="27"/>
  <c r="F173" i="27"/>
  <c r="J173" i="27" s="1"/>
  <c r="AG13" i="27"/>
  <c r="AG29" i="27"/>
  <c r="AG64" i="27"/>
  <c r="AG34" i="27"/>
  <c r="AG98" i="27"/>
  <c r="AG68" i="27"/>
  <c r="AG37" i="27"/>
  <c r="AG46" i="27"/>
  <c r="B7" i="53"/>
  <c r="K7" i="53" s="1"/>
  <c r="AG14" i="27"/>
  <c r="AG105" i="27"/>
  <c r="AG12" i="27"/>
  <c r="AG28" i="27"/>
  <c r="AG56" i="27"/>
  <c r="AG104" i="27"/>
  <c r="AG91" i="27"/>
  <c r="AG60" i="27"/>
  <c r="AG138" i="27"/>
  <c r="AG38" i="27"/>
  <c r="AG143" i="27"/>
  <c r="AG7" i="27"/>
  <c r="AG23" i="27"/>
  <c r="AG95" i="27"/>
  <c r="AG65" i="27"/>
  <c r="AG51" i="27"/>
  <c r="AG135" i="27"/>
  <c r="AG126" i="27"/>
  <c r="AG111" i="27"/>
  <c r="AG116" i="27"/>
  <c r="AG193" i="27"/>
  <c r="AG164" i="27"/>
  <c r="AG150" i="27"/>
  <c r="AG201" i="27"/>
  <c r="AG198" i="27"/>
  <c r="AG195" i="27"/>
  <c r="AG30" i="27"/>
  <c r="AG72" i="27"/>
  <c r="AG42" i="27"/>
  <c r="AG76" i="27"/>
  <c r="AG45" i="27"/>
  <c r="AG54" i="27"/>
  <c r="AG10" i="27"/>
  <c r="AG6" i="27"/>
  <c r="AG22" i="27"/>
  <c r="AG87" i="27"/>
  <c r="AG57" i="27"/>
  <c r="AG43" i="27"/>
  <c r="AG133" i="27"/>
  <c r="AG122" i="27"/>
  <c r="AG107" i="27"/>
  <c r="AG112" i="27"/>
  <c r="AG130" i="27"/>
  <c r="AG115" i="27"/>
  <c r="AG120" i="27"/>
  <c r="AG181" i="27"/>
  <c r="AG149" i="27"/>
  <c r="AG200" i="27"/>
  <c r="AG189" i="27"/>
  <c r="AG5" i="27"/>
  <c r="AG21" i="27"/>
  <c r="AG79" i="27"/>
  <c r="AG49" i="27"/>
  <c r="AG35" i="27"/>
  <c r="AG131" i="27"/>
  <c r="AG118" i="27"/>
  <c r="AG100" i="27"/>
  <c r="AG108" i="27"/>
  <c r="AG175" i="27"/>
  <c r="AG141" i="27"/>
  <c r="AG194" i="27"/>
  <c r="AG183" i="27"/>
  <c r="AG190" i="27"/>
  <c r="AG161" i="27"/>
  <c r="AG146" i="27"/>
  <c r="AG11" i="27"/>
  <c r="AG27" i="27"/>
  <c r="AG48" i="27"/>
  <c r="AG97" i="27"/>
  <c r="AG83" i="27"/>
  <c r="AG52" i="27"/>
  <c r="AG136" i="27"/>
  <c r="AG127" i="27"/>
  <c r="AG139" i="27"/>
  <c r="AG18" i="27"/>
  <c r="AG26" i="27"/>
  <c r="AG55" i="27"/>
  <c r="AG40" i="27"/>
  <c r="AG103" i="27"/>
  <c r="AG89" i="27"/>
  <c r="AG74" i="27"/>
  <c r="AG75" i="27"/>
  <c r="AG121" i="27"/>
  <c r="AG44" i="27"/>
  <c r="AG106" i="27"/>
  <c r="AG134" i="27"/>
  <c r="AG77" i="27"/>
  <c r="AG123" i="27"/>
  <c r="AG86" i="27"/>
  <c r="AG128" i="27"/>
  <c r="AG16" i="27"/>
  <c r="AG39" i="27"/>
  <c r="AG88" i="27"/>
  <c r="AG58" i="27"/>
  <c r="AG113" i="27"/>
  <c r="AG92" i="27"/>
  <c r="AG61" i="27"/>
  <c r="AG70" i="27"/>
  <c r="AG9" i="27"/>
  <c r="AG25" i="27"/>
  <c r="AG32" i="27"/>
  <c r="AG81" i="27"/>
  <c r="AG67" i="27"/>
  <c r="AG36" i="27"/>
  <c r="AG132" i="27"/>
  <c r="AG119" i="27"/>
  <c r="AG124" i="27"/>
  <c r="AG187" i="27"/>
  <c r="AG157" i="27"/>
  <c r="AG142" i="27"/>
  <c r="AG151" i="27"/>
  <c r="AG202" i="27"/>
  <c r="AG173" i="27"/>
  <c r="AG162" i="27"/>
  <c r="AG2" i="27"/>
  <c r="AG15" i="27"/>
  <c r="AG31" i="27"/>
  <c r="AG80" i="27"/>
  <c r="AG50" i="27"/>
  <c r="AG109" i="27"/>
  <c r="AG84" i="27"/>
  <c r="AG53" i="27"/>
  <c r="AG62" i="27"/>
  <c r="AG155" i="27"/>
  <c r="AG140" i="27"/>
  <c r="AG176" i="27"/>
  <c r="AG165" i="27"/>
  <c r="AG4" i="27"/>
  <c r="AG20" i="27"/>
  <c r="AG71" i="27"/>
  <c r="AG41" i="27"/>
  <c r="AG90" i="27"/>
  <c r="AG129" i="27"/>
  <c r="AG114" i="27"/>
  <c r="AG93" i="27"/>
  <c r="AG101" i="27"/>
  <c r="AG147" i="27"/>
  <c r="AG199" i="27"/>
  <c r="AG170" i="27"/>
  <c r="AG158" i="27"/>
  <c r="AG166" i="27"/>
  <c r="AG152" i="27"/>
  <c r="AG185" i="27"/>
  <c r="AG174" i="27"/>
  <c r="AG3" i="27"/>
  <c r="AG19" i="27"/>
  <c r="AG63" i="27"/>
  <c r="AG33" i="27"/>
  <c r="AG82" i="27"/>
  <c r="AG125" i="27"/>
  <c r="AG110" i="27"/>
  <c r="AG85" i="27"/>
  <c r="AG94" i="27"/>
  <c r="AG169" i="27"/>
  <c r="AG156" i="27"/>
  <c r="AG188" i="27"/>
  <c r="AG177" i="27"/>
  <c r="AG8" i="27"/>
  <c r="AG24" i="27"/>
  <c r="AG102" i="27"/>
  <c r="AG73" i="27"/>
  <c r="AG59" i="27"/>
  <c r="AG137" i="27"/>
  <c r="AG17" i="27"/>
  <c r="AG47" i="27"/>
  <c r="AG96" i="27"/>
  <c r="AG66" i="27"/>
  <c r="AG117" i="27"/>
  <c r="AG99" i="27"/>
  <c r="AG69" i="27"/>
  <c r="AG78" i="27"/>
  <c r="AG163" i="27"/>
  <c r="AG148" i="27"/>
  <c r="AG182" i="27"/>
  <c r="AG171" i="27"/>
  <c r="AG178" i="27"/>
  <c r="AG145" i="27"/>
  <c r="AG197" i="27"/>
  <c r="AG186" i="27"/>
  <c r="G35" i="27"/>
  <c r="G108" i="27"/>
  <c r="G11" i="27"/>
  <c r="G27" i="27"/>
  <c r="G164" i="27"/>
  <c r="G153" i="27"/>
  <c r="G21" i="27"/>
  <c r="G131" i="27"/>
  <c r="G175" i="27"/>
  <c r="G97" i="27"/>
  <c r="G193" i="27"/>
  <c r="G73" i="27"/>
  <c r="G120" i="27"/>
  <c r="G184" i="27"/>
  <c r="G79" i="27"/>
  <c r="G118" i="27"/>
  <c r="G141" i="27"/>
  <c r="G5" i="27"/>
  <c r="G25" i="27"/>
  <c r="G12" i="27"/>
  <c r="G10" i="27"/>
  <c r="G26" i="27"/>
  <c r="G75" i="27"/>
  <c r="G67" i="27"/>
  <c r="G196" i="27"/>
  <c r="G132" i="27"/>
  <c r="G138" i="27"/>
  <c r="G157" i="27"/>
  <c r="G176" i="27"/>
  <c r="G167" i="27"/>
  <c r="G155" i="27"/>
  <c r="G124" i="27"/>
  <c r="G143" i="27"/>
  <c r="G128" i="27"/>
  <c r="G38" i="27"/>
  <c r="G119" i="27"/>
  <c r="G70" i="27"/>
  <c r="G123" i="27"/>
  <c r="G46" i="27"/>
  <c r="G134" i="27"/>
  <c r="G60" i="27"/>
  <c r="G44" i="27"/>
  <c r="G36" i="27"/>
  <c r="G82" i="27"/>
  <c r="G81" i="27"/>
  <c r="G33" i="27"/>
  <c r="G32" i="27"/>
  <c r="G56" i="27"/>
  <c r="G40" i="27"/>
  <c r="L29" i="27"/>
  <c r="L22" i="27"/>
  <c r="L11" i="27"/>
  <c r="G3" i="27"/>
  <c r="L123" i="27"/>
  <c r="G88" i="27"/>
  <c r="G64" i="27"/>
  <c r="G55" i="27"/>
  <c r="G121" i="27"/>
  <c r="G86" i="27"/>
  <c r="G20" i="27"/>
  <c r="G71" i="27"/>
  <c r="G41" i="27"/>
  <c r="G90" i="27"/>
  <c r="G129" i="27"/>
  <c r="G114" i="27"/>
  <c r="G93" i="27"/>
  <c r="G101" i="27"/>
  <c r="G172" i="27"/>
  <c r="G160" i="27"/>
  <c r="G74" i="27"/>
  <c r="G103" i="27"/>
  <c r="G66" i="27"/>
  <c r="G148" i="27"/>
  <c r="G4" i="27"/>
  <c r="G78" i="27"/>
  <c r="G69" i="27"/>
  <c r="G163" i="27"/>
  <c r="G17" i="27"/>
  <c r="G182" i="27"/>
  <c r="G47" i="27"/>
  <c r="G117" i="27"/>
  <c r="G204" i="27"/>
  <c r="G195" i="27"/>
  <c r="G15" i="27"/>
  <c r="G80" i="27"/>
  <c r="G109" i="27"/>
  <c r="L130" i="27"/>
  <c r="L80" i="27"/>
  <c r="L81" i="27" s="1"/>
  <c r="L60" i="27"/>
  <c r="L111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42" i="27" l="1"/>
  <c r="L149" i="27"/>
  <c r="L82" i="27"/>
  <c r="L75" i="27"/>
  <c r="L115" i="27"/>
  <c r="L43" i="27"/>
  <c r="L105" i="27"/>
  <c r="L112" i="27"/>
  <c r="L153" i="27"/>
  <c r="L49" i="27"/>
  <c r="L124" i="27"/>
  <c r="L61" i="27"/>
  <c r="L67" i="27"/>
  <c r="L156" i="27"/>
  <c r="L99" i="27"/>
  <c r="L5" i="27"/>
  <c r="B8" i="53"/>
  <c r="K8" i="53" s="1"/>
  <c r="L30" i="27"/>
  <c r="L23" i="27"/>
  <c r="L12" i="27"/>
  <c r="L154" i="27"/>
  <c r="L6" i="27"/>
  <c r="L88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89" i="27" l="1"/>
  <c r="L100" i="27"/>
  <c r="L62" i="27"/>
  <c r="L50" i="27"/>
  <c r="L90" i="27"/>
  <c r="L83" i="27"/>
  <c r="L116" i="27"/>
  <c r="L157" i="27"/>
  <c r="L150" i="27"/>
  <c r="L68" i="27"/>
  <c r="L106" i="27"/>
  <c r="L44" i="27"/>
  <c r="L76" i="27"/>
  <c r="L31" i="27"/>
  <c r="L24" i="27"/>
  <c r="L13" i="27"/>
  <c r="L7" i="27"/>
  <c r="L15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L107" i="27" l="1"/>
  <c r="L91" i="27"/>
  <c r="L101" i="27"/>
  <c r="L32" i="27"/>
  <c r="L45" i="27"/>
  <c r="L84" i="27"/>
  <c r="L77" i="27"/>
  <c r="L51" i="27"/>
  <c r="L69" i="27"/>
  <c r="L25" i="27"/>
  <c r="L162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L33" i="27" l="1"/>
  <c r="L52" i="27"/>
  <c r="L70" i="27"/>
  <c r="L34" i="27"/>
  <c r="L108" i="27"/>
  <c r="L78" i="27"/>
  <c r="L92" i="27"/>
  <c r="L85" i="27"/>
  <c r="L46" i="27"/>
  <c r="L26" i="27"/>
  <c r="L165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93" i="27" l="1"/>
  <c r="L53" i="27"/>
  <c r="L86" i="27"/>
  <c r="L35" i="27"/>
  <c r="L168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36" i="27" l="1"/>
  <c r="L54" i="27"/>
  <c r="L94" i="27"/>
  <c r="L171" i="27"/>
  <c r="D114" i="51"/>
  <c r="Q2" i="2"/>
  <c r="L37" i="27" l="1"/>
  <c r="L174" i="27"/>
  <c r="D115" i="51"/>
  <c r="L38" i="27" l="1"/>
  <c r="L177" i="27"/>
  <c r="D116" i="51"/>
  <c r="L180" i="27" l="1"/>
  <c r="D117" i="51"/>
  <c r="L183" i="27" l="1"/>
  <c r="D118" i="51"/>
  <c r="L186" i="27" l="1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89" i="27" l="1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3" i="42"/>
  <c r="E2" i="42"/>
  <c r="E5" i="42"/>
  <c r="E4" i="42"/>
  <c r="E1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08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45" i="27"/>
  <c r="K9" i="27"/>
  <c r="K124" i="27"/>
  <c r="K70" i="27"/>
  <c r="K101" i="27"/>
  <c r="K86" i="27"/>
  <c r="K46" i="27"/>
  <c r="K85" i="27"/>
  <c r="K112" i="27"/>
  <c r="K116" i="27"/>
  <c r="K78" i="27"/>
  <c r="K94" i="27"/>
  <c r="K120" i="27"/>
  <c r="K62" i="27"/>
  <c r="K38" i="27"/>
  <c r="K54" i="27"/>
  <c r="K128" i="27"/>
  <c r="K42" i="27"/>
  <c r="K119" i="27"/>
  <c r="K123" i="27"/>
  <c r="K93" i="27"/>
  <c r="K77" i="27"/>
  <c r="K53" i="27"/>
  <c r="K37" i="27"/>
  <c r="K69" i="27"/>
  <c r="K100" i="27"/>
  <c r="K127" i="27"/>
  <c r="K115" i="27"/>
  <c r="K61" i="27"/>
  <c r="K111" i="27"/>
  <c r="K89" i="27"/>
  <c r="K107" i="27"/>
  <c r="K65" i="27"/>
  <c r="K50" i="27"/>
  <c r="K104" i="27"/>
  <c r="K33" i="27"/>
  <c r="K113" i="27"/>
  <c r="K158" i="27"/>
  <c r="K174" i="27"/>
  <c r="K199" i="27"/>
  <c r="K83" i="27"/>
  <c r="K90" i="27"/>
  <c r="K160" i="27"/>
  <c r="K131" i="27"/>
  <c r="K172" i="27"/>
  <c r="K137" i="27"/>
  <c r="K182" i="27"/>
  <c r="K166" i="27"/>
  <c r="K97" i="27"/>
  <c r="K139" i="27"/>
  <c r="K55" i="27"/>
  <c r="K118" i="27"/>
  <c r="K58" i="27"/>
  <c r="K187" i="27"/>
  <c r="K64" i="27"/>
  <c r="K130" i="27"/>
  <c r="K41" i="27"/>
  <c r="K73" i="27"/>
  <c r="K48" i="27"/>
  <c r="K103" i="27"/>
  <c r="K185" i="27"/>
  <c r="K191" i="27"/>
  <c r="K148" i="27"/>
  <c r="K163" i="27"/>
  <c r="K143" i="27"/>
  <c r="K138" i="27"/>
  <c r="K52" i="27"/>
  <c r="K99" i="27"/>
  <c r="K141" i="27"/>
  <c r="K56" i="27"/>
  <c r="K152" i="27"/>
  <c r="K72" i="27"/>
  <c r="K98" i="27"/>
  <c r="K155" i="27"/>
  <c r="K79" i="27"/>
  <c r="K167" i="27"/>
  <c r="K102" i="27"/>
  <c r="K193" i="27"/>
  <c r="K96" i="27"/>
  <c r="K184" i="27"/>
  <c r="K121" i="27"/>
  <c r="K157" i="27"/>
  <c r="K134" i="27"/>
  <c r="K82" i="27"/>
  <c r="K196" i="27"/>
  <c r="K32" i="27"/>
  <c r="K40" i="27"/>
  <c r="K170" i="27"/>
  <c r="K59" i="27"/>
  <c r="K153" i="27"/>
  <c r="K136" i="27"/>
  <c r="K47" i="27"/>
  <c r="K75" i="27"/>
  <c r="K36" i="27"/>
  <c r="K67" i="27"/>
  <c r="K57" i="27"/>
  <c r="K175" i="27"/>
  <c r="K74" i="27"/>
  <c r="K44" i="27"/>
  <c r="K34" i="27"/>
  <c r="K49" i="27"/>
  <c r="K129" i="27"/>
  <c r="K147" i="27"/>
  <c r="K71" i="27"/>
  <c r="K35" i="27"/>
  <c r="K81" i="27"/>
  <c r="K60" i="27"/>
  <c r="K133" i="27"/>
  <c r="K66" i="27"/>
  <c r="K176" i="27"/>
  <c r="K68" i="27"/>
  <c r="K179" i="27"/>
  <c r="K88" i="27"/>
  <c r="K114" i="27"/>
  <c r="K132" i="27"/>
  <c r="K164" i="27"/>
  <c r="K106" i="27"/>
  <c r="K159" i="27"/>
  <c r="K192" i="27"/>
  <c r="K190" i="27"/>
  <c r="K150" i="27"/>
  <c r="K156" i="27"/>
  <c r="K197" i="27"/>
  <c r="K180" i="27"/>
  <c r="K110" i="27"/>
  <c r="K80" i="27"/>
  <c r="K76" i="27"/>
  <c r="K31" i="27"/>
  <c r="K105" i="27"/>
  <c r="K162" i="27"/>
  <c r="K171" i="27"/>
  <c r="K165" i="27"/>
  <c r="K142" i="27"/>
  <c r="K87" i="27"/>
  <c r="K161" i="27"/>
  <c r="K92" i="27"/>
  <c r="K181" i="27"/>
  <c r="K126" i="27"/>
  <c r="K84" i="27"/>
  <c r="K140" i="27"/>
  <c r="K198" i="27"/>
  <c r="K168" i="27"/>
  <c r="K186" i="27"/>
  <c r="K200" i="27"/>
  <c r="K177" i="27"/>
  <c r="K204" i="27"/>
  <c r="K154" i="27"/>
  <c r="K95" i="27"/>
  <c r="K151" i="27"/>
  <c r="K203" i="27"/>
  <c r="K109" i="27"/>
  <c r="K122" i="27"/>
  <c r="K146" i="27"/>
  <c r="K135" i="27"/>
  <c r="K117" i="27"/>
  <c r="K202" i="27"/>
  <c r="K178" i="27"/>
  <c r="K91" i="27"/>
  <c r="K149" i="27"/>
  <c r="K145" i="27"/>
  <c r="K39" i="27"/>
  <c r="K173" i="27"/>
  <c r="K144" i="27"/>
  <c r="K125" i="27"/>
  <c r="K189" i="27"/>
  <c r="K201" i="27"/>
  <c r="K63" i="27"/>
  <c r="K51" i="27"/>
  <c r="K169" i="27"/>
  <c r="K183" i="27"/>
  <c r="K188" i="27"/>
  <c r="K43" i="27"/>
  <c r="K194" i="27"/>
  <c r="K195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B2" i="27" l="1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<sst xmlns="http://schemas.openxmlformats.org/spreadsheetml/2006/main" count="21441" uniqueCount="7893">
  <si>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</si>
  <si>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</si>
  <si>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</si>
  <si>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</si>
  <si>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</si>
  <si>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</si>
  <si>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</si>
  <si>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</si>
  <si>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</si>
  <si>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</si>
  <si>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</si>
  <si>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</si>
  <si>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</si>
  <si>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</si>
  <si>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</si>
  <si>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</si>
  <si>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</si>
  <si>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</si>
  <si>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</si>
  <si>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</si>
  <si>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</si>
  <si>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</si>
  <si>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</si>
  <si>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</si>
  <si>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</si>
  <si>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</si>
  <si>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</si>
  <si>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</si>
  <si>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</si>
  <si>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</si>
  <si>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</si>
  <si>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</si>
  <si>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</si>
  <si>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</si>
  <si>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</si>
  <si>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</si>
  <si>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</si>
  <si>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</si>
  <si>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</si>
  <si>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</si>
  <si>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</si>
  <si>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</si>
  <si>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</si>
  <si>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</si>
  <si>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</si>
  <si>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</si>
  <si>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</si>
  <si>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</si>
  <si>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</si>
  <si>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</si>
  <si>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</si>
  <si>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</si>
  <si>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</si>
  <si>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</si>
  <si>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</si>
  <si>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</si>
  <si>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</si>
  <si>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</si>
  <si>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</si>
  <si>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</si>
  <si>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</si>
  <si>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</si>
  <si>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</si>
  <si>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</si>
  <si>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</si>
  <si>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</si>
  <si>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</si>
  <si>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</si>
  <si>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</si>
  <si>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</si>
  <si>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</si>
  <si>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</si>
  <si>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</si>
  <si>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</si>
  <si>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</si>
  <si>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</si>
  <si>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</si>
  <si>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</si>
  <si>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</si>
  <si>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</si>
  <si>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</si>
  <si>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</si>
  <si>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</si>
  <si>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</si>
  <si>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</si>
  <si>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</si>
  <si>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</si>
  <si>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</si>
  <si>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</si>
  <si>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</si>
  <si>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</si>
  <si>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</si>
  <si>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</si>
  <si>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</si>
  <si>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</si>
  <si>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</si>
  <si>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</si>
  <si>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</si>
  <si>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</si>
  <si>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</si>
  <si>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</si>
  <si>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</si>
  <si>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</si>
  <si>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</si>
  <si>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</si>
  <si>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</si>
  <si>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</si>
  <si>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</si>
  <si>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</si>
  <si>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</si>
  <si>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</si>
  <si>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</si>
  <si>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</si>
  <si>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</si>
  <si>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</si>
  <si>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</si>
  <si>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</si>
  <si>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</si>
  <si>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</si>
  <si>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</si>
  <si>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</si>
  <si>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</si>
  <si>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</si>
  <si>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</si>
  <si>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</si>
  <si>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</si>
  <si>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</si>
  <si>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</si>
  <si>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</si>
  <si>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</si>
  <si>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</si>
  <si>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</si>
  <si>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</si>
  <si>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</si>
  <si>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</si>
  <si>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</si>
  <si>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</si>
  <si>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</si>
  <si>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</si>
  <si>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</si>
  <si>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</si>
  <si>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</si>
  <si>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</si>
  <si>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</si>
  <si>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</si>
  <si>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</si>
  <si>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</si>
  <si>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</si>
  <si>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</si>
  <si>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</si>
  <si>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</si>
  <si>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</si>
  <si>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</si>
  <si>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</si>
  <si>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</si>
  <si>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</si>
  <si>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</si>
  <si>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</si>
  <si>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</si>
  <si>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</si>
  <si>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</si>
  <si>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</si>
  <si>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</si>
  <si>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</si>
  <si>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</si>
  <si>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</si>
  <si>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</si>
  <si>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</si>
  <si>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</si>
  <si>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</si>
  <si>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</si>
  <si>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</si>
  <si>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</si>
  <si>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</si>
  <si>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</si>
  <si>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</si>
  <si>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</si>
  <si>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</si>
  <si>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</si>
  <si>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</si>
  <si>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</si>
  <si>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</si>
  <si>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</si>
  <si>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</si>
  <si>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</si>
  <si>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</si>
  <si>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</si>
  <si>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</si>
  <si>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</si>
  <si>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</si>
  <si>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</si>
  <si>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</si>
  <si>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</si>
  <si>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</si>
  <si>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</si>
  <si>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</si>
  <si>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</si>
  <si>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</si>
  <si>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</si>
  <si>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</si>
  <si>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</si>
  <si>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</si>
  <si>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</si>
  <si>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</si>
  <si>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</si>
  <si>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</si>
  <si>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</si>
  <si>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</si>
  <si>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</si>
  <si>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</si>
  <si>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</si>
  <si>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</si>
  <si>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</si>
  <si>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</si>
  <si>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</si>
  <si>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</si>
  <si>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</si>
  <si>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</si>
  <si>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</si>
  <si>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</si>
  <si>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</si>
  <si>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</si>
  <si>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</si>
  <si>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</si>
  <si>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</si>
  <si>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</si>
  <si>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</si>
  <si>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</si>
  <si>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</si>
  <si>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</si>
  <si>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</si>
  <si>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</si>
  <si>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</si>
  <si>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</si>
  <si>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</si>
  <si>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</si>
  <si>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</si>
  <si>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</si>
  <si>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</si>
  <si>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</si>
  <si>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</si>
  <si>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</si>
  <si>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</si>
  <si>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</si>
  <si>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</si>
  <si>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</si>
  <si>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</si>
  <si>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</si>
  <si>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</si>
  <si>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</si>
  <si>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</si>
  <si>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</si>
  <si>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</si>
  <si>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</si>
  <si>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</si>
  <si>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</si>
  <si>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</si>
  <si>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</si>
  <si>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</si>
  <si>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</si>
  <si>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</si>
  <si>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</si>
  <si>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</si>
  <si>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</si>
  <si>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</si>
  <si>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</si>
  <si>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</si>
  <si>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</si>
  <si>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</si>
  <si>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</si>
  <si>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</si>
  <si>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</si>
  <si>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</si>
  <si>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</si>
  <si>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</si>
  <si>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</si>
  <si>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</si>
  <si>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</si>
  <si>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</si>
  <si>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</si>
  <si>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</si>
  <si>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</si>
  <si>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</si>
  <si>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</si>
  <si>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</si>
  <si>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</si>
  <si>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</si>
  <si>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</si>
  <si>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</si>
  <si>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</si>
  <si>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</si>
  <si>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</si>
  <si>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</si>
  <si>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</si>
  <si>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</si>
  <si>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</si>
  <si>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</si>
  <si>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</si>
  <si>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</si>
  <si>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</si>
  <si>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</si>
  <si>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</si>
  <si>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</si>
  <si>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</si>
  <si>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</si>
  <si>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</si>
  <si>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</si>
  <si>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</si>
  <si>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</si>
  <si>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</si>
  <si>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</si>
  <si>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</si>
  <si>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</si>
  <si>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</si>
  <si>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</si>
  <si>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</si>
  <si>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</si>
  <si>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</si>
  <si>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</si>
  <si>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</si>
  <si>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</si>
  <si>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</si>
  <si>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</si>
  <si>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</si>
  <si>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</si>
  <si>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</si>
  <si>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</si>
  <si>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</si>
  <si>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</si>
  <si>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</si>
  <si>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</si>
  <si>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</si>
  <si>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</si>
  <si>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</si>
  <si>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</si>
  <si>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</si>
  <si>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</si>
  <si>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</si>
  <si>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</si>
  <si>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</si>
  <si>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</si>
  <si>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</si>
  <si>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</si>
  <si>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</si>
  <si>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</si>
  <si>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</si>
  <si>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</si>
  <si>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</si>
  <si>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</si>
  <si>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</si>
  <si>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</si>
  <si>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</si>
  <si>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</si>
  <si>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</si>
  <si>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</si>
  <si>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</si>
  <si>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</si>
  <si>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</si>
  <si>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</si>
  <si>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</si>
  <si>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</si>
  <si>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</si>
  <si>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</si>
  <si>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</si>
  <si>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</si>
  <si>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</si>
  <si>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</si>
  <si>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</si>
  <si>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</si>
  <si>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</si>
  <si>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</si>
  <si>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</si>
  <si>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</si>
  <si>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</si>
  <si>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</si>
  <si>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</si>
  <si>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</si>
  <si>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</si>
  <si>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</si>
  <si>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</si>
  <si>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</si>
  <si>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</si>
  <si>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</si>
  <si>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</si>
  <si>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</si>
  <si>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</si>
  <si>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</si>
  <si>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</si>
  <si>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</si>
  <si>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</si>
  <si>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</si>
  <si>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</si>
  <si>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</si>
  <si>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</si>
  <si>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</si>
  <si>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</si>
  <si>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</si>
  <si>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</si>
  <si>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</si>
  <si>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</si>
  <si>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</si>
  <si>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</si>
  <si>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</si>
  <si>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</si>
  <si>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</si>
  <si>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</si>
  <si>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</si>
  <si>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</si>
  <si>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</si>
  <si>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</si>
  <si>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</si>
  <si>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</si>
  <si>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</si>
  <si>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</si>
  <si>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</si>
  <si>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</si>
  <si>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</si>
  <si>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</si>
  <si>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</si>
  <si>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</si>
  <si>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</si>
  <si>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</si>
  <si>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</si>
  <si>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</si>
  <si>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</si>
  <si>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</si>
  <si>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</si>
  <si>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</si>
  <si>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</si>
  <si>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</si>
  <si>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</si>
  <si>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</si>
  <si>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</si>
  <si>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</si>
  <si>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</si>
  <si>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</si>
  <si>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</si>
  <si>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</si>
  <si>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</si>
  <si>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</si>
  <si>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</si>
  <si>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</si>
  <si>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</si>
  <si>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</si>
  <si>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</si>
  <si>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</si>
  <si>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</si>
  <si>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</si>
  <si>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</si>
  <si>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</si>
  <si>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</si>
  <si>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</si>
  <si>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</si>
  <si>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</si>
  <si>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</si>
  <si>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</si>
  <si>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</si>
  <si>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</si>
  <si>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</si>
  <si>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</si>
  <si>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</si>
  <si>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</si>
  <si>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</si>
  <si>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</si>
  <si>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</si>
  <si>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</si>
  <si>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</si>
  <si>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</si>
  <si>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</si>
  <si>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</si>
  <si>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</si>
  <si>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</si>
  <si>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</si>
  <si>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</si>
  <si>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</si>
  <si>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</si>
  <si>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</si>
  <si>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</si>
  <si>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</si>
  <si>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</si>
  <si>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</si>
  <si>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</si>
  <si>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</si>
  <si>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</si>
  <si>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</si>
  <si>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</si>
  <si>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</si>
  <si>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</si>
  <si>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</si>
  <si>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</si>
  <si>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</si>
  <si>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</si>
  <si>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</si>
  <si>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</si>
  <si>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</si>
  <si>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</si>
  <si>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</si>
  <si>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</si>
  <si>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</si>
  <si>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</si>
  <si>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</si>
  <si>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</si>
  <si>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</si>
  <si>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</si>
  <si>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</si>
  <si>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</si>
  <si>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</si>
  <si>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</si>
  <si>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</si>
  <si>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</si>
  <si>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</si>
  <si>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</si>
  <si>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</si>
  <si>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</si>
  <si>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</si>
  <si>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</si>
  <si>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</si>
  <si>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</si>
  <si>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</si>
  <si>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</si>
  <si>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</si>
  <si>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</si>
  <si>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</si>
  <si>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</si>
  <si>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</si>
  <si>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</si>
  <si>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</si>
  <si>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</si>
  <si>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</si>
  <si>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</si>
  <si>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</si>
  <si>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</si>
  <si>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</si>
  <si>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</si>
  <si>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</si>
  <si>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</si>
  <si>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</si>
  <si>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</si>
  <si>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</si>
  <si>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</si>
  <si>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</si>
  <si>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</si>
  <si>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</si>
  <si>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</si>
  <si>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</si>
  <si>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</si>
  <si>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</si>
  <si>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</si>
  <si>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</si>
  <si>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</si>
  <si>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</si>
  <si>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</si>
  <si>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</si>
  <si>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</si>
  <si>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</si>
  <si>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</si>
  <si>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</si>
  <si>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</si>
  <si>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</si>
  <si>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</si>
  <si>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</si>
  <si>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</si>
  <si>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</si>
  <si>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</si>
  <si>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</si>
  <si>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</si>
  <si>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</si>
  <si>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</si>
  <si>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</si>
  <si>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</si>
  <si>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</si>
  <si>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</si>
  <si>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</si>
  <si>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</si>
  <si>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</si>
  <si>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</si>
  <si>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</si>
  <si>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</si>
  <si>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</si>
  <si>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</si>
  <si>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</si>
  <si>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</si>
  <si>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</si>
  <si>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</si>
  <si>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</si>
  <si>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</si>
  <si>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</si>
  <si>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</si>
  <si>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</si>
  <si>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</si>
  <si>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</si>
  <si>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</si>
  <si>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</si>
  <si>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</si>
  <si>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</si>
  <si>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</si>
  <si>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</si>
  <si>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</si>
  <si>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</si>
  <si>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</si>
  <si>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</si>
  <si>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</si>
  <si>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</si>
  <si>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</si>
  <si>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</si>
  <si>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</si>
  <si>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</si>
  <si>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</si>
  <si>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</si>
  <si>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</si>
  <si>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</si>
  <si>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</si>
  <si>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</si>
  <si>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</si>
  <si>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</si>
  <si>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</si>
  <si>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</si>
  <si>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</si>
  <si>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</si>
  <si>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</si>
  <si>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</si>
  <si>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</si>
  <si>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</si>
  <si>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</si>
  <si>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</si>
  <si>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</si>
  <si>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</si>
  <si>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</si>
  <si>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</si>
  <si>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</si>
  <si>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</si>
  <si>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</si>
  <si>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</si>
  <si>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</si>
  <si>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</si>
  <si>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</si>
  <si>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</si>
  <si>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</si>
  <si>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</si>
  <si>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</si>
  <si>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</si>
  <si>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</si>
  <si>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</si>
  <si>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</si>
  <si>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</si>
  <si>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</si>
  <si>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</si>
  <si>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</si>
  <si>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</si>
  <si>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</si>
  <si>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</si>
  <si>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</si>
  <si>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</si>
  <si>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</si>
  <si>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</si>
  <si>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</si>
  <si>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</si>
  <si>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</si>
  <si>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</si>
  <si>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</si>
  <si>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</si>
  <si>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</si>
  <si>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</si>
  <si>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</si>
  <si>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</si>
  <si>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</si>
  <si>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</si>
  <si>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</si>
  <si>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</si>
  <si>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</si>
  <si>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</si>
  <si>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</si>
  <si>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</si>
  <si>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</si>
  <si>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</si>
  <si>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</si>
  <si>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</si>
  <si>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</si>
  <si>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</si>
  <si>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</si>
  <si>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</si>
  <si>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</si>
  <si>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</si>
  <si>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</si>
  <si>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</si>
  <si>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</si>
  <si>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</si>
  <si>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</si>
  <si>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</si>
  <si>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</si>
  <si>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</si>
  <si>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</si>
  <si>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</si>
  <si>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</si>
  <si>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</si>
  <si>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</si>
  <si>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</si>
  <si>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</si>
  <si>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</si>
  <si>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</si>
  <si>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</si>
  <si>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</si>
  <si>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</si>
  <si>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</si>
  <si>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</si>
  <si>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</si>
  <si>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</si>
  <si>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</si>
  <si>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</si>
  <si>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</si>
  <si>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</si>
  <si>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</si>
  <si>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</si>
  <si>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</si>
  <si>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</si>
  <si>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</si>
  <si>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</si>
  <si>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</si>
  <si>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</si>
  <si>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</si>
  <si>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</si>
  <si>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</si>
  <si>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</si>
  <si>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</si>
  <si>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</si>
  <si>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</si>
  <si>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</si>
  <si>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</si>
  <si>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</si>
  <si>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</si>
  <si>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</si>
  <si>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</si>
  <si>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</si>
  <si>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</si>
  <si>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</si>
  <si>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</si>
  <si>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</si>
  <si>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</si>
  <si>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</si>
  <si>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</si>
  <si>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</si>
  <si>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</si>
  <si>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</si>
  <si>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</si>
  <si>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</si>
  <si>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</si>
  <si>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</si>
  <si>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</si>
  <si>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</si>
  <si>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</si>
  <si>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</si>
  <si>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</si>
  <si>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</si>
  <si>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</si>
  <si>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</si>
  <si>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</si>
  <si>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</si>
  <si>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</si>
  <si>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</si>
  <si>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</si>
  <si>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</si>
  <si>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</si>
  <si>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</si>
  <si>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</si>
  <si>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</si>
  <si>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</si>
  <si>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</si>
  <si>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</si>
  <si>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</si>
  <si>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</si>
  <si>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</si>
  <si>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</si>
  <si>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</si>
  <si>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</si>
  <si>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</si>
  <si>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</si>
  <si>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</si>
  <si>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</si>
  <si>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</si>
  <si>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</si>
  <si>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</si>
  <si>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</si>
  <si>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</si>
  <si>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</si>
  <si>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</si>
  <si>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</si>
  <si>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</si>
  <si>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</si>
  <si>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</si>
  <si>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</si>
  <si>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</si>
  <si>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</si>
  <si>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</si>
  <si>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</si>
  <si>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</si>
  <si>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</si>
  <si>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</si>
  <si>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</si>
  <si>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</si>
  <si>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</si>
  <si>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</si>
  <si>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</si>
  <si>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</si>
  <si>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</si>
  <si>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</si>
  <si>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</si>
  <si>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</si>
  <si>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</si>
  <si>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</si>
  <si>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</si>
  <si>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</si>
  <si>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</si>
  <si>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</si>
  <si>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</si>
  <si>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</si>
  <si>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</si>
  <si>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</si>
  <si>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</si>
  <si>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</si>
  <si>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</si>
  <si>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</si>
  <si>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</si>
  <si>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</si>
  <si>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</si>
  <si>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</si>
  <si>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</si>
  <si>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</si>
  <si>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</si>
  <si>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</si>
  <si>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</si>
  <si>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</si>
  <si>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</si>
  <si>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</si>
  <si>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</si>
  <si>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</si>
  <si>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</si>
  <si>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</si>
  <si>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</si>
  <si>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</si>
  <si>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</si>
  <si>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</si>
  <si>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</si>
  <si>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</si>
  <si>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</si>
  <si>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</si>
  <si>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</si>
  <si>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</si>
  <si>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</si>
  <si>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</si>
  <si>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</si>
  <si>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</si>
  <si>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</si>
  <si>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</si>
  <si>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</si>
  <si>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</si>
  <si>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</si>
  <si>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</si>
  <si>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</si>
  <si>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</si>
  <si>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</si>
  <si>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</si>
  <si>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</si>
  <si>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</si>
  <si>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</si>
  <si>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</si>
  <si>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</si>
  <si>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</si>
  <si>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</si>
  <si>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</si>
  <si>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</si>
  <si>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</si>
  <si>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</si>
  <si>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</si>
  <si>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</si>
  <si>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</si>
  <si>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</si>
  <si>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</si>
  <si>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</si>
  <si>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</si>
  <si>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</si>
  <si>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</si>
  <si>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</si>
  <si>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</si>
  <si>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</si>
  <si>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</si>
  <si>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</si>
  <si>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</si>
  <si>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</si>
  <si>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</si>
  <si>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</si>
  <si>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</si>
  <si>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</si>
  <si>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</si>
  <si>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</si>
  <si>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</si>
  <si>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</si>
  <si>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</si>
  <si>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</si>
  <si>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</si>
  <si>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</si>
  <si>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</si>
  <si>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</si>
  <si>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</si>
  <si>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</si>
  <si>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</si>
  <si>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</si>
  <si>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</si>
  <si>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</si>
  <si>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</si>
  <si>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</si>
  <si>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</si>
  <si>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</si>
  <si>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</si>
  <si>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</si>
  <si>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</si>
  <si>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</si>
  <si>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</si>
  <si>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</si>
  <si>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</si>
  <si>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</si>
  <si>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</si>
  <si>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</si>
  <si>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</si>
  <si>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</si>
  <si>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</si>
  <si>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</si>
  <si>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</si>
  <si>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</si>
  <si>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</si>
  <si>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</si>
  <si>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</si>
  <si>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</si>
  <si>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</si>
  <si>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</si>
  <si>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</si>
  <si>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</si>
  <si>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</si>
  <si>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</si>
  <si>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</si>
  <si>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</si>
  <si>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</si>
  <si>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</si>
  <si>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</si>
  <si>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</si>
  <si>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</si>
  <si>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</si>
  <si>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</si>
  <si>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</si>
  <si>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</si>
  <si>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</si>
  <si>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</si>
  <si>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</si>
  <si>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</si>
  <si>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</si>
  <si>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</si>
  <si>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</si>
  <si>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</si>
  <si>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</si>
  <si>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</si>
  <si>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</si>
  <si>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</si>
  <si>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</si>
  <si>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</si>
  <si>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</si>
  <si>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</si>
  <si>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</si>
  <si>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</si>
  <si>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</si>
  <si>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</si>
  <si>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</si>
  <si>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</si>
  <si>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</si>
  <si>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</si>
  <si>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</si>
  <si>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</si>
  <si>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</si>
  <si>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</si>
  <si>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</si>
  <si>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</si>
  <si>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</si>
  <si>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</si>
  <si>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</si>
  <si>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</si>
  <si>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</si>
  <si>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</si>
  <si>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</si>
  <si>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</si>
  <si>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</si>
  <si>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</si>
  <si>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</si>
  <si>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</si>
  <si>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</si>
  <si>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</si>
  <si>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</si>
  <si>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</si>
  <si>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</si>
  <si>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</si>
  <si>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</si>
  <si>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</si>
  <si>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</si>
  <si>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</si>
  <si>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</si>
  <si>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</si>
  <si>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</si>
  <si>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</si>
  <si>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</si>
  <si>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</si>
  <si>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</si>
  <si>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</si>
  <si>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</si>
  <si>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</si>
  <si>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</si>
  <si>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</si>
  <si>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</si>
  <si>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</si>
  <si>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</si>
  <si>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</si>
  <si>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</si>
  <si>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</si>
  <si>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</si>
  <si>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</si>
  <si>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</si>
  <si>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</si>
  <si>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</si>
  <si>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</si>
  <si>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</si>
  <si>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</si>
  <si>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</si>
  <si>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</si>
  <si>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</si>
  <si>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</si>
  <si>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</si>
  <si>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</si>
  <si>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</si>
  <si>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</si>
  <si>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</si>
  <si>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</si>
  <si>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</si>
  <si>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</si>
  <si>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</si>
  <si>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</si>
  <si>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</si>
  <si>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</si>
  <si>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</si>
  <si>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</si>
  <si>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</si>
  <si>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</si>
  <si>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</si>
  <si>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</si>
  <si>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</si>
  <si>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</si>
  <si>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</si>
  <si>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</si>
  <si>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</si>
  <si>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</si>
  <si>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</si>
  <si>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</si>
  <si>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</si>
  <si>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</si>
  <si>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</si>
  <si>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</si>
  <si>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</si>
  <si>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</si>
  <si>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</si>
  <si>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</si>
  <si>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</si>
  <si>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</si>
  <si>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</si>
  <si>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</si>
  <si>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</si>
  <si>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</si>
  <si>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</si>
  <si>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</si>
  <si>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</si>
  <si>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</si>
  <si>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</si>
  <si>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</si>
  <si>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</si>
  <si>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</si>
  <si>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</si>
  <si>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</si>
  <si>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</si>
  <si>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</si>
  <si>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</si>
  <si>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</si>
  <si>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</si>
  <si>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</si>
  <si>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</si>
  <si>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</si>
  <si>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</si>
  <si>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</si>
  <si>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</si>
  <si>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</si>
  <si>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</si>
  <si>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</si>
  <si>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</si>
  <si>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</si>
  <si>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</si>
  <si>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</si>
  <si>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</si>
  <si>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</si>
  <si>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</si>
  <si>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</si>
  <si>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</si>
  <si>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</si>
  <si>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</si>
  <si>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</si>
  <si>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</si>
  <si>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</si>
  <si>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</si>
  <si>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</si>
  <si>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</si>
  <si>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</si>
  <si>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</si>
  <si>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</si>
  <si>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</si>
  <si>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</si>
  <si>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</si>
  <si>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</si>
  <si>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</si>
  <si>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</si>
  <si>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</si>
  <si>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</si>
  <si>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</si>
  <si>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</si>
  <si>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</si>
  <si>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</si>
  <si>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</si>
  <si>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</si>
  <si>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</si>
  <si>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</si>
  <si>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</si>
  <si>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</si>
  <si>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</si>
  <si>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</si>
  <si>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</si>
  <si>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</si>
  <si>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</si>
  <si>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</si>
  <si>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</si>
  <si>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</si>
  <si>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</si>
  <si>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</si>
  <si>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</si>
  <si>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</si>
  <si>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</si>
  <si>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</si>
  <si>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</si>
  <si>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</si>
  <si>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</si>
  <si>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</si>
  <si>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</si>
  <si>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</si>
  <si>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</si>
  <si>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</si>
  <si>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</si>
  <si>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</si>
  <si>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</si>
  <si>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</si>
  <si>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</si>
  <si>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</si>
  <si>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</si>
  <si>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</si>
  <si>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</si>
  <si>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</si>
  <si>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</si>
  <si>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</si>
  <si>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</si>
  <si>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</si>
  <si>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</si>
  <si>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</si>
  <si>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</si>
  <si>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</si>
  <si>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</si>
  <si>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</si>
  <si>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</si>
  <si>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</si>
  <si>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</si>
  <si>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</si>
  <si>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</si>
  <si>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</si>
  <si>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</si>
  <si>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</si>
  <si>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</si>
  <si>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</si>
  <si>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</si>
  <si>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</si>
  <si>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</si>
  <si>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</si>
  <si>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</si>
  <si>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</si>
  <si>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</si>
  <si>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</si>
  <si>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</si>
  <si>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</si>
  <si>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</si>
  <si>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</si>
  <si>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</si>
  <si>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</si>
  <si>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</si>
  <si>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</si>
  <si>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</si>
  <si>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</si>
  <si>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</si>
  <si>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</si>
  <si>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</si>
  <si>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</si>
  <si>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</si>
  <si>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</si>
  <si>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</si>
  <si>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</si>
  <si>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</si>
  <si>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</si>
  <si>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</si>
  <si>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</si>
  <si>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</si>
  <si>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</si>
  <si>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</si>
  <si>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</si>
  <si>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</si>
  <si>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</si>
  <si>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</si>
  <si>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</si>
  <si>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</si>
  <si>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</si>
  <si>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</si>
  <si>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</si>
  <si>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</si>
  <si>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</si>
  <si>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</si>
  <si>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</si>
  <si>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</si>
  <si>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</si>
  <si>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</si>
  <si>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</si>
  <si>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</si>
  <si>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</si>
  <si>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</si>
  <si>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</si>
  <si>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</si>
  <si>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</si>
  <si>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</si>
  <si>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</si>
  <si>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</si>
  <si>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</si>
  <si>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</si>
  <si>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</si>
  <si>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</si>
  <si>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</si>
  <si>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</si>
  <si>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</si>
  <si>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</si>
  <si>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</si>
  <si>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</si>
  <si>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</si>
  <si>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</si>
  <si>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</si>
  <si>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</si>
  <si>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</si>
  <si>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</si>
  <si>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</si>
  <si>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</si>
  <si>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</si>
  <si>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</si>
  <si>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</si>
  <si>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</si>
  <si>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</si>
  <si>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</si>
  <si>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</si>
  <si>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</si>
  <si>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</si>
  <si>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</si>
  <si>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</si>
  <si>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</si>
  <si>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</si>
  <si>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</si>
  <si>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</si>
  <si>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</si>
  <si>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</si>
  <si>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</si>
  <si>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</si>
  <si>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</si>
  <si>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</si>
  <si>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</si>
  <si>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</si>
  <si>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</si>
  <si>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</si>
  <si>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</si>
  <si>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</si>
  <si>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</si>
  <si>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</si>
  <si>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</si>
  <si>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</si>
  <si>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</si>
  <si>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</si>
  <si>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</si>
  <si>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</si>
  <si>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</si>
  <si>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</si>
  <si>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</si>
  <si>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</si>
  <si>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</si>
  <si>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</si>
  <si>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</si>
  <si>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</si>
  <si>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</si>
  <si>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</si>
  <si>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</si>
  <si>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</si>
  <si>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</si>
  <si>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</si>
  <si>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</si>
  <si>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</si>
  <si>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</si>
  <si>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</si>
  <si>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</si>
  <si>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</si>
  <si>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</si>
  <si>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</si>
  <si>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</si>
  <si>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</si>
  <si>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</si>
  <si>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</si>
  <si>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</si>
  <si>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</si>
  <si>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</si>
  <si>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</si>
  <si>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</si>
  <si>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</si>
  <si>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</si>
  <si>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</si>
  <si>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</si>
  <si>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</si>
  <si>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</si>
  <si>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</si>
  <si>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</si>
  <si>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</si>
  <si>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</si>
  <si>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</si>
  <si>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</si>
  <si>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</si>
  <si>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</si>
  <si>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</si>
  <si>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</si>
  <si>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</si>
  <si>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</si>
  <si>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</si>
  <si>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</si>
  <si>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</si>
  <si>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</si>
  <si>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</si>
  <si>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</si>
  <si>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</si>
  <si>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</si>
  <si>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</si>
  <si>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</si>
  <si>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</si>
  <si>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</si>
  <si>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</si>
  <si>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</si>
  <si>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</si>
  <si>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</si>
  <si>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</si>
  <si>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</si>
  <si>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</si>
  <si>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</si>
  <si>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</si>
  <si>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</si>
  <si>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</si>
  <si>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</si>
  <si>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</si>
  <si>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</si>
  <si>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</si>
  <si>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</si>
  <si>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</si>
  <si>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</si>
  <si>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</si>
  <si>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</si>
  <si>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</si>
  <si>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</si>
  <si>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</si>
  <si>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</si>
  <si>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</si>
  <si>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</si>
  <si>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</si>
  <si>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</si>
  <si>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</si>
  <si>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</si>
  <si>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</si>
  <si>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</si>
  <si>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</si>
  <si>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</si>
  <si>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</si>
  <si>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</si>
  <si>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</si>
  <si>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</si>
  <si>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</si>
  <si>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</si>
  <si>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</si>
  <si>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</si>
  <si>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</si>
  <si>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</si>
  <si>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</si>
  <si>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</si>
  <si>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</si>
  <si>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</si>
  <si>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</si>
  <si>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</si>
  <si>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</si>
  <si>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</si>
  <si>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</si>
  <si>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</si>
  <si>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</si>
  <si>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</si>
  <si>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</si>
  <si>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</si>
  <si>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</si>
  <si>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</si>
  <si>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</si>
  <si>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</si>
  <si>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</si>
  <si>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</si>
  <si>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</si>
  <si>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</si>
  <si>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</si>
  <si>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</si>
  <si>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</si>
  <si>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</si>
  <si>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</si>
  <si>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</si>
  <si>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</si>
  <si>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</si>
  <si>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</si>
  <si>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</si>
  <si>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</si>
  <si>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</si>
  <si>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</si>
  <si>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</si>
  <si>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</si>
  <si>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</si>
  <si>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</si>
  <si>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</si>
  <si>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</si>
  <si>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</si>
  <si>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</si>
  <si>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</si>
  <si>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</si>
  <si>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</si>
  <si>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</si>
  <si>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</si>
  <si>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</si>
  <si>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</si>
  <si>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</si>
  <si>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</si>
  <si>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</si>
  <si>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</si>
  <si>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</si>
  <si>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</si>
  <si>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</si>
  <si>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</si>
  <si>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</si>
  <si>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</si>
  <si>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</si>
  <si>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</si>
  <si>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</si>
  <si>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</si>
  <si>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</si>
  <si>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</si>
  <si>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</si>
  <si>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</si>
  <si>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</si>
  <si>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</si>
  <si>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</si>
  <si>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</si>
  <si>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</si>
  <si>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</si>
  <si>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</si>
  <si>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</si>
  <si>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</si>
  <si>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</si>
  <si>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</si>
  <si>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</si>
  <si>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</si>
  <si>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</si>
  <si>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</si>
  <si>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</si>
  <si>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</si>
  <si>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</si>
  <si>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</si>
  <si>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</si>
  <si>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</si>
  <si>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</si>
  <si>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</si>
  <si>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</si>
  <si>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</si>
  <si>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</si>
  <si>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</si>
  <si>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</si>
  <si>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</si>
  <si>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</si>
  <si>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</si>
  <si>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</si>
  <si>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</si>
  <si>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</si>
  <si>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</si>
  <si>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</si>
  <si>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</si>
  <si>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</si>
  <si>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</si>
  <si>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</si>
  <si>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</si>
  <si>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</si>
  <si>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</si>
  <si>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</si>
  <si>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</si>
  <si>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</si>
  <si>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</si>
  <si>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</si>
  <si>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</si>
  <si>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</si>
  <si>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</si>
  <si>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</si>
  <si>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</si>
  <si>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</si>
  <si>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</si>
  <si>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</si>
  <si>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</si>
  <si>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</si>
  <si>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</si>
  <si>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</si>
  <si>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</si>
  <si>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</si>
  <si>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</si>
  <si>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</si>
  <si>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</si>
  <si>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</si>
  <si>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</si>
  <si>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</si>
  <si>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</si>
  <si>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</si>
  <si>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</si>
  <si>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</si>
  <si>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</si>
  <si>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</si>
  <si>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</si>
  <si>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</si>
  <si>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</si>
  <si>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</si>
  <si>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</si>
  <si>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</si>
  <si>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</si>
  <si>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</si>
  <si>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</si>
  <si>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</si>
  <si>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</si>
  <si>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</si>
  <si>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</si>
  <si>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</si>
  <si>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</si>
  <si>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</si>
  <si>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</si>
  <si>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</si>
  <si>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</si>
  <si>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</si>
  <si>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</si>
  <si>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</si>
  <si>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</si>
  <si>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</si>
  <si>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</si>
  <si>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</si>
  <si>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</si>
  <si>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</si>
  <si>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</si>
  <si>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</si>
  <si>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</si>
  <si>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</si>
  <si>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</si>
  <si>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</si>
  <si>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</si>
  <si>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</si>
  <si>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</si>
  <si>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</si>
  <si>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</si>
  <si>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</si>
  <si>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</si>
  <si>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</si>
  <si>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</si>
  <si>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</si>
  <si>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</si>
  <si>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</si>
  <si>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</si>
  <si>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</si>
  <si>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</si>
  <si>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</si>
  <si>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</si>
  <si>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</si>
  <si>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</si>
  <si>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</si>
  <si>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</si>
  <si>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</si>
  <si>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</si>
  <si>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</si>
  <si>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</si>
  <si>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</si>
  <si>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</si>
  <si>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</si>
  <si>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</si>
  <si>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</si>
  <si>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</si>
  <si>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</si>
  <si>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</si>
  <si>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</si>
  <si>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</si>
  <si>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</si>
  <si>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</si>
  <si>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</si>
  <si>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</si>
  <si>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</si>
  <si>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</si>
  <si>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</si>
  <si>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</si>
  <si>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</si>
  <si>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</si>
  <si>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</si>
  <si>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</si>
  <si>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</si>
  <si>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</si>
  <si>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</si>
  <si>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</si>
  <si>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</si>
  <si>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</si>
  <si>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</si>
  <si>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</si>
  <si>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</si>
  <si>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</si>
  <si>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</si>
  <si>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</si>
  <si>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</si>
  <si>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</si>
  <si>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</si>
  <si>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</si>
  <si>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</si>
  <si>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</si>
  <si>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</si>
  <si>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</si>
  <si>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</si>
  <si>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</si>
  <si>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</si>
  <si>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</si>
  <si>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</si>
  <si>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</si>
  <si>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</si>
  <si>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</si>
  <si>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</si>
  <si>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</si>
  <si>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</si>
  <si>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</si>
  <si>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</si>
  <si>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</si>
  <si>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</si>
  <si>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</si>
  <si>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</si>
  <si>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</si>
  <si>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</si>
  <si>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</si>
  <si>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</si>
  <si>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</si>
  <si>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</si>
  <si>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</si>
  <si>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</si>
  <si>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</si>
  <si>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</si>
  <si>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</si>
  <si>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</si>
  <si>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</si>
  <si>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</si>
  <si>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</si>
  <si>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</si>
  <si>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</si>
  <si>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</si>
  <si>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</si>
  <si>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</si>
  <si>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</si>
  <si>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</si>
  <si>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</si>
  <si>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</si>
  <si>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</si>
  <si>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</si>
  <si>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</si>
  <si>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</si>
  <si>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</si>
  <si>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</si>
  <si>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</si>
  <si>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</si>
  <si>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</si>
  <si>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</si>
  <si>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</si>
  <si>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</si>
  <si>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</si>
  <si>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</si>
  <si>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</si>
  <si>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</si>
  <si>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</si>
  <si>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</si>
  <si>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</si>
  <si>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</si>
  <si>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</si>
  <si>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</si>
  <si>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</si>
  <si>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</si>
  <si>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</si>
  <si>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</si>
  <si>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</si>
  <si>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</si>
  <si>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</si>
  <si>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</si>
  <si>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</si>
  <si>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</si>
  <si>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</si>
  <si>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</si>
  <si>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</si>
  <si>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</si>
  <si>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</si>
  <si>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</si>
  <si>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</si>
  <si>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</si>
  <si>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</si>
  <si>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</si>
  <si>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</si>
  <si>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</si>
  <si>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</si>
  <si>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</si>
  <si>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</si>
  <si>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</si>
  <si>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</si>
  <si>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</si>
  <si>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</si>
  <si>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</si>
  <si>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</si>
  <si>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</si>
  <si>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</si>
  <si>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</si>
  <si>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</si>
  <si>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</si>
  <si>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</si>
  <si>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</si>
  <si>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</si>
  <si>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</si>
  <si>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</si>
  <si>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</si>
  <si>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</si>
  <si>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</si>
  <si>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</si>
  <si>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</si>
  <si>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</si>
  <si>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</si>
  <si>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</si>
  <si>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</si>
  <si>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</si>
  <si>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</si>
  <si>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</si>
  <si>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</si>
  <si>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</si>
  <si>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</si>
  <si>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</si>
  <si>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</si>
  <si>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</si>
  <si>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</si>
  <si>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</si>
  <si>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</si>
  <si>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</si>
  <si>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</si>
  <si>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</si>
  <si>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</si>
  <si>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</si>
  <si>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</si>
  <si>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</si>
  <si>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</si>
  <si>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</si>
  <si>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</si>
  <si>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</si>
  <si>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</si>
  <si>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</si>
  <si>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</si>
  <si>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</si>
  <si>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</si>
  <si>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</si>
  <si>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</si>
  <si>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</si>
  <si>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</si>
  <si>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</si>
  <si>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</si>
  <si>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</si>
  <si>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</si>
  <si>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</si>
  <si>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</si>
  <si>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</si>
  <si>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</si>
  <si>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</si>
  <si>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</si>
  <si>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</si>
  <si>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</si>
  <si>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</si>
  <si>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</si>
  <si>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</si>
  <si>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</si>
  <si>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</si>
  <si>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</si>
  <si>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</si>
  <si>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</si>
  <si>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</si>
  <si>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</si>
  <si>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</si>
  <si>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</si>
  <si>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</si>
  <si>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</si>
  <si>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</si>
  <si>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</si>
  <si>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</si>
  <si>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</si>
  <si>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</si>
  <si>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</si>
  <si>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</si>
  <si>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</si>
  <si>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</si>
  <si>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</si>
  <si>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</si>
  <si>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</si>
  <si>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</si>
  <si>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</si>
  <si>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</si>
  <si>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</si>
  <si>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</si>
  <si>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</si>
  <si>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</si>
  <si>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</si>
  <si>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</si>
  <si>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</si>
  <si>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</si>
  <si>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</si>
  <si>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</si>
  <si>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</si>
  <si>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</si>
  <si>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</si>
  <si>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</si>
  <si>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</si>
  <si>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</si>
  <si>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</si>
  <si>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</si>
  <si>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</si>
  <si>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</si>
  <si>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</si>
  <si>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</si>
  <si>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</si>
  <si>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</si>
  <si>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</si>
  <si>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</si>
  <si>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</si>
  <si>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</si>
  <si>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</si>
  <si>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</si>
  <si>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</si>
  <si>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</si>
  <si>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</si>
  <si>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</si>
  <si>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</si>
  <si>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</si>
  <si>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</si>
  <si>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</si>
  <si>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</si>
  <si>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</si>
  <si>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</si>
  <si>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</si>
  <si>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</si>
  <si>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</si>
  <si>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</si>
  <si>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</si>
  <si>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</si>
  <si>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</si>
  <si>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</si>
  <si>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</si>
  <si>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</si>
  <si>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</si>
  <si>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</si>
  <si>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</si>
  <si>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</si>
  <si>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</si>
  <si>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</si>
  <si>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</si>
  <si>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</si>
  <si>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</si>
  <si>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</si>
  <si>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</si>
  <si>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</si>
  <si>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</si>
  <si>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</si>
  <si>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</si>
  <si>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</si>
  <si>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</si>
  <si>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</si>
  <si>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</si>
  <si>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</si>
  <si>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</si>
  <si>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</si>
  <si>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</si>
  <si>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</si>
  <si>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</si>
  <si>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</si>
  <si>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</si>
  <si>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</si>
  <si>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</si>
  <si>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</si>
  <si>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</si>
  <si>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</si>
  <si>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</si>
  <si>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</si>
  <si>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</si>
  <si>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</si>
  <si>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</si>
  <si>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</si>
  <si>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</si>
  <si>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</si>
  <si>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</si>
  <si>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</si>
  <si>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</si>
  <si>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</si>
  <si>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</si>
  <si>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</si>
  <si>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</si>
  <si>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</si>
  <si>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</si>
  <si>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</si>
  <si>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</si>
  <si>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</si>
  <si>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</si>
  <si>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</si>
  <si>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</si>
  <si>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</si>
  <si>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</si>
  <si>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</si>
  <si>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</si>
  <si>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</si>
  <si>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</si>
  <si>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</si>
  <si>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</si>
  <si>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</si>
  <si>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</si>
  <si>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</si>
  <si>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</si>
  <si>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</si>
  <si>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</si>
  <si>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</si>
  <si>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</si>
  <si>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</si>
  <si>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</si>
  <si>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</si>
  <si>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</si>
  <si>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</si>
  <si>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</si>
  <si>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</si>
  <si>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</si>
  <si>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</si>
  <si>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</si>
  <si>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</si>
  <si>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</si>
  <si>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</si>
  <si>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</si>
  <si>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</si>
  <si>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</si>
  <si>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</si>
  <si>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</si>
  <si>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</si>
  <si>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</si>
  <si>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</si>
  <si>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</si>
  <si>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</si>
  <si>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</si>
  <si>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</si>
  <si>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</si>
  <si>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</si>
  <si>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</si>
  <si>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</si>
  <si>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</si>
  <si>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</si>
  <si>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</si>
  <si>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</si>
  <si>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</si>
  <si>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</si>
  <si>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</si>
  <si>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</si>
  <si>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</si>
  <si>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</si>
  <si>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</si>
  <si>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</si>
  <si>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</si>
  <si>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</si>
  <si>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</si>
  <si>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</si>
  <si>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</si>
  <si>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</si>
  <si>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</si>
  <si>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</si>
  <si>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</si>
  <si>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</si>
  <si>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</si>
  <si>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</si>
  <si>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</si>
  <si>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</si>
  <si>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</si>
  <si>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</si>
  <si>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</si>
  <si>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</si>
  <si>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</si>
  <si>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</si>
  <si>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</si>
  <si>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</si>
  <si>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</si>
  <si>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</si>
  <si>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</si>
  <si>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</si>
  <si>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</si>
  <si>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</si>
  <si>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</si>
  <si>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</si>
  <si>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</si>
  <si>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</si>
  <si>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</si>
  <si>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</si>
  <si>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</si>
  <si>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</si>
  <si>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</si>
  <si>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</si>
  <si>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</si>
  <si>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</si>
  <si>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</si>
  <si>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</si>
  <si>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</si>
  <si>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</si>
  <si>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</si>
  <si>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</si>
  <si>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</si>
  <si>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</si>
  <si>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</si>
  <si>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</si>
  <si>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</si>
  <si>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</si>
  <si>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</si>
  <si>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</si>
  <si>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</si>
  <si>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</si>
  <si>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</si>
  <si>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</si>
  <si>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</si>
  <si>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</si>
  <si>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</si>
  <si>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</si>
  <si>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</si>
  <si>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</si>
  <si>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</si>
  <si>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</si>
  <si>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</si>
  <si>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</si>
  <si>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</si>
  <si>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</si>
  <si>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</si>
  <si>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</si>
  <si>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</si>
  <si>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</si>
  <si>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</si>
  <si>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</si>
  <si>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</si>
  <si>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</si>
  <si>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</si>
  <si>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</si>
  <si>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</si>
  <si>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</si>
  <si>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</si>
  <si>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</si>
  <si>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</si>
  <si>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</si>
  <si>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</si>
  <si>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</si>
  <si>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</si>
  <si>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</si>
  <si>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</si>
  <si>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</si>
  <si>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</si>
  <si>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</si>
  <si>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</si>
  <si>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</si>
  <si>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</si>
  <si>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</si>
  <si>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</si>
  <si>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</si>
  <si>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</si>
  <si>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</si>
  <si>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</si>
  <si>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</si>
  <si>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</si>
  <si>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</si>
  <si>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</si>
  <si>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</si>
  <si>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</si>
  <si>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</si>
  <si>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</si>
  <si>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</si>
  <si>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</si>
  <si>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</si>
  <si>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</si>
  <si>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</si>
  <si>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</si>
  <si>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</si>
  <si>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</si>
  <si>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</si>
  <si>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</si>
  <si>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</si>
  <si>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</si>
  <si>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</si>
  <si>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</si>
  <si>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</si>
  <si>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</si>
  <si>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</si>
  <si>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</si>
  <si>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</si>
  <si>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</si>
  <si>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</si>
  <si>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</si>
  <si>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</si>
  <si>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</si>
  <si>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</si>
  <si>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</si>
  <si>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</si>
  <si>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</si>
  <si>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</si>
  <si>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</si>
  <si>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</si>
  <si>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</si>
  <si>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</si>
  <si>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</si>
  <si>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</si>
  <si>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</si>
  <si>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</si>
  <si>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</si>
  <si>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</si>
  <si>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</si>
  <si>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</si>
  <si>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</si>
  <si>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</si>
  <si>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</si>
  <si>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</si>
  <si>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</si>
  <si>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</si>
  <si>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</si>
  <si>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</si>
  <si>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</si>
  <si>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</si>
  <si>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</si>
  <si>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</si>
  <si>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</si>
  <si>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</si>
  <si>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</si>
  <si>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</si>
  <si>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</si>
  <si>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</si>
  <si>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</si>
  <si>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</si>
  <si>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</si>
  <si>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</si>
  <si>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</si>
  <si>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</si>
  <si>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</si>
  <si>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</si>
  <si>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</si>
  <si>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</si>
  <si>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</si>
  <si>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</si>
  <si>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</si>
  <si>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</si>
  <si>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</si>
  <si>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</si>
  <si>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</si>
  <si>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</si>
  <si>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</si>
  <si>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</si>
  <si>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</si>
  <si>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</si>
  <si>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</si>
  <si>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</si>
  <si>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</si>
  <si>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</si>
  <si>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</si>
  <si>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</si>
  <si>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</si>
  <si>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</si>
  <si>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</si>
  <si>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</si>
  <si>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</si>
  <si>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</si>
  <si>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</si>
  <si>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</si>
  <si>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</si>
  <si>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</si>
  <si>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</si>
  <si>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</si>
  <si>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</si>
  <si>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</si>
  <si>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</si>
  <si>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</si>
  <si>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</si>
  <si>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</si>
  <si>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</si>
  <si>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</si>
  <si>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</si>
  <si>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</si>
  <si>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</si>
  <si>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</si>
  <si>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</si>
  <si>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</si>
  <si>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</si>
  <si>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</si>
  <si>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</si>
  <si>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</si>
  <si>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</si>
  <si>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</si>
  <si>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</si>
  <si>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</si>
  <si>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</si>
  <si>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</si>
  <si>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</si>
  <si>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</si>
  <si>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</si>
  <si>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</si>
  <si>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</si>
  <si>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</si>
  <si>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</si>
  <si>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</si>
  <si>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</si>
  <si>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</si>
  <si>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</si>
  <si>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</si>
  <si>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</si>
  <si>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</si>
  <si>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</si>
  <si>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</si>
  <si>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</si>
  <si>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</si>
  <si>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</si>
  <si>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</si>
  <si>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</si>
  <si>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</si>
  <si>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</si>
  <si>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</si>
  <si>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</si>
  <si>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</si>
  <si>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</si>
  <si>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</si>
  <si>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</si>
  <si>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</si>
  <si>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</si>
  <si>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</si>
  <si>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</si>
  <si>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</si>
  <si>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</si>
  <si>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</si>
  <si>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</si>
  <si>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</si>
  <si>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</si>
  <si>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</si>
  <si>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</si>
  <si>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</si>
  <si>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</si>
  <si>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</si>
  <si>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</si>
  <si>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</si>
  <si>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</si>
  <si>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</si>
  <si>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</si>
  <si>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</si>
  <si>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</si>
  <si>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</si>
  <si>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</si>
  <si>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</si>
  <si>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</si>
  <si>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</si>
  <si>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</si>
  <si>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</si>
  <si>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</si>
  <si>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</si>
  <si>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</si>
  <si>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</si>
  <si>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</si>
  <si>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</si>
  <si>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</si>
  <si>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</si>
  <si>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</si>
  <si>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</si>
  <si>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</si>
  <si>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</si>
  <si>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</si>
  <si>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</si>
  <si>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</si>
  <si>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</si>
  <si>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</si>
  <si>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</si>
  <si>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</si>
  <si>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</si>
  <si>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</si>
  <si>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</si>
  <si>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</si>
  <si>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</si>
  <si>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</si>
  <si>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</si>
  <si>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</si>
  <si>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</si>
  <si>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</si>
  <si>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</si>
  <si>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</si>
  <si>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</si>
  <si>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</si>
  <si>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</si>
  <si>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</si>
  <si>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</si>
  <si>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</si>
  <si>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</si>
  <si>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</si>
  <si>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</si>
  <si>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</si>
  <si>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</si>
  <si>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</si>
  <si>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</si>
  <si>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</si>
  <si>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</si>
  <si>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</si>
  <si>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</si>
  <si>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</si>
  <si>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</si>
  <si>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</si>
  <si>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</si>
  <si>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</si>
  <si>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</si>
  <si>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</si>
  <si>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</si>
  <si>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</si>
  <si>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</si>
  <si>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</si>
  <si>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</si>
  <si>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</si>
  <si>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</si>
  <si>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</si>
  <si>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</si>
  <si>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</si>
  <si>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</si>
  <si>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</si>
  <si>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</si>
  <si>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</si>
  <si>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</si>
  <si>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</si>
  <si>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</si>
  <si>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</si>
  <si>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</si>
  <si>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</si>
  <si>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</si>
  <si>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</si>
  <si>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</si>
  <si>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</si>
  <si>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</si>
  <si>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</si>
  <si>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</si>
  <si>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</si>
  <si>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</si>
  <si>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</si>
  <si>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</si>
  <si>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</si>
  <si>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</si>
  <si>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</si>
  <si>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</si>
  <si>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</si>
  <si>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</si>
  <si>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</si>
  <si>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</si>
  <si>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</si>
  <si>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</si>
  <si>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</si>
  <si>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</si>
  <si>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</si>
  <si>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</si>
  <si>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</si>
  <si>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</si>
  <si>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</si>
  <si>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</si>
  <si>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</si>
  <si>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</si>
  <si>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</si>
  <si>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</si>
  <si>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</si>
  <si>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</si>
  <si>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</si>
  <si>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</si>
  <si>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</si>
  <si>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</si>
  <si>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</si>
  <si>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</si>
  <si>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</si>
  <si>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</si>
  <si>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</si>
  <si>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</si>
  <si>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</si>
  <si>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</si>
  <si>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</si>
  <si>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</si>
  <si>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</si>
  <si>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</si>
  <si>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</si>
  <si>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</si>
  <si>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</si>
  <si>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</si>
  <si>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</si>
  <si>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</si>
  <si>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</si>
  <si>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</si>
  <si>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</si>
  <si>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</si>
  <si>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</si>
  <si>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</si>
  <si>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</si>
  <si>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</si>
  <si>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</si>
  <si>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</si>
  <si>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</si>
  <si>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</si>
  <si>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</si>
  <si>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</si>
  <si>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</si>
  <si>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</si>
  <si>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</si>
  <si>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</si>
  <si>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</si>
  <si>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</si>
  <si>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</si>
  <si>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</si>
  <si>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</si>
  <si>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</si>
  <si>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</si>
  <si>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</si>
  <si>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</si>
  <si>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</si>
  <si>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</si>
  <si>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</si>
  <si>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</si>
  <si>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</si>
  <si>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</si>
  <si>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</si>
  <si>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</si>
  <si>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</si>
  <si>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</si>
  <si>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</si>
  <si>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</si>
  <si>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</si>
  <si>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</si>
  <si>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</si>
  <si>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</si>
  <si>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</si>
  <si>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</si>
  <si>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</si>
  <si>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</si>
  <si>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</si>
  <si>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</si>
  <si>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</si>
  <si>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</si>
  <si>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</si>
  <si>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</si>
  <si>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</si>
  <si>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</si>
  <si>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</si>
  <si>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</si>
  <si>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</si>
  <si>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</si>
  <si>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</si>
  <si>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</si>
  <si>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</si>
  <si>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</si>
  <si>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</si>
  <si>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</si>
  <si>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</si>
  <si>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</si>
  <si>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</si>
  <si>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</si>
  <si>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</si>
  <si>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</si>
  <si>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</si>
  <si>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</si>
  <si>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</si>
  <si>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</si>
  <si>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</si>
  <si>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</si>
  <si>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</si>
  <si>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</si>
  <si>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</si>
  <si>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</si>
  <si>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</si>
  <si>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</si>
  <si>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</si>
  <si>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</si>
  <si>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</si>
  <si>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</si>
  <si>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</si>
  <si>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</si>
  <si>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</si>
  <si>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</si>
  <si>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</si>
  <si>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</si>
  <si>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</si>
  <si>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</si>
  <si>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</si>
  <si>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</si>
  <si>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</si>
  <si>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</si>
  <si>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</si>
  <si>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</si>
  <si>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</si>
  <si>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</si>
  <si>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</si>
  <si>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</si>
  <si>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</si>
  <si>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</si>
  <si>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</si>
  <si>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</si>
  <si>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</si>
  <si>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</si>
  <si>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</si>
  <si>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</si>
  <si>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</si>
  <si>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</si>
  <si>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</si>
  <si>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</si>
  <si>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</si>
  <si>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</si>
  <si>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</si>
  <si>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</si>
  <si>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</si>
  <si>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</si>
  <si>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</si>
  <si>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</si>
  <si>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</si>
  <si>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</si>
  <si>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</si>
  <si>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</si>
  <si>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</si>
  <si>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</si>
  <si>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</si>
  <si>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</si>
  <si>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</si>
  <si>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</si>
  <si>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</si>
  <si>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</si>
  <si>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</si>
  <si>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</si>
  <si>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</si>
  <si>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</si>
  <si>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</si>
  <si>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</si>
  <si>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</si>
  <si>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</si>
  <si>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</si>
  <si>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</si>
  <si>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</si>
  <si>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</si>
  <si>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</si>
  <si>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</si>
  <si>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</si>
  <si>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</si>
  <si>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</si>
  <si>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</si>
  <si>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</si>
  <si>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</si>
  <si>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</si>
  <si>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</si>
  <si>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</si>
  <si>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</si>
  <si>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</si>
  <si>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</si>
  <si>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</si>
  <si>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</si>
  <si>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</si>
  <si>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</si>
  <si>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</si>
  <si>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</si>
  <si>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</si>
  <si>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</si>
  <si>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</si>
  <si>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</si>
  <si>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</si>
  <si>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</si>
  <si>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</si>
  <si>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</si>
  <si>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</si>
  <si>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</si>
  <si>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</si>
  <si>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</si>
  <si>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</si>
  <si>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</si>
  <si>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</si>
  <si>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</si>
  <si>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</si>
  <si>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</si>
  <si>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</si>
  <si>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</si>
  <si>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</si>
  <si>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</si>
  <si>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</si>
  <si>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</si>
  <si>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</si>
  <si>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</si>
  <si>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</si>
  <si>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</si>
  <si>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</si>
  <si>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</si>
  <si>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</si>
  <si>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</si>
  <si>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</si>
  <si>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</si>
  <si>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</si>
  <si>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</si>
  <si>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</si>
  <si>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</si>
  <si>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</si>
  <si>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</si>
  <si>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</si>
  <si>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</si>
  <si>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</si>
  <si>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</si>
  <si>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</si>
  <si>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</si>
  <si>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</si>
  <si>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</si>
  <si>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</si>
  <si>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</si>
  <si>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</si>
  <si>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</si>
  <si>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</si>
  <si>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</si>
  <si>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</si>
  <si>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</si>
  <si>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</si>
  <si>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</si>
  <si>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</si>
  <si>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</si>
  <si>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</si>
  <si>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</si>
  <si>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</si>
  <si>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</si>
  <si>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</si>
  <si>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</si>
  <si>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</si>
  <si>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</si>
  <si>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</si>
  <si>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</si>
  <si>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</si>
  <si>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</si>
  <si>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</si>
  <si>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</si>
  <si>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</si>
  <si>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</si>
  <si>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</si>
  <si>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</si>
  <si>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</si>
  <si>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</si>
  <si>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</si>
  <si>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</si>
  <si>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</si>
  <si>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</si>
  <si>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</si>
  <si>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</si>
  <si>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</si>
  <si>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</si>
  <si>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</si>
  <si>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</si>
  <si>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</si>
  <si>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</si>
  <si>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</si>
  <si>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</si>
  <si>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</si>
  <si>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</si>
  <si>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</si>
  <si>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</si>
  <si>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</si>
  <si>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</si>
  <si>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</si>
  <si>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</si>
  <si>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</si>
  <si>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</si>
  <si>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</si>
  <si>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</si>
  <si>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</si>
  <si>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</si>
  <si>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</si>
  <si>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</si>
  <si>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</si>
  <si>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</si>
  <si>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</si>
  <si>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</si>
  <si>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</si>
  <si>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</si>
  <si>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</si>
  <si>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</si>
  <si>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</si>
  <si>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</si>
  <si>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</si>
  <si>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</si>
  <si>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</si>
  <si>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</si>
  <si>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</si>
  <si>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</si>
  <si>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</si>
  <si>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</si>
  <si>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</si>
  <si>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</si>
  <si>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</si>
  <si>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</si>
  <si>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</si>
  <si>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</si>
  <si>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</si>
  <si>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</si>
  <si>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</si>
  <si>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</si>
  <si>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</si>
  <si>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</si>
  <si>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</si>
  <si>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</si>
  <si>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</si>
  <si>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</si>
  <si>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</si>
  <si>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</si>
  <si>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</si>
  <si>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</si>
  <si>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</si>
  <si>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</si>
  <si>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</si>
  <si>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</si>
  <si>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</si>
  <si>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</si>
  <si>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</si>
  <si>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</si>
  <si>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</si>
  <si>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</si>
  <si>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</si>
  <si>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</si>
  <si>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</si>
  <si>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</si>
  <si>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</si>
  <si>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</si>
  <si>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</si>
  <si>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</si>
  <si>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</si>
  <si>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</si>
  <si>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</si>
  <si>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</si>
  <si>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</si>
  <si>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</si>
  <si>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</si>
  <si>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</si>
  <si>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</si>
  <si>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</si>
  <si>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</si>
  <si>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</si>
  <si>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</si>
  <si>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</si>
  <si>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</si>
  <si>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</si>
  <si>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</si>
  <si>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</si>
  <si>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</si>
  <si>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</si>
  <si>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</si>
  <si>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</si>
  <si>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</si>
  <si>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</si>
  <si>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</si>
  <si>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</si>
  <si>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</si>
  <si>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</si>
  <si>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</si>
  <si>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</si>
  <si>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</si>
  <si>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</si>
  <si>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</si>
  <si>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</si>
  <si>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</si>
  <si>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</si>
  <si>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</si>
  <si>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</si>
  <si>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</si>
  <si>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</si>
  <si>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</si>
  <si>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</si>
  <si>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</si>
  <si>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</si>
  <si>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</si>
  <si>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</si>
  <si>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</si>
  <si>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</si>
  <si>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</si>
  <si>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</si>
  <si>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</si>
  <si>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</si>
  <si>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</si>
  <si>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</si>
  <si>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</si>
  <si>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</si>
  <si>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</si>
  <si>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</si>
  <si>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</si>
  <si>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</si>
  <si>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</si>
  <si>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</si>
  <si>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</si>
  <si>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</si>
  <si>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</si>
  <si>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</si>
  <si>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</si>
  <si>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</si>
  <si>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</si>
  <si>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</si>
  <si>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</si>
  <si>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</si>
  <si>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</si>
  <si>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</si>
  <si>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</si>
  <si>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</si>
  <si>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</si>
  <si>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</si>
  <si>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</si>
  <si>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</si>
  <si>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</si>
  <si>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</si>
  <si>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</si>
  <si>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</si>
  <si>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</si>
  <si>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</si>
  <si>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</si>
  <si>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</si>
  <si>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</si>
  <si>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</si>
  <si>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</si>
  <si>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</si>
  <si>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</si>
  <si>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</si>
  <si>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</si>
  <si>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</si>
  <si>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</si>
  <si>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</si>
  <si>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</si>
  <si>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</si>
  <si>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</si>
  <si>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</si>
  <si>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</si>
  <si>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</si>
  <si>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</si>
  <si>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</si>
  <si>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</si>
  <si>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</si>
  <si>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</si>
  <si>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</si>
  <si>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</si>
  <si>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</si>
  <si>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</si>
  <si>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</si>
  <si>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</si>
  <si>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</si>
  <si>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</si>
  <si>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</si>
  <si>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</si>
  <si>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</si>
  <si>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</si>
  <si>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</si>
  <si>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</si>
  <si>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</si>
  <si>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</si>
  <si>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</si>
  <si>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</si>
  <si>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</si>
  <si>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</si>
  <si>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</si>
  <si>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</si>
  <si>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</si>
  <si>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</si>
  <si>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</si>
  <si>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</si>
  <si>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</si>
  <si>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</si>
  <si>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</si>
  <si>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</si>
  <si>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</si>
  <si>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</si>
  <si>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</si>
  <si>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</si>
  <si>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</si>
  <si>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</si>
  <si>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</si>
  <si>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</si>
  <si>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</si>
  <si>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</si>
  <si>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</si>
  <si>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</si>
  <si>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</si>
  <si>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</si>
  <si>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</si>
  <si>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</si>
  <si>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</si>
  <si>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</si>
  <si>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</si>
  <si>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</si>
  <si>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</si>
  <si>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</si>
  <si>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</si>
  <si>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</si>
  <si>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</si>
  <si>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</si>
  <si>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</si>
  <si>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</si>
  <si>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</si>
  <si>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</si>
  <si>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</si>
  <si>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</si>
  <si>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</si>
  <si>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</si>
  <si>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</si>
  <si>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</si>
  <si>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</si>
  <si>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</si>
  <si>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</si>
  <si>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</si>
  <si>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</si>
  <si>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</si>
  <si>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</si>
  <si>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</si>
  <si>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</si>
  <si>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</si>
  <si>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</si>
  <si>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</si>
  <si>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</si>
  <si>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</si>
  <si>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</si>
  <si>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</si>
  <si>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</si>
  <si>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</si>
  <si>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</si>
  <si>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</si>
  <si>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</si>
  <si>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</si>
  <si>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</si>
  <si>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</si>
  <si>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</si>
  <si>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</si>
  <si>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</si>
  <si>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</si>
  <si>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</si>
  <si>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</si>
  <si>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</si>
  <si>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</si>
  <si>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</si>
  <si>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</si>
  <si>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</si>
  <si>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</si>
  <si>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</si>
  <si>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</si>
  <si>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</si>
  <si>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</si>
  <si>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</si>
  <si>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</si>
  <si>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</si>
  <si>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</si>
  <si>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</si>
  <si>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</si>
  <si>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</si>
  <si>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</si>
  <si>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</si>
  <si>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</si>
  <si>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</si>
  <si>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</si>
  <si>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</si>
  <si>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</si>
  <si>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</si>
  <si>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</si>
  <si>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</si>
  <si>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</si>
  <si>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</si>
  <si>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</si>
  <si>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</si>
  <si>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</si>
  <si>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</si>
  <si>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</si>
  <si>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</si>
  <si>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</si>
  <si>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</si>
  <si>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</si>
  <si>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</si>
  <si>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</si>
  <si>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</si>
  <si>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</si>
  <si>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</si>
  <si>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</si>
  <si>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</si>
  <si>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</si>
  <si>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</si>
  <si>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</si>
  <si>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</si>
  <si>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</si>
  <si>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</si>
  <si>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</si>
  <si>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</si>
  <si>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</si>
  <si>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</si>
  <si>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</si>
  <si>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</si>
  <si>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</si>
  <si>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</si>
  <si>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</si>
  <si>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</si>
  <si>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</si>
  <si>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</si>
  <si>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</si>
  <si>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</si>
  <si>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</si>
  <si>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</si>
  <si>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</si>
  <si>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</si>
  <si>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</si>
  <si>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</si>
  <si>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</si>
  <si>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</si>
  <si>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</si>
  <si>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</si>
  <si>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</si>
  <si>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</si>
  <si>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</si>
  <si>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</si>
  <si>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</si>
  <si>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</si>
  <si>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</si>
  <si>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</si>
  <si>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</si>
  <si>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</si>
  <si>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</si>
  <si>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</si>
  <si>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</si>
  <si>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</si>
  <si>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</si>
  <si>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</si>
  <si>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</si>
  <si>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</si>
  <si>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</si>
  <si>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</si>
  <si>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</si>
  <si>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</si>
  <si>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</si>
  <si>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</si>
  <si>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</si>
  <si>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</si>
  <si>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</si>
  <si>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</si>
  <si>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</si>
  <si>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</si>
  <si>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</si>
  <si>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</si>
  <si>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</si>
  <si>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</si>
  <si>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</si>
  <si>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</si>
  <si>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</si>
  <si>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</si>
  <si>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</si>
  <si>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</si>
  <si>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</si>
  <si>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</si>
  <si>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</si>
  <si>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</si>
  <si>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</si>
  <si>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</si>
  <si>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</si>
  <si>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</si>
  <si>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</si>
  <si>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</si>
  <si>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</si>
  <si>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</si>
  <si>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</si>
  <si>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</si>
  <si>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</si>
  <si>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</si>
  <si>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</si>
  <si>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</si>
  <si>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</si>
  <si>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</si>
  <si>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</si>
  <si>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</si>
  <si>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</si>
  <si>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</si>
  <si>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</si>
  <si>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</si>
  <si>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</si>
  <si>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</si>
  <si>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</si>
  <si>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</si>
  <si>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</si>
  <si>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</si>
  <si>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</si>
  <si>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</si>
  <si>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</si>
  <si>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</si>
  <si>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</si>
  <si>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</si>
  <si>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</si>
  <si>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</si>
  <si>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</si>
  <si>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</si>
  <si>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</si>
  <si>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</si>
  <si>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</si>
  <si>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</si>
  <si>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</si>
  <si>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</si>
  <si>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</si>
  <si>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</si>
  <si>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</si>
  <si>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</si>
  <si>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</si>
  <si>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</si>
  <si>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</si>
  <si>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</si>
  <si>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</si>
  <si>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</si>
  <si>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</si>
  <si>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</si>
  <si>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</si>
  <si>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</si>
  <si>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</si>
  <si>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</si>
  <si>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</si>
  <si>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</si>
  <si>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</si>
  <si>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</si>
  <si>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</si>
  <si>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</si>
  <si>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</si>
  <si>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</si>
  <si>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</si>
  <si>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</si>
  <si>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</si>
  <si>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</si>
  <si>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</si>
  <si>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</si>
  <si>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</si>
  <si>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</si>
  <si>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</si>
  <si>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</si>
  <si>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</si>
  <si>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</si>
  <si>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</si>
  <si>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</si>
  <si>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</si>
  <si>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</si>
  <si>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</si>
  <si>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</si>
  <si>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</si>
  <si>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</si>
  <si>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</si>
  <si>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</si>
  <si>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</si>
  <si>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</si>
  <si>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</si>
  <si>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</si>
  <si>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</si>
  <si>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</si>
  <si>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</si>
  <si>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</si>
  <si>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</si>
  <si>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</si>
  <si>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</si>
  <si>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</si>
  <si>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</si>
  <si>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</si>
  <si>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</si>
  <si>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</si>
  <si>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</si>
  <si>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</si>
  <si>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</si>
  <si>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</si>
  <si>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</si>
  <si>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</si>
  <si>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</si>
  <si>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</si>
  <si>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</si>
  <si>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</si>
  <si>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</si>
  <si>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</si>
  <si>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</si>
  <si>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</si>
  <si>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</si>
  <si>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</si>
  <si>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</si>
  <si>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</si>
  <si>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</si>
  <si>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</si>
  <si>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</si>
  <si>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</si>
  <si>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</si>
  <si>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</si>
  <si>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</si>
  <si>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</si>
  <si>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</si>
  <si>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</si>
  <si>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</si>
  <si>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</si>
  <si>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</si>
  <si>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</si>
  <si>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</si>
  <si>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</si>
  <si>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</si>
  <si>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</si>
  <si>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</si>
  <si>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</si>
  <si>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</si>
  <si>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</si>
  <si>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</si>
  <si>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</si>
  <si>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</si>
  <si>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</si>
  <si>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</si>
  <si>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</si>
  <si>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</si>
  <si>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</si>
  <si>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</si>
  <si>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</si>
  <si>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</si>
  <si>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</si>
  <si>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</si>
  <si>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</si>
  <si>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</si>
  <si>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</si>
  <si>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</si>
  <si>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</si>
  <si>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</si>
  <si>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</si>
  <si>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</si>
  <si>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</si>
  <si>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</si>
  <si>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</si>
  <si>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</si>
  <si>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</si>
  <si>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</si>
  <si>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</si>
  <si>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</si>
  <si>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</si>
  <si>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</si>
  <si>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</si>
  <si>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</si>
  <si>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</si>
  <si>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</si>
  <si>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</si>
  <si>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</si>
  <si>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</si>
  <si>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</si>
  <si>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</si>
  <si>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</si>
  <si>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</si>
  <si>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</si>
  <si>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</si>
  <si>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</si>
  <si>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</si>
  <si>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</si>
  <si>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</si>
  <si>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</si>
  <si>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</si>
  <si>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</si>
  <si>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</si>
  <si>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</si>
  <si>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</si>
  <si>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</si>
  <si>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</si>
  <si>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</si>
  <si>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</si>
  <si>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</si>
  <si>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</si>
  <si>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</si>
  <si>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</si>
  <si>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</si>
  <si>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</si>
  <si>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</si>
  <si>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</si>
  <si>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</si>
  <si>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</si>
  <si>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</si>
  <si>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</si>
  <si>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</si>
  <si>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</si>
  <si>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</si>
  <si>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</si>
  <si>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</si>
  <si>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</si>
  <si>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</si>
  <si>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</si>
  <si>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</si>
  <si>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</si>
  <si>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</si>
  <si>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</si>
  <si>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</si>
  <si>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</si>
  <si>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</si>
  <si>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</si>
  <si>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</si>
  <si>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</si>
  <si>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</si>
  <si>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</si>
  <si>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</si>
  <si>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</si>
  <si>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</si>
  <si>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</si>
  <si>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</si>
  <si>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</si>
  <si>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</si>
  <si>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</si>
  <si>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</si>
  <si>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</si>
  <si>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</si>
  <si>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</si>
  <si>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</si>
  <si>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</si>
  <si>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</si>
  <si>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</si>
  <si>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</si>
  <si>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</si>
  <si>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</si>
  <si>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</si>
  <si>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</si>
  <si>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</si>
  <si>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</si>
  <si>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</si>
  <si>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</si>
  <si>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</si>
  <si>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</si>
  <si>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</si>
  <si>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</si>
  <si>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</si>
  <si>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</si>
  <si>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</si>
  <si>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</si>
  <si>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</si>
  <si>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</si>
  <si>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</si>
  <si>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</si>
  <si>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</si>
  <si>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</si>
  <si>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</si>
  <si>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</si>
  <si>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</si>
  <si>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</si>
  <si>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</si>
  <si>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</si>
  <si>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</si>
  <si>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</si>
  <si>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</si>
  <si>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</si>
  <si>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</si>
  <si>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</si>
  <si>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</si>
  <si>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</si>
  <si>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</si>
  <si>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</si>
  <si>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</si>
  <si>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</si>
  <si>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</si>
  <si>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</si>
  <si>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</si>
  <si>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</si>
  <si>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</si>
  <si>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</si>
  <si>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</si>
  <si>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</si>
  <si>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</si>
  <si>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</si>
  <si>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</si>
  <si>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</si>
  <si>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</si>
  <si>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</si>
  <si>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</si>
  <si>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</si>
  <si>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</si>
  <si>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</si>
  <si>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</si>
  <si>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</si>
  <si>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</si>
  <si>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</si>
  <si>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</si>
  <si>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</si>
  <si>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</si>
  <si>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</si>
  <si>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</si>
  <si>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</si>
  <si>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</si>
  <si>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</si>
  <si>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</si>
  <si>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</si>
  <si>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</si>
  <si>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</si>
  <si>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</si>
  <si>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</si>
  <si>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</si>
  <si>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</si>
  <si>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</si>
  <si>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</si>
  <si>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</si>
  <si>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</si>
  <si>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</si>
  <si>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</si>
  <si>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</si>
  <si>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</si>
  <si>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</si>
  <si>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</si>
  <si>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</si>
  <si>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</si>
  <si>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</si>
  <si>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</si>
  <si>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</si>
  <si>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</si>
  <si>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</si>
  <si>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</si>
  <si>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</si>
  <si>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</si>
  <si>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</si>
  <si>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</si>
  <si>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</si>
  <si>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</si>
  <si>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</si>
  <si>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</si>
  <si>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</si>
  <si>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</si>
  <si>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</si>
  <si>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</si>
  <si>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</si>
  <si>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</si>
  <si>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</si>
  <si>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</si>
  <si>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</si>
  <si>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</si>
  <si>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</si>
  <si>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</si>
  <si>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</si>
  <si>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</si>
  <si>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</si>
  <si>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</si>
  <si>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</si>
  <si>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</si>
  <si>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</si>
  <si>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</si>
  <si>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</si>
  <si>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</si>
  <si>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</si>
  <si>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</si>
  <si>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</si>
  <si>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</si>
  <si>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</si>
  <si>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</si>
  <si>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</si>
  <si>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</si>
  <si>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</si>
  <si>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</si>
  <si>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</si>
  <si>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</si>
  <si>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</si>
  <si>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</si>
  <si>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</si>
  <si>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</si>
  <si>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</si>
  <si>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</si>
  <si>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</si>
  <si>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</si>
  <si>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</si>
  <si>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</si>
  <si>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</si>
  <si>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</si>
  <si>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</si>
  <si>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</si>
  <si>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</si>
  <si>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</si>
  <si>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</si>
  <si>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</si>
  <si>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</si>
  <si>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</si>
  <si>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</si>
  <si>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</si>
  <si>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</si>
  <si>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</si>
  <si>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</si>
  <si>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</si>
  <si>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</si>
  <si>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</si>
  <si>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</si>
  <si>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</si>
  <si>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</si>
  <si>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</si>
  <si>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</si>
  <si>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</si>
  <si>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</si>
  <si>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</si>
  <si>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</si>
  <si>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</si>
  <si>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</si>
  <si>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</si>
  <si>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</si>
  <si>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</si>
  <si>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</si>
  <si>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</si>
  <si>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</si>
  <si>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</si>
  <si>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</si>
  <si>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</si>
  <si>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</si>
  <si>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</si>
  <si>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</si>
  <si>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</si>
  <si>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</si>
  <si>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</si>
  <si>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</si>
  <si>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</si>
  <si>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</si>
  <si>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</si>
  <si>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</si>
  <si>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</si>
  <si>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</si>
  <si>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</si>
  <si>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</si>
  <si>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</si>
  <si>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</si>
  <si>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</si>
  <si>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</si>
  <si>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</si>
  <si>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</si>
  <si>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</si>
  <si>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</si>
  <si>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</si>
  <si>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</si>
  <si>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</si>
  <si>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</si>
  <si>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</si>
  <si>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</si>
  <si>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</si>
  <si>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</si>
  <si>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</si>
  <si>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</si>
  <si>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</si>
  <si>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</si>
  <si>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</si>
  <si>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</si>
  <si>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</si>
  <si>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</si>
  <si>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</si>
  <si>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</si>
  <si>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</si>
  <si>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</si>
  <si>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</si>
  <si>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</si>
  <si>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</si>
  <si>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</si>
  <si>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</si>
  <si>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</si>
  <si>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</si>
  <si>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</si>
  <si>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</si>
  <si>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</si>
  <si>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</si>
  <si>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</si>
  <si>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</si>
  <si>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</si>
  <si>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</si>
  <si>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</si>
  <si>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</si>
  <si>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</si>
  <si>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</si>
  <si>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</si>
  <si>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</si>
  <si>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</si>
  <si>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</si>
  <si>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</si>
  <si>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</si>
  <si>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</si>
  <si>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</si>
  <si>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</si>
  <si>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</si>
  <si>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</si>
  <si>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</si>
  <si>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</si>
  <si>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</si>
  <si>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</si>
  <si>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</si>
  <si>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</si>
  <si>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</si>
  <si>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</si>
  <si>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</si>
  <si>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</si>
  <si>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</si>
  <si>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</si>
  <si>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</si>
  <si>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</si>
  <si>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</si>
  <si>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</si>
  <si>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</si>
  <si>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</si>
  <si>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</si>
  <si>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</si>
  <si>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</si>
  <si>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</si>
  <si>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</si>
  <si>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</si>
  <si>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</si>
  <si>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</si>
  <si>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</si>
  <si>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</si>
  <si>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</si>
  <si>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</si>
  <si>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</si>
  <si>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</si>
  <si>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</si>
  <si>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</si>
  <si>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</si>
  <si>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</si>
  <si>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</si>
  <si>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</si>
  <si>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</si>
  <si>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</si>
  <si>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</si>
  <si>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</si>
  <si>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</si>
  <si>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</si>
  <si>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</si>
  <si>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</si>
  <si>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</si>
  <si>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</si>
  <si>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</si>
  <si>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</si>
  <si>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</si>
  <si>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</si>
  <si>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</si>
  <si>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</si>
  <si>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</si>
  <si>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</si>
  <si>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</si>
  <si>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</si>
  <si>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</si>
  <si>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</si>
  <si>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</si>
  <si>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</si>
  <si>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</si>
  <si>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</si>
  <si>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</si>
  <si>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</si>
  <si>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</si>
  <si>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</si>
  <si>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</si>
  <si>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</si>
  <si>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</si>
  <si>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</si>
  <si>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</si>
  <si>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</si>
  <si>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</si>
  <si>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</si>
  <si>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</si>
  <si>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</si>
  <si>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</si>
  <si>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</si>
  <si>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</si>
  <si>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</si>
  <si>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</si>
  <si>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</si>
  <si>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</si>
  <si>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</si>
  <si>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</si>
  <si>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</si>
  <si>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</si>
  <si>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</si>
  <si>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</si>
  <si>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</si>
  <si>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</si>
  <si>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</si>
  <si>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</si>
  <si>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</si>
  <si>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</si>
  <si>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</si>
  <si>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</si>
  <si>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</si>
  <si>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</si>
  <si>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</si>
  <si>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</si>
  <si>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</si>
  <si>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</si>
  <si>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</si>
  <si>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</si>
  <si>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</si>
  <si>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</si>
  <si>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</si>
  <si>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</si>
  <si>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</si>
  <si>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</si>
  <si>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</si>
  <si>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</si>
  <si>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</si>
  <si>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</si>
  <si>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</si>
  <si>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</si>
  <si>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</si>
  <si>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</si>
  <si>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</si>
  <si>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</si>
  <si>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</si>
  <si>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</si>
  <si>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</si>
  <si>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</si>
  <si>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</si>
  <si>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</si>
  <si>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</si>
  <si>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</si>
  <si>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</si>
  <si>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</si>
  <si>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</si>
  <si>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</si>
  <si>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</si>
  <si>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</si>
  <si>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</si>
  <si>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</si>
  <si>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</si>
  <si>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</si>
  <si>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</si>
  <si>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</si>
  <si>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</si>
  <si>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</si>
  <si>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</si>
  <si>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</si>
  <si>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</si>
  <si>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</si>
  <si>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</si>
  <si>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</si>
  <si>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</si>
  <si>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</si>
  <si>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</si>
  <si>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</si>
  <si>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</si>
  <si>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</si>
  <si>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</si>
  <si>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</si>
  <si>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</si>
  <si>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</si>
  <si>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</si>
  <si>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</si>
  <si>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</si>
  <si>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</si>
  <si>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</si>
  <si>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</si>
  <si>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</si>
  <si>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</si>
  <si>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</si>
  <si>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</si>
  <si>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</si>
  <si>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</si>
  <si>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</si>
  <si>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</si>
  <si>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</si>
  <si>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</si>
  <si>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</si>
  <si>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</si>
  <si>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</si>
  <si>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</si>
  <si>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</si>
  <si>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</si>
  <si>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</si>
  <si>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</si>
  <si>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</si>
  <si>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</si>
  <si>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</si>
  <si>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</si>
  <si>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</si>
  <si>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</si>
  <si>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</si>
  <si>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</si>
  <si>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</si>
  <si>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</si>
  <si>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</si>
  <si>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</si>
  <si>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</si>
  <si>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</si>
  <si>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</si>
  <si>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</si>
  <si>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</si>
  <si>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</si>
  <si>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</si>
  <si>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</si>
  <si>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</si>
  <si>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</si>
  <si>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</si>
  <si>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</si>
  <si>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</si>
  <si>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</si>
  <si>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</si>
  <si>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</si>
  <si>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</si>
  <si>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</si>
  <si>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</si>
  <si>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</si>
  <si>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</si>
  <si>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</si>
  <si>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</si>
  <si>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</si>
  <si>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</si>
  <si>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</si>
  <si>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</si>
  <si>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</si>
  <si>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</si>
  <si>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</si>
  <si>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</si>
  <si>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</si>
  <si>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</si>
  <si>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</si>
  <si>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</si>
  <si>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</si>
  <si>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</si>
  <si>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</si>
  <si>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</si>
  <si>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</si>
  <si>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</si>
  <si>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</si>
  <si>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</si>
  <si>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</si>
  <si>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</si>
  <si>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</si>
  <si>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</si>
  <si>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</si>
  <si>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</si>
  <si>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</si>
  <si>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</si>
  <si>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</si>
  <si>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</si>
  <si>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</si>
  <si>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</si>
  <si>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</si>
  <si>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</si>
  <si>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</si>
  <si>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</si>
  <si>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</si>
  <si>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</si>
  <si>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</si>
  <si>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</si>
  <si>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</si>
  <si>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</si>
  <si>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</si>
  <si>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</si>
  <si>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</si>
  <si>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</si>
  <si>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</si>
  <si>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</si>
  <si>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</si>
  <si>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</si>
  <si>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</si>
  <si>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</si>
  <si>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</si>
  <si>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</si>
  <si>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</si>
  <si>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</si>
  <si>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</si>
  <si>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</si>
  <si>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</si>
  <si>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</si>
  <si>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</si>
  <si>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</si>
  <si>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</si>
  <si>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</si>
  <si>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</si>
  <si>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</si>
  <si>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</si>
  <si>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</si>
  <si>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</si>
  <si>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</si>
  <si>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</si>
  <si>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</si>
  <si>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</si>
  <si>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</si>
  <si>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</si>
  <si>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</si>
  <si>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</si>
  <si>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</si>
  <si>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</si>
  <si>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</si>
  <si>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</si>
  <si>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</si>
  <si>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</si>
  <si>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</si>
  <si>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</si>
  <si>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</si>
  <si>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</si>
  <si>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</si>
  <si>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</si>
  <si>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</si>
  <si>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</si>
  <si>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</si>
  <si>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</si>
  <si>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</si>
  <si>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</si>
  <si>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</si>
  <si>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</si>
  <si>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</si>
  <si>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</si>
  <si>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</si>
  <si>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</si>
  <si>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</si>
  <si>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</si>
  <si>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</si>
  <si>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</si>
  <si>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</si>
  <si>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</si>
  <si>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</si>
  <si>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</si>
  <si>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</si>
  <si>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</si>
  <si>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</si>
  <si>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</si>
  <si>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</si>
  <si>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</si>
  <si>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</si>
  <si>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</si>
  <si>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</si>
  <si>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</si>
  <si>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</si>
  <si>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</si>
  <si>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</si>
  <si>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</si>
  <si>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</si>
  <si>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</si>
  <si>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</si>
  <si>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</si>
  <si>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</si>
  <si>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</si>
  <si>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</si>
  <si>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</si>
  <si>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</si>
  <si>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</si>
  <si>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</si>
  <si>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</si>
  <si>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</si>
  <si>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</si>
  <si>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</si>
  <si>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</si>
  <si>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</si>
  <si>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</si>
  <si>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</si>
  <si>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</si>
  <si>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</si>
  <si>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</si>
  <si>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</si>
  <si>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</si>
  <si>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</si>
  <si>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</si>
  <si>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</si>
  <si>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</si>
  <si>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</si>
  <si>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</si>
  <si>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</si>
  <si>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</si>
  <si>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</si>
  <si>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</si>
  <si>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</si>
  <si>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</si>
  <si>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</si>
  <si>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</si>
  <si>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</si>
  <si>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</si>
  <si>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</si>
  <si>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</si>
  <si>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</si>
  <si>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</si>
  <si>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</si>
  <si>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</si>
  <si>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</si>
  <si>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</si>
  <si>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</si>
  <si>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</si>
  <si>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</si>
  <si>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</si>
  <si>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</si>
  <si>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</si>
  <si>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</si>
  <si>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</si>
  <si>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</si>
  <si>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</si>
  <si>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</si>
  <si>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</si>
  <si>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</si>
  <si>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</si>
  <si>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</si>
  <si>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</si>
  <si>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</si>
  <si>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</si>
  <si>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</si>
  <si>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</si>
  <si>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</si>
  <si>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</si>
  <si>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</si>
  <si>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</si>
  <si>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</si>
  <si>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</si>
  <si>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</si>
  <si>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</si>
  <si>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</si>
  <si>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</si>
  <si>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</si>
  <si>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</si>
  <si>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</si>
  <si>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</si>
  <si>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</si>
  <si>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</si>
  <si>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</si>
  <si>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</si>
  <si>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</si>
  <si>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</si>
  <si>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</si>
  <si>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</si>
  <si>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</si>
  <si>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</si>
  <si>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</si>
  <si>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</si>
  <si>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</si>
  <si>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</si>
  <si>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</si>
  <si>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</si>
  <si>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</si>
  <si>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</si>
  <si>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</si>
  <si>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</si>
  <si>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</si>
  <si>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</si>
  <si>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</si>
  <si>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</si>
  <si>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</si>
  <si>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</si>
  <si>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</si>
  <si>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</si>
  <si>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</si>
  <si>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</si>
  <si>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</si>
  <si>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</si>
  <si>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</si>
  <si>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</si>
  <si>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</si>
  <si>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</si>
  <si>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</si>
  <si>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</si>
  <si>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</si>
  <si>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</si>
  <si>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</si>
  <si>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</si>
  <si>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</si>
  <si>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</si>
  <si>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</si>
  <si>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</si>
  <si>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</si>
  <si>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</si>
  <si>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</si>
  <si>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</si>
  <si>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</si>
  <si>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</si>
  <si>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</si>
  <si>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</si>
  <si>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</si>
  <si>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</si>
  <si>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</si>
  <si>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</si>
  <si>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</si>
  <si>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</si>
  <si>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</si>
  <si>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</si>
  <si>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</si>
  <si>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</si>
  <si>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</si>
  <si>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</si>
  <si>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</si>
  <si>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</si>
  <si>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</si>
  <si>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</si>
  <si>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</si>
  <si>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</si>
  <si>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</si>
  <si>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</si>
  <si>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</si>
  <si>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</si>
  <si>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</si>
  <si>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</si>
  <si>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</si>
  <si>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</si>
  <si>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</si>
  <si>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</si>
  <si>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</si>
  <si>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</si>
  <si>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</si>
  <si>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</si>
  <si>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</si>
  <si>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</si>
  <si>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</si>
  <si>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</si>
  <si>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</si>
  <si>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</si>
  <si>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</si>
  <si>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</si>
  <si>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</si>
  <si>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</si>
  <si>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</si>
  <si>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</si>
  <si>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</si>
  <si>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</si>
  <si>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</si>
  <si>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</si>
  <si>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</si>
  <si>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</si>
  <si>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</si>
  <si>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</si>
  <si>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</si>
  <si>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</si>
  <si>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</si>
  <si>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</si>
  <si>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</si>
  <si>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</si>
  <si>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</si>
  <si>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</si>
  <si>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</si>
  <si>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</si>
  <si>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</si>
  <si>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</si>
  <si>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</si>
  <si>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</si>
  <si>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</si>
  <si>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</si>
  <si>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</si>
  <si>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</si>
  <si>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</si>
  <si>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</si>
  <si>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</si>
  <si>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</si>
  <si>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</si>
  <si>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</si>
  <si>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</si>
  <si>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</si>
  <si>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</si>
  <si>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</si>
  <si>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</si>
  <si>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</si>
  <si>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</si>
  <si>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</si>
  <si>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</si>
  <si>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</si>
  <si>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</si>
  <si>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</si>
  <si>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</si>
  <si>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</si>
  <si>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</si>
  <si>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</si>
  <si>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</si>
  <si>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</si>
  <si>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</si>
  <si>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</si>
  <si>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</si>
  <si>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</si>
  <si>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</si>
  <si>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</si>
  <si>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</si>
  <si>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</si>
  <si>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</si>
  <si>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</si>
  <si>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</si>
  <si>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</si>
  <si>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</si>
  <si>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</si>
  <si>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</si>
  <si>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</si>
  <si>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</si>
  <si>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</si>
  <si>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</si>
  <si>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</si>
  <si>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</si>
  <si>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</si>
  <si>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</si>
  <si>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</si>
  <si>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</si>
  <si>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</si>
  <si>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</si>
  <si>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</si>
  <si>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</si>
  <si>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</si>
  <si>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</si>
  <si>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</si>
  <si>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</si>
  <si>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</si>
  <si>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</si>
  <si>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</si>
  <si>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</si>
  <si>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</si>
  <si>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</si>
  <si>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</si>
  <si>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</si>
  <si>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</si>
  <si>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</si>
  <si>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</si>
  <si>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</si>
  <si>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</si>
  <si>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</si>
  <si>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</si>
  <si>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</si>
  <si>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</si>
  <si>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</si>
  <si>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</si>
  <si>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</si>
  <si>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</si>
  <si>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</si>
  <si>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</si>
  <si>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</si>
  <si>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</si>
  <si>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</si>
  <si>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</si>
  <si>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</si>
  <si>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</si>
  <si>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</si>
  <si>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</si>
  <si>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</si>
  <si>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</si>
  <si>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</si>
  <si>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</si>
  <si>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</si>
  <si>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</si>
  <si>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</si>
  <si>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</si>
  <si>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</si>
  <si>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</si>
  <si>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</si>
  <si>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</si>
  <si>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</si>
  <si>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</si>
  <si>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</si>
  <si>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</si>
  <si>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</si>
  <si>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</si>
  <si>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</si>
  <si>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</si>
  <si>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</si>
  <si>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</si>
  <si>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</si>
  <si>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</si>
  <si>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</si>
  <si>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</si>
  <si>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</si>
  <si>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</si>
  <si>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</si>
  <si>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</si>
  <si>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</si>
  <si>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</si>
  <si>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</si>
  <si>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</si>
  <si>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</si>
  <si>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</si>
  <si>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</si>
  <si>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</si>
  <si>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</si>
  <si>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</si>
  <si>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</si>
  <si>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</si>
  <si>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</si>
  <si>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</si>
  <si>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</si>
  <si>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</si>
  <si>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</si>
  <si>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</si>
  <si>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</si>
  <si>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</si>
  <si>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</si>
  <si>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</si>
  <si>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</si>
  <si>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</si>
  <si>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</si>
  <si>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</si>
  <si>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</si>
  <si>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</si>
  <si>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</si>
  <si>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</si>
  <si>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</si>
  <si>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</si>
  <si>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</si>
  <si>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</si>
  <si>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</si>
  <si>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</si>
  <si>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</si>
  <si>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</si>
  <si>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</si>
  <si>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</si>
  <si>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</si>
  <si>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</si>
  <si>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</si>
  <si>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</si>
  <si>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</si>
  <si>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</si>
  <si>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</si>
  <si>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</si>
  <si>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</si>
  <si>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</si>
  <si>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</si>
  <si>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</si>
  <si>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</si>
  <si>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</si>
  <si>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</si>
  <si>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</si>
  <si>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</si>
  <si>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</si>
  <si>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</si>
  <si>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</si>
  <si>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</si>
  <si>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</si>
  <si>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</si>
  <si>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</si>
  <si>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</si>
  <si>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</si>
  <si>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</si>
  <si>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</si>
  <si>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</si>
  <si>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</si>
  <si>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</si>
  <si>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</si>
  <si>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</si>
  <si>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</si>
  <si>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</si>
  <si>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</si>
  <si>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</si>
  <si>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</si>
  <si>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</si>
  <si>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</si>
  <si>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</si>
  <si>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</si>
  <si>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</si>
  <si>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</si>
  <si>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</si>
  <si>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</si>
  <si>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</si>
  <si>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</si>
  <si>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</si>
  <si>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</si>
  <si>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</si>
  <si>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</si>
  <si>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</si>
  <si>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</si>
  <si>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</si>
  <si>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</si>
  <si>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</si>
  <si>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</si>
  <si>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</si>
  <si>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</si>
  <si>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</si>
  <si>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</si>
  <si>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</si>
  <si>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</si>
  <si>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</si>
  <si>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</si>
  <si>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</si>
  <si>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</si>
  <si>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</si>
  <si>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</si>
  <si>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</si>
  <si>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</si>
  <si>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</si>
  <si>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</si>
  <si>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</si>
  <si>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</si>
  <si>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</si>
  <si>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</si>
  <si>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</si>
  <si>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</si>
  <si>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</si>
  <si>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</si>
  <si>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</si>
  <si>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</si>
  <si>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</si>
  <si>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</si>
  <si>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</si>
  <si>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</si>
  <si>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</si>
  <si>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</si>
  <si>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</si>
  <si>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</si>
  <si>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</si>
  <si>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</si>
  <si>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</si>
  <si>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</si>
  <si>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</si>
  <si>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</si>
  <si>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</si>
  <si>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</si>
  <si>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</si>
  <si>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</si>
  <si>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</si>
  <si>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</si>
  <si>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</si>
  <si>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</si>
  <si>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</si>
  <si>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</si>
  <si>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</si>
  <si>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</si>
  <si>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</si>
  <si>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</si>
  <si>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</si>
  <si>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</si>
  <si>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</si>
  <si>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</si>
  <si>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</si>
  <si>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</si>
  <si>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</si>
  <si>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</si>
  <si>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</si>
  <si>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</si>
  <si>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</si>
  <si>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</si>
  <si>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</si>
  <si>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</si>
  <si>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</si>
  <si>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</si>
  <si>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</si>
  <si>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</si>
  <si>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</si>
  <si>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</si>
  <si>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</si>
  <si>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</si>
  <si>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</si>
  <si>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</si>
  <si>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</si>
  <si>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</si>
  <si>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</si>
  <si>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</si>
  <si>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</si>
  <si>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</si>
  <si>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</si>
  <si>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</si>
  <si>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</si>
  <si>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</si>
  <si>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</si>
  <si>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</si>
  <si>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</si>
  <si>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</si>
  <si>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</si>
  <si>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</si>
  <si>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</si>
  <si>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</si>
  <si>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</si>
  <si>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</si>
  <si>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</si>
  <si>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</si>
  <si>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</si>
  <si>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</si>
  <si>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</si>
  <si>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</si>
  <si>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</si>
  <si>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</si>
  <si>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</si>
  <si>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</si>
  <si>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</si>
  <si>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</si>
  <si>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</si>
  <si>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</si>
  <si>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</si>
  <si>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</si>
  <si>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</si>
  <si>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</si>
  <si>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</si>
  <si>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</si>
  <si>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</si>
  <si>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</si>
  <si>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</si>
  <si>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</si>
  <si>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</si>
  <si>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</si>
  <si>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</si>
  <si>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</si>
  <si>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</si>
  <si>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</si>
  <si>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</si>
  <si>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</si>
  <si>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</si>
  <si>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</si>
  <si>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</si>
  <si>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</si>
  <si>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</si>
  <si>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</si>
  <si>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</si>
  <si>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</si>
  <si>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</si>
  <si>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</si>
  <si>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</si>
  <si>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</si>
  <si>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</si>
  <si>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</si>
  <si>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</si>
  <si>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</si>
  <si>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</si>
  <si>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</si>
  <si>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</si>
  <si>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</si>
  <si>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</si>
  <si>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</si>
  <si>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</si>
  <si>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</si>
  <si>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</si>
  <si>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</si>
  <si>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</si>
  <si>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</si>
  <si>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</si>
  <si>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</si>
  <si>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</si>
  <si>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</si>
  <si>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</si>
  <si>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</si>
  <si>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</si>
  <si>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</si>
  <si>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</si>
  <si>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</si>
  <si>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</si>
  <si>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</si>
  <si>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</si>
  <si>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</si>
  <si>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</si>
  <si>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</si>
  <si>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</si>
  <si>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</si>
  <si>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</si>
  <si>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</si>
  <si>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</si>
  <si>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</si>
  <si>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</si>
  <si>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</si>
  <si>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</si>
  <si>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</si>
  <si>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</si>
  <si>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</si>
  <si>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</si>
  <si>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</si>
  <si>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</si>
  <si>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</si>
  <si>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</si>
  <si>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</si>
  <si>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</si>
  <si>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</si>
  <si>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</si>
  <si>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</si>
  <si>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</si>
  <si>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</si>
  <si>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</si>
  <si>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</si>
  <si>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</si>
  <si>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</si>
  <si>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</si>
  <si>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</si>
  <si>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</si>
  <si>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</si>
  <si>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</si>
  <si>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</si>
  <si>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</si>
  <si>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</si>
  <si>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</si>
  <si>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</si>
  <si>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</si>
  <si>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</si>
  <si>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</si>
  <si>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</si>
  <si>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</si>
  <si>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</si>
  <si>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</si>
  <si>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</si>
  <si>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</si>
  <si>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</si>
  <si>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</si>
  <si>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</si>
  <si>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</si>
  <si>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</si>
  <si>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</si>
  <si>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</si>
  <si>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</si>
  <si>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</si>
  <si>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</si>
  <si>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</si>
  <si>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</si>
  <si>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</si>
  <si>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</si>
  <si>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</si>
  <si>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</si>
  <si>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</si>
  <si>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</si>
  <si>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</si>
  <si>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</si>
  <si>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</si>
  <si>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</si>
  <si>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</si>
  <si>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</si>
  <si>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</si>
  <si>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</si>
  <si>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</si>
  <si>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</si>
  <si>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</si>
  <si>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</si>
  <si>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</si>
  <si>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</si>
  <si>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</si>
  <si>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</si>
  <si>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</si>
  <si>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</si>
  <si>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</si>
  <si>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</si>
  <si>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</si>
  <si>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</si>
  <si>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</si>
  <si>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</si>
  <si>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</si>
  <si>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</si>
  <si>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</si>
  <si>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</si>
  <si>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</si>
  <si>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</si>
  <si>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</si>
  <si>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</si>
  <si>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</si>
  <si>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</si>
  <si>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</si>
  <si>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</si>
  <si>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</si>
  <si>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</si>
  <si>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</si>
  <si>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</si>
  <si>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</si>
  <si>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</si>
  <si>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</si>
  <si>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</si>
  <si>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</si>
  <si>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</si>
  <si>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</si>
  <si>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</si>
  <si>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</si>
  <si>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</si>
  <si>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</si>
  <si>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</si>
  <si>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</si>
  <si>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</si>
  <si>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</si>
  <si>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</si>
  <si>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</si>
  <si>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</si>
  <si>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</si>
  <si>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</si>
  <si>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</si>
  <si>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</si>
  <si>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</si>
  <si>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</si>
  <si>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</si>
  <si>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</si>
  <si>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</si>
  <si>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</si>
  <si>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</si>
  <si>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</si>
  <si>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</si>
  <si>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</si>
  <si>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</si>
  <si>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</si>
  <si>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</si>
  <si>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</si>
  <si>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</si>
  <si>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</si>
  <si>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</si>
  <si>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</si>
  <si>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</si>
  <si>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</si>
  <si>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</si>
  <si>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</si>
  <si>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</si>
  <si>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</si>
  <si>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</si>
  <si>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</si>
  <si>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</si>
  <si>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</si>
  <si>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</si>
  <si>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</si>
  <si>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</si>
  <si>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</si>
  <si>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</si>
  <si>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</si>
  <si>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</si>
  <si>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</si>
  <si>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</si>
  <si>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</si>
  <si>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</si>
  <si>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</si>
  <si>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</si>
  <si>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</si>
  <si>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</si>
  <si>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</si>
  <si>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</si>
  <si>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</si>
  <si>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</si>
  <si>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</si>
  <si>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</si>
  <si>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</si>
  <si>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</si>
  <si>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</si>
  <si>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</si>
  <si>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</si>
  <si>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</si>
  <si>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</si>
  <si>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</si>
  <si>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</si>
  <si>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</si>
  <si>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</si>
  <si>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</si>
  <si>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</si>
  <si>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</si>
  <si>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</si>
  <si>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</si>
  <si>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</si>
  <si>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</si>
  <si>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</si>
  <si>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</si>
  <si>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</si>
  <si>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</si>
  <si>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</si>
  <si>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</si>
  <si>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</si>
  <si>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</si>
  <si>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</si>
  <si>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</si>
  <si>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</si>
  <si>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</si>
  <si>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</si>
  <si>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</si>
  <si>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</si>
  <si>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</si>
  <si>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</si>
  <si>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</si>
  <si>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</si>
  <si>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</si>
  <si>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</si>
  <si>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</si>
  <si>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</si>
  <si>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</si>
  <si>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</si>
  <si>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</si>
  <si>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</si>
  <si>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</si>
  <si>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</si>
  <si>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</si>
  <si>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</si>
  <si>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</si>
  <si>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</si>
  <si>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</si>
  <si>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</si>
  <si>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</si>
  <si>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</si>
  <si>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</si>
  <si>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</si>
  <si>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</si>
  <si>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</si>
  <si>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</si>
  <si>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</si>
  <si>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</si>
  <si>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</si>
  <si>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</si>
  <si>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</si>
  <si>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</si>
  <si>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</si>
  <si>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</si>
  <si>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</si>
  <si>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</si>
  <si>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</si>
  <si>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</si>
  <si>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</si>
  <si>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</si>
  <si>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</si>
  <si>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</si>
  <si>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</si>
  <si>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</si>
  <si>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</si>
  <si>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</si>
  <si>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</si>
  <si>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</si>
  <si>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</si>
  <si>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</si>
  <si>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</si>
  <si>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</si>
  <si>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</si>
  <si>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</si>
  <si>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</si>
  <si>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</si>
  <si>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</si>
  <si>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</si>
  <si>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</si>
  <si>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</si>
  <si>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</si>
  <si>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</si>
  <si>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</si>
  <si>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</si>
  <si>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</si>
  <si>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</si>
  <si>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</si>
  <si>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</si>
  <si>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</si>
  <si>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</si>
  <si>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</si>
  <si>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</si>
  <si>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</si>
  <si>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</si>
  <si>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</si>
  <si>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</si>
  <si>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</si>
  <si>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</si>
  <si>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</si>
  <si>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</si>
  <si>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</si>
  <si>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</si>
  <si>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</si>
  <si>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</si>
  <si>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</si>
  <si>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</si>
  <si>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</si>
  <si>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</si>
  <si>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</si>
  <si>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</si>
  <si>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</si>
  <si>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</si>
  <si>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</si>
  <si>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</si>
  <si>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</si>
  <si>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</si>
  <si>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</si>
  <si>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</si>
  <si>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</si>
  <si>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</si>
  <si>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</si>
  <si>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</si>
  <si>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</si>
  <si>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</si>
  <si>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</si>
  <si>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</si>
  <si>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</si>
  <si>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</si>
  <si>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</si>
  <si>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</si>
  <si>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</si>
  <si>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</si>
  <si>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</si>
  <si>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</si>
  <si>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</si>
  <si>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</si>
  <si>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</si>
  <si>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</si>
  <si>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</si>
  <si>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</si>
  <si>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</si>
  <si>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</si>
  <si>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</si>
  <si>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</si>
  <si>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</si>
  <si>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</si>
  <si>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</si>
  <si>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</si>
  <si>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</si>
  <si>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</si>
  <si>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</si>
  <si>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</si>
  <si>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</si>
  <si>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</si>
  <si>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</si>
  <si>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</si>
  <si>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</si>
  <si>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</si>
  <si>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</si>
  <si>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</si>
  <si>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</si>
  <si>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</si>
  <si>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</si>
  <si>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</si>
  <si>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</si>
  <si>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</si>
  <si>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</si>
  <si>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</si>
  <si>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</si>
  <si>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</si>
  <si>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</si>
  <si>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</si>
  <si>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</si>
  <si>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</si>
  <si>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</si>
  <si>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</si>
  <si>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</si>
  <si>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</si>
  <si>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</si>
  <si>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</si>
  <si>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</si>
  <si>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</si>
  <si>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</si>
  <si>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</si>
  <si>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</si>
  <si>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</si>
  <si>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</si>
  <si>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</si>
  <si>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</si>
  <si>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</si>
  <si>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</si>
  <si>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</si>
  <si>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</si>
  <si>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</si>
  <si>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</si>
  <si>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</si>
  <si>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</si>
  <si>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</si>
  <si>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</si>
  <si>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</si>
  <si>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</si>
  <si>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</si>
  <si>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</si>
  <si>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</si>
  <si>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</si>
  <si>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</si>
  <si>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</si>
  <si>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</si>
  <si>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</si>
  <si>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</si>
  <si>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</si>
  <si>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</si>
  <si>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</si>
  <si>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</si>
  <si>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</si>
  <si>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</si>
  <si>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</si>
  <si>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</si>
  <si>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</si>
  <si>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</si>
  <si>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</si>
  <si>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</si>
  <si>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</si>
  <si>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</si>
  <si>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</si>
  <si>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</si>
  <si>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</si>
  <si>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</si>
  <si>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</si>
  <si>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</si>
  <si>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</si>
  <si>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</si>
  <si>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</si>
  <si>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</si>
  <si>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</si>
  <si>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</si>
  <si>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</si>
  <si>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</si>
  <si>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</si>
  <si>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</si>
  <si>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</si>
  <si>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</si>
  <si>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</si>
  <si>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</si>
  <si>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</si>
  <si>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</si>
  <si>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</si>
  <si>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</si>
  <si>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</si>
  <si>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</si>
  <si>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</si>
  <si>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</si>
  <si>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</si>
  <si>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</si>
  <si>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</si>
  <si>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</si>
  <si>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</si>
  <si>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</si>
  <si>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</si>
  <si>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</si>
  <si>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</si>
  <si>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</si>
  <si>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</si>
  <si>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</si>
  <si>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</si>
  <si>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</si>
  <si>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</si>
  <si>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</si>
  <si>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</si>
  <si>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</si>
  <si>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</si>
  <si>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</si>
  <si>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</si>
  <si>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</si>
  <si>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</si>
  <si>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</si>
  <si>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</si>
  <si>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</si>
  <si>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</si>
  <si>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</si>
  <si>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</si>
  <si>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</si>
  <si>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</si>
  <si>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</si>
  <si>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</si>
  <si>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</si>
  <si>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</si>
  <si>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</si>
  <si>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</si>
  <si>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</si>
  <si>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</si>
  <si>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</si>
  <si>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</si>
  <si>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</si>
  <si>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</si>
  <si>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</si>
  <si>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</si>
  <si>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</si>
  <si>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</si>
  <si>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</si>
  <si>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</si>
  <si>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</si>
  <si>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</si>
  <si>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</si>
  <si>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</si>
  <si>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</si>
  <si>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</si>
  <si>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</si>
  <si>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</si>
  <si>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</si>
  <si>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</si>
  <si>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</si>
  <si>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</si>
  <si>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</si>
  <si>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</si>
  <si>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</si>
  <si>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</si>
  <si>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</si>
  <si>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</si>
  <si>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</si>
  <si>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</si>
  <si>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</si>
  <si>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</si>
  <si>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</si>
  <si>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</si>
  <si>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</si>
  <si>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</si>
  <si>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</si>
  <si>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</si>
  <si>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</si>
  <si>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</si>
  <si>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</si>
  <si>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</si>
  <si>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</si>
  <si>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</si>
  <si>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</si>
  <si>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</si>
  <si>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</si>
  <si>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</si>
  <si>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</si>
  <si>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</si>
  <si>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</si>
  <si>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</si>
  <si>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</si>
  <si>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</si>
  <si>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</si>
  <si>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</si>
  <si>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</si>
  <si>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</si>
  <si>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</si>
  <si>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</si>
  <si>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</si>
  <si>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</si>
  <si>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</si>
  <si>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</si>
  <si>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</si>
  <si>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</si>
  <si>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</si>
  <si>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</si>
  <si>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</si>
  <si>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</si>
  <si>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</si>
  <si>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</si>
  <si>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</si>
  <si>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</si>
  <si>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</si>
  <si>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</si>
  <si>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</si>
  <si>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</si>
  <si>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</si>
  <si>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</si>
  <si>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</si>
  <si>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</si>
  <si>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</si>
  <si>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</si>
  <si>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</si>
  <si>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</si>
  <si>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</si>
  <si>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</si>
  <si>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</si>
  <si>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</si>
  <si>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</si>
  <si>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</si>
  <si>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</si>
  <si>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</si>
  <si>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</si>
  <si>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</si>
  <si>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</si>
  <si>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</si>
  <si>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</si>
  <si>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</si>
  <si>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</si>
  <si>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</si>
  <si>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</si>
  <si>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</si>
  <si>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</si>
  <si>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</si>
  <si>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</si>
  <si>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</si>
  <si>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</si>
  <si>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</si>
  <si>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</si>
  <si>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</si>
  <si>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</si>
  <si>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</si>
  <si>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</si>
  <si>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</si>
  <si>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</si>
  <si>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</si>
  <si>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</si>
  <si>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</si>
  <si>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</si>
  <si>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</si>
  <si>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</si>
  <si>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</si>
  <si>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</si>
  <si>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</si>
  <si>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</si>
  <si>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</si>
  <si>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</si>
  <si>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</si>
  <si>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</si>
  <si>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</si>
  <si>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</si>
  <si>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</si>
  <si>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</si>
  <si>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</si>
  <si>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</si>
  <si>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</si>
  <si>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</si>
  <si>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</si>
  <si>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</si>
  <si>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</si>
  <si>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</si>
  <si>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</si>
  <si>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</si>
  <si>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</si>
  <si>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</si>
  <si>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</si>
  <si>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</si>
  <si>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</si>
  <si>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</si>
  <si>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</si>
  <si>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</si>
  <si>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</si>
  <si>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</si>
  <si>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</si>
  <si>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</si>
  <si>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</si>
  <si>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</si>
  <si>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</si>
  <si>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</si>
  <si>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</si>
  <si>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</si>
  <si>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</si>
  <si>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</si>
  <si>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</si>
  <si>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</si>
  <si>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</si>
  <si>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</si>
  <si>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</si>
  <si>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</si>
  <si>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</si>
  <si>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</si>
  <si>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</si>
  <si>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</si>
  <si>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</si>
  <si>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</si>
  <si>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</si>
  <si>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</si>
  <si>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</si>
  <si>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</si>
  <si>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</si>
  <si>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</si>
  <si>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</si>
  <si>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</si>
  <si>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</si>
  <si>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</si>
  <si>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</si>
  <si>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</si>
  <si>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</si>
  <si>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</si>
  <si>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</si>
  <si>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</si>
  <si>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</si>
  <si>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</si>
  <si>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</si>
  <si>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</si>
  <si>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</si>
  <si>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</si>
  <si>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</si>
  <si>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</si>
  <si>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</si>
  <si>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</si>
  <si>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</si>
  <si>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</si>
  <si>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</si>
  <si>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</si>
  <si>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</si>
  <si>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</si>
  <si>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</si>
  <si>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</si>
  <si>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</si>
  <si>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</si>
  <si>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</si>
  <si>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</si>
  <si>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</si>
  <si>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</si>
  <si>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</si>
  <si>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</si>
  <si>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</si>
  <si>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</si>
  <si>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</si>
  <si>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</si>
  <si>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</si>
  <si>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</si>
  <si>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</si>
  <si>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</si>
  <si>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</si>
  <si>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</si>
  <si>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</si>
  <si>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</si>
  <si>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</si>
  <si>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</si>
  <si>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</si>
  <si>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</si>
  <si>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</si>
  <si>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</si>
  <si>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</si>
  <si>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</si>
  <si>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</si>
  <si>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</si>
  <si>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</si>
  <si>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</si>
  <si>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</si>
  <si>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</si>
  <si>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</si>
  <si>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</si>
  <si>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</si>
  <si>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</si>
  <si>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</si>
  <si>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</si>
  <si>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</si>
  <si>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</si>
  <si>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</si>
  <si>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</si>
  <si>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</si>
  <si>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</si>
  <si>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</si>
  <si>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</si>
  <si>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</si>
  <si>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</si>
  <si>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</si>
  <si>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</si>
  <si>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</si>
  <si>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</si>
  <si>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</si>
  <si>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</si>
  <si>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</si>
  <si>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</si>
  <si>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</si>
  <si>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</si>
  <si>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</si>
  <si>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</si>
  <si>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</si>
  <si>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</si>
  <si>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</si>
  <si>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</si>
  <si>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</si>
  <si>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</si>
  <si>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</si>
  <si>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</si>
  <si>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</si>
  <si>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</si>
  <si>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</si>
  <si>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</si>
  <si>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</si>
  <si>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</si>
  <si>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</si>
  <si>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</si>
  <si>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</si>
  <si>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</si>
  <si>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</si>
  <si>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</si>
  <si>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</si>
  <si>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</si>
  <si>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</si>
  <si>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</si>
  <si>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</si>
  <si>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</si>
  <si>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</si>
  <si>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</si>
  <si>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</si>
  <si>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</si>
  <si>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</si>
  <si>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</si>
  <si>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</si>
  <si>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</si>
  <si>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</si>
  <si>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</si>
  <si>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</si>
  <si>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</si>
  <si>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</si>
  <si>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</si>
  <si>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</si>
  <si>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</si>
  <si>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</si>
  <si>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</si>
  <si>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</si>
  <si>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</si>
  <si>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</si>
  <si>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</si>
  <si>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</si>
  <si>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</si>
  <si>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</si>
  <si>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</si>
  <si>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</si>
  <si>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</si>
  <si>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</si>
  <si>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</si>
  <si>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</si>
  <si>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</si>
  <si>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</si>
  <si>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</si>
  <si>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</si>
  <si>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</si>
  <si>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</si>
  <si>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</si>
  <si>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</si>
  <si>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</si>
  <si>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</si>
  <si>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</si>
  <si>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</si>
  <si>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</si>
  <si>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</si>
  <si>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</si>
  <si>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</si>
  <si>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</si>
  <si>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</si>
  <si>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</si>
  <si>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</si>
  <si>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</si>
  <si>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</si>
  <si>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</si>
  <si>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</si>
  <si>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</si>
  <si>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</si>
  <si>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</si>
  <si>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</si>
  <si>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</si>
  <si>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</si>
  <si>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</si>
  <si>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</si>
  <si>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</si>
  <si>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</si>
  <si>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</si>
  <si>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</si>
  <si>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</si>
  <si>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</si>
  <si>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</si>
  <si>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</si>
  <si>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</si>
  <si>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</si>
  <si>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</si>
  <si>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</si>
  <si>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</si>
  <si>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</si>
  <si>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</si>
  <si>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</si>
  <si>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</si>
  <si>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</si>
  <si>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</si>
  <si>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</si>
  <si>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</si>
  <si>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</si>
  <si>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</si>
  <si>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</si>
  <si>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</si>
  <si>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</si>
  <si>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</si>
  <si>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</si>
  <si>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</si>
  <si>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</si>
  <si>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</si>
  <si>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</si>
  <si>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</si>
  <si>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</si>
  <si>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</si>
  <si>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</si>
  <si>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</si>
  <si>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</si>
  <si>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</si>
  <si>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</si>
  <si>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</si>
  <si>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</si>
  <si>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</si>
  <si>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</si>
  <si>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</si>
  <si>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</si>
  <si>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</si>
  <si>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</si>
  <si>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</si>
  <si>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</si>
  <si>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</si>
  <si>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</si>
  <si>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</si>
  <si>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</si>
  <si>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</si>
  <si>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</si>
  <si>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</si>
  <si>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</si>
  <si>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</si>
  <si>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</si>
  <si>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</si>
  <si>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</si>
  <si>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</si>
  <si>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</si>
  <si>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</si>
  <si>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</si>
  <si>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</si>
  <si>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</si>
  <si>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</si>
  <si>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</si>
  <si>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</si>
  <si>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</si>
  <si>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</si>
  <si>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</si>
  <si>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</si>
  <si>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</si>
  <si>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</si>
  <si>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</si>
  <si>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</si>
  <si>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</si>
  <si>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</si>
  <si>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</si>
  <si>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</si>
  <si>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</si>
  <si>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</si>
  <si>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</si>
  <si>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</si>
  <si>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</si>
  <si>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</si>
  <si>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</si>
  <si>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</si>
  <si>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</si>
  <si>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</si>
  <si>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</si>
  <si>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</si>
  <si>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</si>
  <si>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</si>
  <si>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</si>
  <si>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</si>
  <si>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</si>
  <si>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</si>
  <si>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</si>
  <si>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</si>
  <si>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</si>
  <si>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</si>
  <si>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</si>
  <si>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</si>
  <si>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</si>
  <si>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</si>
  <si>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</si>
  <si>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</si>
  <si>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</si>
  <si>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</si>
  <si>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</si>
  <si>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</si>
  <si>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</si>
  <si>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</si>
  <si>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</si>
  <si>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</si>
  <si>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</si>
  <si>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</si>
  <si>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</si>
  <si>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</si>
  <si>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</si>
  <si>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</si>
  <si>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</si>
  <si>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</si>
  <si>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</si>
  <si>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</si>
  <si>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</si>
  <si>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</si>
  <si>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</si>
  <si>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</si>
  <si>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</si>
  <si>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</si>
  <si>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</si>
  <si>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</si>
  <si>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</si>
  <si>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</si>
  <si>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</si>
  <si>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</si>
  <si>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</si>
  <si>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</si>
  <si>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</si>
  <si>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</si>
  <si>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</si>
  <si>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</si>
  <si>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</si>
  <si>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</si>
  <si>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</si>
  <si>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</si>
  <si>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</si>
  <si>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</si>
  <si>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</si>
  <si>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</si>
  <si>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</si>
  <si>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</si>
  <si>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</si>
  <si>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</si>
  <si>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</si>
  <si>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</si>
  <si>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</si>
  <si>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</si>
  <si>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</si>
  <si>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</si>
  <si>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</si>
  <si>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</si>
  <si>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</si>
  <si>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</si>
  <si>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</si>
  <si>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</si>
  <si>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</si>
  <si>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</si>
  <si>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</si>
  <si>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</si>
  <si>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</si>
  <si>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</si>
  <si>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</si>
  <si>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</si>
  <si>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</si>
  <si>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</si>
  <si>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</si>
  <si>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</si>
  <si>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</si>
  <si>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</si>
  <si>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</si>
  <si>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</si>
  <si>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</si>
  <si>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</si>
  <si>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</si>
  <si>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</si>
  <si>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</si>
  <si>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</si>
  <si>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</si>
  <si>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</si>
  <si>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</si>
  <si>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</si>
  <si>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</si>
  <si>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</si>
  <si>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</si>
  <si>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</si>
  <si>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</si>
  <si>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</si>
  <si>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</si>
  <si>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</si>
  <si>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</si>
  <si>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</si>
  <si>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</si>
  <si>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</si>
  <si>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</si>
  <si>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</si>
  <si>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</si>
  <si>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</si>
  <si>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</si>
  <si>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</si>
  <si>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</si>
  <si>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</si>
  <si>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</si>
  <si>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</si>
  <si>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</si>
  <si>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</si>
  <si>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</si>
  <si>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</si>
  <si>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</si>
  <si>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</si>
  <si>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</si>
  <si>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</si>
  <si>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</si>
  <si>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</si>
  <si>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</si>
  <si>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</si>
  <si>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</si>
  <si>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</si>
  <si>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</si>
  <si>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</si>
  <si>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</si>
  <si>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</si>
  <si>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</si>
  <si>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</si>
  <si>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</si>
  <si>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</si>
  <si>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</si>
  <si>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</si>
  <si>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</si>
  <si>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</si>
  <si>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</si>
  <si>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</si>
  <si>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</si>
  <si>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</si>
  <si>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</si>
  <si>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</si>
  <si>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</si>
  <si>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</si>
  <si>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</si>
  <si>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</si>
  <si>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</si>
  <si>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</si>
  <si>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</si>
  <si>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</si>
  <si>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</si>
  <si>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</si>
  <si>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</si>
  <si>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</si>
  <si>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</si>
  <si>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</si>
  <si>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</si>
  <si>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</si>
  <si>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</si>
  <si>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</si>
  <si>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</si>
  <si>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</si>
  <si>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</si>
  <si>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</si>
  <si>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</si>
  <si>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</si>
  <si>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</si>
  <si>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</si>
  <si>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</si>
  <si>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</si>
  <si>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</si>
  <si>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</si>
  <si>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</si>
  <si>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</si>
  <si>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</si>
  <si>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</si>
  <si>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</si>
  <si>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</si>
  <si>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</si>
  <si>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</si>
  <si>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</si>
  <si>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</si>
  <si>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</si>
  <si>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</si>
  <si>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</si>
  <si>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</si>
  <si>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</si>
  <si>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</si>
  <si>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</si>
  <si>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</si>
  <si>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</si>
  <si>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</si>
  <si>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</si>
  <si>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</si>
  <si>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</si>
  <si>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</si>
  <si>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</si>
  <si>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</si>
  <si>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</si>
  <si>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</si>
  <si>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</si>
  <si>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</si>
  <si>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</si>
  <si>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</si>
  <si>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</si>
  <si>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</si>
  <si>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</si>
  <si>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</si>
  <si>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</si>
  <si>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</si>
  <si>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</si>
  <si>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</si>
  <si>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</si>
  <si>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</si>
  <si>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</si>
  <si>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</si>
  <si>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</si>
  <si>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</si>
  <si>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</si>
  <si>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</si>
  <si>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</si>
  <si>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</si>
  <si>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</si>
  <si>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</si>
  <si>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</si>
  <si>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</si>
  <si>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</si>
  <si>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</si>
  <si>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</si>
  <si>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</si>
  <si>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</si>
  <si>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</si>
  <si>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</si>
  <si>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</si>
  <si>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</si>
  <si>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</si>
  <si>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</si>
  <si>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</si>
  <si>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</si>
  <si>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</si>
  <si>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</si>
  <si>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</si>
  <si>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</si>
  <si>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</si>
  <si>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</si>
  <si>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</si>
  <si>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</si>
  <si>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</si>
  <si>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</si>
  <si>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</si>
  <si>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</si>
  <si>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</si>
  <si>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</si>
  <si>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</si>
  <si>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</si>
  <si>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</si>
  <si>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</si>
  <si>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</si>
  <si>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</si>
  <si>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</si>
  <si>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</si>
  <si>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</si>
  <si>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</si>
  <si>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</si>
  <si>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</si>
  <si>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</si>
  <si>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</si>
  <si>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</si>
  <si>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</si>
  <si>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</si>
  <si>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</si>
  <si>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</si>
  <si>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</si>
  <si>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</si>
  <si>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</si>
  <si>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</si>
  <si>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</si>
  <si>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</si>
  <si>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</si>
  <si>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</si>
  <si>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</si>
  <si>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</si>
  <si>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</si>
  <si>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</si>
  <si>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</si>
  <si>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</si>
  <si>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</si>
  <si>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</si>
  <si>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</si>
  <si>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</si>
  <si>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</si>
  <si>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</si>
  <si>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</si>
  <si>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</si>
  <si>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</si>
  <si>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</si>
  <si>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</si>
  <si>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</si>
  <si>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</si>
  <si>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</si>
  <si>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</si>
  <si>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</si>
  <si>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</si>
  <si>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</si>
  <si>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</si>
  <si>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</si>
  <si>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</si>
  <si>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</si>
  <si>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</si>
  <si>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</si>
  <si>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</si>
  <si>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</si>
  <si>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</si>
  <si>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</si>
  <si>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</si>
  <si>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</si>
  <si>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</si>
  <si>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</si>
  <si>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</si>
  <si>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</si>
  <si>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</si>
  <si>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</si>
  <si>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</si>
  <si>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</si>
  <si>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</si>
  <si>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</si>
  <si>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</si>
  <si>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</si>
  <si>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</si>
  <si>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</si>
  <si>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</si>
  <si>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</si>
  <si>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</si>
  <si>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</si>
  <si>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</si>
  <si>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</si>
  <si>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</si>
  <si>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</si>
  <si>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</si>
  <si>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</si>
  <si>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</si>
  <si>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</si>
  <si>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</si>
  <si>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</si>
  <si>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</si>
  <si>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</si>
  <si>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</si>
  <si>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</si>
  <si>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</si>
  <si>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</si>
  <si>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</si>
  <si>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</si>
  <si>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</si>
  <si>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</si>
  <si>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</si>
  <si>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</si>
  <si>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</si>
  <si>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</si>
  <si>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</si>
  <si>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</si>
  <si>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</si>
  <si>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</si>
  <si>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</si>
  <si>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</si>
  <si>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</si>
  <si>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</si>
  <si>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</si>
  <si>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</si>
  <si>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</si>
  <si>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</si>
  <si>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</si>
  <si>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</si>
  <si>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</si>
  <si>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</si>
  <si>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</si>
  <si>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</si>
  <si>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</si>
  <si>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</si>
  <si>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</si>
  <si>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</si>
  <si>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</si>
  <si>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</si>
  <si>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</si>
  <si>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</si>
  <si>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</si>
  <si>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</si>
  <si>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</si>
  <si>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</si>
  <si>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</si>
  <si>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</si>
  <si>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</si>
  <si>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</si>
  <si>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</si>
  <si>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</si>
  <si>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</si>
  <si>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</si>
  <si>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</si>
  <si>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</si>
  <si>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</si>
  <si>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</si>
  <si>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</si>
  <si>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</si>
  <si>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</si>
  <si>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</si>
  <si>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</si>
  <si>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</si>
  <si>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</si>
  <si>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</si>
  <si>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</si>
  <si>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</si>
  <si>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</si>
  <si>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</si>
  <si>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</si>
  <si>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</si>
  <si>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</si>
  <si>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</si>
  <si>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</si>
  <si>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</si>
  <si>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</si>
  <si>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</si>
  <si>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</si>
  <si>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</si>
  <si>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</si>
  <si>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</si>
  <si>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</si>
  <si>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</si>
  <si>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</si>
  <si>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</si>
  <si>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</si>
  <si>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</si>
  <si>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</si>
  <si>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</si>
  <si>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</si>
  <si>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</si>
  <si>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</si>
  <si>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</si>
  <si>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</si>
  <si>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</si>
  <si>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</si>
  <si>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</si>
  <si>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</si>
  <si>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</si>
  <si>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</si>
  <si>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</si>
  <si>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</si>
  <si>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</si>
  <si>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</si>
  <si>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</si>
  <si>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</si>
  <si>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</si>
  <si>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</si>
  <si>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</si>
  <si>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</si>
  <si>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</si>
  <si>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</si>
  <si>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</si>
  <si>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</si>
  <si>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</si>
  <si>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</si>
  <si>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</si>
  <si>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</si>
  <si>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</si>
  <si>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</si>
  <si>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</si>
  <si>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</si>
  <si>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</si>
  <si>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</si>
  <si>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</si>
  <si>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</si>
  <si>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</si>
  <si>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</si>
  <si>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</si>
  <si>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</si>
  <si>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</si>
  <si>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</si>
  <si>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</si>
  <si>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</si>
  <si>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</si>
  <si>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</si>
  <si>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</si>
  <si>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</si>
  <si>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</si>
  <si>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</si>
  <si>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</si>
  <si>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</si>
  <si>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</si>
  <si>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</si>
  <si>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</si>
  <si>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</si>
  <si>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</si>
  <si>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</si>
  <si>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</si>
  <si>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</si>
  <si>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</si>
  <si>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</si>
  <si>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</si>
  <si>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</si>
  <si>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</si>
  <si>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</si>
  <si>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</si>
  <si>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</si>
  <si>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</si>
  <si>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</si>
  <si>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</si>
  <si>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</si>
  <si>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</si>
  <si>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</si>
  <si>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</si>
  <si>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</si>
  <si>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</si>
  <si>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</si>
  <si>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</si>
  <si>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</si>
  <si>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</si>
  <si>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</si>
  <si>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</si>
  <si>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</si>
  <si>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</si>
  <si>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</si>
  <si>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</si>
  <si>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</si>
  <si>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</si>
  <si>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</si>
  <si>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</si>
  <si>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</si>
  <si>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</si>
  <si>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</si>
  <si>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</si>
  <si>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</si>
  <si>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</si>
  <si>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</si>
  <si>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</si>
  <si>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</si>
  <si>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</si>
  <si>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</si>
  <si>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</si>
  <si>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</si>
  <si>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</si>
  <si>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</si>
  <si>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</si>
  <si>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</si>
  <si>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</si>
  <si>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</si>
  <si>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</si>
  <si>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</si>
  <si>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</si>
  <si>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</si>
  <si>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</si>
  <si>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</si>
  <si>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</si>
  <si>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</si>
  <si>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</si>
  <si>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</si>
  <si>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</si>
  <si>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</si>
  <si>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</si>
  <si>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</si>
  <si>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</si>
  <si>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</si>
  <si>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</si>
  <si>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</si>
  <si>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</si>
  <si>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</si>
  <si>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</si>
  <si>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</si>
  <si>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</si>
  <si>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</si>
  <si>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</si>
  <si>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</si>
  <si>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</si>
  <si>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</si>
  <si>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</si>
  <si>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</si>
  <si>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</si>
  <si>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</si>
  <si>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</si>
  <si>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</si>
  <si>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</si>
  <si>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</si>
  <si>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</si>
  <si>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</si>
  <si>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</si>
  <si>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</si>
  <si>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</si>
  <si>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</si>
  <si>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</si>
  <si>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</si>
  <si>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</si>
  <si>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</si>
  <si>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</si>
  <si>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</si>
  <si>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</si>
  <si>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</si>
  <si>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</si>
  <si>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</si>
  <si>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</si>
  <si>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</si>
  <si>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</si>
  <si>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</si>
  <si>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</si>
  <si>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</si>
  <si>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</si>
  <si>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</si>
  <si>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</si>
  <si>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</si>
  <si>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</si>
  <si>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</si>
  <si>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</si>
  <si>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</si>
  <si>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</si>
  <si>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</si>
  <si>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</si>
  <si>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</si>
  <si>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</si>
  <si>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</si>
  <si>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</si>
  <si>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</si>
  <si>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</si>
  <si>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</si>
  <si>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</si>
  <si>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</si>
  <si>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</si>
  <si>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</si>
  <si>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</si>
  <si>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</si>
  <si>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</si>
  <si>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</si>
  <si>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</si>
  <si>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</si>
  <si>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</si>
  <si>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</si>
  <si>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</si>
  <si>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</si>
  <si>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</si>
  <si>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</si>
  <si>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</si>
  <si>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</si>
  <si>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</si>
  <si>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</si>
  <si>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</si>
  <si>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</si>
  <si>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</si>
  <si>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</si>
  <si>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</si>
  <si>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</si>
  <si>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</si>
  <si>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</si>
  <si>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</si>
  <si>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</si>
  <si>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</si>
  <si>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</si>
  <si>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</si>
  <si>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</si>
  <si>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</si>
  <si>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</si>
  <si>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</si>
  <si>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</si>
  <si>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</si>
  <si>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</si>
  <si>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</si>
  <si>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</si>
  <si>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</si>
  <si>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</si>
  <si>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</si>
  <si>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</si>
  <si>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</si>
  <si>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</si>
  <si>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</si>
  <si>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</si>
  <si>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</si>
  <si>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</si>
  <si>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</si>
  <si>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</si>
  <si>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</si>
  <si>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</si>
  <si>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</si>
  <si>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</si>
  <si>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</si>
  <si>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</si>
  <si>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</si>
  <si>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</si>
  <si>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</si>
  <si>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</si>
  <si>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</si>
  <si>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</si>
  <si>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</si>
  <si>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</si>
  <si>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</si>
  <si>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</si>
  <si>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</si>
  <si>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</si>
  <si>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</si>
  <si>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</si>
  <si>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</si>
  <si>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</si>
  <si>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</si>
  <si>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</si>
  <si>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</si>
  <si>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</si>
  <si>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</si>
  <si>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</si>
  <si>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</si>
  <si>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</si>
  <si>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</si>
  <si>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</si>
  <si>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</si>
  <si>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</si>
  <si>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</si>
  <si>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</si>
  <si>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</si>
  <si>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</si>
  <si>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</si>
  <si>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</si>
  <si>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</si>
  <si>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</si>
  <si>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</si>
  <si>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</si>
  <si>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</si>
  <si>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</si>
  <si>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</si>
  <si>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</si>
  <si>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</si>
  <si>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</si>
  <si>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</si>
  <si>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</si>
  <si>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</si>
  <si>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</si>
  <si>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</si>
  <si>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</si>
  <si>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</si>
  <si>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</si>
  <si>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</si>
  <si>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</si>
  <si>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</si>
  <si>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</si>
  <si>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</si>
  <si>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</si>
  <si>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</si>
  <si>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</si>
  <si>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</si>
  <si>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</si>
  <si>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</si>
  <si>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</si>
  <si>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</si>
  <si>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</si>
  <si>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</si>
  <si>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</si>
  <si>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</si>
  <si>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</si>
  <si>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</si>
  <si>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</si>
  <si>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</si>
  <si>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</si>
  <si>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</si>
  <si>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</si>
  <si>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</si>
  <si>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</si>
  <si>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</si>
  <si>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</si>
  <si>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</si>
  <si>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</si>
  <si>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</si>
  <si>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</si>
  <si>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</si>
  <si>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</si>
  <si>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</si>
  <si>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</si>
  <si>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</si>
  <si>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</si>
  <si>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</si>
  <si>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</si>
  <si>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</si>
  <si>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</si>
  <si>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</si>
  <si>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</si>
  <si>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</si>
  <si>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</si>
  <si>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</si>
  <si>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</si>
  <si>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</si>
  <si>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</si>
  <si>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</si>
  <si>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</si>
  <si>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</si>
  <si>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</si>
  <si>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</si>
  <si>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</si>
  <si>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</si>
  <si>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</si>
  <si>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</si>
  <si>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</si>
  <si>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</si>
  <si>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</si>
  <si>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</si>
  <si>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</si>
  <si>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</si>
  <si>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</si>
  <si>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</si>
  <si>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</si>
  <si>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</si>
  <si>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</si>
  <si>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</si>
  <si>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</si>
  <si>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</si>
  <si>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</si>
  <si>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</si>
  <si>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</si>
  <si>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</si>
  <si>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</si>
  <si>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</si>
  <si>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</si>
  <si>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</si>
  <si>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</si>
  <si>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</si>
  <si>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</si>
  <si>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</si>
  <si>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</si>
  <si>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</si>
  <si>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</si>
  <si>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</si>
  <si>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</si>
  <si>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</si>
  <si>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</si>
  <si>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</si>
  <si>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</si>
  <si>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</si>
  <si>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</si>
  <si>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</si>
  <si>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</si>
  <si>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</si>
  <si>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</si>
  <si>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</si>
  <si>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</si>
  <si>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</si>
  <si>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</si>
  <si>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</si>
  <si>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</si>
  <si>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</si>
  <si>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</si>
  <si>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</si>
  <si>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</si>
  <si>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</si>
  <si>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</si>
  <si>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</si>
  <si>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</si>
  <si>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</si>
  <si>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</si>
  <si>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</si>
  <si>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</si>
  <si>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</si>
  <si>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</si>
  <si>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</si>
  <si>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</si>
  <si>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</si>
  <si>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</si>
  <si>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</si>
  <si>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</si>
  <si>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</si>
  <si>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</si>
  <si>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</si>
  <si>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</si>
  <si>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</si>
  <si>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</si>
  <si>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</si>
  <si>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</si>
  <si>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</si>
  <si>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</si>
  <si>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</si>
  <si>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</si>
  <si>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</si>
  <si>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</si>
  <si>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</si>
  <si>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</si>
  <si>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</si>
  <si>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</si>
  <si>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</si>
  <si>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</si>
  <si>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</si>
  <si>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</si>
  <si>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</si>
  <si>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</si>
  <si>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</si>
  <si>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</si>
  <si>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</si>
  <si>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</si>
  <si>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</si>
  <si>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</si>
  <si>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</si>
  <si>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</si>
  <si>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</si>
  <si>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</si>
  <si>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</si>
  <si>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</si>
  <si>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</si>
  <si>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</si>
  <si>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</si>
  <si>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</si>
  <si>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</si>
  <si>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</si>
  <si>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</si>
  <si>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</si>
  <si>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</si>
  <si>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</si>
  <si>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</si>
  <si>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</si>
  <si>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</si>
  <si>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</si>
  <si>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</si>
  <si>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</si>
  <si>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</si>
  <si>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</si>
  <si>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</si>
  <si>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</si>
  <si>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</si>
  <si>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</si>
  <si>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</si>
  <si>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</si>
  <si>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</si>
  <si>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</si>
  <si>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</si>
  <si>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</si>
  <si>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</si>
  <si>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</si>
  <si>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</si>
  <si>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</si>
  <si>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</si>
  <si>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</si>
  <si>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</si>
  <si>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</si>
  <si>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</si>
  <si>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</si>
  <si>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</si>
  <si>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</si>
  <si>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</si>
  <si>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</si>
  <si>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</si>
  <si>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</si>
  <si>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</si>
  <si>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</si>
  <si>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</si>
  <si>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</si>
  <si>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</si>
  <si>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</si>
  <si>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</si>
  <si>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</si>
  <si>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</si>
  <si>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</si>
  <si>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</si>
  <si>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</si>
  <si>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</si>
  <si>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</si>
  <si>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</si>
  <si>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</si>
  <si>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</si>
  <si>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</si>
  <si>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</si>
  <si>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</si>
  <si>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</si>
  <si>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</si>
  <si>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</si>
  <si>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</si>
  <si>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</si>
  <si>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</si>
  <si>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</si>
  <si>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</si>
  <si>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</si>
  <si>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</si>
  <si>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</si>
  <si>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</si>
  <si>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</si>
  <si>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</si>
  <si>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</si>
  <si>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</si>
  <si>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</si>
  <si>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</si>
  <si>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</si>
  <si>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</si>
  <si>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</si>
  <si>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</si>
  <si>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</si>
  <si>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</si>
  <si>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</si>
  <si>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</si>
  <si>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</si>
  <si>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</si>
  <si>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</si>
  <si>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</si>
  <si>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</si>
  <si>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</si>
  <si>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</si>
  <si>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</si>
  <si>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</si>
  <si>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</si>
  <si>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</si>
  <si>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</si>
  <si>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</si>
  <si>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</si>
  <si>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</si>
  <si>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</si>
  <si>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</si>
  <si>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</si>
  <si>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</si>
  <si>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</si>
  <si>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</si>
  <si>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</si>
  <si>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</si>
  <si>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</si>
  <si>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</si>
  <si>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</si>
  <si>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</si>
  <si>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</si>
  <si>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</si>
  <si>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</si>
  <si>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</si>
  <si>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</si>
  <si>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</si>
  <si>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</si>
  <si>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</si>
  <si>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</si>
  <si>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</si>
  <si>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</si>
  <si>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</si>
  <si>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</si>
  <si>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</si>
  <si>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</si>
  <si>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</si>
  <si>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</si>
  <si>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</si>
  <si>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</si>
  <si>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</si>
  <si>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</si>
  <si>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</si>
  <si>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</si>
  <si>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</si>
  <si>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</si>
  <si>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</si>
  <si>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</si>
  <si>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</si>
  <si>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</si>
  <si>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</si>
  <si>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</si>
  <si>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</si>
  <si>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</si>
  <si>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</si>
  <si>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</si>
  <si>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</si>
  <si>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</si>
  <si>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</si>
  <si>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</si>
  <si>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</si>
  <si>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</si>
  <si>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</si>
  <si>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</si>
  <si>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</si>
  <si>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</si>
  <si>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</si>
  <si>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</si>
  <si>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</si>
  <si>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</si>
  <si>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</si>
  <si>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</si>
  <si>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</si>
  <si>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</si>
  <si>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</si>
  <si>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</si>
  <si>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</si>
  <si>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</si>
  <si>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</si>
  <si>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</si>
  <si>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</si>
  <si>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</si>
  <si>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</si>
  <si>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</si>
  <si>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</si>
  <si>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</si>
  <si>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</si>
  <si>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</si>
  <si>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</si>
  <si>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</si>
  <si>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</si>
  <si>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</si>
  <si>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</si>
  <si>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</si>
  <si>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</si>
  <si>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</si>
  <si>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</si>
  <si>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</si>
  <si>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</si>
  <si>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</si>
  <si>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</si>
  <si>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</si>
  <si>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</si>
  <si>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</si>
  <si>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</si>
  <si>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</si>
  <si>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</si>
  <si>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</si>
  <si>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</si>
  <si>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</si>
  <si>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</si>
  <si>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</si>
  <si>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</si>
  <si>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</si>
  <si>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</si>
  <si>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</si>
  <si>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</si>
  <si>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</si>
  <si>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</si>
  <si>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</si>
  <si>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</si>
  <si>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</si>
  <si>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</si>
  <si>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</si>
  <si>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</si>
  <si>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</si>
  <si>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</si>
  <si>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</si>
  <si>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</si>
  <si>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</si>
  <si>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</si>
  <si>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</si>
  <si>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</si>
  <si>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</si>
  <si>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</si>
  <si>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</si>
  <si>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</si>
  <si>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</si>
  <si>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</si>
  <si>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</si>
  <si>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</si>
  <si>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</si>
  <si>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</si>
  <si>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</si>
  <si>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</si>
  <si>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</si>
  <si>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</si>
  <si>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</si>
  <si>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</si>
  <si>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</si>
  <si>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</si>
  <si>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</si>
  <si>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</si>
  <si>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</si>
  <si>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</si>
  <si>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</si>
  <si>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</si>
  <si>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</si>
  <si>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</si>
  <si>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</si>
  <si>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</si>
  <si>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</si>
  <si>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</si>
  <si>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</si>
  <si>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</si>
  <si>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</si>
  <si>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</si>
  <si>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</si>
  <si>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</si>
  <si>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</si>
  <si>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</si>
  <si>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</si>
  <si>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</si>
  <si>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</si>
  <si>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</si>
  <si>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</si>
  <si>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</si>
  <si>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</si>
  <si>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</si>
  <si>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</si>
  <si>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</si>
  <si>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</si>
  <si>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</si>
  <si>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</si>
  <si>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</si>
  <si>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</si>
  <si>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</si>
  <si>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</si>
  <si>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</si>
  <si>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</si>
  <si>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</si>
  <si>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</si>
  <si>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</si>
  <si>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</si>
  <si>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</si>
  <si>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</si>
  <si>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</si>
  <si>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</si>
  <si>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</si>
  <si>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</si>
  <si>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</si>
  <si>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</si>
  <si>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</si>
  <si>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</si>
  <si>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</si>
  <si>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</si>
  <si>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</si>
  <si>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</si>
  <si>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</si>
  <si>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</si>
  <si>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</si>
  <si>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</si>
  <si>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</si>
  <si>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</si>
  <si>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</si>
  <si>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</si>
  <si>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</si>
  <si>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</si>
  <si>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</si>
  <si>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</si>
  <si>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</si>
  <si>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</si>
  <si>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</si>
  <si>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</si>
  <si>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</si>
  <si>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</si>
  <si>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</si>
  <si>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</si>
  <si>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</si>
  <si>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</si>
  <si>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</si>
  <si>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</si>
  <si>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</si>
  <si>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</si>
  <si>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</si>
  <si>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</si>
  <si>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</si>
  <si>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</si>
  <si>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</si>
  <si>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</si>
  <si>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</si>
  <si>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</si>
  <si>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</si>
  <si>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</si>
  <si>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</si>
  <si>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</si>
  <si>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</si>
  <si>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</si>
  <si>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</si>
  <si>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</si>
  <si>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</si>
  <si>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</si>
  <si>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</si>
  <si>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</si>
  <si>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</si>
  <si>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</si>
  <si>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</si>
  <si>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</si>
  <si>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</si>
  <si>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</si>
  <si>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</si>
  <si>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</si>
  <si>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</si>
  <si>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</si>
  <si>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</si>
  <si>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</si>
  <si>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</si>
  <si>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</si>
  <si>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</si>
  <si>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</si>
  <si>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</si>
  <si>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</si>
  <si>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</si>
  <si>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</si>
  <si>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</si>
  <si>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</si>
  <si>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</si>
  <si>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</si>
  <si>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</si>
  <si>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</si>
  <si>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</si>
  <si>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</si>
  <si>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</si>
  <si>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</si>
  <si>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</si>
  <si>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</si>
  <si>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</si>
  <si>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</si>
  <si>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</si>
  <si>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</si>
  <si>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</si>
  <si>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</si>
  <si>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</si>
  <si>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</si>
  <si>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</si>
  <si>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</si>
  <si>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</si>
  <si>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</si>
  <si>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</si>
  <si>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</si>
  <si>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</si>
  <si>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</si>
  <si>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</si>
  <si>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</si>
  <si>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</si>
  <si>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</si>
  <si>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</si>
  <si>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</si>
  <si>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</si>
  <si>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</si>
  <si>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</si>
  <si>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</si>
  <si>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</si>
  <si>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</si>
  <si>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</si>
  <si>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</si>
  <si>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</si>
  <si>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</si>
  <si>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</si>
  <si>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</si>
  <si>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</si>
  <si>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</si>
  <si>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</si>
  <si>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</si>
  <si>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</si>
  <si>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</si>
  <si>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</si>
  <si>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</si>
  <si>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</si>
  <si>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</si>
  <si>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</si>
  <si>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</si>
  <si>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</si>
  <si>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</si>
  <si>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</si>
  <si>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</si>
  <si>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</si>
  <si>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</si>
  <si>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</si>
  <si>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</si>
  <si>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</si>
  <si>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</si>
  <si>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</si>
  <si>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</si>
  <si>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</si>
  <si>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</si>
  <si>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</si>
  <si>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</si>
  <si>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</si>
  <si>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</si>
  <si>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</si>
  <si>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</si>
  <si>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</si>
  <si>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</si>
  <si>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</si>
  <si>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</si>
  <si>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</si>
  <si>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</si>
  <si>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</si>
  <si>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</si>
  <si>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</si>
  <si>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</si>
  <si>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</si>
  <si>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</si>
  <si>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</si>
  <si>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</si>
  <si>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</si>
  <si>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</si>
  <si>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</si>
  <si>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</si>
  <si>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</si>
  <si>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</si>
  <si>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</si>
  <si>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</si>
  <si>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</si>
  <si>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</si>
  <si>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</si>
  <si>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</si>
  <si>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</si>
  <si>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</si>
  <si>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</si>
  <si>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</si>
  <si>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</si>
  <si>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</si>
  <si>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</si>
  <si>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</si>
  <si>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</si>
  <si>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</si>
  <si>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</si>
  <si>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</si>
  <si>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</si>
  <si>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</si>
  <si>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</si>
  <si>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</si>
  <si>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</si>
  <si>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</si>
  <si>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</si>
  <si>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</si>
  <si>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</si>
  <si>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</si>
  <si>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</si>
  <si>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</si>
  <si>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</si>
  <si>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</si>
  <si>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</si>
  <si>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</si>
  <si>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</si>
  <si>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</si>
  <si>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</si>
  <si>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</si>
  <si>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</si>
  <si>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</si>
  <si>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</si>
  <si>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</si>
  <si>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</si>
  <si>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</si>
  <si>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</si>
  <si>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</si>
  <si>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</si>
  <si>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</si>
  <si>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</si>
  <si>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</si>
  <si>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</si>
  <si>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</si>
  <si>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</si>
  <si>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</si>
  <si>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</si>
  <si>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</si>
  <si>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</si>
  <si>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</si>
  <si>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</si>
  <si>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</si>
  <si>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</si>
  <si>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</si>
  <si>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</si>
  <si>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</si>
  <si>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</si>
  <si>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</si>
  <si>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</si>
  <si>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</si>
  <si>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</si>
  <si>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</si>
  <si>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</si>
  <si>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</si>
  <si>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</si>
  <si>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</si>
  <si>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</si>
  <si>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</si>
  <si>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</si>
  <si>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</si>
  <si>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</si>
  <si>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</si>
  <si>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</si>
  <si>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</si>
  <si>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</si>
  <si>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</si>
  <si>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</si>
  <si>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</si>
  <si>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</si>
  <si>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</si>
  <si>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</si>
  <si>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</si>
  <si>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</si>
  <si>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</si>
  <si>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</si>
  <si>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</si>
  <si>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</si>
  <si>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</si>
  <si>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</si>
  <si>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</si>
  <si>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</si>
  <si>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</si>
  <si>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</si>
  <si>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</si>
  <si>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</si>
  <si>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</si>
  <si>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</si>
  <si>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</si>
  <si>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</si>
  <si>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</si>
  <si>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</si>
  <si>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</si>
  <si>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</si>
  <si>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</si>
  <si>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</si>
  <si>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</si>
  <si>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</si>
  <si>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</si>
  <si>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</si>
  <si>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</si>
  <si>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</si>
  <si>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</si>
  <si>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</si>
  <si>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</si>
  <si>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</si>
  <si>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</si>
  <si>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</si>
  <si>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</si>
  <si>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</si>
  <si>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</si>
  <si>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</si>
  <si>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</si>
  <si>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</si>
  <si>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</si>
  <si>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</si>
  <si>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</si>
  <si>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</si>
  <si>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</si>
  <si>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</si>
  <si>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</si>
  <si>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</si>
  <si>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</si>
  <si>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</si>
  <si>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</si>
  <si>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</si>
  <si>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</si>
  <si>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</si>
  <si>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</si>
  <si>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</si>
  <si>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</si>
  <si>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</si>
  <si>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</si>
  <si>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</si>
  <si>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</si>
  <si>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</si>
  <si>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</si>
  <si>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</si>
  <si>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</si>
  <si>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</si>
  <si>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</si>
  <si>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</si>
  <si>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</si>
  <si>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</si>
  <si>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</si>
  <si>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</si>
  <si>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</si>
  <si>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</si>
  <si>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</si>
  <si>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</si>
  <si>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</si>
  <si>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</si>
  <si>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</si>
  <si>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</si>
  <si>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</si>
  <si>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</si>
  <si>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</si>
  <si>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</si>
  <si>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</si>
  <si>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</si>
  <si>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</si>
  <si>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</si>
  <si>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</si>
  <si>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</si>
  <si>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</si>
  <si>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</si>
  <si>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</si>
  <si>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</si>
  <si>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</si>
  <si>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</si>
  <si>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</si>
  <si>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</si>
  <si>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</si>
  <si>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</si>
  <si>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</si>
  <si>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</si>
  <si>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</si>
  <si>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</si>
  <si>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</si>
  <si>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</si>
  <si>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</si>
  <si>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</si>
  <si>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</si>
  <si>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</si>
  <si>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</si>
  <si>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</si>
  <si>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</si>
  <si>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</si>
  <si>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</si>
  <si>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</si>
  <si>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</si>
  <si>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</si>
  <si>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</si>
  <si>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</si>
  <si>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</si>
  <si>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</si>
  <si>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</si>
  <si>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</si>
  <si>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</si>
  <si>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</si>
  <si>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</si>
  <si>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</si>
  <si>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</si>
  <si>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</si>
  <si>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</si>
  <si>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</si>
  <si>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</si>
  <si>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</si>
  <si>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</si>
  <si>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</si>
  <si>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</si>
  <si>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</si>
  <si>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</si>
  <si>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</si>
  <si>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</si>
  <si>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</si>
  <si>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</si>
  <si>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</si>
  <si>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</si>
  <si>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</si>
  <si>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</si>
  <si>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</si>
  <si>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</si>
  <si>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</si>
  <si>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</si>
  <si>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</si>
  <si>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</si>
  <si>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</si>
  <si>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</si>
  <si>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</si>
  <si>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</si>
  <si>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</si>
  <si>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</si>
  <si>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</si>
  <si>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</si>
  <si>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</si>
  <si>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</si>
  <si>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</si>
  <si>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</si>
  <si>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</si>
  <si>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</si>
  <si>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</si>
  <si>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</si>
  <si>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</si>
  <si>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</si>
  <si>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</si>
  <si>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</si>
  <si>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</si>
  <si>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</si>
  <si>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</si>
  <si>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</si>
  <si>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</si>
  <si>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</si>
  <si>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</si>
  <si>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</si>
  <si>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</si>
  <si>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</si>
  <si>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</si>
  <si>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</si>
  <si>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</si>
  <si>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</si>
  <si>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</si>
  <si>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</si>
  <si>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</si>
  <si>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</si>
  <si>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</si>
  <si>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</si>
  <si>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</si>
  <si>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</si>
  <si>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</si>
  <si>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</si>
  <si>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</si>
  <si>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</si>
  <si>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</si>
  <si>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</si>
  <si>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</si>
  <si>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</si>
  <si>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</si>
  <si>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</si>
  <si>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</si>
  <si>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</si>
  <si>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</si>
  <si>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</si>
  <si>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</si>
  <si>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</si>
  <si>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</si>
  <si>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</si>
  <si>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</si>
  <si>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</si>
  <si>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</si>
  <si>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</si>
  <si>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</si>
  <si>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</si>
  <si>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</si>
  <si>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</si>
  <si>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</si>
  <si>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</si>
  <si>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</si>
  <si>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</si>
  <si>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</si>
  <si>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</si>
  <si>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</si>
  <si>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</si>
  <si>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</si>
  <si>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</si>
  <si>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</si>
  <si>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</si>
  <si>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</si>
  <si>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</si>
  <si>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</si>
  <si>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</si>
  <si>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</si>
  <si>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</si>
  <si>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</si>
  <si>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</si>
  <si>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</si>
  <si>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</si>
  <si>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</si>
  <si>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</si>
  <si>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</si>
  <si>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</si>
  <si>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</si>
  <si>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</si>
  <si>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</si>
  <si>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</si>
  <si>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</si>
  <si>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</si>
  <si>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</si>
  <si>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</si>
  <si>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</si>
  <si>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</si>
  <si>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</si>
  <si>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</si>
  <si>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</si>
  <si>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</si>
  <si>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</si>
  <si>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</si>
  <si>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</si>
  <si>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</si>
  <si>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</si>
  <si>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</si>
  <si>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</si>
  <si>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</si>
  <si>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</si>
  <si>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</si>
  <si>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</si>
  <si>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</si>
  <si>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</si>
  <si>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</si>
  <si>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</si>
  <si>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</si>
  <si>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</si>
  <si>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</si>
  <si>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</si>
  <si>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</si>
  <si>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</si>
  <si>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</si>
  <si>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</si>
  <si>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</si>
  <si>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</si>
  <si>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</si>
  <si>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</si>
  <si>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</si>
  <si>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</si>
  <si>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</si>
  <si>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</si>
  <si>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</si>
  <si>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</si>
  <si>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</si>
  <si>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</si>
  <si>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</si>
  <si>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</si>
  <si>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</si>
  <si>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</si>
  <si>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</si>
  <si>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</si>
  <si>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</si>
  <si>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</si>
  <si>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</si>
  <si>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</si>
  <si>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</si>
  <si>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</si>
  <si>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</si>
  <si>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</si>
  <si>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</si>
  <si>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</si>
  <si>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</si>
  <si>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</si>
  <si>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</si>
  <si>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</si>
  <si>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</si>
  <si>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</si>
  <si>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</si>
  <si>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</si>
  <si>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</si>
  <si>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</si>
  <si>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</si>
  <si>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</si>
  <si>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</si>
  <si>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</si>
  <si>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</si>
  <si>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</si>
  <si>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</si>
  <si>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</si>
  <si>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</si>
  <si>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</si>
  <si>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</si>
  <si>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</si>
  <si>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</si>
  <si>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</si>
  <si>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</si>
  <si>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</si>
  <si>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</si>
  <si>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</si>
  <si>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</si>
  <si>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</si>
  <si>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</si>
  <si>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</si>
  <si>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</si>
  <si>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</si>
  <si>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</si>
  <si>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</si>
  <si>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</si>
  <si>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</si>
  <si>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</si>
  <si>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</si>
  <si>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</si>
  <si>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</si>
  <si>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</si>
  <si>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</si>
  <si>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</si>
  <si>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</si>
  <si>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</si>
  <si>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</si>
  <si>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</si>
  <si>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</si>
  <si>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</si>
  <si>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</si>
  <si>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</si>
  <si>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</si>
  <si>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</si>
  <si>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</si>
  <si>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</si>
  <si>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</si>
  <si>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</si>
  <si>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</si>
  <si>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</si>
  <si>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</si>
  <si>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</si>
  <si>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</si>
  <si>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</si>
  <si>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</si>
  <si>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</si>
  <si>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</si>
  <si>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</si>
  <si>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</si>
  <si>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</si>
  <si>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</si>
  <si>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</si>
  <si>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</si>
  <si>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</si>
  <si>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</si>
  <si>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</si>
  <si>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</si>
  <si>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</si>
  <si>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</si>
  <si>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</si>
  <si>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</si>
  <si>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</si>
  <si>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</si>
  <si>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</si>
  <si>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</si>
  <si>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</si>
  <si>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</si>
  <si>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</si>
  <si>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</si>
  <si>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</si>
  <si>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</si>
  <si>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</si>
  <si>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</si>
  <si>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</si>
  <si>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</si>
  <si>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</si>
  <si>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</si>
  <si>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</si>
  <si>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</si>
  <si>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</si>
  <si>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</si>
  <si>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</si>
  <si>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</si>
  <si>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</si>
  <si>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</si>
  <si>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</si>
  <si>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</si>
  <si>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</si>
  <si>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</si>
  <si>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</si>
  <si>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</si>
  <si>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</si>
  <si>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</si>
  <si>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</si>
  <si>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</si>
  <si>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</si>
  <si>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</si>
  <si>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</si>
  <si>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</si>
  <si>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</si>
  <si>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</si>
  <si>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</si>
  <si>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</si>
  <si>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</si>
  <si>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</si>
  <si>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</si>
  <si>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</si>
  <si>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</si>
  <si>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</si>
  <si>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</si>
  <si>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</si>
  <si>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</si>
  <si>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</si>
  <si>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</si>
  <si>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</si>
  <si>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</si>
  <si>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</si>
  <si>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</si>
  <si>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</si>
  <si>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</si>
  <si>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</si>
  <si>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</si>
  <si>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</si>
  <si>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</si>
  <si>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</si>
  <si>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</si>
  <si>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</si>
  <si>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</si>
  <si>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</si>
  <si>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</si>
  <si>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</si>
  <si>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</si>
  <si>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</si>
  <si>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</si>
  <si>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</si>
  <si>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</si>
  <si>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</si>
  <si>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</si>
  <si>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</si>
  <si>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</si>
  <si>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</si>
  <si>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</si>
  <si>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</si>
  <si>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</si>
  <si>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</si>
  <si>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</si>
  <si>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</si>
  <si>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</si>
  <si>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</si>
  <si>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</si>
  <si>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</si>
  <si>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</si>
  <si>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</si>
  <si>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</si>
  <si>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</si>
  <si>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</si>
  <si>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</si>
  <si>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</si>
  <si>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</si>
  <si>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</si>
  <si>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</si>
  <si>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</si>
  <si>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</si>
  <si>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</si>
  <si>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</si>
  <si>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</si>
  <si>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</si>
  <si>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</si>
  <si>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</si>
  <si>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</si>
  <si>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</si>
  <si>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</si>
  <si>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</si>
  <si>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</si>
  <si>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</si>
  <si>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</si>
  <si>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</si>
  <si>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</si>
  <si>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</si>
  <si>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</si>
  <si>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</si>
  <si>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</si>
  <si>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</si>
  <si>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</si>
  <si>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</si>
  <si>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</si>
  <si>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</si>
  <si>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</si>
  <si>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</si>
  <si>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</si>
  <si>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</si>
  <si>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</si>
  <si>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</si>
  <si>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</si>
  <si>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</si>
  <si>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</si>
  <si>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</si>
  <si>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</si>
  <si>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</si>
  <si>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</si>
  <si>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</si>
  <si>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</si>
  <si>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</si>
  <si>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</si>
  <si>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</si>
  <si>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</si>
  <si>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</si>
  <si>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</si>
  <si>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</si>
  <si>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</si>
  <si>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</si>
  <si>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</si>
  <si>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</si>
  <si>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</si>
  <si>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</si>
  <si>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</si>
  <si>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</si>
  <si>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</si>
  <si>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</si>
  <si>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</si>
  <si>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</si>
  <si>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</si>
  <si>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</si>
  <si>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</si>
  <si>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</si>
  <si>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</si>
  <si>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</si>
  <si>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</si>
  <si>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</si>
  <si>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</si>
  <si>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</si>
  <si>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</si>
  <si>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</si>
  <si>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</si>
  <si>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</si>
  <si>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</si>
  <si>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</si>
  <si>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</si>
  <si>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</si>
  <si>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</si>
  <si>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</si>
  <si>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</si>
  <si>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</si>
  <si>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</si>
  <si>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</si>
  <si>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</si>
  <si>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</si>
  <si>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</si>
  <si>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</si>
  <si>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</si>
  <si>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</si>
  <si>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</si>
  <si>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</si>
  <si>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</si>
  <si>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</si>
  <si>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</si>
  <si>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</si>
  <si>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</si>
  <si>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</si>
  <si>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</si>
  <si>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</si>
  <si>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</si>
  <si>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</si>
  <si>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</si>
  <si>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</si>
  <si>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</si>
  <si>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</si>
  <si>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</si>
  <si>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</si>
  <si>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</si>
  <si>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</si>
  <si>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</si>
  <si>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</si>
  <si>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</si>
  <si>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</si>
  <si>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</si>
  <si>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</si>
  <si>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</si>
  <si>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</si>
  <si>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</si>
  <si>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</si>
  <si>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</si>
  <si>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</si>
  <si>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</si>
  <si>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</si>
  <si>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</si>
  <si>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</si>
  <si>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</si>
  <si>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</si>
  <si>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</si>
  <si>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</si>
  <si>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</si>
  <si>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</si>
  <si>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</si>
  <si>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</si>
  <si>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</si>
  <si>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</si>
  <si>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</si>
  <si>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</si>
  <si>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</si>
  <si>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</si>
  <si>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</si>
  <si>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</si>
  <si>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</si>
  <si>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</si>
  <si>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</si>
  <si>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</si>
  <si>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</si>
  <si>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</si>
  <si>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</si>
  <si>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</si>
  <si>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</si>
  <si>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</si>
  <si>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</si>
  <si>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</si>
  <si>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</si>
  <si>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</si>
  <si>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</si>
  <si>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</si>
  <si>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</si>
  <si>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</si>
  <si>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</si>
  <si>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</si>
  <si>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</si>
  <si>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</si>
  <si>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</si>
  <si>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</si>
  <si>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</si>
  <si>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</si>
  <si>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</si>
  <si>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</si>
  <si>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</si>
  <si>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</si>
  <si>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</si>
  <si>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</si>
  <si>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</si>
  <si>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</si>
  <si>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</si>
  <si>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</si>
  <si>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</si>
  <si>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</si>
  <si>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</si>
  <si>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</si>
  <si>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</si>
  <si>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</si>
  <si>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</si>
  <si>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</si>
  <si>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</si>
  <si>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</si>
  <si>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</si>
  <si>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</si>
  <si>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</si>
  <si>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</si>
  <si>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</si>
  <si>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</si>
  <si>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</si>
  <si>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</si>
  <si>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</si>
  <si>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</si>
  <si>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</si>
  <si>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</si>
  <si>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</si>
  <si>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</si>
  <si>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</si>
  <si>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</si>
  <si>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</si>
  <si>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</si>
  <si>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</si>
  <si>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</si>
  <si>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</si>
  <si>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</si>
  <si>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</si>
  <si>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</si>
  <si>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</si>
  <si>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</si>
  <si>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</si>
  <si>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</si>
  <si>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</si>
  <si>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</si>
  <si>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</si>
  <si>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</si>
  <si>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</si>
  <si>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</si>
  <si>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</si>
  <si>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</si>
  <si>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</si>
  <si>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</si>
  <si>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</si>
  <si>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</si>
  <si>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</si>
  <si>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</si>
  <si>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</si>
  <si>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</si>
  <si>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</si>
  <si>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</si>
  <si>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</si>
  <si>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</si>
  <si>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</si>
  <si>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</si>
  <si>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</si>
  <si>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</si>
  <si>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</si>
  <si>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</si>
  <si>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</si>
  <si>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</si>
  <si>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</si>
  <si>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</si>
  <si>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</si>
  <si>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</si>
  <si>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</si>
  <si>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</si>
  <si>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</si>
  <si>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</si>
  <si>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</si>
  <si>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</si>
  <si>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</si>
  <si>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</si>
  <si>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</si>
  <si>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</si>
  <si>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</si>
  <si>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</si>
  <si>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</si>
  <si>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</si>
  <si>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</si>
  <si>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</si>
  <si>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</si>
  <si>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</si>
  <si>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</si>
  <si>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</si>
  <si>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</si>
  <si>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</si>
  <si>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</si>
  <si>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</si>
  <si>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</si>
  <si>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</si>
  <si>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</si>
  <si>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</si>
  <si>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</si>
  <si>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</si>
  <si>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</si>
  <si>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</si>
  <si>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</si>
  <si>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</si>
  <si>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</si>
  <si>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</si>
  <si>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</si>
  <si>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</si>
  <si>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</si>
  <si>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</si>
  <si>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</si>
  <si>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</si>
  <si>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</si>
  <si>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</si>
  <si>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</si>
  <si>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</si>
  <si>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</si>
  <si>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</si>
  <si>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</si>
  <si>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</si>
  <si>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</si>
  <si>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</si>
  <si>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</si>
  <si>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</si>
  <si>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</si>
  <si>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</si>
  <si>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</si>
  <si>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</si>
  <si>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</si>
  <si>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</si>
  <si>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</si>
  <si>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</si>
  <si>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</si>
  <si>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</si>
  <si>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</si>
  <si>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</si>
  <si>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</si>
  <si>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</si>
  <si>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</si>
  <si>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</si>
  <si>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</si>
  <si>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</si>
  <si>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</si>
  <si>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</si>
  <si>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</si>
  <si>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</si>
  <si>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</si>
  <si>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</si>
  <si>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</si>
  <si>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</si>
  <si>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</si>
  <si>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</si>
  <si>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</si>
  <si>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</si>
  <si>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</si>
  <si>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</si>
  <si>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</si>
  <si>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</si>
  <si>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</si>
  <si>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</si>
  <si>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</si>
  <si>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</si>
  <si>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</si>
  <si>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</si>
  <si>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</si>
  <si>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</si>
  <si>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</si>
  <si>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</si>
  <si>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</si>
  <si>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</si>
  <si>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</si>
  <si>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</si>
  <si>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</si>
  <si>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</si>
  <si>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</si>
  <si>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</si>
  <si>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</si>
  <si>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</si>
  <si>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</si>
  <si>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</si>
  <si>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</si>
  <si>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</si>
  <si>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</si>
  <si>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</si>
  <si>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</si>
  <si>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</si>
  <si>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</si>
  <si>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</si>
  <si>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</si>
  <si>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</si>
  <si>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</si>
  <si>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</si>
  <si>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</si>
  <si>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</si>
  <si>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</si>
  <si>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</si>
  <si>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</si>
  <si>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</si>
  <si>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</si>
  <si>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</si>
  <si>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</si>
  <si>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</si>
  <si>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</si>
  <si>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</si>
  <si>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</si>
  <si>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</si>
  <si>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</si>
  <si>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</si>
  <si>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</si>
  <si>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</si>
  <si>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</si>
  <si>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</si>
  <si>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</si>
  <si>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</si>
  <si>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</si>
  <si>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</si>
  <si>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</si>
  <si>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</si>
  <si>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</si>
  <si>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</si>
  <si>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</si>
  <si>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</si>
  <si>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</si>
  <si>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</si>
  <si>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</si>
  <si>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</si>
  <si>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</si>
  <si>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</si>
  <si>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</si>
  <si>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</si>
  <si>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</si>
  <si>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</si>
  <si>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</si>
  <si>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</si>
  <si>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</si>
  <si>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</si>
  <si>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</si>
  <si>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</si>
  <si>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</si>
  <si>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</si>
  <si>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</si>
  <si>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</si>
  <si>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</si>
  <si>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</si>
  <si>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</si>
  <si>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</si>
  <si>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</si>
  <si>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</si>
  <si>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</si>
  <si>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</si>
  <si>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</si>
  <si>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</si>
  <si>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</si>
  <si>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</si>
  <si>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</si>
  <si>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</si>
  <si>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</si>
  <si>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</si>
  <si>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</si>
  <si>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</si>
  <si>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</si>
  <si>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</si>
  <si>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</si>
  <si>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</si>
  <si>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</si>
  <si>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</si>
  <si>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</si>
  <si>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</si>
  <si>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</si>
  <si>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</si>
  <si>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</si>
  <si>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</si>
  <si>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</si>
  <si>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</si>
  <si>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</si>
  <si>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</si>
  <si>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</si>
  <si>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</si>
  <si>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</si>
  <si>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</si>
  <si>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</si>
  <si>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</si>
  <si>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</si>
  <si>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</si>
  <si>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</si>
  <si>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</si>
  <si>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</si>
  <si>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</si>
  <si>
    <t>localAreaNumber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</si>
</sst>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2004-04-19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VLOOKUP(H2,LocalAreas.csv!I:J,2,FALSE)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15704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732142</v>
      </c>
      <c r="Q2" t="str">
        <f ca="1">TEXT(TODAY()+RANDBETWEEN(-10,350),"YYYY-MM-DD")</f>
        <v>2017-12-28</v>
      </c>
      <c r="R2" t="str">
        <f ca="1">TEXT(TODAY()+RANDBETWEEN(-10,350),"YYYY-MM-DD")</f>
        <v>2018-01-15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2005-07-16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VLOOKUP(H3,LocalAreas.csv!I:J,2,FALSE)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12456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732064</v>
      </c>
      <c r="Q3" t="str">
        <f t="shared" ref="Q3:R66" ca="1" si="11">TEXT(TODAY()+RANDBETWEEN(-10,350),"YYYY-MM-DD")</f>
        <v>2017-04-21</v>
      </c>
      <c r="R3" t="str">
        <f t="shared" ca="1" si="11"/>
        <v>2017-08-23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2007-06-06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VLOOKUP(H4,LocalAreas.csv!I:J,2,FALSE)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12987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732148</v>
      </c>
      <c r="Q4" t="str">
        <f t="shared" ca="1" si="11"/>
        <v>2017-12-23</v>
      </c>
      <c r="R4" t="str">
        <f t="shared" ca="1" si="11"/>
        <v>2017-03-31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2008-10-20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VLOOKUP(H5,LocalAreas.csv!I:J,2,FALSE)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14418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732056</v>
      </c>
      <c r="Q5" t="str">
        <f t="shared" ca="1" si="11"/>
        <v>2018-02-21</v>
      </c>
      <c r="R5" t="str">
        <f t="shared" ca="1" si="11"/>
        <v>2017-07-29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2005-09-13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VLOOKUP(H6,LocalAreas.csv!I:J,2,FALSE)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16759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732088</v>
      </c>
      <c r="Q6" t="str">
        <f t="shared" ca="1" si="11"/>
        <v>2017-11-09</v>
      </c>
      <c r="R6" t="str">
        <f t="shared" ca="1" si="11"/>
        <v>2017-07-04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2007-02-17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VLOOKUP(H7,LocalAreas.csv!I:J,2,FALSE)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17275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732166</v>
      </c>
      <c r="Q7" t="str">
        <f t="shared" ca="1" si="11"/>
        <v>2017-07-01</v>
      </c>
      <c r="R7" t="str">
        <f t="shared" ca="1" si="11"/>
        <v>2017-04-02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2008-02-01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VLOOKUP(H8,LocalAreas.csv!I:J,2,FALSE)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19229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732070</v>
      </c>
      <c r="Q8" t="str">
        <f t="shared" ca="1" si="11"/>
        <v>2018-03-02</v>
      </c>
      <c r="R8" t="str">
        <f t="shared" ca="1" si="11"/>
        <v>2017-10-17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2005-11-29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VLOOKUP(H9,LocalAreas.csv!I:J,2,FALSE)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10892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732165</v>
      </c>
      <c r="Q9" t="str">
        <f t="shared" ca="1" si="11"/>
        <v>2017-06-22</v>
      </c>
      <c r="R9" t="str">
        <f t="shared" ca="1" si="11"/>
        <v>2017-03-23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2006-04-04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VLOOKUP(H10,LocalAreas.csv!I:J,2,FALSE)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13024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732088</v>
      </c>
      <c r="Q10" t="str">
        <f t="shared" ca="1" si="11"/>
        <v>2017-07-24</v>
      </c>
      <c r="R10" t="str">
        <f t="shared" ca="1" si="11"/>
        <v>2017-09-28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2005-04-30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VLOOKUP(H11,LocalAreas.csv!I:J,2,FALSE)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18931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732089</v>
      </c>
      <c r="Q11" t="str">
        <f t="shared" ca="1" si="11"/>
        <v>2017-10-27</v>
      </c>
      <c r="R11" t="str">
        <f t="shared" ca="1" si="11"/>
        <v>2017-07-03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2007-10-24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VLOOKUP(H12,LocalAreas.csv!I:J,2,FALSE)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19076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732159</v>
      </c>
      <c r="Q12" t="str">
        <f t="shared" ca="1" si="11"/>
        <v>2018-02-18</v>
      </c>
      <c r="R12" t="str">
        <f t="shared" ca="1" si="11"/>
        <v>2017-10-08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2009-05-23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VLOOKUP(H13,LocalAreas.csv!I:J,2,FALSE)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16003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732066</v>
      </c>
      <c r="Q13" t="str">
        <f t="shared" ca="1" si="11"/>
        <v>2017-03-29</v>
      </c>
      <c r="R13" t="str">
        <f ca="1">TEXT(TODAY()+RANDBETWEEN(-10,350),"YYYY-MM-DD")</f>
        <v>2017-04-20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2017-02-09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2014-05-06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VLOOKUP(H14,LocalAreas.csv!I:J,2,FALSE)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15772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732134</v>
      </c>
      <c r="Q14" t="str">
        <f t="shared" ca="1" si="11"/>
        <v>2017-10-31</v>
      </c>
      <c r="R14" t="str">
        <f t="shared" ca="1" si="11"/>
        <v>2017-07-19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2014-08-20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VLOOKUP(H15,LocalAreas.csv!I:J,2,FALSE)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19344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732116</v>
      </c>
      <c r="Q15" t="str">
        <f t="shared" ca="1" si="11"/>
        <v>2018-02-01</v>
      </c>
      <c r="R15" t="str">
        <f t="shared" ca="1" si="11"/>
        <v>2017-04-02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2007-07-16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VLOOKUP(H16,LocalAreas.csv!I:J,2,FALSE)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16336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732031</v>
      </c>
      <c r="Q16" t="str">
        <f t="shared" ca="1" si="11"/>
        <v>2017-12-03</v>
      </c>
      <c r="R16" t="str">
        <f t="shared" ca="1" si="11"/>
        <v>2017-11-01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2009-05-06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VLOOKUP(H17,LocalAreas.csv!I:J,2,FALSE)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15659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732169</v>
      </c>
      <c r="Q17" t="str">
        <f t="shared" ca="1" si="11"/>
        <v>2017-08-18</v>
      </c>
      <c r="R17" t="str">
        <f t="shared" ca="1" si="11"/>
        <v>2017-12-16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2014-09-13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VLOOKUP(H18,LocalAreas.csv!I:J,2,FALSE)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11547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732066</v>
      </c>
      <c r="Q18" t="str">
        <f t="shared" ca="1" si="11"/>
        <v>2017-11-09</v>
      </c>
      <c r="R18" t="str">
        <f t="shared" ca="1" si="11"/>
        <v>2017-05-09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2011-01-21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VLOOKUP(H19,LocalAreas.csv!I:J,2,FALSE)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13884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732188</v>
      </c>
      <c r="Q19" t="str">
        <f t="shared" ca="1" si="11"/>
        <v>2018-02-13</v>
      </c>
      <c r="R19" t="str">
        <f t="shared" ca="1" si="11"/>
        <v>2018-01-12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2015-03-04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VLOOKUP(H20,LocalAreas.csv!I:J,2,FALSE)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13508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732064</v>
      </c>
      <c r="Q20" t="str">
        <f t="shared" ca="1" si="11"/>
        <v>2017-11-05</v>
      </c>
      <c r="R20" t="str">
        <f t="shared" ca="1" si="11"/>
        <v>2018-01-15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2007-04-23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VLOOKUP(H21,LocalAreas.csv!I:J,2,FALSE)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11172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732100</v>
      </c>
      <c r="Q21" t="str">
        <f t="shared" ca="1" si="11"/>
        <v>2017-08-27</v>
      </c>
      <c r="R21" t="str">
        <f t="shared" ca="1" si="11"/>
        <v>2018-02-01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2009-05-01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VLOOKUP(H22,LocalAreas.csv!I:J,2,FALSE)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10530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732078</v>
      </c>
      <c r="Q22" t="str">
        <f t="shared" ca="1" si="11"/>
        <v>2017-03-30</v>
      </c>
      <c r="R22" t="str">
        <f t="shared" ca="1" si="11"/>
        <v>2017-09-16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2003-08-26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VLOOKUP(H23,LocalAreas.csv!I:J,2,FALSE)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14862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732025</v>
      </c>
      <c r="Q23" t="str">
        <f t="shared" ca="1" si="11"/>
        <v>2017-12-17</v>
      </c>
      <c r="R23" t="str">
        <f t="shared" ca="1" si="11"/>
        <v>2017-06-28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2012-03-01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VLOOKUP(H24,LocalAreas.csv!I:J,2,FALSE)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10998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732047</v>
      </c>
      <c r="Q24" t="str">
        <f t="shared" ca="1" si="11"/>
        <v>2017-12-02</v>
      </c>
      <c r="R24" t="str">
        <f t="shared" ca="1" si="11"/>
        <v>2018-03-02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2009-10-09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VLOOKUP(H25,LocalAreas.csv!I:J,2,FALSE)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10728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732024</v>
      </c>
      <c r="Q25" t="str">
        <f t="shared" ca="1" si="11"/>
        <v>2017-07-22</v>
      </c>
      <c r="R25" t="str">
        <f t="shared" ca="1" si="11"/>
        <v>2017-06-11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2007-05-10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VLOOKUP(H26,LocalAreas.csv!I:J,2,FALSE)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16550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732139</v>
      </c>
      <c r="Q26" t="str">
        <f t="shared" ca="1" si="11"/>
        <v>2017-05-02</v>
      </c>
      <c r="R26" t="str">
        <f t="shared" ca="1" si="11"/>
        <v>2017-04-21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2009-11-12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VLOOKUP(H27,LocalAreas.csv!I:J,2,FALSE)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15649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732123</v>
      </c>
      <c r="Q27" t="str">
        <f t="shared" ca="1" si="11"/>
        <v>2017-06-05</v>
      </c>
      <c r="R27" t="str">
        <f t="shared" ca="1" si="11"/>
        <v>2017-11-09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2008-11-08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VLOOKUP(H28,LocalAreas.csv!I:J,2,FALSE)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15801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732115</v>
      </c>
      <c r="Q28" t="str">
        <f t="shared" ca="1" si="11"/>
        <v>2017-04-15</v>
      </c>
      <c r="R28" t="str">
        <f t="shared" ca="1" si="11"/>
        <v>2017-11-01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2006-10-17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VLOOKUP(H29,LocalAreas.csv!I:J,2,FALSE)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18317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732056</v>
      </c>
      <c r="Q29" t="str">
        <f t="shared" ca="1" si="11"/>
        <v>2018-01-16</v>
      </c>
      <c r="R29" t="str">
        <f t="shared" ca="1" si="11"/>
        <v>2017-05-15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2011-09-12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VLOOKUP(H30,LocalAreas.csv!I:J,2,FALSE)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14867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732018</v>
      </c>
      <c r="Q30" t="str">
        <f t="shared" ca="1" si="11"/>
        <v>2017-04-24</v>
      </c>
      <c r="R30" t="str">
        <f t="shared" ca="1" si="11"/>
        <v>2018-02-26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2005-04-06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VLOOKUP(H31,LocalAreas.csv!I:J,2,FALSE)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19670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732002</v>
      </c>
      <c r="Q31" t="str">
        <f t="shared" ca="1" si="11"/>
        <v>2018-03-10</v>
      </c>
      <c r="R31" t="str">
        <f t="shared" ca="1" si="11"/>
        <v>2017-05-31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2009-02-18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VLOOKUP(H32,LocalAreas.csv!I:J,2,FALSE)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19942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732100</v>
      </c>
      <c r="Q32" t="str">
        <f t="shared" ca="1" si="11"/>
        <v>2018-01-23</v>
      </c>
      <c r="R32" t="str">
        <f t="shared" ca="1" si="11"/>
        <v>2018-02-21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2011-07-11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VLOOKUP(H33,LocalAreas.csv!I:J,2,FALSE)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17392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732006</v>
      </c>
      <c r="Q33" t="str">
        <f t="shared" ca="1" si="11"/>
        <v>2017-09-20</v>
      </c>
      <c r="R33" t="str">
        <f t="shared" ca="1" si="11"/>
        <v>2017-07-18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2011-02-07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VLOOKUP(H34,LocalAreas.csv!I:J,2,FALSE)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10816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732055</v>
      </c>
      <c r="Q34" t="str">
        <f t="shared" ca="1" si="11"/>
        <v>2018-03-06</v>
      </c>
      <c r="R34" t="str">
        <f t="shared" ca="1" si="11"/>
        <v>2017-03-24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2005-08-19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VLOOKUP(H35,LocalAreas.csv!I:J,2,FALSE)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11751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732019</v>
      </c>
      <c r="Q35" t="str">
        <f t="shared" ca="1" si="11"/>
        <v>2017-04-06</v>
      </c>
      <c r="R35" t="str">
        <f t="shared" ca="1" si="11"/>
        <v>2018-02-14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2010-04-22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VLOOKUP(H36,LocalAreas.csv!I:J,2,FALSE)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14878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732038</v>
      </c>
      <c r="Q36" t="str">
        <f t="shared" ca="1" si="11"/>
        <v>2017-11-02</v>
      </c>
      <c r="R36" t="str">
        <f t="shared" ca="1" si="11"/>
        <v>2018-01-26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2009-07-28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VLOOKUP(H37,LocalAreas.csv!I:J,2,FALSE)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13774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732172</v>
      </c>
      <c r="Q37" t="str">
        <f t="shared" ca="1" si="11"/>
        <v>2017-04-13</v>
      </c>
      <c r="R37" t="str">
        <f t="shared" ca="1" si="11"/>
        <v>2017-06-21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2012-04-10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VLOOKUP(H38,LocalAreas.csv!I:J,2,FALSE)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13221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732137</v>
      </c>
      <c r="Q38" t="str">
        <f t="shared" ca="1" si="11"/>
        <v>2017-10-25</v>
      </c>
      <c r="R38" t="str">
        <f t="shared" ca="1" si="11"/>
        <v>2018-02-03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2010-11-15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VLOOKUP(H39,LocalAreas.csv!I:J,2,FALSE)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17895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732196</v>
      </c>
      <c r="Q39" t="str">
        <f t="shared" ca="1" si="11"/>
        <v>2018-02-21</v>
      </c>
      <c r="R39" t="str">
        <f t="shared" ca="1" si="11"/>
        <v>2017-10-26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2010-09-12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VLOOKUP(H40,LocalAreas.csv!I:J,2,FALSE)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12448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732044</v>
      </c>
      <c r="Q40" t="str">
        <f t="shared" ca="1" si="11"/>
        <v>2017-06-22</v>
      </c>
      <c r="R40" t="str">
        <f t="shared" ca="1" si="11"/>
        <v>2018-01-06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2004-06-30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VLOOKUP(H41,LocalAreas.csv!I:J,2,FALSE)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11680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732069</v>
      </c>
      <c r="Q41" t="str">
        <f t="shared" ca="1" si="11"/>
        <v>2018-01-22</v>
      </c>
      <c r="R41" t="str">
        <f t="shared" ca="1" si="11"/>
        <v>2018-02-19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2011-04-10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VLOOKUP(H42,LocalAreas.csv!I:J,2,FALSE)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10747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732011</v>
      </c>
      <c r="Q42" t="str">
        <f t="shared" ca="1" si="11"/>
        <v>2018-01-04</v>
      </c>
      <c r="R42" t="str">
        <f t="shared" ca="1" si="11"/>
        <v>2017-06-09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2007-01-16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VLOOKUP(H43,LocalAreas.csv!I:J,2,FALSE)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10062</v>
      </c>
      <c r="N43" t="str">
        <f t="shared" ca="1" si="8"/>
        <v>rg:True</v>
      </c>
      <c r="O43" t="str">
        <f t="shared" ca="1" si="9"/>
        <v>rg:True</v>
      </c>
      <c r="P43">
        <f t="shared" ca="1" si="10"/>
        <v>732161</v>
      </c>
      <c r="Q43" t="str">
        <f t="shared" ca="1" si="11"/>
        <v>2017-06-05</v>
      </c>
      <c r="R43" t="str">
        <f t="shared" ca="1" si="11"/>
        <v>2017-11-12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2008-01-26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VLOOKUP(H44,LocalAreas.csv!I:J,2,FALSE)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16289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732100</v>
      </c>
      <c r="Q44" t="str">
        <f t="shared" ca="1" si="11"/>
        <v>2017-09-15</v>
      </c>
      <c r="R44" t="str">
        <f t="shared" ca="1" si="11"/>
        <v>2018-02-27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2006-01-14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VLOOKUP(H45,LocalAreas.csv!I:J,2,FALSE)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17375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732084</v>
      </c>
      <c r="Q45" t="str">
        <f t="shared" ca="1" si="11"/>
        <v>2017-05-05</v>
      </c>
      <c r="R45" t="str">
        <f t="shared" ca="1" si="11"/>
        <v>2017-04-08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2013-07-23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VLOOKUP(H46,LocalAreas.csv!I:J,2,FALSE)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18143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732026</v>
      </c>
      <c r="Q46" t="str">
        <f t="shared" ca="1" si="11"/>
        <v>2017-04-01</v>
      </c>
      <c r="R46" t="str">
        <f t="shared" ca="1" si="11"/>
        <v>2018-02-25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2007-09-15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VLOOKUP(H47,LocalAreas.csv!I:J,2,FALSE)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16857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732058</v>
      </c>
      <c r="Q47" t="str">
        <f t="shared" ca="1" si="11"/>
        <v>2017-05-10</v>
      </c>
      <c r="R47" t="str">
        <f t="shared" ca="1" si="11"/>
        <v>2017-11-14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2004-02-04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VLOOKUP(H48,LocalAreas.csv!I:J,2,FALSE)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11064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732079</v>
      </c>
      <c r="Q48" t="str">
        <f t="shared" ca="1" si="11"/>
        <v>2017-09-15</v>
      </c>
      <c r="R48" t="str">
        <f t="shared" ca="1" si="11"/>
        <v>2017-10-12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2015-01-17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VLOOKUP(H49,LocalAreas.csv!I:J,2,FALSE)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11480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732038</v>
      </c>
      <c r="Q49" t="str">
        <f t="shared" ca="1" si="11"/>
        <v>2017-07-16</v>
      </c>
      <c r="R49" t="str">
        <f t="shared" ca="1" si="11"/>
        <v>2017-07-31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2006-06-02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VLOOKUP(H50,LocalAreas.csv!I:J,2,FALSE)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10692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732194</v>
      </c>
      <c r="Q50" t="str">
        <f t="shared" ca="1" si="11"/>
        <v>2017-08-12</v>
      </c>
      <c r="R50" t="str">
        <f t="shared" ca="1" si="11"/>
        <v>2017-12-22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2012-12-27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VLOOKUP(H51,LocalAreas.csv!I:J,2,FALSE)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14630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732165</v>
      </c>
      <c r="Q51" t="str">
        <f t="shared" ca="1" si="11"/>
        <v>2018-01-02</v>
      </c>
      <c r="R51" t="str">
        <f t="shared" ca="1" si="11"/>
        <v>2017-11-08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2003-08-02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VLOOKUP(H52,LocalAreas.csv!I:J,2,FALSE)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18414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732136</v>
      </c>
      <c r="Q52" t="str">
        <f t="shared" ca="1" si="11"/>
        <v>2017-10-26</v>
      </c>
      <c r="R52" t="str">
        <f t="shared" ca="1" si="11"/>
        <v>2017-10-06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2014-05-26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VLOOKUP(H53,LocalAreas.csv!I:J,2,FALSE)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15947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732027</v>
      </c>
      <c r="Q53" t="str">
        <f t="shared" ca="1" si="11"/>
        <v>2018-03-07</v>
      </c>
      <c r="R53" t="str">
        <f t="shared" ca="1" si="11"/>
        <v>2017-09-29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2009-02-22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VLOOKUP(H54,LocalAreas.csv!I:J,2,FALSE)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14460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732014</v>
      </c>
      <c r="Q54" t="str">
        <f t="shared" ca="1" si="11"/>
        <v>2017-04-15</v>
      </c>
      <c r="R54" t="str">
        <f t="shared" ca="1" si="11"/>
        <v>2017-09-24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2004-09-01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VLOOKUP(H55,LocalAreas.csv!I:J,2,FALSE)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18156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732188</v>
      </c>
      <c r="Q55" t="str">
        <f t="shared" ca="1" si="11"/>
        <v>2017-12-05</v>
      </c>
      <c r="R55" t="str">
        <f t="shared" ca="1" si="11"/>
        <v>2017-09-30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2015-11-26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VLOOKUP(H56,LocalAreas.csv!I:J,2,FALSE)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12053</v>
      </c>
      <c r="N56" t="str">
        <f t="shared" ca="1" si="8"/>
        <v>rg:True</v>
      </c>
      <c r="O56" t="str">
        <f t="shared" ca="1" si="9"/>
        <v>rg:True</v>
      </c>
      <c r="P56">
        <f t="shared" ca="1" si="10"/>
        <v>732103</v>
      </c>
      <c r="Q56" t="str">
        <f t="shared" ca="1" si="11"/>
        <v>2018-01-29</v>
      </c>
      <c r="R56" t="str">
        <f t="shared" ca="1" si="11"/>
        <v>2017-11-19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2006-04-18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VLOOKUP(H57,LocalAreas.csv!I:J,2,FALSE)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14215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732037</v>
      </c>
      <c r="Q57" t="str">
        <f t="shared" ca="1" si="11"/>
        <v>2017-05-05</v>
      </c>
      <c r="R57" t="str">
        <f t="shared" ca="1" si="11"/>
        <v>2017-06-03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2006-07-16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VLOOKUP(H58,LocalAreas.csv!I:J,2,FALSE)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11287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732033</v>
      </c>
      <c r="Q58" t="str">
        <f t="shared" ca="1" si="11"/>
        <v>2017-05-21</v>
      </c>
      <c r="R58" t="str">
        <f t="shared" ca="1" si="11"/>
        <v>2017-06-19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2007-10-24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VLOOKUP(H59,LocalAreas.csv!I:J,2,FALSE)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13359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732014</v>
      </c>
      <c r="Q59" t="str">
        <f t="shared" ca="1" si="11"/>
        <v>2018-02-10</v>
      </c>
      <c r="R59" t="str">
        <f t="shared" ca="1" si="11"/>
        <v>2018-02-04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2012-09-25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VLOOKUP(H60,LocalAreas.csv!I:J,2,FALSE)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19029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732045</v>
      </c>
      <c r="Q60" t="str">
        <f t="shared" ca="1" si="11"/>
        <v>2017-10-25</v>
      </c>
      <c r="R60" t="str">
        <f t="shared" ca="1" si="11"/>
        <v>2017-10-27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2016-04-20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VLOOKUP(H61,LocalAreas.csv!I:J,2,FALSE)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10347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732051</v>
      </c>
      <c r="Q61" t="str">
        <f t="shared" ca="1" si="11"/>
        <v>2017-08-05</v>
      </c>
      <c r="R61" t="str">
        <f t="shared" ca="1" si="11"/>
        <v>2017-05-01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2011-07-12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VLOOKUP(H62,LocalAreas.csv!I:J,2,FALSE)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16550</v>
      </c>
      <c r="N62" t="str">
        <f t="shared" ca="1" si="8"/>
        <v>rg:True</v>
      </c>
      <c r="O62" t="str">
        <f t="shared" ca="1" si="9"/>
        <v>rg:True</v>
      </c>
      <c r="P62">
        <f t="shared" ca="1" si="10"/>
        <v>732084</v>
      </c>
      <c r="Q62" t="str">
        <f t="shared" ca="1" si="11"/>
        <v>2018-03-07</v>
      </c>
      <c r="R62" t="str">
        <f t="shared" ca="1" si="11"/>
        <v>2017-12-09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2014-03-22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VLOOKUP(H63,LocalAreas.csv!I:J,2,FALSE)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16054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732069</v>
      </c>
      <c r="Q63" t="str">
        <f t="shared" ca="1" si="11"/>
        <v>2017-06-05</v>
      </c>
      <c r="R63" t="str">
        <f t="shared" ca="1" si="11"/>
        <v>2017-11-22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2016-08-05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VLOOKUP(H64,LocalAreas.csv!I:J,2,FALSE)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12671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732181</v>
      </c>
      <c r="Q64" t="str">
        <f t="shared" ca="1" si="11"/>
        <v>2017-08-16</v>
      </c>
      <c r="R64" t="str">
        <f t="shared" ca="1" si="11"/>
        <v>2017-08-29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2007-05-27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VLOOKUP(H65,LocalAreas.csv!I:J,2,FALSE)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14020</v>
      </c>
      <c r="N65" t="str">
        <f t="shared" ca="1" si="8"/>
        <v>rg:True</v>
      </c>
      <c r="O65" t="str">
        <f t="shared" ca="1" si="9"/>
        <v>rg:True</v>
      </c>
      <c r="P65">
        <f t="shared" ca="1" si="10"/>
        <v>732088</v>
      </c>
      <c r="Q65" t="str">
        <f t="shared" ca="1" si="11"/>
        <v>2017-10-24</v>
      </c>
      <c r="R65" t="str">
        <f t="shared" ca="1" si="11"/>
        <v>2017-04-29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2016-09-17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2010-05-07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VLOOKUP(H66,LocalAreas.csv!I:J,2,FALSE)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14004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732167</v>
      </c>
      <c r="Q66" t="str">
        <f t="shared" ca="1" si="11"/>
        <v>2017-08-21</v>
      </c>
      <c r="R66" t="str">
        <f t="shared" ca="1" si="11"/>
        <v>2017-10-22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2013-12-22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VLOOKUP(H67,LocalAreas.csv!I:J,2,FALSE)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14644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732013</v>
      </c>
      <c r="Q67" t="str">
        <f t="shared" ref="Q67:R109" ca="1" si="25">TEXT(TODAY()+RANDBETWEEN(-10,350),"YYYY-MM-DD")</f>
        <v>2018-03-05</v>
      </c>
      <c r="R67" t="str">
        <f t="shared" ca="1" si="25"/>
        <v>2017-12-12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2005-10-28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VLOOKUP(H68,LocalAreas.csv!I:J,2,FALSE)</f>
        <v>Cariboo</v>
      </c>
      <c r="J68" t="str">
        <f t="shared" si="15"/>
        <v>rg:{'id':'200003'}</v>
      </c>
      <c r="K68" t="s">
        <v>7615</v>
      </c>
      <c r="M68">
        <f t="shared" ca="1" si="21"/>
        <v>17449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732003</v>
      </c>
      <c r="Q68" t="str">
        <f t="shared" ca="1" si="25"/>
        <v>2018-01-01</v>
      </c>
      <c r="R68" t="str">
        <f t="shared" ca="1" si="25"/>
        <v>2017-11-15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2008-03-24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VLOOKUP(H69,LocalAreas.csv!I:J,2,FALSE)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13843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732050</v>
      </c>
      <c r="Q69" t="str">
        <f t="shared" ca="1" si="25"/>
        <v>2017-11-03</v>
      </c>
      <c r="R69" t="str">
        <f t="shared" ca="1" si="25"/>
        <v>2017-11-24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2010-07-17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VLOOKUP(H70,LocalAreas.csv!I:J,2,FALSE)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19439</v>
      </c>
      <c r="N70" t="str">
        <f t="shared" ca="1" si="22"/>
        <v>rg:True</v>
      </c>
      <c r="O70" t="str">
        <f t="shared" ca="1" si="23"/>
        <v>rg:True</v>
      </c>
      <c r="P70">
        <f t="shared" ca="1" si="24"/>
        <v>732039</v>
      </c>
      <c r="Q70" t="str">
        <f t="shared" ca="1" si="25"/>
        <v>2018-03-08</v>
      </c>
      <c r="R70" t="str">
        <f t="shared" ca="1" si="25"/>
        <v>2017-10-19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2008-03-04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VLOOKUP(H71,LocalAreas.csv!I:J,2,FALSE)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12430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732017</v>
      </c>
      <c r="Q71" t="str">
        <f t="shared" ca="1" si="25"/>
        <v>2017-06-08</v>
      </c>
      <c r="R71" t="str">
        <f t="shared" ca="1" si="25"/>
        <v>2017-11-04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2011-12-03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VLOOKUP(H72,LocalAreas.csv!I:J,2,FALSE)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19327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732073</v>
      </c>
      <c r="Q72" t="str">
        <f t="shared" ca="1" si="25"/>
        <v>2017-10-26</v>
      </c>
      <c r="R72" t="str">
        <f t="shared" ca="1" si="25"/>
        <v>2017-07-20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2008-12-16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VLOOKUP(H73,LocalAreas.csv!I:J,2,FALSE)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11615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732069</v>
      </c>
      <c r="Q73" t="str">
        <f t="shared" ca="1" si="25"/>
        <v>2018-01-10</v>
      </c>
      <c r="R73" t="str">
        <f t="shared" ca="1" si="25"/>
        <v>2018-03-09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2008-04-08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VLOOKUP(H74,LocalAreas.csv!I:J,2,FALSE)</f>
        <v>Cariboo</v>
      </c>
      <c r="J74" t="str">
        <f t="shared" si="15"/>
        <v>rg:{'id':'200003'}</v>
      </c>
      <c r="K74" t="s">
        <v>7614</v>
      </c>
      <c r="M74">
        <f t="shared" ca="1" si="21"/>
        <v>13490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732005</v>
      </c>
      <c r="Q74" t="str">
        <f t="shared" ca="1" si="25"/>
        <v>2017-11-09</v>
      </c>
      <c r="R74" t="str">
        <f t="shared" ca="1" si="25"/>
        <v>2018-03-13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2007-03-19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VLOOKUP(H75,LocalAreas.csv!I:J,2,FALSE)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15552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732090</v>
      </c>
      <c r="Q75" t="str">
        <f t="shared" ca="1" si="25"/>
        <v>2018-02-13</v>
      </c>
      <c r="R75" t="str">
        <f t="shared" ca="1" si="25"/>
        <v>2017-12-05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2009-02-18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VLOOKUP(H76,LocalAreas.csv!I:J,2,FALSE)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13149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732032</v>
      </c>
      <c r="Q76" t="str">
        <f t="shared" ca="1" si="25"/>
        <v>2017-07-09</v>
      </c>
      <c r="R76" t="str">
        <f t="shared" ca="1" si="25"/>
        <v>2017-08-19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2016-11-16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2012-08-27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VLOOKUP(H77,LocalAreas.csv!I:J,2,FALSE)</f>
        <v>Cariboo</v>
      </c>
      <c r="J77" t="str">
        <f t="shared" si="15"/>
        <v>rg:{'id':'200003'}</v>
      </c>
      <c r="K77" t="s">
        <v>7613</v>
      </c>
      <c r="M77">
        <f t="shared" ca="1" si="21"/>
        <v>15890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732150</v>
      </c>
      <c r="Q77" t="str">
        <f t="shared" ca="1" si="25"/>
        <v>2017-06-14</v>
      </c>
      <c r="R77" t="str">
        <f t="shared" ca="1" si="25"/>
        <v>2017-06-11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2016-03-09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VLOOKUP(H78,LocalAreas.csv!I:J,2,FALSE)</f>
        <v>Cariboo</v>
      </c>
      <c r="J78" t="str">
        <f t="shared" si="15"/>
        <v>rg:{'id':'200003'}</v>
      </c>
      <c r="K78" t="s">
        <v>7612</v>
      </c>
      <c r="M78">
        <f t="shared" ca="1" si="21"/>
        <v>15882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732077</v>
      </c>
      <c r="Q78" t="str">
        <f t="shared" ca="1" si="25"/>
        <v>2017-03-19</v>
      </c>
      <c r="R78" t="str">
        <f t="shared" ca="1" si="25"/>
        <v>2017-04-25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2004-03-27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VLOOKUP(H79,LocalAreas.csv!I:J,2,FALSE)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12751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732162</v>
      </c>
      <c r="Q79" t="str">
        <f t="shared" ca="1" si="25"/>
        <v>2017-10-18</v>
      </c>
      <c r="R79" t="str">
        <f t="shared" ca="1" si="25"/>
        <v>2017-05-01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2009-01-02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VLOOKUP(H80,LocalAreas.csv!I:J,2,FALSE)</f>
        <v>Chilcotin</v>
      </c>
      <c r="J80" t="str">
        <f t="shared" si="15"/>
        <v>rg:{'id':'200004'}</v>
      </c>
      <c r="K80" t="s">
        <v>7611</v>
      </c>
      <c r="M80">
        <f t="shared" ca="1" si="21"/>
        <v>10290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732099</v>
      </c>
      <c r="Q80" t="str">
        <f t="shared" ca="1" si="25"/>
        <v>2018-01-28</v>
      </c>
      <c r="R80" t="str">
        <f t="shared" ca="1" si="25"/>
        <v>2017-06-09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2014-01-16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VLOOKUP(H81,LocalAreas.csv!I:J,2,FALSE)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16733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732006</v>
      </c>
      <c r="Q81" t="str">
        <f t="shared" ca="1" si="25"/>
        <v>2018-01-29</v>
      </c>
      <c r="R81" t="str">
        <f t="shared" ca="1" si="25"/>
        <v>2017-11-25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2003-12-07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VLOOKUP(H82,LocalAreas.csv!I:J,2,FALSE)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16685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732029</v>
      </c>
      <c r="Q82" t="str">
        <f t="shared" ca="1" si="25"/>
        <v>2018-01-10</v>
      </c>
      <c r="R82" t="str">
        <f t="shared" ca="1" si="25"/>
        <v>2017-10-20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2003-10-09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VLOOKUP(H83,LocalAreas.csv!I:J,2,FALSE)</f>
        <v>Chilcotin</v>
      </c>
      <c r="J83" t="str">
        <f t="shared" si="15"/>
        <v>rg:{'id':'200004'}</v>
      </c>
      <c r="K83" t="s">
        <v>7609</v>
      </c>
      <c r="M83">
        <f t="shared" ca="1" si="21"/>
        <v>11615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732199</v>
      </c>
      <c r="Q83" t="str">
        <f t="shared" ca="1" si="25"/>
        <v>2018-02-19</v>
      </c>
      <c r="R83" t="str">
        <f t="shared" ca="1" si="25"/>
        <v>2017-12-08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2013-04-09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VLOOKUP(H84,LocalAreas.csv!I:J,2,FALSE)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14085</v>
      </c>
      <c r="N84" t="str">
        <f t="shared" ca="1" si="22"/>
        <v>rg:True</v>
      </c>
      <c r="O84" t="str">
        <f t="shared" ca="1" si="23"/>
        <v>rg:True</v>
      </c>
      <c r="P84">
        <f t="shared" ca="1" si="24"/>
        <v>732057</v>
      </c>
      <c r="Q84" t="str">
        <f t="shared" ca="1" si="25"/>
        <v>2017-05-16</v>
      </c>
      <c r="R84" t="str">
        <f t="shared" ca="1" si="25"/>
        <v>2018-02-08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2005-01-19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VLOOKUP(H85,LocalAreas.csv!I:J,2,FALSE)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17296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732162</v>
      </c>
      <c r="Q85" t="str">
        <f t="shared" ca="1" si="25"/>
        <v>2018-02-08</v>
      </c>
      <c r="R85" t="str">
        <f t="shared" ca="1" si="25"/>
        <v>2017-06-23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2016-09-30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2007-01-09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VLOOKUP(H86,LocalAreas.csv!I:J,2,FALSE)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19418</v>
      </c>
      <c r="N86" t="str">
        <f t="shared" ca="1" si="22"/>
        <v>rg:True</v>
      </c>
      <c r="O86" t="str">
        <f t="shared" ca="1" si="23"/>
        <v>rg:True</v>
      </c>
      <c r="P86">
        <f t="shared" ca="1" si="24"/>
        <v>732000</v>
      </c>
      <c r="Q86" t="str">
        <f t="shared" ca="1" si="25"/>
        <v>2018-01-09</v>
      </c>
      <c r="R86" t="str">
        <f t="shared" ca="1" si="25"/>
        <v>2017-10-23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2008-05-03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VLOOKUP(H87,LocalAreas.csv!I:J,2,FALSE)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14564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732027</v>
      </c>
      <c r="Q87" t="str">
        <f t="shared" ca="1" si="25"/>
        <v>2017-12-08</v>
      </c>
      <c r="R87" t="str">
        <f t="shared" ca="1" si="25"/>
        <v>2017-09-21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2016-09-12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2015-07-27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VLOOKUP(H88,LocalAreas.csv!I:J,2,FALSE)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12341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732038</v>
      </c>
      <c r="Q88" t="str">
        <f t="shared" ca="1" si="25"/>
        <v>2017-04-06</v>
      </c>
      <c r="R88" t="str">
        <f t="shared" ca="1" si="25"/>
        <v>2017-09-20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2007-11-18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VLOOKUP(H89,LocalAreas.csv!I:J,2,FALSE)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16459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732083</v>
      </c>
      <c r="Q89" t="str">
        <f t="shared" ca="1" si="25"/>
        <v>2017-04-12</v>
      </c>
      <c r="R89" t="str">
        <f t="shared" ca="1" si="25"/>
        <v>2017-11-20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2006-05-15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VLOOKUP(H90,LocalAreas.csv!I:J,2,FALSE)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16287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732086</v>
      </c>
      <c r="Q90" t="str">
        <f t="shared" ca="1" si="25"/>
        <v>2017-07-06</v>
      </c>
      <c r="R90" t="str">
        <f t="shared" ca="1" si="25"/>
        <v>2017-09-08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2011-12-29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VLOOKUP(H91,LocalAreas.csv!I:J,2,FALSE)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17093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732004</v>
      </c>
      <c r="Q91" t="str">
        <f t="shared" ca="1" si="25"/>
        <v>2017-04-04</v>
      </c>
      <c r="R91" t="str">
        <f t="shared" ca="1" si="25"/>
        <v>2017-05-16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2006-04-29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VLOOKUP(H92,LocalAreas.csv!I:J,2,FALSE)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14100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732139</v>
      </c>
      <c r="Q92" t="str">
        <f t="shared" ca="1" si="25"/>
        <v>2017-04-05</v>
      </c>
      <c r="R92" t="str">
        <f t="shared" ca="1" si="25"/>
        <v>2017-06-05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2011-05-20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VLOOKUP(H93,LocalAreas.csv!I:J,2,FALSE)</f>
        <v>Chilcotin</v>
      </c>
      <c r="J93" t="str">
        <f t="shared" si="15"/>
        <v>rg:{'id':'200004'}</v>
      </c>
      <c r="K93" t="s">
        <v>7608</v>
      </c>
      <c r="M93">
        <f t="shared" ca="1" si="21"/>
        <v>12635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732134</v>
      </c>
      <c r="Q93" t="str">
        <f t="shared" ca="1" si="25"/>
        <v>2018-01-08</v>
      </c>
      <c r="R93" t="str">
        <f t="shared" ca="1" si="25"/>
        <v>2017-11-29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2005-05-18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VLOOKUP(H94,LocalAreas.csv!I:J,2,FALSE)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11440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732003</v>
      </c>
      <c r="Q94" t="str">
        <f t="shared" ca="1" si="25"/>
        <v>2017-07-06</v>
      </c>
      <c r="R94" t="str">
        <f t="shared" ca="1" si="25"/>
        <v>2017-06-22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2006-10-30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VLOOKUP(H95,LocalAreas.csv!I:J,2,FALSE)</f>
        <v>Chilcotin</v>
      </c>
      <c r="J95" t="str">
        <f t="shared" si="15"/>
        <v>rg:{'id':'200004'}</v>
      </c>
      <c r="K95" t="s">
        <v>7607</v>
      </c>
      <c r="M95">
        <f t="shared" ca="1" si="21"/>
        <v>12134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732076</v>
      </c>
      <c r="Q95" t="str">
        <f t="shared" ca="1" si="25"/>
        <v>2017-05-03</v>
      </c>
      <c r="R95" t="str">
        <f t="shared" ca="1" si="25"/>
        <v>2017-12-06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2004-05-22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VLOOKUP(H96,LocalAreas.csv!I:J,2,FALSE)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12338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732123</v>
      </c>
      <c r="Q96" t="str">
        <f t="shared" ca="1" si="25"/>
        <v>2018-03-04</v>
      </c>
      <c r="R96" t="str">
        <f t="shared" ca="1" si="25"/>
        <v>2018-03-11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2015-11-30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VLOOKUP(H97,LocalAreas.csv!I:J,2,FALSE)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15383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732125</v>
      </c>
      <c r="Q97" t="str">
        <f t="shared" ca="1" si="25"/>
        <v>2017-08-19</v>
      </c>
      <c r="R97" t="str">
        <f t="shared" ca="1" si="25"/>
        <v>2017-06-01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2016-06-12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VLOOKUP(H98,LocalAreas.csv!I:J,2,FALSE)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14389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732109</v>
      </c>
      <c r="Q98" t="str">
        <f t="shared" ca="1" si="25"/>
        <v>2017-08-25</v>
      </c>
      <c r="R98" t="str">
        <f t="shared" ca="1" si="25"/>
        <v>2017-09-22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2016-04-14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VLOOKUP(H99,LocalAreas.csv!I:J,2,FALSE)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16606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732189</v>
      </c>
      <c r="Q99" t="str">
        <f t="shared" ca="1" si="25"/>
        <v>2017-12-30</v>
      </c>
      <c r="R99" t="str">
        <f t="shared" ca="1" si="25"/>
        <v>2018-02-28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2011-05-01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VLOOKUP(H100,LocalAreas.csv!I:J,2,FALSE)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15684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732161</v>
      </c>
      <c r="Q100" t="str">
        <f t="shared" ca="1" si="25"/>
        <v>2017-09-27</v>
      </c>
      <c r="R100" t="str">
        <f t="shared" ca="1" si="25"/>
        <v>2017-03-23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2013-05-04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VLOOKUP(H101,LocalAreas.csv!I:J,2,FALSE)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14431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732170</v>
      </c>
      <c r="Q101" t="str">
        <f t="shared" ca="1" si="25"/>
        <v>2018-02-06</v>
      </c>
      <c r="R101" t="str">
        <f t="shared" ca="1" si="25"/>
        <v>2017-08-10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2013-01-31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VLOOKUP(H102,LocalAreas.csv!I:J,2,FALSE)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16393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732008</v>
      </c>
      <c r="Q102" t="str">
        <f t="shared" ca="1" si="25"/>
        <v>2017-07-16</v>
      </c>
      <c r="R102" t="str">
        <f t="shared" ca="1" si="25"/>
        <v>2017-04-03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2015-07-07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VLOOKUP(H103,LocalAreas.csv!I:J,2,FALSE)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12153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732090</v>
      </c>
      <c r="Q103" t="str">
        <f t="shared" ca="1" si="25"/>
        <v>2017-06-18</v>
      </c>
      <c r="R103" t="str">
        <f t="shared" ca="1" si="25"/>
        <v>2017-05-18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2010-06-17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VLOOKUP(H104,LocalAreas.csv!I:J,2,FALSE)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18601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732158</v>
      </c>
      <c r="Q104" t="str">
        <f t="shared" ca="1" si="25"/>
        <v>2018-03-06</v>
      </c>
      <c r="R104" t="str">
        <f t="shared" ca="1" si="25"/>
        <v>2018-01-06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2011-04-14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VLOOKUP(H105,LocalAreas.csv!I:J,2,FALSE)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18438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732179</v>
      </c>
      <c r="Q105" t="str">
        <f t="shared" ca="1" si="25"/>
        <v>2017-05-18</v>
      </c>
      <c r="R105" t="str">
        <f t="shared" ca="1" si="25"/>
        <v>2017-11-16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2004-11-06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VLOOKUP(H106,LocalAreas.csv!I:J,2,FALSE)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16283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732039</v>
      </c>
      <c r="Q106" t="str">
        <f t="shared" ca="1" si="25"/>
        <v>2017-09-07</v>
      </c>
      <c r="R106" t="str">
        <f t="shared" ca="1" si="25"/>
        <v>2017-08-14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2015-09-16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VLOOKUP(H107,LocalAreas.csv!I:J,2,FALSE)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18481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732155</v>
      </c>
      <c r="Q107" t="str">
        <f t="shared" ca="1" si="25"/>
        <v>2017-12-07</v>
      </c>
      <c r="R107" t="str">
        <f t="shared" ca="1" si="25"/>
        <v>2017-06-30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2015-05-15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VLOOKUP(H108,LocalAreas.csv!I:J,2,FALSE)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14298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732034</v>
      </c>
      <c r="Q108" t="str">
        <f t="shared" ca="1" si="25"/>
        <v>2017-04-20</v>
      </c>
      <c r="R108" t="str">
        <f t="shared" ca="1" si="25"/>
        <v>2017-03-28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2011-07-24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VLOOKUP(H109,LocalAreas.csv!I:J,2,FALSE)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19251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732088</v>
      </c>
      <c r="Q109" t="str">
        <f t="shared" ca="1" si="25"/>
        <v>2018-02-15</v>
      </c>
      <c r="R109" t="str">
        <f t="shared" ca="1" si="25"/>
        <v>2017-07-30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VLOOKUP(VLOOKUP(E2,LocalAreas.csv!I:K,3,FALSE),ServiceAreas.csv!F:J,5,FALSE)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ca="1">IF(I2="Dump Truck",60,30)*AH2+(AVERAGE(AI2:AK2))</f>
        <v>448.91666666666663</v>
      </c>
      <c r="AH2" s="4">
        <f>YEARFRAC(DATE("2016","4","1"),T2)</f>
        <v>11.819444444444445</v>
      </c>
      <c r="AI2">
        <f ca="1">IF(AH2&lt;1,0,RANDBETWEEN(0,200))</f>
        <v>167</v>
      </c>
      <c r="AJ2">
        <f ca="1">IF(AH2&lt;2,0,RANDBETWEEN(0,200))</f>
        <v>79</v>
      </c>
      <c r="AK2">
        <f ca="1">IF(AH2&lt;3,0,RANDBETWEEN(0,200))</f>
        <v>37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>IF(ISNUMBER(B2),B2+1,200000)</f>
        <v>200001</v>
      </c>
      <c r="C3">
        <v>200000</v>
      </c>
      <c r="D3" t="str">
        <f>"rg:{'id': '"&amp;C3&amp;"'}"</f>
        <v>rg:{'id': '200000'}</v>
      </c>
      <c r="E3">
        <f>VLOOKUP(C3,Owners.csv!C:J,6,FALSE)</f>
        <v>200000</v>
      </c>
      <c r="F3" t="str">
        <f>VLOOKUP(VLOOKUP(E3,LocalAreas.csv!I:K,3,FALSE),ServiceAreas.csv!F:J,5,FALSE)</f>
        <v>200009</v>
      </c>
      <c r="G3" t="str">
        <f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>"rg:{'id': '"&amp;J3&amp;"'}"</f>
        <v>rg:{'id': '200001'}</v>
      </c>
      <c r="L3">
        <f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ca="1">IF(RANDBETWEEN(1,10)&gt;1,"rg:False","rg:True")</f>
        <v>rg:False</v>
      </c>
      <c r="V3" t="str">
        <f ca="1">IF(U3="rg:True","This equipment should be archived","rg:None")</f>
        <v>rg:None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ca="1">IF(RANDBETWEEN(1,20)&gt;1,"rg:False","rg:True")</f>
        <v>rg:False</v>
      </c>
      <c r="AE3" t="str">
        <f ca="1">IF(AD3="rg:True","Seniority overridden to test things","rg:None")</f>
        <v>rg:None</v>
      </c>
      <c r="AF3" s="1">
        <v>42480</v>
      </c>
      <c r="AG3" s="4">
        <f ca="1">IF(I3="Dump Truck",60,30)*AH3+(AVERAGE(AI3:AK3))</f>
        <v>132.75</v>
      </c>
      <c r="AH3" s="4">
        <f>YEARFRAC(DATE("2016","4","1"),T3)</f>
        <v>2.8250000000000002</v>
      </c>
      <c r="AI3">
        <f ca="1">IF(AH3&lt;1,0,RANDBETWEEN(0,200))</f>
        <v>94</v>
      </c>
      <c r="AJ3">
        <f ca="1">IF(AH3&lt;2,0,RANDBETWEEN(0,200))</f>
        <v>50</v>
      </c>
      <c r="AK3">
        <f ca="1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>IF(ISNUMBER(B3),B3+1,200000)</f>
        <v>200002</v>
      </c>
      <c r="C4">
        <v>200000</v>
      </c>
      <c r="D4" t="str">
        <f>"rg:{'id': '"&amp;C4&amp;"'}"</f>
        <v>rg:{'id': '200000'}</v>
      </c>
      <c r="E4">
        <f>VLOOKUP(C4,Owners.csv!C:J,6,FALSE)</f>
        <v>200000</v>
      </c>
      <c r="F4" t="str">
        <f>VLOOKUP(VLOOKUP(E4,LocalAreas.csv!I:K,3,FALSE),ServiceAreas.csv!F:J,5,FALSE)</f>
        <v>200009</v>
      </c>
      <c r="G4" t="str">
        <f>"rg:{'id': '"&amp;E4&amp;"'}"</f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>"rg:{'id': '"&amp;J4&amp;"'}"</f>
        <v>rg:{'id': '200002'}</v>
      </c>
      <c r="L4">
        <f>IF(C4=C3,L3+1,1)</f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ca="1">IF(RANDBETWEEN(1,10)&gt;1,"rg:False","rg:True")</f>
        <v>rg:False</v>
      </c>
      <c r="V4" t="str">
        <f ca="1">IF(U4="rg:True","This equipment should be archived","rg:None")</f>
        <v>rg:None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ca="1">IF(RANDBETWEEN(1,20)&gt;1,"rg:False","rg:True")</f>
        <v>rg:False</v>
      </c>
      <c r="AE4" t="str">
        <f ca="1">IF(AD4="rg:True","Seniority overridden to test things","rg:None")</f>
        <v>rg:None</v>
      </c>
      <c r="AF4" s="1">
        <v>42467</v>
      </c>
      <c r="AG4" s="4">
        <f ca="1">IF(I4="Dump Truck",60,30)*AH4+(AVERAGE(AI4:AK4))</f>
        <v>106.5</v>
      </c>
      <c r="AH4" s="4">
        <f>YEARFRAC(DATE("2016","4","1"),T4)</f>
        <v>1.8277777777777777</v>
      </c>
      <c r="AI4">
        <f ca="1">IF(AH4&lt;1,0,RANDBETWEEN(0,200))</f>
        <v>155</v>
      </c>
      <c r="AJ4">
        <f ca="1">IF(AH4&lt;2,0,RANDBETWEEN(0,200))</f>
        <v>0</v>
      </c>
      <c r="AK4">
        <f ca="1">IF(AH4&lt;3,0,RANDBETWEEN(0,200))</f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>IF(ISNUMBER(B4),B4+1,200000)</f>
        <v>200003</v>
      </c>
      <c r="C5">
        <v>200000</v>
      </c>
      <c r="D5" t="str">
        <f>"rg:{'id': '"&amp;C5&amp;"'}"</f>
        <v>rg:{'id': '200000'}</v>
      </c>
      <c r="E5">
        <f>VLOOKUP(C5,Owners.csv!C:J,6,FALSE)</f>
        <v>200000</v>
      </c>
      <c r="F5" t="str">
        <f>VLOOKUP(VLOOKUP(E5,LocalAreas.csv!I:K,3,FALSE),ServiceAreas.csv!F:J,5,FALSE)</f>
        <v>200009</v>
      </c>
      <c r="G5" t="str">
        <f>"rg:{'id': '"&amp;E5&amp;"'}"</f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>"rg:{'id': '"&amp;J5&amp;"'}"</f>
        <v>rg:{'id': '200003'}</v>
      </c>
      <c r="L5">
        <f>IF(C5=C4,L4+1,1)</f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ca="1">IF(RANDBETWEEN(1,10)&gt;1,"rg:False","rg:True")</f>
        <v>rg:False</v>
      </c>
      <c r="V5" t="str">
        <f ca="1">IF(U5="rg:True","This equipment should be archived","rg:None")</f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ca="1">IF(RANDBETWEEN(1,20)&gt;1,"rg:False","rg:True")</f>
        <v>rg:False</v>
      </c>
      <c r="AE5" t="str">
        <f ca="1">IF(AD5="rg:True","Seniority overridden to test things","rg:None")</f>
        <v>rg:None</v>
      </c>
      <c r="AF5" s="1">
        <v>42480</v>
      </c>
      <c r="AG5" s="4">
        <f ca="1">IF(I5="Dump Truck",60,30)*AH5+(AVERAGE(AI5:AK5))</f>
        <v>465.58333333333331</v>
      </c>
      <c r="AH5" s="4">
        <f>YEARFRAC(DATE("2016","4","1"),T5)</f>
        <v>11.375</v>
      </c>
      <c r="AI5">
        <f ca="1">IF(AH5&lt;1,0,RANDBETWEEN(0,200))</f>
        <v>180</v>
      </c>
      <c r="AJ5">
        <f ca="1">IF(AH5&lt;2,0,RANDBETWEEN(0,200))</f>
        <v>141</v>
      </c>
      <c r="AK5">
        <f ca="1">IF(AH5&lt;3,0,RANDBETWEEN(0,200))</f>
        <v>52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>IF(ISNUMBER(B5),B5+1,200000)</f>
        <v>200004</v>
      </c>
      <c r="C6">
        <v>200000</v>
      </c>
      <c r="D6" t="str">
        <f>"rg:{'id': '"&amp;C6&amp;"'}"</f>
        <v>rg:{'id': '200000'}</v>
      </c>
      <c r="E6">
        <f>VLOOKUP(C6,Owners.csv!C:J,6,FALSE)</f>
        <v>200000</v>
      </c>
      <c r="F6" t="str">
        <f>VLOOKUP(VLOOKUP(E6,LocalAreas.csv!I:K,3,FALSE),ServiceAreas.csv!F:J,5,FALSE)</f>
        <v>200009</v>
      </c>
      <c r="G6" t="str">
        <f>"rg:{'id': '"&amp;E6&amp;"'}"</f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>"rg:{'id': '"&amp;J6&amp;"'}"</f>
        <v>rg:{'id': '200004'}</v>
      </c>
      <c r="L6">
        <f>IF(C6=C5,L5+1,1)</f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ca="1">IF(RANDBETWEEN(1,10)&gt;1,"rg:False","rg:True")</f>
        <v>rg:False</v>
      </c>
      <c r="V6" t="str">
        <f ca="1">IF(U6="rg:True","This equipment should be archived","rg:None")</f>
        <v>rg:None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ca="1">IF(RANDBETWEEN(1,20)&gt;1,"rg:False","rg:True")</f>
        <v>rg:False</v>
      </c>
      <c r="AE6" t="str">
        <f ca="1">IF(AD6="rg:True","Seniority overridden to test things","rg:None")</f>
        <v>rg:None</v>
      </c>
      <c r="AF6" s="1">
        <v>42461</v>
      </c>
      <c r="AG6" s="4">
        <f ca="1">IF(I6="Dump Truck",60,30)*AH6+(AVERAGE(AI6:AK6))</f>
        <v>453.91666666666663</v>
      </c>
      <c r="AH6" s="4">
        <f>YEARFRAC(DATE("2016","4","1"),T6)</f>
        <v>10.108333333333333</v>
      </c>
      <c r="AI6">
        <f ca="1">IF(AH6&lt;1,0,RANDBETWEEN(0,200))</f>
        <v>131</v>
      </c>
      <c r="AJ6">
        <f ca="1">IF(AH6&lt;2,0,RANDBETWEEN(0,200))</f>
        <v>199</v>
      </c>
      <c r="AK6">
        <f ca="1">IF(AH6&lt;3,0,RANDBETWEEN(0,200))</f>
        <v>122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>IF(ISNUMBER(B6),B6+1,200000)</f>
        <v>200005</v>
      </c>
      <c r="C7">
        <v>200000</v>
      </c>
      <c r="D7" t="str">
        <f>"rg:{'id': '"&amp;C7&amp;"'}"</f>
        <v>rg:{'id': '200000'}</v>
      </c>
      <c r="E7">
        <f>VLOOKUP(C7,Owners.csv!C:J,6,FALSE)</f>
        <v>200000</v>
      </c>
      <c r="F7" t="str">
        <f>VLOOKUP(VLOOKUP(E7,LocalAreas.csv!I:K,3,FALSE),ServiceAreas.csv!F:J,5,FALSE)</f>
        <v>200009</v>
      </c>
      <c r="G7" t="str">
        <f>"rg:{'id': '"&amp;E7&amp;"'}"</f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>"rg:{'id': '"&amp;J7&amp;"'}"</f>
        <v>rg:{'id': '200005'}</v>
      </c>
      <c r="L7">
        <f>IF(C7=C6,L6+1,1)</f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ca="1">IF(RANDBETWEEN(1,10)&gt;1,"rg:False","rg:True")</f>
        <v>rg:False</v>
      </c>
      <c r="V7" t="str">
        <f ca="1">IF(U7="rg:True","This equipment should be archived","rg:None")</f>
        <v>rg:None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ca="1">IF(RANDBETWEEN(1,20)&gt;1,"rg:False","rg:True")</f>
        <v>rg:False</v>
      </c>
      <c r="AE7" t="str">
        <f ca="1">IF(AD7="rg:True","Seniority overridden to test things","rg:None")</f>
        <v>rg:None</v>
      </c>
      <c r="AF7" s="1">
        <v>42480</v>
      </c>
      <c r="AG7" s="4">
        <f ca="1">IF(I7="Dump Truck",60,30)*AH7+(AVERAGE(AI7:AK7))</f>
        <v>60.166666666666664</v>
      </c>
      <c r="AH7" s="4">
        <f>YEARFRAC(DATE("2016","4","1"),T7)</f>
        <v>1.7055555555555555</v>
      </c>
      <c r="AI7">
        <f ca="1">IF(AH7&lt;1,0,RANDBETWEEN(0,200))</f>
        <v>27</v>
      </c>
      <c r="AJ7">
        <f ca="1">IF(AH7&lt;2,0,RANDBETWEEN(0,200))</f>
        <v>0</v>
      </c>
      <c r="AK7">
        <f ca="1">IF(AH7&lt;3,0,RANDBETWEEN(0,200))</f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>IF(ISNUMBER(B7),B7+1,200000)</f>
        <v>200006</v>
      </c>
      <c r="C8">
        <v>200001</v>
      </c>
      <c r="D8" t="str">
        <f>"rg:{'id': '"&amp;C8&amp;"'}"</f>
        <v>rg:{'id': '200001'}</v>
      </c>
      <c r="E8">
        <f>VLOOKUP(C8,Owners.csv!C:J,6,FALSE)</f>
        <v>200000</v>
      </c>
      <c r="F8" t="str">
        <f>VLOOKUP(VLOOKUP(E8,LocalAreas.csv!I:K,3,FALSE),ServiceAreas.csv!F:J,5,FALSE)</f>
        <v>200009</v>
      </c>
      <c r="G8" t="str">
        <f>"rg:{'id': '"&amp;E8&amp;"'}"</f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>"rg:{'id': '"&amp;J8&amp;"'}"</f>
        <v>rg:{'id': '200000'}</v>
      </c>
      <c r="L8">
        <f>IF(C8=C7,L7+1,1)</f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ca="1">IF(RANDBETWEEN(1,10)&gt;1,"rg:False","rg:True")</f>
        <v>rg:False</v>
      </c>
      <c r="V8" t="str">
        <f ca="1">IF(U8="rg:True","This equipment should be archived","rg:None")</f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ca="1">IF(RANDBETWEEN(1,20)&gt;1,"rg:False","rg:True")</f>
        <v>rg:False</v>
      </c>
      <c r="AE8" t="str">
        <f ca="1">IF(AD8="rg:True","Seniority overridden to test things","rg:None")</f>
        <v>rg:None</v>
      </c>
      <c r="AF8" s="1">
        <v>42461</v>
      </c>
      <c r="AG8" s="4">
        <f ca="1">IF(I8="Dump Truck",60,30)*AH8+(AVERAGE(AI8:AK8))</f>
        <v>385.5</v>
      </c>
      <c r="AH8" s="4">
        <f>YEARFRAC(DATE("2016","4","1"),T8)</f>
        <v>9.65</v>
      </c>
      <c r="AI8">
        <f ca="1">IF(AH8&lt;1,0,RANDBETWEEN(0,200))</f>
        <v>47</v>
      </c>
      <c r="AJ8">
        <f ca="1">IF(AH8&lt;2,0,RANDBETWEEN(0,200))</f>
        <v>68</v>
      </c>
      <c r="AK8">
        <f ca="1">IF(AH8&lt;3,0,RANDBETWEEN(0,200))</f>
        <v>173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>IF(ISNUMBER(B8),B8+1,200000)</f>
        <v>200007</v>
      </c>
      <c r="C9">
        <v>200001</v>
      </c>
      <c r="D9" t="str">
        <f>"rg:{'id': '"&amp;C9&amp;"'}"</f>
        <v>rg:{'id': '200001'}</v>
      </c>
      <c r="E9">
        <f>VLOOKUP(C9,Owners.csv!C:J,6,FALSE)</f>
        <v>200000</v>
      </c>
      <c r="F9" t="str">
        <f>VLOOKUP(VLOOKUP(E9,LocalAreas.csv!I:K,3,FALSE),ServiceAreas.csv!F:J,5,FALSE)</f>
        <v>200009</v>
      </c>
      <c r="G9" t="str">
        <f>"rg:{'id': '"&amp;E9&amp;"'}"</f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>"rg:{'id': '"&amp;J9&amp;"'}"</f>
        <v>rg:{'id': '200006'}</v>
      </c>
      <c r="L9">
        <f>IF(C9=C8,L8+1,1)</f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ca="1">IF(RANDBETWEEN(1,10)&gt;1,"rg:False","rg:True")</f>
        <v>rg:False</v>
      </c>
      <c r="V9" t="str">
        <f ca="1">IF(U9="rg:True","This equipment should be archived","rg:None")</f>
        <v>rg:None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ca="1">IF(RANDBETWEEN(1,20)&gt;1,"rg:False","rg:True")</f>
        <v>rg:False</v>
      </c>
      <c r="AE9" t="str">
        <f ca="1">IF(AD9="rg:True","Seniority overridden to test things","rg:None")</f>
        <v>rg:None</v>
      </c>
      <c r="AF9" s="1">
        <v>42481</v>
      </c>
      <c r="AG9" s="4">
        <f ca="1">IF(I9="Dump Truck",60,30)*AH9+(AVERAGE(AI9:AK9))</f>
        <v>635.33333333333326</v>
      </c>
      <c r="AH9" s="4">
        <f>YEARFRAC(DATE("2016","4","1"),T9)</f>
        <v>8.9277777777777771</v>
      </c>
      <c r="AI9">
        <f ca="1">IF(AH9&lt;1,0,RANDBETWEEN(0,200))</f>
        <v>111</v>
      </c>
      <c r="AJ9">
        <f ca="1">IF(AH9&lt;2,0,RANDBETWEEN(0,200))</f>
        <v>174</v>
      </c>
      <c r="AK9">
        <f ca="1">IF(AH9&lt;3,0,RANDBETWEEN(0,200))</f>
        <v>14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>IF(ISNUMBER(B9),B9+1,200000)</f>
        <v>200008</v>
      </c>
      <c r="C10">
        <v>200001</v>
      </c>
      <c r="D10" t="str">
        <f>"rg:{'id': '"&amp;C10&amp;"'}"</f>
        <v>rg:{'id': '200001'}</v>
      </c>
      <c r="E10">
        <f>VLOOKUP(C10,Owners.csv!C:J,6,FALSE)</f>
        <v>200000</v>
      </c>
      <c r="F10" t="str">
        <f>VLOOKUP(VLOOKUP(E10,LocalAreas.csv!I:K,3,FALSE),ServiceAreas.csv!F:J,5,FALSE)</f>
        <v>200009</v>
      </c>
      <c r="G10" t="str">
        <f>"rg:{'id': '"&amp;E10&amp;"'}"</f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>"rg:{'id': '"&amp;J10&amp;"'}"</f>
        <v>rg:{'id': '200002'}</v>
      </c>
      <c r="L10">
        <f>IF(C10=C9,L9+1,1)</f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ca="1">IF(RANDBETWEEN(1,10)&gt;1,"rg:False","rg:True")</f>
        <v>rg:False</v>
      </c>
      <c r="V10" t="str">
        <f ca="1">IF(U10="rg:True","This equipment should be archived","rg:None")</f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ca="1">IF(RANDBETWEEN(1,20)&gt;1,"rg:False","rg:True")</f>
        <v>rg:False</v>
      </c>
      <c r="AE10" t="str">
        <f ca="1">IF(AD10="rg:True","Seniority overridden to test things","rg:None")</f>
        <v>rg:None</v>
      </c>
      <c r="AF10" s="1">
        <v>42467</v>
      </c>
      <c r="AG10" s="4">
        <f ca="1">IF(I10="Dump Truck",60,30)*AH10+(AVERAGE(AI10:AK10))</f>
        <v>405.75</v>
      </c>
      <c r="AH10" s="4">
        <f>YEARFRAC(DATE("2016","4","1"),T10)</f>
        <v>10.33611111111111</v>
      </c>
      <c r="AI10">
        <f ca="1">IF(AH10&lt;1,0,RANDBETWEEN(0,200))</f>
        <v>178</v>
      </c>
      <c r="AJ10">
        <f ca="1">IF(AH10&lt;2,0,RANDBETWEEN(0,200))</f>
        <v>82</v>
      </c>
      <c r="AK10">
        <f ca="1">IF(AH10&lt;3,0,RANDBETWEEN(0,200))</f>
        <v>27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>IF(ISNUMBER(B10),B10+1,200000)</f>
        <v>200009</v>
      </c>
      <c r="C11">
        <v>200001</v>
      </c>
      <c r="D11" t="str">
        <f>"rg:{'id': '"&amp;C11&amp;"'}"</f>
        <v>rg:{'id': '200001'}</v>
      </c>
      <c r="E11">
        <f>VLOOKUP(C11,Owners.csv!C:J,6,FALSE)</f>
        <v>200000</v>
      </c>
      <c r="F11" t="str">
        <f>VLOOKUP(VLOOKUP(E11,LocalAreas.csv!I:K,3,FALSE),ServiceAreas.csv!F:J,5,FALSE)</f>
        <v>200009</v>
      </c>
      <c r="G11" t="str">
        <f>"rg:{'id': '"&amp;E11&amp;"'}"</f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>"rg:{'id': '"&amp;J11&amp;"'}"</f>
        <v>rg:{'id': '200003'}</v>
      </c>
      <c r="L11">
        <f>IF(C11=C10,L10+1,1)</f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ca="1">IF(RANDBETWEEN(1,10)&gt;1,"rg:False","rg:True")</f>
        <v>rg:False</v>
      </c>
      <c r="V11" t="str">
        <f ca="1">IF(U11="rg:True","This equipment should be archived","rg:None")</f>
        <v>rg:None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ca="1">IF(RANDBETWEEN(1,20)&gt;1,"rg:False","rg:True")</f>
        <v>rg:False</v>
      </c>
      <c r="AE11" t="str">
        <f ca="1">IF(AD11="rg:True","Seniority overridden to test things","rg:None")</f>
        <v>rg:None</v>
      </c>
      <c r="AF11" s="1">
        <v>42470</v>
      </c>
      <c r="AG11" s="4">
        <f ca="1">IF(I11="Dump Truck",60,30)*AH11+(AVERAGE(AI11:AK11))</f>
        <v>208.5</v>
      </c>
      <c r="AH11" s="4">
        <f>YEARFRAC(DATE("2016","4","1"),T11)</f>
        <v>3.9388888888888891</v>
      </c>
      <c r="AI11">
        <f ca="1">IF(AH11&lt;1,0,RANDBETWEEN(0,200))</f>
        <v>44</v>
      </c>
      <c r="AJ11">
        <f ca="1">IF(AH11&lt;2,0,RANDBETWEEN(0,200))</f>
        <v>198</v>
      </c>
      <c r="AK11">
        <f ca="1">IF(AH11&lt;3,0,RANDBETWEEN(0,200))</f>
        <v>29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>IF(ISNUMBER(B11),B11+1,200000)</f>
        <v>200010</v>
      </c>
      <c r="C12">
        <v>200001</v>
      </c>
      <c r="D12" t="str">
        <f>"rg:{'id': '"&amp;C12&amp;"'}"</f>
        <v>rg:{'id': '200001'}</v>
      </c>
      <c r="E12">
        <f>VLOOKUP(C12,Owners.csv!C:J,6,FALSE)</f>
        <v>200000</v>
      </c>
      <c r="F12" t="str">
        <f>VLOOKUP(VLOOKUP(E12,LocalAreas.csv!I:K,3,FALSE),ServiceAreas.csv!F:J,5,FALSE)</f>
        <v>200009</v>
      </c>
      <c r="G12" t="str">
        <f>"rg:{'id': '"&amp;E12&amp;"'}"</f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>"rg:{'id': '"&amp;J12&amp;"'}"</f>
        <v>rg:{'id': '200004'}</v>
      </c>
      <c r="L12">
        <f>IF(C12=C11,L11+1,1)</f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ca="1">IF(RANDBETWEEN(1,10)&gt;1,"rg:False","rg:True")</f>
        <v>rg:False</v>
      </c>
      <c r="V12" t="str">
        <f ca="1">IF(U12="rg:True","This equipment should be archived","rg:None")</f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ca="1">IF(RANDBETWEEN(1,20)&gt;1,"rg:False","rg:True")</f>
        <v>rg:False</v>
      </c>
      <c r="AE12" t="str">
        <f ca="1">IF(AD12="rg:True","Seniority overridden to test things","rg:None")</f>
        <v>rg:None</v>
      </c>
      <c r="AF12" s="1">
        <v>42461</v>
      </c>
      <c r="AG12" s="4">
        <f ca="1">IF(I12="Dump Truck",60,30)*AH12+(AVERAGE(AI12:AK12))</f>
        <v>368.16666666666669</v>
      </c>
      <c r="AH12" s="4">
        <f>YEARFRAC(DATE("2016","4","1"),T12)</f>
        <v>9.25</v>
      </c>
      <c r="AI12">
        <f ca="1">IF(AH12&lt;1,0,RANDBETWEEN(0,200))</f>
        <v>147</v>
      </c>
      <c r="AJ12">
        <f ca="1">IF(AH12&lt;2,0,RANDBETWEEN(0,200))</f>
        <v>22</v>
      </c>
      <c r="AK12">
        <f ca="1">IF(AH12&lt;3,0,RANDBETWEEN(0,200))</f>
        <v>103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>IF(ISNUMBER(B12),B12+1,200000)</f>
        <v>200011</v>
      </c>
      <c r="C13">
        <v>200001</v>
      </c>
      <c r="D13" t="str">
        <f>"rg:{'id': '"&amp;C13&amp;"'}"</f>
        <v>rg:{'id': '200001'}</v>
      </c>
      <c r="E13">
        <f>VLOOKUP(C13,Owners.csv!C:J,6,FALSE)</f>
        <v>200000</v>
      </c>
      <c r="F13" t="str">
        <f>VLOOKUP(VLOOKUP(E13,LocalAreas.csv!I:K,3,FALSE),ServiceAreas.csv!F:J,5,FALSE)</f>
        <v>200009</v>
      </c>
      <c r="G13" t="str">
        <f>"rg:{'id': '"&amp;E13&amp;"'}"</f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>"rg:{'id': '"&amp;J13&amp;"'}"</f>
        <v>rg:{'id': '200005'}</v>
      </c>
      <c r="L13">
        <f>IF(C13=C12,L12+1,1)</f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ca="1">IF(RANDBETWEEN(1,10)&gt;1,"rg:False","rg:True")</f>
        <v>rg:False</v>
      </c>
      <c r="V13" t="str">
        <f ca="1">IF(U13="rg:True","This equipment should be archived","rg:None")</f>
        <v>rg:None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ca="1">IF(RANDBETWEEN(1,20)&gt;1,"rg:False","rg:True")</f>
        <v>rg:False</v>
      </c>
      <c r="AE13" t="str">
        <f ca="1">IF(AD13="rg:True","Seniority overridden to test things","rg:None")</f>
        <v>rg:None</v>
      </c>
      <c r="AF13" s="1">
        <v>42461</v>
      </c>
      <c r="AG13" s="4">
        <f ca="1">IF(I13="Dump Truck",60,30)*AH13+(AVERAGE(AI13:AK13))</f>
        <v>380.25</v>
      </c>
      <c r="AH13" s="4">
        <f>YEARFRAC(DATE("2016","4","1"),T13)</f>
        <v>8.1972222222222229</v>
      </c>
      <c r="AI13">
        <f ca="1">IF(AH13&lt;1,0,RANDBETWEEN(0,200))</f>
        <v>172</v>
      </c>
      <c r="AJ13">
        <f ca="1">IF(AH13&lt;2,0,RANDBETWEEN(0,200))</f>
        <v>127</v>
      </c>
      <c r="AK13">
        <f ca="1">IF(AH13&lt;3,0,RANDBETWEEN(0,200))</f>
        <v>104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>IF(ISNUMBER(B13),B13+1,200000)</f>
        <v>200012</v>
      </c>
      <c r="C14">
        <v>200002</v>
      </c>
      <c r="D14" t="str">
        <f>"rg:{'id': '"&amp;C14&amp;"'}"</f>
        <v>rg:{'id': '200002'}</v>
      </c>
      <c r="E14">
        <f>VLOOKUP(C14,Owners.csv!C:J,6,FALSE)</f>
        <v>200000</v>
      </c>
      <c r="F14" t="str">
        <f>VLOOKUP(VLOOKUP(E14,LocalAreas.csv!I:K,3,FALSE),ServiceAreas.csv!F:J,5,FALSE)</f>
        <v>200009</v>
      </c>
      <c r="G14" t="str">
        <f>"rg:{'id': '"&amp;E14&amp;"'}"</f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>"rg:{'id': '"&amp;J14&amp;"'}"</f>
        <v>rg:{'id': '200000'}</v>
      </c>
      <c r="L14">
        <f>IF(C14=C13,L13+1,1)</f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ca="1">IF(RANDBETWEEN(1,10)&gt;1,"rg:False","rg:True")</f>
        <v>rg:False</v>
      </c>
      <c r="V14" t="str">
        <f ca="1">IF(U14="rg:True","This equipment should be archived","rg:None")</f>
        <v>rg:None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ca="1">IF(RANDBETWEEN(1,20)&gt;1,"rg:False","rg:True")</f>
        <v>rg:False</v>
      </c>
      <c r="AE14" t="str">
        <f ca="1">IF(AD14="rg:True","Seniority overridden to test things","rg:None")</f>
        <v>rg:None</v>
      </c>
      <c r="AF14" s="1">
        <v>42480</v>
      </c>
      <c r="AG14" s="4">
        <f ca="1">IF(I14="Dump Truck",60,30)*AH14+(AVERAGE(AI14:AK14))</f>
        <v>372.5</v>
      </c>
      <c r="AH14" s="4">
        <f>YEARFRAC(DATE("2016","4","1"),T14)</f>
        <v>7.4722222222222223</v>
      </c>
      <c r="AI14">
        <f ca="1">IF(AH14&lt;1,0,RANDBETWEEN(0,200))</f>
        <v>95</v>
      </c>
      <c r="AJ14">
        <f ca="1">IF(AH14&lt;2,0,RANDBETWEEN(0,200))</f>
        <v>168</v>
      </c>
      <c r="AK14">
        <f ca="1">IF(AH14&lt;3,0,RANDBETWEEN(0,200))</f>
        <v>182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>IF(ISNUMBER(B14),B14+1,200000)</f>
        <v>200013</v>
      </c>
      <c r="C15">
        <v>200002</v>
      </c>
      <c r="D15" t="str">
        <f>"rg:{'id': '"&amp;C15&amp;"'}"</f>
        <v>rg:{'id': '200002'}</v>
      </c>
      <c r="E15">
        <f>VLOOKUP(C15,Owners.csv!C:J,6,FALSE)</f>
        <v>200000</v>
      </c>
      <c r="F15" t="str">
        <f>VLOOKUP(VLOOKUP(E15,LocalAreas.csv!I:K,3,FALSE),ServiceAreas.csv!F:J,5,FALSE)</f>
        <v>200009</v>
      </c>
      <c r="G15" t="str">
        <f>"rg:{'id': '"&amp;E15&amp;"'}"</f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>"rg:{'id': '"&amp;J15&amp;"'}"</f>
        <v>rg:{'id': '200001'}</v>
      </c>
      <c r="L15">
        <f>IF(C15=C14,L14+1,1)</f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ca="1">IF(RANDBETWEEN(1,10)&gt;1,"rg:False","rg:True")</f>
        <v>rg:False</v>
      </c>
      <c r="V15" t="str">
        <f ca="1">IF(U15="rg:True","This equipment should be archived","rg:None")</f>
        <v>rg:None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ca="1">IF(RANDBETWEEN(1,20)&gt;1,"rg:False","rg:True")</f>
        <v>rg:False</v>
      </c>
      <c r="AE15" t="str">
        <f ca="1">IF(AD15="rg:True","Seniority overridden to test things","rg:None")</f>
        <v>rg:None</v>
      </c>
      <c r="AF15" s="1">
        <v>42481</v>
      </c>
      <c r="AG15" s="4">
        <f ca="1">IF(I15="Dump Truck",60,30)*AH15+(AVERAGE(AI15:AK15))</f>
        <v>272.58333333333331</v>
      </c>
      <c r="AH15" s="4">
        <f>YEARFRAC(DATE("2016","4","1"),T15)</f>
        <v>4.9083333333333332</v>
      </c>
      <c r="AI15">
        <f ca="1">IF(AH15&lt;1,0,RANDBETWEEN(0,200))</f>
        <v>143</v>
      </c>
      <c r="AJ15">
        <f ca="1">IF(AH15&lt;2,0,RANDBETWEEN(0,200))</f>
        <v>63</v>
      </c>
      <c r="AK15">
        <f ca="1">IF(AH15&lt;3,0,RANDBETWEEN(0,200))</f>
        <v>170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>IF(ISNUMBER(B15),B15+1,200000)</f>
        <v>200014</v>
      </c>
      <c r="C16">
        <v>200002</v>
      </c>
      <c r="D16" t="str">
        <f>"rg:{'id': '"&amp;C16&amp;"'}"</f>
        <v>rg:{'id': '200002'}</v>
      </c>
      <c r="E16">
        <f>VLOOKUP(C16,Owners.csv!C:J,6,FALSE)</f>
        <v>200000</v>
      </c>
      <c r="F16" t="str">
        <f>VLOOKUP(VLOOKUP(E16,LocalAreas.csv!I:K,3,FALSE),ServiceAreas.csv!F:J,5,FALSE)</f>
        <v>200009</v>
      </c>
      <c r="G16" t="str">
        <f>"rg:{'id': '"&amp;E16&amp;"'}"</f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>"rg:{'id': '"&amp;J16&amp;"'}"</f>
        <v>rg:{'id': '200002'}</v>
      </c>
      <c r="L16">
        <f>IF(C16=C15,L15+1,1)</f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ca="1">IF(RANDBETWEEN(1,10)&gt;1,"rg:False","rg:True")</f>
        <v>rg:False</v>
      </c>
      <c r="V16" t="str">
        <f ca="1">IF(U16="rg:True","This equipment should be archived","rg:None")</f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ca="1">IF(RANDBETWEEN(1,20)&gt;1,"rg:False","rg:True")</f>
        <v>rg:False</v>
      </c>
      <c r="AE16" t="str">
        <f ca="1">IF(AD16="rg:True","Seniority overridden to test things","rg:None")</f>
        <v>rg:None</v>
      </c>
      <c r="AF16" s="1">
        <v>42461</v>
      </c>
      <c r="AG16" s="4">
        <f ca="1">IF(I16="Dump Truck",60,30)*AH16+(AVERAGE(AI16:AK16))</f>
        <v>152.33333333333334</v>
      </c>
      <c r="AH16" s="4">
        <f>YEARFRAC(DATE("2016","4","1"),T16)</f>
        <v>2.7555555555555555</v>
      </c>
      <c r="AI16">
        <f ca="1">IF(AH16&lt;1,0,RANDBETWEEN(0,200))</f>
        <v>15</v>
      </c>
      <c r="AJ16">
        <f ca="1">IF(AH16&lt;2,0,RANDBETWEEN(0,200))</f>
        <v>194</v>
      </c>
      <c r="AK16">
        <f ca="1">IF(AH16&lt;3,0,RANDBETWEEN(0,200))</f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>IF(ISNUMBER(B16),B16+1,200000)</f>
        <v>200015</v>
      </c>
      <c r="C17">
        <v>200002</v>
      </c>
      <c r="D17" t="str">
        <f>"rg:{'id': '"&amp;C17&amp;"'}"</f>
        <v>rg:{'id': '200002'}</v>
      </c>
      <c r="E17">
        <f>VLOOKUP(C17,Owners.csv!C:J,6,FALSE)</f>
        <v>200000</v>
      </c>
      <c r="F17" t="str">
        <f>VLOOKUP(VLOOKUP(E17,LocalAreas.csv!I:K,3,FALSE),ServiceAreas.csv!F:J,5,FALSE)</f>
        <v>200009</v>
      </c>
      <c r="G17" t="str">
        <f>"rg:{'id': '"&amp;E17&amp;"'}"</f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>"rg:{'id': '"&amp;J17&amp;"'}"</f>
        <v>rg:{'id': '200003'}</v>
      </c>
      <c r="L17">
        <f>IF(C17=C16,L16+1,1)</f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ca="1">IF(RANDBETWEEN(1,10)&gt;1,"rg:False","rg:True")</f>
        <v>rg:False</v>
      </c>
      <c r="V17" t="str">
        <f ca="1">IF(U17="rg:True","This equipment should be archived","rg:None")</f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ca="1">IF(RANDBETWEEN(1,20)&gt;1,"rg:False","rg:True")</f>
        <v>rg:False</v>
      </c>
      <c r="AE17" t="str">
        <f ca="1">IF(AD17="rg:True","Seniority overridden to test things","rg:None")</f>
        <v>rg:None</v>
      </c>
      <c r="AF17" s="1">
        <v>42470</v>
      </c>
      <c r="AG17" s="4">
        <f ca="1">IF(I17="Dump Truck",60,30)*AH17+(AVERAGE(AI17:AK17))</f>
        <v>16.916666666666668</v>
      </c>
      <c r="AH17" s="4">
        <f>YEARFRAC(DATE("2016","4","1"),T17)</f>
        <v>0.56388888888888888</v>
      </c>
      <c r="AI17">
        <f ca="1">IF(AH17&lt;1,0,RANDBETWEEN(0,200))</f>
        <v>0</v>
      </c>
      <c r="AJ17">
        <f ca="1">IF(AH17&lt;2,0,RANDBETWEEN(0,200))</f>
        <v>0</v>
      </c>
      <c r="AK17">
        <f ca="1">IF(AH17&lt;3,0,RANDBETWEEN(0,200))</f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>IF(ISNUMBER(B17),B17+1,200000)</f>
        <v>200016</v>
      </c>
      <c r="C18">
        <v>200002</v>
      </c>
      <c r="D18" t="str">
        <f>"rg:{'id': '"&amp;C18&amp;"'}"</f>
        <v>rg:{'id': '200002'}</v>
      </c>
      <c r="E18">
        <f>VLOOKUP(C18,Owners.csv!C:J,6,FALSE)</f>
        <v>200000</v>
      </c>
      <c r="F18" t="str">
        <f>VLOOKUP(VLOOKUP(E18,LocalAreas.csv!I:K,3,FALSE),ServiceAreas.csv!F:J,5,FALSE)</f>
        <v>200009</v>
      </c>
      <c r="G18" t="str">
        <f>"rg:{'id': '"&amp;E18&amp;"'}"</f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>"rg:{'id': '"&amp;J18&amp;"'}"</f>
        <v>rg:{'id': '200004'}</v>
      </c>
      <c r="L18">
        <f>IF(C18=C17,L17+1,1)</f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ca="1">IF(RANDBETWEEN(1,10)&gt;1,"rg:False","rg:True")</f>
        <v>rg:False</v>
      </c>
      <c r="V18" t="str">
        <f ca="1">IF(U18="rg:True","This equipment should be archived","rg:None")</f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ca="1">IF(RANDBETWEEN(1,20)&gt;1,"rg:False","rg:True")</f>
        <v>rg:False</v>
      </c>
      <c r="AE18" t="str">
        <f ca="1">IF(AD18="rg:True","Seniority overridden to test things","rg:None")</f>
        <v>rg:None</v>
      </c>
      <c r="AF18" s="1">
        <v>42481</v>
      </c>
      <c r="AG18" s="4">
        <f ca="1">IF(I18="Dump Truck",60,30)*AH18+(AVERAGE(AI18:AK18))</f>
        <v>453.41666666666669</v>
      </c>
      <c r="AH18" s="4">
        <f>YEARFRAC(DATE("2016","4","1"),T18)</f>
        <v>9.4472222222222229</v>
      </c>
      <c r="AI18">
        <f ca="1">IF(AH18&lt;1,0,RANDBETWEEN(0,200))</f>
        <v>180</v>
      </c>
      <c r="AJ18">
        <f ca="1">IF(AH18&lt;2,0,RANDBETWEEN(0,200))</f>
        <v>135</v>
      </c>
      <c r="AK18">
        <f ca="1">IF(AH18&lt;3,0,RANDBETWEEN(0,200))</f>
        <v>195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>IF(ISNUMBER(B18),B18+1,200000)</f>
        <v>200017</v>
      </c>
      <c r="C19">
        <v>200002</v>
      </c>
      <c r="D19" t="str">
        <f>"rg:{'id': '"&amp;C19&amp;"'}"</f>
        <v>rg:{'id': '200002'}</v>
      </c>
      <c r="E19">
        <f>VLOOKUP(C19,Owners.csv!C:J,6,FALSE)</f>
        <v>200000</v>
      </c>
      <c r="F19" t="str">
        <f>VLOOKUP(VLOOKUP(E19,LocalAreas.csv!I:K,3,FALSE),ServiceAreas.csv!F:J,5,FALSE)</f>
        <v>200009</v>
      </c>
      <c r="G19" t="str">
        <f>"rg:{'id': '"&amp;E19&amp;"'}"</f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>"rg:{'id': '"&amp;J19&amp;"'}"</f>
        <v>rg:{'id': '200005'}</v>
      </c>
      <c r="L19">
        <f>IF(C19=C18,L18+1,1)</f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ca="1">IF(RANDBETWEEN(1,10)&gt;1,"rg:False","rg:True")</f>
        <v>rg:False</v>
      </c>
      <c r="V19" t="str">
        <f ca="1">IF(U19="rg:True","This equipment should be archived","rg:None")</f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ca="1">IF(RANDBETWEEN(1,20)&gt;1,"rg:False","rg:True")</f>
        <v>rg:False</v>
      </c>
      <c r="AE19" t="str">
        <f ca="1">IF(AD19="rg:True","Seniority overridden to test things","rg:None")</f>
        <v>rg:None</v>
      </c>
      <c r="AF19" s="1">
        <v>42461</v>
      </c>
      <c r="AG19" s="4">
        <f ca="1">IF(I19="Dump Truck",60,30)*AH19+(AVERAGE(AI19:AK19))</f>
        <v>393.25000000000006</v>
      </c>
      <c r="AH19" s="4">
        <f>YEARFRAC(DATE("2016","4","1"),T19)</f>
        <v>12.252777777777778</v>
      </c>
      <c r="AI19">
        <f ca="1">IF(AH19&lt;1,0,RANDBETWEEN(0,200))</f>
        <v>61</v>
      </c>
      <c r="AJ19">
        <f ca="1">IF(AH19&lt;2,0,RANDBETWEEN(0,200))</f>
        <v>15</v>
      </c>
      <c r="AK19">
        <f ca="1">IF(AH19&lt;3,0,RANDBETWEEN(0,200))</f>
        <v>1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>IF(ISNUMBER(B19),B19+1,200000)</f>
        <v>200018</v>
      </c>
      <c r="C20">
        <v>200003</v>
      </c>
      <c r="D20" t="str">
        <f>"rg:{'id': '"&amp;C20&amp;"'}"</f>
        <v>rg:{'id': '200003'}</v>
      </c>
      <c r="E20">
        <f>VLOOKUP(C20,Owners.csv!C:J,6,FALSE)</f>
        <v>200000</v>
      </c>
      <c r="F20" t="str">
        <f>VLOOKUP(VLOOKUP(E20,LocalAreas.csv!I:K,3,FALSE),ServiceAreas.csv!F:J,5,FALSE)</f>
        <v>200009</v>
      </c>
      <c r="G20" t="str">
        <f>"rg:{'id': '"&amp;E20&amp;"'}"</f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>"rg:{'id': '"&amp;J20&amp;"'}"</f>
        <v>rg:{'id': '200000'}</v>
      </c>
      <c r="L20">
        <f>IF(C20=C19,L19+1,1)</f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ca="1">IF(RANDBETWEEN(1,10)&gt;1,"rg:False","rg:True")</f>
        <v>rg:False</v>
      </c>
      <c r="V20" t="str">
        <f ca="1">IF(U20="rg:True","This equipment should be archived","rg:None")</f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ca="1">IF(RANDBETWEEN(1,20)&gt;1,"rg:False","rg:True")</f>
        <v>rg:False</v>
      </c>
      <c r="AE20" t="str">
        <f ca="1">IF(AD20="rg:True","Seniority overridden to test things","rg:None")</f>
        <v>rg:None</v>
      </c>
      <c r="AF20" s="1">
        <v>42481</v>
      </c>
      <c r="AG20" s="4">
        <f ca="1">IF(I20="Dump Truck",60,30)*AH20+(AVERAGE(AI20:AK20))</f>
        <v>365.08333333333331</v>
      </c>
      <c r="AH20" s="4">
        <f>YEARFRAC(DATE("2016","4","1"),T20)</f>
        <v>9.7361111111111107</v>
      </c>
      <c r="AI20">
        <f ca="1">IF(AH20&lt;1,0,RANDBETWEEN(0,200))</f>
        <v>40</v>
      </c>
      <c r="AJ20">
        <f ca="1">IF(AH20&lt;2,0,RANDBETWEEN(0,200))</f>
        <v>148</v>
      </c>
      <c r="AK20">
        <f ca="1">IF(AH20&lt;3,0,RANDBETWEEN(0,200))</f>
        <v>31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>IF(ISNUMBER(B20),B20+1,200000)</f>
        <v>200019</v>
      </c>
      <c r="C21">
        <v>200003</v>
      </c>
      <c r="D21" t="str">
        <f>"rg:{'id': '"&amp;C21&amp;"'}"</f>
        <v>rg:{'id': '200003'}</v>
      </c>
      <c r="E21">
        <f>VLOOKUP(C21,Owners.csv!C:J,6,FALSE)</f>
        <v>200000</v>
      </c>
      <c r="F21" t="str">
        <f>VLOOKUP(VLOOKUP(E21,LocalAreas.csv!I:K,3,FALSE),ServiceAreas.csv!F:J,5,FALSE)</f>
        <v>200009</v>
      </c>
      <c r="G21" t="str">
        <f>"rg:{'id': '"&amp;E21&amp;"'}"</f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>"rg:{'id': '"&amp;J21&amp;"'}"</f>
        <v>rg:{'id': '200001'}</v>
      </c>
      <c r="L21">
        <f>IF(C21=C20,L20+1,1)</f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ca="1">IF(RANDBETWEEN(1,10)&gt;1,"rg:False","rg:True")</f>
        <v>rg:False</v>
      </c>
      <c r="V21" t="str">
        <f ca="1">IF(U21="rg:True","This equipment should be archived","rg:None")</f>
        <v>rg:None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ca="1">IF(RANDBETWEEN(1,20)&gt;1,"rg:False","rg:True")</f>
        <v>rg:False</v>
      </c>
      <c r="AE21" t="str">
        <f ca="1">IF(AD21="rg:True","Seniority overridden to test things","rg:None")</f>
        <v>rg:None</v>
      </c>
      <c r="AF21" s="1">
        <v>42461</v>
      </c>
      <c r="AG21" s="4">
        <f ca="1">IF(I21="Dump Truck",60,30)*AH21+(AVERAGE(AI21:AK21))</f>
        <v>317.16666666666669</v>
      </c>
      <c r="AH21" s="4">
        <f>YEARFRAC(DATE("2016","4","1"),T21)</f>
        <v>7.427777777777778</v>
      </c>
      <c r="AI21">
        <f ca="1">IF(AH21&lt;1,0,RANDBETWEEN(0,200))</f>
        <v>76</v>
      </c>
      <c r="AJ21">
        <f ca="1">IF(AH21&lt;2,0,RANDBETWEEN(0,200))</f>
        <v>151</v>
      </c>
      <c r="AK21">
        <f ca="1">IF(AH21&lt;3,0,RANDBETWEEN(0,200))</f>
        <v>56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>IF(ISNUMBER(B21),B21+1,200000)</f>
        <v>200020</v>
      </c>
      <c r="C22">
        <v>200003</v>
      </c>
      <c r="D22" t="str">
        <f>"rg:{'id': '"&amp;C22&amp;"'}"</f>
        <v>rg:{'id': '200003'}</v>
      </c>
      <c r="E22">
        <f>VLOOKUP(C22,Owners.csv!C:J,6,FALSE)</f>
        <v>200000</v>
      </c>
      <c r="F22" t="str">
        <f>VLOOKUP(VLOOKUP(E22,LocalAreas.csv!I:K,3,FALSE),ServiceAreas.csv!F:J,5,FALSE)</f>
        <v>200009</v>
      </c>
      <c r="G22" t="str">
        <f>"rg:{'id': '"&amp;E22&amp;"'}"</f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>"rg:{'id': '"&amp;J22&amp;"'}"</f>
        <v>rg:{'id': '200002'}</v>
      </c>
      <c r="L22">
        <f>IF(C22=C21,L21+1,1)</f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ca="1">IF(RANDBETWEEN(1,10)&gt;1,"rg:False","rg:True")</f>
        <v>rg:False</v>
      </c>
      <c r="V22" t="str">
        <f ca="1">IF(U22="rg:True","This equipment should be archived","rg:None")</f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ca="1">IF(RANDBETWEEN(1,20)&gt;1,"rg:False","rg:True")</f>
        <v>rg:False</v>
      </c>
      <c r="AE22" t="str">
        <f ca="1">IF(AD22="rg:True","Seniority overridden to test things","rg:None")</f>
        <v>rg:None</v>
      </c>
      <c r="AF22" s="1">
        <v>42467</v>
      </c>
      <c r="AG22" s="4">
        <f ca="1">IF(I22="Dump Truck",60,30)*AH22+(AVERAGE(AI22:AK22))</f>
        <v>293.41666666666669</v>
      </c>
      <c r="AH22" s="4">
        <f>YEARFRAC(DATE("2016","4","1"),T22)</f>
        <v>6.5694444444444446</v>
      </c>
      <c r="AI22">
        <f ca="1">IF(AH22&lt;1,0,RANDBETWEEN(0,200))</f>
        <v>138</v>
      </c>
      <c r="AJ22">
        <f ca="1">IF(AH22&lt;2,0,RANDBETWEEN(0,200))</f>
        <v>31</v>
      </c>
      <c r="AK22">
        <f ca="1">IF(AH22&lt;3,0,RANDBETWEEN(0,200))</f>
        <v>120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>IF(ISNUMBER(B22),B22+1,200000)</f>
        <v>200021</v>
      </c>
      <c r="C23">
        <v>200003</v>
      </c>
      <c r="D23" t="str">
        <f>"rg:{'id': '"&amp;C23&amp;"'}"</f>
        <v>rg:{'id': '200003'}</v>
      </c>
      <c r="E23">
        <f>VLOOKUP(C23,Owners.csv!C:J,6,FALSE)</f>
        <v>200000</v>
      </c>
      <c r="F23" t="str">
        <f>VLOOKUP(VLOOKUP(E23,LocalAreas.csv!I:K,3,FALSE),ServiceAreas.csv!F:J,5,FALSE)</f>
        <v>200009</v>
      </c>
      <c r="G23" t="str">
        <f>"rg:{'id': '"&amp;E23&amp;"'}"</f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>"rg:{'id': '"&amp;J23&amp;"'}"</f>
        <v>rg:{'id': '200000'}</v>
      </c>
      <c r="L23">
        <f>IF(C23=C22,L22+1,1)</f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ca="1">IF(RANDBETWEEN(1,10)&gt;1,"rg:False","rg:True")</f>
        <v>rg:False</v>
      </c>
      <c r="V23" t="str">
        <f ca="1">IF(U23="rg:True","This equipment should be archived","rg:None")</f>
        <v>rg:None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ca="1">IF(RANDBETWEEN(1,20)&gt;1,"rg:False","rg:True")</f>
        <v>rg:False</v>
      </c>
      <c r="AE23" t="str">
        <f ca="1">IF(AD23="rg:True","Seniority overridden to test things","rg:None")</f>
        <v>rg:None</v>
      </c>
      <c r="AF23" s="1">
        <v>42481</v>
      </c>
      <c r="AG23" s="4">
        <f ca="1">IF(I23="Dump Truck",60,30)*AH23+(AVERAGE(AI23:AK23))</f>
        <v>96</v>
      </c>
      <c r="AH23" s="4">
        <f>YEARFRAC(DATE("2016","4","1"),T23)</f>
        <v>2.7333333333333334</v>
      </c>
      <c r="AI23">
        <f ca="1">IF(AH23&lt;1,0,RANDBETWEEN(0,200))</f>
        <v>8</v>
      </c>
      <c r="AJ23">
        <f ca="1">IF(AH23&lt;2,0,RANDBETWEEN(0,200))</f>
        <v>34</v>
      </c>
      <c r="AK23">
        <f ca="1">IF(AH23&lt;3,0,RANDBETWEEN(0,200))</f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>IF(ISNUMBER(B23),B23+1,200000)</f>
        <v>200022</v>
      </c>
      <c r="C24">
        <v>200003</v>
      </c>
      <c r="D24" t="str">
        <f>"rg:{'id': '"&amp;C24&amp;"'}"</f>
        <v>rg:{'id': '200003'}</v>
      </c>
      <c r="E24">
        <f>VLOOKUP(C24,Owners.csv!C:J,6,FALSE)</f>
        <v>200000</v>
      </c>
      <c r="F24" t="str">
        <f>VLOOKUP(VLOOKUP(E24,LocalAreas.csv!I:K,3,FALSE),ServiceAreas.csv!F:J,5,FALSE)</f>
        <v>200009</v>
      </c>
      <c r="G24" t="str">
        <f>"rg:{'id': '"&amp;E24&amp;"'}"</f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>"rg:{'id': '"&amp;J24&amp;"'}"</f>
        <v>rg:{'id': '200001'}</v>
      </c>
      <c r="L24">
        <f>IF(C24=C23,L23+1,1)</f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ca="1">IF(RANDBETWEEN(1,10)&gt;1,"rg:False","rg:True")</f>
        <v>rg:True</v>
      </c>
      <c r="V24" t="str">
        <f ca="1">IF(U24="rg:True","This equipment should be archived","rg:None")</f>
        <v>This equipment should be archived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ca="1">IF(RANDBETWEEN(1,20)&gt;1,"rg:False","rg:True")</f>
        <v>rg:False</v>
      </c>
      <c r="AE24" t="str">
        <f ca="1">IF(AD24="rg:True","Seniority overridden to test things","rg:None")</f>
        <v>rg:None</v>
      </c>
      <c r="AF24" s="1">
        <v>42461</v>
      </c>
      <c r="AG24" s="4">
        <f ca="1">IF(I24="Dump Truck",60,30)*AH24+(AVERAGE(AI24:AK24))</f>
        <v>11.333333333333332</v>
      </c>
      <c r="AH24" s="4">
        <f>YEARFRAC(DATE("2016","4","1"),T24)</f>
        <v>0.37777777777777777</v>
      </c>
      <c r="AI24">
        <f ca="1">IF(AH24&lt;1,0,RANDBETWEEN(0,200))</f>
        <v>0</v>
      </c>
      <c r="AJ24">
        <f ca="1">IF(AH24&lt;2,0,RANDBETWEEN(0,200))</f>
        <v>0</v>
      </c>
      <c r="AK24">
        <f ca="1">IF(AH24&lt;3,0,RANDBETWEEN(0,200))</f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>IF(ISNUMBER(B24),B24+1,200000)</f>
        <v>200023</v>
      </c>
      <c r="C25">
        <v>200003</v>
      </c>
      <c r="D25" t="str">
        <f>"rg:{'id': '"&amp;C25&amp;"'}"</f>
        <v>rg:{'id': '200003'}</v>
      </c>
      <c r="E25">
        <f>VLOOKUP(C25,Owners.csv!C:J,6,FALSE)</f>
        <v>200000</v>
      </c>
      <c r="F25" t="str">
        <f>VLOOKUP(VLOOKUP(E25,LocalAreas.csv!I:K,3,FALSE),ServiceAreas.csv!F:J,5,FALSE)</f>
        <v>200009</v>
      </c>
      <c r="G25" t="str">
        <f>"rg:{'id': '"&amp;E25&amp;"'}"</f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>"rg:{'id': '"&amp;J25&amp;"'}"</f>
        <v>rg:{'id': '200002'}</v>
      </c>
      <c r="L25">
        <f>IF(C25=C24,L24+1,1)</f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ca="1">IF(RANDBETWEEN(1,10)&gt;1,"rg:False","rg:True")</f>
        <v>rg:False</v>
      </c>
      <c r="V25" t="str">
        <f ca="1">IF(U25="rg:True","This equipment should be archived","rg:None")</f>
        <v>rg:None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ca="1">IF(RANDBETWEEN(1,20)&gt;1,"rg:False","rg:True")</f>
        <v>rg:False</v>
      </c>
      <c r="AE25" t="str">
        <f ca="1">IF(AD25="rg:True","Seniority overridden to test things","rg:None")</f>
        <v>rg:None</v>
      </c>
      <c r="AF25" s="1">
        <v>42461</v>
      </c>
      <c r="AG25" s="4">
        <f ca="1">IF(I25="Dump Truck",60,30)*AH25+(AVERAGE(AI25:AK25))</f>
        <v>264.16666666666669</v>
      </c>
      <c r="AH25" s="4">
        <f>YEARFRAC(DATE("2016","4","1"),T25)</f>
        <v>6.5166666666666666</v>
      </c>
      <c r="AI25">
        <f ca="1">IF(AH25&lt;1,0,RANDBETWEEN(0,200))</f>
        <v>0</v>
      </c>
      <c r="AJ25">
        <f ca="1">IF(AH25&lt;2,0,RANDBETWEEN(0,200))</f>
        <v>9</v>
      </c>
      <c r="AK25">
        <f ca="1">IF(AH25&lt;3,0,RANDBETWEEN(0,200))</f>
        <v>197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>IF(ISNUMBER(B25),B25+1,200000)</f>
        <v>200024</v>
      </c>
      <c r="C26">
        <v>200003</v>
      </c>
      <c r="D26" t="str">
        <f>"rg:{'id': '"&amp;C26&amp;"'}"</f>
        <v>rg:{'id': '200003'}</v>
      </c>
      <c r="E26">
        <f>VLOOKUP(C26,Owners.csv!C:J,6,FALSE)</f>
        <v>200000</v>
      </c>
      <c r="F26" t="str">
        <f>VLOOKUP(VLOOKUP(E26,LocalAreas.csv!I:K,3,FALSE),ServiceAreas.csv!F:J,5,FALSE)</f>
        <v>200009</v>
      </c>
      <c r="G26" t="str">
        <f>"rg:{'id': '"&amp;E26&amp;"'}"</f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>"rg:{'id': '"&amp;J26&amp;"'}"</f>
        <v>rg:{'id': '200003'}</v>
      </c>
      <c r="L26">
        <f>IF(C26=C25,L25+1,1)</f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ca="1">IF(RANDBETWEEN(1,10)&gt;1,"rg:False","rg:True")</f>
        <v>rg:True</v>
      </c>
      <c r="V26" t="str">
        <f ca="1">IF(U26="rg:True","This equipment should be archived","rg:None")</f>
        <v>This equipment should be archived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ca="1">IF(RANDBETWEEN(1,20)&gt;1,"rg:False","rg:True")</f>
        <v>rg:False</v>
      </c>
      <c r="AE26" t="str">
        <f ca="1">IF(AD26="rg:True","Seniority overridden to test things","rg:None")</f>
        <v>rg:None</v>
      </c>
      <c r="AF26" s="1">
        <v>42470</v>
      </c>
      <c r="AG26" s="4">
        <f ca="1">IF(I26="Dump Truck",60,30)*AH26+(AVERAGE(AI26:AK26))</f>
        <v>357.08333333333331</v>
      </c>
      <c r="AH26" s="4">
        <f>YEARFRAC(DATE("2016","4","1"),T26)</f>
        <v>9.2138888888888886</v>
      </c>
      <c r="AI26">
        <f ca="1">IF(AH26&lt;1,0,RANDBETWEEN(0,200))</f>
        <v>186</v>
      </c>
      <c r="AJ26">
        <f ca="1">IF(AH26&lt;2,0,RANDBETWEEN(0,200))</f>
        <v>45</v>
      </c>
      <c r="AK26">
        <f ca="1">IF(AH26&lt;3,0,RANDBETWEEN(0,200))</f>
        <v>11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>IF(ISNUMBER(B26),B26+1,200000)</f>
        <v>200025</v>
      </c>
      <c r="C27">
        <v>200004</v>
      </c>
      <c r="D27" t="str">
        <f>"rg:{'id': '"&amp;C27&amp;"'}"</f>
        <v>rg:{'id': '200004'}</v>
      </c>
      <c r="E27">
        <f>VLOOKUP(C27,Owners.csv!C:J,6,FALSE)</f>
        <v>200000</v>
      </c>
      <c r="F27" t="str">
        <f>VLOOKUP(VLOOKUP(E27,LocalAreas.csv!I:K,3,FALSE),ServiceAreas.csv!F:J,5,FALSE)</f>
        <v>200009</v>
      </c>
      <c r="G27" t="str">
        <f>"rg:{'id': '"&amp;E27&amp;"'}"</f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>"rg:{'id': '"&amp;J27&amp;"'}"</f>
        <v>rg:{'id': '200004'}</v>
      </c>
      <c r="L27">
        <f>IF(C27=C26,L26+1,1)</f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ca="1">IF(RANDBETWEEN(1,10)&gt;1,"rg:False","rg:True")</f>
        <v>rg:False</v>
      </c>
      <c r="V27" t="str">
        <f ca="1">IF(U27="rg:True","This equipment should be archived","rg:None")</f>
        <v>rg:None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ca="1">IF(RANDBETWEEN(1,20)&gt;1,"rg:False","rg:True")</f>
        <v>rg:False</v>
      </c>
      <c r="AE27" t="str">
        <f ca="1">IF(AD27="rg:True","Seniority overridden to test things","rg:None")</f>
        <v>rg:None</v>
      </c>
      <c r="AF27" s="1">
        <v>42461</v>
      </c>
      <c r="AG27" s="4">
        <f ca="1">IF(I27="Dump Truck",60,30)*AH27+(AVERAGE(AI27:AK27))</f>
        <v>446.33333333333337</v>
      </c>
      <c r="AH27" s="4">
        <f>YEARFRAC(DATE("2016","4","1"),T27)</f>
        <v>11.988888888888889</v>
      </c>
      <c r="AI27">
        <f ca="1">IF(AH27&lt;1,0,RANDBETWEEN(0,200))</f>
        <v>118</v>
      </c>
      <c r="AJ27">
        <f ca="1">IF(AH27&lt;2,0,RANDBETWEEN(0,200))</f>
        <v>63</v>
      </c>
      <c r="AK27">
        <f ca="1">IF(AH27&lt;3,0,RANDBETWEEN(0,200))</f>
        <v>79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>IF(ISNUMBER(B27),B27+1,200000)</f>
        <v>200026</v>
      </c>
      <c r="C28">
        <v>200004</v>
      </c>
      <c r="D28" t="str">
        <f>"rg:{'id': '"&amp;C28&amp;"'}"</f>
        <v>rg:{'id': '200004'}</v>
      </c>
      <c r="E28">
        <f>VLOOKUP(C28,Owners.csv!C:J,6,FALSE)</f>
        <v>200000</v>
      </c>
      <c r="F28" t="str">
        <f>VLOOKUP(VLOOKUP(E28,LocalAreas.csv!I:K,3,FALSE),ServiceAreas.csv!F:J,5,FALSE)</f>
        <v>200009</v>
      </c>
      <c r="G28" t="str">
        <f>"rg:{'id': '"&amp;E28&amp;"'}"</f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>"rg:{'id': '"&amp;J28&amp;"'}"</f>
        <v>rg:{'id': '200005'}</v>
      </c>
      <c r="L28">
        <f>IF(C28=C27,L27+1,1)</f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ca="1">IF(RANDBETWEEN(1,10)&gt;1,"rg:False","rg:True")</f>
        <v>rg:False</v>
      </c>
      <c r="V28" t="str">
        <f ca="1">IF(U28="rg:True","This equipment should be archived","rg:None")</f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ca="1">IF(RANDBETWEEN(1,20)&gt;1,"rg:False","rg:True")</f>
        <v>rg:False</v>
      </c>
      <c r="AE28" t="str">
        <f ca="1">IF(AD28="rg:True","Seniority overridden to test things","rg:None")</f>
        <v>rg:None</v>
      </c>
      <c r="AF28" s="1">
        <v>42480</v>
      </c>
      <c r="AG28" s="4">
        <f ca="1">IF(I28="Dump Truck",60,30)*AH28+(AVERAGE(AI28:AK28))</f>
        <v>146.08333333333331</v>
      </c>
      <c r="AH28" s="4">
        <f>YEARFRAC(DATE("2016","4","1"),T28)</f>
        <v>2.1694444444444443</v>
      </c>
      <c r="AI28">
        <f ca="1">IF(AH28&lt;1,0,RANDBETWEEN(0,200))</f>
        <v>61</v>
      </c>
      <c r="AJ28">
        <f ca="1">IF(AH28&lt;2,0,RANDBETWEEN(0,200))</f>
        <v>182</v>
      </c>
      <c r="AK28">
        <f ca="1">IF(AH28&lt;3,0,RANDBETWEEN(0,200))</f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>IF(ISNUMBER(B28),B28+1,200000)</f>
        <v>200027</v>
      </c>
      <c r="C29">
        <v>200004</v>
      </c>
      <c r="D29" t="str">
        <f>"rg:{'id': '"&amp;C29&amp;"'}"</f>
        <v>rg:{'id': '200004'}</v>
      </c>
      <c r="E29">
        <f>VLOOKUP(C29,Owners.csv!C:J,6,FALSE)</f>
        <v>200000</v>
      </c>
      <c r="F29" t="str">
        <f>VLOOKUP(VLOOKUP(E29,LocalAreas.csv!I:K,3,FALSE),ServiceAreas.csv!F:J,5,FALSE)</f>
        <v>200009</v>
      </c>
      <c r="G29" t="str">
        <f>"rg:{'id': '"&amp;E29&amp;"'}"</f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>"rg:{'id': '"&amp;J29&amp;"'}"</f>
        <v>rg:{'id': '200002'}</v>
      </c>
      <c r="L29">
        <f>IF(C29=C28,L28+1,1)</f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ca="1">IF(RANDBETWEEN(1,10)&gt;1,"rg:False","rg:True")</f>
        <v>rg:False</v>
      </c>
      <c r="V29" t="str">
        <f ca="1">IF(U29="rg:True","This equipment should be archived","rg:None")</f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ca="1">IF(RANDBETWEEN(1,20)&gt;1,"rg:False","rg:True")</f>
        <v>rg:False</v>
      </c>
      <c r="AE29" t="str">
        <f ca="1">IF(AD29="rg:True","Seniority overridden to test things","rg:None")</f>
        <v>rg:None</v>
      </c>
      <c r="AF29" s="1">
        <v>42461</v>
      </c>
      <c r="AG29" s="4">
        <f ca="1">IF(I29="Dump Truck",60,30)*AH29+(AVERAGE(AI29:AK29))</f>
        <v>407.58333333333331</v>
      </c>
      <c r="AH29" s="4">
        <f>YEARFRAC(DATE("2016","4","1"),T29)</f>
        <v>11.408333333333333</v>
      </c>
      <c r="AI29">
        <f ca="1">IF(AH29&lt;1,0,RANDBETWEEN(0,200))</f>
        <v>107</v>
      </c>
      <c r="AJ29">
        <f ca="1">IF(AH29&lt;2,0,RANDBETWEEN(0,200))</f>
        <v>87</v>
      </c>
      <c r="AK29">
        <f ca="1">IF(AH29&lt;3,0,RANDBETWEEN(0,200))</f>
        <v>2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>IF(ISNUMBER(B29),B29+1,200000)</f>
        <v>200028</v>
      </c>
      <c r="C30">
        <v>200004</v>
      </c>
      <c r="D30" t="str">
        <f>"rg:{'id': '"&amp;C30&amp;"'}"</f>
        <v>rg:{'id': '200004'}</v>
      </c>
      <c r="E30">
        <f>VLOOKUP(C30,Owners.csv!C:J,6,FALSE)</f>
        <v>200000</v>
      </c>
      <c r="F30" t="str">
        <f>VLOOKUP(VLOOKUP(E30,LocalAreas.csv!I:K,3,FALSE),ServiceAreas.csv!F:J,5,FALSE)</f>
        <v>200009</v>
      </c>
      <c r="G30" t="str">
        <f>"rg:{'id': '"&amp;E30&amp;"'}"</f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>"rg:{'id': '"&amp;J30&amp;"'}"</f>
        <v>rg:{'id': '200003'}</v>
      </c>
      <c r="L30">
        <f>IF(C30=C29,L29+1,1)</f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ca="1">IF(RANDBETWEEN(1,10)&gt;1,"rg:False","rg:True")</f>
        <v>rg:False</v>
      </c>
      <c r="V30" t="str">
        <f ca="1">IF(U30="rg:True","This equipment should be archived","rg:None")</f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ca="1">IF(RANDBETWEEN(1,20)&gt;1,"rg:False","rg:True")</f>
        <v>rg:False</v>
      </c>
      <c r="AE30" t="str">
        <f ca="1">IF(AD30="rg:True","Seniority overridden to test things","rg:None")</f>
        <v>rg:None</v>
      </c>
      <c r="AF30" s="1">
        <v>42470</v>
      </c>
      <c r="AG30" s="4">
        <f ca="1">IF(I30="Dump Truck",60,30)*AH30+(AVERAGE(AI30:AK30))</f>
        <v>386.75</v>
      </c>
      <c r="AH30" s="4">
        <f>YEARFRAC(DATE("2016","4","1"),T30)</f>
        <v>10.613888888888889</v>
      </c>
      <c r="AI30">
        <f ca="1">IF(AH30&lt;1,0,RANDBETWEEN(0,200))</f>
        <v>27</v>
      </c>
      <c r="AJ30">
        <f ca="1">IF(AH30&lt;2,0,RANDBETWEEN(0,200))</f>
        <v>106</v>
      </c>
      <c r="AK30">
        <f ca="1">IF(AH30&lt;3,0,RANDBETWEEN(0,200))</f>
        <v>72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>IF(ISNUMBER(B30),B30+1,200000)</f>
        <v>200029</v>
      </c>
      <c r="C31">
        <v>200018</v>
      </c>
      <c r="D31" t="str">
        <f>"rg:{'id': '"&amp;C31&amp;"'}"</f>
        <v>rg:{'id': '200018'}</v>
      </c>
      <c r="E31">
        <f>VLOOKUP(C31,Owners.csv!C:J,6,FALSE)</f>
        <v>200001</v>
      </c>
      <c r="F31" t="str">
        <f>VLOOKUP(VLOOKUP(E31,LocalAreas.csv!I:K,3,FALSE),ServiceAreas.csv!F:J,5,FALSE)</f>
        <v>200009</v>
      </c>
      <c r="G31" t="str">
        <f>"rg:{'id': '"&amp;E31&amp;"'}"</f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>"rg:{'id': '"&amp;J31&amp;"'}"</f>
        <v>rg:{'id': '200004'}</v>
      </c>
      <c r="L31">
        <f>IF(C31=C30,L30+1,1)</f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ca="1">IF(RANDBETWEEN(1,10)&gt;1,"rg:False","rg:True")</f>
        <v>rg:False</v>
      </c>
      <c r="V31" t="str">
        <f ca="1">IF(U31="rg:True","This equipment should be archived","rg:None")</f>
        <v>rg:None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ca="1">IF(RANDBETWEEN(1,20)&gt;1,"rg:False","rg:True")</f>
        <v>rg:False</v>
      </c>
      <c r="AE31" t="str">
        <f ca="1">IF(AD31="rg:True","Seniority overridden to test things","rg:None")</f>
        <v>rg:None</v>
      </c>
      <c r="AF31" s="1">
        <v>42480</v>
      </c>
      <c r="AG31" s="4">
        <f ca="1">IF(I31="Dump Truck",60,30)*AH31+(AVERAGE(AI31:AK31))</f>
        <v>78.083333333333329</v>
      </c>
      <c r="AH31" s="4">
        <f>YEARFRAC(DATE("2016","4","1"),T31)</f>
        <v>1.2472222222222222</v>
      </c>
      <c r="AI31">
        <f ca="1">IF(AH31&lt;1,0,RANDBETWEEN(0,200))</f>
        <v>122</v>
      </c>
      <c r="AJ31">
        <f ca="1">IF(AH31&lt;2,0,RANDBETWEEN(0,200))</f>
        <v>0</v>
      </c>
      <c r="AK31">
        <f ca="1">IF(AH31&lt;3,0,RANDBETWEEN(0,200))</f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>IF(ISNUMBER(B31),B31+1,200000)</f>
        <v>200030</v>
      </c>
      <c r="C32">
        <v>200018</v>
      </c>
      <c r="D32" t="str">
        <f>"rg:{'id': '"&amp;C32&amp;"'}"</f>
        <v>rg:{'id': '200018'}</v>
      </c>
      <c r="E32">
        <f>VLOOKUP(C32,Owners.csv!C:J,6,FALSE)</f>
        <v>200001</v>
      </c>
      <c r="F32" t="str">
        <f>VLOOKUP(VLOOKUP(E32,LocalAreas.csv!I:K,3,FALSE),ServiceAreas.csv!F:J,5,FALSE)</f>
        <v>200009</v>
      </c>
      <c r="G32" t="str">
        <f>"rg:{'id': '"&amp;E32&amp;"'}"</f>
        <v>rg:{'id': '200001'}</v>
      </c>
      <c r="H32" t="s">
        <v>7665</v>
      </c>
      <c r="I32" t="s">
        <v>5642</v>
      </c>
      <c r="J32">
        <f>VLOOKUP(I32&amp;"-"&amp;F32,DistrictEquipmentTypes.csv!J:K,2,FALSE)</f>
        <v>200004</v>
      </c>
      <c r="K32" t="str">
        <f>"rg:{'id': '"&amp;J32&amp;"'}"</f>
        <v>rg:{'id': '200004'}</v>
      </c>
      <c r="L32">
        <f>IF(C32=C31,L31+1,1)</f>
        <v>2</v>
      </c>
      <c r="M32" t="str">
        <f>VLOOKUP(C32,Owners.csv!C:K,9,FALSE)&amp;TEXT(Equipment.csv!L32,"0000")</f>
        <v>CIRC0002</v>
      </c>
      <c r="N32" t="s">
        <v>5401</v>
      </c>
      <c r="O32" t="s">
        <v>6698</v>
      </c>
      <c r="P32">
        <v>2005</v>
      </c>
      <c r="Q32">
        <v>40</v>
      </c>
      <c r="R32" t="s">
        <v>6663</v>
      </c>
      <c r="S32" s="1">
        <v>41229</v>
      </c>
      <c r="T32" s="1">
        <v>41236</v>
      </c>
      <c r="U32" t="str">
        <f ca="1">IF(RANDBETWEEN(1,10)&gt;1,"rg:False","rg:True")</f>
        <v>rg:False</v>
      </c>
      <c r="V32" t="str">
        <f ca="1">IF(U32="rg:True","This equipment should be archived","rg:None")</f>
        <v>rg:None</v>
      </c>
      <c r="W32" t="s">
        <v>7097</v>
      </c>
      <c r="X32" t="s">
        <v>76</v>
      </c>
      <c r="Y32" t="s">
        <v>76</v>
      </c>
      <c r="Z32" t="s">
        <v>76</v>
      </c>
      <c r="AA32" t="s">
        <v>7444</v>
      </c>
      <c r="AB32" t="s">
        <v>7294</v>
      </c>
      <c r="AC32">
        <v>0</v>
      </c>
      <c r="AD32" t="str">
        <f ca="1">IF(RANDBETWEEN(1,20)&gt;1,"rg:False","rg:True")</f>
        <v>rg:False</v>
      </c>
      <c r="AE32" t="str">
        <f ca="1">IF(AD32="rg:True","Seniority overridden to test things","rg:None")</f>
        <v>rg:None</v>
      </c>
      <c r="AF32" s="1">
        <v>42461</v>
      </c>
      <c r="AG32" s="4">
        <f ca="1">IF(I32="Dump Truck",60,30)*AH32+(AVERAGE(AI32:AK32))</f>
        <v>183</v>
      </c>
      <c r="AH32" s="4">
        <f>YEARFRAC(DATE("2016","4","1"),T32)</f>
        <v>3.3555555555555556</v>
      </c>
      <c r="AI32">
        <f ca="1">IF(AH32&lt;1,0,RANDBETWEEN(0,200))</f>
        <v>114</v>
      </c>
      <c r="AJ32">
        <f ca="1">IF(AH32&lt;2,0,RANDBETWEEN(0,200))</f>
        <v>58</v>
      </c>
      <c r="AK32">
        <f ca="1">IF(AH32&lt;3,0,RANDBETWEEN(0,200))</f>
        <v>75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>IF(ISNUMBER(B32),B32+1,200000)</f>
        <v>200031</v>
      </c>
      <c r="C33">
        <v>200018</v>
      </c>
      <c r="D33" t="str">
        <f>"rg:{'id': '"&amp;C33&amp;"'}"</f>
        <v>rg:{'id': '200018'}</v>
      </c>
      <c r="E33">
        <f>VLOOKUP(C33,Owners.csv!C:J,6,FALSE)</f>
        <v>200001</v>
      </c>
      <c r="F33" t="str">
        <f>VLOOKUP(VLOOKUP(E33,LocalAreas.csv!I:K,3,FALSE),ServiceAreas.csv!F:J,5,FALSE)</f>
        <v>200009</v>
      </c>
      <c r="G33" t="str">
        <f>"rg:{'id': '"&amp;E33&amp;"'}"</f>
        <v>rg:{'id': '200001'}</v>
      </c>
      <c r="H33" t="s">
        <v>7657</v>
      </c>
      <c r="I33" t="s">
        <v>5640</v>
      </c>
      <c r="J33">
        <f>VLOOKUP(I33&amp;"-"&amp;F33,DistrictEquipmentTypes.csv!J:K,2,FALSE)</f>
        <v>200002</v>
      </c>
      <c r="K33" t="str">
        <f>"rg:{'id': '"&amp;J33&amp;"'}"</f>
        <v>rg:{'id': '200002'}</v>
      </c>
      <c r="L33">
        <f>IF(C33=C32,L32+1,1)</f>
        <v>3</v>
      </c>
      <c r="M33" t="str">
        <f>VLOOKUP(C33,Owners.csv!C:K,9,FALSE)&amp;TEXT(Equipment.csv!L33,"0000")</f>
        <v>CIRC0003</v>
      </c>
      <c r="N33" t="s">
        <v>5401</v>
      </c>
      <c r="O33" t="s">
        <v>6708</v>
      </c>
      <c r="P33">
        <v>2000</v>
      </c>
      <c r="Q33">
        <v>50</v>
      </c>
      <c r="R33" t="s">
        <v>6663</v>
      </c>
      <c r="S33" s="1">
        <v>38458</v>
      </c>
      <c r="T33" s="1">
        <v>38477</v>
      </c>
      <c r="U33" t="str">
        <f ca="1">IF(RANDBETWEEN(1,10)&gt;1,"rg:False","rg:True")</f>
        <v>rg:False</v>
      </c>
      <c r="V33" t="str">
        <f ca="1">IF(U33="rg:True","This equipment should be archived","rg:None")</f>
        <v>rg:None</v>
      </c>
      <c r="W33" t="s">
        <v>7107</v>
      </c>
      <c r="X33" t="s">
        <v>76</v>
      </c>
      <c r="Y33" t="s">
        <v>76</v>
      </c>
      <c r="Z33" t="s">
        <v>76</v>
      </c>
      <c r="AA33" t="s">
        <v>7454</v>
      </c>
      <c r="AB33" t="s">
        <v>7302</v>
      </c>
      <c r="AC33">
        <v>0</v>
      </c>
      <c r="AD33" t="str">
        <f ca="1">IF(RANDBETWEEN(1,20)&gt;1,"rg:False","rg:True")</f>
        <v>rg:False</v>
      </c>
      <c r="AE33" t="str">
        <f ca="1">IF(AD33="rg:True","Seniority overridden to test things","rg:None")</f>
        <v>rg:None</v>
      </c>
      <c r="AF33" s="1">
        <v>42480</v>
      </c>
      <c r="AG33" s="4">
        <f ca="1">IF(I33="Dump Truck",60,30)*AH33+(AVERAGE(AI33:AK33))</f>
        <v>375.83333333333331</v>
      </c>
      <c r="AH33" s="4">
        <f>YEARFRAC(DATE("2016","4","1"),T33)</f>
        <v>10.905555555555555</v>
      </c>
      <c r="AI33">
        <f ca="1">IF(AH33&lt;1,0,RANDBETWEEN(0,200))</f>
        <v>68</v>
      </c>
      <c r="AJ33">
        <f ca="1">IF(AH33&lt;2,0,RANDBETWEEN(0,200))</f>
        <v>24</v>
      </c>
      <c r="AK33">
        <f ca="1">IF(AH33&lt;3,0,RANDBETWEEN(0,200))</f>
        <v>54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>IF(ISNUMBER(B33),B33+1,200000)</f>
        <v>200032</v>
      </c>
      <c r="C34">
        <v>200018</v>
      </c>
      <c r="D34" t="str">
        <f>"rg:{'id': '"&amp;C34&amp;"'}"</f>
        <v>rg:{'id': '200018'}</v>
      </c>
      <c r="E34">
        <f>VLOOKUP(C34,Owners.csv!C:J,6,FALSE)</f>
        <v>200001</v>
      </c>
      <c r="F34" t="str">
        <f>VLOOKUP(VLOOKUP(E34,LocalAreas.csv!I:K,3,FALSE),ServiceAreas.csv!F:J,5,FALSE)</f>
        <v>200009</v>
      </c>
      <c r="G34" t="str">
        <f>"rg:{'id': '"&amp;E34&amp;"'}"</f>
        <v>rg:{'id': '200001'}</v>
      </c>
      <c r="H34" t="s">
        <v>7693</v>
      </c>
      <c r="I34" t="s">
        <v>5640</v>
      </c>
      <c r="J34">
        <f>VLOOKUP(I34&amp;"-"&amp;F34,DistrictEquipmentTypes.csv!J:K,2,FALSE)</f>
        <v>200002</v>
      </c>
      <c r="K34" t="str">
        <f>"rg:{'id': '"&amp;J34&amp;"'}"</f>
        <v>rg:{'id': '200002'}</v>
      </c>
      <c r="L34">
        <f>IF(C34=C33,L33+1,1)</f>
        <v>4</v>
      </c>
      <c r="M34" t="str">
        <f>VLOOKUP(C34,Owners.csv!C:K,9,FALSE)&amp;TEXT(Equipment.csv!L34,"0000")</f>
        <v>CIRC0004</v>
      </c>
      <c r="N34" t="s">
        <v>5401</v>
      </c>
      <c r="O34" t="s">
        <v>6718</v>
      </c>
      <c r="P34">
        <v>2013</v>
      </c>
      <c r="Q34">
        <v>60</v>
      </c>
      <c r="R34" t="s">
        <v>6665</v>
      </c>
      <c r="S34" s="1">
        <v>40711</v>
      </c>
      <c r="T34" s="1">
        <v>40720</v>
      </c>
      <c r="U34" t="str">
        <f ca="1">IF(RANDBETWEEN(1,10)&gt;1,"rg:False","rg:True")</f>
        <v>rg:False</v>
      </c>
      <c r="V34" t="str">
        <f ca="1">IF(U34="rg:True","This equipment should be archived","rg:None")</f>
        <v>rg:None</v>
      </c>
      <c r="W34" t="s">
        <v>7117</v>
      </c>
      <c r="X34" t="s">
        <v>76</v>
      </c>
      <c r="Y34" t="s">
        <v>76</v>
      </c>
      <c r="Z34" t="s">
        <v>76</v>
      </c>
      <c r="AA34" t="s">
        <v>7464</v>
      </c>
      <c r="AB34" t="s">
        <v>7311</v>
      </c>
      <c r="AC34">
        <v>0</v>
      </c>
      <c r="AD34" t="str">
        <f ca="1">IF(RANDBETWEEN(1,20)&gt;1,"rg:False","rg:True")</f>
        <v>rg:False</v>
      </c>
      <c r="AE34" t="str">
        <f ca="1">IF(AD34="rg:True","Seniority overridden to test things","rg:None")</f>
        <v>rg:None</v>
      </c>
      <c r="AF34" s="1">
        <v>42481</v>
      </c>
      <c r="AG34" s="4">
        <f ca="1">IF(I34="Dump Truck",60,30)*AH34+(AVERAGE(AI34:AK34))</f>
        <v>274.25</v>
      </c>
      <c r="AH34" s="4">
        <f>YEARFRAC(DATE("2016","4","1"),T34)</f>
        <v>4.7638888888888893</v>
      </c>
      <c r="AI34">
        <f ca="1">IF(AH34&lt;1,0,RANDBETWEEN(0,200))</f>
        <v>196</v>
      </c>
      <c r="AJ34">
        <f ca="1">IF(AH34&lt;2,0,RANDBETWEEN(0,200))</f>
        <v>119</v>
      </c>
      <c r="AK34">
        <f ca="1">IF(AH34&lt;3,0,RANDBETWEEN(0,200))</f>
        <v>79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>IF(ISNUMBER(B34),B34+1,200000)</f>
        <v>200033</v>
      </c>
      <c r="C35">
        <v>200018</v>
      </c>
      <c r="D35" t="str">
        <f>"rg:{'id': '"&amp;C35&amp;"'}"</f>
        <v>rg:{'id': '200018'}</v>
      </c>
      <c r="E35">
        <f>VLOOKUP(C35,Owners.csv!C:J,6,FALSE)</f>
        <v>200001</v>
      </c>
      <c r="F35" t="str">
        <f>VLOOKUP(VLOOKUP(E35,LocalAreas.csv!I:K,3,FALSE),ServiceAreas.csv!F:J,5,FALSE)</f>
        <v>200009</v>
      </c>
      <c r="G35" t="str">
        <f>"rg:{'id': '"&amp;E35&amp;"'}"</f>
        <v>rg:{'id': '200001'}</v>
      </c>
      <c r="H35" t="s">
        <v>7699</v>
      </c>
      <c r="I35" t="s">
        <v>5651</v>
      </c>
      <c r="J35">
        <f>VLOOKUP(I35&amp;"-"&amp;F35,DistrictEquipmentTypes.csv!J:K,2,FALSE)</f>
        <v>200006</v>
      </c>
      <c r="K35" t="str">
        <f>"rg:{'id': '"&amp;J35&amp;"'}"</f>
        <v>rg:{'id': '200006'}</v>
      </c>
      <c r="L35">
        <f>IF(C35=C34,L34+1,1)</f>
        <v>5</v>
      </c>
      <c r="M35" t="str">
        <f>VLOOKUP(C35,Owners.csv!C:K,9,FALSE)&amp;TEXT(Equipment.csv!L35,"0000")</f>
        <v>CIRC0005</v>
      </c>
      <c r="N35" t="s">
        <v>5401</v>
      </c>
      <c r="O35" t="s">
        <v>6726</v>
      </c>
      <c r="P35">
        <v>1979</v>
      </c>
      <c r="Q35">
        <v>68</v>
      </c>
      <c r="R35" t="s">
        <v>6663</v>
      </c>
      <c r="S35" s="1">
        <v>40613</v>
      </c>
      <c r="T35" s="1">
        <v>40641</v>
      </c>
      <c r="U35" t="str">
        <f ca="1">IF(RANDBETWEEN(1,10)&gt;1,"rg:False","rg:True")</f>
        <v>rg:False</v>
      </c>
      <c r="V35" t="str">
        <f ca="1">IF(U35="rg:True","This equipment should be archived","rg:None")</f>
        <v>rg:None</v>
      </c>
      <c r="W35" t="s">
        <v>7125</v>
      </c>
      <c r="X35" t="s">
        <v>76</v>
      </c>
      <c r="Y35" t="s">
        <v>76</v>
      </c>
      <c r="Z35" t="s">
        <v>76</v>
      </c>
      <c r="AA35" t="s">
        <v>7472</v>
      </c>
      <c r="AB35" t="s">
        <v>7317</v>
      </c>
      <c r="AC35">
        <v>0</v>
      </c>
      <c r="AD35" t="str">
        <f ca="1">IF(RANDBETWEEN(1,20)&gt;1,"rg:False","rg:True")</f>
        <v>rg:False</v>
      </c>
      <c r="AE35" t="str">
        <f ca="1">IF(AD35="rg:True","Seniority overridden to test things","rg:None")</f>
        <v>rg:None</v>
      </c>
      <c r="AF35" s="1">
        <v>42481</v>
      </c>
      <c r="AG35" s="4">
        <f ca="1">IF(I35="Dump Truck",60,30)*AH35+(AVERAGE(AI35:AK35))</f>
        <v>402.83333333333331</v>
      </c>
      <c r="AH35" s="4">
        <f>YEARFRAC(DATE("2016","4","1"),T35)</f>
        <v>4.9805555555555552</v>
      </c>
      <c r="AI35">
        <f ca="1">IF(AH35&lt;1,0,RANDBETWEEN(0,200))</f>
        <v>7</v>
      </c>
      <c r="AJ35">
        <f ca="1">IF(AH35&lt;2,0,RANDBETWEEN(0,200))</f>
        <v>162</v>
      </c>
      <c r="AK35">
        <f ca="1">IF(AH35&lt;3,0,RANDBETWEEN(0,200))</f>
        <v>143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>IF(ISNUMBER(B35),B35+1,200000)</f>
        <v>200034</v>
      </c>
      <c r="C36">
        <v>200018</v>
      </c>
      <c r="D36" t="str">
        <f>"rg:{'id': '"&amp;C36&amp;"'}"</f>
        <v>rg:{'id': '200018'}</v>
      </c>
      <c r="E36">
        <f>VLOOKUP(C36,Owners.csv!C:J,6,FALSE)</f>
        <v>200001</v>
      </c>
      <c r="F36" t="str">
        <f>VLOOKUP(VLOOKUP(E36,LocalAreas.csv!I:K,3,FALSE),ServiceAreas.csv!F:J,5,FALSE)</f>
        <v>200009</v>
      </c>
      <c r="G36" t="str">
        <f>"rg:{'id': '"&amp;E36&amp;"'}"</f>
        <v>rg:{'id': '200001'}</v>
      </c>
      <c r="H36" t="s">
        <v>7713</v>
      </c>
      <c r="I36" t="s">
        <v>5651</v>
      </c>
      <c r="J36">
        <f>VLOOKUP(I36&amp;"-"&amp;F36,DistrictEquipmentTypes.csv!J:K,2,FALSE)</f>
        <v>200006</v>
      </c>
      <c r="K36" t="str">
        <f>"rg:{'id': '"&amp;J36&amp;"'}"</f>
        <v>rg:{'id': '200006'}</v>
      </c>
      <c r="L36">
        <f>IF(C36=C35,L35+1,1)</f>
        <v>6</v>
      </c>
      <c r="M36" t="str">
        <f>VLOOKUP(C36,Owners.csv!C:K,9,FALSE)&amp;TEXT(Equipment.csv!L36,"0000")</f>
        <v>CIRC0006</v>
      </c>
      <c r="N36" t="s">
        <v>5401</v>
      </c>
      <c r="O36" t="s">
        <v>6746</v>
      </c>
      <c r="P36">
        <v>2001</v>
      </c>
      <c r="Q36">
        <v>88</v>
      </c>
      <c r="R36" t="s">
        <v>6663</v>
      </c>
      <c r="S36" s="1">
        <v>42140</v>
      </c>
      <c r="T36" s="1">
        <v>42156</v>
      </c>
      <c r="U36" t="str">
        <f ca="1">IF(RANDBETWEEN(1,10)&gt;1,"rg:False","rg:True")</f>
        <v>rg:False</v>
      </c>
      <c r="V36" t="str">
        <f ca="1">IF(U36="rg:True","This equipment should be archived","rg:None")</f>
        <v>rg:None</v>
      </c>
      <c r="W36" t="s">
        <v>7145</v>
      </c>
      <c r="X36" t="s">
        <v>76</v>
      </c>
      <c r="Y36" t="s">
        <v>76</v>
      </c>
      <c r="Z36" t="s">
        <v>76</v>
      </c>
      <c r="AA36" t="s">
        <v>7492</v>
      </c>
      <c r="AB36" t="s">
        <v>7333</v>
      </c>
      <c r="AC36">
        <v>0</v>
      </c>
      <c r="AD36" t="str">
        <f ca="1">IF(RANDBETWEEN(1,20)&gt;1,"rg:False","rg:True")</f>
        <v>rg:False</v>
      </c>
      <c r="AE36" t="str">
        <f ca="1">IF(AD36="rg:True","Seniority overridden to test things","rg:None")</f>
        <v>rg:None</v>
      </c>
      <c r="AF36" s="1">
        <v>42481</v>
      </c>
      <c r="AG36" s="4">
        <f ca="1">IF(I36="Dump Truck",60,30)*AH36+(AVERAGE(AI36:AK36))</f>
        <v>50</v>
      </c>
      <c r="AH36" s="4">
        <f>YEARFRAC(DATE("2016","4","1"),T36)</f>
        <v>0.83333333333333337</v>
      </c>
      <c r="AI36">
        <f ca="1">IF(AH36&lt;1,0,RANDBETWEEN(0,200))</f>
        <v>0</v>
      </c>
      <c r="AJ36">
        <f ca="1">IF(AH36&lt;2,0,RANDBETWEEN(0,200))</f>
        <v>0</v>
      </c>
      <c r="AK36">
        <f ca="1">IF(AH36&lt;3,0,RANDBETWEEN(0,200))</f>
        <v>0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>IF(ISNUMBER(B36),B36+1,200000)</f>
        <v>200035</v>
      </c>
      <c r="C37">
        <v>200018</v>
      </c>
      <c r="D37" t="str">
        <f>"rg:{'id': '"&amp;C37&amp;"'}"</f>
        <v>rg:{'id': '200018'}</v>
      </c>
      <c r="E37">
        <f>VLOOKUP(C37,Owners.csv!C:J,6,FALSE)</f>
        <v>200001</v>
      </c>
      <c r="F37" t="str">
        <f>VLOOKUP(VLOOKUP(E37,LocalAreas.csv!I:K,3,FALSE),ServiceAreas.csv!F:J,5,FALSE)</f>
        <v>200009</v>
      </c>
      <c r="G37" t="str">
        <f>"rg:{'id': '"&amp;E37&amp;"'}"</f>
        <v>rg:{'id': '200001'}</v>
      </c>
      <c r="H37" t="s">
        <v>7691</v>
      </c>
      <c r="I37" t="s">
        <v>5637</v>
      </c>
      <c r="J37">
        <f>VLOOKUP(I37&amp;"-"&amp;F37,DistrictEquipmentTypes.csv!J:K,2,FALSE)</f>
        <v>200001</v>
      </c>
      <c r="K37" t="str">
        <f>"rg:{'id': '"&amp;J37&amp;"'}"</f>
        <v>rg:{'id': '200001'}</v>
      </c>
      <c r="L37">
        <f>IF(C37=C36,L36+1,1)</f>
        <v>7</v>
      </c>
      <c r="M37" t="str">
        <f>VLOOKUP(C37,Owners.csv!C:K,9,FALSE)&amp;TEXT(Equipment.csv!L37,"0000")</f>
        <v>CIRC0007</v>
      </c>
      <c r="N37" t="s">
        <v>5401</v>
      </c>
      <c r="O37" t="s">
        <v>6766</v>
      </c>
      <c r="P37">
        <v>2014</v>
      </c>
      <c r="Q37">
        <v>108</v>
      </c>
      <c r="R37" t="s">
        <v>6663</v>
      </c>
      <c r="S37" s="1">
        <v>40240</v>
      </c>
      <c r="T37" s="1">
        <v>40256</v>
      </c>
      <c r="U37" t="str">
        <f ca="1">IF(RANDBETWEEN(1,10)&gt;1,"rg:False","rg:True")</f>
        <v>rg:False</v>
      </c>
      <c r="V37" t="str">
        <f ca="1">IF(U37="rg:True","This equipment should be archived","rg:None")</f>
        <v>rg:None</v>
      </c>
      <c r="W37" t="s">
        <v>7165</v>
      </c>
      <c r="X37" t="s">
        <v>76</v>
      </c>
      <c r="Y37" t="s">
        <v>76</v>
      </c>
      <c r="Z37" t="s">
        <v>76</v>
      </c>
      <c r="AA37" t="s">
        <v>7512</v>
      </c>
      <c r="AB37" t="s">
        <v>7346</v>
      </c>
      <c r="AC37">
        <v>0</v>
      </c>
      <c r="AD37" t="str">
        <f ca="1">IF(RANDBETWEEN(1,20)&gt;1,"rg:False","rg:True")</f>
        <v>rg:False</v>
      </c>
      <c r="AE37" t="str">
        <f ca="1">IF(AD37="rg:True","Seniority overridden to test things","rg:None")</f>
        <v>rg:None</v>
      </c>
      <c r="AF37" s="1">
        <v>42481</v>
      </c>
      <c r="AG37" s="4">
        <f ca="1">IF(I37="Dump Truck",60,30)*AH37+(AVERAGE(AI37:AK37))</f>
        <v>261.66666666666669</v>
      </c>
      <c r="AH37" s="4">
        <f>YEARFRAC(DATE("2016","4","1"),T37)</f>
        <v>6.0333333333333332</v>
      </c>
      <c r="AI37">
        <f ca="1">IF(AH37&lt;1,0,RANDBETWEEN(0,200))</f>
        <v>82</v>
      </c>
      <c r="AJ37">
        <f ca="1">IF(AH37&lt;2,0,RANDBETWEEN(0,200))</f>
        <v>131</v>
      </c>
      <c r="AK37">
        <f ca="1">IF(AH37&lt;3,0,RANDBETWEEN(0,200))</f>
        <v>29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>IF(ISNUMBER(B37),B37+1,200000)</f>
        <v>200036</v>
      </c>
      <c r="C38">
        <v>200018</v>
      </c>
      <c r="D38" t="str">
        <f>"rg:{'id': '"&amp;C38&amp;"'}"</f>
        <v>rg:{'id': '200018'}</v>
      </c>
      <c r="E38">
        <f>VLOOKUP(C38,Owners.csv!C:J,6,FALSE)</f>
        <v>200001</v>
      </c>
      <c r="F38" t="str">
        <f>VLOOKUP(VLOOKUP(E38,LocalAreas.csv!I:K,3,FALSE),ServiceAreas.csv!F:J,5,FALSE)</f>
        <v>200009</v>
      </c>
      <c r="G38" t="str">
        <f>"rg:{'id': '"&amp;E38&amp;"'}"</f>
        <v>rg:{'id': '200001'}</v>
      </c>
      <c r="H38" t="s">
        <v>7733</v>
      </c>
      <c r="I38" t="s">
        <v>5536</v>
      </c>
      <c r="J38">
        <f>VLOOKUP(I38&amp;"-"&amp;F38,DistrictEquipmentTypes.csv!J:K,2,FALSE)</f>
        <v>200000</v>
      </c>
      <c r="K38" t="str">
        <f>"rg:{'id': '"&amp;J38&amp;"'}"</f>
        <v>rg:{'id': '200000'}</v>
      </c>
      <c r="L38">
        <f>IF(C38=C37,L37+1,1)</f>
        <v>8</v>
      </c>
      <c r="M38" t="str">
        <f>VLOOKUP(C38,Owners.csv!C:K,9,FALSE)&amp;TEXT(Equipment.csv!L38,"0000")</f>
        <v>CIRC0008</v>
      </c>
      <c r="N38" t="s">
        <v>5401</v>
      </c>
      <c r="O38" t="s">
        <v>6781</v>
      </c>
      <c r="P38">
        <v>2017</v>
      </c>
      <c r="Q38">
        <v>123</v>
      </c>
      <c r="R38" t="s">
        <v>6663</v>
      </c>
      <c r="S38" s="1">
        <v>42571</v>
      </c>
      <c r="T38" s="1">
        <v>42578</v>
      </c>
      <c r="U38" t="str">
        <f ca="1">IF(RANDBETWEEN(1,10)&gt;1,"rg:False","rg:True")</f>
        <v>rg:False</v>
      </c>
      <c r="V38" t="str">
        <f ca="1">IF(U38="rg:True","This equipment should be archived","rg:None")</f>
        <v>rg:None</v>
      </c>
      <c r="W38" t="s">
        <v>7180</v>
      </c>
      <c r="X38" t="s">
        <v>76</v>
      </c>
      <c r="Y38" t="s">
        <v>76</v>
      </c>
      <c r="Z38" t="s">
        <v>76</v>
      </c>
      <c r="AA38" t="s">
        <v>7527</v>
      </c>
      <c r="AB38" t="s">
        <v>7359</v>
      </c>
      <c r="AC38">
        <v>0</v>
      </c>
      <c r="AD38" t="str">
        <f ca="1">IF(RANDBETWEEN(1,20)&gt;1,"rg:False","rg:True")</f>
        <v>rg:False</v>
      </c>
      <c r="AE38" t="str">
        <f ca="1">IF(AD38="rg:True","Seniority overridden to test things","rg:None")</f>
        <v>rg:None</v>
      </c>
      <c r="AF38" s="1">
        <v>42481</v>
      </c>
      <c r="AG38" s="4">
        <f ca="1">IF(I38="Dump Truck",60,30)*AH38+(AVERAGE(AI38:AK38))</f>
        <v>9.6666666666666679</v>
      </c>
      <c r="AH38" s="4">
        <f>YEARFRAC(DATE("2016","4","1"),T38)</f>
        <v>0.32222222222222224</v>
      </c>
      <c r="AI38">
        <f ca="1">IF(AH38&lt;1,0,RANDBETWEEN(0,200))</f>
        <v>0</v>
      </c>
      <c r="AJ38">
        <f ca="1">IF(AH38&lt;2,0,RANDBETWEEN(0,200))</f>
        <v>0</v>
      </c>
      <c r="AK38">
        <f ca="1">IF(AH38&lt;3,0,RANDBETWEEN(0,200))</f>
        <v>0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>IF(ISNUMBER(B38),B38+1,200000)</f>
        <v>200037</v>
      </c>
      <c r="C39">
        <v>200019</v>
      </c>
      <c r="D39" t="str">
        <f>"rg:{'id': '"&amp;C39&amp;"'}"</f>
        <v>rg:{'id': '200019'}</v>
      </c>
      <c r="E39">
        <f>VLOOKUP(C39,Owners.csv!C:J,6,FALSE)</f>
        <v>200001</v>
      </c>
      <c r="F39" t="str">
        <f>VLOOKUP(VLOOKUP(E39,LocalAreas.csv!I:K,3,FALSE),ServiceAreas.csv!F:J,5,FALSE)</f>
        <v>200009</v>
      </c>
      <c r="G39" t="str">
        <f>"rg:{'id': '"&amp;E39&amp;"'}"</f>
        <v>rg:{'id': '200001'}</v>
      </c>
      <c r="H39" t="s">
        <v>7673</v>
      </c>
      <c r="I39" t="s">
        <v>5642</v>
      </c>
      <c r="J39">
        <f>VLOOKUP(I39&amp;"-"&amp;F39,DistrictEquipmentTypes.csv!J:K,2,FALSE)</f>
        <v>200004</v>
      </c>
      <c r="K39" t="str">
        <f>"rg:{'id': '"&amp;J39&amp;"'}"</f>
        <v>rg:{'id': '200004'}</v>
      </c>
      <c r="L39">
        <f>IF(C39=C38,L38+1,1)</f>
        <v>1</v>
      </c>
      <c r="M39" t="str">
        <f>VLOOKUP(C39,Owners.csv!C:K,9,FALSE)&amp;TEXT(Equipment.csv!L39,"0000")</f>
        <v>COCO0001</v>
      </c>
      <c r="N39" t="s">
        <v>5401</v>
      </c>
      <c r="O39" t="s">
        <v>6689</v>
      </c>
      <c r="P39">
        <v>2006</v>
      </c>
      <c r="Q39">
        <v>31</v>
      </c>
      <c r="R39" t="s">
        <v>6663</v>
      </c>
      <c r="S39" s="1">
        <v>40610</v>
      </c>
      <c r="T39" s="1">
        <v>40614</v>
      </c>
      <c r="U39" t="str">
        <f ca="1">IF(RANDBETWEEN(1,10)&gt;1,"rg:False","rg:True")</f>
        <v>rg:False</v>
      </c>
      <c r="V39" t="str">
        <f ca="1">IF(U39="rg:True","This equipment should be archived","rg:None")</f>
        <v>rg:None</v>
      </c>
      <c r="W39" t="s">
        <v>7088</v>
      </c>
      <c r="X39" t="s">
        <v>76</v>
      </c>
      <c r="Y39" t="s">
        <v>76</v>
      </c>
      <c r="Z39" t="s">
        <v>76</v>
      </c>
      <c r="AA39" t="s">
        <v>7435</v>
      </c>
      <c r="AB39" t="s">
        <v>7285</v>
      </c>
      <c r="AC39">
        <v>0</v>
      </c>
      <c r="AD39" t="str">
        <f ca="1">IF(RANDBETWEEN(1,20)&gt;1,"rg:False","rg:True")</f>
        <v>rg:False</v>
      </c>
      <c r="AE39" t="str">
        <f ca="1">IF(AD39="rg:True","Seniority overridden to test things","rg:None")</f>
        <v>rg:None</v>
      </c>
      <c r="AF39" s="1">
        <v>42481</v>
      </c>
      <c r="AG39" s="4">
        <f ca="1">IF(I39="Dump Truck",60,30)*AH39+(AVERAGE(AI39:AK39))</f>
        <v>208.25</v>
      </c>
      <c r="AH39" s="4">
        <f>YEARFRAC(DATE("2016","4","1"),T39)</f>
        <v>5.052777777777778</v>
      </c>
      <c r="AI39">
        <f ca="1">IF(AH39&lt;1,0,RANDBETWEEN(0,200))</f>
        <v>7</v>
      </c>
      <c r="AJ39">
        <f ca="1">IF(AH39&lt;2,0,RANDBETWEEN(0,200))</f>
        <v>111</v>
      </c>
      <c r="AK39">
        <f ca="1">IF(AH39&lt;3,0,RANDBETWEEN(0,200))</f>
        <v>52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>IF(ISNUMBER(B39),B39+1,200000)</f>
        <v>200038</v>
      </c>
      <c r="C40">
        <v>200019</v>
      </c>
      <c r="D40" t="str">
        <f>"rg:{'id': '"&amp;C40&amp;"'}"</f>
        <v>rg:{'id': '200019'}</v>
      </c>
      <c r="E40">
        <f>VLOOKUP(C40,Owners.csv!C:J,6,FALSE)</f>
        <v>200001</v>
      </c>
      <c r="F40" t="str">
        <f>VLOOKUP(VLOOKUP(E40,LocalAreas.csv!I:K,3,FALSE),ServiceAreas.csv!F:J,5,FALSE)</f>
        <v>200009</v>
      </c>
      <c r="G40" t="str">
        <f>"rg:{'id': '"&amp;E40&amp;"'}"</f>
        <v>rg:{'id': '200001'}</v>
      </c>
      <c r="H40" t="s">
        <v>7644</v>
      </c>
      <c r="I40" t="s">
        <v>5642</v>
      </c>
      <c r="J40">
        <f>VLOOKUP(I40&amp;"-"&amp;F40,DistrictEquipmentTypes.csv!J:K,2,FALSE)</f>
        <v>200004</v>
      </c>
      <c r="K40" t="str">
        <f>"rg:{'id': '"&amp;J40&amp;"'}"</f>
        <v>rg:{'id': '200004'}</v>
      </c>
      <c r="L40">
        <f>IF(C40=C39,L39+1,1)</f>
        <v>2</v>
      </c>
      <c r="M40" t="str">
        <f>VLOOKUP(C40,Owners.csv!C:K,9,FALSE)&amp;TEXT(Equipment.csv!L40,"0000")</f>
        <v>COCO0002</v>
      </c>
      <c r="N40" t="s">
        <v>5401</v>
      </c>
      <c r="O40" t="s">
        <v>6699</v>
      </c>
      <c r="P40">
        <v>2014</v>
      </c>
      <c r="Q40">
        <v>41</v>
      </c>
      <c r="R40" t="s">
        <v>6663</v>
      </c>
      <c r="S40" s="1">
        <v>38088</v>
      </c>
      <c r="T40" s="1">
        <v>38114</v>
      </c>
      <c r="U40" t="str">
        <f ca="1">IF(RANDBETWEEN(1,10)&gt;1,"rg:False","rg:True")</f>
        <v>rg:False</v>
      </c>
      <c r="V40" t="str">
        <f ca="1">IF(U40="rg:True","This equipment should be archived","rg:None")</f>
        <v>rg:None</v>
      </c>
      <c r="W40" t="s">
        <v>7098</v>
      </c>
      <c r="X40" t="s">
        <v>76</v>
      </c>
      <c r="Y40" t="s">
        <v>76</v>
      </c>
      <c r="Z40" t="s">
        <v>76</v>
      </c>
      <c r="AA40" t="s">
        <v>7445</v>
      </c>
      <c r="AB40" t="s">
        <v>7295</v>
      </c>
      <c r="AC40">
        <v>0</v>
      </c>
      <c r="AD40" t="str">
        <f ca="1">IF(RANDBETWEEN(1,20)&gt;1,"rg:False","rg:True")</f>
        <v>rg:False</v>
      </c>
      <c r="AE40" t="str">
        <f ca="1">IF(AD40="rg:True","Seniority overridden to test things","rg:None")</f>
        <v>rg:None</v>
      </c>
      <c r="AF40" s="1">
        <v>42461</v>
      </c>
      <c r="AG40" s="4">
        <f ca="1">IF(I40="Dump Truck",60,30)*AH40+(AVERAGE(AI40:AK40))</f>
        <v>501</v>
      </c>
      <c r="AH40" s="4">
        <f>YEARFRAC(DATE("2016","4","1"),T40)</f>
        <v>11.9</v>
      </c>
      <c r="AI40">
        <f ca="1">IF(AH40&lt;1,0,RANDBETWEEN(0,200))</f>
        <v>157</v>
      </c>
      <c r="AJ40">
        <f ca="1">IF(AH40&lt;2,0,RANDBETWEEN(0,200))</f>
        <v>101</v>
      </c>
      <c r="AK40">
        <f ca="1">IF(AH40&lt;3,0,RANDBETWEEN(0,200))</f>
        <v>174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>IF(ISNUMBER(B40),B40+1,200000)</f>
        <v>200039</v>
      </c>
      <c r="C41">
        <v>200019</v>
      </c>
      <c r="D41" t="str">
        <f>"rg:{'id': '"&amp;C41&amp;"'}"</f>
        <v>rg:{'id': '200019'}</v>
      </c>
      <c r="E41">
        <f>VLOOKUP(C41,Owners.csv!C:J,6,FALSE)</f>
        <v>200001</v>
      </c>
      <c r="F41" t="str">
        <f>VLOOKUP(VLOOKUP(E41,LocalAreas.csv!I:K,3,FALSE),ServiceAreas.csv!F:J,5,FALSE)</f>
        <v>200009</v>
      </c>
      <c r="G41" t="str">
        <f>"rg:{'id': '"&amp;E41&amp;"'}"</f>
        <v>rg:{'id': '200001'}</v>
      </c>
      <c r="H41" t="s">
        <v>7685</v>
      </c>
      <c r="I41" t="s">
        <v>5640</v>
      </c>
      <c r="J41">
        <f>VLOOKUP(I41&amp;"-"&amp;F41,DistrictEquipmentTypes.csv!J:K,2,FALSE)</f>
        <v>200002</v>
      </c>
      <c r="K41" t="str">
        <f>"rg:{'id': '"&amp;J41&amp;"'}"</f>
        <v>rg:{'id': '200002'}</v>
      </c>
      <c r="L41">
        <f>IF(C41=C40,L40+1,1)</f>
        <v>3</v>
      </c>
      <c r="M41" t="str">
        <f>VLOOKUP(C41,Owners.csv!C:K,9,FALSE)&amp;TEXT(Equipment.csv!L41,"0000")</f>
        <v>COCO0003</v>
      </c>
      <c r="N41" t="s">
        <v>5401</v>
      </c>
      <c r="O41" t="s">
        <v>6709</v>
      </c>
      <c r="P41">
        <v>2010</v>
      </c>
      <c r="Q41">
        <v>51</v>
      </c>
      <c r="R41" t="s">
        <v>6663</v>
      </c>
      <c r="S41" s="1">
        <v>39936</v>
      </c>
      <c r="T41" s="1">
        <v>39964</v>
      </c>
      <c r="U41" t="str">
        <f ca="1">IF(RANDBETWEEN(1,10)&gt;1,"rg:False","rg:True")</f>
        <v>rg:False</v>
      </c>
      <c r="V41" t="str">
        <f ca="1">IF(U41="rg:True","This equipment should be archived","rg:None")</f>
        <v>rg:None</v>
      </c>
      <c r="W41" t="s">
        <v>7108</v>
      </c>
      <c r="X41" t="s">
        <v>76</v>
      </c>
      <c r="Y41" t="s">
        <v>76</v>
      </c>
      <c r="Z41" t="s">
        <v>76</v>
      </c>
      <c r="AA41" t="s">
        <v>7455</v>
      </c>
      <c r="AB41" t="s">
        <v>7303</v>
      </c>
      <c r="AC41">
        <v>0</v>
      </c>
      <c r="AD41" t="str">
        <f ca="1">IF(RANDBETWEEN(1,20)&gt;1,"rg:False","rg:True")</f>
        <v>rg:False</v>
      </c>
      <c r="AE41" t="str">
        <f ca="1">IF(AD41="rg:True","Seniority overridden to test things","rg:None")</f>
        <v>rg:None</v>
      </c>
      <c r="AF41" s="1">
        <v>42480</v>
      </c>
      <c r="AG41" s="4">
        <f ca="1">IF(I41="Dump Truck",60,30)*AH41+(AVERAGE(AI41:AK41))</f>
        <v>253.41666666666669</v>
      </c>
      <c r="AH41" s="4">
        <f>YEARFRAC(DATE("2016","4","1"),T41)</f>
        <v>6.8361111111111112</v>
      </c>
      <c r="AI41">
        <f ca="1">IF(AH41&lt;1,0,RANDBETWEEN(0,200))</f>
        <v>42</v>
      </c>
      <c r="AJ41">
        <f ca="1">IF(AH41&lt;2,0,RANDBETWEEN(0,200))</f>
        <v>13</v>
      </c>
      <c r="AK41">
        <f ca="1">IF(AH41&lt;3,0,RANDBETWEEN(0,200))</f>
        <v>90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>IF(ISNUMBER(B41),B41+1,200000)</f>
        <v>200040</v>
      </c>
      <c r="C42">
        <v>200019</v>
      </c>
      <c r="D42" t="str">
        <f>"rg:{'id': '"&amp;C42&amp;"'}"</f>
        <v>rg:{'id': '200019'}</v>
      </c>
      <c r="E42">
        <f>VLOOKUP(C42,Owners.csv!C:J,6,FALSE)</f>
        <v>200001</v>
      </c>
      <c r="F42" t="str">
        <f>VLOOKUP(VLOOKUP(E42,LocalAreas.csv!I:K,3,FALSE),ServiceAreas.csv!F:J,5,FALSE)</f>
        <v>200009</v>
      </c>
      <c r="G42" t="str">
        <f>"rg:{'id': '"&amp;E42&amp;"'}"</f>
        <v>rg:{'id': '200001'}</v>
      </c>
      <c r="H42" t="s">
        <v>7684</v>
      </c>
      <c r="I42" t="s">
        <v>5640</v>
      </c>
      <c r="J42">
        <f>VLOOKUP(I42&amp;"-"&amp;F42,DistrictEquipmentTypes.csv!J:K,2,FALSE)</f>
        <v>200002</v>
      </c>
      <c r="K42" t="str">
        <f>"rg:{'id': '"&amp;J42&amp;"'}"</f>
        <v>rg:{'id': '200002'}</v>
      </c>
      <c r="L42">
        <f>IF(C42=C41,L41+1,1)</f>
        <v>4</v>
      </c>
      <c r="M42" t="str">
        <f>VLOOKUP(C42,Owners.csv!C:K,9,FALSE)&amp;TEXT(Equipment.csv!L42,"0000")</f>
        <v>COCO0004</v>
      </c>
      <c r="N42" t="s">
        <v>5401</v>
      </c>
      <c r="O42" t="s">
        <v>6719</v>
      </c>
      <c r="P42">
        <v>1986</v>
      </c>
      <c r="Q42">
        <v>61</v>
      </c>
      <c r="R42" t="s">
        <v>6663</v>
      </c>
      <c r="S42" s="1">
        <v>42503</v>
      </c>
      <c r="T42" s="1">
        <v>42510</v>
      </c>
      <c r="U42" t="str">
        <f ca="1">IF(RANDBETWEEN(1,10)&gt;1,"rg:False","rg:True")</f>
        <v>rg:False</v>
      </c>
      <c r="V42" t="str">
        <f ca="1">IF(U42="rg:True","This equipment should be archived","rg:None")</f>
        <v>rg:None</v>
      </c>
      <c r="W42" t="s">
        <v>7118</v>
      </c>
      <c r="X42" t="s">
        <v>76</v>
      </c>
      <c r="Y42" t="s">
        <v>76</v>
      </c>
      <c r="Z42" t="s">
        <v>76</v>
      </c>
      <c r="AA42" t="s">
        <v>7465</v>
      </c>
      <c r="AB42" t="s">
        <v>7257</v>
      </c>
      <c r="AC42">
        <v>0</v>
      </c>
      <c r="AD42" t="str">
        <f ca="1">IF(RANDBETWEEN(1,20)&gt;1,"rg:False","rg:True")</f>
        <v>rg:False</v>
      </c>
      <c r="AE42" t="str">
        <f ca="1">IF(AD42="rg:True","Seniority overridden to test things","rg:None")</f>
        <v>rg:None</v>
      </c>
      <c r="AF42" s="1">
        <v>42481</v>
      </c>
      <c r="AG42" s="4">
        <f ca="1">IF(I42="Dump Truck",60,30)*AH42+(AVERAGE(AI42:AK42))</f>
        <v>4.083333333333333</v>
      </c>
      <c r="AH42" s="4">
        <f>YEARFRAC(DATE("2016","4","1"),T42)</f>
        <v>0.1361111111111111</v>
      </c>
      <c r="AI42">
        <f ca="1">IF(AH42&lt;1,0,RANDBETWEEN(0,200))</f>
        <v>0</v>
      </c>
      <c r="AJ42">
        <f ca="1">IF(AH42&lt;2,0,RANDBETWEEN(0,200))</f>
        <v>0</v>
      </c>
      <c r="AK42">
        <f ca="1">IF(AH42&lt;3,0,RANDBETWEEN(0,200))</f>
        <v>0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>IF(ISNUMBER(B42),B42+1,200000)</f>
        <v>200041</v>
      </c>
      <c r="C43">
        <v>200019</v>
      </c>
      <c r="D43" t="str">
        <f>"rg:{'id': '"&amp;C43&amp;"'}"</f>
        <v>rg:{'id': '200019'}</v>
      </c>
      <c r="E43">
        <f>VLOOKUP(C43,Owners.csv!C:J,6,FALSE)</f>
        <v>200001</v>
      </c>
      <c r="F43" t="str">
        <f>VLOOKUP(VLOOKUP(E43,LocalAreas.csv!I:K,3,FALSE),ServiceAreas.csv!F:J,5,FALSE)</f>
        <v>200009</v>
      </c>
      <c r="G43" t="str">
        <f>"rg:{'id': '"&amp;E43&amp;"'}"</f>
        <v>rg:{'id': '200001'}</v>
      </c>
      <c r="H43" t="s">
        <v>7700</v>
      </c>
      <c r="I43" t="s">
        <v>5651</v>
      </c>
      <c r="J43">
        <f>VLOOKUP(I43&amp;"-"&amp;F43,DistrictEquipmentTypes.csv!J:K,2,FALSE)</f>
        <v>200006</v>
      </c>
      <c r="K43" t="str">
        <f>"rg:{'id': '"&amp;J43&amp;"'}"</f>
        <v>rg:{'id': '200006'}</v>
      </c>
      <c r="L43">
        <f>IF(C43=C42,L42+1,1)</f>
        <v>5</v>
      </c>
      <c r="M43" t="str">
        <f>VLOOKUP(C43,Owners.csv!C:K,9,FALSE)&amp;TEXT(Equipment.csv!L43,"0000")</f>
        <v>COCO0005</v>
      </c>
      <c r="N43" t="s">
        <v>5401</v>
      </c>
      <c r="O43" t="s">
        <v>6727</v>
      </c>
      <c r="P43">
        <v>1989</v>
      </c>
      <c r="Q43">
        <v>69</v>
      </c>
      <c r="R43" t="s">
        <v>6663</v>
      </c>
      <c r="S43" s="1">
        <v>39604</v>
      </c>
      <c r="T43" s="1">
        <v>39623</v>
      </c>
      <c r="U43" t="str">
        <f ca="1">IF(RANDBETWEEN(1,10)&gt;1,"rg:False","rg:True")</f>
        <v>rg:False</v>
      </c>
      <c r="V43" t="str">
        <f ca="1">IF(U43="rg:True","This equipment should be archived","rg:None")</f>
        <v>rg:None</v>
      </c>
      <c r="W43" t="s">
        <v>7126</v>
      </c>
      <c r="X43" t="s">
        <v>76</v>
      </c>
      <c r="Y43" t="s">
        <v>76</v>
      </c>
      <c r="Z43" t="s">
        <v>76</v>
      </c>
      <c r="AA43" t="s">
        <v>7473</v>
      </c>
      <c r="AB43" t="s">
        <v>7296</v>
      </c>
      <c r="AC43">
        <v>0</v>
      </c>
      <c r="AD43" t="str">
        <f ca="1">IF(RANDBETWEEN(1,20)&gt;1,"rg:False","rg:True")</f>
        <v>rg:False</v>
      </c>
      <c r="AE43" t="str">
        <f ca="1">IF(AD43="rg:True","Seniority overridden to test things","rg:None")</f>
        <v>rg:None</v>
      </c>
      <c r="AF43" s="1">
        <v>42481</v>
      </c>
      <c r="AG43" s="4">
        <f ca="1">IF(I43="Dump Truck",60,30)*AH43+(AVERAGE(AI43:AK43))</f>
        <v>572.83333333333337</v>
      </c>
      <c r="AH43" s="4">
        <f>YEARFRAC(DATE("2016","4","1"),T43)</f>
        <v>7.7694444444444448</v>
      </c>
      <c r="AI43">
        <f ca="1">IF(AH43&lt;1,0,RANDBETWEEN(0,200))</f>
        <v>118</v>
      </c>
      <c r="AJ43">
        <f ca="1">IF(AH43&lt;2,0,RANDBETWEEN(0,200))</f>
        <v>172</v>
      </c>
      <c r="AK43">
        <f ca="1">IF(AH43&lt;3,0,RANDBETWEEN(0,200))</f>
        <v>30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>IF(ISNUMBER(B43),B43+1,200000)</f>
        <v>200042</v>
      </c>
      <c r="C44">
        <v>200019</v>
      </c>
      <c r="D44" t="str">
        <f>"rg:{'id': '"&amp;C44&amp;"'}"</f>
        <v>rg:{'id': '200019'}</v>
      </c>
      <c r="E44">
        <f>VLOOKUP(C44,Owners.csv!C:J,6,FALSE)</f>
        <v>200001</v>
      </c>
      <c r="F44" t="str">
        <f>VLOOKUP(VLOOKUP(E44,LocalAreas.csv!I:K,3,FALSE),ServiceAreas.csv!F:J,5,FALSE)</f>
        <v>200009</v>
      </c>
      <c r="G44" t="str">
        <f>"rg:{'id': '"&amp;E44&amp;"'}"</f>
        <v>rg:{'id': '200001'}</v>
      </c>
      <c r="H44" t="s">
        <v>7693</v>
      </c>
      <c r="I44" t="s">
        <v>5651</v>
      </c>
      <c r="J44">
        <f>VLOOKUP(I44&amp;"-"&amp;F44,DistrictEquipmentTypes.csv!J:K,2,FALSE)</f>
        <v>200006</v>
      </c>
      <c r="K44" t="str">
        <f>"rg:{'id': '"&amp;J44&amp;"'}"</f>
        <v>rg:{'id': '200006'}</v>
      </c>
      <c r="L44">
        <f>IF(C44=C43,L43+1,1)</f>
        <v>6</v>
      </c>
      <c r="M44" t="str">
        <f>VLOOKUP(C44,Owners.csv!C:K,9,FALSE)&amp;TEXT(Equipment.csv!L44,"0000")</f>
        <v>COCO0006</v>
      </c>
      <c r="N44" t="s">
        <v>5401</v>
      </c>
      <c r="O44" t="s">
        <v>6747</v>
      </c>
      <c r="P44">
        <v>2002</v>
      </c>
      <c r="Q44">
        <v>89</v>
      </c>
      <c r="R44" t="s">
        <v>6663</v>
      </c>
      <c r="S44" s="1">
        <v>40952</v>
      </c>
      <c r="T44" s="1">
        <v>40982</v>
      </c>
      <c r="U44" t="str">
        <f ca="1">IF(RANDBETWEEN(1,10)&gt;1,"rg:False","rg:True")</f>
        <v>rg:False</v>
      </c>
      <c r="V44" t="str">
        <f ca="1">IF(U44="rg:True","This equipment should be archived","rg:None")</f>
        <v>rg:None</v>
      </c>
      <c r="W44" t="s">
        <v>7146</v>
      </c>
      <c r="X44" t="s">
        <v>76</v>
      </c>
      <c r="Y44" t="s">
        <v>76</v>
      </c>
      <c r="Z44" t="s">
        <v>76</v>
      </c>
      <c r="AA44" t="s">
        <v>7493</v>
      </c>
      <c r="AB44" t="s">
        <v>7283</v>
      </c>
      <c r="AC44">
        <v>0</v>
      </c>
      <c r="AD44" t="str">
        <f ca="1">IF(RANDBETWEEN(1,20)&gt;1,"rg:False","rg:True")</f>
        <v>rg:False</v>
      </c>
      <c r="AE44" t="str">
        <f ca="1">IF(AD44="rg:True","Seniority overridden to test things","rg:None")</f>
        <v>rg:None</v>
      </c>
      <c r="AF44" s="1">
        <v>42481</v>
      </c>
      <c r="AG44" s="4">
        <f ca="1">IF(I44="Dump Truck",60,30)*AH44+(AVERAGE(AI44:AK44))</f>
        <v>333.16666666666669</v>
      </c>
      <c r="AH44" s="4">
        <f>YEARFRAC(DATE("2016","4","1"),T44)</f>
        <v>4.0472222222222225</v>
      </c>
      <c r="AI44">
        <f ca="1">IF(AH44&lt;1,0,RANDBETWEEN(0,200))</f>
        <v>4</v>
      </c>
      <c r="AJ44">
        <f ca="1">IF(AH44&lt;2,0,RANDBETWEEN(0,200))</f>
        <v>123</v>
      </c>
      <c r="AK44">
        <f ca="1">IF(AH44&lt;3,0,RANDBETWEEN(0,200))</f>
        <v>144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>IF(ISNUMBER(B44),B44+1,200000)</f>
        <v>200043</v>
      </c>
      <c r="C45">
        <v>200019</v>
      </c>
      <c r="D45" t="str">
        <f>"rg:{'id': '"&amp;C45&amp;"'}"</f>
        <v>rg:{'id': '200019'}</v>
      </c>
      <c r="E45">
        <f>VLOOKUP(C45,Owners.csv!C:J,6,FALSE)</f>
        <v>200001</v>
      </c>
      <c r="F45" t="str">
        <f>VLOOKUP(VLOOKUP(E45,LocalAreas.csv!I:K,3,FALSE),ServiceAreas.csv!F:J,5,FALSE)</f>
        <v>200009</v>
      </c>
      <c r="G45" t="str">
        <f>"rg:{'id': '"&amp;E45&amp;"'}"</f>
        <v>rg:{'id': '200001'}</v>
      </c>
      <c r="H45" t="s">
        <v>7725</v>
      </c>
      <c r="I45" t="s">
        <v>5637</v>
      </c>
      <c r="J45">
        <f>VLOOKUP(I45&amp;"-"&amp;F45,DistrictEquipmentTypes.csv!J:K,2,FALSE)</f>
        <v>200001</v>
      </c>
      <c r="K45" t="str">
        <f>"rg:{'id': '"&amp;J45&amp;"'}"</f>
        <v>rg:{'id': '200001'}</v>
      </c>
      <c r="L45">
        <f>IF(C45=C44,L44+1,1)</f>
        <v>7</v>
      </c>
      <c r="M45" t="str">
        <f>VLOOKUP(C45,Owners.csv!C:K,9,FALSE)&amp;TEXT(Equipment.csv!L45,"0000")</f>
        <v>COCO0007</v>
      </c>
      <c r="N45" t="s">
        <v>5401</v>
      </c>
      <c r="O45" t="s">
        <v>6767</v>
      </c>
      <c r="P45">
        <v>2011</v>
      </c>
      <c r="Q45">
        <v>109</v>
      </c>
      <c r="R45" t="s">
        <v>6663</v>
      </c>
      <c r="S45" s="1">
        <v>41784</v>
      </c>
      <c r="T45" s="1">
        <v>41813</v>
      </c>
      <c r="U45" t="str">
        <f ca="1">IF(RANDBETWEEN(1,10)&gt;1,"rg:False","rg:True")</f>
        <v>rg:False</v>
      </c>
      <c r="V45" t="str">
        <f ca="1">IF(U45="rg:True","This equipment should be archived","rg:None")</f>
        <v>rg:None</v>
      </c>
      <c r="W45" t="s">
        <v>7166</v>
      </c>
      <c r="X45" t="s">
        <v>76</v>
      </c>
      <c r="Y45" t="s">
        <v>76</v>
      </c>
      <c r="Z45" t="s">
        <v>76</v>
      </c>
      <c r="AA45" t="s">
        <v>7513</v>
      </c>
      <c r="AB45" t="s">
        <v>7347</v>
      </c>
      <c r="AC45">
        <v>0</v>
      </c>
      <c r="AD45" t="str">
        <f ca="1">IF(RANDBETWEEN(1,20)&gt;1,"rg:False","rg:True")</f>
        <v>rg:False</v>
      </c>
      <c r="AE45" t="str">
        <f ca="1">IF(AD45="rg:True","Seniority overridden to test things","rg:None")</f>
        <v>rg:None</v>
      </c>
      <c r="AF45" s="1">
        <v>42481</v>
      </c>
      <c r="AG45" s="4">
        <f ca="1">IF(I45="Dump Truck",60,30)*AH45+(AVERAGE(AI45:AK45))</f>
        <v>53.5</v>
      </c>
      <c r="AH45" s="4">
        <f>YEARFRAC(DATE("2016","4","1"),T45)</f>
        <v>1.7722222222222221</v>
      </c>
      <c r="AI45">
        <f ca="1">IF(AH45&lt;1,0,RANDBETWEEN(0,200))</f>
        <v>1</v>
      </c>
      <c r="AJ45">
        <f ca="1">IF(AH45&lt;2,0,RANDBETWEEN(0,200))</f>
        <v>0</v>
      </c>
      <c r="AK45">
        <f ca="1">IF(AH45&lt;3,0,RANDBETWEEN(0,200))</f>
        <v>0</v>
      </c>
      <c r="AL45" t="s">
        <v>326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>IF(ISNUMBER(B45),B45+1,200000)</f>
        <v>200044</v>
      </c>
      <c r="C46">
        <v>200019</v>
      </c>
      <c r="D46" t="str">
        <f>"rg:{'id': '"&amp;C46&amp;"'}"</f>
        <v>rg:{'id': '200019'}</v>
      </c>
      <c r="E46">
        <f>VLOOKUP(C46,Owners.csv!C:J,6,FALSE)</f>
        <v>200001</v>
      </c>
      <c r="F46" t="str">
        <f>VLOOKUP(VLOOKUP(E46,LocalAreas.csv!I:K,3,FALSE),ServiceAreas.csv!F:J,5,FALSE)</f>
        <v>200009</v>
      </c>
      <c r="G46" t="str">
        <f>"rg:{'id': '"&amp;E46&amp;"'}"</f>
        <v>rg:{'id': '200001'}</v>
      </c>
      <c r="H46" t="s">
        <v>7734</v>
      </c>
      <c r="I46" t="s">
        <v>5536</v>
      </c>
      <c r="J46">
        <f>VLOOKUP(I46&amp;"-"&amp;F46,DistrictEquipmentTypes.csv!J:K,2,FALSE)</f>
        <v>200000</v>
      </c>
      <c r="K46" t="str">
        <f>"rg:{'id': '"&amp;J46&amp;"'}"</f>
        <v>rg:{'id': '200000'}</v>
      </c>
      <c r="L46">
        <f>IF(C46=C45,L45+1,1)</f>
        <v>8</v>
      </c>
      <c r="M46" t="str">
        <f>VLOOKUP(C46,Owners.csv!C:K,9,FALSE)&amp;TEXT(Equipment.csv!L46,"0000")</f>
        <v>COCO0008</v>
      </c>
      <c r="N46" t="s">
        <v>5401</v>
      </c>
      <c r="O46" t="s">
        <v>6782</v>
      </c>
      <c r="P46">
        <v>2001</v>
      </c>
      <c r="Q46">
        <v>124</v>
      </c>
      <c r="R46" t="s">
        <v>6663</v>
      </c>
      <c r="S46" s="1">
        <v>40639</v>
      </c>
      <c r="T46" s="1">
        <v>40642</v>
      </c>
      <c r="U46" t="str">
        <f ca="1">IF(RANDBETWEEN(1,10)&gt;1,"rg:False","rg:True")</f>
        <v>rg:False</v>
      </c>
      <c r="V46" t="str">
        <f ca="1">IF(U46="rg:True","This equipment should be archived","rg:None")</f>
        <v>rg:None</v>
      </c>
      <c r="W46" t="s">
        <v>7181</v>
      </c>
      <c r="X46" t="s">
        <v>76</v>
      </c>
      <c r="Y46" t="s">
        <v>76</v>
      </c>
      <c r="Z46" t="s">
        <v>76</v>
      </c>
      <c r="AA46" t="s">
        <v>7528</v>
      </c>
      <c r="AB46" t="s">
        <v>7360</v>
      </c>
      <c r="AC46">
        <v>0</v>
      </c>
      <c r="AD46" t="str">
        <f ca="1">IF(RANDBETWEEN(1,20)&gt;1,"rg:False","rg:True")</f>
        <v>rg:False</v>
      </c>
      <c r="AE46" t="str">
        <f ca="1">IF(AD46="rg:True","Seniority overridden to test things","rg:None")</f>
        <v>rg:None</v>
      </c>
      <c r="AF46" s="1">
        <v>42481</v>
      </c>
      <c r="AG46" s="4">
        <f ca="1">IF(I46="Dump Truck",60,30)*AH46+(AVERAGE(AI46:AK46))</f>
        <v>231</v>
      </c>
      <c r="AH46" s="4">
        <f>YEARFRAC(DATE("2016","4","1"),T46)</f>
        <v>4.9777777777777779</v>
      </c>
      <c r="AI46">
        <f ca="1">IF(AH46&lt;1,0,RANDBETWEEN(0,200))</f>
        <v>158</v>
      </c>
      <c r="AJ46">
        <f ca="1">IF(AH46&lt;2,0,RANDBETWEEN(0,200))</f>
        <v>16</v>
      </c>
      <c r="AK46">
        <f ca="1">IF(AH46&lt;3,0,RANDBETWEEN(0,200))</f>
        <v>71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>IF(ISNUMBER(B46),B46+1,200000)</f>
        <v>200045</v>
      </c>
      <c r="C47">
        <v>200020</v>
      </c>
      <c r="D47" t="str">
        <f>"rg:{'id': '"&amp;C47&amp;"'}"</f>
        <v>rg:{'id': '200020'}</v>
      </c>
      <c r="E47">
        <f>VLOOKUP(C47,Owners.csv!C:J,6,FALSE)</f>
        <v>200001</v>
      </c>
      <c r="F47" t="str">
        <f>VLOOKUP(VLOOKUP(E47,LocalAreas.csv!I:K,3,FALSE),ServiceAreas.csv!F:J,5,FALSE)</f>
        <v>200009</v>
      </c>
      <c r="G47" t="str">
        <f>"rg:{'id': '"&amp;E47&amp;"'}"</f>
        <v>rg:{'id': '200001'}</v>
      </c>
      <c r="H47" t="s">
        <v>7674</v>
      </c>
      <c r="I47" t="s">
        <v>5642</v>
      </c>
      <c r="J47">
        <f>VLOOKUP(I47&amp;"-"&amp;F47,DistrictEquipmentTypes.csv!J:K,2,FALSE)</f>
        <v>200004</v>
      </c>
      <c r="K47" t="str">
        <f>"rg:{'id': '"&amp;J47&amp;"'}"</f>
        <v>rg:{'id': '200004'}</v>
      </c>
      <c r="L47">
        <f>IF(C47=C46,L46+1,1)</f>
        <v>1</v>
      </c>
      <c r="M47" t="str">
        <f>VLOOKUP(C47,Owners.csv!C:K,9,FALSE)&amp;TEXT(Equipment.csv!L47,"0000")</f>
        <v>DAVE0001</v>
      </c>
      <c r="N47" t="s">
        <v>5401</v>
      </c>
      <c r="O47" t="s">
        <v>6690</v>
      </c>
      <c r="P47">
        <v>2012</v>
      </c>
      <c r="Q47">
        <v>32</v>
      </c>
      <c r="R47" t="s">
        <v>6663</v>
      </c>
      <c r="S47" s="1">
        <v>39561</v>
      </c>
      <c r="T47" s="1">
        <v>39585</v>
      </c>
      <c r="U47" t="str">
        <f ca="1">IF(RANDBETWEEN(1,10)&gt;1,"rg:False","rg:True")</f>
        <v>rg:False</v>
      </c>
      <c r="V47" t="str">
        <f ca="1">IF(U47="rg:True","This equipment should be archived","rg:None")</f>
        <v>rg:None</v>
      </c>
      <c r="W47" t="s">
        <v>7089</v>
      </c>
      <c r="X47" t="s">
        <v>76</v>
      </c>
      <c r="Y47" t="s">
        <v>76</v>
      </c>
      <c r="Z47" t="s">
        <v>76</v>
      </c>
      <c r="AA47" t="s">
        <v>7436</v>
      </c>
      <c r="AB47" t="s">
        <v>7286</v>
      </c>
      <c r="AC47">
        <v>0</v>
      </c>
      <c r="AD47" t="str">
        <f ca="1">IF(RANDBETWEEN(1,20)&gt;1,"rg:False","rg:True")</f>
        <v>rg:False</v>
      </c>
      <c r="AE47" t="str">
        <f ca="1">IF(AD47="rg:True","Seniority overridden to test things","rg:None")</f>
        <v>rg:None</v>
      </c>
      <c r="AF47" s="1">
        <v>42480</v>
      </c>
      <c r="AG47" s="4">
        <f ca="1">IF(I47="Dump Truck",60,30)*AH47+(AVERAGE(AI47:AK47))</f>
        <v>356.16666666666663</v>
      </c>
      <c r="AH47" s="4">
        <f>YEARFRAC(DATE("2016","4","1"),T47)</f>
        <v>7.8722222222222218</v>
      </c>
      <c r="AI47">
        <f ca="1">IF(AH47&lt;1,0,RANDBETWEEN(0,200))</f>
        <v>124</v>
      </c>
      <c r="AJ47">
        <f ca="1">IF(AH47&lt;2,0,RANDBETWEEN(0,200))</f>
        <v>109</v>
      </c>
      <c r="AK47">
        <f ca="1">IF(AH47&lt;3,0,RANDBETWEEN(0,200))</f>
        <v>127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>IF(ISNUMBER(B47),B47+1,200000)</f>
        <v>200046</v>
      </c>
      <c r="C48">
        <v>200020</v>
      </c>
      <c r="D48" t="str">
        <f>"rg:{'id': '"&amp;C48&amp;"'}"</f>
        <v>rg:{'id': '200020'}</v>
      </c>
      <c r="E48">
        <f>VLOOKUP(C48,Owners.csv!C:J,6,FALSE)</f>
        <v>200001</v>
      </c>
      <c r="F48" t="str">
        <f>VLOOKUP(VLOOKUP(E48,LocalAreas.csv!I:K,3,FALSE),ServiceAreas.csv!F:J,5,FALSE)</f>
        <v>200009</v>
      </c>
      <c r="G48" t="str">
        <f>"rg:{'id': '"&amp;E48&amp;"'}"</f>
        <v>rg:{'id': '200001'}</v>
      </c>
      <c r="H48" t="s">
        <v>7679</v>
      </c>
      <c r="I48" t="s">
        <v>5642</v>
      </c>
      <c r="J48">
        <f>VLOOKUP(I48&amp;"-"&amp;F48,DistrictEquipmentTypes.csv!J:K,2,FALSE)</f>
        <v>200004</v>
      </c>
      <c r="K48" t="str">
        <f>"rg:{'id': '"&amp;J48&amp;"'}"</f>
        <v>rg:{'id': '200004'}</v>
      </c>
      <c r="L48">
        <f>IF(C48=C47,L47+1,1)</f>
        <v>2</v>
      </c>
      <c r="M48" t="str">
        <f>VLOOKUP(C48,Owners.csv!C:K,9,FALSE)&amp;TEXT(Equipment.csv!L48,"0000")</f>
        <v>DAVE0002</v>
      </c>
      <c r="N48" t="s">
        <v>5401</v>
      </c>
      <c r="O48" t="s">
        <v>6700</v>
      </c>
      <c r="P48">
        <v>1996</v>
      </c>
      <c r="Q48">
        <v>42</v>
      </c>
      <c r="R48" t="s">
        <v>6663</v>
      </c>
      <c r="S48" s="1">
        <v>41700</v>
      </c>
      <c r="T48" s="1">
        <v>41716</v>
      </c>
      <c r="U48" t="str">
        <f ca="1">IF(RANDBETWEEN(1,10)&gt;1,"rg:False","rg:True")</f>
        <v>rg:False</v>
      </c>
      <c r="V48" t="str">
        <f ca="1">IF(U48="rg:True","This equipment should be archived","rg:None")</f>
        <v>rg:None</v>
      </c>
      <c r="W48" t="s">
        <v>7099</v>
      </c>
      <c r="X48" t="s">
        <v>76</v>
      </c>
      <c r="Y48" t="s">
        <v>76</v>
      </c>
      <c r="Z48" t="s">
        <v>76</v>
      </c>
      <c r="AA48" t="s">
        <v>7446</v>
      </c>
      <c r="AB48" t="s">
        <v>7296</v>
      </c>
      <c r="AC48">
        <v>0</v>
      </c>
      <c r="AD48" t="str">
        <f ca="1">IF(RANDBETWEEN(1,20)&gt;1,"rg:False","rg:True")</f>
        <v>rg:False</v>
      </c>
      <c r="AE48" t="str">
        <f ca="1">IF(AD48="rg:True","Seniority overridden to test things","rg:None")</f>
        <v>rg:None</v>
      </c>
      <c r="AF48" s="1">
        <v>42480</v>
      </c>
      <c r="AG48" s="4">
        <f ca="1">IF(I48="Dump Truck",60,30)*AH48+(AVERAGE(AI48:AK48))</f>
        <v>141.41666666666666</v>
      </c>
      <c r="AH48" s="4">
        <f>YEARFRAC(DATE("2016","4","1"),T48)</f>
        <v>2.036111111111111</v>
      </c>
      <c r="AI48">
        <f ca="1">IF(AH48&lt;1,0,RANDBETWEEN(0,200))</f>
        <v>186</v>
      </c>
      <c r="AJ48">
        <f ca="1">IF(AH48&lt;2,0,RANDBETWEEN(0,200))</f>
        <v>55</v>
      </c>
      <c r="AK48">
        <f ca="1">IF(AH48&lt;3,0,RANDBETWEEN(0,200))</f>
        <v>0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>IF(ISNUMBER(B48),B48+1,200000)</f>
        <v>200047</v>
      </c>
      <c r="C49">
        <v>200020</v>
      </c>
      <c r="D49" t="str">
        <f>"rg:{'id': '"&amp;C49&amp;"'}"</f>
        <v>rg:{'id': '200020'}</v>
      </c>
      <c r="E49">
        <f>VLOOKUP(C49,Owners.csv!C:J,6,FALSE)</f>
        <v>200001</v>
      </c>
      <c r="F49" t="str">
        <f>VLOOKUP(VLOOKUP(E49,LocalAreas.csv!I:K,3,FALSE),ServiceAreas.csv!F:J,5,FALSE)</f>
        <v>200009</v>
      </c>
      <c r="G49" t="str">
        <f>"rg:{'id': '"&amp;E49&amp;"'}"</f>
        <v>rg:{'id': '200001'}</v>
      </c>
      <c r="H49" t="s">
        <v>7686</v>
      </c>
      <c r="I49" t="s">
        <v>5640</v>
      </c>
      <c r="J49">
        <f>VLOOKUP(I49&amp;"-"&amp;F49,DistrictEquipmentTypes.csv!J:K,2,FALSE)</f>
        <v>200002</v>
      </c>
      <c r="K49" t="str">
        <f>"rg:{'id': '"&amp;J49&amp;"'}"</f>
        <v>rg:{'id': '200002'}</v>
      </c>
      <c r="L49">
        <f>IF(C49=C48,L48+1,1)</f>
        <v>3</v>
      </c>
      <c r="M49" t="str">
        <f>VLOOKUP(C49,Owners.csv!C:K,9,FALSE)&amp;TEXT(Equipment.csv!L49,"0000")</f>
        <v>DAVE0003</v>
      </c>
      <c r="N49" t="s">
        <v>5401</v>
      </c>
      <c r="O49" t="s">
        <v>6710</v>
      </c>
      <c r="P49">
        <v>1987</v>
      </c>
      <c r="Q49">
        <v>52</v>
      </c>
      <c r="R49" t="s">
        <v>6663</v>
      </c>
      <c r="S49" s="1">
        <v>42566</v>
      </c>
      <c r="T49" s="1">
        <v>42591</v>
      </c>
      <c r="U49" t="str">
        <f ca="1">IF(RANDBETWEEN(1,10)&gt;1,"rg:False","rg:True")</f>
        <v>rg:False</v>
      </c>
      <c r="V49" t="str">
        <f ca="1">IF(U49="rg:True","This equipment should be archived","rg:None")</f>
        <v>rg:None</v>
      </c>
      <c r="W49" t="s">
        <v>7109</v>
      </c>
      <c r="X49" t="s">
        <v>76</v>
      </c>
      <c r="Y49" t="s">
        <v>76</v>
      </c>
      <c r="Z49" t="s">
        <v>76</v>
      </c>
      <c r="AA49" t="s">
        <v>7456</v>
      </c>
      <c r="AB49" t="s">
        <v>7304</v>
      </c>
      <c r="AC49">
        <v>0</v>
      </c>
      <c r="AD49" t="str">
        <f ca="1">IF(RANDBETWEEN(1,20)&gt;1,"rg:False","rg:True")</f>
        <v>rg:False</v>
      </c>
      <c r="AE49" t="str">
        <f ca="1">IF(AD49="rg:True","Seniority overridden to test things","rg:None")</f>
        <v>rg:None</v>
      </c>
      <c r="AF49" s="1">
        <v>42481</v>
      </c>
      <c r="AG49" s="4">
        <f ca="1">IF(I49="Dump Truck",60,30)*AH49+(AVERAGE(AI49:AK49))</f>
        <v>10.666666666666668</v>
      </c>
      <c r="AH49" s="4">
        <f>YEARFRAC(DATE("2016","4","1"),T49)</f>
        <v>0.35555555555555557</v>
      </c>
      <c r="AI49">
        <f ca="1">IF(AH49&lt;1,0,RANDBETWEEN(0,200))</f>
        <v>0</v>
      </c>
      <c r="AJ49">
        <f ca="1">IF(AH49&lt;2,0,RANDBETWEEN(0,200))</f>
        <v>0</v>
      </c>
      <c r="AK49">
        <f ca="1">IF(AH49&lt;3,0,RANDBETWEEN(0,200))</f>
        <v>0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>IF(ISNUMBER(B49),B49+1,200000)</f>
        <v>200048</v>
      </c>
      <c r="C50">
        <v>200020</v>
      </c>
      <c r="D50" t="str">
        <f>"rg:{'id': '"&amp;C50&amp;"'}"</f>
        <v>rg:{'id': '200020'}</v>
      </c>
      <c r="E50">
        <f>VLOOKUP(C50,Owners.csv!C:J,6,FALSE)</f>
        <v>200001</v>
      </c>
      <c r="F50" t="str">
        <f>VLOOKUP(VLOOKUP(E50,LocalAreas.csv!I:K,3,FALSE),ServiceAreas.csv!F:J,5,FALSE)</f>
        <v>200009</v>
      </c>
      <c r="G50" t="str">
        <f>"rg:{'id': '"&amp;E50&amp;"'}"</f>
        <v>rg:{'id': '200001'}</v>
      </c>
      <c r="H50" t="s">
        <v>7661</v>
      </c>
      <c r="I50" t="s">
        <v>5640</v>
      </c>
      <c r="J50">
        <f>VLOOKUP(I50&amp;"-"&amp;F50,DistrictEquipmentTypes.csv!J:K,2,FALSE)</f>
        <v>200002</v>
      </c>
      <c r="K50" t="str">
        <f>"rg:{'id': '"&amp;J50&amp;"'}"</f>
        <v>rg:{'id': '200002'}</v>
      </c>
      <c r="L50">
        <f>IF(C50=C49,L49+1,1)</f>
        <v>4</v>
      </c>
      <c r="M50" t="str">
        <f>VLOOKUP(C50,Owners.csv!C:K,9,FALSE)&amp;TEXT(Equipment.csv!L50,"0000")</f>
        <v>DAVE0004</v>
      </c>
      <c r="N50" t="s">
        <v>5401</v>
      </c>
      <c r="O50" t="s">
        <v>6720</v>
      </c>
      <c r="P50">
        <v>1999</v>
      </c>
      <c r="Q50">
        <v>62</v>
      </c>
      <c r="R50" t="s">
        <v>6663</v>
      </c>
      <c r="S50" s="1">
        <v>40584</v>
      </c>
      <c r="T50" s="1">
        <v>40591</v>
      </c>
      <c r="U50" t="str">
        <f ca="1">IF(RANDBETWEEN(1,10)&gt;1,"rg:False","rg:True")</f>
        <v>rg:False</v>
      </c>
      <c r="V50" t="str">
        <f ca="1">IF(U50="rg:True","This equipment should be archived","rg:None")</f>
        <v>rg:None</v>
      </c>
      <c r="W50" t="s">
        <v>7119</v>
      </c>
      <c r="X50" t="s">
        <v>76</v>
      </c>
      <c r="Y50" t="s">
        <v>76</v>
      </c>
      <c r="Z50" t="s">
        <v>76</v>
      </c>
      <c r="AA50" t="s">
        <v>7466</v>
      </c>
      <c r="AB50" t="s">
        <v>7312</v>
      </c>
      <c r="AC50">
        <v>0</v>
      </c>
      <c r="AD50" t="str">
        <f ca="1">IF(RANDBETWEEN(1,20)&gt;1,"rg:False","rg:True")</f>
        <v>rg:False</v>
      </c>
      <c r="AE50" t="str">
        <f ca="1">IF(AD50="rg:True","Seniority overridden to test things","rg:None")</f>
        <v>rg:None</v>
      </c>
      <c r="AF50" s="1">
        <v>42481</v>
      </c>
      <c r="AG50" s="4">
        <f ca="1">IF(I50="Dump Truck",60,30)*AH50+(AVERAGE(AI50:AK50))</f>
        <v>259</v>
      </c>
      <c r="AH50" s="4">
        <f>YEARFRAC(DATE("2016","4","1"),T50)</f>
        <v>5.1222222222222218</v>
      </c>
      <c r="AI50">
        <f ca="1">IF(AH50&lt;1,0,RANDBETWEEN(0,200))</f>
        <v>188</v>
      </c>
      <c r="AJ50">
        <f ca="1">IF(AH50&lt;2,0,RANDBETWEEN(0,200))</f>
        <v>55</v>
      </c>
      <c r="AK50">
        <f ca="1">IF(AH50&lt;3,0,RANDBETWEEN(0,200))</f>
        <v>73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>IF(ISNUMBER(B50),B50+1,200000)</f>
        <v>200049</v>
      </c>
      <c r="C51">
        <v>200020</v>
      </c>
      <c r="D51" t="str">
        <f>"rg:{'id': '"&amp;C51&amp;"'}"</f>
        <v>rg:{'id': '200020'}</v>
      </c>
      <c r="E51">
        <f>VLOOKUP(C51,Owners.csv!C:J,6,FALSE)</f>
        <v>200001</v>
      </c>
      <c r="F51" t="str">
        <f>VLOOKUP(VLOOKUP(E51,LocalAreas.csv!I:K,3,FALSE),ServiceAreas.csv!F:J,5,FALSE)</f>
        <v>200009</v>
      </c>
      <c r="G51" t="str">
        <f>"rg:{'id': '"&amp;E51&amp;"'}"</f>
        <v>rg:{'id': '200001'}</v>
      </c>
      <c r="H51" t="s">
        <v>7701</v>
      </c>
      <c r="I51" t="s">
        <v>5651</v>
      </c>
      <c r="J51">
        <f>VLOOKUP(I51&amp;"-"&amp;F51,DistrictEquipmentTypes.csv!J:K,2,FALSE)</f>
        <v>200006</v>
      </c>
      <c r="K51" t="str">
        <f>"rg:{'id': '"&amp;J51&amp;"'}"</f>
        <v>rg:{'id': '200006'}</v>
      </c>
      <c r="L51">
        <f>IF(C51=C50,L50+1,1)</f>
        <v>5</v>
      </c>
      <c r="M51" t="str">
        <f>VLOOKUP(C51,Owners.csv!C:K,9,FALSE)&amp;TEXT(Equipment.csv!L51,"0000")</f>
        <v>DAVE0005</v>
      </c>
      <c r="N51" t="s">
        <v>5401</v>
      </c>
      <c r="O51" t="s">
        <v>6728</v>
      </c>
      <c r="P51">
        <v>2016</v>
      </c>
      <c r="Q51">
        <v>70</v>
      </c>
      <c r="R51" t="s">
        <v>6663</v>
      </c>
      <c r="S51" s="1">
        <v>38802</v>
      </c>
      <c r="T51" s="1">
        <v>38826</v>
      </c>
      <c r="U51" t="str">
        <f ca="1">IF(RANDBETWEEN(1,10)&gt;1,"rg:False","rg:True")</f>
        <v>rg:False</v>
      </c>
      <c r="V51" t="str">
        <f ca="1">IF(U51="rg:True","This equipment should be archived","rg:None")</f>
        <v>rg:None</v>
      </c>
      <c r="W51" t="s">
        <v>7127</v>
      </c>
      <c r="X51" t="s">
        <v>76</v>
      </c>
      <c r="Y51" t="s">
        <v>76</v>
      </c>
      <c r="Z51" t="s">
        <v>76</v>
      </c>
      <c r="AA51" t="s">
        <v>7474</v>
      </c>
      <c r="AB51" t="s">
        <v>7258</v>
      </c>
      <c r="AC51">
        <v>0</v>
      </c>
      <c r="AD51" t="str">
        <f ca="1">IF(RANDBETWEEN(1,20)&gt;1,"rg:False","rg:True")</f>
        <v>rg:False</v>
      </c>
      <c r="AE51" t="str">
        <f ca="1">IF(AD51="rg:True","Seniority overridden to test things","rg:None")</f>
        <v>rg:None</v>
      </c>
      <c r="AF51" s="1">
        <v>42481</v>
      </c>
      <c r="AG51" s="4">
        <f ca="1">IF(I51="Dump Truck",60,30)*AH51+(AVERAGE(AI51:AK51))</f>
        <v>688</v>
      </c>
      <c r="AH51" s="4">
        <f>YEARFRAC(DATE("2016","4","1"),T51)</f>
        <v>9.9499999999999993</v>
      </c>
      <c r="AI51">
        <f ca="1">IF(AH51&lt;1,0,RANDBETWEEN(0,200))</f>
        <v>69</v>
      </c>
      <c r="AJ51">
        <f ca="1">IF(AH51&lt;2,0,RANDBETWEEN(0,200))</f>
        <v>57</v>
      </c>
      <c r="AK51">
        <f ca="1">IF(AH51&lt;3,0,RANDBETWEEN(0,200))</f>
        <v>147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>IF(ISNUMBER(B51),B51+1,200000)</f>
        <v>200050</v>
      </c>
      <c r="C52">
        <v>200020</v>
      </c>
      <c r="D52" t="str">
        <f>"rg:{'id': '"&amp;C52&amp;"'}"</f>
        <v>rg:{'id': '200020'}</v>
      </c>
      <c r="E52">
        <f>VLOOKUP(C52,Owners.csv!C:J,6,FALSE)</f>
        <v>200001</v>
      </c>
      <c r="F52" t="str">
        <f>VLOOKUP(VLOOKUP(E52,LocalAreas.csv!I:K,3,FALSE),ServiceAreas.csv!F:J,5,FALSE)</f>
        <v>200009</v>
      </c>
      <c r="G52" t="str">
        <f>"rg:{'id': '"&amp;E52&amp;"'}"</f>
        <v>rg:{'id': '200001'}</v>
      </c>
      <c r="H52" t="s">
        <v>7714</v>
      </c>
      <c r="I52" t="s">
        <v>5651</v>
      </c>
      <c r="J52">
        <f>VLOOKUP(I52&amp;"-"&amp;F52,DistrictEquipmentTypes.csv!J:K,2,FALSE)</f>
        <v>200006</v>
      </c>
      <c r="K52" t="str">
        <f>"rg:{'id': '"&amp;J52&amp;"'}"</f>
        <v>rg:{'id': '200006'}</v>
      </c>
      <c r="L52">
        <f>IF(C52=C51,L51+1,1)</f>
        <v>6</v>
      </c>
      <c r="M52" t="str">
        <f>VLOOKUP(C52,Owners.csv!C:K,9,FALSE)&amp;TEXT(Equipment.csv!L52,"0000")</f>
        <v>DAVE0006</v>
      </c>
      <c r="N52" t="s">
        <v>5401</v>
      </c>
      <c r="O52" t="s">
        <v>6748</v>
      </c>
      <c r="P52">
        <v>1991</v>
      </c>
      <c r="Q52">
        <v>90</v>
      </c>
      <c r="R52" t="s">
        <v>6663</v>
      </c>
      <c r="S52" s="1">
        <v>40280</v>
      </c>
      <c r="T52" s="1">
        <v>40283</v>
      </c>
      <c r="U52" t="str">
        <f ca="1">IF(RANDBETWEEN(1,10)&gt;1,"rg:False","rg:True")</f>
        <v>rg:False</v>
      </c>
      <c r="V52" t="str">
        <f ca="1">IF(U52="rg:True","This equipment should be archived","rg:None")</f>
        <v>rg:None</v>
      </c>
      <c r="W52" t="s">
        <v>7147</v>
      </c>
      <c r="X52" t="s">
        <v>76</v>
      </c>
      <c r="Y52" t="s">
        <v>76</v>
      </c>
      <c r="Z52" t="s">
        <v>76</v>
      </c>
      <c r="AA52" t="s">
        <v>7494</v>
      </c>
      <c r="AB52" t="s">
        <v>7334</v>
      </c>
      <c r="AC52">
        <v>0</v>
      </c>
      <c r="AD52" t="str">
        <f ca="1">IF(RANDBETWEEN(1,20)&gt;1,"rg:False","rg:True")</f>
        <v>rg:False</v>
      </c>
      <c r="AE52" t="str">
        <f ca="1">IF(AD52="rg:True","Seniority overridden to test things","rg:None")</f>
        <v>rg:None</v>
      </c>
      <c r="AF52" s="1">
        <v>42481</v>
      </c>
      <c r="AG52" s="4">
        <f ca="1">IF(I52="Dump Truck",60,30)*AH52+(AVERAGE(AI52:AK52))</f>
        <v>393</v>
      </c>
      <c r="AH52" s="4">
        <f>YEARFRAC(DATE("2016","4","1"),T52)</f>
        <v>5.9611111111111112</v>
      </c>
      <c r="AI52">
        <f ca="1">IF(AH52&lt;1,0,RANDBETWEEN(0,200))</f>
        <v>7</v>
      </c>
      <c r="AJ52">
        <f ca="1">IF(AH52&lt;2,0,RANDBETWEEN(0,200))</f>
        <v>44</v>
      </c>
      <c r="AK52">
        <f ca="1">IF(AH52&lt;3,0,RANDBETWEEN(0,200))</f>
        <v>55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>IF(ISNUMBER(B52),B52+1,200000)</f>
        <v>200051</v>
      </c>
      <c r="C53">
        <v>200020</v>
      </c>
      <c r="D53" t="str">
        <f>"rg:{'id': '"&amp;C53&amp;"'}"</f>
        <v>rg:{'id': '200020'}</v>
      </c>
      <c r="E53">
        <f>VLOOKUP(C53,Owners.csv!C:J,6,FALSE)</f>
        <v>200001</v>
      </c>
      <c r="F53" t="str">
        <f>VLOOKUP(VLOOKUP(E53,LocalAreas.csv!I:K,3,FALSE),ServiceAreas.csv!F:J,5,FALSE)</f>
        <v>200009</v>
      </c>
      <c r="G53" t="str">
        <f>"rg:{'id': '"&amp;E53&amp;"'}"</f>
        <v>rg:{'id': '200001'}</v>
      </c>
      <c r="H53" t="s">
        <v>7726</v>
      </c>
      <c r="I53" t="s">
        <v>5637</v>
      </c>
      <c r="J53">
        <f>VLOOKUP(I53&amp;"-"&amp;F53,DistrictEquipmentTypes.csv!J:K,2,FALSE)</f>
        <v>200001</v>
      </c>
      <c r="K53" t="str">
        <f>"rg:{'id': '"&amp;J53&amp;"'}"</f>
        <v>rg:{'id': '200001'}</v>
      </c>
      <c r="L53">
        <f>IF(C53=C52,L52+1,1)</f>
        <v>7</v>
      </c>
      <c r="M53" t="str">
        <f>VLOOKUP(C53,Owners.csv!C:K,9,FALSE)&amp;TEXT(Equipment.csv!L53,"0000")</f>
        <v>DAVE0007</v>
      </c>
      <c r="N53" t="s">
        <v>5401</v>
      </c>
      <c r="O53" t="s">
        <v>6768</v>
      </c>
      <c r="P53">
        <v>1979</v>
      </c>
      <c r="Q53">
        <v>110</v>
      </c>
      <c r="R53" t="s">
        <v>6663</v>
      </c>
      <c r="S53" s="1">
        <v>41476</v>
      </c>
      <c r="T53" s="1">
        <v>41481</v>
      </c>
      <c r="U53" t="str">
        <f ca="1">IF(RANDBETWEEN(1,10)&gt;1,"rg:False","rg:True")</f>
        <v>rg:False</v>
      </c>
      <c r="V53" t="str">
        <f ca="1">IF(U53="rg:True","This equipment should be archived","rg:None")</f>
        <v>rg:None</v>
      </c>
      <c r="W53" t="s">
        <v>7167</v>
      </c>
      <c r="X53" t="s">
        <v>76</v>
      </c>
      <c r="Y53" t="s">
        <v>76</v>
      </c>
      <c r="Z53" t="s">
        <v>76</v>
      </c>
      <c r="AA53" t="s">
        <v>7514</v>
      </c>
      <c r="AB53" t="s">
        <v>7348</v>
      </c>
      <c r="AC53">
        <v>0</v>
      </c>
      <c r="AD53" t="str">
        <f ca="1">IF(RANDBETWEEN(1,20)&gt;1,"rg:False","rg:True")</f>
        <v>rg:True</v>
      </c>
      <c r="AE53" t="str">
        <f ca="1">IF(AD53="rg:True","Seniority overridden to test things","rg:None")</f>
        <v>Seniority overridden to test things</v>
      </c>
      <c r="AF53" s="1">
        <v>42481</v>
      </c>
      <c r="AG53" s="4">
        <f ca="1">IF(I53="Dump Truck",60,30)*AH53+(AVERAGE(AI53:AK53))</f>
        <v>131.75</v>
      </c>
      <c r="AH53" s="4">
        <f>YEARFRAC(DATE("2016","4","1"),T53)</f>
        <v>2.6805555555555554</v>
      </c>
      <c r="AI53">
        <f ca="1">IF(AH53&lt;1,0,RANDBETWEEN(0,200))</f>
        <v>138</v>
      </c>
      <c r="AJ53">
        <f ca="1">IF(AH53&lt;2,0,RANDBETWEEN(0,200))</f>
        <v>16</v>
      </c>
      <c r="AK53">
        <f ca="1">IF(AH53&lt;3,0,RANDBETWEEN(0,200))</f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>IF(ISNUMBER(B53),B53+1,200000)</f>
        <v>200052</v>
      </c>
      <c r="C54">
        <v>200020</v>
      </c>
      <c r="D54" t="str">
        <f>"rg:{'id': '"&amp;C54&amp;"'}"</f>
        <v>rg:{'id': '200020'}</v>
      </c>
      <c r="E54">
        <f>VLOOKUP(C54,Owners.csv!C:J,6,FALSE)</f>
        <v>200001</v>
      </c>
      <c r="F54" t="str">
        <f>VLOOKUP(VLOOKUP(E54,LocalAreas.csv!I:K,3,FALSE),ServiceAreas.csv!F:J,5,FALSE)</f>
        <v>200009</v>
      </c>
      <c r="G54" t="str">
        <f>"rg:{'id': '"&amp;E54&amp;"'}"</f>
        <v>rg:{'id': '200001'}</v>
      </c>
      <c r="H54" t="s">
        <v>7735</v>
      </c>
      <c r="I54" t="s">
        <v>5536</v>
      </c>
      <c r="J54">
        <f>VLOOKUP(I54&amp;"-"&amp;F54,DistrictEquipmentTypes.csv!J:K,2,FALSE)</f>
        <v>200000</v>
      </c>
      <c r="K54" t="str">
        <f>"rg:{'id': '"&amp;J54&amp;"'}"</f>
        <v>rg:{'id': '200000'}</v>
      </c>
      <c r="L54">
        <f>IF(C54=C53,L53+1,1)</f>
        <v>8</v>
      </c>
      <c r="M54" t="str">
        <f>VLOOKUP(C54,Owners.csv!C:K,9,FALSE)&amp;TEXT(Equipment.csv!L54,"0000")</f>
        <v>DAVE0008</v>
      </c>
      <c r="N54" t="s">
        <v>5401</v>
      </c>
      <c r="O54" t="s">
        <v>6783</v>
      </c>
      <c r="P54">
        <v>1997</v>
      </c>
      <c r="Q54">
        <v>125</v>
      </c>
      <c r="R54" t="s">
        <v>6663</v>
      </c>
      <c r="S54" s="1">
        <v>40763</v>
      </c>
      <c r="T54" s="1">
        <v>40782</v>
      </c>
      <c r="U54" t="str">
        <f ca="1">IF(RANDBETWEEN(1,10)&gt;1,"rg:False","rg:True")</f>
        <v>rg:False</v>
      </c>
      <c r="V54" t="str">
        <f ca="1">IF(U54="rg:True","This equipment should be archived","rg:None")</f>
        <v>rg:None</v>
      </c>
      <c r="W54" t="s">
        <v>7182</v>
      </c>
      <c r="X54" t="s">
        <v>76</v>
      </c>
      <c r="Y54" t="s">
        <v>76</v>
      </c>
      <c r="Z54" t="s">
        <v>76</v>
      </c>
      <c r="AA54" t="s">
        <v>7529</v>
      </c>
      <c r="AB54" t="s">
        <v>7328</v>
      </c>
      <c r="AC54">
        <v>0</v>
      </c>
      <c r="AD54" t="str">
        <f ca="1">IF(RANDBETWEEN(1,20)&gt;1,"rg:False","rg:True")</f>
        <v>rg:False</v>
      </c>
      <c r="AE54" t="str">
        <f ca="1">IF(AD54="rg:True","Seniority overridden to test things","rg:None")</f>
        <v>rg:None</v>
      </c>
      <c r="AF54" s="1">
        <v>42481</v>
      </c>
      <c r="AG54" s="4">
        <f ca="1">IF(I54="Dump Truck",60,30)*AH54+(AVERAGE(AI54:AK54))</f>
        <v>243.16666666666663</v>
      </c>
      <c r="AH54" s="4">
        <f>YEARFRAC(DATE("2016","4","1"),T54)</f>
        <v>4.5944444444444441</v>
      </c>
      <c r="AI54">
        <f ca="1">IF(AH54&lt;1,0,RANDBETWEEN(0,200))</f>
        <v>13</v>
      </c>
      <c r="AJ54">
        <f ca="1">IF(AH54&lt;2,0,RANDBETWEEN(0,200))</f>
        <v>130</v>
      </c>
      <c r="AK54">
        <f ca="1">IF(AH54&lt;3,0,RANDBETWEEN(0,200))</f>
        <v>173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>IF(ISNUMBER(B54),B54+1,200000)</f>
        <v>200053</v>
      </c>
      <c r="C55">
        <v>200021</v>
      </c>
      <c r="D55" t="str">
        <f>"rg:{'id': '"&amp;C55&amp;"'}"</f>
        <v>rg:{'id': '200021'}</v>
      </c>
      <c r="E55">
        <f>VLOOKUP(C55,Owners.csv!C:J,6,FALSE)</f>
        <v>200001</v>
      </c>
      <c r="F55" t="str">
        <f>VLOOKUP(VLOOKUP(E55,LocalAreas.csv!I:K,3,FALSE),ServiceAreas.csv!F:J,5,FALSE)</f>
        <v>200009</v>
      </c>
      <c r="G55" t="str">
        <f>"rg:{'id': '"&amp;E55&amp;"'}"</f>
        <v>rg:{'id': '200001'}</v>
      </c>
      <c r="H55" t="s">
        <v>7270</v>
      </c>
      <c r="I55" t="s">
        <v>5642</v>
      </c>
      <c r="J55">
        <f>VLOOKUP(I55&amp;"-"&amp;F55,DistrictEquipmentTypes.csv!J:K,2,FALSE)</f>
        <v>200004</v>
      </c>
      <c r="K55" t="str">
        <f>"rg:{'id': '"&amp;J55&amp;"'}"</f>
        <v>rg:{'id': '200004'}</v>
      </c>
      <c r="L55">
        <f>IF(C55=C54,L54+1,1)</f>
        <v>1</v>
      </c>
      <c r="M55" t="str">
        <f>VLOOKUP(C55,Owners.csv!C:K,9,FALSE)&amp;TEXT(Equipment.csv!L55,"0000")</f>
        <v>DESM0001</v>
      </c>
      <c r="N55" t="s">
        <v>5401</v>
      </c>
      <c r="O55" t="s">
        <v>6691</v>
      </c>
      <c r="P55">
        <v>1976</v>
      </c>
      <c r="Q55">
        <v>33</v>
      </c>
      <c r="R55" t="s">
        <v>6663</v>
      </c>
      <c r="S55" s="1">
        <v>40328</v>
      </c>
      <c r="T55" s="1">
        <v>40359</v>
      </c>
      <c r="U55" t="str">
        <f ca="1">IF(RANDBETWEEN(1,10)&gt;1,"rg:False","rg:True")</f>
        <v>rg:False</v>
      </c>
      <c r="V55" t="str">
        <f ca="1">IF(U55="rg:True","This equipment should be archived","rg:None")</f>
        <v>rg:None</v>
      </c>
      <c r="W55" t="s">
        <v>7090</v>
      </c>
      <c r="X55" t="s">
        <v>76</v>
      </c>
      <c r="Y55" t="s">
        <v>76</v>
      </c>
      <c r="Z55" t="s">
        <v>76</v>
      </c>
      <c r="AA55" t="s">
        <v>7437</v>
      </c>
      <c r="AB55" t="s">
        <v>7287</v>
      </c>
      <c r="AC55">
        <v>0</v>
      </c>
      <c r="AD55" t="str">
        <f ca="1">IF(RANDBETWEEN(1,20)&gt;1,"rg:False","rg:True")</f>
        <v>rg:False</v>
      </c>
      <c r="AE55" t="str">
        <f ca="1">IF(AD55="rg:True","Seniority overridden to test things","rg:None")</f>
        <v>rg:None</v>
      </c>
      <c r="AF55" s="1">
        <v>42461</v>
      </c>
      <c r="AG55" s="4">
        <f ca="1">IF(I55="Dump Truck",60,30)*AH55+(AVERAGE(AI55:AK55))</f>
        <v>252.58333333333334</v>
      </c>
      <c r="AH55" s="4">
        <f>YEARFRAC(DATE("2016","4","1"),T55)</f>
        <v>5.7527777777777782</v>
      </c>
      <c r="AI55">
        <f ca="1">IF(AH55&lt;1,0,RANDBETWEEN(0,200))</f>
        <v>193</v>
      </c>
      <c r="AJ55">
        <f ca="1">IF(AH55&lt;2,0,RANDBETWEEN(0,200))</f>
        <v>37</v>
      </c>
      <c r="AK55">
        <f ca="1">IF(AH55&lt;3,0,RANDBETWEEN(0,200))</f>
        <v>10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>IF(ISNUMBER(B55),B55+1,200000)</f>
        <v>200054</v>
      </c>
      <c r="C56">
        <v>200021</v>
      </c>
      <c r="D56" t="str">
        <f>"rg:{'id': '"&amp;C56&amp;"'}"</f>
        <v>rg:{'id': '200021'}</v>
      </c>
      <c r="E56">
        <f>VLOOKUP(C56,Owners.csv!C:J,6,FALSE)</f>
        <v>200001</v>
      </c>
      <c r="F56" t="str">
        <f>VLOOKUP(VLOOKUP(E56,LocalAreas.csv!I:K,3,FALSE),ServiceAreas.csv!F:J,5,FALSE)</f>
        <v>200009</v>
      </c>
      <c r="G56" t="str">
        <f>"rg:{'id': '"&amp;E56&amp;"'}"</f>
        <v>rg:{'id': '200001'}</v>
      </c>
      <c r="H56" t="s">
        <v>7680</v>
      </c>
      <c r="I56" t="s">
        <v>5642</v>
      </c>
      <c r="J56">
        <f>VLOOKUP(I56&amp;"-"&amp;F56,DistrictEquipmentTypes.csv!J:K,2,FALSE)</f>
        <v>200004</v>
      </c>
      <c r="K56" t="str">
        <f>"rg:{'id': '"&amp;J56&amp;"'}"</f>
        <v>rg:{'id': '200004'}</v>
      </c>
      <c r="L56">
        <f>IF(C56=C55,L55+1,1)</f>
        <v>2</v>
      </c>
      <c r="M56" t="str">
        <f>VLOOKUP(C56,Owners.csv!C:K,9,FALSE)&amp;TEXT(Equipment.csv!L56,"0000")</f>
        <v>DESM0002</v>
      </c>
      <c r="N56" t="s">
        <v>5401</v>
      </c>
      <c r="O56" t="s">
        <v>6701</v>
      </c>
      <c r="P56">
        <v>1972</v>
      </c>
      <c r="Q56">
        <v>43</v>
      </c>
      <c r="R56" t="s">
        <v>6664</v>
      </c>
      <c r="S56" s="1">
        <v>41232</v>
      </c>
      <c r="T56" s="1">
        <v>41252</v>
      </c>
      <c r="U56" t="str">
        <f ca="1">IF(RANDBETWEEN(1,10)&gt;1,"rg:False","rg:True")</f>
        <v>rg:False</v>
      </c>
      <c r="V56" t="str">
        <f ca="1">IF(U56="rg:True","This equipment should be archived","rg:None")</f>
        <v>rg:None</v>
      </c>
      <c r="W56" t="s">
        <v>7100</v>
      </c>
      <c r="X56" t="s">
        <v>76</v>
      </c>
      <c r="Y56" t="s">
        <v>76</v>
      </c>
      <c r="Z56" t="s">
        <v>76</v>
      </c>
      <c r="AA56" t="s">
        <v>7447</v>
      </c>
      <c r="AB56" t="s">
        <v>7297</v>
      </c>
      <c r="AC56">
        <v>0</v>
      </c>
      <c r="AD56" t="str">
        <f ca="1">IF(RANDBETWEEN(1,20)&gt;1,"rg:False","rg:True")</f>
        <v>rg:False</v>
      </c>
      <c r="AE56" t="str">
        <f ca="1">IF(AD56="rg:True","Seniority overridden to test things","rg:None")</f>
        <v>rg:None</v>
      </c>
      <c r="AF56" s="1">
        <v>42480</v>
      </c>
      <c r="AG56" s="4">
        <f ca="1">IF(I56="Dump Truck",60,30)*AH56+(AVERAGE(AI56:AK56))</f>
        <v>222.33333333333331</v>
      </c>
      <c r="AH56" s="4">
        <f>YEARFRAC(DATE("2016","4","1"),T56)</f>
        <v>3.3111111111111109</v>
      </c>
      <c r="AI56">
        <f ca="1">IF(AH56&lt;1,0,RANDBETWEEN(0,200))</f>
        <v>115</v>
      </c>
      <c r="AJ56">
        <f ca="1">IF(AH56&lt;2,0,RANDBETWEEN(0,200))</f>
        <v>98</v>
      </c>
      <c r="AK56">
        <f ca="1">IF(AH56&lt;3,0,RANDBETWEEN(0,200))</f>
        <v>156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>IF(ISNUMBER(B56),B56+1,200000)</f>
        <v>200055</v>
      </c>
      <c r="C57">
        <v>200021</v>
      </c>
      <c r="D57" t="str">
        <f>"rg:{'id': '"&amp;C57&amp;"'}"</f>
        <v>rg:{'id': '200021'}</v>
      </c>
      <c r="E57">
        <f>VLOOKUP(C57,Owners.csv!C:J,6,FALSE)</f>
        <v>200001</v>
      </c>
      <c r="F57" t="str">
        <f>VLOOKUP(VLOOKUP(E57,LocalAreas.csv!I:K,3,FALSE),ServiceAreas.csv!F:J,5,FALSE)</f>
        <v>200009</v>
      </c>
      <c r="G57" t="str">
        <f>"rg:{'id': '"&amp;E57&amp;"'}"</f>
        <v>rg:{'id': '200001'}</v>
      </c>
      <c r="H57" t="s">
        <v>7687</v>
      </c>
      <c r="I57" t="s">
        <v>5640</v>
      </c>
      <c r="J57">
        <f>VLOOKUP(I57&amp;"-"&amp;F57,DistrictEquipmentTypes.csv!J:K,2,FALSE)</f>
        <v>200002</v>
      </c>
      <c r="K57" t="str">
        <f>"rg:{'id': '"&amp;J57&amp;"'}"</f>
        <v>rg:{'id': '200002'}</v>
      </c>
      <c r="L57">
        <f>IF(C57=C56,L56+1,1)</f>
        <v>3</v>
      </c>
      <c r="M57" t="str">
        <f>VLOOKUP(C57,Owners.csv!C:K,9,FALSE)&amp;TEXT(Equipment.csv!L57,"0000")</f>
        <v>DESM0003</v>
      </c>
      <c r="N57" t="s">
        <v>5401</v>
      </c>
      <c r="O57" t="s">
        <v>6711</v>
      </c>
      <c r="P57">
        <v>1980</v>
      </c>
      <c r="Q57">
        <v>53</v>
      </c>
      <c r="R57" t="s">
        <v>6663</v>
      </c>
      <c r="S57" s="1">
        <v>42256</v>
      </c>
      <c r="T57" s="1">
        <v>42271</v>
      </c>
      <c r="U57" t="str">
        <f ca="1">IF(RANDBETWEEN(1,10)&gt;1,"rg:False","rg:True")</f>
        <v>rg:False</v>
      </c>
      <c r="V57" t="str">
        <f ca="1">IF(U57="rg:True","This equipment should be archived","rg:None")</f>
        <v>rg:None</v>
      </c>
      <c r="W57" t="s">
        <v>7110</v>
      </c>
      <c r="X57" t="s">
        <v>76</v>
      </c>
      <c r="Y57" t="s">
        <v>76</v>
      </c>
      <c r="Z57" t="s">
        <v>76</v>
      </c>
      <c r="AA57" t="s">
        <v>7457</v>
      </c>
      <c r="AB57" t="s">
        <v>7305</v>
      </c>
      <c r="AC57">
        <v>0</v>
      </c>
      <c r="AD57" t="str">
        <f ca="1">IF(RANDBETWEEN(1,20)&gt;1,"rg:False","rg:True")</f>
        <v>rg:False</v>
      </c>
      <c r="AE57" t="str">
        <f ca="1">IF(AD57="rg:True","Seniority overridden to test things","rg:None")</f>
        <v>rg:None</v>
      </c>
      <c r="AF57" s="1">
        <v>42481</v>
      </c>
      <c r="AG57" s="4">
        <f ca="1">IF(I57="Dump Truck",60,30)*AH57+(AVERAGE(AI57:AK57))</f>
        <v>15.583333333333334</v>
      </c>
      <c r="AH57" s="4">
        <f>YEARFRAC(DATE("2016","4","1"),T57)</f>
        <v>0.51944444444444449</v>
      </c>
      <c r="AI57">
        <f ca="1">IF(AH57&lt;1,0,RANDBETWEEN(0,200))</f>
        <v>0</v>
      </c>
      <c r="AJ57">
        <f ca="1">IF(AH57&lt;2,0,RANDBETWEEN(0,200))</f>
        <v>0</v>
      </c>
      <c r="AK57">
        <f ca="1">IF(AH57&lt;3,0,RANDBETWEEN(0,200))</f>
        <v>0</v>
      </c>
      <c r="AL57" t="s">
        <v>326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>IF(ISNUMBER(B57),B57+1,200000)</f>
        <v>200056</v>
      </c>
      <c r="C58">
        <v>200021</v>
      </c>
      <c r="D58" t="str">
        <f>"rg:{'id': '"&amp;C58&amp;"'}"</f>
        <v>rg:{'id': '200021'}</v>
      </c>
      <c r="E58">
        <f>VLOOKUP(C58,Owners.csv!C:J,6,FALSE)</f>
        <v>200001</v>
      </c>
      <c r="F58" t="str">
        <f>VLOOKUP(VLOOKUP(E58,LocalAreas.csv!I:K,3,FALSE),ServiceAreas.csv!F:J,5,FALSE)</f>
        <v>200009</v>
      </c>
      <c r="G58" t="str">
        <f>"rg:{'id': '"&amp;E58&amp;"'}"</f>
        <v>rg:{'id': '200001'}</v>
      </c>
      <c r="H58" t="s">
        <v>7694</v>
      </c>
      <c r="I58" t="s">
        <v>5640</v>
      </c>
      <c r="J58">
        <f>VLOOKUP(I58&amp;"-"&amp;F58,DistrictEquipmentTypes.csv!J:K,2,FALSE)</f>
        <v>200002</v>
      </c>
      <c r="K58" t="str">
        <f>"rg:{'id': '"&amp;J58&amp;"'}"</f>
        <v>rg:{'id': '200002'}</v>
      </c>
      <c r="L58">
        <f>IF(C58=C57,L57+1,1)</f>
        <v>4</v>
      </c>
      <c r="M58" t="str">
        <f>VLOOKUP(C58,Owners.csv!C:K,9,FALSE)&amp;TEXT(Equipment.csv!L58,"0000")</f>
        <v>DESM0004</v>
      </c>
      <c r="N58" t="s">
        <v>5401</v>
      </c>
      <c r="O58" t="s">
        <v>6721</v>
      </c>
      <c r="P58">
        <v>2001</v>
      </c>
      <c r="Q58">
        <v>63</v>
      </c>
      <c r="R58" t="s">
        <v>6663</v>
      </c>
      <c r="S58" s="1">
        <v>41066</v>
      </c>
      <c r="T58" s="1">
        <v>41072</v>
      </c>
      <c r="U58" t="str">
        <f ca="1">IF(RANDBETWEEN(1,10)&gt;1,"rg:False","rg:True")</f>
        <v>rg:False</v>
      </c>
      <c r="V58" t="str">
        <f ca="1">IF(U58="rg:True","This equipment should be archived","rg:None")</f>
        <v>rg:None</v>
      </c>
      <c r="W58" t="s">
        <v>7120</v>
      </c>
      <c r="X58" t="s">
        <v>76</v>
      </c>
      <c r="Y58" t="s">
        <v>76</v>
      </c>
      <c r="Z58" t="s">
        <v>76</v>
      </c>
      <c r="AA58" t="s">
        <v>7467</v>
      </c>
      <c r="AB58" t="s">
        <v>7313</v>
      </c>
      <c r="AC58">
        <v>0</v>
      </c>
      <c r="AD58" t="str">
        <f ca="1">IF(RANDBETWEEN(1,20)&gt;1,"rg:False","rg:True")</f>
        <v>rg:False</v>
      </c>
      <c r="AE58" t="str">
        <f ca="1">IF(AD58="rg:True","Seniority overridden to test things","rg:None")</f>
        <v>rg:None</v>
      </c>
      <c r="AF58" s="1">
        <v>42481</v>
      </c>
      <c r="AG58" s="4">
        <f ca="1">IF(I58="Dump Truck",60,30)*AH58+(AVERAGE(AI58:AK58))</f>
        <v>197.08333333333331</v>
      </c>
      <c r="AH58" s="4">
        <f>YEARFRAC(DATE("2016","4","1"),T58)</f>
        <v>3.8027777777777776</v>
      </c>
      <c r="AI58">
        <f ca="1">IF(AH58&lt;1,0,RANDBETWEEN(0,200))</f>
        <v>87</v>
      </c>
      <c r="AJ58">
        <f ca="1">IF(AH58&lt;2,0,RANDBETWEEN(0,200))</f>
        <v>134</v>
      </c>
      <c r="AK58">
        <f ca="1">IF(AH58&lt;3,0,RANDBETWEEN(0,200))</f>
        <v>28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>IF(ISNUMBER(B58),B58+1,200000)</f>
        <v>200057</v>
      </c>
      <c r="C59">
        <v>200021</v>
      </c>
      <c r="D59" t="str">
        <f>"rg:{'id': '"&amp;C59&amp;"'}"</f>
        <v>rg:{'id': '200021'}</v>
      </c>
      <c r="E59">
        <f>VLOOKUP(C59,Owners.csv!C:J,6,FALSE)</f>
        <v>200001</v>
      </c>
      <c r="F59" t="str">
        <f>VLOOKUP(VLOOKUP(E59,LocalAreas.csv!I:K,3,FALSE),ServiceAreas.csv!F:J,5,FALSE)</f>
        <v>200009</v>
      </c>
      <c r="G59" t="str">
        <f>"rg:{'id': '"&amp;E59&amp;"'}"</f>
        <v>rg:{'id': '200001'}</v>
      </c>
      <c r="H59" t="s">
        <v>7702</v>
      </c>
      <c r="I59" t="s">
        <v>5651</v>
      </c>
      <c r="J59">
        <f>VLOOKUP(I59&amp;"-"&amp;F59,DistrictEquipmentTypes.csv!J:K,2,FALSE)</f>
        <v>200006</v>
      </c>
      <c r="K59" t="str">
        <f>"rg:{'id': '"&amp;J59&amp;"'}"</f>
        <v>rg:{'id': '200006'}</v>
      </c>
      <c r="L59">
        <f>IF(C59=C58,L58+1,1)</f>
        <v>5</v>
      </c>
      <c r="M59" t="str">
        <f>VLOOKUP(C59,Owners.csv!C:K,9,FALSE)&amp;TEXT(Equipment.csv!L59,"0000")</f>
        <v>DESM0005</v>
      </c>
      <c r="N59" t="s">
        <v>5401</v>
      </c>
      <c r="O59" t="s">
        <v>6729</v>
      </c>
      <c r="P59">
        <v>2006</v>
      </c>
      <c r="Q59">
        <v>71</v>
      </c>
      <c r="R59" t="s">
        <v>6663</v>
      </c>
      <c r="S59" s="1">
        <v>40179</v>
      </c>
      <c r="T59" s="1">
        <v>40191</v>
      </c>
      <c r="U59" t="str">
        <f ca="1">IF(RANDBETWEEN(1,10)&gt;1,"rg:False","rg:True")</f>
        <v>rg:True</v>
      </c>
      <c r="V59" t="str">
        <f ca="1">IF(U59="rg:True","This equipment should be archived","rg:None")</f>
        <v>This equipment should be archived</v>
      </c>
      <c r="W59" t="s">
        <v>7128</v>
      </c>
      <c r="X59" t="s">
        <v>76</v>
      </c>
      <c r="Y59" t="s">
        <v>76</v>
      </c>
      <c r="Z59" t="s">
        <v>76</v>
      </c>
      <c r="AA59" t="s">
        <v>7475</v>
      </c>
      <c r="AB59" t="s">
        <v>7318</v>
      </c>
      <c r="AC59">
        <v>0</v>
      </c>
      <c r="AD59" t="str">
        <f ca="1">IF(RANDBETWEEN(1,20)&gt;1,"rg:False","rg:True")</f>
        <v>rg:False</v>
      </c>
      <c r="AE59" t="str">
        <f ca="1">IF(AD59="rg:True","Seniority overridden to test things","rg:None")</f>
        <v>rg:None</v>
      </c>
      <c r="AF59" s="1">
        <v>42481</v>
      </c>
      <c r="AG59" s="4">
        <f ca="1">IF(I59="Dump Truck",60,30)*AH59+(AVERAGE(AI59:AK59))</f>
        <v>417.33333333333331</v>
      </c>
      <c r="AH59" s="4">
        <f>YEARFRAC(DATE("2016","4","1"),T59)</f>
        <v>6.2166666666666668</v>
      </c>
      <c r="AI59">
        <f ca="1">IF(AH59&lt;1,0,RANDBETWEEN(0,200))</f>
        <v>10</v>
      </c>
      <c r="AJ59">
        <f ca="1">IF(AH59&lt;2,0,RANDBETWEEN(0,200))</f>
        <v>42</v>
      </c>
      <c r="AK59">
        <f ca="1">IF(AH59&lt;3,0,RANDBETWEEN(0,200))</f>
        <v>81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>IF(ISNUMBER(B59),B59+1,200000)</f>
        <v>200058</v>
      </c>
      <c r="C60">
        <v>200021</v>
      </c>
      <c r="D60" t="str">
        <f>"rg:{'id': '"&amp;C60&amp;"'}"</f>
        <v>rg:{'id': '200021'}</v>
      </c>
      <c r="E60">
        <f>VLOOKUP(C60,Owners.csv!C:J,6,FALSE)</f>
        <v>200001</v>
      </c>
      <c r="F60" t="str">
        <f>VLOOKUP(VLOOKUP(E60,LocalAreas.csv!I:K,3,FALSE),ServiceAreas.csv!F:J,5,FALSE)</f>
        <v>200009</v>
      </c>
      <c r="G60" t="str">
        <f>"rg:{'id': '"&amp;E60&amp;"'}"</f>
        <v>rg:{'id': '200001'}</v>
      </c>
      <c r="H60" t="s">
        <v>7715</v>
      </c>
      <c r="I60" t="s">
        <v>5651</v>
      </c>
      <c r="J60">
        <f>VLOOKUP(I60&amp;"-"&amp;F60,DistrictEquipmentTypes.csv!J:K,2,FALSE)</f>
        <v>200006</v>
      </c>
      <c r="K60" t="str">
        <f>"rg:{'id': '"&amp;J60&amp;"'}"</f>
        <v>rg:{'id': '200006'}</v>
      </c>
      <c r="L60">
        <f>IF(C60=C59,L59+1,1)</f>
        <v>6</v>
      </c>
      <c r="M60" t="str">
        <f>VLOOKUP(C60,Owners.csv!C:K,9,FALSE)&amp;TEXT(Equipment.csv!L60,"0000")</f>
        <v>DESM0006</v>
      </c>
      <c r="N60" t="s">
        <v>5401</v>
      </c>
      <c r="O60" t="s">
        <v>6749</v>
      </c>
      <c r="P60">
        <v>2017</v>
      </c>
      <c r="Q60">
        <v>91</v>
      </c>
      <c r="R60" t="s">
        <v>6663</v>
      </c>
      <c r="S60" s="1">
        <v>38690</v>
      </c>
      <c r="T60" s="1">
        <v>38702</v>
      </c>
      <c r="U60" t="str">
        <f ca="1">IF(RANDBETWEEN(1,10)&gt;1,"rg:False","rg:True")</f>
        <v>rg:False</v>
      </c>
      <c r="V60" t="str">
        <f ca="1">IF(U60="rg:True","This equipment should be archived","rg:None")</f>
        <v>rg:None</v>
      </c>
      <c r="W60" t="s">
        <v>7148</v>
      </c>
      <c r="X60" t="s">
        <v>76</v>
      </c>
      <c r="Y60" t="s">
        <v>76</v>
      </c>
      <c r="Z60" t="s">
        <v>76</v>
      </c>
      <c r="AA60" t="s">
        <v>7495</v>
      </c>
      <c r="AB60" t="s">
        <v>7328</v>
      </c>
      <c r="AC60">
        <v>0</v>
      </c>
      <c r="AD60" t="str">
        <f ca="1">IF(RANDBETWEEN(1,20)&gt;1,"rg:False","rg:True")</f>
        <v>rg:False</v>
      </c>
      <c r="AE60" t="str">
        <f ca="1">IF(AD60="rg:True","Seniority overridden to test things","rg:None")</f>
        <v>rg:None</v>
      </c>
      <c r="AF60" s="1">
        <v>42481</v>
      </c>
      <c r="AG60" s="4">
        <f ca="1">IF(I60="Dump Truck",60,30)*AH60+(AVERAGE(AI60:AK60))</f>
        <v>705.5</v>
      </c>
      <c r="AH60" s="4">
        <f>YEARFRAC(DATE("2016","4","1"),T60)</f>
        <v>10.291666666666666</v>
      </c>
      <c r="AI60">
        <f ca="1">IF(AH60&lt;1,0,RANDBETWEEN(0,200))</f>
        <v>5</v>
      </c>
      <c r="AJ60">
        <f ca="1">IF(AH60&lt;2,0,RANDBETWEEN(0,200))</f>
        <v>182</v>
      </c>
      <c r="AK60">
        <f ca="1">IF(AH60&lt;3,0,RANDBETWEEN(0,200))</f>
        <v>77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>IF(ISNUMBER(B60),B60+1,200000)</f>
        <v>200059</v>
      </c>
      <c r="C61">
        <v>200021</v>
      </c>
      <c r="D61" t="str">
        <f>"rg:{'id': '"&amp;C61&amp;"'}"</f>
        <v>rg:{'id': '200021'}</v>
      </c>
      <c r="E61">
        <f>VLOOKUP(C61,Owners.csv!C:J,6,FALSE)</f>
        <v>200001</v>
      </c>
      <c r="F61" t="str">
        <f>VLOOKUP(VLOOKUP(E61,LocalAreas.csv!I:K,3,FALSE),ServiceAreas.csv!F:J,5,FALSE)</f>
        <v>200009</v>
      </c>
      <c r="G61" t="str">
        <f>"rg:{'id': '"&amp;E61&amp;"'}"</f>
        <v>rg:{'id': '200001'}</v>
      </c>
      <c r="H61" t="s">
        <v>7727</v>
      </c>
      <c r="I61" t="s">
        <v>5637</v>
      </c>
      <c r="J61">
        <f>VLOOKUP(I61&amp;"-"&amp;F61,DistrictEquipmentTypes.csv!J:K,2,FALSE)</f>
        <v>200001</v>
      </c>
      <c r="K61" t="str">
        <f>"rg:{'id': '"&amp;J61&amp;"'}"</f>
        <v>rg:{'id': '200001'}</v>
      </c>
      <c r="L61">
        <f>IF(C61=C60,L60+1,1)</f>
        <v>7</v>
      </c>
      <c r="M61" t="str">
        <f>VLOOKUP(C61,Owners.csv!C:K,9,FALSE)&amp;TEXT(Equipment.csv!L61,"0000")</f>
        <v>DESM0007</v>
      </c>
      <c r="N61" t="s">
        <v>5401</v>
      </c>
      <c r="O61" t="s">
        <v>6769</v>
      </c>
      <c r="P61">
        <v>2016</v>
      </c>
      <c r="Q61">
        <v>111</v>
      </c>
      <c r="R61" t="s">
        <v>6663</v>
      </c>
      <c r="S61" s="1">
        <v>38671</v>
      </c>
      <c r="T61" s="1">
        <v>38701</v>
      </c>
      <c r="U61" t="str">
        <f ca="1">IF(RANDBETWEEN(1,10)&gt;1,"rg:False","rg:True")</f>
        <v>rg:False</v>
      </c>
      <c r="V61" t="str">
        <f ca="1">IF(U61="rg:True","This equipment should be archived","rg:None")</f>
        <v>rg:None</v>
      </c>
      <c r="W61" t="s">
        <v>7168</v>
      </c>
      <c r="X61" t="s">
        <v>76</v>
      </c>
      <c r="Y61" t="s">
        <v>76</v>
      </c>
      <c r="Z61" t="s">
        <v>76</v>
      </c>
      <c r="AA61" t="s">
        <v>7515</v>
      </c>
      <c r="AB61" t="s">
        <v>7349</v>
      </c>
      <c r="AC61">
        <v>0</v>
      </c>
      <c r="AD61" t="str">
        <f ca="1">IF(RANDBETWEEN(1,20)&gt;1,"rg:False","rg:True")</f>
        <v>rg:False</v>
      </c>
      <c r="AE61" t="str">
        <f ca="1">IF(AD61="rg:True","Seniority overridden to test things","rg:None")</f>
        <v>rg:None</v>
      </c>
      <c r="AF61" s="1">
        <v>42481</v>
      </c>
      <c r="AG61" s="4">
        <f ca="1">IF(I61="Dump Truck",60,30)*AH61+(AVERAGE(AI61:AK61))</f>
        <v>390.83333333333331</v>
      </c>
      <c r="AH61" s="4">
        <f>YEARFRAC(DATE("2016","4","1"),T61)</f>
        <v>10.294444444444444</v>
      </c>
      <c r="AI61">
        <f ca="1">IF(AH61&lt;1,0,RANDBETWEEN(0,200))</f>
        <v>43</v>
      </c>
      <c r="AJ61">
        <f ca="1">IF(AH61&lt;2,0,RANDBETWEEN(0,200))</f>
        <v>13</v>
      </c>
      <c r="AK61">
        <f ca="1">IF(AH61&lt;3,0,RANDBETWEEN(0,200))</f>
        <v>190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>IF(ISNUMBER(B61),B61+1,200000)</f>
        <v>200060</v>
      </c>
      <c r="C62">
        <v>200021</v>
      </c>
      <c r="D62" t="str">
        <f>"rg:{'id': '"&amp;C62&amp;"'}"</f>
        <v>rg:{'id': '200021'}</v>
      </c>
      <c r="E62">
        <f>VLOOKUP(C62,Owners.csv!C:J,6,FALSE)</f>
        <v>200001</v>
      </c>
      <c r="F62" t="str">
        <f>VLOOKUP(VLOOKUP(E62,LocalAreas.csv!I:K,3,FALSE),ServiceAreas.csv!F:J,5,FALSE)</f>
        <v>200009</v>
      </c>
      <c r="G62" t="str">
        <f>"rg:{'id': '"&amp;E62&amp;"'}"</f>
        <v>rg:{'id': '200001'}</v>
      </c>
      <c r="H62" t="s">
        <v>7736</v>
      </c>
      <c r="I62" t="s">
        <v>5536</v>
      </c>
      <c r="J62">
        <f>VLOOKUP(I62&amp;"-"&amp;F62,DistrictEquipmentTypes.csv!J:K,2,FALSE)</f>
        <v>200000</v>
      </c>
      <c r="K62" t="str">
        <f>"rg:{'id': '"&amp;J62&amp;"'}"</f>
        <v>rg:{'id': '200000'}</v>
      </c>
      <c r="L62">
        <f>IF(C62=C61,L61+1,1)</f>
        <v>8</v>
      </c>
      <c r="M62" t="str">
        <f>VLOOKUP(C62,Owners.csv!C:K,9,FALSE)&amp;TEXT(Equipment.csv!L62,"0000")</f>
        <v>DESM0008</v>
      </c>
      <c r="N62" t="s">
        <v>5401</v>
      </c>
      <c r="O62" t="s">
        <v>6784</v>
      </c>
      <c r="P62">
        <v>1977</v>
      </c>
      <c r="Q62">
        <v>126</v>
      </c>
      <c r="R62" t="s">
        <v>6663</v>
      </c>
      <c r="S62" s="1">
        <v>39386</v>
      </c>
      <c r="T62" s="1">
        <v>39402</v>
      </c>
      <c r="U62" t="str">
        <f ca="1">IF(RANDBETWEEN(1,10)&gt;1,"rg:False","rg:True")</f>
        <v>rg:False</v>
      </c>
      <c r="V62" t="str">
        <f ca="1">IF(U62="rg:True","This equipment should be archived","rg:None")</f>
        <v>rg:None</v>
      </c>
      <c r="W62" t="s">
        <v>7183</v>
      </c>
      <c r="X62" t="s">
        <v>76</v>
      </c>
      <c r="Y62" t="s">
        <v>76</v>
      </c>
      <c r="Z62" t="s">
        <v>76</v>
      </c>
      <c r="AA62" t="s">
        <v>7530</v>
      </c>
      <c r="AB62" t="s">
        <v>7276</v>
      </c>
      <c r="AC62">
        <v>0</v>
      </c>
      <c r="AD62" t="str">
        <f ca="1">IF(RANDBETWEEN(1,20)&gt;1,"rg:False","rg:True")</f>
        <v>rg:False</v>
      </c>
      <c r="AE62" t="str">
        <f ca="1">IF(AD62="rg:True","Seniority overridden to test things","rg:None")</f>
        <v>rg:None</v>
      </c>
      <c r="AF62" s="1">
        <v>42481</v>
      </c>
      <c r="AG62" s="4">
        <f ca="1">IF(I62="Dump Truck",60,30)*AH62+(AVERAGE(AI62:AK62))</f>
        <v>330.58333333333331</v>
      </c>
      <c r="AH62" s="4">
        <f>YEARFRAC(DATE("2016","4","1"),T62)</f>
        <v>8.375</v>
      </c>
      <c r="AI62">
        <f ca="1">IF(AH62&lt;1,0,RANDBETWEEN(0,200))</f>
        <v>64</v>
      </c>
      <c r="AJ62">
        <f ca="1">IF(AH62&lt;2,0,RANDBETWEEN(0,200))</f>
        <v>46</v>
      </c>
      <c r="AK62">
        <f ca="1">IF(AH62&lt;3,0,RANDBETWEEN(0,200))</f>
        <v>128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>IF(ISNUMBER(B62),B62+1,200000)</f>
        <v>200061</v>
      </c>
      <c r="C63">
        <v>200022</v>
      </c>
      <c r="D63" t="str">
        <f>"rg:{'id': '"&amp;C63&amp;"'}"</f>
        <v>rg:{'id': '200022'}</v>
      </c>
      <c r="E63">
        <f>VLOOKUP(C63,Owners.csv!C:J,6,FALSE)</f>
        <v>200001</v>
      </c>
      <c r="F63" t="str">
        <f>VLOOKUP(VLOOKUP(E63,LocalAreas.csv!I:K,3,FALSE),ServiceAreas.csv!F:J,5,FALSE)</f>
        <v>200009</v>
      </c>
      <c r="G63" t="str">
        <f>"rg:{'id': '"&amp;E63&amp;"'}"</f>
        <v>rg:{'id': '200001'}</v>
      </c>
      <c r="H63" t="s">
        <v>7653</v>
      </c>
      <c r="I63" t="s">
        <v>5642</v>
      </c>
      <c r="J63">
        <f>VLOOKUP(I63&amp;"-"&amp;F63,DistrictEquipmentTypes.csv!J:K,2,FALSE)</f>
        <v>200004</v>
      </c>
      <c r="K63" t="str">
        <f>"rg:{'id': '"&amp;J63&amp;"'}"</f>
        <v>rg:{'id': '200004'}</v>
      </c>
      <c r="L63">
        <f>IF(C63=C62,L62+1,1)</f>
        <v>1</v>
      </c>
      <c r="M63" t="str">
        <f>VLOOKUP(C63,Owners.csv!C:K,9,FALSE)&amp;TEXT(Equipment.csv!L63,"0000")</f>
        <v>DEST0001</v>
      </c>
      <c r="N63" t="s">
        <v>5401</v>
      </c>
      <c r="O63" t="s">
        <v>6692</v>
      </c>
      <c r="P63">
        <v>1985</v>
      </c>
      <c r="Q63">
        <v>34</v>
      </c>
      <c r="R63" t="s">
        <v>6663</v>
      </c>
      <c r="S63" s="1">
        <v>40025</v>
      </c>
      <c r="T63" s="1">
        <v>40036</v>
      </c>
      <c r="U63" t="str">
        <f ca="1">IF(RANDBETWEEN(1,10)&gt;1,"rg:False","rg:True")</f>
        <v>rg:False</v>
      </c>
      <c r="V63" t="str">
        <f ca="1">IF(U63="rg:True","This equipment should be archived","rg:None")</f>
        <v>rg:None</v>
      </c>
      <c r="W63" t="s">
        <v>7091</v>
      </c>
      <c r="X63" t="s">
        <v>76</v>
      </c>
      <c r="Y63" t="s">
        <v>76</v>
      </c>
      <c r="Z63" t="s">
        <v>76</v>
      </c>
      <c r="AA63" t="s">
        <v>7438</v>
      </c>
      <c r="AB63" t="s">
        <v>7288</v>
      </c>
      <c r="AC63">
        <v>0</v>
      </c>
      <c r="AD63" t="str">
        <f ca="1">IF(RANDBETWEEN(1,20)&gt;1,"rg:False","rg:True")</f>
        <v>rg:False</v>
      </c>
      <c r="AE63" t="str">
        <f ca="1">IF(AD63="rg:True","Seniority overridden to test things","rg:None")</f>
        <v>rg:None</v>
      </c>
      <c r="AF63" s="1">
        <v>42461</v>
      </c>
      <c r="AG63" s="4">
        <f ca="1">IF(I63="Dump Truck",60,30)*AH63+(AVERAGE(AI63:AK63))</f>
        <v>331.16666666666669</v>
      </c>
      <c r="AH63" s="4">
        <f>YEARFRAC(DATE("2016","4","1"),T63)</f>
        <v>6.6388888888888893</v>
      </c>
      <c r="AI63">
        <f ca="1">IF(AH63&lt;1,0,RANDBETWEEN(0,200))</f>
        <v>164</v>
      </c>
      <c r="AJ63">
        <f ca="1">IF(AH63&lt;2,0,RANDBETWEEN(0,200))</f>
        <v>100</v>
      </c>
      <c r="AK63">
        <f ca="1">IF(AH63&lt;3,0,RANDBETWEEN(0,200))</f>
        <v>132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>IF(ISNUMBER(B63),B63+1,200000)</f>
        <v>200062</v>
      </c>
      <c r="C64">
        <v>200022</v>
      </c>
      <c r="D64" t="str">
        <f>"rg:{'id': '"&amp;C64&amp;"'}"</f>
        <v>rg:{'id': '200022'}</v>
      </c>
      <c r="E64">
        <f>VLOOKUP(C64,Owners.csv!C:J,6,FALSE)</f>
        <v>200001</v>
      </c>
      <c r="F64" t="str">
        <f>VLOOKUP(VLOOKUP(E64,LocalAreas.csv!I:K,3,FALSE),ServiceAreas.csv!F:J,5,FALSE)</f>
        <v>200009</v>
      </c>
      <c r="G64" t="str">
        <f>"rg:{'id': '"&amp;E64&amp;"'}"</f>
        <v>rg:{'id': '200001'}</v>
      </c>
      <c r="H64" t="s">
        <v>7660</v>
      </c>
      <c r="I64" t="s">
        <v>5642</v>
      </c>
      <c r="J64">
        <f>VLOOKUP(I64&amp;"-"&amp;F64,DistrictEquipmentTypes.csv!J:K,2,FALSE)</f>
        <v>200004</v>
      </c>
      <c r="K64" t="str">
        <f>"rg:{'id': '"&amp;J64&amp;"'}"</f>
        <v>rg:{'id': '200004'}</v>
      </c>
      <c r="L64">
        <f>IF(C64=C63,L63+1,1)</f>
        <v>2</v>
      </c>
      <c r="M64" t="str">
        <f>VLOOKUP(C64,Owners.csv!C:K,9,FALSE)&amp;TEXT(Equipment.csv!L64,"0000")</f>
        <v>DEST0002</v>
      </c>
      <c r="N64" t="s">
        <v>5401</v>
      </c>
      <c r="O64" t="s">
        <v>6702</v>
      </c>
      <c r="P64">
        <v>1977</v>
      </c>
      <c r="Q64">
        <v>44</v>
      </c>
      <c r="R64" t="s">
        <v>6664</v>
      </c>
      <c r="S64" s="1">
        <v>39968</v>
      </c>
      <c r="T64" s="1">
        <v>39974</v>
      </c>
      <c r="U64" t="str">
        <f ca="1">IF(RANDBETWEEN(1,10)&gt;1,"rg:False","rg:True")</f>
        <v>rg:False</v>
      </c>
      <c r="V64" t="str">
        <f ca="1">IF(U64="rg:True","This equipment should be archived","rg:None")</f>
        <v>rg:None</v>
      </c>
      <c r="W64" t="s">
        <v>7101</v>
      </c>
      <c r="X64" t="s">
        <v>76</v>
      </c>
      <c r="Y64" t="s">
        <v>76</v>
      </c>
      <c r="Z64" t="s">
        <v>76</v>
      </c>
      <c r="AA64" t="s">
        <v>7448</v>
      </c>
      <c r="AB64" t="s">
        <v>7298</v>
      </c>
      <c r="AC64">
        <v>0</v>
      </c>
      <c r="AD64" t="str">
        <f ca="1">IF(RANDBETWEEN(1,20)&gt;1,"rg:False","rg:True")</f>
        <v>rg:False</v>
      </c>
      <c r="AE64" t="str">
        <f ca="1">IF(AD64="rg:True","Seniority overridden to test things","rg:None")</f>
        <v>rg:None</v>
      </c>
      <c r="AF64" s="1">
        <v>42481</v>
      </c>
      <c r="AG64" s="4">
        <f ca="1">IF(I64="Dump Truck",60,30)*AH64+(AVERAGE(AI64:AK64))</f>
        <v>285.58333333333331</v>
      </c>
      <c r="AH64" s="4">
        <f>YEARFRAC(DATE("2016","4","1"),T64)</f>
        <v>6.8083333333333336</v>
      </c>
      <c r="AI64">
        <f ca="1">IF(AH64&lt;1,0,RANDBETWEEN(0,200))</f>
        <v>86</v>
      </c>
      <c r="AJ64">
        <f ca="1">IF(AH64&lt;2,0,RANDBETWEEN(0,200))</f>
        <v>106</v>
      </c>
      <c r="AK64">
        <f ca="1">IF(AH64&lt;3,0,RANDBETWEEN(0,200))</f>
        <v>52</v>
      </c>
      <c r="AL64" t="s">
        <v>5689</v>
      </c>
      <c r="AM64" t="s">
        <v>6884</v>
      </c>
      <c r="AN64" s="1">
        <v>42392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>IF(ISNUMBER(B64),B64+1,200000)</f>
        <v>200063</v>
      </c>
      <c r="C65">
        <v>200022</v>
      </c>
      <c r="D65" t="str">
        <f>"rg:{'id': '"&amp;C65&amp;"'}"</f>
        <v>rg:{'id': '200022'}</v>
      </c>
      <c r="E65">
        <f>VLOOKUP(C65,Owners.csv!C:J,6,FALSE)</f>
        <v>200001</v>
      </c>
      <c r="F65" t="str">
        <f>VLOOKUP(VLOOKUP(E65,LocalAreas.csv!I:K,3,FALSE),ServiceAreas.csv!F:J,5,FALSE)</f>
        <v>200009</v>
      </c>
      <c r="G65" t="str">
        <f>"rg:{'id': '"&amp;E65&amp;"'}"</f>
        <v>rg:{'id': '200001'}</v>
      </c>
      <c r="H65" t="s">
        <v>7655</v>
      </c>
      <c r="I65" t="s">
        <v>5640</v>
      </c>
      <c r="J65">
        <f>VLOOKUP(I65&amp;"-"&amp;F65,DistrictEquipmentTypes.csv!J:K,2,FALSE)</f>
        <v>200002</v>
      </c>
      <c r="K65" t="str">
        <f>"rg:{'id': '"&amp;J65&amp;"'}"</f>
        <v>rg:{'id': '200002'}</v>
      </c>
      <c r="L65">
        <f>IF(C65=C64,L64+1,1)</f>
        <v>3</v>
      </c>
      <c r="M65" t="str">
        <f>VLOOKUP(C65,Owners.csv!C:K,9,FALSE)&amp;TEXT(Equipment.csv!L65,"0000")</f>
        <v>DEST0003</v>
      </c>
      <c r="N65" t="s">
        <v>5401</v>
      </c>
      <c r="O65" t="s">
        <v>6712</v>
      </c>
      <c r="P65">
        <v>1993</v>
      </c>
      <c r="Q65">
        <v>54</v>
      </c>
      <c r="R65" t="s">
        <v>6663</v>
      </c>
      <c r="S65" s="1">
        <v>39429</v>
      </c>
      <c r="T65" s="1">
        <v>39442</v>
      </c>
      <c r="U65" t="str">
        <f ca="1">IF(RANDBETWEEN(1,10)&gt;1,"rg:False","rg:True")</f>
        <v>rg:False</v>
      </c>
      <c r="V65" t="str">
        <f ca="1">IF(U65="rg:True","This equipment should be archived","rg:None")</f>
        <v>rg:None</v>
      </c>
      <c r="W65" t="s">
        <v>7111</v>
      </c>
      <c r="X65" t="s">
        <v>76</v>
      </c>
      <c r="Y65" t="s">
        <v>76</v>
      </c>
      <c r="Z65" t="s">
        <v>76</v>
      </c>
      <c r="AA65" t="s">
        <v>7458</v>
      </c>
      <c r="AB65" t="s">
        <v>7306</v>
      </c>
      <c r="AC65">
        <v>0</v>
      </c>
      <c r="AD65" t="str">
        <f ca="1">IF(RANDBETWEEN(1,20)&gt;1,"rg:False","rg:True")</f>
        <v>rg:False</v>
      </c>
      <c r="AE65" t="str">
        <f ca="1">IF(AD65="rg:True","Seniority overridden to test things","rg:None")</f>
        <v>rg:None</v>
      </c>
      <c r="AF65" s="1">
        <v>42481</v>
      </c>
      <c r="AG65" s="4">
        <f ca="1">IF(I65="Dump Truck",60,30)*AH65+(AVERAGE(AI65:AK65))</f>
        <v>349.25</v>
      </c>
      <c r="AH65" s="4">
        <f>YEARFRAC(DATE("2016","4","1"),T65)</f>
        <v>8.2638888888888893</v>
      </c>
      <c r="AI65">
        <f ca="1">IF(AH65&lt;1,0,RANDBETWEEN(0,200))</f>
        <v>93</v>
      </c>
      <c r="AJ65">
        <f ca="1">IF(AH65&lt;2,0,RANDBETWEEN(0,200))</f>
        <v>189</v>
      </c>
      <c r="AK65">
        <f ca="1">IF(AH65&lt;3,0,RANDBETWEEN(0,200))</f>
        <v>22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>IF(ISNUMBER(B65),B65+1,200000)</f>
        <v>200064</v>
      </c>
      <c r="C66">
        <v>200022</v>
      </c>
      <c r="D66" t="str">
        <f>"rg:{'id': '"&amp;C66&amp;"'}"</f>
        <v>rg:{'id': '200022'}</v>
      </c>
      <c r="E66">
        <f>VLOOKUP(C66,Owners.csv!C:J,6,FALSE)</f>
        <v>200001</v>
      </c>
      <c r="F66" t="str">
        <f>VLOOKUP(VLOOKUP(E66,LocalAreas.csv!I:K,3,FALSE),ServiceAreas.csv!F:J,5,FALSE)</f>
        <v>200009</v>
      </c>
      <c r="G66" t="str">
        <f>"rg:{'id': '"&amp;E66&amp;"'}"</f>
        <v>rg:{'id': '200001'}</v>
      </c>
      <c r="H66" t="s">
        <v>7695</v>
      </c>
      <c r="I66" t="s">
        <v>5640</v>
      </c>
      <c r="J66">
        <f>VLOOKUP(I66&amp;"-"&amp;F66,DistrictEquipmentTypes.csv!J:K,2,FALSE)</f>
        <v>200002</v>
      </c>
      <c r="K66" t="str">
        <f>"rg:{'id': '"&amp;J66&amp;"'}"</f>
        <v>rg:{'id': '200002'}</v>
      </c>
      <c r="L66">
        <f>IF(C66=C65,L65+1,1)</f>
        <v>4</v>
      </c>
      <c r="M66" t="str">
        <f>VLOOKUP(C66,Owners.csv!C:K,9,FALSE)&amp;TEXT(Equipment.csv!L66,"0000")</f>
        <v>DEST0004</v>
      </c>
      <c r="N66" t="s">
        <v>5401</v>
      </c>
      <c r="O66" t="s">
        <v>6722</v>
      </c>
      <c r="P66">
        <v>2003</v>
      </c>
      <c r="Q66">
        <v>64</v>
      </c>
      <c r="R66" t="s">
        <v>6663</v>
      </c>
      <c r="S66" s="1">
        <v>42569</v>
      </c>
      <c r="T66" s="1">
        <v>42593</v>
      </c>
      <c r="U66" t="str">
        <f ca="1">IF(RANDBETWEEN(1,10)&gt;1,"rg:False","rg:True")</f>
        <v>rg:False</v>
      </c>
      <c r="V66" t="str">
        <f ca="1">IF(U66="rg:True","This equipment should be archived","rg:None")</f>
        <v>rg:None</v>
      </c>
      <c r="W66" t="s">
        <v>7121</v>
      </c>
      <c r="X66" t="s">
        <v>76</v>
      </c>
      <c r="Y66" t="s">
        <v>76</v>
      </c>
      <c r="Z66" t="s">
        <v>76</v>
      </c>
      <c r="AA66" t="s">
        <v>7468</v>
      </c>
      <c r="AB66" t="s">
        <v>7307</v>
      </c>
      <c r="AC66">
        <v>0</v>
      </c>
      <c r="AD66" t="str">
        <f ca="1">IF(RANDBETWEEN(1,20)&gt;1,"rg:False","rg:True")</f>
        <v>rg:False</v>
      </c>
      <c r="AE66" t="str">
        <f ca="1">IF(AD66="rg:True","Seniority overridden to test things","rg:None")</f>
        <v>rg:None</v>
      </c>
      <c r="AF66" s="1">
        <v>42481</v>
      </c>
      <c r="AG66" s="4">
        <f ca="1">IF(I66="Dump Truck",60,30)*AH66+(AVERAGE(AI66:AK66))</f>
        <v>10.833333333333334</v>
      </c>
      <c r="AH66" s="4">
        <f>YEARFRAC(DATE("2016","4","1"),T66)</f>
        <v>0.3611111111111111</v>
      </c>
      <c r="AI66">
        <f ca="1">IF(AH66&lt;1,0,RANDBETWEEN(0,200))</f>
        <v>0</v>
      </c>
      <c r="AJ66">
        <f ca="1">IF(AH66&lt;2,0,RANDBETWEEN(0,200))</f>
        <v>0</v>
      </c>
      <c r="AK66">
        <f ca="1">IF(AH66&lt;3,0,RANDBETWEEN(0,200))</f>
        <v>0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>IF(ISNUMBER(B66),B66+1,200000)</f>
        <v>200065</v>
      </c>
      <c r="C67">
        <v>200022</v>
      </c>
      <c r="D67" t="str">
        <f>"rg:{'id': '"&amp;C67&amp;"'}"</f>
        <v>rg:{'id': '200022'}</v>
      </c>
      <c r="E67">
        <f>VLOOKUP(C67,Owners.csv!C:J,6,FALSE)</f>
        <v>200001</v>
      </c>
      <c r="F67" t="str">
        <f>VLOOKUP(VLOOKUP(E67,LocalAreas.csv!I:K,3,FALSE),ServiceAreas.csv!F:J,5,FALSE)</f>
        <v>200009</v>
      </c>
      <c r="G67" t="str">
        <f>"rg:{'id': '"&amp;E67&amp;"'}"</f>
        <v>rg:{'id': '200001'}</v>
      </c>
      <c r="H67" t="s">
        <v>7703</v>
      </c>
      <c r="I67" t="s">
        <v>5651</v>
      </c>
      <c r="J67">
        <f>VLOOKUP(I67&amp;"-"&amp;F67,DistrictEquipmentTypes.csv!J:K,2,FALSE)</f>
        <v>200006</v>
      </c>
      <c r="K67" t="str">
        <f>"rg:{'id': '"&amp;J67&amp;"'}"</f>
        <v>rg:{'id': '200006'}</v>
      </c>
      <c r="L67">
        <f>IF(C67=C66,L66+1,1)</f>
        <v>5</v>
      </c>
      <c r="M67" t="str">
        <f>VLOOKUP(C67,Owners.csv!C:K,9,FALSE)&amp;TEXT(Equipment.csv!L67,"0000")</f>
        <v>DEST0005</v>
      </c>
      <c r="N67" t="s">
        <v>5401</v>
      </c>
      <c r="O67" t="s">
        <v>6730</v>
      </c>
      <c r="P67">
        <v>1991</v>
      </c>
      <c r="Q67">
        <v>72</v>
      </c>
      <c r="R67" t="s">
        <v>6663</v>
      </c>
      <c r="S67" s="1">
        <v>41327</v>
      </c>
      <c r="T67" s="1">
        <v>41338</v>
      </c>
      <c r="U67" t="str">
        <f ca="1">IF(RANDBETWEEN(1,10)&gt;1,"rg:False","rg:True")</f>
        <v>rg:False</v>
      </c>
      <c r="V67" t="str">
        <f ca="1">IF(U67="rg:True","This equipment should be archived","rg:None")</f>
        <v>rg:None</v>
      </c>
      <c r="W67" t="s">
        <v>7129</v>
      </c>
      <c r="X67" t="s">
        <v>76</v>
      </c>
      <c r="Y67" t="s">
        <v>76</v>
      </c>
      <c r="Z67" t="s">
        <v>76</v>
      </c>
      <c r="AA67" t="s">
        <v>7476</v>
      </c>
      <c r="AB67" t="s">
        <v>7319</v>
      </c>
      <c r="AC67">
        <v>0</v>
      </c>
      <c r="AD67" t="str">
        <f ca="1">IF(RANDBETWEEN(1,20)&gt;1,"rg:False","rg:True")</f>
        <v>rg:False</v>
      </c>
      <c r="AE67" t="str">
        <f ca="1">IF(AD67="rg:True","Seniority overridden to test things","rg:None")</f>
        <v>rg:None</v>
      </c>
      <c r="AF67" s="1">
        <v>42481</v>
      </c>
      <c r="AG67" s="4">
        <f ca="1">IF(I67="Dump Truck",60,30)*AH67+(AVERAGE(AI67:AK67))</f>
        <v>263.33333333333337</v>
      </c>
      <c r="AH67" s="4">
        <f>YEARFRAC(DATE("2016","4","1"),T67)</f>
        <v>3.0722222222222224</v>
      </c>
      <c r="AI67">
        <f ca="1">IF(AH67&lt;1,0,RANDBETWEEN(0,200))</f>
        <v>103</v>
      </c>
      <c r="AJ67">
        <f ca="1">IF(AH67&lt;2,0,RANDBETWEEN(0,200))</f>
        <v>0</v>
      </c>
      <c r="AK67">
        <f ca="1">IF(AH67&lt;3,0,RANDBETWEEN(0,200))</f>
        <v>134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>IF(ISNUMBER(B67),B67+1,200000)</f>
        <v>200066</v>
      </c>
      <c r="C68">
        <v>200022</v>
      </c>
      <c r="D68" t="str">
        <f>"rg:{'id': '"&amp;C68&amp;"'}"</f>
        <v>rg:{'id': '200022'}</v>
      </c>
      <c r="E68">
        <f>VLOOKUP(C68,Owners.csv!C:J,6,FALSE)</f>
        <v>200001</v>
      </c>
      <c r="F68" t="str">
        <f>VLOOKUP(VLOOKUP(E68,LocalAreas.csv!I:K,3,FALSE),ServiceAreas.csv!F:J,5,FALSE)</f>
        <v>200009</v>
      </c>
      <c r="G68" t="str">
        <f>"rg:{'id': '"&amp;E68&amp;"'}"</f>
        <v>rg:{'id': '200001'}</v>
      </c>
      <c r="H68" t="s">
        <v>7649</v>
      </c>
      <c r="I68" t="s">
        <v>5651</v>
      </c>
      <c r="J68">
        <f>VLOOKUP(I68&amp;"-"&amp;F68,DistrictEquipmentTypes.csv!J:K,2,FALSE)</f>
        <v>200006</v>
      </c>
      <c r="K68" t="str">
        <f>"rg:{'id': '"&amp;J68&amp;"'}"</f>
        <v>rg:{'id': '200006'}</v>
      </c>
      <c r="L68">
        <f>IF(C68=C67,L67+1,1)</f>
        <v>6</v>
      </c>
      <c r="M68" t="str">
        <f>VLOOKUP(C68,Owners.csv!C:K,9,FALSE)&amp;TEXT(Equipment.csv!L68,"0000")</f>
        <v>DEST0006</v>
      </c>
      <c r="N68" t="s">
        <v>5401</v>
      </c>
      <c r="O68" t="s">
        <v>6750</v>
      </c>
      <c r="P68">
        <v>2014</v>
      </c>
      <c r="Q68">
        <v>92</v>
      </c>
      <c r="R68" t="s">
        <v>6663</v>
      </c>
      <c r="S68" s="1">
        <v>42374</v>
      </c>
      <c r="T68" s="1">
        <v>42388</v>
      </c>
      <c r="U68" t="str">
        <f ca="1">IF(RANDBETWEEN(1,10)&gt;1,"rg:False","rg:True")</f>
        <v>rg:False</v>
      </c>
      <c r="V68" t="str">
        <f ca="1">IF(U68="rg:True","This equipment should be archived","rg:None")</f>
        <v>rg:None</v>
      </c>
      <c r="W68" t="s">
        <v>7149</v>
      </c>
      <c r="X68" t="s">
        <v>76</v>
      </c>
      <c r="Y68" t="s">
        <v>76</v>
      </c>
      <c r="Z68" t="s">
        <v>76</v>
      </c>
      <c r="AA68" t="s">
        <v>7496</v>
      </c>
      <c r="AB68" t="s">
        <v>7259</v>
      </c>
      <c r="AC68">
        <v>0</v>
      </c>
      <c r="AD68" t="str">
        <f ca="1">IF(RANDBETWEEN(1,20)&gt;1,"rg:False","rg:True")</f>
        <v>rg:False</v>
      </c>
      <c r="AE68" t="str">
        <f ca="1">IF(AD68="rg:True","Seniority overridden to test things","rg:None")</f>
        <v>rg:None</v>
      </c>
      <c r="AF68" s="1">
        <v>42481</v>
      </c>
      <c r="AG68" s="4">
        <f ca="1">IF(I68="Dump Truck",60,30)*AH68+(AVERAGE(AI68:AK68))</f>
        <v>12</v>
      </c>
      <c r="AH68" s="4">
        <f>YEARFRAC(DATE("2016","4","1"),T68)</f>
        <v>0.2</v>
      </c>
      <c r="AI68">
        <f ca="1">IF(AH68&lt;1,0,RANDBETWEEN(0,200))</f>
        <v>0</v>
      </c>
      <c r="AJ68">
        <f ca="1">IF(AH68&lt;2,0,RANDBETWEEN(0,200))</f>
        <v>0</v>
      </c>
      <c r="AK68">
        <f ca="1">IF(AH68&lt;3,0,RANDBETWEEN(0,200))</f>
        <v>0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>IF(ISNUMBER(B68),B68+1,200000)</f>
        <v>200067</v>
      </c>
      <c r="C69">
        <v>200022</v>
      </c>
      <c r="D69" t="str">
        <f>"rg:{'id': '"&amp;C69&amp;"'}"</f>
        <v>rg:{'id': '200022'}</v>
      </c>
      <c r="E69">
        <f>VLOOKUP(C69,Owners.csv!C:J,6,FALSE)</f>
        <v>200001</v>
      </c>
      <c r="F69" t="str">
        <f>VLOOKUP(VLOOKUP(E69,LocalAreas.csv!I:K,3,FALSE),ServiceAreas.csv!F:J,5,FALSE)</f>
        <v>200009</v>
      </c>
      <c r="G69" t="str">
        <f>"rg:{'id': '"&amp;E69&amp;"'}"</f>
        <v>rg:{'id': '200001'}</v>
      </c>
      <c r="H69" t="s">
        <v>7728</v>
      </c>
      <c r="I69" t="s">
        <v>5637</v>
      </c>
      <c r="J69">
        <f>VLOOKUP(I69&amp;"-"&amp;F69,DistrictEquipmentTypes.csv!J:K,2,FALSE)</f>
        <v>200001</v>
      </c>
      <c r="K69" t="str">
        <f>"rg:{'id': '"&amp;J69&amp;"'}"</f>
        <v>rg:{'id': '200001'}</v>
      </c>
      <c r="L69">
        <f>IF(C69=C68,L68+1,1)</f>
        <v>7</v>
      </c>
      <c r="M69" t="str">
        <f>VLOOKUP(C69,Owners.csv!C:K,9,FALSE)&amp;TEXT(Equipment.csv!L69,"0000")</f>
        <v>DEST0007</v>
      </c>
      <c r="N69" t="s">
        <v>5401</v>
      </c>
      <c r="O69" t="s">
        <v>6770</v>
      </c>
      <c r="P69">
        <v>1999</v>
      </c>
      <c r="Q69">
        <v>112</v>
      </c>
      <c r="R69" t="s">
        <v>6663</v>
      </c>
      <c r="S69" s="1">
        <v>40157</v>
      </c>
      <c r="T69" s="1">
        <v>40160</v>
      </c>
      <c r="U69" t="str">
        <f ca="1">IF(RANDBETWEEN(1,10)&gt;1,"rg:False","rg:True")</f>
        <v>rg:False</v>
      </c>
      <c r="V69" t="str">
        <f ca="1">IF(U69="rg:True","This equipment should be archived","rg:None")</f>
        <v>rg:None</v>
      </c>
      <c r="W69" t="s">
        <v>7169</v>
      </c>
      <c r="X69" t="s">
        <v>76</v>
      </c>
      <c r="Y69" t="s">
        <v>76</v>
      </c>
      <c r="Z69" t="s">
        <v>76</v>
      </c>
      <c r="AA69" t="s">
        <v>7516</v>
      </c>
      <c r="AB69" t="s">
        <v>7350</v>
      </c>
      <c r="AC69">
        <v>0</v>
      </c>
      <c r="AD69" t="str">
        <f ca="1">IF(RANDBETWEEN(1,20)&gt;1,"rg:False","rg:True")</f>
        <v>rg:False</v>
      </c>
      <c r="AE69" t="str">
        <f ca="1">IF(AD69="rg:True","Seniority overridden to test things","rg:None")</f>
        <v>rg:None</v>
      </c>
      <c r="AF69" s="1">
        <v>42481</v>
      </c>
      <c r="AG69" s="4">
        <f ca="1">IF(I69="Dump Truck",60,30)*AH69+(AVERAGE(AI69:AK69))</f>
        <v>259.33333333333331</v>
      </c>
      <c r="AH69" s="4">
        <f>YEARFRAC(DATE("2016","4","1"),T69)</f>
        <v>6.3</v>
      </c>
      <c r="AI69">
        <f ca="1">IF(AH69&lt;1,0,RANDBETWEEN(0,200))</f>
        <v>44</v>
      </c>
      <c r="AJ69">
        <f ca="1">IF(AH69&lt;2,0,RANDBETWEEN(0,200))</f>
        <v>141</v>
      </c>
      <c r="AK69">
        <f ca="1">IF(AH69&lt;3,0,RANDBETWEEN(0,200))</f>
        <v>26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>IF(ISNUMBER(B69),B69+1,200000)</f>
        <v>200068</v>
      </c>
      <c r="C70">
        <v>200022</v>
      </c>
      <c r="D70" t="str">
        <f>"rg:{'id': '"&amp;C70&amp;"'}"</f>
        <v>rg:{'id': '200022'}</v>
      </c>
      <c r="E70">
        <f>VLOOKUP(C70,Owners.csv!C:J,6,FALSE)</f>
        <v>200001</v>
      </c>
      <c r="F70" t="str">
        <f>VLOOKUP(VLOOKUP(E70,LocalAreas.csv!I:K,3,FALSE),ServiceAreas.csv!F:J,5,FALSE)</f>
        <v>200009</v>
      </c>
      <c r="G70" t="str">
        <f>"rg:{'id': '"&amp;E70&amp;"'}"</f>
        <v>rg:{'id': '200001'}</v>
      </c>
      <c r="H70" t="s">
        <v>7653</v>
      </c>
      <c r="I70" t="s">
        <v>5536</v>
      </c>
      <c r="J70">
        <f>VLOOKUP(I70&amp;"-"&amp;F70,DistrictEquipmentTypes.csv!J:K,2,FALSE)</f>
        <v>200000</v>
      </c>
      <c r="K70" t="str">
        <f>"rg:{'id': '"&amp;J70&amp;"'}"</f>
        <v>rg:{'id': '200000'}</v>
      </c>
      <c r="L70">
        <f>IF(C70=C69,L69+1,1)</f>
        <v>8</v>
      </c>
      <c r="M70" t="str">
        <f>VLOOKUP(C70,Owners.csv!C:K,9,FALSE)&amp;TEXT(Equipment.csv!L70,"0000")</f>
        <v>DEST0008</v>
      </c>
      <c r="N70" t="s">
        <v>5401</v>
      </c>
      <c r="O70" t="s">
        <v>6785</v>
      </c>
      <c r="P70">
        <v>1995</v>
      </c>
      <c r="Q70">
        <v>127</v>
      </c>
      <c r="R70" t="s">
        <v>6663</v>
      </c>
      <c r="S70" s="1">
        <v>40951</v>
      </c>
      <c r="T70" s="1">
        <v>40962</v>
      </c>
      <c r="U70" t="str">
        <f ca="1">IF(RANDBETWEEN(1,10)&gt;1,"rg:False","rg:True")</f>
        <v>rg:True</v>
      </c>
      <c r="V70" t="str">
        <f ca="1">IF(U70="rg:True","This equipment should be archived","rg:None")</f>
        <v>This equipment should be archived</v>
      </c>
      <c r="W70" t="s">
        <v>7184</v>
      </c>
      <c r="X70" t="s">
        <v>76</v>
      </c>
      <c r="Y70" t="s">
        <v>76</v>
      </c>
      <c r="Z70" t="s">
        <v>76</v>
      </c>
      <c r="AA70" t="s">
        <v>7531</v>
      </c>
      <c r="AB70" t="s">
        <v>7361</v>
      </c>
      <c r="AC70">
        <v>0</v>
      </c>
      <c r="AD70" t="str">
        <f ca="1">IF(RANDBETWEEN(1,20)&gt;1,"rg:False","rg:True")</f>
        <v>rg:False</v>
      </c>
      <c r="AE70" t="str">
        <f ca="1">IF(AD70="rg:True","Seniority overridden to test things","rg:None")</f>
        <v>rg:None</v>
      </c>
      <c r="AF70" s="1">
        <v>42481</v>
      </c>
      <c r="AG70" s="4">
        <f ca="1">IF(I70="Dump Truck",60,30)*AH70+(AVERAGE(AI70:AK70))</f>
        <v>212.5</v>
      </c>
      <c r="AH70" s="4">
        <f>YEARFRAC(DATE("2016","4","1"),T70)</f>
        <v>4.1055555555555552</v>
      </c>
      <c r="AI70">
        <f ca="1">IF(AH70&lt;1,0,RANDBETWEEN(0,200))</f>
        <v>121</v>
      </c>
      <c r="AJ70">
        <f ca="1">IF(AH70&lt;2,0,RANDBETWEEN(0,200))</f>
        <v>47</v>
      </c>
      <c r="AK70">
        <f ca="1">IF(AH70&lt;3,0,RANDBETWEEN(0,200))</f>
        <v>100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>IF(ISNUMBER(B70),B70+1,200000)</f>
        <v>200069</v>
      </c>
      <c r="C71">
        <v>200023</v>
      </c>
      <c r="D71" t="str">
        <f>"rg:{'id': '"&amp;C71&amp;"'}"</f>
        <v>rg:{'id': '200023'}</v>
      </c>
      <c r="E71">
        <f>VLOOKUP(C71,Owners.csv!C:J,6,FALSE)</f>
        <v>200001</v>
      </c>
      <c r="F71" t="str">
        <f>VLOOKUP(VLOOKUP(E71,LocalAreas.csv!I:K,3,FALSE),ServiceAreas.csv!F:J,5,FALSE)</f>
        <v>200009</v>
      </c>
      <c r="G71" t="str">
        <f>"rg:{'id': '"&amp;E71&amp;"'}"</f>
        <v>rg:{'id': '200001'}</v>
      </c>
      <c r="H71" t="s">
        <v>7675</v>
      </c>
      <c r="I71" t="s">
        <v>5642</v>
      </c>
      <c r="J71">
        <f>VLOOKUP(I71&amp;"-"&amp;F71,DistrictEquipmentTypes.csv!J:K,2,FALSE)</f>
        <v>200004</v>
      </c>
      <c r="K71" t="str">
        <f>"rg:{'id': '"&amp;J71&amp;"'}"</f>
        <v>rg:{'id': '200004'}</v>
      </c>
      <c r="L71">
        <f>IF(C71=C70,L70+1,1)</f>
        <v>1</v>
      </c>
      <c r="M71" t="str">
        <f>VLOOKUP(C71,Owners.csv!C:K,9,FALSE)&amp;TEXT(Equipment.csv!L71,"0000")</f>
        <v>EART0001</v>
      </c>
      <c r="N71" t="s">
        <v>5401</v>
      </c>
      <c r="O71" t="s">
        <v>6693</v>
      </c>
      <c r="P71">
        <v>1983</v>
      </c>
      <c r="Q71">
        <v>35</v>
      </c>
      <c r="R71" t="s">
        <v>6663</v>
      </c>
      <c r="S71" s="1">
        <v>40222</v>
      </c>
      <c r="T71" s="1">
        <v>40251</v>
      </c>
      <c r="U71" t="str">
        <f ca="1">IF(RANDBETWEEN(1,10)&gt;1,"rg:False","rg:True")</f>
        <v>rg:False</v>
      </c>
      <c r="V71" t="str">
        <f ca="1">IF(U71="rg:True","This equipment should be archived","rg:None")</f>
        <v>rg:None</v>
      </c>
      <c r="W71" t="s">
        <v>7092</v>
      </c>
      <c r="X71" t="s">
        <v>76</v>
      </c>
      <c r="Y71" t="s">
        <v>76</v>
      </c>
      <c r="Z71" t="s">
        <v>76</v>
      </c>
      <c r="AA71" t="s">
        <v>7439</v>
      </c>
      <c r="AB71" t="s">
        <v>7289</v>
      </c>
      <c r="AC71">
        <v>0</v>
      </c>
      <c r="AD71" t="str">
        <f ca="1">IF(RANDBETWEEN(1,20)&gt;1,"rg:False","rg:True")</f>
        <v>rg:False</v>
      </c>
      <c r="AE71" t="str">
        <f ca="1">IF(AD71="rg:True","Seniority overridden to test things","rg:None")</f>
        <v>rg:None</v>
      </c>
      <c r="AF71" s="1">
        <v>42480</v>
      </c>
      <c r="AG71" s="4">
        <f ca="1">IF(I71="Dump Truck",60,30)*AH71+(AVERAGE(AI71:AK71))</f>
        <v>266.08333333333337</v>
      </c>
      <c r="AH71" s="4">
        <f>YEARFRAC(DATE("2016","4","1"),T71)</f>
        <v>6.0472222222222225</v>
      </c>
      <c r="AI71">
        <f ca="1">IF(AH71&lt;1,0,RANDBETWEEN(0,200))</f>
        <v>34</v>
      </c>
      <c r="AJ71">
        <f ca="1">IF(AH71&lt;2,0,RANDBETWEEN(0,200))</f>
        <v>105</v>
      </c>
      <c r="AK71">
        <f ca="1">IF(AH71&lt;3,0,RANDBETWEEN(0,200))</f>
        <v>115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>IF(ISNUMBER(B71),B71+1,200000)</f>
        <v>200070</v>
      </c>
      <c r="C72">
        <v>200023</v>
      </c>
      <c r="D72" t="str">
        <f>"rg:{'id': '"&amp;C72&amp;"'}"</f>
        <v>rg:{'id': '200023'}</v>
      </c>
      <c r="E72">
        <f>VLOOKUP(C72,Owners.csv!C:J,6,FALSE)</f>
        <v>200001</v>
      </c>
      <c r="F72" t="str">
        <f>VLOOKUP(VLOOKUP(E72,LocalAreas.csv!I:K,3,FALSE),ServiceAreas.csv!F:J,5,FALSE)</f>
        <v>200009</v>
      </c>
      <c r="G72" t="str">
        <f>"rg:{'id': '"&amp;E72&amp;"'}"</f>
        <v>rg:{'id': '200001'}</v>
      </c>
      <c r="H72" t="s">
        <v>7681</v>
      </c>
      <c r="I72" t="s">
        <v>5642</v>
      </c>
      <c r="J72">
        <f>VLOOKUP(I72&amp;"-"&amp;F72,DistrictEquipmentTypes.csv!J:K,2,FALSE)</f>
        <v>200004</v>
      </c>
      <c r="K72" t="str">
        <f>"rg:{'id': '"&amp;J72&amp;"'}"</f>
        <v>rg:{'id': '200004'}</v>
      </c>
      <c r="L72">
        <f>IF(C72=C71,L71+1,1)</f>
        <v>2</v>
      </c>
      <c r="M72" t="str">
        <f>VLOOKUP(C72,Owners.csv!C:K,9,FALSE)&amp;TEXT(Equipment.csv!L72,"0000")</f>
        <v>EART0002</v>
      </c>
      <c r="N72" t="s">
        <v>5401</v>
      </c>
      <c r="O72" t="s">
        <v>6703</v>
      </c>
      <c r="P72">
        <v>1978</v>
      </c>
      <c r="Q72">
        <v>45</v>
      </c>
      <c r="R72" t="s">
        <v>6663</v>
      </c>
      <c r="S72" s="1">
        <v>38912</v>
      </c>
      <c r="T72" s="1">
        <v>38922</v>
      </c>
      <c r="U72" t="str">
        <f ca="1">IF(RANDBETWEEN(1,10)&gt;1,"rg:False","rg:True")</f>
        <v>rg:True</v>
      </c>
      <c r="V72" t="str">
        <f ca="1">IF(U72="rg:True","This equipment should be archived","rg:None")</f>
        <v>This equipment should be archived</v>
      </c>
      <c r="W72" t="s">
        <v>7102</v>
      </c>
      <c r="X72" t="s">
        <v>76</v>
      </c>
      <c r="Y72" t="s">
        <v>76</v>
      </c>
      <c r="Z72" t="s">
        <v>76</v>
      </c>
      <c r="AA72" t="s">
        <v>7449</v>
      </c>
      <c r="AB72" t="s">
        <v>7299</v>
      </c>
      <c r="AC72">
        <v>0</v>
      </c>
      <c r="AD72" t="str">
        <f ca="1">IF(RANDBETWEEN(1,20)&gt;1,"rg:False","rg:True")</f>
        <v>rg:False</v>
      </c>
      <c r="AE72" t="str">
        <f ca="1">IF(AD72="rg:True","Seniority overridden to test things","rg:None")</f>
        <v>rg:None</v>
      </c>
      <c r="AF72" s="1">
        <v>42461</v>
      </c>
      <c r="AG72" s="4">
        <f ca="1">IF(I72="Dump Truck",60,30)*AH72+(AVERAGE(AI72:AK72))</f>
        <v>407.25000000000006</v>
      </c>
      <c r="AH72" s="4">
        <f>YEARFRAC(DATE("2016","4","1"),T72)</f>
        <v>9.6861111111111118</v>
      </c>
      <c r="AI72">
        <f ca="1">IF(AH72&lt;1,0,RANDBETWEEN(0,200))</f>
        <v>69</v>
      </c>
      <c r="AJ72">
        <f ca="1">IF(AH72&lt;2,0,RANDBETWEEN(0,200))</f>
        <v>187</v>
      </c>
      <c r="AK72">
        <f ca="1">IF(AH72&lt;3,0,RANDBETWEEN(0,200))</f>
        <v>94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>IF(ISNUMBER(B72),B72+1,200000)</f>
        <v>200071</v>
      </c>
      <c r="C73">
        <v>200023</v>
      </c>
      <c r="D73" t="str">
        <f>"rg:{'id': '"&amp;C73&amp;"'}"</f>
        <v>rg:{'id': '200023'}</v>
      </c>
      <c r="E73">
        <f>VLOOKUP(C73,Owners.csv!C:J,6,FALSE)</f>
        <v>200001</v>
      </c>
      <c r="F73" t="str">
        <f>VLOOKUP(VLOOKUP(E73,LocalAreas.csv!I:K,3,FALSE),ServiceAreas.csv!F:J,5,FALSE)</f>
        <v>200009</v>
      </c>
      <c r="G73" t="str">
        <f>"rg:{'id': '"&amp;E73&amp;"'}"</f>
        <v>rg:{'id': '200001'}</v>
      </c>
      <c r="H73" t="s">
        <v>7688</v>
      </c>
      <c r="I73" t="s">
        <v>5640</v>
      </c>
      <c r="J73">
        <f>VLOOKUP(I73&amp;"-"&amp;F73,DistrictEquipmentTypes.csv!J:K,2,FALSE)</f>
        <v>200002</v>
      </c>
      <c r="K73" t="str">
        <f>"rg:{'id': '"&amp;J73&amp;"'}"</f>
        <v>rg:{'id': '200002'}</v>
      </c>
      <c r="L73">
        <f>IF(C73=C72,L72+1,1)</f>
        <v>3</v>
      </c>
      <c r="M73" t="str">
        <f>VLOOKUP(C73,Owners.csv!C:K,9,FALSE)&amp;TEXT(Equipment.csv!L73,"0000")</f>
        <v>EART0003</v>
      </c>
      <c r="N73" t="s">
        <v>5401</v>
      </c>
      <c r="O73" t="s">
        <v>6713</v>
      </c>
      <c r="P73">
        <v>1973</v>
      </c>
      <c r="Q73">
        <v>55</v>
      </c>
      <c r="R73" t="s">
        <v>6663</v>
      </c>
      <c r="S73" s="1">
        <v>38527</v>
      </c>
      <c r="T73" s="1">
        <v>38539</v>
      </c>
      <c r="U73" t="str">
        <f ca="1">IF(RANDBETWEEN(1,10)&gt;1,"rg:False","rg:True")</f>
        <v>rg:False</v>
      </c>
      <c r="V73" t="str">
        <f ca="1">IF(U73="rg:True","This equipment should be archived","rg:None")</f>
        <v>rg:None</v>
      </c>
      <c r="W73" t="s">
        <v>7112</v>
      </c>
      <c r="X73" t="s">
        <v>76</v>
      </c>
      <c r="Y73" t="s">
        <v>76</v>
      </c>
      <c r="Z73" t="s">
        <v>76</v>
      </c>
      <c r="AA73" t="s">
        <v>7459</v>
      </c>
      <c r="AB73" t="s">
        <v>7307</v>
      </c>
      <c r="AC73">
        <v>0</v>
      </c>
      <c r="AD73" t="str">
        <f ca="1">IF(RANDBETWEEN(1,20)&gt;1,"rg:False","rg:True")</f>
        <v>rg:False</v>
      </c>
      <c r="AE73" t="str">
        <f ca="1">IF(AD73="rg:True","Seniority overridden to test things","rg:None")</f>
        <v>rg:None</v>
      </c>
      <c r="AF73" s="1">
        <v>42481</v>
      </c>
      <c r="AG73" s="4">
        <f ca="1">IF(I73="Dump Truck",60,30)*AH73+(AVERAGE(AI73:AK73))</f>
        <v>360.75</v>
      </c>
      <c r="AH73" s="4">
        <f>YEARFRAC(DATE("2016","4","1"),T73)</f>
        <v>10.736111111111111</v>
      </c>
      <c r="AI73">
        <f ca="1">IF(AH73&lt;1,0,RANDBETWEEN(0,200))</f>
        <v>24</v>
      </c>
      <c r="AJ73">
        <f ca="1">IF(AH73&lt;2,0,RANDBETWEEN(0,200))</f>
        <v>30</v>
      </c>
      <c r="AK73">
        <f ca="1">IF(AH73&lt;3,0,RANDBETWEEN(0,200))</f>
        <v>62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>IF(ISNUMBER(B73),B73+1,200000)</f>
        <v>200072</v>
      </c>
      <c r="C74">
        <v>200023</v>
      </c>
      <c r="D74" t="str">
        <f>"rg:{'id': '"&amp;C74&amp;"'}"</f>
        <v>rg:{'id': '200023'}</v>
      </c>
      <c r="E74">
        <f>VLOOKUP(C74,Owners.csv!C:J,6,FALSE)</f>
        <v>200001</v>
      </c>
      <c r="F74" t="str">
        <f>VLOOKUP(VLOOKUP(E74,LocalAreas.csv!I:K,3,FALSE),ServiceAreas.csv!F:J,5,FALSE)</f>
        <v>200009</v>
      </c>
      <c r="G74" t="str">
        <f>"rg:{'id': '"&amp;E74&amp;"'}"</f>
        <v>rg:{'id': '200001'}</v>
      </c>
      <c r="H74" t="s">
        <v>7696</v>
      </c>
      <c r="I74" t="s">
        <v>5640</v>
      </c>
      <c r="J74">
        <f>VLOOKUP(I74&amp;"-"&amp;F74,DistrictEquipmentTypes.csv!J:K,2,FALSE)</f>
        <v>200002</v>
      </c>
      <c r="K74" t="str">
        <f>"rg:{'id': '"&amp;J74&amp;"'}"</f>
        <v>rg:{'id': '200002'}</v>
      </c>
      <c r="L74">
        <f>IF(C74=C73,L73+1,1)</f>
        <v>4</v>
      </c>
      <c r="M74" t="str">
        <f>VLOOKUP(C74,Owners.csv!C:K,9,FALSE)&amp;TEXT(Equipment.csv!L74,"0000")</f>
        <v>EART0004</v>
      </c>
      <c r="N74" t="s">
        <v>5401</v>
      </c>
      <c r="O74" t="s">
        <v>6723</v>
      </c>
      <c r="P74">
        <v>1988</v>
      </c>
      <c r="Q74">
        <v>65</v>
      </c>
      <c r="R74" t="s">
        <v>6665</v>
      </c>
      <c r="S74" s="1">
        <v>39444</v>
      </c>
      <c r="T74" s="1">
        <v>39472</v>
      </c>
      <c r="U74" t="str">
        <f ca="1">IF(RANDBETWEEN(1,10)&gt;1,"rg:False","rg:True")</f>
        <v>rg:False</v>
      </c>
      <c r="V74" t="str">
        <f ca="1">IF(U74="rg:True","This equipment should be archived","rg:None")</f>
        <v>rg:None</v>
      </c>
      <c r="W74" t="s">
        <v>7122</v>
      </c>
      <c r="X74" t="s">
        <v>76</v>
      </c>
      <c r="Y74" t="s">
        <v>76</v>
      </c>
      <c r="Z74" t="s">
        <v>76</v>
      </c>
      <c r="AA74" t="s">
        <v>7469</v>
      </c>
      <c r="AB74" t="s">
        <v>7314</v>
      </c>
      <c r="AC74">
        <v>0</v>
      </c>
      <c r="AD74" t="str">
        <f ca="1">IF(RANDBETWEEN(1,20)&gt;1,"rg:False","rg:True")</f>
        <v>rg:False</v>
      </c>
      <c r="AE74" t="str">
        <f ca="1">IF(AD74="rg:True","Seniority overridden to test things","rg:None")</f>
        <v>rg:None</v>
      </c>
      <c r="AF74" s="1">
        <v>42481</v>
      </c>
      <c r="AG74" s="4">
        <f ca="1">IF(I74="Dump Truck",60,30)*AH74+(AVERAGE(AI74:AK74))</f>
        <v>371.5</v>
      </c>
      <c r="AH74" s="4">
        <f>YEARFRAC(DATE("2016","4","1"),T74)</f>
        <v>8.1833333333333336</v>
      </c>
      <c r="AI74">
        <f ca="1">IF(AH74&lt;1,0,RANDBETWEEN(0,200))</f>
        <v>115</v>
      </c>
      <c r="AJ74">
        <f ca="1">IF(AH74&lt;2,0,RANDBETWEEN(0,200))</f>
        <v>189</v>
      </c>
      <c r="AK74">
        <f ca="1">IF(AH74&lt;3,0,RANDBETWEEN(0,200))</f>
        <v>74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>IF(ISNUMBER(B74),B74+1,200000)</f>
        <v>200073</v>
      </c>
      <c r="C75">
        <v>200023</v>
      </c>
      <c r="D75" t="str">
        <f>"rg:{'id': '"&amp;C75&amp;"'}"</f>
        <v>rg:{'id': '200023'}</v>
      </c>
      <c r="E75">
        <f>VLOOKUP(C75,Owners.csv!C:J,6,FALSE)</f>
        <v>200001</v>
      </c>
      <c r="F75" t="str">
        <f>VLOOKUP(VLOOKUP(E75,LocalAreas.csv!I:K,3,FALSE),ServiceAreas.csv!F:J,5,FALSE)</f>
        <v>200009</v>
      </c>
      <c r="G75" t="str">
        <f>"rg:{'id': '"&amp;E75&amp;"'}"</f>
        <v>rg:{'id': '200001'}</v>
      </c>
      <c r="H75" t="s">
        <v>7704</v>
      </c>
      <c r="I75" t="s">
        <v>5651</v>
      </c>
      <c r="J75">
        <f>VLOOKUP(I75&amp;"-"&amp;F75,DistrictEquipmentTypes.csv!J:K,2,FALSE)</f>
        <v>200006</v>
      </c>
      <c r="K75" t="str">
        <f>"rg:{'id': '"&amp;J75&amp;"'}"</f>
        <v>rg:{'id': '200006'}</v>
      </c>
      <c r="L75">
        <f>IF(C75=C74,L74+1,1)</f>
        <v>5</v>
      </c>
      <c r="M75" t="str">
        <f>VLOOKUP(C75,Owners.csv!C:K,9,FALSE)&amp;TEXT(Equipment.csv!L75,"0000")</f>
        <v>EART0005</v>
      </c>
      <c r="N75" t="s">
        <v>5401</v>
      </c>
      <c r="O75" t="s">
        <v>6731</v>
      </c>
      <c r="P75">
        <v>1991</v>
      </c>
      <c r="Q75">
        <v>73</v>
      </c>
      <c r="R75" t="s">
        <v>6663</v>
      </c>
      <c r="S75" s="1">
        <v>41775</v>
      </c>
      <c r="T75" s="1">
        <v>41782</v>
      </c>
      <c r="U75" t="str">
        <f ca="1">IF(RANDBETWEEN(1,10)&gt;1,"rg:False","rg:True")</f>
        <v>rg:True</v>
      </c>
      <c r="V75" t="str">
        <f ca="1">IF(U75="rg:True","This equipment should be archived","rg:None")</f>
        <v>This equipment should be archived</v>
      </c>
      <c r="W75" t="s">
        <v>7130</v>
      </c>
      <c r="X75" t="s">
        <v>76</v>
      </c>
      <c r="Y75" t="s">
        <v>76</v>
      </c>
      <c r="Z75" t="s">
        <v>76</v>
      </c>
      <c r="AA75" t="s">
        <v>7477</v>
      </c>
      <c r="AB75" t="s">
        <v>7287</v>
      </c>
      <c r="AC75">
        <v>0</v>
      </c>
      <c r="AD75" t="str">
        <f ca="1">IF(RANDBETWEEN(1,20)&gt;1,"rg:False","rg:True")</f>
        <v>rg:False</v>
      </c>
      <c r="AE75" t="str">
        <f ca="1">IF(AD75="rg:True","Seniority overridden to test things","rg:None")</f>
        <v>rg:None</v>
      </c>
      <c r="AF75" s="1">
        <v>42481</v>
      </c>
      <c r="AG75" s="4">
        <f ca="1">IF(I75="Dump Truck",60,30)*AH75+(AVERAGE(AI75:AK75))</f>
        <v>170.66666666666669</v>
      </c>
      <c r="AH75" s="4">
        <f>YEARFRAC(DATE("2016","4","1"),T75)</f>
        <v>1.8555555555555556</v>
      </c>
      <c r="AI75">
        <f ca="1">IF(AH75&lt;1,0,RANDBETWEEN(0,200))</f>
        <v>178</v>
      </c>
      <c r="AJ75">
        <f ca="1">IF(AH75&lt;2,0,RANDBETWEEN(0,200))</f>
        <v>0</v>
      </c>
      <c r="AK75">
        <f ca="1">IF(AH75&lt;3,0,RANDBETWEEN(0,200))</f>
        <v>0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>IF(ISNUMBER(B75),B75+1,200000)</f>
        <v>200074</v>
      </c>
      <c r="C76">
        <v>200023</v>
      </c>
      <c r="D76" t="str">
        <f>"rg:{'id': '"&amp;C76&amp;"'}"</f>
        <v>rg:{'id': '200023'}</v>
      </c>
      <c r="E76">
        <f>VLOOKUP(C76,Owners.csv!C:J,6,FALSE)</f>
        <v>200001</v>
      </c>
      <c r="F76" t="str">
        <f>VLOOKUP(VLOOKUP(E76,LocalAreas.csv!I:K,3,FALSE),ServiceAreas.csv!F:J,5,FALSE)</f>
        <v>200009</v>
      </c>
      <c r="G76" t="str">
        <f>"rg:{'id': '"&amp;E76&amp;"'}"</f>
        <v>rg:{'id': '200001'}</v>
      </c>
      <c r="H76" t="s">
        <v>7688</v>
      </c>
      <c r="I76" t="s">
        <v>5651</v>
      </c>
      <c r="J76">
        <f>VLOOKUP(I76&amp;"-"&amp;F76,DistrictEquipmentTypes.csv!J:K,2,FALSE)</f>
        <v>200006</v>
      </c>
      <c r="K76" t="str">
        <f>"rg:{'id': '"&amp;J76&amp;"'}"</f>
        <v>rg:{'id': '200006'}</v>
      </c>
      <c r="L76">
        <f>IF(C76=C75,L75+1,1)</f>
        <v>6</v>
      </c>
      <c r="M76" t="str">
        <f>VLOOKUP(C76,Owners.csv!C:K,9,FALSE)&amp;TEXT(Equipment.csv!L76,"0000")</f>
        <v>EART0006</v>
      </c>
      <c r="N76" t="s">
        <v>5401</v>
      </c>
      <c r="O76" t="s">
        <v>6751</v>
      </c>
      <c r="P76">
        <v>1996</v>
      </c>
      <c r="Q76">
        <v>93</v>
      </c>
      <c r="R76" t="s">
        <v>6663</v>
      </c>
      <c r="S76" s="1">
        <v>40890</v>
      </c>
      <c r="T76" s="1">
        <v>40893</v>
      </c>
      <c r="U76" t="str">
        <f ca="1">IF(RANDBETWEEN(1,10)&gt;1,"rg:False","rg:True")</f>
        <v>rg:True</v>
      </c>
      <c r="V76" t="str">
        <f ca="1">IF(U76="rg:True","This equipment should be archived","rg:None")</f>
        <v>This equipment should be archived</v>
      </c>
      <c r="W76" t="s">
        <v>7150</v>
      </c>
      <c r="X76" t="s">
        <v>76</v>
      </c>
      <c r="Y76" t="s">
        <v>76</v>
      </c>
      <c r="Z76" t="s">
        <v>76</v>
      </c>
      <c r="AA76" t="s">
        <v>7497</v>
      </c>
      <c r="AB76" t="s">
        <v>7335</v>
      </c>
      <c r="AC76">
        <v>0</v>
      </c>
      <c r="AD76" t="str">
        <f ca="1">IF(RANDBETWEEN(1,20)&gt;1,"rg:False","rg:True")</f>
        <v>rg:False</v>
      </c>
      <c r="AE76" t="str">
        <f ca="1">IF(AD76="rg:True","Seniority overridden to test things","rg:None")</f>
        <v>rg:None</v>
      </c>
      <c r="AF76" s="1">
        <v>42481</v>
      </c>
      <c r="AG76" s="4">
        <f ca="1">IF(I76="Dump Truck",60,30)*AH76+(AVERAGE(AI76:AK76))</f>
        <v>374.5</v>
      </c>
      <c r="AH76" s="4">
        <f>YEARFRAC(DATE("2016","4","1"),T76)</f>
        <v>4.291666666666667</v>
      </c>
      <c r="AI76">
        <f ca="1">IF(AH76&lt;1,0,RANDBETWEEN(0,200))</f>
        <v>186</v>
      </c>
      <c r="AJ76">
        <f ca="1">IF(AH76&lt;2,0,RANDBETWEEN(0,200))</f>
        <v>126</v>
      </c>
      <c r="AK76">
        <f ca="1">IF(AH76&lt;3,0,RANDBETWEEN(0,200))</f>
        <v>39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>IF(ISNUMBER(B76),B76+1,200000)</f>
        <v>200075</v>
      </c>
      <c r="C77">
        <v>200023</v>
      </c>
      <c r="D77" t="str">
        <f>"rg:{'id': '"&amp;C77&amp;"'}"</f>
        <v>rg:{'id': '200023'}</v>
      </c>
      <c r="E77">
        <f>VLOOKUP(C77,Owners.csv!C:J,6,FALSE)</f>
        <v>200001</v>
      </c>
      <c r="F77" t="str">
        <f>VLOOKUP(VLOOKUP(E77,LocalAreas.csv!I:K,3,FALSE),ServiceAreas.csv!F:J,5,FALSE)</f>
        <v>200009</v>
      </c>
      <c r="G77" t="str">
        <f>"rg:{'id': '"&amp;E77&amp;"'}"</f>
        <v>rg:{'id': '200001'}</v>
      </c>
      <c r="H77" t="s">
        <v>7722</v>
      </c>
      <c r="I77" t="s">
        <v>5637</v>
      </c>
      <c r="J77">
        <f>VLOOKUP(I77&amp;"-"&amp;F77,DistrictEquipmentTypes.csv!J:K,2,FALSE)</f>
        <v>200001</v>
      </c>
      <c r="K77" t="str">
        <f>"rg:{'id': '"&amp;J77&amp;"'}"</f>
        <v>rg:{'id': '200001'}</v>
      </c>
      <c r="L77">
        <f>IF(C77=C76,L76+1,1)</f>
        <v>7</v>
      </c>
      <c r="M77" t="str">
        <f>VLOOKUP(C77,Owners.csv!C:K,9,FALSE)&amp;TEXT(Equipment.csv!L77,"0000")</f>
        <v>EART0007</v>
      </c>
      <c r="N77" t="s">
        <v>5401</v>
      </c>
      <c r="O77" t="s">
        <v>6771</v>
      </c>
      <c r="P77">
        <v>2005</v>
      </c>
      <c r="Q77">
        <v>113</v>
      </c>
      <c r="R77" t="s">
        <v>6663</v>
      </c>
      <c r="S77" s="1">
        <v>39237</v>
      </c>
      <c r="T77" s="1">
        <v>39258</v>
      </c>
      <c r="U77" t="str">
        <f ca="1">IF(RANDBETWEEN(1,10)&gt;1,"rg:False","rg:True")</f>
        <v>rg:False</v>
      </c>
      <c r="V77" t="str">
        <f ca="1">IF(U77="rg:True","This equipment should be archived","rg:None")</f>
        <v>rg:None</v>
      </c>
      <c r="W77" t="s">
        <v>7170</v>
      </c>
      <c r="X77" t="s">
        <v>76</v>
      </c>
      <c r="Y77" t="s">
        <v>76</v>
      </c>
      <c r="Z77" t="s">
        <v>76</v>
      </c>
      <c r="AA77" t="s">
        <v>7517</v>
      </c>
      <c r="AB77" t="s">
        <v>7351</v>
      </c>
      <c r="AC77">
        <v>0</v>
      </c>
      <c r="AD77" t="str">
        <f ca="1">IF(RANDBETWEEN(1,20)&gt;1,"rg:False","rg:True")</f>
        <v>rg:False</v>
      </c>
      <c r="AE77" t="str">
        <f ca="1">IF(AD77="rg:True","Seniority overridden to test things","rg:None")</f>
        <v>rg:None</v>
      </c>
      <c r="AF77" s="1">
        <v>42481</v>
      </c>
      <c r="AG77" s="4">
        <f ca="1">IF(I77="Dump Truck",60,30)*AH77+(AVERAGE(AI77:AK77))</f>
        <v>384.66666666666669</v>
      </c>
      <c r="AH77" s="4">
        <f>YEARFRAC(DATE("2016","4","1"),T77)</f>
        <v>8.7666666666666675</v>
      </c>
      <c r="AI77">
        <f ca="1">IF(AH77&lt;1,0,RANDBETWEEN(0,200))</f>
        <v>5</v>
      </c>
      <c r="AJ77">
        <f ca="1">IF(AH77&lt;2,0,RANDBETWEEN(0,200))</f>
        <v>200</v>
      </c>
      <c r="AK77">
        <f ca="1">IF(AH77&lt;3,0,RANDBETWEEN(0,200))</f>
        <v>160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>IF(ISNUMBER(B77),B77+1,200000)</f>
        <v>200076</v>
      </c>
      <c r="C78">
        <v>200023</v>
      </c>
      <c r="D78" t="str">
        <f>"rg:{'id': '"&amp;C78&amp;"'}"</f>
        <v>rg:{'id': '200023'}</v>
      </c>
      <c r="E78">
        <f>VLOOKUP(C78,Owners.csv!C:J,6,FALSE)</f>
        <v>200001</v>
      </c>
      <c r="F78" t="str">
        <f>VLOOKUP(VLOOKUP(E78,LocalAreas.csv!I:K,3,FALSE),ServiceAreas.csv!F:J,5,FALSE)</f>
        <v>200009</v>
      </c>
      <c r="G78" t="str">
        <f>"rg:{'id': '"&amp;E78&amp;"'}"</f>
        <v>rg:{'id': '200001'}</v>
      </c>
      <c r="H78" t="s">
        <v>7737</v>
      </c>
      <c r="I78" t="s">
        <v>5536</v>
      </c>
      <c r="J78">
        <f>VLOOKUP(I78&amp;"-"&amp;F78,DistrictEquipmentTypes.csv!J:K,2,FALSE)</f>
        <v>200000</v>
      </c>
      <c r="K78" t="str">
        <f>"rg:{'id': '"&amp;J78&amp;"'}"</f>
        <v>rg:{'id': '200000'}</v>
      </c>
      <c r="L78">
        <f>IF(C78=C77,L77+1,1)</f>
        <v>8</v>
      </c>
      <c r="M78" t="str">
        <f>VLOOKUP(C78,Owners.csv!C:K,9,FALSE)&amp;TEXT(Equipment.csv!L78,"0000")</f>
        <v>EART0008</v>
      </c>
      <c r="N78" t="s">
        <v>5401</v>
      </c>
      <c r="O78" t="s">
        <v>6786</v>
      </c>
      <c r="P78">
        <v>2000</v>
      </c>
      <c r="Q78">
        <v>128</v>
      </c>
      <c r="R78" t="s">
        <v>6663</v>
      </c>
      <c r="S78" s="1">
        <v>40569</v>
      </c>
      <c r="T78" s="1">
        <v>40575</v>
      </c>
      <c r="U78" t="str">
        <f ca="1">IF(RANDBETWEEN(1,10)&gt;1,"rg:False","rg:True")</f>
        <v>rg:False</v>
      </c>
      <c r="V78" t="str">
        <f ca="1">IF(U78="rg:True","This equipment should be archived","rg:None")</f>
        <v>rg:None</v>
      </c>
      <c r="W78" t="s">
        <v>7185</v>
      </c>
      <c r="X78" t="s">
        <v>76</v>
      </c>
      <c r="Y78" t="s">
        <v>76</v>
      </c>
      <c r="Z78" t="s">
        <v>76</v>
      </c>
      <c r="AA78" t="s">
        <v>7532</v>
      </c>
      <c r="AB78" t="s">
        <v>7362</v>
      </c>
      <c r="AC78">
        <v>0</v>
      </c>
      <c r="AD78" t="str">
        <f ca="1">IF(RANDBETWEEN(1,20)&gt;1,"rg:False","rg:True")</f>
        <v>rg:False</v>
      </c>
      <c r="AE78" t="str">
        <f ca="1">IF(AD78="rg:True","Seniority overridden to test things","rg:None")</f>
        <v>rg:None</v>
      </c>
      <c r="AF78" s="1">
        <v>42481</v>
      </c>
      <c r="AG78" s="4">
        <f ca="1">IF(I78="Dump Truck",60,30)*AH78+(AVERAGE(AI78:AK78))</f>
        <v>246</v>
      </c>
      <c r="AH78" s="4">
        <f>YEARFRAC(DATE("2016","4","1"),T78)</f>
        <v>5.166666666666667</v>
      </c>
      <c r="AI78">
        <f ca="1">IF(AH78&lt;1,0,RANDBETWEEN(0,200))</f>
        <v>43</v>
      </c>
      <c r="AJ78">
        <f ca="1">IF(AH78&lt;2,0,RANDBETWEEN(0,200))</f>
        <v>103</v>
      </c>
      <c r="AK78">
        <f ca="1">IF(AH78&lt;3,0,RANDBETWEEN(0,200))</f>
        <v>127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>IF(ISNUMBER(B78),B78+1,200000)</f>
        <v>200077</v>
      </c>
      <c r="C79">
        <v>200024</v>
      </c>
      <c r="D79" t="str">
        <f>"rg:{'id': '"&amp;C79&amp;"'}"</f>
        <v>rg:{'id': '200024'}</v>
      </c>
      <c r="E79">
        <f>VLOOKUP(C79,Owners.csv!C:J,6,FALSE)</f>
        <v>200001</v>
      </c>
      <c r="F79" t="str">
        <f>VLOOKUP(VLOOKUP(E79,LocalAreas.csv!I:K,3,FALSE),ServiceAreas.csv!F:J,5,FALSE)</f>
        <v>200009</v>
      </c>
      <c r="G79" t="str">
        <f>"rg:{'id': '"&amp;E79&amp;"'}"</f>
        <v>rg:{'id': '200001'}</v>
      </c>
      <c r="H79" t="s">
        <v>7649</v>
      </c>
      <c r="I79" t="s">
        <v>5642</v>
      </c>
      <c r="J79">
        <f>VLOOKUP(I79&amp;"-"&amp;F79,DistrictEquipmentTypes.csv!J:K,2,FALSE)</f>
        <v>200004</v>
      </c>
      <c r="K79" t="str">
        <f>"rg:{'id': '"&amp;J79&amp;"'}"</f>
        <v>rg:{'id': '200004'}</v>
      </c>
      <c r="L79">
        <f>IF(C79=C78,L78+1,1)</f>
        <v>1</v>
      </c>
      <c r="M79" t="str">
        <f>VLOOKUP(C79,Owners.csv!C:K,9,FALSE)&amp;TEXT(Equipment.csv!L79,"0000")</f>
        <v>EDWA0001</v>
      </c>
      <c r="N79" t="s">
        <v>5401</v>
      </c>
      <c r="O79" t="s">
        <v>6694</v>
      </c>
      <c r="P79">
        <v>1998</v>
      </c>
      <c r="Q79">
        <v>36</v>
      </c>
      <c r="R79" t="s">
        <v>6664</v>
      </c>
      <c r="S79" s="1">
        <v>39443</v>
      </c>
      <c r="T79" s="1">
        <v>39458</v>
      </c>
      <c r="U79" t="str">
        <f ca="1">IF(RANDBETWEEN(1,10)&gt;1,"rg:False","rg:True")</f>
        <v>rg:False</v>
      </c>
      <c r="V79" t="str">
        <f ca="1">IF(U79="rg:True","This equipment should be archived","rg:None")</f>
        <v>rg:None</v>
      </c>
      <c r="W79" t="s">
        <v>7093</v>
      </c>
      <c r="X79" t="s">
        <v>76</v>
      </c>
      <c r="Y79" t="s">
        <v>76</v>
      </c>
      <c r="Z79" t="s">
        <v>76</v>
      </c>
      <c r="AA79" t="s">
        <v>7440</v>
      </c>
      <c r="AB79" t="s">
        <v>7290</v>
      </c>
      <c r="AC79">
        <v>0</v>
      </c>
      <c r="AD79" t="str">
        <f ca="1">IF(RANDBETWEEN(1,20)&gt;1,"rg:False","rg:True")</f>
        <v>rg:False</v>
      </c>
      <c r="AE79" t="str">
        <f ca="1">IF(AD79="rg:True","Seniority overridden to test things","rg:None")</f>
        <v>rg:None</v>
      </c>
      <c r="AF79" s="1">
        <v>42480</v>
      </c>
      <c r="AG79" s="4">
        <f ca="1">IF(I79="Dump Truck",60,30)*AH79+(AVERAGE(AI79:AK79))</f>
        <v>355.99999999999994</v>
      </c>
      <c r="AH79" s="4">
        <f>YEARFRAC(DATE("2016","4","1"),T79)</f>
        <v>8.2222222222222214</v>
      </c>
      <c r="AI79">
        <f ca="1">IF(AH79&lt;1,0,RANDBETWEEN(0,200))</f>
        <v>125</v>
      </c>
      <c r="AJ79">
        <f ca="1">IF(AH79&lt;2,0,RANDBETWEEN(0,200))</f>
        <v>58</v>
      </c>
      <c r="AK79">
        <f ca="1">IF(AH79&lt;3,0,RANDBETWEEN(0,200))</f>
        <v>145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>IF(ISNUMBER(B79),B79+1,200000)</f>
        <v>200078</v>
      </c>
      <c r="C80">
        <v>200024</v>
      </c>
      <c r="D80" t="str">
        <f>"rg:{'id': '"&amp;C80&amp;"'}"</f>
        <v>rg:{'id': '200024'}</v>
      </c>
      <c r="E80">
        <f>VLOOKUP(C80,Owners.csv!C:J,6,FALSE)</f>
        <v>200001</v>
      </c>
      <c r="F80" t="str">
        <f>VLOOKUP(VLOOKUP(E80,LocalAreas.csv!I:K,3,FALSE),ServiceAreas.csv!F:J,5,FALSE)</f>
        <v>200009</v>
      </c>
      <c r="G80" t="str">
        <f>"rg:{'id': '"&amp;E80&amp;"'}"</f>
        <v>rg:{'id': '200001'}</v>
      </c>
      <c r="H80" t="s">
        <v>7682</v>
      </c>
      <c r="I80" t="s">
        <v>5642</v>
      </c>
      <c r="J80">
        <f>VLOOKUP(I80&amp;"-"&amp;F80,DistrictEquipmentTypes.csv!J:K,2,FALSE)</f>
        <v>200004</v>
      </c>
      <c r="K80" t="str">
        <f>"rg:{'id': '"&amp;J80&amp;"'}"</f>
        <v>rg:{'id': '200004'}</v>
      </c>
      <c r="L80">
        <f>IF(C80=C79,L79+1,1)</f>
        <v>2</v>
      </c>
      <c r="M80" t="str">
        <f>VLOOKUP(C80,Owners.csv!C:K,9,FALSE)&amp;TEXT(Equipment.csv!L80,"0000")</f>
        <v>EDWA0002</v>
      </c>
      <c r="N80" t="s">
        <v>5401</v>
      </c>
      <c r="O80" t="s">
        <v>6704</v>
      </c>
      <c r="P80">
        <v>1997</v>
      </c>
      <c r="Q80">
        <v>46</v>
      </c>
      <c r="R80" t="s">
        <v>6663</v>
      </c>
      <c r="S80" s="1">
        <v>41589</v>
      </c>
      <c r="T80" s="1">
        <v>41603</v>
      </c>
      <c r="U80" t="str">
        <f ca="1">IF(RANDBETWEEN(1,10)&gt;1,"rg:False","rg:True")</f>
        <v>rg:False</v>
      </c>
      <c r="V80" t="str">
        <f ca="1">IF(U80="rg:True","This equipment should be archived","rg:None")</f>
        <v>rg:None</v>
      </c>
      <c r="W80" t="s">
        <v>7103</v>
      </c>
      <c r="X80" t="s">
        <v>76</v>
      </c>
      <c r="Y80" t="s">
        <v>76</v>
      </c>
      <c r="Z80" t="s">
        <v>76</v>
      </c>
      <c r="AA80" t="s">
        <v>7450</v>
      </c>
      <c r="AB80" t="s">
        <v>7300</v>
      </c>
      <c r="AC80">
        <v>0</v>
      </c>
      <c r="AD80" t="str">
        <f ca="1">IF(RANDBETWEEN(1,20)&gt;1,"rg:False","rg:True")</f>
        <v>rg:False</v>
      </c>
      <c r="AE80" t="str">
        <f ca="1">IF(AD80="rg:True","Seniority overridden to test things","rg:None")</f>
        <v>rg:None</v>
      </c>
      <c r="AF80" s="1">
        <v>42481</v>
      </c>
      <c r="AG80" s="4">
        <f ca="1">IF(I80="Dump Truck",60,30)*AH80+(AVERAGE(AI80:AK80))</f>
        <v>178.16666666666669</v>
      </c>
      <c r="AH80" s="4">
        <f>YEARFRAC(DATE("2016","4","1"),T80)</f>
        <v>2.35</v>
      </c>
      <c r="AI80">
        <f ca="1">IF(AH80&lt;1,0,RANDBETWEEN(0,200))</f>
        <v>147</v>
      </c>
      <c r="AJ80">
        <f ca="1">IF(AH80&lt;2,0,RANDBETWEEN(0,200))</f>
        <v>176</v>
      </c>
      <c r="AK80">
        <f ca="1">IF(AH80&lt;3,0,RANDBETWEEN(0,200))</f>
        <v>0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>IF(ISNUMBER(B80),B80+1,200000)</f>
        <v>200079</v>
      </c>
      <c r="C81">
        <v>200024</v>
      </c>
      <c r="D81" t="str">
        <f>"rg:{'id': '"&amp;C81&amp;"'}"</f>
        <v>rg:{'id': '200024'}</v>
      </c>
      <c r="E81">
        <f>VLOOKUP(C81,Owners.csv!C:J,6,FALSE)</f>
        <v>200001</v>
      </c>
      <c r="F81" t="str">
        <f>VLOOKUP(VLOOKUP(E81,LocalAreas.csv!I:K,3,FALSE),ServiceAreas.csv!F:J,5,FALSE)</f>
        <v>200009</v>
      </c>
      <c r="G81" t="str">
        <f>"rg:{'id': '"&amp;E81&amp;"'}"</f>
        <v>rg:{'id': '200001'}</v>
      </c>
      <c r="H81" t="s">
        <v>7689</v>
      </c>
      <c r="I81" t="s">
        <v>5640</v>
      </c>
      <c r="J81">
        <f>VLOOKUP(I81&amp;"-"&amp;F81,DistrictEquipmentTypes.csv!J:K,2,FALSE)</f>
        <v>200002</v>
      </c>
      <c r="K81" t="str">
        <f>"rg:{'id': '"&amp;J81&amp;"'}"</f>
        <v>rg:{'id': '200002'}</v>
      </c>
      <c r="L81">
        <f>IF(C81=C80,L80+1,1)</f>
        <v>3</v>
      </c>
      <c r="M81" t="str">
        <f>VLOOKUP(C81,Owners.csv!C:K,9,FALSE)&amp;TEXT(Equipment.csv!L81,"0000")</f>
        <v>EDWA0003</v>
      </c>
      <c r="N81" t="s">
        <v>5401</v>
      </c>
      <c r="O81" t="s">
        <v>6714</v>
      </c>
      <c r="P81">
        <v>2014</v>
      </c>
      <c r="Q81">
        <v>56</v>
      </c>
      <c r="R81" t="s">
        <v>6663</v>
      </c>
      <c r="S81" s="1">
        <v>41744</v>
      </c>
      <c r="T81" s="1">
        <v>41751</v>
      </c>
      <c r="U81" t="str">
        <f ca="1">IF(RANDBETWEEN(1,10)&gt;1,"rg:False","rg:True")</f>
        <v>rg:False</v>
      </c>
      <c r="V81" t="str">
        <f ca="1">IF(U81="rg:True","This equipment should be archived","rg:None")</f>
        <v>rg:None</v>
      </c>
      <c r="W81" t="s">
        <v>7113</v>
      </c>
      <c r="X81" t="s">
        <v>76</v>
      </c>
      <c r="Y81" t="s">
        <v>76</v>
      </c>
      <c r="Z81" t="s">
        <v>76</v>
      </c>
      <c r="AA81" t="s">
        <v>7460</v>
      </c>
      <c r="AB81" t="s">
        <v>7308</v>
      </c>
      <c r="AC81">
        <v>0</v>
      </c>
      <c r="AD81" t="str">
        <f ca="1">IF(RANDBETWEEN(1,20)&gt;1,"rg:False","rg:True")</f>
        <v>rg:True</v>
      </c>
      <c r="AE81" t="str">
        <f ca="1">IF(AD81="rg:True","Seniority overridden to test things","rg:None")</f>
        <v>Seniority overridden to test things</v>
      </c>
      <c r="AF81" s="1">
        <v>42481</v>
      </c>
      <c r="AG81" s="4">
        <f ca="1">IF(I81="Dump Truck",60,30)*AH81+(AVERAGE(AI81:AK81))</f>
        <v>80.25</v>
      </c>
      <c r="AH81" s="4">
        <f>YEARFRAC(DATE("2016","4","1"),T81)</f>
        <v>1.9416666666666667</v>
      </c>
      <c r="AI81">
        <f ca="1">IF(AH81&lt;1,0,RANDBETWEEN(0,200))</f>
        <v>66</v>
      </c>
      <c r="AJ81">
        <f ca="1">IF(AH81&lt;2,0,RANDBETWEEN(0,200))</f>
        <v>0</v>
      </c>
      <c r="AK81">
        <f ca="1">IF(AH81&lt;3,0,RANDBETWEEN(0,200))</f>
        <v>0</v>
      </c>
      <c r="AL81" t="s">
        <v>5689</v>
      </c>
      <c r="AM81" t="s">
        <v>6884</v>
      </c>
      <c r="AN81" s="1">
        <v>42423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>IF(ISNUMBER(B81),B81+1,200000)</f>
        <v>200080</v>
      </c>
      <c r="C82">
        <v>200024</v>
      </c>
      <c r="D82" t="str">
        <f>"rg:{'id': '"&amp;C82&amp;"'}"</f>
        <v>rg:{'id': '200024'}</v>
      </c>
      <c r="E82">
        <f>VLOOKUP(C82,Owners.csv!C:J,6,FALSE)</f>
        <v>200001</v>
      </c>
      <c r="F82" t="str">
        <f>VLOOKUP(VLOOKUP(E82,LocalAreas.csv!I:K,3,FALSE),ServiceAreas.csv!F:J,5,FALSE)</f>
        <v>200009</v>
      </c>
      <c r="G82" t="str">
        <f>"rg:{'id': '"&amp;E82&amp;"'}"</f>
        <v>rg:{'id': '200001'}</v>
      </c>
      <c r="H82" t="s">
        <v>7697</v>
      </c>
      <c r="I82" t="s">
        <v>5640</v>
      </c>
      <c r="J82">
        <f>VLOOKUP(I82&amp;"-"&amp;F82,DistrictEquipmentTypes.csv!J:K,2,FALSE)</f>
        <v>200002</v>
      </c>
      <c r="K82" t="str">
        <f>"rg:{'id': '"&amp;J82&amp;"'}"</f>
        <v>rg:{'id': '200002'}</v>
      </c>
      <c r="L82">
        <f>IF(C82=C81,L81+1,1)</f>
        <v>4</v>
      </c>
      <c r="M82" t="str">
        <f>VLOOKUP(C82,Owners.csv!C:K,9,FALSE)&amp;TEXT(Equipment.csv!L82,"0000")</f>
        <v>EDWA0004</v>
      </c>
      <c r="N82" t="s">
        <v>5401</v>
      </c>
      <c r="O82" t="s">
        <v>6724</v>
      </c>
      <c r="P82">
        <v>2013</v>
      </c>
      <c r="Q82">
        <v>66</v>
      </c>
      <c r="R82" t="s">
        <v>6663</v>
      </c>
      <c r="S82" s="1">
        <v>38273</v>
      </c>
      <c r="T82" s="1">
        <v>38277</v>
      </c>
      <c r="U82" t="str">
        <f ca="1">IF(RANDBETWEEN(1,10)&gt;1,"rg:False","rg:True")</f>
        <v>rg:True</v>
      </c>
      <c r="V82" t="str">
        <f ca="1">IF(U82="rg:True","This equipment should be archived","rg:None")</f>
        <v>This equipment should be archived</v>
      </c>
      <c r="W82" t="s">
        <v>7123</v>
      </c>
      <c r="X82" t="s">
        <v>76</v>
      </c>
      <c r="Y82" t="s">
        <v>76</v>
      </c>
      <c r="Z82" t="s">
        <v>76</v>
      </c>
      <c r="AA82" t="s">
        <v>7470</v>
      </c>
      <c r="AB82" t="s">
        <v>7315</v>
      </c>
      <c r="AC82">
        <v>0</v>
      </c>
      <c r="AD82" t="str">
        <f ca="1">IF(RANDBETWEEN(1,20)&gt;1,"rg:False","rg:True")</f>
        <v>rg:False</v>
      </c>
      <c r="AE82" t="str">
        <f ca="1">IF(AD82="rg:True","Seniority overridden to test things","rg:None")</f>
        <v>rg:None</v>
      </c>
      <c r="AF82" s="1">
        <v>42481</v>
      </c>
      <c r="AG82" s="4">
        <f ca="1">IF(I82="Dump Truck",60,30)*AH82+(AVERAGE(AI82:AK82))</f>
        <v>463</v>
      </c>
      <c r="AH82" s="4">
        <f>YEARFRAC(DATE("2016","4","1"),T82)</f>
        <v>11.455555555555556</v>
      </c>
      <c r="AI82">
        <f ca="1">IF(AH82&lt;1,0,RANDBETWEEN(0,200))</f>
        <v>188</v>
      </c>
      <c r="AJ82">
        <f ca="1">IF(AH82&lt;2,0,RANDBETWEEN(0,200))</f>
        <v>68</v>
      </c>
      <c r="AK82">
        <f ca="1">IF(AH82&lt;3,0,RANDBETWEEN(0,200))</f>
        <v>102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>IF(ISNUMBER(B82),B82+1,200000)</f>
        <v>200081</v>
      </c>
      <c r="C83">
        <v>200024</v>
      </c>
      <c r="D83" t="str">
        <f>"rg:{'id': '"&amp;C83&amp;"'}"</f>
        <v>rg:{'id': '200024'}</v>
      </c>
      <c r="E83">
        <f>VLOOKUP(C83,Owners.csv!C:J,6,FALSE)</f>
        <v>200001</v>
      </c>
      <c r="F83" t="str">
        <f>VLOOKUP(VLOOKUP(E83,LocalAreas.csv!I:K,3,FALSE),ServiceAreas.csv!F:J,5,FALSE)</f>
        <v>200009</v>
      </c>
      <c r="G83" t="str">
        <f>"rg:{'id': '"&amp;E83&amp;"'}"</f>
        <v>rg:{'id': '200001'}</v>
      </c>
      <c r="H83" t="s">
        <v>7705</v>
      </c>
      <c r="I83" t="s">
        <v>5651</v>
      </c>
      <c r="J83">
        <f>VLOOKUP(I83&amp;"-"&amp;F83,DistrictEquipmentTypes.csv!J:K,2,FALSE)</f>
        <v>200006</v>
      </c>
      <c r="K83" t="str">
        <f>"rg:{'id': '"&amp;J83&amp;"'}"</f>
        <v>rg:{'id': '200006'}</v>
      </c>
      <c r="L83">
        <f>IF(C83=C82,L82+1,1)</f>
        <v>5</v>
      </c>
      <c r="M83" t="str">
        <f>VLOOKUP(C83,Owners.csv!C:K,9,FALSE)&amp;TEXT(Equipment.csv!L83,"0000")</f>
        <v>EDWA0005</v>
      </c>
      <c r="N83" t="s">
        <v>5401</v>
      </c>
      <c r="O83" t="s">
        <v>6732</v>
      </c>
      <c r="P83">
        <v>2007</v>
      </c>
      <c r="Q83">
        <v>74</v>
      </c>
      <c r="R83" t="s">
        <v>6663</v>
      </c>
      <c r="S83" s="1">
        <v>40622</v>
      </c>
      <c r="T83" s="1">
        <v>40645</v>
      </c>
      <c r="U83" t="str">
        <f ca="1">IF(RANDBETWEEN(1,10)&gt;1,"rg:False","rg:True")</f>
        <v>rg:False</v>
      </c>
      <c r="V83" t="str">
        <f ca="1">IF(U83="rg:True","This equipment should be archived","rg:None")</f>
        <v>rg:None</v>
      </c>
      <c r="W83" t="s">
        <v>7131</v>
      </c>
      <c r="X83" t="s">
        <v>76</v>
      </c>
      <c r="Y83" t="s">
        <v>76</v>
      </c>
      <c r="Z83" t="s">
        <v>76</v>
      </c>
      <c r="AA83" t="s">
        <v>7478</v>
      </c>
      <c r="AB83" t="s">
        <v>7320</v>
      </c>
      <c r="AC83">
        <v>0</v>
      </c>
      <c r="AD83" t="str">
        <f ca="1">IF(RANDBETWEEN(1,20)&gt;1,"rg:False","rg:True")</f>
        <v>rg:False</v>
      </c>
      <c r="AE83" t="str">
        <f ca="1">IF(AD83="rg:True","Seniority overridden to test things","rg:None")</f>
        <v>rg:None</v>
      </c>
      <c r="AF83" s="1">
        <v>42481</v>
      </c>
      <c r="AG83" s="4">
        <f ca="1">IF(I83="Dump Truck",60,30)*AH83+(AVERAGE(AI83:AK83))</f>
        <v>453.83333333333326</v>
      </c>
      <c r="AH83" s="4">
        <f>YEARFRAC(DATE("2016","4","1"),T83)</f>
        <v>4.9694444444444441</v>
      </c>
      <c r="AI83">
        <f ca="1">IF(AH83&lt;1,0,RANDBETWEEN(0,200))</f>
        <v>113</v>
      </c>
      <c r="AJ83">
        <f ca="1">IF(AH83&lt;2,0,RANDBETWEEN(0,200))</f>
        <v>176</v>
      </c>
      <c r="AK83">
        <f ca="1">IF(AH83&lt;3,0,RANDBETWEEN(0,200))</f>
        <v>178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>IF(ISNUMBER(B83),B83+1,200000)</f>
        <v>200082</v>
      </c>
      <c r="C84">
        <v>200024</v>
      </c>
      <c r="D84" t="str">
        <f>"rg:{'id': '"&amp;C84&amp;"'}"</f>
        <v>rg:{'id': '200024'}</v>
      </c>
      <c r="E84">
        <f>VLOOKUP(C84,Owners.csv!C:J,6,FALSE)</f>
        <v>200001</v>
      </c>
      <c r="F84" t="str">
        <f>VLOOKUP(VLOOKUP(E84,LocalAreas.csv!I:K,3,FALSE),ServiceAreas.csv!F:J,5,FALSE)</f>
        <v>200009</v>
      </c>
      <c r="G84" t="str">
        <f>"rg:{'id': '"&amp;E84&amp;"'}"</f>
        <v>rg:{'id': '200001'}</v>
      </c>
      <c r="H84" t="s">
        <v>7716</v>
      </c>
      <c r="I84" t="s">
        <v>5651</v>
      </c>
      <c r="J84">
        <f>VLOOKUP(I84&amp;"-"&amp;F84,DistrictEquipmentTypes.csv!J:K,2,FALSE)</f>
        <v>200006</v>
      </c>
      <c r="K84" t="str">
        <f>"rg:{'id': '"&amp;J84&amp;"'}"</f>
        <v>rg:{'id': '200006'}</v>
      </c>
      <c r="L84">
        <f>IF(C84=C83,L83+1,1)</f>
        <v>6</v>
      </c>
      <c r="M84" t="str">
        <f>VLOOKUP(C84,Owners.csv!C:K,9,FALSE)&amp;TEXT(Equipment.csv!L84,"0000")</f>
        <v>EDWA0006</v>
      </c>
      <c r="N84" t="s">
        <v>5401</v>
      </c>
      <c r="O84" t="s">
        <v>6752</v>
      </c>
      <c r="P84">
        <v>1999</v>
      </c>
      <c r="Q84">
        <v>94</v>
      </c>
      <c r="R84" t="s">
        <v>6663</v>
      </c>
      <c r="S84" s="1">
        <v>40433</v>
      </c>
      <c r="T84" s="1">
        <v>40451</v>
      </c>
      <c r="U84" t="str">
        <f ca="1">IF(RANDBETWEEN(1,10)&gt;1,"rg:False","rg:True")</f>
        <v>rg:False</v>
      </c>
      <c r="V84" t="str">
        <f ca="1">IF(U84="rg:True","This equipment should be archived","rg:None")</f>
        <v>rg:None</v>
      </c>
      <c r="W84" t="s">
        <v>7151</v>
      </c>
      <c r="X84" t="s">
        <v>76</v>
      </c>
      <c r="Y84" t="s">
        <v>76</v>
      </c>
      <c r="Z84" t="s">
        <v>76</v>
      </c>
      <c r="AA84" t="s">
        <v>7498</v>
      </c>
      <c r="AB84" t="s">
        <v>7301</v>
      </c>
      <c r="AC84">
        <v>0</v>
      </c>
      <c r="AD84" t="str">
        <f ca="1">IF(RANDBETWEEN(1,20)&gt;1,"rg:False","rg:True")</f>
        <v>rg:False</v>
      </c>
      <c r="AE84" t="str">
        <f ca="1">IF(AD84="rg:True","Seniority overridden to test things","rg:None")</f>
        <v>rg:None</v>
      </c>
      <c r="AF84" s="1">
        <v>42481</v>
      </c>
      <c r="AG84" s="4">
        <f ca="1">IF(I84="Dump Truck",60,30)*AH84+(AVERAGE(AI84:AK84))</f>
        <v>421.16666666666669</v>
      </c>
      <c r="AH84" s="4">
        <f>YEARFRAC(DATE("2016","4","1"),T84)</f>
        <v>5.5027777777777782</v>
      </c>
      <c r="AI84">
        <f ca="1">IF(AH84&lt;1,0,RANDBETWEEN(0,200))</f>
        <v>166</v>
      </c>
      <c r="AJ84">
        <f ca="1">IF(AH84&lt;2,0,RANDBETWEEN(0,200))</f>
        <v>56</v>
      </c>
      <c r="AK84">
        <f ca="1">IF(AH84&lt;3,0,RANDBETWEEN(0,200))</f>
        <v>51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>IF(ISNUMBER(B84),B84+1,200000)</f>
        <v>200083</v>
      </c>
      <c r="C85">
        <v>200024</v>
      </c>
      <c r="D85" t="str">
        <f>"rg:{'id': '"&amp;C85&amp;"'}"</f>
        <v>rg:{'id': '200024'}</v>
      </c>
      <c r="E85">
        <f>VLOOKUP(C85,Owners.csv!C:J,6,FALSE)</f>
        <v>200001</v>
      </c>
      <c r="F85" t="str">
        <f>VLOOKUP(VLOOKUP(E85,LocalAreas.csv!I:K,3,FALSE),ServiceAreas.csv!F:J,5,FALSE)</f>
        <v>200009</v>
      </c>
      <c r="G85" t="str">
        <f>"rg:{'id': '"&amp;E85&amp;"'}"</f>
        <v>rg:{'id': '200001'}</v>
      </c>
      <c r="H85" t="s">
        <v>7729</v>
      </c>
      <c r="I85" t="s">
        <v>5637</v>
      </c>
      <c r="J85">
        <f>VLOOKUP(I85&amp;"-"&amp;F85,DistrictEquipmentTypes.csv!J:K,2,FALSE)</f>
        <v>200001</v>
      </c>
      <c r="K85" t="str">
        <f>"rg:{'id': '"&amp;J85&amp;"'}"</f>
        <v>rg:{'id': '200001'}</v>
      </c>
      <c r="L85">
        <f>IF(C85=C84,L84+1,1)</f>
        <v>7</v>
      </c>
      <c r="M85" t="str">
        <f>VLOOKUP(C85,Owners.csv!C:K,9,FALSE)&amp;TEXT(Equipment.csv!L85,"0000")</f>
        <v>EDWA0007</v>
      </c>
      <c r="N85" t="s">
        <v>5401</v>
      </c>
      <c r="O85" t="s">
        <v>6772</v>
      </c>
      <c r="P85">
        <v>1991</v>
      </c>
      <c r="Q85">
        <v>114</v>
      </c>
      <c r="R85" t="s">
        <v>6663</v>
      </c>
      <c r="S85" s="1">
        <v>38596</v>
      </c>
      <c r="T85" s="1">
        <v>38608</v>
      </c>
      <c r="U85" t="str">
        <f ca="1">IF(RANDBETWEEN(1,10)&gt;1,"rg:False","rg:True")</f>
        <v>rg:False</v>
      </c>
      <c r="V85" t="str">
        <f ca="1">IF(U85="rg:True","This equipment should be archived","rg:None")</f>
        <v>rg:None</v>
      </c>
      <c r="W85" t="s">
        <v>7171</v>
      </c>
      <c r="X85" t="s">
        <v>76</v>
      </c>
      <c r="Y85" t="s">
        <v>76</v>
      </c>
      <c r="Z85" t="s">
        <v>76</v>
      </c>
      <c r="AA85" t="s">
        <v>7518</v>
      </c>
      <c r="AB85" t="s">
        <v>7279</v>
      </c>
      <c r="AC85">
        <v>0</v>
      </c>
      <c r="AD85" t="str">
        <f ca="1">IF(RANDBETWEEN(1,20)&gt;1,"rg:False","rg:True")</f>
        <v>rg:False</v>
      </c>
      <c r="AE85" t="str">
        <f ca="1">IF(AD85="rg:True","Seniority overridden to test things","rg:None")</f>
        <v>rg:None</v>
      </c>
      <c r="AF85" s="1">
        <v>42481</v>
      </c>
      <c r="AG85" s="4">
        <f ca="1">IF(I85="Dump Truck",60,30)*AH85+(AVERAGE(AI85:AK85))</f>
        <v>426.5</v>
      </c>
      <c r="AH85" s="4">
        <f>YEARFRAC(DATE("2016","4","1"),T85)</f>
        <v>10.55</v>
      </c>
      <c r="AI85">
        <f ca="1">IF(AH85&lt;1,0,RANDBETWEEN(0,200))</f>
        <v>141</v>
      </c>
      <c r="AJ85">
        <f ca="1">IF(AH85&lt;2,0,RANDBETWEEN(0,200))</f>
        <v>129</v>
      </c>
      <c r="AK85">
        <f ca="1">IF(AH85&lt;3,0,RANDBETWEEN(0,200))</f>
        <v>60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>IF(ISNUMBER(B85),B85+1,200000)</f>
        <v>200084</v>
      </c>
      <c r="C86">
        <v>200024</v>
      </c>
      <c r="D86" t="str">
        <f>"rg:{'id': '"&amp;C86&amp;"'}"</f>
        <v>rg:{'id': '200024'}</v>
      </c>
      <c r="E86">
        <f>VLOOKUP(C86,Owners.csv!C:J,6,FALSE)</f>
        <v>200001</v>
      </c>
      <c r="F86" t="str">
        <f>VLOOKUP(VLOOKUP(E86,LocalAreas.csv!I:K,3,FALSE),ServiceAreas.csv!F:J,5,FALSE)</f>
        <v>200009</v>
      </c>
      <c r="G86" t="str">
        <f>"rg:{'id': '"&amp;E86&amp;"'}"</f>
        <v>rg:{'id': '200001'}</v>
      </c>
      <c r="H86" t="s">
        <v>7738</v>
      </c>
      <c r="I86" t="s">
        <v>5536</v>
      </c>
      <c r="J86">
        <f>VLOOKUP(I86&amp;"-"&amp;F86,DistrictEquipmentTypes.csv!J:K,2,FALSE)</f>
        <v>200000</v>
      </c>
      <c r="K86" t="str">
        <f>"rg:{'id': '"&amp;J86&amp;"'}"</f>
        <v>rg:{'id': '200000'}</v>
      </c>
      <c r="L86">
        <f>IF(C86=C85,L85+1,1)</f>
        <v>8</v>
      </c>
      <c r="M86" t="str">
        <f>VLOOKUP(C86,Owners.csv!C:K,9,FALSE)&amp;TEXT(Equipment.csv!L86,"0000")</f>
        <v>EDWA0008</v>
      </c>
      <c r="N86" t="s">
        <v>5401</v>
      </c>
      <c r="O86" t="s">
        <v>6787</v>
      </c>
      <c r="P86">
        <v>1977</v>
      </c>
      <c r="Q86">
        <v>129</v>
      </c>
      <c r="R86" t="s">
        <v>6663</v>
      </c>
      <c r="S86" s="1">
        <v>39643</v>
      </c>
      <c r="T86" s="1">
        <v>39655</v>
      </c>
      <c r="U86" t="str">
        <f ca="1">IF(RANDBETWEEN(1,10)&gt;1,"rg:False","rg:True")</f>
        <v>rg:True</v>
      </c>
      <c r="V86" t="str">
        <f ca="1">IF(U86="rg:True","This equipment should be archived","rg:None")</f>
        <v>This equipment should be archived</v>
      </c>
      <c r="W86" t="s">
        <v>7186</v>
      </c>
      <c r="X86" t="s">
        <v>76</v>
      </c>
      <c r="Y86" t="s">
        <v>76</v>
      </c>
      <c r="Z86" t="s">
        <v>76</v>
      </c>
      <c r="AA86" t="s">
        <v>7533</v>
      </c>
      <c r="AB86" t="s">
        <v>7306</v>
      </c>
      <c r="AC86">
        <v>0</v>
      </c>
      <c r="AD86" t="str">
        <f ca="1">IF(RANDBETWEEN(1,20)&gt;1,"rg:False","rg:True")</f>
        <v>rg:False</v>
      </c>
      <c r="AE86" t="str">
        <f ca="1">IF(AD86="rg:True","Seniority overridden to test things","rg:None")</f>
        <v>rg:None</v>
      </c>
      <c r="AF86" s="1">
        <v>42481</v>
      </c>
      <c r="AG86" s="4">
        <f ca="1">IF(I86="Dump Truck",60,30)*AH86+(AVERAGE(AI86:AK86))</f>
        <v>366.08333333333331</v>
      </c>
      <c r="AH86" s="4">
        <f>YEARFRAC(DATE("2016","4","1"),T86)</f>
        <v>7.6805555555555554</v>
      </c>
      <c r="AI86">
        <f ca="1">IF(AH86&lt;1,0,RANDBETWEEN(0,200))</f>
        <v>36</v>
      </c>
      <c r="AJ86">
        <f ca="1">IF(AH86&lt;2,0,RANDBETWEEN(0,200))</f>
        <v>195</v>
      </c>
      <c r="AK86">
        <f ca="1">IF(AH86&lt;3,0,RANDBETWEEN(0,200))</f>
        <v>176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>IF(ISNUMBER(B86),B86+1,200000)</f>
        <v>200085</v>
      </c>
      <c r="C87">
        <v>200025</v>
      </c>
      <c r="D87" t="str">
        <f>"rg:{'id': '"&amp;C87&amp;"'}"</f>
        <v>rg:{'id': '200025'}</v>
      </c>
      <c r="E87">
        <f>VLOOKUP(C87,Owners.csv!C:J,6,FALSE)</f>
        <v>200001</v>
      </c>
      <c r="F87" t="str">
        <f>VLOOKUP(VLOOKUP(E87,LocalAreas.csv!I:K,3,FALSE),ServiceAreas.csv!F:J,5,FALSE)</f>
        <v>200009</v>
      </c>
      <c r="G87" t="str">
        <f>"rg:{'id': '"&amp;E87&amp;"'}"</f>
        <v>rg:{'id': '200001'}</v>
      </c>
      <c r="H87" t="s">
        <v>7676</v>
      </c>
      <c r="I87" t="s">
        <v>5642</v>
      </c>
      <c r="J87">
        <f>VLOOKUP(I87&amp;"-"&amp;F87,DistrictEquipmentTypes.csv!J:K,2,FALSE)</f>
        <v>200004</v>
      </c>
      <c r="K87" t="str">
        <f>"rg:{'id': '"&amp;J87&amp;"'}"</f>
        <v>rg:{'id': '200004'}</v>
      </c>
      <c r="L87">
        <f>IF(C87=C86,L86+1,1)</f>
        <v>1</v>
      </c>
      <c r="M87" t="str">
        <f>VLOOKUP(C87,Owners.csv!C:K,9,FALSE)&amp;TEXT(Equipment.csv!L87,"0000")</f>
        <v>ENVI0001</v>
      </c>
      <c r="N87" t="s">
        <v>5401</v>
      </c>
      <c r="O87" t="s">
        <v>6695</v>
      </c>
      <c r="P87">
        <v>1987</v>
      </c>
      <c r="Q87">
        <v>37</v>
      </c>
      <c r="R87" t="s">
        <v>6663</v>
      </c>
      <c r="S87" s="1">
        <v>41219</v>
      </c>
      <c r="T87" s="1">
        <v>41236</v>
      </c>
      <c r="U87" t="str">
        <f ca="1">IF(RANDBETWEEN(1,10)&gt;1,"rg:False","rg:True")</f>
        <v>rg:False</v>
      </c>
      <c r="V87" t="str">
        <f ca="1">IF(U87="rg:True","This equipment should be archived","rg:None")</f>
        <v>rg:None</v>
      </c>
      <c r="W87" t="s">
        <v>7094</v>
      </c>
      <c r="X87" t="s">
        <v>76</v>
      </c>
      <c r="Y87" t="s">
        <v>76</v>
      </c>
      <c r="Z87" t="s">
        <v>76</v>
      </c>
      <c r="AA87" t="s">
        <v>7441</v>
      </c>
      <c r="AB87" t="s">
        <v>7291</v>
      </c>
      <c r="AC87">
        <v>0</v>
      </c>
      <c r="AD87" t="str">
        <f ca="1">IF(RANDBETWEEN(1,20)&gt;1,"rg:False","rg:True")</f>
        <v>rg:False</v>
      </c>
      <c r="AE87" t="str">
        <f ca="1">IF(AD87="rg:True","Seniority overridden to test things","rg:None")</f>
        <v>rg:None</v>
      </c>
      <c r="AF87" s="1">
        <v>42481</v>
      </c>
      <c r="AG87" s="4">
        <f ca="1">IF(I87="Dump Truck",60,30)*AH87+(AVERAGE(AI87:AK87))</f>
        <v>238</v>
      </c>
      <c r="AH87" s="4">
        <f>YEARFRAC(DATE("2016","4","1"),T87)</f>
        <v>3.3555555555555556</v>
      </c>
      <c r="AI87">
        <f ca="1">IF(AH87&lt;1,0,RANDBETWEEN(0,200))</f>
        <v>82</v>
      </c>
      <c r="AJ87">
        <f ca="1">IF(AH87&lt;2,0,RANDBETWEEN(0,200))</f>
        <v>155</v>
      </c>
      <c r="AK87">
        <f ca="1">IF(AH87&lt;3,0,RANDBETWEEN(0,200))</f>
        <v>175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>IF(ISNUMBER(B87),B87+1,200000)</f>
        <v>200086</v>
      </c>
      <c r="C88">
        <v>200025</v>
      </c>
      <c r="D88" t="str">
        <f>"rg:{'id': '"&amp;C88&amp;"'}"</f>
        <v>rg:{'id': '200025'}</v>
      </c>
      <c r="E88">
        <f>VLOOKUP(C88,Owners.csv!C:J,6,FALSE)</f>
        <v>200001</v>
      </c>
      <c r="F88" t="str">
        <f>VLOOKUP(VLOOKUP(E88,LocalAreas.csv!I:K,3,FALSE),ServiceAreas.csv!F:J,5,FALSE)</f>
        <v>200009</v>
      </c>
      <c r="G88" t="str">
        <f>"rg:{'id': '"&amp;E88&amp;"'}"</f>
        <v>rg:{'id': '200001'}</v>
      </c>
      <c r="H88" t="s">
        <v>7683</v>
      </c>
      <c r="I88" t="s">
        <v>5642</v>
      </c>
      <c r="J88">
        <f>VLOOKUP(I88&amp;"-"&amp;F88,DistrictEquipmentTypes.csv!J:K,2,FALSE)</f>
        <v>200004</v>
      </c>
      <c r="K88" t="str">
        <f>"rg:{'id': '"&amp;J88&amp;"'}"</f>
        <v>rg:{'id': '200004'}</v>
      </c>
      <c r="L88">
        <f>IF(C88=C87,L87+1,1)</f>
        <v>2</v>
      </c>
      <c r="M88" t="str">
        <f>VLOOKUP(C88,Owners.csv!C:K,9,FALSE)&amp;TEXT(Equipment.csv!L88,"0000")</f>
        <v>ENVI0002</v>
      </c>
      <c r="N88" t="s">
        <v>5401</v>
      </c>
      <c r="O88" t="s">
        <v>6705</v>
      </c>
      <c r="P88">
        <v>1996</v>
      </c>
      <c r="Q88">
        <v>47</v>
      </c>
      <c r="R88" t="s">
        <v>6663</v>
      </c>
      <c r="S88" s="1">
        <v>38590</v>
      </c>
      <c r="T88" s="1">
        <v>38595</v>
      </c>
      <c r="U88" t="str">
        <f ca="1">IF(RANDBETWEEN(1,10)&gt;1,"rg:False","rg:True")</f>
        <v>rg:False</v>
      </c>
      <c r="V88" t="str">
        <f ca="1">IF(U88="rg:True","This equipment should be archived","rg:None")</f>
        <v>rg:None</v>
      </c>
      <c r="W88" t="s">
        <v>7104</v>
      </c>
      <c r="X88" t="s">
        <v>76</v>
      </c>
      <c r="Y88" t="s">
        <v>76</v>
      </c>
      <c r="Z88" t="s">
        <v>76</v>
      </c>
      <c r="AA88" t="s">
        <v>7451</v>
      </c>
      <c r="AB88" t="s">
        <v>7270</v>
      </c>
      <c r="AC88">
        <v>0</v>
      </c>
      <c r="AD88" t="str">
        <f ca="1">IF(RANDBETWEEN(1,20)&gt;1,"rg:False","rg:True")</f>
        <v>rg:False</v>
      </c>
      <c r="AE88" t="str">
        <f ca="1">IF(AD88="rg:True","Seniority overridden to test things","rg:None")</f>
        <v>rg:None</v>
      </c>
      <c r="AF88" s="1">
        <v>42480</v>
      </c>
      <c r="AG88" s="4">
        <f ca="1">IF(I88="Dump Truck",60,30)*AH88+(AVERAGE(AI88:AK88))</f>
        <v>333.91666666666663</v>
      </c>
      <c r="AH88" s="4">
        <f>YEARFRAC(DATE("2016","4","1"),T88)</f>
        <v>10.58611111111111</v>
      </c>
      <c r="AI88">
        <f ca="1">IF(AH88&lt;1,0,RANDBETWEEN(0,200))</f>
        <v>19</v>
      </c>
      <c r="AJ88">
        <f ca="1">IF(AH88&lt;2,0,RANDBETWEEN(0,200))</f>
        <v>8</v>
      </c>
      <c r="AK88">
        <f ca="1">IF(AH88&lt;3,0,RANDBETWEEN(0,200))</f>
        <v>22</v>
      </c>
      <c r="AL88" t="s">
        <v>326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>IF(ISNUMBER(B88),B88+1,200000)</f>
        <v>200087</v>
      </c>
      <c r="C89">
        <v>200025</v>
      </c>
      <c r="D89" t="str">
        <f>"rg:{'id': '"&amp;C89&amp;"'}"</f>
        <v>rg:{'id': '200025'}</v>
      </c>
      <c r="E89">
        <f>VLOOKUP(C89,Owners.csv!C:J,6,FALSE)</f>
        <v>200001</v>
      </c>
      <c r="F89" t="str">
        <f>VLOOKUP(VLOOKUP(E89,LocalAreas.csv!I:K,3,FALSE),ServiceAreas.csv!F:J,5,FALSE)</f>
        <v>200009</v>
      </c>
      <c r="G89" t="str">
        <f>"rg:{'id': '"&amp;E89&amp;"'}"</f>
        <v>rg:{'id': '200001'}</v>
      </c>
      <c r="H89" t="s">
        <v>7690</v>
      </c>
      <c r="I89" t="s">
        <v>5640</v>
      </c>
      <c r="J89">
        <f>VLOOKUP(I89&amp;"-"&amp;F89,DistrictEquipmentTypes.csv!J:K,2,FALSE)</f>
        <v>200002</v>
      </c>
      <c r="K89" t="str">
        <f>"rg:{'id': '"&amp;J89&amp;"'}"</f>
        <v>rg:{'id': '200002'}</v>
      </c>
      <c r="L89">
        <f>IF(C89=C88,L88+1,1)</f>
        <v>3</v>
      </c>
      <c r="M89" t="str">
        <f>VLOOKUP(C89,Owners.csv!C:K,9,FALSE)&amp;TEXT(Equipment.csv!L89,"0000")</f>
        <v>ENVI0003</v>
      </c>
      <c r="N89" t="s">
        <v>5401</v>
      </c>
      <c r="O89" t="s">
        <v>6715</v>
      </c>
      <c r="P89">
        <v>2013</v>
      </c>
      <c r="Q89">
        <v>57</v>
      </c>
      <c r="R89" t="s">
        <v>6663</v>
      </c>
      <c r="S89" s="1">
        <v>39217</v>
      </c>
      <c r="T89" s="1">
        <v>39246</v>
      </c>
      <c r="U89" t="str">
        <f ca="1">IF(RANDBETWEEN(1,10)&gt;1,"rg:False","rg:True")</f>
        <v>rg:False</v>
      </c>
      <c r="V89" t="str">
        <f ca="1">IF(U89="rg:True","This equipment should be archived","rg:None")</f>
        <v>rg:None</v>
      </c>
      <c r="W89" t="s">
        <v>7114</v>
      </c>
      <c r="X89" t="s">
        <v>76</v>
      </c>
      <c r="Y89" t="s">
        <v>76</v>
      </c>
      <c r="Z89" t="s">
        <v>76</v>
      </c>
      <c r="AA89" t="s">
        <v>7461</v>
      </c>
      <c r="AB89" t="s">
        <v>7309</v>
      </c>
      <c r="AC89">
        <v>0</v>
      </c>
      <c r="AD89" t="str">
        <f ca="1">IF(RANDBETWEEN(1,20)&gt;1,"rg:False","rg:True")</f>
        <v>rg:False</v>
      </c>
      <c r="AE89" t="str">
        <f ca="1">IF(AD89="rg:True","Seniority overridden to test things","rg:None")</f>
        <v>rg:None</v>
      </c>
      <c r="AF89" s="1">
        <v>42481</v>
      </c>
      <c r="AG89" s="4">
        <f ca="1">IF(I89="Dump Truck",60,30)*AH89+(AVERAGE(AI89:AK89))</f>
        <v>351.66666666666669</v>
      </c>
      <c r="AH89" s="4">
        <f>YEARFRAC(DATE("2016","4","1"),T89)</f>
        <v>8.8000000000000007</v>
      </c>
      <c r="AI89">
        <f ca="1">IF(AH89&lt;1,0,RANDBETWEEN(0,200))</f>
        <v>112</v>
      </c>
      <c r="AJ89">
        <f ca="1">IF(AH89&lt;2,0,RANDBETWEEN(0,200))</f>
        <v>71</v>
      </c>
      <c r="AK89">
        <f ca="1">IF(AH89&lt;3,0,RANDBETWEEN(0,200))</f>
        <v>80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>IF(ISNUMBER(B89),B89+1,200000)</f>
        <v>200088</v>
      </c>
      <c r="C90">
        <v>200025</v>
      </c>
      <c r="D90" t="str">
        <f>"rg:{'id': '"&amp;C90&amp;"'}"</f>
        <v>rg:{'id': '200025'}</v>
      </c>
      <c r="E90">
        <f>VLOOKUP(C90,Owners.csv!C:J,6,FALSE)</f>
        <v>200001</v>
      </c>
      <c r="F90" t="str">
        <f>VLOOKUP(VLOOKUP(E90,LocalAreas.csv!I:K,3,FALSE),ServiceAreas.csv!F:J,5,FALSE)</f>
        <v>200009</v>
      </c>
      <c r="G90" t="str">
        <f>"rg:{'id': '"&amp;E90&amp;"'}"</f>
        <v>rg:{'id': '200001'}</v>
      </c>
      <c r="H90" t="s">
        <v>7698</v>
      </c>
      <c r="I90" t="s">
        <v>5640</v>
      </c>
      <c r="J90">
        <f>VLOOKUP(I90&amp;"-"&amp;F90,DistrictEquipmentTypes.csv!J:K,2,FALSE)</f>
        <v>200002</v>
      </c>
      <c r="K90" t="str">
        <f>"rg:{'id': '"&amp;J90&amp;"'}"</f>
        <v>rg:{'id': '200002'}</v>
      </c>
      <c r="L90">
        <f>IF(C90=C89,L89+1,1)</f>
        <v>4</v>
      </c>
      <c r="M90" t="str">
        <f>VLOOKUP(C90,Owners.csv!C:K,9,FALSE)&amp;TEXT(Equipment.csv!L90,"0000")</f>
        <v>ENVI0004</v>
      </c>
      <c r="N90" t="s">
        <v>5401</v>
      </c>
      <c r="O90" t="s">
        <v>6725</v>
      </c>
      <c r="P90">
        <v>1982</v>
      </c>
      <c r="Q90">
        <v>67</v>
      </c>
      <c r="R90" t="s">
        <v>6663</v>
      </c>
      <c r="S90" s="1">
        <v>38606</v>
      </c>
      <c r="T90" s="1">
        <v>38629</v>
      </c>
      <c r="U90" t="str">
        <f ca="1">IF(RANDBETWEEN(1,10)&gt;1,"rg:False","rg:True")</f>
        <v>rg:False</v>
      </c>
      <c r="V90" t="str">
        <f ca="1">IF(U90="rg:True","This equipment should be archived","rg:None")</f>
        <v>rg:None</v>
      </c>
      <c r="W90" t="s">
        <v>7124</v>
      </c>
      <c r="X90" t="s">
        <v>76</v>
      </c>
      <c r="Y90" t="s">
        <v>76</v>
      </c>
      <c r="Z90" t="s">
        <v>76</v>
      </c>
      <c r="AA90" t="s">
        <v>7471</v>
      </c>
      <c r="AB90" t="s">
        <v>7316</v>
      </c>
      <c r="AC90">
        <v>0</v>
      </c>
      <c r="AD90" t="str">
        <f ca="1">IF(RANDBETWEEN(1,20)&gt;1,"rg:False","rg:True")</f>
        <v>rg:False</v>
      </c>
      <c r="AE90" t="str">
        <f ca="1">IF(AD90="rg:True","Seniority overridden to test things","rg:None")</f>
        <v>rg:None</v>
      </c>
      <c r="AF90" s="1">
        <v>42481</v>
      </c>
      <c r="AG90" s="4">
        <f ca="1">IF(I90="Dump Truck",60,30)*AH90+(AVERAGE(AI90:AK90))</f>
        <v>391.75</v>
      </c>
      <c r="AH90" s="4">
        <f>YEARFRAC(DATE("2016","4","1"),T90)</f>
        <v>10.491666666666667</v>
      </c>
      <c r="AI90">
        <f ca="1">IF(AH90&lt;1,0,RANDBETWEEN(0,200))</f>
        <v>54</v>
      </c>
      <c r="AJ90">
        <f ca="1">IF(AH90&lt;2,0,RANDBETWEEN(0,200))</f>
        <v>164</v>
      </c>
      <c r="AK90">
        <f ca="1">IF(AH90&lt;3,0,RANDBETWEEN(0,200))</f>
        <v>13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>IF(ISNUMBER(B90),B90+1,200000)</f>
        <v>200089</v>
      </c>
      <c r="C91">
        <v>200025</v>
      </c>
      <c r="D91" t="str">
        <f>"rg:{'id': '"&amp;C91&amp;"'}"</f>
        <v>rg:{'id': '200025'}</v>
      </c>
      <c r="E91">
        <f>VLOOKUP(C91,Owners.csv!C:J,6,FALSE)</f>
        <v>200001</v>
      </c>
      <c r="F91" t="str">
        <f>VLOOKUP(VLOOKUP(E91,LocalAreas.csv!I:K,3,FALSE),ServiceAreas.csv!F:J,5,FALSE)</f>
        <v>200009</v>
      </c>
      <c r="G91" t="str">
        <f>"rg:{'id': '"&amp;E91&amp;"'}"</f>
        <v>rg:{'id': '200001'}</v>
      </c>
      <c r="H91" t="s">
        <v>7651</v>
      </c>
      <c r="I91" t="s">
        <v>5651</v>
      </c>
      <c r="J91">
        <f>VLOOKUP(I91&amp;"-"&amp;F91,DistrictEquipmentTypes.csv!J:K,2,FALSE)</f>
        <v>200006</v>
      </c>
      <c r="K91" t="str">
        <f>"rg:{'id': '"&amp;J91&amp;"'}"</f>
        <v>rg:{'id': '200006'}</v>
      </c>
      <c r="L91">
        <f>IF(C91=C90,L90+1,1)</f>
        <v>5</v>
      </c>
      <c r="M91" t="str">
        <f>VLOOKUP(C91,Owners.csv!C:K,9,FALSE)&amp;TEXT(Equipment.csv!L91,"0000")</f>
        <v>ENVI0005</v>
      </c>
      <c r="N91" t="s">
        <v>5401</v>
      </c>
      <c r="O91" t="s">
        <v>6733</v>
      </c>
      <c r="P91">
        <v>1980</v>
      </c>
      <c r="Q91">
        <v>75</v>
      </c>
      <c r="R91" t="s">
        <v>6663</v>
      </c>
      <c r="S91" s="1">
        <v>40141</v>
      </c>
      <c r="T91" s="1">
        <v>40169</v>
      </c>
      <c r="U91" t="str">
        <f ca="1">IF(RANDBETWEEN(1,10)&gt;1,"rg:False","rg:True")</f>
        <v>rg:False</v>
      </c>
      <c r="V91" t="str">
        <f ca="1">IF(U91="rg:True","This equipment should be archived","rg:None")</f>
        <v>rg:None</v>
      </c>
      <c r="W91" t="s">
        <v>7132</v>
      </c>
      <c r="X91" t="s">
        <v>76</v>
      </c>
      <c r="Y91" t="s">
        <v>76</v>
      </c>
      <c r="Z91" t="s">
        <v>76</v>
      </c>
      <c r="AA91" t="s">
        <v>7479</v>
      </c>
      <c r="AB91" t="s">
        <v>7321</v>
      </c>
      <c r="AC91">
        <v>0</v>
      </c>
      <c r="AD91" t="str">
        <f ca="1">IF(RANDBETWEEN(1,20)&gt;1,"rg:False","rg:True")</f>
        <v>rg:True</v>
      </c>
      <c r="AE91" t="str">
        <f ca="1">IF(AD91="rg:True","Seniority overridden to test things","rg:None")</f>
        <v>Seniority overridden to test things</v>
      </c>
      <c r="AF91" s="1">
        <v>42481</v>
      </c>
      <c r="AG91" s="4">
        <f ca="1">IF(I91="Dump Truck",60,30)*AH91+(AVERAGE(AI91:AK91))</f>
        <v>457.16666666666669</v>
      </c>
      <c r="AH91" s="4">
        <f>YEARFRAC(DATE("2016","4","1"),T91)</f>
        <v>6.2750000000000004</v>
      </c>
      <c r="AI91">
        <f ca="1">IF(AH91&lt;1,0,RANDBETWEEN(0,200))</f>
        <v>127</v>
      </c>
      <c r="AJ91">
        <f ca="1">IF(AH91&lt;2,0,RANDBETWEEN(0,200))</f>
        <v>104</v>
      </c>
      <c r="AK91">
        <f ca="1">IF(AH91&lt;3,0,RANDBETWEEN(0,200))</f>
        <v>11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>IF(ISNUMBER(B91),B91+1,200000)</f>
        <v>200090</v>
      </c>
      <c r="C92">
        <v>200025</v>
      </c>
      <c r="D92" t="str">
        <f>"rg:{'id': '"&amp;C92&amp;"'}"</f>
        <v>rg:{'id': '200025'}</v>
      </c>
      <c r="E92">
        <f>VLOOKUP(C92,Owners.csv!C:J,6,FALSE)</f>
        <v>200001</v>
      </c>
      <c r="F92" t="str">
        <f>VLOOKUP(VLOOKUP(E92,LocalAreas.csv!I:K,3,FALSE),ServiceAreas.csv!F:J,5,FALSE)</f>
        <v>200009</v>
      </c>
      <c r="G92" t="str">
        <f>"rg:{'id': '"&amp;E92&amp;"'}"</f>
        <v>rg:{'id': '200001'}</v>
      </c>
      <c r="H92" t="s">
        <v>7717</v>
      </c>
      <c r="I92" t="s">
        <v>5651</v>
      </c>
      <c r="J92">
        <f>VLOOKUP(I92&amp;"-"&amp;F92,DistrictEquipmentTypes.csv!J:K,2,FALSE)</f>
        <v>200006</v>
      </c>
      <c r="K92" t="str">
        <f>"rg:{'id': '"&amp;J92&amp;"'}"</f>
        <v>rg:{'id': '200006'}</v>
      </c>
      <c r="L92">
        <f>IF(C92=C91,L91+1,1)</f>
        <v>6</v>
      </c>
      <c r="M92" t="str">
        <f>VLOOKUP(C92,Owners.csv!C:K,9,FALSE)&amp;TEXT(Equipment.csv!L92,"0000")</f>
        <v>ENVI0006</v>
      </c>
      <c r="N92" t="s">
        <v>5401</v>
      </c>
      <c r="O92" t="s">
        <v>6753</v>
      </c>
      <c r="P92">
        <v>1978</v>
      </c>
      <c r="Q92">
        <v>95</v>
      </c>
      <c r="R92" t="s">
        <v>6663</v>
      </c>
      <c r="S92" s="1">
        <v>39052</v>
      </c>
      <c r="T92" s="1">
        <v>39079</v>
      </c>
      <c r="U92" t="str">
        <f ca="1">IF(RANDBETWEEN(1,10)&gt;1,"rg:False","rg:True")</f>
        <v>rg:False</v>
      </c>
      <c r="V92" t="str">
        <f ca="1">IF(U92="rg:True","This equipment should be archived","rg:None")</f>
        <v>rg:None</v>
      </c>
      <c r="W92" t="s">
        <v>7152</v>
      </c>
      <c r="X92" t="s">
        <v>76</v>
      </c>
      <c r="Y92" t="s">
        <v>76</v>
      </c>
      <c r="Z92" t="s">
        <v>76</v>
      </c>
      <c r="AA92" t="s">
        <v>7499</v>
      </c>
      <c r="AB92" t="s">
        <v>7336</v>
      </c>
      <c r="AC92">
        <v>0</v>
      </c>
      <c r="AD92" t="str">
        <f ca="1">IF(RANDBETWEEN(1,20)&gt;1,"rg:False","rg:True")</f>
        <v>rg:False</v>
      </c>
      <c r="AE92" t="str">
        <f ca="1">IF(AD92="rg:True","Seniority overridden to test things","rg:None")</f>
        <v>rg:None</v>
      </c>
      <c r="AF92" s="1">
        <v>42481</v>
      </c>
      <c r="AG92" s="4">
        <f ca="1">IF(I92="Dump Truck",60,30)*AH92+(AVERAGE(AI92:AK92))</f>
        <v>660.5</v>
      </c>
      <c r="AH92" s="4">
        <f>YEARFRAC(DATE("2016","4","1"),T92)</f>
        <v>9.2583333333333329</v>
      </c>
      <c r="AI92">
        <f ca="1">IF(AH92&lt;1,0,RANDBETWEEN(0,200))</f>
        <v>164</v>
      </c>
      <c r="AJ92">
        <f ca="1">IF(AH92&lt;2,0,RANDBETWEEN(0,200))</f>
        <v>57</v>
      </c>
      <c r="AK92">
        <f ca="1">IF(AH92&lt;3,0,RANDBETWEEN(0,200))</f>
        <v>94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>IF(ISNUMBER(B92),B92+1,200000)</f>
        <v>200091</v>
      </c>
      <c r="C93">
        <v>200025</v>
      </c>
      <c r="D93" t="str">
        <f>"rg:{'id': '"&amp;C93&amp;"'}"</f>
        <v>rg:{'id': '200025'}</v>
      </c>
      <c r="E93">
        <f>VLOOKUP(C93,Owners.csv!C:J,6,FALSE)</f>
        <v>200001</v>
      </c>
      <c r="F93" t="str">
        <f>VLOOKUP(VLOOKUP(E93,LocalAreas.csv!I:K,3,FALSE),ServiceAreas.csv!F:J,5,FALSE)</f>
        <v>200009</v>
      </c>
      <c r="G93" t="str">
        <f>"rg:{'id': '"&amp;E93&amp;"'}"</f>
        <v>rg:{'id': '200001'}</v>
      </c>
      <c r="H93" t="s">
        <v>7670</v>
      </c>
      <c r="I93" t="s">
        <v>5637</v>
      </c>
      <c r="J93">
        <f>VLOOKUP(I93&amp;"-"&amp;F93,DistrictEquipmentTypes.csv!J:K,2,FALSE)</f>
        <v>200001</v>
      </c>
      <c r="K93" t="str">
        <f>"rg:{'id': '"&amp;J93&amp;"'}"</f>
        <v>rg:{'id': '200001'}</v>
      </c>
      <c r="L93">
        <f>IF(C93=C92,L92+1,1)</f>
        <v>7</v>
      </c>
      <c r="M93" t="str">
        <f>VLOOKUP(C93,Owners.csv!C:K,9,FALSE)&amp;TEXT(Equipment.csv!L93,"0000")</f>
        <v>ENVI0007</v>
      </c>
      <c r="N93" t="s">
        <v>5401</v>
      </c>
      <c r="O93" t="s">
        <v>6773</v>
      </c>
      <c r="P93">
        <v>1989</v>
      </c>
      <c r="Q93">
        <v>115</v>
      </c>
      <c r="R93" t="s">
        <v>6663</v>
      </c>
      <c r="S93" s="1">
        <v>41134</v>
      </c>
      <c r="T93" s="1">
        <v>41142</v>
      </c>
      <c r="U93" t="str">
        <f ca="1">IF(RANDBETWEEN(1,10)&gt;1,"rg:False","rg:True")</f>
        <v>rg:True</v>
      </c>
      <c r="V93" t="str">
        <f ca="1">IF(U93="rg:True","This equipment should be archived","rg:None")</f>
        <v>This equipment should be archived</v>
      </c>
      <c r="W93" t="s">
        <v>7172</v>
      </c>
      <c r="X93" t="s">
        <v>76</v>
      </c>
      <c r="Y93" t="s">
        <v>76</v>
      </c>
      <c r="Z93" t="s">
        <v>76</v>
      </c>
      <c r="AA93" t="s">
        <v>7519</v>
      </c>
      <c r="AB93" t="s">
        <v>7352</v>
      </c>
      <c r="AC93">
        <v>0</v>
      </c>
      <c r="AD93" t="str">
        <f ca="1">IF(RANDBETWEEN(1,20)&gt;1,"rg:False","rg:True")</f>
        <v>rg:False</v>
      </c>
      <c r="AE93" t="str">
        <f ca="1">IF(AD93="rg:True","Seniority overridden to test things","rg:None")</f>
        <v>rg:None</v>
      </c>
      <c r="AF93" s="1">
        <v>42481</v>
      </c>
      <c r="AG93" s="4">
        <f ca="1">IF(I93="Dump Truck",60,30)*AH93+(AVERAGE(AI93:AK93))</f>
        <v>221.33333333333331</v>
      </c>
      <c r="AH93" s="4">
        <f>YEARFRAC(DATE("2016","4","1"),T93)</f>
        <v>3.6111111111111112</v>
      </c>
      <c r="AI93">
        <f ca="1">IF(AH93&lt;1,0,RANDBETWEEN(0,200))</f>
        <v>91</v>
      </c>
      <c r="AJ93">
        <f ca="1">IF(AH93&lt;2,0,RANDBETWEEN(0,200))</f>
        <v>77</v>
      </c>
      <c r="AK93">
        <f ca="1">IF(AH93&lt;3,0,RANDBETWEEN(0,200))</f>
        <v>171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>IF(ISNUMBER(B93),B93+1,200000)</f>
        <v>200092</v>
      </c>
      <c r="C94">
        <v>200025</v>
      </c>
      <c r="D94" t="str">
        <f>"rg:{'id': '"&amp;C94&amp;"'}"</f>
        <v>rg:{'id': '200025'}</v>
      </c>
      <c r="E94">
        <f>VLOOKUP(C94,Owners.csv!C:J,6,FALSE)</f>
        <v>200001</v>
      </c>
      <c r="F94" t="str">
        <f>VLOOKUP(VLOOKUP(E94,LocalAreas.csv!I:K,3,FALSE),ServiceAreas.csv!F:J,5,FALSE)</f>
        <v>200009</v>
      </c>
      <c r="G94" t="str">
        <f>"rg:{'id': '"&amp;E94&amp;"'}"</f>
        <v>rg:{'id': '200001'}</v>
      </c>
      <c r="H94" t="s">
        <v>7692</v>
      </c>
      <c r="I94" t="s">
        <v>5536</v>
      </c>
      <c r="J94">
        <f>VLOOKUP(I94&amp;"-"&amp;F94,DistrictEquipmentTypes.csv!J:K,2,FALSE)</f>
        <v>200000</v>
      </c>
      <c r="K94" t="str">
        <f>"rg:{'id': '"&amp;J94&amp;"'}"</f>
        <v>rg:{'id': '200000'}</v>
      </c>
      <c r="L94">
        <f>IF(C94=C93,L93+1,1)</f>
        <v>8</v>
      </c>
      <c r="M94" t="str">
        <f>VLOOKUP(C94,Owners.csv!C:K,9,FALSE)&amp;TEXT(Equipment.csv!L94,"0000")</f>
        <v>ENVI0008</v>
      </c>
      <c r="N94" t="s">
        <v>5401</v>
      </c>
      <c r="O94" t="s">
        <v>6788</v>
      </c>
      <c r="P94">
        <v>1982</v>
      </c>
      <c r="Q94">
        <v>130</v>
      </c>
      <c r="R94" t="s">
        <v>6663</v>
      </c>
      <c r="S94" s="1">
        <v>42335</v>
      </c>
      <c r="T94" s="1">
        <v>42363</v>
      </c>
      <c r="U94" t="str">
        <f ca="1">IF(RANDBETWEEN(1,10)&gt;1,"rg:False","rg:True")</f>
        <v>rg:True</v>
      </c>
      <c r="V94" t="str">
        <f ca="1">IF(U94="rg:True","This equipment should be archived","rg:None")</f>
        <v>This equipment should be archived</v>
      </c>
      <c r="W94" t="s">
        <v>7187</v>
      </c>
      <c r="X94" t="s">
        <v>76</v>
      </c>
      <c r="Y94" t="s">
        <v>76</v>
      </c>
      <c r="Z94" t="s">
        <v>76</v>
      </c>
      <c r="AA94" t="s">
        <v>7534</v>
      </c>
      <c r="AB94" t="s">
        <v>7363</v>
      </c>
      <c r="AC94">
        <v>0</v>
      </c>
      <c r="AD94" t="str">
        <f ca="1">IF(RANDBETWEEN(1,20)&gt;1,"rg:False","rg:True")</f>
        <v>rg:False</v>
      </c>
      <c r="AE94" t="str">
        <f ca="1">IF(AD94="rg:True","Seniority overridden to test things","rg:None")</f>
        <v>rg:None</v>
      </c>
      <c r="AF94" s="1">
        <v>42481</v>
      </c>
      <c r="AG94" s="4">
        <f ca="1">IF(I94="Dump Truck",60,30)*AH94+(AVERAGE(AI94:AK94))</f>
        <v>8</v>
      </c>
      <c r="AH94" s="4">
        <f>YEARFRAC(DATE("2016","4","1"),T94)</f>
        <v>0.26666666666666666</v>
      </c>
      <c r="AI94">
        <f ca="1">IF(AH94&lt;1,0,RANDBETWEEN(0,200))</f>
        <v>0</v>
      </c>
      <c r="AJ94">
        <f ca="1">IF(AH94&lt;2,0,RANDBETWEEN(0,200))</f>
        <v>0</v>
      </c>
      <c r="AK94">
        <f ca="1">IF(AH94&lt;3,0,RANDBETWEEN(0,200))</f>
        <v>0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>IF(ISNUMBER(B94),B94+1,200000)</f>
        <v>200093</v>
      </c>
      <c r="C95">
        <v>200026</v>
      </c>
      <c r="D95" t="str">
        <f>"rg:{'id': '"&amp;C95&amp;"'}"</f>
        <v>rg:{'id': '200026'}</v>
      </c>
      <c r="E95">
        <f>VLOOKUP(C95,Owners.csv!C:J,6,FALSE)</f>
        <v>200001</v>
      </c>
      <c r="F95" t="str">
        <f>VLOOKUP(VLOOKUP(E95,LocalAreas.csv!I:K,3,FALSE),ServiceAreas.csv!F:J,5,FALSE)</f>
        <v>200009</v>
      </c>
      <c r="G95" t="str">
        <f>"rg:{'id': '"&amp;E95&amp;"'}"</f>
        <v>rg:{'id': '200001'}</v>
      </c>
      <c r="H95" t="s">
        <v>7677</v>
      </c>
      <c r="I95" t="s">
        <v>5642</v>
      </c>
      <c r="J95">
        <f>VLOOKUP(I95&amp;"-"&amp;F95,DistrictEquipmentTypes.csv!J:K,2,FALSE)</f>
        <v>200004</v>
      </c>
      <c r="K95" t="str">
        <f>"rg:{'id': '"&amp;J95&amp;"'}"</f>
        <v>rg:{'id': '200004'}</v>
      </c>
      <c r="L95">
        <f>IF(C95=C94,L94+1,1)</f>
        <v>1</v>
      </c>
      <c r="M95" t="str">
        <f>VLOOKUP(C95,Owners.csv!C:K,9,FALSE)&amp;TEXT(Equipment.csv!L95,"0000")</f>
        <v>FAMI0001</v>
      </c>
      <c r="N95" t="s">
        <v>5401</v>
      </c>
      <c r="O95" t="s">
        <v>6696</v>
      </c>
      <c r="P95">
        <v>2005</v>
      </c>
      <c r="Q95">
        <v>38</v>
      </c>
      <c r="R95" t="s">
        <v>6663</v>
      </c>
      <c r="S95" s="1">
        <v>42519</v>
      </c>
      <c r="T95" s="1">
        <v>42538</v>
      </c>
      <c r="U95" t="str">
        <f ca="1">IF(RANDBETWEEN(1,10)&gt;1,"rg:False","rg:True")</f>
        <v>rg:False</v>
      </c>
      <c r="V95" t="str">
        <f ca="1">IF(U95="rg:True","This equipment should be archived","rg:None")</f>
        <v>rg:None</v>
      </c>
      <c r="W95" t="s">
        <v>7095</v>
      </c>
      <c r="X95" t="s">
        <v>76</v>
      </c>
      <c r="Y95" t="s">
        <v>76</v>
      </c>
      <c r="Z95" t="s">
        <v>76</v>
      </c>
      <c r="AA95" t="s">
        <v>7442</v>
      </c>
      <c r="AB95" t="s">
        <v>7292</v>
      </c>
      <c r="AC95">
        <v>0</v>
      </c>
      <c r="AD95" t="str">
        <f ca="1">IF(RANDBETWEEN(1,20)&gt;1,"rg:False","rg:True")</f>
        <v>rg:True</v>
      </c>
      <c r="AE95" t="str">
        <f ca="1">IF(AD95="rg:True","Seniority overridden to test things","rg:None")</f>
        <v>Seniority overridden to test things</v>
      </c>
      <c r="AF95" s="1">
        <v>42480</v>
      </c>
      <c r="AG95" s="4">
        <f ca="1">IF(I95="Dump Truck",60,30)*AH95+(AVERAGE(AI95:AK95))</f>
        <v>6.333333333333333</v>
      </c>
      <c r="AH95" s="4">
        <f>YEARFRAC(DATE("2016","4","1"),T95)</f>
        <v>0.21111111111111111</v>
      </c>
      <c r="AI95">
        <f ca="1">IF(AH95&lt;1,0,RANDBETWEEN(0,200))</f>
        <v>0</v>
      </c>
      <c r="AJ95">
        <f ca="1">IF(AH95&lt;2,0,RANDBETWEEN(0,200))</f>
        <v>0</v>
      </c>
      <c r="AK95">
        <f ca="1">IF(AH95&lt;3,0,RANDBETWEEN(0,200))</f>
        <v>0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>IF(ISNUMBER(B95),B95+1,200000)</f>
        <v>200094</v>
      </c>
      <c r="C96">
        <v>200026</v>
      </c>
      <c r="D96" t="str">
        <f>"rg:{'id': '"&amp;C96&amp;"'}"</f>
        <v>rg:{'id': '200026'}</v>
      </c>
      <c r="E96">
        <f>VLOOKUP(C96,Owners.csv!C:J,6,FALSE)</f>
        <v>200001</v>
      </c>
      <c r="F96" t="str">
        <f>VLOOKUP(VLOOKUP(E96,LocalAreas.csv!I:K,3,FALSE),ServiceAreas.csv!F:J,5,FALSE)</f>
        <v>200009</v>
      </c>
      <c r="G96" t="str">
        <f>"rg:{'id': '"&amp;E96&amp;"'}"</f>
        <v>rg:{'id': '200001'}</v>
      </c>
      <c r="H96" t="s">
        <v>7647</v>
      </c>
      <c r="I96" t="s">
        <v>5642</v>
      </c>
      <c r="J96">
        <f>VLOOKUP(I96&amp;"-"&amp;F96,DistrictEquipmentTypes.csv!J:K,2,FALSE)</f>
        <v>200004</v>
      </c>
      <c r="K96" t="str">
        <f>"rg:{'id': '"&amp;J96&amp;"'}"</f>
        <v>rg:{'id': '200004'}</v>
      </c>
      <c r="L96">
        <f>IF(C96=C95,L95+1,1)</f>
        <v>2</v>
      </c>
      <c r="M96" t="str">
        <f>VLOOKUP(C96,Owners.csv!C:K,9,FALSE)&amp;TEXT(Equipment.csv!L96,"0000")</f>
        <v>FAMI0002</v>
      </c>
      <c r="N96" t="s">
        <v>5401</v>
      </c>
      <c r="O96" t="s">
        <v>6706</v>
      </c>
      <c r="P96">
        <v>2009</v>
      </c>
      <c r="Q96">
        <v>48</v>
      </c>
      <c r="R96" t="s">
        <v>6663</v>
      </c>
      <c r="S96" s="1">
        <v>40209</v>
      </c>
      <c r="T96" s="1">
        <v>40211</v>
      </c>
      <c r="U96" t="str">
        <f ca="1">IF(RANDBETWEEN(1,10)&gt;1,"rg:False","rg:True")</f>
        <v>rg:False</v>
      </c>
      <c r="V96" t="str">
        <f ca="1">IF(U96="rg:True","This equipment should be archived","rg:None")</f>
        <v>rg:None</v>
      </c>
      <c r="W96" t="s">
        <v>7105</v>
      </c>
      <c r="X96" t="s">
        <v>76</v>
      </c>
      <c r="Y96" t="s">
        <v>76</v>
      </c>
      <c r="Z96" t="s">
        <v>76</v>
      </c>
      <c r="AA96" t="s">
        <v>7452</v>
      </c>
      <c r="AB96" t="s">
        <v>7301</v>
      </c>
      <c r="AC96">
        <v>0</v>
      </c>
      <c r="AD96" t="str">
        <f ca="1">IF(RANDBETWEEN(1,20)&gt;1,"rg:False","rg:True")</f>
        <v>rg:False</v>
      </c>
      <c r="AE96" t="str">
        <f ca="1">IF(AD96="rg:True","Seniority overridden to test things","rg:None")</f>
        <v>rg:None</v>
      </c>
      <c r="AF96" s="1">
        <v>42461</v>
      </c>
      <c r="AG96" s="4">
        <f ca="1">IF(I96="Dump Truck",60,30)*AH96+(AVERAGE(AI96:AK96))</f>
        <v>315.25</v>
      </c>
      <c r="AH96" s="4">
        <f>YEARFRAC(DATE("2016","4","1"),T96)</f>
        <v>6.1638888888888888</v>
      </c>
      <c r="AI96">
        <f ca="1">IF(AH96&lt;1,0,RANDBETWEEN(0,200))</f>
        <v>113</v>
      </c>
      <c r="AJ96">
        <f ca="1">IF(AH96&lt;2,0,RANDBETWEEN(0,200))</f>
        <v>124</v>
      </c>
      <c r="AK96">
        <f ca="1">IF(AH96&lt;3,0,RANDBETWEEN(0,200))</f>
        <v>154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>IF(ISNUMBER(B96),B96+1,200000)</f>
        <v>200095</v>
      </c>
      <c r="C97">
        <v>200026</v>
      </c>
      <c r="D97" t="str">
        <f>"rg:{'id': '"&amp;C97&amp;"'}"</f>
        <v>rg:{'id': '200026'}</v>
      </c>
      <c r="E97">
        <f>VLOOKUP(C97,Owners.csv!C:J,6,FALSE)</f>
        <v>200001</v>
      </c>
      <c r="F97" t="str">
        <f>VLOOKUP(VLOOKUP(E97,LocalAreas.csv!I:K,3,FALSE),ServiceAreas.csv!F:J,5,FALSE)</f>
        <v>200009</v>
      </c>
      <c r="G97" t="str">
        <f>"rg:{'id': '"&amp;E97&amp;"'}"</f>
        <v>rg:{'id': '200001'}</v>
      </c>
      <c r="H97" t="s">
        <v>7691</v>
      </c>
      <c r="I97" t="s">
        <v>5640</v>
      </c>
      <c r="J97">
        <f>VLOOKUP(I97&amp;"-"&amp;F97,DistrictEquipmentTypes.csv!J:K,2,FALSE)</f>
        <v>200002</v>
      </c>
      <c r="K97" t="str">
        <f>"rg:{'id': '"&amp;J97&amp;"'}"</f>
        <v>rg:{'id': '200002'}</v>
      </c>
      <c r="L97">
        <f>IF(C97=C96,L96+1,1)</f>
        <v>3</v>
      </c>
      <c r="M97" t="str">
        <f>VLOOKUP(C97,Owners.csv!C:K,9,FALSE)&amp;TEXT(Equipment.csv!L97,"0000")</f>
        <v>FAMI0003</v>
      </c>
      <c r="N97" t="s">
        <v>5401</v>
      </c>
      <c r="O97" t="s">
        <v>6716</v>
      </c>
      <c r="P97">
        <v>1980</v>
      </c>
      <c r="Q97">
        <v>58</v>
      </c>
      <c r="R97" t="s">
        <v>6663</v>
      </c>
      <c r="S97" s="1">
        <v>40016</v>
      </c>
      <c r="T97" s="1">
        <v>40032</v>
      </c>
      <c r="U97" t="str">
        <f ca="1">IF(RANDBETWEEN(1,10)&gt;1,"rg:False","rg:True")</f>
        <v>rg:True</v>
      </c>
      <c r="V97" t="str">
        <f ca="1">IF(U97="rg:True","This equipment should be archived","rg:None")</f>
        <v>This equipment should be archived</v>
      </c>
      <c r="W97" t="s">
        <v>7115</v>
      </c>
      <c r="X97" t="s">
        <v>76</v>
      </c>
      <c r="Y97" t="s">
        <v>76</v>
      </c>
      <c r="Z97" t="s">
        <v>76</v>
      </c>
      <c r="AA97" t="s">
        <v>7462</v>
      </c>
      <c r="AB97" t="s">
        <v>7256</v>
      </c>
      <c r="AC97">
        <v>0</v>
      </c>
      <c r="AD97" t="str">
        <f ca="1">IF(RANDBETWEEN(1,20)&gt;1,"rg:False","rg:True")</f>
        <v>rg:True</v>
      </c>
      <c r="AE97" t="str">
        <f ca="1">IF(AD97="rg:True","Seniority overridden to test things","rg:None")</f>
        <v>Seniority overridden to test things</v>
      </c>
      <c r="AF97" s="1">
        <v>42481</v>
      </c>
      <c r="AG97" s="4">
        <f ca="1">IF(I97="Dump Truck",60,30)*AH97+(AVERAGE(AI97:AK97))</f>
        <v>283.83333333333331</v>
      </c>
      <c r="AH97" s="4">
        <f>YEARFRAC(DATE("2016","4","1"),T97)</f>
        <v>6.65</v>
      </c>
      <c r="AI97">
        <f ca="1">IF(AH97&lt;1,0,RANDBETWEEN(0,200))</f>
        <v>51</v>
      </c>
      <c r="AJ97">
        <f ca="1">IF(AH97&lt;2,0,RANDBETWEEN(0,200))</f>
        <v>39</v>
      </c>
      <c r="AK97">
        <f ca="1">IF(AH97&lt;3,0,RANDBETWEEN(0,200))</f>
        <v>163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>IF(ISNUMBER(B97),B97+1,200000)</f>
        <v>200096</v>
      </c>
      <c r="C98">
        <v>200026</v>
      </c>
      <c r="D98" t="str">
        <f>"rg:{'id': '"&amp;C98&amp;"'}"</f>
        <v>rg:{'id': '200026'}</v>
      </c>
      <c r="E98">
        <f>VLOOKUP(C98,Owners.csv!C:J,6,FALSE)</f>
        <v>200001</v>
      </c>
      <c r="F98" t="str">
        <f>VLOOKUP(VLOOKUP(E98,LocalAreas.csv!I:K,3,FALSE),ServiceAreas.csv!F:J,5,FALSE)</f>
        <v>200009</v>
      </c>
      <c r="G98" t="str">
        <f>"rg:{'id': '"&amp;E98&amp;"'}"</f>
        <v>rg:{'id': '200001'}</v>
      </c>
      <c r="H98" t="s">
        <v>7706</v>
      </c>
      <c r="I98" t="s">
        <v>5651</v>
      </c>
      <c r="J98">
        <f>VLOOKUP(I98&amp;"-"&amp;F98,DistrictEquipmentTypes.csv!J:K,2,FALSE)</f>
        <v>200006</v>
      </c>
      <c r="K98" t="str">
        <f>"rg:{'id': '"&amp;J98&amp;"'}"</f>
        <v>rg:{'id': '200006'}</v>
      </c>
      <c r="L98">
        <f>IF(C98=C97,L97+1,1)</f>
        <v>4</v>
      </c>
      <c r="M98" t="str">
        <f>VLOOKUP(C98,Owners.csv!C:K,9,FALSE)&amp;TEXT(Equipment.csv!L98,"0000")</f>
        <v>FAMI0004</v>
      </c>
      <c r="N98" t="s">
        <v>5401</v>
      </c>
      <c r="O98" t="s">
        <v>6734</v>
      </c>
      <c r="P98">
        <v>2013</v>
      </c>
      <c r="Q98">
        <v>76</v>
      </c>
      <c r="R98" t="s">
        <v>6663</v>
      </c>
      <c r="S98" s="1">
        <v>41573</v>
      </c>
      <c r="T98" s="1">
        <v>41593</v>
      </c>
      <c r="U98" t="str">
        <f ca="1">IF(RANDBETWEEN(1,10)&gt;1,"rg:False","rg:True")</f>
        <v>rg:False</v>
      </c>
      <c r="V98" t="str">
        <f ca="1">IF(U98="rg:True","This equipment should be archived","rg:None")</f>
        <v>rg:None</v>
      </c>
      <c r="W98" t="s">
        <v>7133</v>
      </c>
      <c r="X98" t="s">
        <v>76</v>
      </c>
      <c r="Y98" t="s">
        <v>76</v>
      </c>
      <c r="Z98" t="s">
        <v>76</v>
      </c>
      <c r="AA98" t="s">
        <v>7480</v>
      </c>
      <c r="AB98" t="s">
        <v>7322</v>
      </c>
      <c r="AC98">
        <v>0</v>
      </c>
      <c r="AD98" t="str">
        <f ca="1">IF(RANDBETWEEN(1,20)&gt;1,"rg:False","rg:True")</f>
        <v>rg:False</v>
      </c>
      <c r="AE98" t="str">
        <f ca="1">IF(AD98="rg:True","Seniority overridden to test things","rg:None")</f>
        <v>rg:None</v>
      </c>
      <c r="AF98" s="1">
        <v>42481</v>
      </c>
      <c r="AG98" s="4">
        <f ca="1">IF(I98="Dump Truck",60,30)*AH98+(AVERAGE(AI98:AK98))</f>
        <v>229.66666666666666</v>
      </c>
      <c r="AH98" s="4">
        <f>YEARFRAC(DATE("2016","4","1"),T98)</f>
        <v>2.3777777777777778</v>
      </c>
      <c r="AI98">
        <f ca="1">IF(AH98&lt;1,0,RANDBETWEEN(0,200))</f>
        <v>200</v>
      </c>
      <c r="AJ98">
        <f ca="1">IF(AH98&lt;2,0,RANDBETWEEN(0,200))</f>
        <v>61</v>
      </c>
      <c r="AK98">
        <f ca="1">IF(AH98&lt;3,0,RANDBETWEEN(0,200))</f>
        <v>0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>IF(ISNUMBER(B98),B98+1,200000)</f>
        <v>200097</v>
      </c>
      <c r="C99">
        <v>200026</v>
      </c>
      <c r="D99" t="str">
        <f>"rg:{'id': '"&amp;C99&amp;"'}"</f>
        <v>rg:{'id': '200026'}</v>
      </c>
      <c r="E99">
        <f>VLOOKUP(C99,Owners.csv!C:J,6,FALSE)</f>
        <v>200001</v>
      </c>
      <c r="F99" t="str">
        <f>VLOOKUP(VLOOKUP(E99,LocalAreas.csv!I:K,3,FALSE),ServiceAreas.csv!F:J,5,FALSE)</f>
        <v>200009</v>
      </c>
      <c r="G99" t="str">
        <f>"rg:{'id': '"&amp;E99&amp;"'}"</f>
        <v>rg:{'id': '200001'}</v>
      </c>
      <c r="H99" t="s">
        <v>7663</v>
      </c>
      <c r="I99" t="s">
        <v>5651</v>
      </c>
      <c r="J99">
        <f>VLOOKUP(I99&amp;"-"&amp;F99,DistrictEquipmentTypes.csv!J:K,2,FALSE)</f>
        <v>200006</v>
      </c>
      <c r="K99" t="str">
        <f>"rg:{'id': '"&amp;J99&amp;"'}"</f>
        <v>rg:{'id': '200006'}</v>
      </c>
      <c r="L99">
        <f>IF(C99=C98,L98+1,1)</f>
        <v>5</v>
      </c>
      <c r="M99" t="str">
        <f>VLOOKUP(C99,Owners.csv!C:K,9,FALSE)&amp;TEXT(Equipment.csv!L99,"0000")</f>
        <v>FAMI0005</v>
      </c>
      <c r="N99" t="s">
        <v>5401</v>
      </c>
      <c r="O99" t="s">
        <v>6754</v>
      </c>
      <c r="P99">
        <v>1988</v>
      </c>
      <c r="Q99">
        <v>96</v>
      </c>
      <c r="R99" t="s">
        <v>6663</v>
      </c>
      <c r="S99" s="1">
        <v>41606</v>
      </c>
      <c r="T99" s="1">
        <v>41637</v>
      </c>
      <c r="U99" t="str">
        <f ca="1">IF(RANDBETWEEN(1,10)&gt;1,"rg:False","rg:True")</f>
        <v>rg:True</v>
      </c>
      <c r="V99" t="str">
        <f ca="1">IF(U99="rg:True","This equipment should be archived","rg:None")</f>
        <v>This equipment should be archived</v>
      </c>
      <c r="W99" t="s">
        <v>7153</v>
      </c>
      <c r="X99" t="s">
        <v>76</v>
      </c>
      <c r="Y99" t="s">
        <v>76</v>
      </c>
      <c r="Z99" t="s">
        <v>76</v>
      </c>
      <c r="AA99" t="s">
        <v>7500</v>
      </c>
      <c r="AB99" t="s">
        <v>7337</v>
      </c>
      <c r="AC99">
        <v>0</v>
      </c>
      <c r="AD99" t="str">
        <f ca="1">IF(RANDBETWEEN(1,20)&gt;1,"rg:False","rg:True")</f>
        <v>rg:False</v>
      </c>
      <c r="AE99" t="str">
        <f ca="1">IF(AD99="rg:True","Seniority overridden to test things","rg:None")</f>
        <v>rg:None</v>
      </c>
      <c r="AF99" s="1">
        <v>42481</v>
      </c>
      <c r="AG99" s="4">
        <f ca="1">IF(I99="Dump Truck",60,30)*AH99+(AVERAGE(AI99:AK99))</f>
        <v>226.66666666666669</v>
      </c>
      <c r="AH99" s="4">
        <f>YEARFRAC(DATE("2016","4","1"),T99)</f>
        <v>2.2555555555555555</v>
      </c>
      <c r="AI99">
        <f ca="1">IF(AH99&lt;1,0,RANDBETWEEN(0,200))</f>
        <v>193</v>
      </c>
      <c r="AJ99">
        <f ca="1">IF(AH99&lt;2,0,RANDBETWEEN(0,200))</f>
        <v>81</v>
      </c>
      <c r="AK99">
        <f ca="1">IF(AH99&lt;3,0,RANDBETWEEN(0,200))</f>
        <v>0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>IF(ISNUMBER(B99),B99+1,200000)</f>
        <v>200098</v>
      </c>
      <c r="C100">
        <v>200026</v>
      </c>
      <c r="D100" t="str">
        <f>"rg:{'id': '"&amp;C100&amp;"'}"</f>
        <v>rg:{'id': '200026'}</v>
      </c>
      <c r="E100">
        <f>VLOOKUP(C100,Owners.csv!C:J,6,FALSE)</f>
        <v>200001</v>
      </c>
      <c r="F100" t="str">
        <f>VLOOKUP(VLOOKUP(E100,LocalAreas.csv!I:K,3,FALSE),ServiceAreas.csv!F:J,5,FALSE)</f>
        <v>200009</v>
      </c>
      <c r="G100" t="str">
        <f>"rg:{'id': '"&amp;E100&amp;"'}"</f>
        <v>rg:{'id': '200001'}</v>
      </c>
      <c r="H100" t="s">
        <v>7730</v>
      </c>
      <c r="I100" t="s">
        <v>5637</v>
      </c>
      <c r="J100">
        <f>VLOOKUP(I100&amp;"-"&amp;F100,DistrictEquipmentTypes.csv!J:K,2,FALSE)</f>
        <v>200001</v>
      </c>
      <c r="K100" t="str">
        <f>"rg:{'id': '"&amp;J100&amp;"'}"</f>
        <v>rg:{'id': '200001'}</v>
      </c>
      <c r="L100">
        <f>IF(C100=C99,L99+1,1)</f>
        <v>6</v>
      </c>
      <c r="M100" t="str">
        <f>VLOOKUP(C100,Owners.csv!C:K,9,FALSE)&amp;TEXT(Equipment.csv!L100,"0000")</f>
        <v>FAMI0006</v>
      </c>
      <c r="N100" t="s">
        <v>5401</v>
      </c>
      <c r="O100" t="s">
        <v>6774</v>
      </c>
      <c r="P100">
        <v>1976</v>
      </c>
      <c r="Q100">
        <v>116</v>
      </c>
      <c r="R100" t="s">
        <v>6663</v>
      </c>
      <c r="S100" s="1">
        <v>39955</v>
      </c>
      <c r="T100" s="1">
        <v>39962</v>
      </c>
      <c r="U100" t="str">
        <f ca="1">IF(RANDBETWEEN(1,10)&gt;1,"rg:False","rg:True")</f>
        <v>rg:False</v>
      </c>
      <c r="V100" t="str">
        <f ca="1">IF(U100="rg:True","This equipment should be archived","rg:None")</f>
        <v>rg:None</v>
      </c>
      <c r="W100" t="s">
        <v>7173</v>
      </c>
      <c r="X100" t="s">
        <v>76</v>
      </c>
      <c r="Y100" t="s">
        <v>76</v>
      </c>
      <c r="Z100" t="s">
        <v>76</v>
      </c>
      <c r="AA100" t="s">
        <v>7520</v>
      </c>
      <c r="AB100" t="s">
        <v>7353</v>
      </c>
      <c r="AC100">
        <v>0</v>
      </c>
      <c r="AD100" t="str">
        <f ca="1">IF(RANDBETWEEN(1,20)&gt;1,"rg:False","rg:True")</f>
        <v>rg:False</v>
      </c>
      <c r="AE100" t="str">
        <f ca="1">IF(AD100="rg:True","Seniority overridden to test things","rg:None")</f>
        <v>rg:None</v>
      </c>
      <c r="AF100" s="1">
        <v>42481</v>
      </c>
      <c r="AG100" s="4">
        <f ca="1">IF(I100="Dump Truck",60,30)*AH100+(AVERAGE(AI100:AK100))</f>
        <v>305.16666666666663</v>
      </c>
      <c r="AH100" s="4">
        <f>YEARFRAC(DATE("2016","4","1"),T100)</f>
        <v>6.8388888888888886</v>
      </c>
      <c r="AI100">
        <f ca="1">IF(AH100&lt;1,0,RANDBETWEEN(0,200))</f>
        <v>115</v>
      </c>
      <c r="AJ100">
        <f ca="1">IF(AH100&lt;2,0,RANDBETWEEN(0,200))</f>
        <v>104</v>
      </c>
      <c r="AK100">
        <f ca="1">IF(AH100&lt;3,0,RANDBETWEEN(0,200))</f>
        <v>81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>IF(ISNUMBER(B100),B100+1,200000)</f>
        <v>200099</v>
      </c>
      <c r="C101">
        <v>200026</v>
      </c>
      <c r="D101" t="str">
        <f>"rg:{'id': '"&amp;C101&amp;"'}"</f>
        <v>rg:{'id': '200026'}</v>
      </c>
      <c r="E101">
        <f>VLOOKUP(C101,Owners.csv!C:J,6,FALSE)</f>
        <v>200001</v>
      </c>
      <c r="F101" t="str">
        <f>VLOOKUP(VLOOKUP(E101,LocalAreas.csv!I:K,3,FALSE),ServiceAreas.csv!F:J,5,FALSE)</f>
        <v>200009</v>
      </c>
      <c r="G101" t="str">
        <f>"rg:{'id': '"&amp;E101&amp;"'}"</f>
        <v>rg:{'id': '200001'}</v>
      </c>
      <c r="H101" t="s">
        <v>7698</v>
      </c>
      <c r="I101" t="s">
        <v>5536</v>
      </c>
      <c r="J101">
        <f>VLOOKUP(I101&amp;"-"&amp;F101,DistrictEquipmentTypes.csv!J:K,2,FALSE)</f>
        <v>200000</v>
      </c>
      <c r="K101" t="str">
        <f>"rg:{'id': '"&amp;J101&amp;"'}"</f>
        <v>rg:{'id': '200000'}</v>
      </c>
      <c r="L101">
        <f>IF(C101=C100,L100+1,1)</f>
        <v>7</v>
      </c>
      <c r="M101" t="str">
        <f>VLOOKUP(C101,Owners.csv!C:K,9,FALSE)&amp;TEXT(Equipment.csv!L101,"0000")</f>
        <v>FAMI0007</v>
      </c>
      <c r="N101" t="s">
        <v>5401</v>
      </c>
      <c r="O101" t="s">
        <v>6789</v>
      </c>
      <c r="P101">
        <v>1989</v>
      </c>
      <c r="Q101">
        <v>131</v>
      </c>
      <c r="R101" t="s">
        <v>6663</v>
      </c>
      <c r="S101" s="1">
        <v>42575</v>
      </c>
      <c r="T101" s="1">
        <v>42603</v>
      </c>
      <c r="U101" t="str">
        <f ca="1">IF(RANDBETWEEN(1,10)&gt;1,"rg:False","rg:True")</f>
        <v>rg:True</v>
      </c>
      <c r="V101" t="str">
        <f ca="1">IF(U101="rg:True","This equipment should be archived","rg:None")</f>
        <v>This equipment should be archived</v>
      </c>
      <c r="W101" t="s">
        <v>7188</v>
      </c>
      <c r="X101" t="s">
        <v>76</v>
      </c>
      <c r="Y101" t="s">
        <v>76</v>
      </c>
      <c r="Z101" t="s">
        <v>76</v>
      </c>
      <c r="AA101" t="s">
        <v>7535</v>
      </c>
      <c r="AB101" t="s">
        <v>7261</v>
      </c>
      <c r="AC101">
        <v>0</v>
      </c>
      <c r="AD101" t="str">
        <f ca="1">IF(RANDBETWEEN(1,20)&gt;1,"rg:False","rg:True")</f>
        <v>rg:False</v>
      </c>
      <c r="AE101" t="str">
        <f ca="1">IF(AD101="rg:True","Seniority overridden to test things","rg:None")</f>
        <v>rg:None</v>
      </c>
      <c r="AF101" s="1">
        <v>42481</v>
      </c>
      <c r="AG101" s="4">
        <f ca="1">IF(I101="Dump Truck",60,30)*AH101+(AVERAGE(AI101:AK101))</f>
        <v>11.666666666666666</v>
      </c>
      <c r="AH101" s="4">
        <f>YEARFRAC(DATE("2016","4","1"),T101)</f>
        <v>0.3888888888888889</v>
      </c>
      <c r="AI101">
        <f ca="1">IF(AH101&lt;1,0,RANDBETWEEN(0,200))</f>
        <v>0</v>
      </c>
      <c r="AJ101">
        <f ca="1">IF(AH101&lt;2,0,RANDBETWEEN(0,200))</f>
        <v>0</v>
      </c>
      <c r="AK101">
        <f ca="1">IF(AH101&lt;3,0,RANDBETWEEN(0,200))</f>
        <v>0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>IF(ISNUMBER(B101),B101+1,200000)</f>
        <v>200100</v>
      </c>
      <c r="C102">
        <v>200027</v>
      </c>
      <c r="D102" t="str">
        <f>"rg:{'id': '"&amp;C102&amp;"'}"</f>
        <v>rg:{'id': '200027'}</v>
      </c>
      <c r="E102">
        <f>VLOOKUP(C102,Owners.csv!C:J,6,FALSE)</f>
        <v>200001</v>
      </c>
      <c r="F102" t="str">
        <f>VLOOKUP(VLOOKUP(E102,LocalAreas.csv!I:K,3,FALSE),ServiceAreas.csv!F:J,5,FALSE)</f>
        <v>200009</v>
      </c>
      <c r="G102" t="str">
        <f>"rg:{'id': '"&amp;E102&amp;"'}"</f>
        <v>rg:{'id': '200001'}</v>
      </c>
      <c r="H102" t="s">
        <v>7678</v>
      </c>
      <c r="I102" t="s">
        <v>5642</v>
      </c>
      <c r="J102">
        <f>VLOOKUP(I102&amp;"-"&amp;F102,DistrictEquipmentTypes.csv!J:K,2,FALSE)</f>
        <v>200004</v>
      </c>
      <c r="K102" t="str">
        <f>"rg:{'id': '"&amp;J102&amp;"'}"</f>
        <v>rg:{'id': '200004'}</v>
      </c>
      <c r="L102">
        <f>IF(C102=C101,L101+1,1)</f>
        <v>1</v>
      </c>
      <c r="M102" t="str">
        <f>VLOOKUP(C102,Owners.csv!C:K,9,FALSE)&amp;TEXT(Equipment.csv!L102,"0000")</f>
        <v>FIRS0001</v>
      </c>
      <c r="N102" t="s">
        <v>5401</v>
      </c>
      <c r="O102" t="s">
        <v>6697</v>
      </c>
      <c r="P102">
        <v>1984</v>
      </c>
      <c r="Q102">
        <v>39</v>
      </c>
      <c r="R102" t="s">
        <v>6663</v>
      </c>
      <c r="S102" s="1">
        <v>41019</v>
      </c>
      <c r="T102" s="1">
        <v>41022</v>
      </c>
      <c r="U102" t="str">
        <f ca="1">IF(RANDBETWEEN(1,10)&gt;1,"rg:False","rg:True")</f>
        <v>rg:False</v>
      </c>
      <c r="V102" t="str">
        <f ca="1">IF(U102="rg:True","This equipment should be archived","rg:None")</f>
        <v>rg:None</v>
      </c>
      <c r="W102" t="s">
        <v>7096</v>
      </c>
      <c r="X102" t="s">
        <v>76</v>
      </c>
      <c r="Y102" t="s">
        <v>76</v>
      </c>
      <c r="Z102" t="s">
        <v>76</v>
      </c>
      <c r="AA102" t="s">
        <v>7443</v>
      </c>
      <c r="AB102" t="s">
        <v>7293</v>
      </c>
      <c r="AC102">
        <v>0</v>
      </c>
      <c r="AD102" t="str">
        <f ca="1">IF(RANDBETWEEN(1,20)&gt;1,"rg:False","rg:True")</f>
        <v>rg:False</v>
      </c>
      <c r="AE102" t="str">
        <f ca="1">IF(AD102="rg:True","Seniority overridden to test things","rg:None")</f>
        <v>rg:None</v>
      </c>
      <c r="AF102" s="1">
        <v>42461</v>
      </c>
      <c r="AG102" s="4">
        <f ca="1">IF(I102="Dump Truck",60,30)*AH102+(AVERAGE(AI102:AK102))</f>
        <v>206.83333333333334</v>
      </c>
      <c r="AH102" s="4">
        <f>YEARFRAC(DATE("2016","4","1"),T102)</f>
        <v>3.9388888888888891</v>
      </c>
      <c r="AI102">
        <f ca="1">IF(AH102&lt;1,0,RANDBETWEEN(0,200))</f>
        <v>163</v>
      </c>
      <c r="AJ102">
        <f ca="1">IF(AH102&lt;2,0,RANDBETWEEN(0,200))</f>
        <v>7</v>
      </c>
      <c r="AK102">
        <f ca="1">IF(AH102&lt;3,0,RANDBETWEEN(0,200))</f>
        <v>96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>IF(ISNUMBER(B102),B102+1,200000)</f>
        <v>200101</v>
      </c>
      <c r="C103">
        <v>200027</v>
      </c>
      <c r="D103" t="str">
        <f>"rg:{'id': '"&amp;C103&amp;"'}"</f>
        <v>rg:{'id': '200027'}</v>
      </c>
      <c r="E103">
        <f>VLOOKUP(C103,Owners.csv!C:J,6,FALSE)</f>
        <v>200001</v>
      </c>
      <c r="F103" t="str">
        <f>VLOOKUP(VLOOKUP(E103,LocalAreas.csv!I:K,3,FALSE),ServiceAreas.csv!F:J,5,FALSE)</f>
        <v>200009</v>
      </c>
      <c r="G103" t="str">
        <f>"rg:{'id': '"&amp;E103&amp;"'}"</f>
        <v>rg:{'id': '200001'}</v>
      </c>
      <c r="H103" t="s">
        <v>7684</v>
      </c>
      <c r="I103" t="s">
        <v>5642</v>
      </c>
      <c r="J103">
        <f>VLOOKUP(I103&amp;"-"&amp;F103,DistrictEquipmentTypes.csv!J:K,2,FALSE)</f>
        <v>200004</v>
      </c>
      <c r="K103" t="str">
        <f>"rg:{'id': '"&amp;J103&amp;"'}"</f>
        <v>rg:{'id': '200004'}</v>
      </c>
      <c r="L103">
        <f>IF(C103=C102,L102+1,1)</f>
        <v>2</v>
      </c>
      <c r="M103" t="str">
        <f>VLOOKUP(C103,Owners.csv!C:K,9,FALSE)&amp;TEXT(Equipment.csv!L103,"0000")</f>
        <v>FIRS0002</v>
      </c>
      <c r="N103" t="s">
        <v>5401</v>
      </c>
      <c r="O103" t="s">
        <v>6707</v>
      </c>
      <c r="P103">
        <v>1981</v>
      </c>
      <c r="Q103">
        <v>49</v>
      </c>
      <c r="R103" t="s">
        <v>6663</v>
      </c>
      <c r="S103" s="1">
        <v>42240</v>
      </c>
      <c r="T103" s="1">
        <v>42246</v>
      </c>
      <c r="U103" t="str">
        <f ca="1">IF(RANDBETWEEN(1,10)&gt;1,"rg:False","rg:True")</f>
        <v>rg:False</v>
      </c>
      <c r="V103" t="str">
        <f ca="1">IF(U103="rg:True","This equipment should be archived","rg:None")</f>
        <v>rg:None</v>
      </c>
      <c r="W103" t="s">
        <v>7106</v>
      </c>
      <c r="X103" t="s">
        <v>76</v>
      </c>
      <c r="Y103" t="s">
        <v>76</v>
      </c>
      <c r="Z103" t="s">
        <v>76</v>
      </c>
      <c r="AA103" t="s">
        <v>7453</v>
      </c>
      <c r="AB103" t="s">
        <v>7302</v>
      </c>
      <c r="AC103">
        <v>0</v>
      </c>
      <c r="AD103" t="str">
        <f ca="1">IF(RANDBETWEEN(1,20)&gt;1,"rg:False","rg:True")</f>
        <v>rg:False</v>
      </c>
      <c r="AE103" t="str">
        <f ca="1">IF(AD103="rg:True","Seniority overridden to test things","rg:None")</f>
        <v>rg:None</v>
      </c>
      <c r="AF103" s="1">
        <v>42481</v>
      </c>
      <c r="AG103" s="4">
        <f ca="1">IF(I103="Dump Truck",60,30)*AH103+(AVERAGE(AI103:AK103))</f>
        <v>17.583333333333336</v>
      </c>
      <c r="AH103" s="4">
        <f>YEARFRAC(DATE("2016","4","1"),T103)</f>
        <v>0.58611111111111114</v>
      </c>
      <c r="AI103">
        <f ca="1">IF(AH103&lt;1,0,RANDBETWEEN(0,200))</f>
        <v>0</v>
      </c>
      <c r="AJ103">
        <f ca="1">IF(AH103&lt;2,0,RANDBETWEEN(0,200))</f>
        <v>0</v>
      </c>
      <c r="AK103">
        <f ca="1">IF(AH103&lt;3,0,RANDBETWEEN(0,200))</f>
        <v>0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>IF(ISNUMBER(B103),B103+1,200000)</f>
        <v>200102</v>
      </c>
      <c r="C104">
        <v>200027</v>
      </c>
      <c r="D104" t="str">
        <f>"rg:{'id': '"&amp;C104&amp;"'}"</f>
        <v>rg:{'id': '200027'}</v>
      </c>
      <c r="E104">
        <f>VLOOKUP(C104,Owners.csv!C:J,6,FALSE)</f>
        <v>200001</v>
      </c>
      <c r="F104" t="str">
        <f>VLOOKUP(VLOOKUP(E104,LocalAreas.csv!I:K,3,FALSE),ServiceAreas.csv!F:J,5,FALSE)</f>
        <v>200009</v>
      </c>
      <c r="G104" t="str">
        <f>"rg:{'id': '"&amp;E104&amp;"'}"</f>
        <v>rg:{'id': '200001'}</v>
      </c>
      <c r="H104" t="s">
        <v>7692</v>
      </c>
      <c r="I104" t="s">
        <v>5640</v>
      </c>
      <c r="J104">
        <f>VLOOKUP(I104&amp;"-"&amp;F104,DistrictEquipmentTypes.csv!J:K,2,FALSE)</f>
        <v>200002</v>
      </c>
      <c r="K104" t="str">
        <f>"rg:{'id': '"&amp;J104&amp;"'}"</f>
        <v>rg:{'id': '200002'}</v>
      </c>
      <c r="L104">
        <f>IF(C104=C103,L103+1,1)</f>
        <v>3</v>
      </c>
      <c r="M104" t="str">
        <f>VLOOKUP(C104,Owners.csv!C:K,9,FALSE)&amp;TEXT(Equipment.csv!L104,"0000")</f>
        <v>FIRS0003</v>
      </c>
      <c r="N104" t="s">
        <v>5401</v>
      </c>
      <c r="O104" t="s">
        <v>6717</v>
      </c>
      <c r="P104">
        <v>1977</v>
      </c>
      <c r="Q104">
        <v>59</v>
      </c>
      <c r="R104" t="s">
        <v>6663</v>
      </c>
      <c r="S104" s="1">
        <v>40658</v>
      </c>
      <c r="T104" s="1">
        <v>40683</v>
      </c>
      <c r="U104" t="str">
        <f ca="1">IF(RANDBETWEEN(1,10)&gt;1,"rg:False","rg:True")</f>
        <v>rg:False</v>
      </c>
      <c r="V104" t="str">
        <f ca="1">IF(U104="rg:True","This equipment should be archived","rg:None")</f>
        <v>rg:None</v>
      </c>
      <c r="W104" t="s">
        <v>7116</v>
      </c>
      <c r="X104" t="s">
        <v>76</v>
      </c>
      <c r="Y104" t="s">
        <v>76</v>
      </c>
      <c r="Z104" t="s">
        <v>76</v>
      </c>
      <c r="AA104" t="s">
        <v>7463</v>
      </c>
      <c r="AB104" t="s">
        <v>7310</v>
      </c>
      <c r="AC104">
        <v>0</v>
      </c>
      <c r="AD104" t="str">
        <f ca="1">IF(RANDBETWEEN(1,20)&gt;1,"rg:False","rg:True")</f>
        <v>rg:False</v>
      </c>
      <c r="AE104" t="str">
        <f ca="1">IF(AD104="rg:True","Seniority overridden to test things","rg:None")</f>
        <v>rg:None</v>
      </c>
      <c r="AF104" s="1">
        <v>42481</v>
      </c>
      <c r="AG104" s="4">
        <f ca="1">IF(I104="Dump Truck",60,30)*AH104+(AVERAGE(AI104:AK104))</f>
        <v>263.58333333333331</v>
      </c>
      <c r="AH104" s="4">
        <f>YEARFRAC(DATE("2016","4","1"),T104)</f>
        <v>4.8638888888888889</v>
      </c>
      <c r="AI104">
        <f ca="1">IF(AH104&lt;1,0,RANDBETWEEN(0,200))</f>
        <v>105</v>
      </c>
      <c r="AJ104">
        <f ca="1">IF(AH104&lt;2,0,RANDBETWEEN(0,200))</f>
        <v>94</v>
      </c>
      <c r="AK104">
        <f ca="1">IF(AH104&lt;3,0,RANDBETWEEN(0,200))</f>
        <v>154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>IF(ISNUMBER(B104),B104+1,200000)</f>
        <v>200103</v>
      </c>
      <c r="C105">
        <v>200027</v>
      </c>
      <c r="D105" t="str">
        <f>"rg:{'id': '"&amp;C105&amp;"'}"</f>
        <v>rg:{'id': '200027'}</v>
      </c>
      <c r="E105">
        <f>VLOOKUP(C105,Owners.csv!C:J,6,FALSE)</f>
        <v>200001</v>
      </c>
      <c r="F105" t="str">
        <f>VLOOKUP(VLOOKUP(E105,LocalAreas.csv!I:K,3,FALSE),ServiceAreas.csv!F:J,5,FALSE)</f>
        <v>200009</v>
      </c>
      <c r="G105" t="str">
        <f>"rg:{'id': '"&amp;E105&amp;"'}"</f>
        <v>rg:{'id': '200001'}</v>
      </c>
      <c r="H105" t="s">
        <v>7678</v>
      </c>
      <c r="I105" t="s">
        <v>5651</v>
      </c>
      <c r="J105">
        <f>VLOOKUP(I105&amp;"-"&amp;F105,DistrictEquipmentTypes.csv!J:K,2,FALSE)</f>
        <v>200006</v>
      </c>
      <c r="K105" t="str">
        <f>"rg:{'id': '"&amp;J105&amp;"'}"</f>
        <v>rg:{'id': '200006'}</v>
      </c>
      <c r="L105">
        <f>IF(C105=C104,L104+1,1)</f>
        <v>4</v>
      </c>
      <c r="M105" t="str">
        <f>VLOOKUP(C105,Owners.csv!C:K,9,FALSE)&amp;TEXT(Equipment.csv!L105,"0000")</f>
        <v>FIRS0004</v>
      </c>
      <c r="N105" t="s">
        <v>5401</v>
      </c>
      <c r="O105" t="s">
        <v>6735</v>
      </c>
      <c r="P105">
        <v>2012</v>
      </c>
      <c r="Q105">
        <v>77</v>
      </c>
      <c r="R105" t="s">
        <v>6663</v>
      </c>
      <c r="S105" s="1">
        <v>42050</v>
      </c>
      <c r="T105" s="1">
        <v>42051</v>
      </c>
      <c r="U105" t="str">
        <f ca="1">IF(RANDBETWEEN(1,10)&gt;1,"rg:False","rg:True")</f>
        <v>rg:False</v>
      </c>
      <c r="V105" t="str">
        <f ca="1">IF(U105="rg:True","This equipment should be archived","rg:None")</f>
        <v>rg:None</v>
      </c>
      <c r="W105" t="s">
        <v>7134</v>
      </c>
      <c r="X105" t="s">
        <v>76</v>
      </c>
      <c r="Y105" t="s">
        <v>76</v>
      </c>
      <c r="Z105" t="s">
        <v>76</v>
      </c>
      <c r="AA105" t="s">
        <v>7481</v>
      </c>
      <c r="AB105" t="s">
        <v>7323</v>
      </c>
      <c r="AC105">
        <v>0</v>
      </c>
      <c r="AD105" t="str">
        <f ca="1">IF(RANDBETWEEN(1,20)&gt;1,"rg:False","rg:True")</f>
        <v>rg:False</v>
      </c>
      <c r="AE105" t="str">
        <f ca="1">IF(AD105="rg:True","Seniority overridden to test things","rg:None")</f>
        <v>rg:None</v>
      </c>
      <c r="AF105" s="1">
        <v>42481</v>
      </c>
      <c r="AG105" s="4">
        <f ca="1">IF(I105="Dump Truck",60,30)*AH105+(AVERAGE(AI105:AK105))</f>
        <v>67.5</v>
      </c>
      <c r="AH105" s="4">
        <f>YEARFRAC(DATE("2016","4","1"),T105)</f>
        <v>1.125</v>
      </c>
      <c r="AI105">
        <f ca="1">IF(AH105&lt;1,0,RANDBETWEEN(0,200))</f>
        <v>0</v>
      </c>
      <c r="AJ105">
        <f ca="1">IF(AH105&lt;2,0,RANDBETWEEN(0,200))</f>
        <v>0</v>
      </c>
      <c r="AK105">
        <f ca="1">IF(AH105&lt;3,0,RANDBETWEEN(0,200))</f>
        <v>0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>IF(ISNUMBER(B105),B105+1,200000)</f>
        <v>200104</v>
      </c>
      <c r="C106">
        <v>200027</v>
      </c>
      <c r="D106" t="str">
        <f>"rg:{'id': '"&amp;C106&amp;"'}"</f>
        <v>rg:{'id': '200027'}</v>
      </c>
      <c r="E106">
        <f>VLOOKUP(C106,Owners.csv!C:J,6,FALSE)</f>
        <v>200001</v>
      </c>
      <c r="F106" t="str">
        <f>VLOOKUP(VLOOKUP(E106,LocalAreas.csv!I:K,3,FALSE),ServiceAreas.csv!F:J,5,FALSE)</f>
        <v>200009</v>
      </c>
      <c r="G106" t="str">
        <f>"rg:{'id': '"&amp;E106&amp;"'}"</f>
        <v>rg:{'id': '200001'}</v>
      </c>
      <c r="H106" t="s">
        <v>7718</v>
      </c>
      <c r="I106" t="s">
        <v>5651</v>
      </c>
      <c r="J106">
        <f>VLOOKUP(I106&amp;"-"&amp;F106,DistrictEquipmentTypes.csv!J:K,2,FALSE)</f>
        <v>200006</v>
      </c>
      <c r="K106" t="str">
        <f>"rg:{'id': '"&amp;J106&amp;"'}"</f>
        <v>rg:{'id': '200006'}</v>
      </c>
      <c r="L106">
        <f>IF(C106=C105,L105+1,1)</f>
        <v>5</v>
      </c>
      <c r="M106" t="str">
        <f>VLOOKUP(C106,Owners.csv!C:K,9,FALSE)&amp;TEXT(Equipment.csv!L106,"0000")</f>
        <v>FIRS0005</v>
      </c>
      <c r="N106" t="s">
        <v>5401</v>
      </c>
      <c r="O106" t="s">
        <v>6755</v>
      </c>
      <c r="P106">
        <v>1990</v>
      </c>
      <c r="Q106">
        <v>97</v>
      </c>
      <c r="R106" t="s">
        <v>6663</v>
      </c>
      <c r="S106" s="1">
        <v>39576</v>
      </c>
      <c r="T106" s="1">
        <v>39599</v>
      </c>
      <c r="U106" t="str">
        <f ca="1">IF(RANDBETWEEN(1,10)&gt;1,"rg:False","rg:True")</f>
        <v>rg:False</v>
      </c>
      <c r="V106" t="str">
        <f ca="1">IF(U106="rg:True","This equipment should be archived","rg:None")</f>
        <v>rg:None</v>
      </c>
      <c r="W106" t="s">
        <v>7154</v>
      </c>
      <c r="X106" t="s">
        <v>76</v>
      </c>
      <c r="Y106" t="s">
        <v>76</v>
      </c>
      <c r="Z106" t="s">
        <v>76</v>
      </c>
      <c r="AA106" t="s">
        <v>7501</v>
      </c>
      <c r="AB106" t="s">
        <v>7338</v>
      </c>
      <c r="AC106">
        <v>0</v>
      </c>
      <c r="AD106" t="str">
        <f ca="1">IF(RANDBETWEEN(1,20)&gt;1,"rg:False","rg:True")</f>
        <v>rg:False</v>
      </c>
      <c r="AE106" t="str">
        <f ca="1">IF(AD106="rg:True","Seniority overridden to test things","rg:None")</f>
        <v>rg:None</v>
      </c>
      <c r="AF106" s="1">
        <v>42481</v>
      </c>
      <c r="AG106" s="4">
        <f ca="1">IF(I106="Dump Truck",60,30)*AH106+(AVERAGE(AI106:AK106))</f>
        <v>560.83333333333337</v>
      </c>
      <c r="AH106" s="4">
        <f>YEARFRAC(DATE("2016","4","1"),T106)</f>
        <v>7.8361111111111112</v>
      </c>
      <c r="AI106">
        <f ca="1">IF(AH106&lt;1,0,RANDBETWEEN(0,200))</f>
        <v>133</v>
      </c>
      <c r="AJ106">
        <f ca="1">IF(AH106&lt;2,0,RANDBETWEEN(0,200))</f>
        <v>1</v>
      </c>
      <c r="AK106">
        <f ca="1">IF(AH106&lt;3,0,RANDBETWEEN(0,200))</f>
        <v>138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>IF(ISNUMBER(B106),B106+1,200000)</f>
        <v>200105</v>
      </c>
      <c r="C107">
        <v>200027</v>
      </c>
      <c r="D107" t="str">
        <f>"rg:{'id': '"&amp;C107&amp;"'}"</f>
        <v>rg:{'id': '200027'}</v>
      </c>
      <c r="E107">
        <f>VLOOKUP(C107,Owners.csv!C:J,6,FALSE)</f>
        <v>200001</v>
      </c>
      <c r="F107" t="str">
        <f>VLOOKUP(VLOOKUP(E107,LocalAreas.csv!I:K,3,FALSE),ServiceAreas.csv!F:J,5,FALSE)</f>
        <v>200009</v>
      </c>
      <c r="G107" t="str">
        <f>"rg:{'id': '"&amp;E107&amp;"'}"</f>
        <v>rg:{'id': '200001'}</v>
      </c>
      <c r="H107" t="s">
        <v>7709</v>
      </c>
      <c r="I107" t="s">
        <v>5637</v>
      </c>
      <c r="J107">
        <f>VLOOKUP(I107&amp;"-"&amp;F107,DistrictEquipmentTypes.csv!J:K,2,FALSE)</f>
        <v>200001</v>
      </c>
      <c r="K107" t="str">
        <f>"rg:{'id': '"&amp;J107&amp;"'}"</f>
        <v>rg:{'id': '200001'}</v>
      </c>
      <c r="L107">
        <f>IF(C107=C106,L106+1,1)</f>
        <v>6</v>
      </c>
      <c r="M107" t="str">
        <f>VLOOKUP(C107,Owners.csv!C:K,9,FALSE)&amp;TEXT(Equipment.csv!L107,"0000")</f>
        <v>FIRS0006</v>
      </c>
      <c r="N107" t="s">
        <v>5401</v>
      </c>
      <c r="O107" t="s">
        <v>6775</v>
      </c>
      <c r="P107">
        <v>2009</v>
      </c>
      <c r="Q107">
        <v>117</v>
      </c>
      <c r="R107" t="s">
        <v>6663</v>
      </c>
      <c r="S107" s="1">
        <v>41270</v>
      </c>
      <c r="T107" s="1">
        <v>41272</v>
      </c>
      <c r="U107" t="str">
        <f ca="1">IF(RANDBETWEEN(1,10)&gt;1,"rg:False","rg:True")</f>
        <v>rg:False</v>
      </c>
      <c r="V107" t="str">
        <f ca="1">IF(U107="rg:True","This equipment should be archived","rg:None")</f>
        <v>rg:None</v>
      </c>
      <c r="W107" t="s">
        <v>7174</v>
      </c>
      <c r="X107" t="s">
        <v>76</v>
      </c>
      <c r="Y107" t="s">
        <v>76</v>
      </c>
      <c r="Z107" t="s">
        <v>76</v>
      </c>
      <c r="AA107" t="s">
        <v>7521</v>
      </c>
      <c r="AB107" t="s">
        <v>7354</v>
      </c>
      <c r="AC107">
        <v>0</v>
      </c>
      <c r="AD107" t="str">
        <f ca="1">IF(RANDBETWEEN(1,20)&gt;1,"rg:False","rg:True")</f>
        <v>rg:False</v>
      </c>
      <c r="AE107" t="str">
        <f ca="1">IF(AD107="rg:True","Seniority overridden to test things","rg:None")</f>
        <v>rg:None</v>
      </c>
      <c r="AF107" s="1">
        <v>42481</v>
      </c>
      <c r="AG107" s="4">
        <f ca="1">IF(I107="Dump Truck",60,30)*AH107+(AVERAGE(AI107:AK107))</f>
        <v>105.33333333333334</v>
      </c>
      <c r="AH107" s="4">
        <f>YEARFRAC(DATE("2016","4","1"),T107)</f>
        <v>3.2555555555555555</v>
      </c>
      <c r="AI107">
        <f ca="1">IF(AH107&lt;1,0,RANDBETWEEN(0,200))</f>
        <v>7</v>
      </c>
      <c r="AJ107">
        <f ca="1">IF(AH107&lt;2,0,RANDBETWEEN(0,200))</f>
        <v>15</v>
      </c>
      <c r="AK107">
        <f ca="1">IF(AH107&lt;3,0,RANDBETWEEN(0,200))</f>
        <v>1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>IF(ISNUMBER(B107),B107+1,200000)</f>
        <v>200106</v>
      </c>
      <c r="C108">
        <v>200027</v>
      </c>
      <c r="D108" t="str">
        <f>"rg:{'id': '"&amp;C108&amp;"'}"</f>
        <v>rg:{'id': '200027'}</v>
      </c>
      <c r="E108">
        <f>VLOOKUP(C108,Owners.csv!C:J,6,FALSE)</f>
        <v>200001</v>
      </c>
      <c r="F108" t="str">
        <f>VLOOKUP(VLOOKUP(E108,LocalAreas.csv!I:K,3,FALSE),ServiceAreas.csv!F:J,5,FALSE)</f>
        <v>200009</v>
      </c>
      <c r="G108" t="str">
        <f>"rg:{'id': '"&amp;E108&amp;"'}"</f>
        <v>rg:{'id': '200001'}</v>
      </c>
      <c r="H108" t="s">
        <v>7650</v>
      </c>
      <c r="I108" t="s">
        <v>5536</v>
      </c>
      <c r="J108">
        <f>VLOOKUP(I108&amp;"-"&amp;F108,DistrictEquipmentTypes.csv!J:K,2,FALSE)</f>
        <v>200000</v>
      </c>
      <c r="K108" t="str">
        <f>"rg:{'id': '"&amp;J108&amp;"'}"</f>
        <v>rg:{'id': '200000'}</v>
      </c>
      <c r="L108">
        <f>IF(C108=C107,L107+1,1)</f>
        <v>7</v>
      </c>
      <c r="M108" t="str">
        <f>VLOOKUP(C108,Owners.csv!C:K,9,FALSE)&amp;TEXT(Equipment.csv!L108,"0000")</f>
        <v>FIRS0007</v>
      </c>
      <c r="N108" t="s">
        <v>5401</v>
      </c>
      <c r="O108" t="s">
        <v>6790</v>
      </c>
      <c r="P108">
        <v>1980</v>
      </c>
      <c r="Q108">
        <v>132</v>
      </c>
      <c r="R108" t="s">
        <v>6663</v>
      </c>
      <c r="S108" s="1">
        <v>39750</v>
      </c>
      <c r="T108" s="1">
        <v>39761</v>
      </c>
      <c r="U108" t="str">
        <f ca="1">IF(RANDBETWEEN(1,10)&gt;1,"rg:False","rg:True")</f>
        <v>rg:False</v>
      </c>
      <c r="V108" t="str">
        <f ca="1">IF(U108="rg:True","This equipment should be archived","rg:None")</f>
        <v>rg:None</v>
      </c>
      <c r="W108" t="s">
        <v>7189</v>
      </c>
      <c r="X108" t="s">
        <v>76</v>
      </c>
      <c r="Y108" t="s">
        <v>76</v>
      </c>
      <c r="Z108" t="s">
        <v>76</v>
      </c>
      <c r="AA108" t="s">
        <v>7536</v>
      </c>
      <c r="AB108" t="s">
        <v>7364</v>
      </c>
      <c r="AC108">
        <v>0</v>
      </c>
      <c r="AD108" t="str">
        <f ca="1">IF(RANDBETWEEN(1,20)&gt;1,"rg:False","rg:True")</f>
        <v>rg:False</v>
      </c>
      <c r="AE108" t="str">
        <f ca="1">IF(AD108="rg:True","Seniority overridden to test things","rg:None")</f>
        <v>rg:None</v>
      </c>
      <c r="AF108" s="1">
        <v>42481</v>
      </c>
      <c r="AG108" s="4">
        <f ca="1">IF(I108="Dump Truck",60,30)*AH108+(AVERAGE(AI108:AK108))</f>
        <v>282.5</v>
      </c>
      <c r="AH108" s="4">
        <f>YEARFRAC(DATE("2016","4","1"),T108)</f>
        <v>7.3944444444444448</v>
      </c>
      <c r="AI108">
        <f ca="1">IF(AH108&lt;1,0,RANDBETWEEN(0,200))</f>
        <v>65</v>
      </c>
      <c r="AJ108">
        <f ca="1">IF(AH108&lt;2,0,RANDBETWEEN(0,200))</f>
        <v>16</v>
      </c>
      <c r="AK108">
        <f ca="1">IF(AH108&lt;3,0,RANDBETWEEN(0,200))</f>
        <v>101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>IF(ISNUMBER(B108),B108+1,200000)</f>
        <v>200107</v>
      </c>
      <c r="C109">
        <v>200028</v>
      </c>
      <c r="D109" t="str">
        <f>"rg:{'id': '"&amp;C109&amp;"'}"</f>
        <v>rg:{'id': '200028'}</v>
      </c>
      <c r="E109">
        <f>VLOOKUP(C109,Owners.csv!C:J,6,FALSE)</f>
        <v>200001</v>
      </c>
      <c r="F109" t="str">
        <f>VLOOKUP(VLOOKUP(E109,LocalAreas.csv!I:K,3,FALSE),ServiceAreas.csv!F:J,5,FALSE)</f>
        <v>200009</v>
      </c>
      <c r="G109" t="str">
        <f>"rg:{'id': '"&amp;E109&amp;"'}"</f>
        <v>rg:{'id': '200001'}</v>
      </c>
      <c r="H109" t="s">
        <v>7695</v>
      </c>
      <c r="I109" t="s">
        <v>5651</v>
      </c>
      <c r="J109">
        <f>VLOOKUP(I109&amp;"-"&amp;F109,DistrictEquipmentTypes.csv!J:K,2,FALSE)</f>
        <v>200006</v>
      </c>
      <c r="K109" t="str">
        <f>"rg:{'id': '"&amp;J109&amp;"'}"</f>
        <v>rg:{'id': '200006'}</v>
      </c>
      <c r="L109">
        <f>IF(C109=C108,L108+1,1)</f>
        <v>1</v>
      </c>
      <c r="M109" t="str">
        <f>VLOOKUP(C109,Owners.csv!C:K,9,FALSE)&amp;TEXT(Equipment.csv!L109,"0000")</f>
        <v>FISH0001</v>
      </c>
      <c r="N109" t="s">
        <v>5401</v>
      </c>
      <c r="O109" t="s">
        <v>6736</v>
      </c>
      <c r="P109">
        <v>2008</v>
      </c>
      <c r="Q109">
        <v>78</v>
      </c>
      <c r="R109" t="s">
        <v>6663</v>
      </c>
      <c r="S109" s="1">
        <v>42575</v>
      </c>
      <c r="T109" s="1">
        <v>42586</v>
      </c>
      <c r="U109" t="str">
        <f ca="1">IF(RANDBETWEEN(1,10)&gt;1,"rg:False","rg:True")</f>
        <v>rg:False</v>
      </c>
      <c r="V109" t="str">
        <f ca="1">IF(U109="rg:True","This equipment should be archived","rg:None")</f>
        <v>rg:None</v>
      </c>
      <c r="W109" t="s">
        <v>7135</v>
      </c>
      <c r="X109" t="s">
        <v>76</v>
      </c>
      <c r="Y109" t="s">
        <v>76</v>
      </c>
      <c r="Z109" t="s">
        <v>76</v>
      </c>
      <c r="AA109" t="s">
        <v>7482</v>
      </c>
      <c r="AB109" t="s">
        <v>7324</v>
      </c>
      <c r="AC109">
        <v>0</v>
      </c>
      <c r="AD109" t="str">
        <f ca="1">IF(RANDBETWEEN(1,20)&gt;1,"rg:False","rg:True")</f>
        <v>rg:False</v>
      </c>
      <c r="AE109" t="str">
        <f ca="1">IF(AD109="rg:True","Seniority overridden to test things","rg:None")</f>
        <v>rg:None</v>
      </c>
      <c r="AF109" s="1">
        <v>42481</v>
      </c>
      <c r="AG109" s="4">
        <f ca="1">IF(I109="Dump Truck",60,30)*AH109+(AVERAGE(AI109:AK109))</f>
        <v>20.5</v>
      </c>
      <c r="AH109" s="4">
        <f>YEARFRAC(DATE("2016","4","1"),T109)</f>
        <v>0.34166666666666667</v>
      </c>
      <c r="AI109">
        <f ca="1">IF(AH109&lt;1,0,RANDBETWEEN(0,200))</f>
        <v>0</v>
      </c>
      <c r="AJ109">
        <f ca="1">IF(AH109&lt;2,0,RANDBETWEEN(0,200))</f>
        <v>0</v>
      </c>
      <c r="AK109">
        <f ca="1">IF(AH109&lt;3,0,RANDBETWEEN(0,200))</f>
        <v>0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>IF(ISNUMBER(B109),B109+1,200000)</f>
        <v>200108</v>
      </c>
      <c r="C110">
        <v>200028</v>
      </c>
      <c r="D110" t="str">
        <f>"rg:{'id': '"&amp;C110&amp;"'}"</f>
        <v>rg:{'id': '200028'}</v>
      </c>
      <c r="E110">
        <f>VLOOKUP(C110,Owners.csv!C:J,6,FALSE)</f>
        <v>200001</v>
      </c>
      <c r="F110" t="str">
        <f>VLOOKUP(VLOOKUP(E110,LocalAreas.csv!I:K,3,FALSE),ServiceAreas.csv!F:J,5,FALSE)</f>
        <v>200009</v>
      </c>
      <c r="G110" t="str">
        <f>"rg:{'id': '"&amp;E110&amp;"'}"</f>
        <v>rg:{'id': '200001'}</v>
      </c>
      <c r="H110" t="s">
        <v>7719</v>
      </c>
      <c r="I110" t="s">
        <v>5651</v>
      </c>
      <c r="J110">
        <f>VLOOKUP(I110&amp;"-"&amp;F110,DistrictEquipmentTypes.csv!J:K,2,FALSE)</f>
        <v>200006</v>
      </c>
      <c r="K110" t="str">
        <f>"rg:{'id': '"&amp;J110&amp;"'}"</f>
        <v>rg:{'id': '200006'}</v>
      </c>
      <c r="L110">
        <f>IF(C110=C109,L109+1,1)</f>
        <v>2</v>
      </c>
      <c r="M110" t="str">
        <f>VLOOKUP(C110,Owners.csv!C:K,9,FALSE)&amp;TEXT(Equipment.csv!L110,"0000")</f>
        <v>FISH0002</v>
      </c>
      <c r="N110" t="s">
        <v>5401</v>
      </c>
      <c r="O110" t="s">
        <v>6756</v>
      </c>
      <c r="P110">
        <v>2013</v>
      </c>
      <c r="Q110">
        <v>98</v>
      </c>
      <c r="R110" t="s">
        <v>6663</v>
      </c>
      <c r="S110" s="1">
        <v>40320</v>
      </c>
      <c r="T110" s="1">
        <v>40342</v>
      </c>
      <c r="U110" t="str">
        <f ca="1">IF(RANDBETWEEN(1,10)&gt;1,"rg:False","rg:True")</f>
        <v>rg:False</v>
      </c>
      <c r="V110" t="str">
        <f ca="1">IF(U110="rg:True","This equipment should be archived","rg:None")</f>
        <v>rg:None</v>
      </c>
      <c r="W110" t="s">
        <v>7155</v>
      </c>
      <c r="X110" t="s">
        <v>76</v>
      </c>
      <c r="Y110" t="s">
        <v>76</v>
      </c>
      <c r="Z110" t="s">
        <v>76</v>
      </c>
      <c r="AA110" t="s">
        <v>7502</v>
      </c>
      <c r="AB110" t="s">
        <v>7339</v>
      </c>
      <c r="AC110">
        <v>0</v>
      </c>
      <c r="AD110" t="str">
        <f ca="1">IF(RANDBETWEEN(1,20)&gt;1,"rg:False","rg:True")</f>
        <v>rg:False</v>
      </c>
      <c r="AE110" t="str">
        <f ca="1">IF(AD110="rg:True","Seniority overridden to test things","rg:None")</f>
        <v>rg:None</v>
      </c>
      <c r="AF110" s="1">
        <v>42481</v>
      </c>
      <c r="AG110" s="4">
        <f ca="1">IF(I110="Dump Truck",60,30)*AH110+(AVERAGE(AI110:AK110))</f>
        <v>410.66666666666669</v>
      </c>
      <c r="AH110" s="4">
        <f>YEARFRAC(DATE("2016","4","1"),T110)</f>
        <v>5.8</v>
      </c>
      <c r="AI110">
        <f ca="1">IF(AH110&lt;1,0,RANDBETWEEN(0,200))</f>
        <v>52</v>
      </c>
      <c r="AJ110">
        <f ca="1">IF(AH110&lt;2,0,RANDBETWEEN(0,200))</f>
        <v>24</v>
      </c>
      <c r="AK110">
        <f ca="1">IF(AH110&lt;3,0,RANDBETWEEN(0,200))</f>
        <v>112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>IF(ISNUMBER(B110),B110+1,200000)</f>
        <v>200109</v>
      </c>
      <c r="C111">
        <v>200028</v>
      </c>
      <c r="D111" t="str">
        <f>"rg:{'id': '"&amp;C111&amp;"'}"</f>
        <v>rg:{'id': '200028'}</v>
      </c>
      <c r="E111">
        <f>VLOOKUP(C111,Owners.csv!C:J,6,FALSE)</f>
        <v>200001</v>
      </c>
      <c r="F111" t="str">
        <f>VLOOKUP(VLOOKUP(E111,LocalAreas.csv!I:K,3,FALSE),ServiceAreas.csv!F:J,5,FALSE)</f>
        <v>200009</v>
      </c>
      <c r="G111" t="str">
        <f>"rg:{'id': '"&amp;E111&amp;"'}"</f>
        <v>rg:{'id': '200001'}</v>
      </c>
      <c r="H111" t="s">
        <v>7650</v>
      </c>
      <c r="I111" t="s">
        <v>5637</v>
      </c>
      <c r="J111">
        <f>VLOOKUP(I111&amp;"-"&amp;F111,DistrictEquipmentTypes.csv!J:K,2,FALSE)</f>
        <v>200001</v>
      </c>
      <c r="K111" t="str">
        <f>"rg:{'id': '"&amp;J111&amp;"'}"</f>
        <v>rg:{'id': '200001'}</v>
      </c>
      <c r="L111">
        <f>IF(C111=C110,L110+1,1)</f>
        <v>3</v>
      </c>
      <c r="M111" t="str">
        <f>VLOOKUP(C111,Owners.csv!C:K,9,FALSE)&amp;TEXT(Equipment.csv!L111,"0000")</f>
        <v>FISH0003</v>
      </c>
      <c r="N111" t="s">
        <v>5401</v>
      </c>
      <c r="O111" t="s">
        <v>6776</v>
      </c>
      <c r="P111">
        <v>1985</v>
      </c>
      <c r="Q111">
        <v>118</v>
      </c>
      <c r="R111" t="s">
        <v>6663</v>
      </c>
      <c r="S111" s="1">
        <v>38269</v>
      </c>
      <c r="T111" s="1">
        <v>38271</v>
      </c>
      <c r="U111" t="str">
        <f ca="1">IF(RANDBETWEEN(1,10)&gt;1,"rg:False","rg:True")</f>
        <v>rg:False</v>
      </c>
      <c r="V111" t="str">
        <f ca="1">IF(U111="rg:True","This equipment should be archived","rg:None")</f>
        <v>rg:None</v>
      </c>
      <c r="W111" t="s">
        <v>7175</v>
      </c>
      <c r="X111" t="s">
        <v>76</v>
      </c>
      <c r="Y111" t="s">
        <v>76</v>
      </c>
      <c r="Z111" t="s">
        <v>76</v>
      </c>
      <c r="AA111" t="s">
        <v>7522</v>
      </c>
      <c r="AB111" t="s">
        <v>7355</v>
      </c>
      <c r="AC111">
        <v>0</v>
      </c>
      <c r="AD111" t="str">
        <f ca="1">IF(RANDBETWEEN(1,20)&gt;1,"rg:False","rg:True")</f>
        <v>rg:False</v>
      </c>
      <c r="AE111" t="str">
        <f ca="1">IF(AD111="rg:True","Seniority overridden to test things","rg:None")</f>
        <v>rg:None</v>
      </c>
      <c r="AF111" s="1">
        <v>42481</v>
      </c>
      <c r="AG111" s="4">
        <f ca="1">IF(I111="Dump Truck",60,30)*AH111+(AVERAGE(AI111:AK111))</f>
        <v>406.49999999999994</v>
      </c>
      <c r="AH111" s="4">
        <f>YEARFRAC(DATE("2016","4","1"),T111)</f>
        <v>11.472222222222221</v>
      </c>
      <c r="AI111">
        <f ca="1">IF(AH111&lt;1,0,RANDBETWEEN(0,200))</f>
        <v>79</v>
      </c>
      <c r="AJ111">
        <f ca="1">IF(AH111&lt;2,0,RANDBETWEEN(0,200))</f>
        <v>5</v>
      </c>
      <c r="AK111">
        <f ca="1">IF(AH111&lt;3,0,RANDBETWEEN(0,200))</f>
        <v>103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>IF(ISNUMBER(B111),B111+1,200000)</f>
        <v>200110</v>
      </c>
      <c r="C112">
        <v>200028</v>
      </c>
      <c r="D112" t="str">
        <f>"rg:{'id': '"&amp;C112&amp;"'}"</f>
        <v>rg:{'id': '200028'}</v>
      </c>
      <c r="E112">
        <f>VLOOKUP(C112,Owners.csv!C:J,6,FALSE)</f>
        <v>200001</v>
      </c>
      <c r="F112" t="str">
        <f>VLOOKUP(VLOOKUP(E112,LocalAreas.csv!I:K,3,FALSE),ServiceAreas.csv!F:J,5,FALSE)</f>
        <v>200009</v>
      </c>
      <c r="G112" t="str">
        <f>"rg:{'id': '"&amp;E112&amp;"'}"</f>
        <v>rg:{'id': '200001'}</v>
      </c>
      <c r="H112" t="s">
        <v>7725</v>
      </c>
      <c r="I112" t="s">
        <v>5536</v>
      </c>
      <c r="J112">
        <f>VLOOKUP(I112&amp;"-"&amp;F112,DistrictEquipmentTypes.csv!J:K,2,FALSE)</f>
        <v>200000</v>
      </c>
      <c r="K112" t="str">
        <f>"rg:{'id': '"&amp;J112&amp;"'}"</f>
        <v>rg:{'id': '200000'}</v>
      </c>
      <c r="L112">
        <f>IF(C112=C111,L111+1,1)</f>
        <v>4</v>
      </c>
      <c r="M112" t="str">
        <f>VLOOKUP(C112,Owners.csv!C:K,9,FALSE)&amp;TEXT(Equipment.csv!L112,"0000")</f>
        <v>FISH0004</v>
      </c>
      <c r="N112" t="s">
        <v>5401</v>
      </c>
      <c r="O112" t="s">
        <v>6791</v>
      </c>
      <c r="P112">
        <v>2004</v>
      </c>
      <c r="Q112">
        <v>133</v>
      </c>
      <c r="R112" t="s">
        <v>6663</v>
      </c>
      <c r="S112" s="1">
        <v>40482</v>
      </c>
      <c r="T112" s="1">
        <v>40493</v>
      </c>
      <c r="U112" t="str">
        <f ca="1">IF(RANDBETWEEN(1,10)&gt;1,"rg:False","rg:True")</f>
        <v>rg:False</v>
      </c>
      <c r="V112" t="str">
        <f ca="1">IF(U112="rg:True","This equipment should be archived","rg:None")</f>
        <v>rg:None</v>
      </c>
      <c r="W112" t="s">
        <v>7190</v>
      </c>
      <c r="X112" t="s">
        <v>76</v>
      </c>
      <c r="Y112" t="s">
        <v>76</v>
      </c>
      <c r="Z112" t="s">
        <v>76</v>
      </c>
      <c r="AA112" t="s">
        <v>7537</v>
      </c>
      <c r="AB112" t="s">
        <v>7365</v>
      </c>
      <c r="AC112">
        <v>0</v>
      </c>
      <c r="AD112" t="str">
        <f ca="1">IF(RANDBETWEEN(1,20)&gt;1,"rg:False","rg:True")</f>
        <v>rg:False</v>
      </c>
      <c r="AE112" t="str">
        <f ca="1">IF(AD112="rg:True","Seniority overridden to test things","rg:None")</f>
        <v>rg:None</v>
      </c>
      <c r="AF112" s="1">
        <v>42481</v>
      </c>
      <c r="AG112" s="4">
        <f ca="1">IF(I112="Dump Truck",60,30)*AH112+(AVERAGE(AI112:AK112))</f>
        <v>257</v>
      </c>
      <c r="AH112" s="4">
        <f>YEARFRAC(DATE("2016","4","1"),T112)</f>
        <v>5.3888888888888893</v>
      </c>
      <c r="AI112">
        <f ca="1">IF(AH112&lt;1,0,RANDBETWEEN(0,200))</f>
        <v>179</v>
      </c>
      <c r="AJ112">
        <f ca="1">IF(AH112&lt;2,0,RANDBETWEEN(0,200))</f>
        <v>42</v>
      </c>
      <c r="AK112">
        <f ca="1">IF(AH112&lt;3,0,RANDBETWEEN(0,200))</f>
        <v>65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>IF(ISNUMBER(B112),B112+1,200000)</f>
        <v>200111</v>
      </c>
      <c r="C113">
        <v>200029</v>
      </c>
      <c r="D113" t="str">
        <f>"rg:{'id': '"&amp;C113&amp;"'}"</f>
        <v>rg:{'id': '200029'}</v>
      </c>
      <c r="E113">
        <f>VLOOKUP(C113,Owners.csv!C:J,6,FALSE)</f>
        <v>200001</v>
      </c>
      <c r="F113" t="str">
        <f>VLOOKUP(VLOOKUP(E113,LocalAreas.csv!I:K,3,FALSE),ServiceAreas.csv!F:J,5,FALSE)</f>
        <v>200009</v>
      </c>
      <c r="G113" t="str">
        <f>"rg:{'id': '"&amp;E113&amp;"'}"</f>
        <v>rg:{'id': '200001'}</v>
      </c>
      <c r="H113" t="s">
        <v>7272</v>
      </c>
      <c r="I113" t="s">
        <v>5651</v>
      </c>
      <c r="J113">
        <f>VLOOKUP(I113&amp;"-"&amp;F113,DistrictEquipmentTypes.csv!J:K,2,FALSE)</f>
        <v>200006</v>
      </c>
      <c r="K113" t="str">
        <f>"rg:{'id': '"&amp;J113&amp;"'}"</f>
        <v>rg:{'id': '200006'}</v>
      </c>
      <c r="L113">
        <f>IF(C113=C112,L112+1,1)</f>
        <v>1</v>
      </c>
      <c r="M113" t="str">
        <f>VLOOKUP(C113,Owners.csv!C:K,9,FALSE)&amp;TEXT(Equipment.csv!L113,"0000")</f>
        <v>FOOT0001</v>
      </c>
      <c r="N113" t="s">
        <v>5401</v>
      </c>
      <c r="O113" t="s">
        <v>6737</v>
      </c>
      <c r="P113">
        <v>1988</v>
      </c>
      <c r="Q113">
        <v>79</v>
      </c>
      <c r="R113" t="s">
        <v>6663</v>
      </c>
      <c r="S113" s="1">
        <v>40857</v>
      </c>
      <c r="T113" s="1">
        <v>40877</v>
      </c>
      <c r="U113" t="str">
        <f ca="1">IF(RANDBETWEEN(1,10)&gt;1,"rg:False","rg:True")</f>
        <v>rg:False</v>
      </c>
      <c r="V113" t="str">
        <f ca="1">IF(U113="rg:True","This equipment should be archived","rg:None")</f>
        <v>rg:None</v>
      </c>
      <c r="W113" t="s">
        <v>7136</v>
      </c>
      <c r="X113" t="s">
        <v>76</v>
      </c>
      <c r="Y113" t="s">
        <v>76</v>
      </c>
      <c r="Z113" t="s">
        <v>76</v>
      </c>
      <c r="AA113" t="s">
        <v>7483</v>
      </c>
      <c r="AB113" t="s">
        <v>7325</v>
      </c>
      <c r="AC113">
        <v>0</v>
      </c>
      <c r="AD113" t="str">
        <f ca="1">IF(RANDBETWEEN(1,20)&gt;1,"rg:False","rg:True")</f>
        <v>rg:False</v>
      </c>
      <c r="AE113" t="str">
        <f ca="1">IF(AD113="rg:True","Seniority overridden to test things","rg:None")</f>
        <v>rg:None</v>
      </c>
      <c r="AF113" s="1">
        <v>42481</v>
      </c>
      <c r="AG113" s="4">
        <f ca="1">IF(I113="Dump Truck",60,30)*AH113+(AVERAGE(AI113:AK113))</f>
        <v>392.83333333333337</v>
      </c>
      <c r="AH113" s="4">
        <f>YEARFRAC(DATE("2016","4","1"),T113)</f>
        <v>4.3361111111111112</v>
      </c>
      <c r="AI113">
        <f ca="1">IF(AH113&lt;1,0,RANDBETWEEN(0,200))</f>
        <v>188</v>
      </c>
      <c r="AJ113">
        <f ca="1">IF(AH113&lt;2,0,RANDBETWEEN(0,200))</f>
        <v>144</v>
      </c>
      <c r="AK113">
        <f ca="1">IF(AH113&lt;3,0,RANDBETWEEN(0,200))</f>
        <v>66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>IF(ISNUMBER(B113),B113+1,200000)</f>
        <v>200112</v>
      </c>
      <c r="C114">
        <v>200029</v>
      </c>
      <c r="D114" t="str">
        <f>"rg:{'id': '"&amp;C114&amp;"'}"</f>
        <v>rg:{'id': '200029'}</v>
      </c>
      <c r="E114">
        <f>VLOOKUP(C114,Owners.csv!C:J,6,FALSE)</f>
        <v>200001</v>
      </c>
      <c r="F114" t="str">
        <f>VLOOKUP(VLOOKUP(E114,LocalAreas.csv!I:K,3,FALSE),ServiceAreas.csv!F:J,5,FALSE)</f>
        <v>200009</v>
      </c>
      <c r="G114" t="str">
        <f>"rg:{'id': '"&amp;E114&amp;"'}"</f>
        <v>rg:{'id': '200001'}</v>
      </c>
      <c r="H114" t="s">
        <v>7720</v>
      </c>
      <c r="I114" t="s">
        <v>5651</v>
      </c>
      <c r="J114">
        <f>VLOOKUP(I114&amp;"-"&amp;F114,DistrictEquipmentTypes.csv!J:K,2,FALSE)</f>
        <v>200006</v>
      </c>
      <c r="K114" t="str">
        <f>"rg:{'id': '"&amp;J114&amp;"'}"</f>
        <v>rg:{'id': '200006'}</v>
      </c>
      <c r="L114">
        <f>IF(C114=C113,L113+1,1)</f>
        <v>2</v>
      </c>
      <c r="M114" t="str">
        <f>VLOOKUP(C114,Owners.csv!C:K,9,FALSE)&amp;TEXT(Equipment.csv!L114,"0000")</f>
        <v>FOOT0002</v>
      </c>
      <c r="N114" t="s">
        <v>5401</v>
      </c>
      <c r="O114" t="s">
        <v>6757</v>
      </c>
      <c r="P114">
        <v>2005</v>
      </c>
      <c r="Q114">
        <v>99</v>
      </c>
      <c r="R114" t="s">
        <v>6663</v>
      </c>
      <c r="S114" s="1">
        <v>41275</v>
      </c>
      <c r="T114" s="1">
        <v>41280</v>
      </c>
      <c r="U114" t="str">
        <f ca="1">IF(RANDBETWEEN(1,10)&gt;1,"rg:False","rg:True")</f>
        <v>rg:False</v>
      </c>
      <c r="V114" t="str">
        <f ca="1">IF(U114="rg:True","This equipment should be archived","rg:None")</f>
        <v>rg:None</v>
      </c>
      <c r="W114" t="s">
        <v>7156</v>
      </c>
      <c r="X114" t="s">
        <v>76</v>
      </c>
      <c r="Y114" t="s">
        <v>76</v>
      </c>
      <c r="Z114" t="s">
        <v>76</v>
      </c>
      <c r="AA114" t="s">
        <v>7503</v>
      </c>
      <c r="AB114" t="s">
        <v>7340</v>
      </c>
      <c r="AC114">
        <v>0</v>
      </c>
      <c r="AD114" t="str">
        <f ca="1">IF(RANDBETWEEN(1,20)&gt;1,"rg:False","rg:True")</f>
        <v>rg:False</v>
      </c>
      <c r="AE114" t="str">
        <f ca="1">IF(AD114="rg:True","Seniority overridden to test things","rg:None")</f>
        <v>rg:None</v>
      </c>
      <c r="AF114" s="1">
        <v>42481</v>
      </c>
      <c r="AG114" s="4">
        <f ca="1">IF(I114="Dump Truck",60,30)*AH114+(AVERAGE(AI114:AK114))</f>
        <v>341.83333333333331</v>
      </c>
      <c r="AH114" s="4">
        <f>YEARFRAC(DATE("2016","4","1"),T114)</f>
        <v>3.2361111111111112</v>
      </c>
      <c r="AI114">
        <f ca="1">IF(AH114&lt;1,0,RANDBETWEEN(0,200))</f>
        <v>113</v>
      </c>
      <c r="AJ114">
        <f ca="1">IF(AH114&lt;2,0,RANDBETWEEN(0,200))</f>
        <v>197</v>
      </c>
      <c r="AK114">
        <f ca="1">IF(AH114&lt;3,0,RANDBETWEEN(0,200))</f>
        <v>133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>IF(ISNUMBER(B114),B114+1,200000)</f>
        <v>200113</v>
      </c>
      <c r="C115">
        <v>200029</v>
      </c>
      <c r="D115" t="str">
        <f>"rg:{'id': '"&amp;C115&amp;"'}"</f>
        <v>rg:{'id': '200029'}</v>
      </c>
      <c r="E115">
        <f>VLOOKUP(C115,Owners.csv!C:J,6,FALSE)</f>
        <v>200001</v>
      </c>
      <c r="F115" t="str">
        <f>VLOOKUP(VLOOKUP(E115,LocalAreas.csv!I:K,3,FALSE),ServiceAreas.csv!F:J,5,FALSE)</f>
        <v>200009</v>
      </c>
      <c r="G115" t="str">
        <f>"rg:{'id': '"&amp;E115&amp;"'}"</f>
        <v>rg:{'id': '200001'}</v>
      </c>
      <c r="H115" t="s">
        <v>7731</v>
      </c>
      <c r="I115" t="s">
        <v>5637</v>
      </c>
      <c r="J115">
        <f>VLOOKUP(I115&amp;"-"&amp;F115,DistrictEquipmentTypes.csv!J:K,2,FALSE)</f>
        <v>200001</v>
      </c>
      <c r="K115" t="str">
        <f>"rg:{'id': '"&amp;J115&amp;"'}"</f>
        <v>rg:{'id': '200001'}</v>
      </c>
      <c r="L115">
        <f>IF(C115=C114,L114+1,1)</f>
        <v>3</v>
      </c>
      <c r="M115" t="str">
        <f>VLOOKUP(C115,Owners.csv!C:K,9,FALSE)&amp;TEXT(Equipment.csv!L115,"0000")</f>
        <v>FOOT0003</v>
      </c>
      <c r="N115" t="s">
        <v>5401</v>
      </c>
      <c r="O115" t="s">
        <v>6777</v>
      </c>
      <c r="P115">
        <v>1970</v>
      </c>
      <c r="Q115">
        <v>119</v>
      </c>
      <c r="R115" t="s">
        <v>6663</v>
      </c>
      <c r="S115" s="1">
        <v>40252</v>
      </c>
      <c r="T115" s="1">
        <v>40267</v>
      </c>
      <c r="U115" t="str">
        <f ca="1">IF(RANDBETWEEN(1,10)&gt;1,"rg:False","rg:True")</f>
        <v>rg:False</v>
      </c>
      <c r="V115" t="str">
        <f ca="1">IF(U115="rg:True","This equipment should be archived","rg:None")</f>
        <v>rg:None</v>
      </c>
      <c r="W115" t="s">
        <v>7176</v>
      </c>
      <c r="X115" t="s">
        <v>76</v>
      </c>
      <c r="Y115" t="s">
        <v>76</v>
      </c>
      <c r="Z115" t="s">
        <v>76</v>
      </c>
      <c r="AA115" t="s">
        <v>7523</v>
      </c>
      <c r="AB115" t="s">
        <v>7356</v>
      </c>
      <c r="AC115">
        <v>0</v>
      </c>
      <c r="AD115" t="str">
        <f ca="1">IF(RANDBETWEEN(1,20)&gt;1,"rg:False","rg:True")</f>
        <v>rg:False</v>
      </c>
      <c r="AE115" t="str">
        <f ca="1">IF(AD115="rg:True","Seniority overridden to test things","rg:None")</f>
        <v>rg:None</v>
      </c>
      <c r="AF115" s="1">
        <v>42481</v>
      </c>
      <c r="AG115" s="4">
        <f ca="1">IF(I115="Dump Truck",60,30)*AH115+(AVERAGE(AI115:AK115))</f>
        <v>205.75</v>
      </c>
      <c r="AH115" s="4">
        <f>YEARFRAC(DATE("2016","4","1"),T115)</f>
        <v>6.0027777777777782</v>
      </c>
      <c r="AI115">
        <f ca="1">IF(AH115&lt;1,0,RANDBETWEEN(0,200))</f>
        <v>17</v>
      </c>
      <c r="AJ115">
        <f ca="1">IF(AH115&lt;2,0,RANDBETWEEN(0,200))</f>
        <v>28</v>
      </c>
      <c r="AK115">
        <f ca="1">IF(AH115&lt;3,0,RANDBETWEEN(0,200))</f>
        <v>32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>IF(ISNUMBER(B115),B115+1,200000)</f>
        <v>200114</v>
      </c>
      <c r="C116">
        <v>200029</v>
      </c>
      <c r="D116" t="str">
        <f>"rg:{'id': '"&amp;C116&amp;"'}"</f>
        <v>rg:{'id': '200029'}</v>
      </c>
      <c r="E116">
        <f>VLOOKUP(C116,Owners.csv!C:J,6,FALSE)</f>
        <v>200001</v>
      </c>
      <c r="F116" t="str">
        <f>VLOOKUP(VLOOKUP(E116,LocalAreas.csv!I:K,3,FALSE),ServiceAreas.csv!F:J,5,FALSE)</f>
        <v>200009</v>
      </c>
      <c r="G116" t="str">
        <f>"rg:{'id': '"&amp;E116&amp;"'}"</f>
        <v>rg:{'id': '200001'}</v>
      </c>
      <c r="H116" t="s">
        <v>7711</v>
      </c>
      <c r="I116" t="s">
        <v>5536</v>
      </c>
      <c r="J116">
        <f>VLOOKUP(I116&amp;"-"&amp;F116,DistrictEquipmentTypes.csv!J:K,2,FALSE)</f>
        <v>200000</v>
      </c>
      <c r="K116" t="str">
        <f>"rg:{'id': '"&amp;J116&amp;"'}"</f>
        <v>rg:{'id': '200000'}</v>
      </c>
      <c r="L116">
        <f>IF(C116=C115,L115+1,1)</f>
        <v>4</v>
      </c>
      <c r="M116" t="str">
        <f>VLOOKUP(C116,Owners.csv!C:K,9,FALSE)&amp;TEXT(Equipment.csv!L116,"0000")</f>
        <v>FOOT0004</v>
      </c>
      <c r="N116" t="s">
        <v>5401</v>
      </c>
      <c r="O116" t="s">
        <v>6792</v>
      </c>
      <c r="P116">
        <v>2014</v>
      </c>
      <c r="Q116">
        <v>134</v>
      </c>
      <c r="R116" t="s">
        <v>6663</v>
      </c>
      <c r="S116" s="1">
        <v>37921</v>
      </c>
      <c r="T116" s="1">
        <v>37922</v>
      </c>
      <c r="U116" t="str">
        <f ca="1">IF(RANDBETWEEN(1,10)&gt;1,"rg:False","rg:True")</f>
        <v>rg:False</v>
      </c>
      <c r="V116" t="str">
        <f ca="1">IF(U116="rg:True","This equipment should be archived","rg:None")</f>
        <v>rg:None</v>
      </c>
      <c r="W116" t="s">
        <v>7191</v>
      </c>
      <c r="X116" t="s">
        <v>76</v>
      </c>
      <c r="Y116" t="s">
        <v>76</v>
      </c>
      <c r="Z116" t="s">
        <v>76</v>
      </c>
      <c r="AA116" t="s">
        <v>7538</v>
      </c>
      <c r="AB116" t="s">
        <v>7324</v>
      </c>
      <c r="AC116">
        <v>0</v>
      </c>
      <c r="AD116" t="str">
        <f ca="1">IF(RANDBETWEEN(1,20)&gt;1,"rg:False","rg:True")</f>
        <v>rg:False</v>
      </c>
      <c r="AE116" t="str">
        <f ca="1">IF(AD116="rg:True","Seniority overridden to test things","rg:None")</f>
        <v>rg:None</v>
      </c>
      <c r="AF116" s="1">
        <v>42481</v>
      </c>
      <c r="AG116" s="4">
        <f ca="1">IF(I116="Dump Truck",60,30)*AH116+(AVERAGE(AI116:AK116))</f>
        <v>436.41666666666669</v>
      </c>
      <c r="AH116" s="4">
        <f>YEARFRAC(DATE("2016","4","1"),T116)</f>
        <v>12.425000000000001</v>
      </c>
      <c r="AI116">
        <f ca="1">IF(AH116&lt;1,0,RANDBETWEEN(0,200))</f>
        <v>50</v>
      </c>
      <c r="AJ116">
        <f ca="1">IF(AH116&lt;2,0,RANDBETWEEN(0,200))</f>
        <v>105</v>
      </c>
      <c r="AK116">
        <f ca="1">IF(AH116&lt;3,0,RANDBETWEEN(0,200))</f>
        <v>36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>IF(ISNUMBER(B116),B116+1,200000)</f>
        <v>200115</v>
      </c>
      <c r="C117">
        <v>200030</v>
      </c>
      <c r="D117" t="str">
        <f>"rg:{'id': '"&amp;C117&amp;"'}"</f>
        <v>rg:{'id': '200030'}</v>
      </c>
      <c r="E117">
        <f>VLOOKUP(C117,Owners.csv!C:J,6,FALSE)</f>
        <v>200001</v>
      </c>
      <c r="F117" t="str">
        <f>VLOOKUP(VLOOKUP(E117,LocalAreas.csv!I:K,3,FALSE),ServiceAreas.csv!F:J,5,FALSE)</f>
        <v>200009</v>
      </c>
      <c r="G117" t="str">
        <f>"rg:{'id': '"&amp;E117&amp;"'}"</f>
        <v>rg:{'id': '200001'}</v>
      </c>
      <c r="H117" t="s">
        <v>7707</v>
      </c>
      <c r="I117" t="s">
        <v>5651</v>
      </c>
      <c r="J117">
        <f>VLOOKUP(I117&amp;"-"&amp;F117,DistrictEquipmentTypes.csv!J:K,2,FALSE)</f>
        <v>200006</v>
      </c>
      <c r="K117" t="str">
        <f>"rg:{'id': '"&amp;J117&amp;"'}"</f>
        <v>rg:{'id': '200006'}</v>
      </c>
      <c r="L117">
        <f>IF(C117=C116,L116+1,1)</f>
        <v>1</v>
      </c>
      <c r="M117" t="str">
        <f>VLOOKUP(C117,Owners.csv!C:K,9,FALSE)&amp;TEXT(Equipment.csv!L117,"0000")</f>
        <v>GAMM0001</v>
      </c>
      <c r="N117" t="s">
        <v>5401</v>
      </c>
      <c r="O117" t="s">
        <v>6738</v>
      </c>
      <c r="P117">
        <v>1987</v>
      </c>
      <c r="Q117">
        <v>80</v>
      </c>
      <c r="R117" t="s">
        <v>6663</v>
      </c>
      <c r="S117" s="1">
        <v>39772</v>
      </c>
      <c r="T117" s="1">
        <v>39799</v>
      </c>
      <c r="U117" t="str">
        <f ca="1">IF(RANDBETWEEN(1,10)&gt;1,"rg:False","rg:True")</f>
        <v>rg:True</v>
      </c>
      <c r="V117" t="str">
        <f ca="1">IF(U117="rg:True","This equipment should be archived","rg:None")</f>
        <v>This equipment should be archived</v>
      </c>
      <c r="W117" t="s">
        <v>7137</v>
      </c>
      <c r="X117" t="s">
        <v>76</v>
      </c>
      <c r="Y117" t="s">
        <v>76</v>
      </c>
      <c r="Z117" t="s">
        <v>76</v>
      </c>
      <c r="AA117" t="s">
        <v>7484</v>
      </c>
      <c r="AB117" t="s">
        <v>7268</v>
      </c>
      <c r="AC117">
        <v>0</v>
      </c>
      <c r="AD117" t="str">
        <f ca="1">IF(RANDBETWEEN(1,20)&gt;1,"rg:False","rg:True")</f>
        <v>rg:False</v>
      </c>
      <c r="AE117" t="str">
        <f ca="1">IF(AD117="rg:True","Seniority overridden to test things","rg:None")</f>
        <v>rg:None</v>
      </c>
      <c r="AF117" s="1">
        <v>42481</v>
      </c>
      <c r="AG117" s="4">
        <f ca="1">IF(I117="Dump Truck",60,30)*AH117+(AVERAGE(AI117:AK117))</f>
        <v>542.33333333333326</v>
      </c>
      <c r="AH117" s="4">
        <f>YEARFRAC(DATE("2016","4","1"),T117)</f>
        <v>7.2888888888888888</v>
      </c>
      <c r="AI117">
        <f ca="1">IF(AH117&lt;1,0,RANDBETWEEN(0,200))</f>
        <v>145</v>
      </c>
      <c r="AJ117">
        <f ca="1">IF(AH117&lt;2,0,RANDBETWEEN(0,200))</f>
        <v>51</v>
      </c>
      <c r="AK117">
        <f ca="1">IF(AH117&lt;3,0,RANDBETWEEN(0,200))</f>
        <v>119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>IF(ISNUMBER(B117),B117+1,200000)</f>
        <v>200116</v>
      </c>
      <c r="C118">
        <v>200030</v>
      </c>
      <c r="D118" t="str">
        <f>"rg:{'id': '"&amp;C118&amp;"'}"</f>
        <v>rg:{'id': '200030'}</v>
      </c>
      <c r="E118">
        <f>VLOOKUP(C118,Owners.csv!C:J,6,FALSE)</f>
        <v>200001</v>
      </c>
      <c r="F118" t="str">
        <f>VLOOKUP(VLOOKUP(E118,LocalAreas.csv!I:K,3,FALSE),ServiceAreas.csv!F:J,5,FALSE)</f>
        <v>200009</v>
      </c>
      <c r="G118" t="str">
        <f>"rg:{'id': '"&amp;E118&amp;"'}"</f>
        <v>rg:{'id': '200001'}</v>
      </c>
      <c r="H118" t="s">
        <v>7668</v>
      </c>
      <c r="I118" t="s">
        <v>5651</v>
      </c>
      <c r="J118">
        <f>VLOOKUP(I118&amp;"-"&amp;F118,DistrictEquipmentTypes.csv!J:K,2,FALSE)</f>
        <v>200006</v>
      </c>
      <c r="K118" t="str">
        <f>"rg:{'id': '"&amp;J118&amp;"'}"</f>
        <v>rg:{'id': '200006'}</v>
      </c>
      <c r="L118">
        <f>IF(C118=C117,L117+1,1)</f>
        <v>2</v>
      </c>
      <c r="M118" t="str">
        <f>VLOOKUP(C118,Owners.csv!C:K,9,FALSE)&amp;TEXT(Equipment.csv!L118,"0000")</f>
        <v>GAMM0002</v>
      </c>
      <c r="N118" t="s">
        <v>5401</v>
      </c>
      <c r="O118" t="s">
        <v>6758</v>
      </c>
      <c r="P118">
        <v>1999</v>
      </c>
      <c r="Q118">
        <v>100</v>
      </c>
      <c r="R118" t="s">
        <v>6663</v>
      </c>
      <c r="S118" s="1">
        <v>38948</v>
      </c>
      <c r="T118" s="1">
        <v>38955</v>
      </c>
      <c r="U118" t="str">
        <f ca="1">IF(RANDBETWEEN(1,10)&gt;1,"rg:False","rg:True")</f>
        <v>rg:False</v>
      </c>
      <c r="V118" t="str">
        <f ca="1">IF(U118="rg:True","This equipment should be archived","rg:None")</f>
        <v>rg:None</v>
      </c>
      <c r="W118" t="s">
        <v>7157</v>
      </c>
      <c r="X118" t="s">
        <v>76</v>
      </c>
      <c r="Y118" t="s">
        <v>76</v>
      </c>
      <c r="Z118" t="s">
        <v>76</v>
      </c>
      <c r="AA118" t="s">
        <v>7504</v>
      </c>
      <c r="AB118" t="s">
        <v>7341</v>
      </c>
      <c r="AC118">
        <v>0</v>
      </c>
      <c r="AD118" t="str">
        <f ca="1">IF(RANDBETWEEN(1,20)&gt;1,"rg:False","rg:True")</f>
        <v>rg:False</v>
      </c>
      <c r="AE118" t="str">
        <f ca="1">IF(AD118="rg:True","Seniority overridden to test things","rg:None")</f>
        <v>rg:None</v>
      </c>
      <c r="AF118" s="1">
        <v>42481</v>
      </c>
      <c r="AG118" s="4">
        <f ca="1">IF(I118="Dump Truck",60,30)*AH118+(AVERAGE(AI118:AK118))</f>
        <v>712.49999999999989</v>
      </c>
      <c r="AH118" s="4">
        <f>YEARFRAC(DATE("2016","4","1"),T118)</f>
        <v>9.5972222222222214</v>
      </c>
      <c r="AI118">
        <f ca="1">IF(AH118&lt;1,0,RANDBETWEEN(0,200))</f>
        <v>103</v>
      </c>
      <c r="AJ118">
        <f ca="1">IF(AH118&lt;2,0,RANDBETWEEN(0,200))</f>
        <v>114</v>
      </c>
      <c r="AK118">
        <f ca="1">IF(AH118&lt;3,0,RANDBETWEEN(0,200))</f>
        <v>193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>IF(ISNUMBER(B118),B118+1,200000)</f>
        <v>200117</v>
      </c>
      <c r="C119">
        <v>200030</v>
      </c>
      <c r="D119" t="str">
        <f>"rg:{'id': '"&amp;C119&amp;"'}"</f>
        <v>rg:{'id': '200030'}</v>
      </c>
      <c r="E119">
        <f>VLOOKUP(C119,Owners.csv!C:J,6,FALSE)</f>
        <v>200001</v>
      </c>
      <c r="F119" t="str">
        <f>VLOOKUP(VLOOKUP(E119,LocalAreas.csv!I:K,3,FALSE),ServiceAreas.csv!F:J,5,FALSE)</f>
        <v>200009</v>
      </c>
      <c r="G119" t="str">
        <f>"rg:{'id': '"&amp;E119&amp;"'}"</f>
        <v>rg:{'id': '200001'}</v>
      </c>
      <c r="H119" t="s">
        <v>7732</v>
      </c>
      <c r="I119" t="s">
        <v>5637</v>
      </c>
      <c r="J119">
        <f>VLOOKUP(I119&amp;"-"&amp;F119,DistrictEquipmentTypes.csv!J:K,2,FALSE)</f>
        <v>200001</v>
      </c>
      <c r="K119" t="str">
        <f>"rg:{'id': '"&amp;J119&amp;"'}"</f>
        <v>rg:{'id': '200001'}</v>
      </c>
      <c r="L119">
        <f>IF(C119=C118,L118+1,1)</f>
        <v>3</v>
      </c>
      <c r="M119" t="str">
        <f>VLOOKUP(C119,Owners.csv!C:K,9,FALSE)&amp;TEXT(Equipment.csv!L119,"0000")</f>
        <v>GAMM0003</v>
      </c>
      <c r="N119" t="s">
        <v>5401</v>
      </c>
      <c r="O119" t="s">
        <v>6778</v>
      </c>
      <c r="P119">
        <v>1996</v>
      </c>
      <c r="Q119">
        <v>120</v>
      </c>
      <c r="R119" t="s">
        <v>6663</v>
      </c>
      <c r="S119" s="1">
        <v>40652</v>
      </c>
      <c r="T119" s="1">
        <v>40674</v>
      </c>
      <c r="U119" t="str">
        <f ca="1">IF(RANDBETWEEN(1,10)&gt;1,"rg:False","rg:True")</f>
        <v>rg:False</v>
      </c>
      <c r="V119" t="str">
        <f ca="1">IF(U119="rg:True","This equipment should be archived","rg:None")</f>
        <v>rg:None</v>
      </c>
      <c r="W119" t="s">
        <v>7177</v>
      </c>
      <c r="X119" t="s">
        <v>76</v>
      </c>
      <c r="Y119" t="s">
        <v>76</v>
      </c>
      <c r="Z119" t="s">
        <v>76</v>
      </c>
      <c r="AA119" t="s">
        <v>7524</v>
      </c>
      <c r="AB119" t="s">
        <v>7357</v>
      </c>
      <c r="AC119">
        <v>0</v>
      </c>
      <c r="AD119" t="str">
        <f ca="1">IF(RANDBETWEEN(1,20)&gt;1,"rg:False","rg:True")</f>
        <v>rg:False</v>
      </c>
      <c r="AE119" t="str">
        <f ca="1">IF(AD119="rg:True","Seniority overridden to test things","rg:None")</f>
        <v>rg:None</v>
      </c>
      <c r="AF119" s="1">
        <v>42481</v>
      </c>
      <c r="AG119" s="4">
        <f ca="1">IF(I119="Dump Truck",60,30)*AH119+(AVERAGE(AI119:AK119))</f>
        <v>263.33333333333337</v>
      </c>
      <c r="AH119" s="4">
        <f>YEARFRAC(DATE("2016","4","1"),T119)</f>
        <v>4.8888888888888893</v>
      </c>
      <c r="AI119">
        <f ca="1">IF(AH119&lt;1,0,RANDBETWEEN(0,200))</f>
        <v>190</v>
      </c>
      <c r="AJ119">
        <f ca="1">IF(AH119&lt;2,0,RANDBETWEEN(0,200))</f>
        <v>14</v>
      </c>
      <c r="AK119">
        <f ca="1">IF(AH119&lt;3,0,RANDBETWEEN(0,200))</f>
        <v>146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>IF(ISNUMBER(B119),B119+1,200000)</f>
        <v>200118</v>
      </c>
      <c r="C120">
        <v>200030</v>
      </c>
      <c r="D120" t="str">
        <f>"rg:{'id': '"&amp;C120&amp;"'}"</f>
        <v>rg:{'id': '200030'}</v>
      </c>
      <c r="E120">
        <f>VLOOKUP(C120,Owners.csv!C:J,6,FALSE)</f>
        <v>200001</v>
      </c>
      <c r="F120" t="str">
        <f>VLOOKUP(VLOOKUP(E120,LocalAreas.csv!I:K,3,FALSE),ServiceAreas.csv!F:J,5,FALSE)</f>
        <v>200009</v>
      </c>
      <c r="G120" t="str">
        <f>"rg:{'id': '"&amp;E120&amp;"'}"</f>
        <v>rg:{'id': '200001'}</v>
      </c>
      <c r="H120" t="s">
        <v>7739</v>
      </c>
      <c r="I120" t="s">
        <v>5536</v>
      </c>
      <c r="J120">
        <f>VLOOKUP(I120&amp;"-"&amp;F120,DistrictEquipmentTypes.csv!J:K,2,FALSE)</f>
        <v>200000</v>
      </c>
      <c r="K120" t="str">
        <f>"rg:{'id': '"&amp;J120&amp;"'}"</f>
        <v>rg:{'id': '200000'}</v>
      </c>
      <c r="L120">
        <f>IF(C120=C119,L119+1,1)</f>
        <v>4</v>
      </c>
      <c r="M120" t="str">
        <f>VLOOKUP(C120,Owners.csv!C:K,9,FALSE)&amp;TEXT(Equipment.csv!L120,"0000")</f>
        <v>GAMM0004</v>
      </c>
      <c r="N120" t="s">
        <v>5401</v>
      </c>
      <c r="O120" t="s">
        <v>6793</v>
      </c>
      <c r="P120">
        <v>1991</v>
      </c>
      <c r="Q120">
        <v>135</v>
      </c>
      <c r="R120" t="s">
        <v>6663</v>
      </c>
      <c r="S120" s="1">
        <v>42321</v>
      </c>
      <c r="T120" s="1">
        <v>42351</v>
      </c>
      <c r="U120" t="str">
        <f ca="1">IF(RANDBETWEEN(1,10)&gt;1,"rg:False","rg:True")</f>
        <v>rg:False</v>
      </c>
      <c r="V120" t="str">
        <f ca="1">IF(U120="rg:True","This equipment should be archived","rg:None")</f>
        <v>rg:None</v>
      </c>
      <c r="W120" t="s">
        <v>7192</v>
      </c>
      <c r="X120" t="s">
        <v>76</v>
      </c>
      <c r="Y120" t="s">
        <v>76</v>
      </c>
      <c r="Z120" t="s">
        <v>76</v>
      </c>
      <c r="AA120" t="s">
        <v>7539</v>
      </c>
      <c r="AB120" t="s">
        <v>7366</v>
      </c>
      <c r="AC120">
        <v>0</v>
      </c>
      <c r="AD120" t="str">
        <f ca="1">IF(RANDBETWEEN(1,20)&gt;1,"rg:False","rg:True")</f>
        <v>rg:False</v>
      </c>
      <c r="AE120" t="str">
        <f ca="1">IF(AD120="rg:True","Seniority overridden to test things","rg:None")</f>
        <v>rg:None</v>
      </c>
      <c r="AF120" s="1">
        <v>42481</v>
      </c>
      <c r="AG120" s="4">
        <f ca="1">IF(I120="Dump Truck",60,30)*AH120+(AVERAGE(AI120:AK120))</f>
        <v>9</v>
      </c>
      <c r="AH120" s="4">
        <f>YEARFRAC(DATE("2016","4","1"),T120)</f>
        <v>0.3</v>
      </c>
      <c r="AI120">
        <f ca="1">IF(AH120&lt;1,0,RANDBETWEEN(0,200))</f>
        <v>0</v>
      </c>
      <c r="AJ120">
        <f ca="1">IF(AH120&lt;2,0,RANDBETWEEN(0,200))</f>
        <v>0</v>
      </c>
      <c r="AK120">
        <f ca="1">IF(AH120&lt;3,0,RANDBETWEEN(0,200))</f>
        <v>0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>IF(ISNUMBER(B120),B120+1,200000)</f>
        <v>200119</v>
      </c>
      <c r="C121">
        <v>200031</v>
      </c>
      <c r="D121" t="str">
        <f>"rg:{'id': '"&amp;C121&amp;"'}"</f>
        <v>rg:{'id': '200031'}</v>
      </c>
      <c r="E121">
        <f>VLOOKUP(C121,Owners.csv!C:J,6,FALSE)</f>
        <v>200001</v>
      </c>
      <c r="F121" t="str">
        <f>VLOOKUP(VLOOKUP(E121,LocalAreas.csv!I:K,3,FALSE),ServiceAreas.csv!F:J,5,FALSE)</f>
        <v>200009</v>
      </c>
      <c r="G121" t="str">
        <f>"rg:{'id': '"&amp;E121&amp;"'}"</f>
        <v>rg:{'id': '200001'}</v>
      </c>
      <c r="H121" t="s">
        <v>7662</v>
      </c>
      <c r="I121" t="s">
        <v>5651</v>
      </c>
      <c r="J121">
        <f>VLOOKUP(I121&amp;"-"&amp;F121,DistrictEquipmentTypes.csv!J:K,2,FALSE)</f>
        <v>200006</v>
      </c>
      <c r="K121" t="str">
        <f>"rg:{'id': '"&amp;J121&amp;"'}"</f>
        <v>rg:{'id': '200006'}</v>
      </c>
      <c r="L121">
        <f>IF(C121=C120,L120+1,1)</f>
        <v>1</v>
      </c>
      <c r="M121" t="str">
        <f>VLOOKUP(C121,Owners.csv!C:K,9,FALSE)&amp;TEXT(Equipment.csv!L121,"0000")</f>
        <v>GARD0001</v>
      </c>
      <c r="N121" t="s">
        <v>5401</v>
      </c>
      <c r="O121" t="s">
        <v>6739</v>
      </c>
      <c r="P121">
        <v>2001</v>
      </c>
      <c r="Q121">
        <v>81</v>
      </c>
      <c r="R121" t="s">
        <v>6663</v>
      </c>
      <c r="S121" s="1">
        <v>42101</v>
      </c>
      <c r="T121" s="1">
        <v>42109</v>
      </c>
      <c r="U121" t="str">
        <f ca="1">IF(RANDBETWEEN(1,10)&gt;1,"rg:False","rg:True")</f>
        <v>rg:False</v>
      </c>
      <c r="V121" t="str">
        <f ca="1">IF(U121="rg:True","This equipment should be archived","rg:None")</f>
        <v>rg:None</v>
      </c>
      <c r="W121" t="s">
        <v>7138</v>
      </c>
      <c r="X121" t="s">
        <v>76</v>
      </c>
      <c r="Y121" t="s">
        <v>76</v>
      </c>
      <c r="Z121" t="s">
        <v>76</v>
      </c>
      <c r="AA121" t="s">
        <v>7485</v>
      </c>
      <c r="AB121" t="s">
        <v>7326</v>
      </c>
      <c r="AC121">
        <v>0</v>
      </c>
      <c r="AD121" t="str">
        <f ca="1">IF(RANDBETWEEN(1,20)&gt;1,"rg:False","rg:True")</f>
        <v>rg:False</v>
      </c>
      <c r="AE121" t="str">
        <f ca="1">IF(AD121="rg:True","Seniority overridden to test things","rg:None")</f>
        <v>rg:None</v>
      </c>
      <c r="AF121" s="1">
        <v>42481</v>
      </c>
      <c r="AG121" s="4">
        <f ca="1">IF(I121="Dump Truck",60,30)*AH121+(AVERAGE(AI121:AK121))</f>
        <v>57.666666666666671</v>
      </c>
      <c r="AH121" s="4">
        <f>YEARFRAC(DATE("2016","4","1"),T121)</f>
        <v>0.96111111111111114</v>
      </c>
      <c r="AI121">
        <f ca="1">IF(AH121&lt;1,0,RANDBETWEEN(0,200))</f>
        <v>0</v>
      </c>
      <c r="AJ121">
        <f ca="1">IF(AH121&lt;2,0,RANDBETWEEN(0,200))</f>
        <v>0</v>
      </c>
      <c r="AK121">
        <f ca="1">IF(AH121&lt;3,0,RANDBETWEEN(0,200))</f>
        <v>0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>IF(ISNUMBER(B121),B121+1,200000)</f>
        <v>200120</v>
      </c>
      <c r="C122">
        <v>200031</v>
      </c>
      <c r="D122" t="str">
        <f>"rg:{'id': '"&amp;C122&amp;"'}"</f>
        <v>rg:{'id': '200031'}</v>
      </c>
      <c r="E122">
        <f>VLOOKUP(C122,Owners.csv!C:J,6,FALSE)</f>
        <v>200001</v>
      </c>
      <c r="F122" t="str">
        <f>VLOOKUP(VLOOKUP(E122,LocalAreas.csv!I:K,3,FALSE),ServiceAreas.csv!F:J,5,FALSE)</f>
        <v>200009</v>
      </c>
      <c r="G122" t="str">
        <f>"rg:{'id': '"&amp;E122&amp;"'}"</f>
        <v>rg:{'id': '200001'}</v>
      </c>
      <c r="H122" t="s">
        <v>7721</v>
      </c>
      <c r="I122" t="s">
        <v>5651</v>
      </c>
      <c r="J122">
        <f>VLOOKUP(I122&amp;"-"&amp;F122,DistrictEquipmentTypes.csv!J:K,2,FALSE)</f>
        <v>200006</v>
      </c>
      <c r="K122" t="str">
        <f>"rg:{'id': '"&amp;J122&amp;"'}"</f>
        <v>rg:{'id': '200006'}</v>
      </c>
      <c r="L122">
        <f>IF(C122=C121,L121+1,1)</f>
        <v>2</v>
      </c>
      <c r="M122" t="str">
        <f>VLOOKUP(C122,Owners.csv!C:K,9,FALSE)&amp;TEXT(Equipment.csv!L122,"0000")</f>
        <v>GARD0002</v>
      </c>
      <c r="N122" t="s">
        <v>5401</v>
      </c>
      <c r="O122" t="s">
        <v>6759</v>
      </c>
      <c r="P122">
        <v>1982</v>
      </c>
      <c r="Q122">
        <v>101</v>
      </c>
      <c r="R122" t="s">
        <v>6663</v>
      </c>
      <c r="S122" s="1">
        <v>39213</v>
      </c>
      <c r="T122" s="1">
        <v>39222</v>
      </c>
      <c r="U122" t="str">
        <f ca="1">IF(RANDBETWEEN(1,10)&gt;1,"rg:False","rg:True")</f>
        <v>rg:False</v>
      </c>
      <c r="V122" t="str">
        <f ca="1">IF(U122="rg:True","This equipment should be archived","rg:None")</f>
        <v>rg:None</v>
      </c>
      <c r="W122" t="s">
        <v>7158</v>
      </c>
      <c r="X122" t="s">
        <v>76</v>
      </c>
      <c r="Y122" t="s">
        <v>76</v>
      </c>
      <c r="Z122" t="s">
        <v>76</v>
      </c>
      <c r="AA122" t="s">
        <v>7505</v>
      </c>
      <c r="AB122" t="s">
        <v>7286</v>
      </c>
      <c r="AC122">
        <v>0</v>
      </c>
      <c r="AD122" t="str">
        <f ca="1">IF(RANDBETWEEN(1,20)&gt;1,"rg:False","rg:True")</f>
        <v>rg:False</v>
      </c>
      <c r="AE122" t="str">
        <f ca="1">IF(AD122="rg:True","Seniority overridden to test things","rg:None")</f>
        <v>rg:None</v>
      </c>
      <c r="AF122" s="1">
        <v>42481</v>
      </c>
      <c r="AG122" s="4">
        <f ca="1">IF(I122="Dump Truck",60,30)*AH122+(AVERAGE(AI122:AK122))</f>
        <v>616.83333333333337</v>
      </c>
      <c r="AH122" s="4">
        <f>YEARFRAC(DATE("2016","4","1"),T122)</f>
        <v>8.8638888888888889</v>
      </c>
      <c r="AI122">
        <f ca="1">IF(AH122&lt;1,0,RANDBETWEEN(0,200))</f>
        <v>61</v>
      </c>
      <c r="AJ122">
        <f ca="1">IF(AH122&lt;2,0,RANDBETWEEN(0,200))</f>
        <v>129</v>
      </c>
      <c r="AK122">
        <f ca="1">IF(AH122&lt;3,0,RANDBETWEEN(0,200))</f>
        <v>65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>IF(ISNUMBER(B122),B122+1,200000)</f>
        <v>200121</v>
      </c>
      <c r="C123">
        <v>200031</v>
      </c>
      <c r="D123" t="str">
        <f>"rg:{'id': '"&amp;C123&amp;"'}"</f>
        <v>rg:{'id': '200031'}</v>
      </c>
      <c r="E123">
        <f>VLOOKUP(C123,Owners.csv!C:J,6,FALSE)</f>
        <v>200001</v>
      </c>
      <c r="F123" t="str">
        <f>VLOOKUP(VLOOKUP(E123,LocalAreas.csv!I:K,3,FALSE),ServiceAreas.csv!F:J,5,FALSE)</f>
        <v>200009</v>
      </c>
      <c r="G123" t="str">
        <f>"rg:{'id': '"&amp;E123&amp;"'}"</f>
        <v>rg:{'id': '200001'}</v>
      </c>
      <c r="H123" t="s">
        <v>7667</v>
      </c>
      <c r="I123" t="s">
        <v>5637</v>
      </c>
      <c r="J123">
        <f>VLOOKUP(I123&amp;"-"&amp;F123,DistrictEquipmentTypes.csv!J:K,2,FALSE)</f>
        <v>200001</v>
      </c>
      <c r="K123" t="str">
        <f>"rg:{'id': '"&amp;J123&amp;"'}"</f>
        <v>rg:{'id': '200001'}</v>
      </c>
      <c r="L123">
        <f>IF(C123=C122,L122+1,1)</f>
        <v>3</v>
      </c>
      <c r="M123" t="str">
        <f>VLOOKUP(C123,Owners.csv!C:K,9,FALSE)&amp;TEXT(Equipment.csv!L123,"0000")</f>
        <v>GARD0003</v>
      </c>
      <c r="N123" t="s">
        <v>5401</v>
      </c>
      <c r="O123" t="s">
        <v>6779</v>
      </c>
      <c r="P123">
        <v>1997</v>
      </c>
      <c r="Q123">
        <v>121</v>
      </c>
      <c r="R123" t="s">
        <v>6663</v>
      </c>
      <c r="S123" s="1">
        <v>40479</v>
      </c>
      <c r="T123" s="1">
        <v>40480</v>
      </c>
      <c r="U123" t="str">
        <f ca="1">IF(RANDBETWEEN(1,10)&gt;1,"rg:False","rg:True")</f>
        <v>rg:False</v>
      </c>
      <c r="V123" t="str">
        <f ca="1">IF(U123="rg:True","This equipment should be archived","rg:None")</f>
        <v>rg:None</v>
      </c>
      <c r="W123" t="s">
        <v>7178</v>
      </c>
      <c r="X123" t="s">
        <v>76</v>
      </c>
      <c r="Y123" t="s">
        <v>76</v>
      </c>
      <c r="Z123" t="s">
        <v>76</v>
      </c>
      <c r="AA123" t="s">
        <v>7525</v>
      </c>
      <c r="AB123" t="s">
        <v>7358</v>
      </c>
      <c r="AC123">
        <v>0</v>
      </c>
      <c r="AD123" t="str">
        <f ca="1">IF(RANDBETWEEN(1,20)&gt;1,"rg:False","rg:True")</f>
        <v>rg:False</v>
      </c>
      <c r="AE123" t="str">
        <f ca="1">IF(AD123="rg:True","Seniority overridden to test things","rg:None")</f>
        <v>rg:None</v>
      </c>
      <c r="AF123" s="1">
        <v>42481</v>
      </c>
      <c r="AG123" s="4">
        <f ca="1">IF(I123="Dump Truck",60,30)*AH123+(AVERAGE(AI123:AK123))</f>
        <v>249.66666666666669</v>
      </c>
      <c r="AH123" s="4">
        <f>YEARFRAC(DATE("2016","4","1"),T123)</f>
        <v>5.4222222222222225</v>
      </c>
      <c r="AI123">
        <f ca="1">IF(AH123&lt;1,0,RANDBETWEEN(0,200))</f>
        <v>109</v>
      </c>
      <c r="AJ123">
        <f ca="1">IF(AH123&lt;2,0,RANDBETWEEN(0,200))</f>
        <v>4</v>
      </c>
      <c r="AK123">
        <f ca="1">IF(AH123&lt;3,0,RANDBETWEEN(0,200))</f>
        <v>148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>IF(ISNUMBER(B123),B123+1,200000)</f>
        <v>200122</v>
      </c>
      <c r="C124">
        <v>200031</v>
      </c>
      <c r="D124" t="str">
        <f>"rg:{'id': '"&amp;C124&amp;"'}"</f>
        <v>rg:{'id': '200031'}</v>
      </c>
      <c r="E124">
        <f>VLOOKUP(C124,Owners.csv!C:J,6,FALSE)</f>
        <v>200001</v>
      </c>
      <c r="F124" t="str">
        <f>VLOOKUP(VLOOKUP(E124,LocalAreas.csv!I:K,3,FALSE),ServiceAreas.csv!F:J,5,FALSE)</f>
        <v>200009</v>
      </c>
      <c r="G124" t="str">
        <f>"rg:{'id': '"&amp;E124&amp;"'}"</f>
        <v>rg:{'id': '200001'}</v>
      </c>
      <c r="H124" t="s">
        <v>7740</v>
      </c>
      <c r="I124" t="s">
        <v>5536</v>
      </c>
      <c r="J124">
        <f>VLOOKUP(I124&amp;"-"&amp;F124,DistrictEquipmentTypes.csv!J:K,2,FALSE)</f>
        <v>200000</v>
      </c>
      <c r="K124" t="str">
        <f>"rg:{'id': '"&amp;J124&amp;"'}"</f>
        <v>rg:{'id': '200000'}</v>
      </c>
      <c r="L124">
        <f>IF(C124=C123,L123+1,1)</f>
        <v>4</v>
      </c>
      <c r="M124" t="str">
        <f>VLOOKUP(C124,Owners.csv!C:K,9,FALSE)&amp;TEXT(Equipment.csv!L124,"0000")</f>
        <v>GARD0004</v>
      </c>
      <c r="N124" t="s">
        <v>5401</v>
      </c>
      <c r="O124" t="s">
        <v>6794</v>
      </c>
      <c r="P124">
        <v>2012</v>
      </c>
      <c r="Q124">
        <v>136</v>
      </c>
      <c r="R124" t="s">
        <v>6663</v>
      </c>
      <c r="S124" s="1">
        <v>39653</v>
      </c>
      <c r="T124" s="1">
        <v>39658</v>
      </c>
      <c r="U124" t="str">
        <f ca="1">IF(RANDBETWEEN(1,10)&gt;1,"rg:False","rg:True")</f>
        <v>rg:True</v>
      </c>
      <c r="V124" t="str">
        <f ca="1">IF(U124="rg:True","This equipment should be archived","rg:None")</f>
        <v>This equipment should be archived</v>
      </c>
      <c r="W124" t="s">
        <v>7193</v>
      </c>
      <c r="X124" t="s">
        <v>76</v>
      </c>
      <c r="Y124" t="s">
        <v>76</v>
      </c>
      <c r="Z124" t="s">
        <v>76</v>
      </c>
      <c r="AA124" t="s">
        <v>7540</v>
      </c>
      <c r="AB124" t="s">
        <v>7317</v>
      </c>
      <c r="AC124">
        <v>0</v>
      </c>
      <c r="AD124" t="str">
        <f ca="1">IF(RANDBETWEEN(1,20)&gt;1,"rg:False","rg:True")</f>
        <v>rg:False</v>
      </c>
      <c r="AE124" t="str">
        <f ca="1">IF(AD124="rg:True","Seniority overridden to test things","rg:None")</f>
        <v>rg:None</v>
      </c>
      <c r="AF124" s="1">
        <v>42481</v>
      </c>
      <c r="AG124" s="4">
        <f ca="1">IF(I124="Dump Truck",60,30)*AH124+(AVERAGE(AI124:AK124))</f>
        <v>383.5</v>
      </c>
      <c r="AH124" s="4">
        <f>YEARFRAC(DATE("2016","4","1"),T124)</f>
        <v>7.6722222222222225</v>
      </c>
      <c r="AI124">
        <f ca="1">IF(AH124&lt;1,0,RANDBETWEEN(0,200))</f>
        <v>112</v>
      </c>
      <c r="AJ124">
        <f ca="1">IF(AH124&lt;2,0,RANDBETWEEN(0,200))</f>
        <v>173</v>
      </c>
      <c r="AK124">
        <f ca="1">IF(AH124&lt;3,0,RANDBETWEEN(0,200))</f>
        <v>175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>IF(ISNUMBER(B124),B124+1,200000)</f>
        <v>200123</v>
      </c>
      <c r="C125">
        <v>200032</v>
      </c>
      <c r="D125" t="str">
        <f>"rg:{'id': '"&amp;C125&amp;"'}"</f>
        <v>rg:{'id': '200032'}</v>
      </c>
      <c r="E125">
        <f>VLOOKUP(C125,Owners.csv!C:J,6,FALSE)</f>
        <v>200001</v>
      </c>
      <c r="F125" t="str">
        <f>VLOOKUP(VLOOKUP(E125,LocalAreas.csv!I:K,3,FALSE),ServiceAreas.csv!F:J,5,FALSE)</f>
        <v>200009</v>
      </c>
      <c r="G125" t="str">
        <f>"rg:{'id': '"&amp;E125&amp;"'}"</f>
        <v>rg:{'id': '200001'}</v>
      </c>
      <c r="H125" t="s">
        <v>7708</v>
      </c>
      <c r="I125" t="s">
        <v>5651</v>
      </c>
      <c r="J125">
        <f>VLOOKUP(I125&amp;"-"&amp;F125,DistrictEquipmentTypes.csv!J:K,2,FALSE)</f>
        <v>200006</v>
      </c>
      <c r="K125" t="str">
        <f>"rg:{'id': '"&amp;J125&amp;"'}"</f>
        <v>rg:{'id': '200006'}</v>
      </c>
      <c r="L125">
        <f>IF(C125=C124,L124+1,1)</f>
        <v>1</v>
      </c>
      <c r="M125" t="str">
        <f>VLOOKUP(C125,Owners.csv!C:K,9,FALSE)&amp;TEXT(Equipment.csv!L125,"0000")</f>
        <v>GASD0001</v>
      </c>
      <c r="N125" t="s">
        <v>5401</v>
      </c>
      <c r="O125" t="s">
        <v>6740</v>
      </c>
      <c r="P125">
        <v>2009</v>
      </c>
      <c r="Q125">
        <v>82</v>
      </c>
      <c r="R125" t="s">
        <v>6663</v>
      </c>
      <c r="S125" s="1">
        <v>42245</v>
      </c>
      <c r="T125" s="1">
        <v>42258</v>
      </c>
      <c r="U125" t="str">
        <f ca="1">IF(RANDBETWEEN(1,10)&gt;1,"rg:False","rg:True")</f>
        <v>rg:False</v>
      </c>
      <c r="V125" t="str">
        <f ca="1">IF(U125="rg:True","This equipment should be archived","rg:None")</f>
        <v>rg:None</v>
      </c>
      <c r="W125" t="s">
        <v>7139</v>
      </c>
      <c r="X125" t="s">
        <v>76</v>
      </c>
      <c r="Y125" t="s">
        <v>76</v>
      </c>
      <c r="Z125" t="s">
        <v>76</v>
      </c>
      <c r="AA125" t="s">
        <v>7486</v>
      </c>
      <c r="AB125" t="s">
        <v>7327</v>
      </c>
      <c r="AC125">
        <v>0</v>
      </c>
      <c r="AD125" t="str">
        <f ca="1">IF(RANDBETWEEN(1,20)&gt;1,"rg:False","rg:True")</f>
        <v>rg:False</v>
      </c>
      <c r="AE125" t="str">
        <f ca="1">IF(AD125="rg:True","Seniority overridden to test things","rg:None")</f>
        <v>rg:None</v>
      </c>
      <c r="AF125" s="1">
        <v>42481</v>
      </c>
      <c r="AG125" s="4">
        <f ca="1">IF(I125="Dump Truck",60,30)*AH125+(AVERAGE(AI125:AK125))</f>
        <v>33.333333333333336</v>
      </c>
      <c r="AH125" s="4">
        <f>YEARFRAC(DATE("2016","4","1"),T125)</f>
        <v>0.55555555555555558</v>
      </c>
      <c r="AI125">
        <f ca="1">IF(AH125&lt;1,0,RANDBETWEEN(0,200))</f>
        <v>0</v>
      </c>
      <c r="AJ125">
        <f ca="1">IF(AH125&lt;2,0,RANDBETWEEN(0,200))</f>
        <v>0</v>
      </c>
      <c r="AK125">
        <f ca="1">IF(AH125&lt;3,0,RANDBETWEEN(0,200))</f>
        <v>0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>IF(ISNUMBER(B125),B125+1,200000)</f>
        <v>200124</v>
      </c>
      <c r="C126">
        <v>200032</v>
      </c>
      <c r="D126" t="str">
        <f>"rg:{'id': '"&amp;C126&amp;"'}"</f>
        <v>rg:{'id': '200032'}</v>
      </c>
      <c r="E126">
        <f>VLOOKUP(C126,Owners.csv!C:J,6,FALSE)</f>
        <v>200001</v>
      </c>
      <c r="F126" t="str">
        <f>VLOOKUP(VLOOKUP(E126,LocalAreas.csv!I:K,3,FALSE),ServiceAreas.csv!F:J,5,FALSE)</f>
        <v>200009</v>
      </c>
      <c r="G126" t="str">
        <f>"rg:{'id': '"&amp;E126&amp;"'}"</f>
        <v>rg:{'id': '200001'}</v>
      </c>
      <c r="H126" t="s">
        <v>7660</v>
      </c>
      <c r="I126" t="s">
        <v>5651</v>
      </c>
      <c r="J126">
        <f>VLOOKUP(I126&amp;"-"&amp;F126,DistrictEquipmentTypes.csv!J:K,2,FALSE)</f>
        <v>200006</v>
      </c>
      <c r="K126" t="str">
        <f>"rg:{'id': '"&amp;J126&amp;"'}"</f>
        <v>rg:{'id': '200006'}</v>
      </c>
      <c r="L126">
        <f>IF(C126=C125,L125+1,1)</f>
        <v>2</v>
      </c>
      <c r="M126" t="str">
        <f>VLOOKUP(C126,Owners.csv!C:K,9,FALSE)&amp;TEXT(Equipment.csv!L126,"0000")</f>
        <v>GASD0002</v>
      </c>
      <c r="N126" t="s">
        <v>5401</v>
      </c>
      <c r="O126" t="s">
        <v>6760</v>
      </c>
      <c r="P126">
        <v>1982</v>
      </c>
      <c r="Q126">
        <v>102</v>
      </c>
      <c r="R126" t="s">
        <v>6663</v>
      </c>
      <c r="S126" s="1">
        <v>39905</v>
      </c>
      <c r="T126" s="1">
        <v>39930</v>
      </c>
      <c r="U126" t="str">
        <f ca="1">IF(RANDBETWEEN(1,10)&gt;1,"rg:False","rg:True")</f>
        <v>rg:False</v>
      </c>
      <c r="V126" t="str">
        <f ca="1">IF(U126="rg:True","This equipment should be archived","rg:None")</f>
        <v>rg:None</v>
      </c>
      <c r="W126" t="s">
        <v>7159</v>
      </c>
      <c r="X126" t="s">
        <v>76</v>
      </c>
      <c r="Y126" t="s">
        <v>76</v>
      </c>
      <c r="Z126" t="s">
        <v>76</v>
      </c>
      <c r="AA126" t="s">
        <v>7506</v>
      </c>
      <c r="AB126" t="s">
        <v>7342</v>
      </c>
      <c r="AC126">
        <v>0</v>
      </c>
      <c r="AD126" t="str">
        <f ca="1">IF(RANDBETWEEN(1,20)&gt;1,"rg:False","rg:True")</f>
        <v>rg:False</v>
      </c>
      <c r="AE126" t="str">
        <f ca="1">IF(AD126="rg:True","Seniority overridden to test things","rg:None")</f>
        <v>rg:None</v>
      </c>
      <c r="AF126" s="1">
        <v>42481</v>
      </c>
      <c r="AG126" s="4">
        <f ca="1">IF(I126="Dump Truck",60,30)*AH126+(AVERAGE(AI126:AK126))</f>
        <v>489.66666666666669</v>
      </c>
      <c r="AH126" s="4">
        <f>YEARFRAC(DATE("2016","4","1"),T126)</f>
        <v>6.927777777777778</v>
      </c>
      <c r="AI126">
        <f ca="1">IF(AH126&lt;1,0,RANDBETWEEN(0,200))</f>
        <v>150</v>
      </c>
      <c r="AJ126">
        <f ca="1">IF(AH126&lt;2,0,RANDBETWEEN(0,200))</f>
        <v>54</v>
      </c>
      <c r="AK126">
        <f ca="1">IF(AH126&lt;3,0,RANDBETWEEN(0,200))</f>
        <v>18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>IF(ISNUMBER(B126),B126+1,200000)</f>
        <v>200125</v>
      </c>
      <c r="C127">
        <v>200032</v>
      </c>
      <c r="D127" t="str">
        <f>"rg:{'id': '"&amp;C127&amp;"'}"</f>
        <v>rg:{'id': '200032'}</v>
      </c>
      <c r="E127">
        <f>VLOOKUP(C127,Owners.csv!C:J,6,FALSE)</f>
        <v>200001</v>
      </c>
      <c r="F127" t="str">
        <f>VLOOKUP(VLOOKUP(E127,LocalAreas.csv!I:K,3,FALSE),ServiceAreas.csv!F:J,5,FALSE)</f>
        <v>200009</v>
      </c>
      <c r="G127" t="str">
        <f>"rg:{'id': '"&amp;E127&amp;"'}"</f>
        <v>rg:{'id': '200001'}</v>
      </c>
      <c r="H127" t="s">
        <v>7674</v>
      </c>
      <c r="I127" t="s">
        <v>5637</v>
      </c>
      <c r="J127">
        <f>VLOOKUP(I127&amp;"-"&amp;F127,DistrictEquipmentTypes.csv!J:K,2,FALSE)</f>
        <v>200001</v>
      </c>
      <c r="K127" t="str">
        <f>"rg:{'id': '"&amp;J127&amp;"'}"</f>
        <v>rg:{'id': '200001'}</v>
      </c>
      <c r="L127">
        <f>IF(C127=C126,L126+1,1)</f>
        <v>3</v>
      </c>
      <c r="M127" t="str">
        <f>VLOOKUP(C127,Owners.csv!C:K,9,FALSE)&amp;TEXT(Equipment.csv!L127,"0000")</f>
        <v>GASD0003</v>
      </c>
      <c r="N127" t="s">
        <v>5401</v>
      </c>
      <c r="O127" t="s">
        <v>6780</v>
      </c>
      <c r="P127">
        <v>2016</v>
      </c>
      <c r="Q127">
        <v>122</v>
      </c>
      <c r="R127" t="s">
        <v>6663</v>
      </c>
      <c r="S127" s="1">
        <v>41406</v>
      </c>
      <c r="T127" s="1">
        <v>41429</v>
      </c>
      <c r="U127" t="str">
        <f ca="1">IF(RANDBETWEEN(1,10)&gt;1,"rg:False","rg:True")</f>
        <v>rg:False</v>
      </c>
      <c r="V127" t="str">
        <f ca="1">IF(U127="rg:True","This equipment should be archived","rg:None")</f>
        <v>rg:None</v>
      </c>
      <c r="W127" t="s">
        <v>7179</v>
      </c>
      <c r="X127" t="s">
        <v>76</v>
      </c>
      <c r="Y127" t="s">
        <v>76</v>
      </c>
      <c r="Z127" t="s">
        <v>76</v>
      </c>
      <c r="AA127" t="s">
        <v>7526</v>
      </c>
      <c r="AB127" t="s">
        <v>7336</v>
      </c>
      <c r="AC127">
        <v>0</v>
      </c>
      <c r="AD127" t="str">
        <f ca="1">IF(RANDBETWEEN(1,20)&gt;1,"rg:False","rg:True")</f>
        <v>rg:False</v>
      </c>
      <c r="AE127" t="str">
        <f ca="1">IF(AD127="rg:True","Seniority overridden to test things","rg:None")</f>
        <v>rg:None</v>
      </c>
      <c r="AF127" s="1">
        <v>42481</v>
      </c>
      <c r="AG127" s="4">
        <f ca="1">IF(I127="Dump Truck",60,30)*AH127+(AVERAGE(AI127:AK127))</f>
        <v>161.41666666666669</v>
      </c>
      <c r="AH127" s="4">
        <f>YEARFRAC(DATE("2016","4","1"),T127)</f>
        <v>2.8250000000000002</v>
      </c>
      <c r="AI127">
        <f ca="1">IF(AH127&lt;1,0,RANDBETWEEN(0,200))</f>
        <v>100</v>
      </c>
      <c r="AJ127">
        <f ca="1">IF(AH127&lt;2,0,RANDBETWEEN(0,200))</f>
        <v>130</v>
      </c>
      <c r="AK127">
        <f ca="1">IF(AH127&lt;3,0,RANDBETWEEN(0,200))</f>
        <v>0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>IF(ISNUMBER(B127),B127+1,200000)</f>
        <v>200126</v>
      </c>
      <c r="C128">
        <v>200032</v>
      </c>
      <c r="D128" t="str">
        <f>"rg:{'id': '"&amp;C128&amp;"'}"</f>
        <v>rg:{'id': '200032'}</v>
      </c>
      <c r="E128">
        <f>VLOOKUP(C128,Owners.csv!C:J,6,FALSE)</f>
        <v>200001</v>
      </c>
      <c r="F128" t="str">
        <f>VLOOKUP(VLOOKUP(E128,LocalAreas.csv!I:K,3,FALSE),ServiceAreas.csv!F:J,5,FALSE)</f>
        <v>200009</v>
      </c>
      <c r="G128" t="str">
        <f>"rg:{'id': '"&amp;E128&amp;"'}"</f>
        <v>rg:{'id': '200001'}</v>
      </c>
      <c r="H128" t="s">
        <v>7668</v>
      </c>
      <c r="I128" t="s">
        <v>5536</v>
      </c>
      <c r="J128">
        <f>VLOOKUP(I128&amp;"-"&amp;F128,DistrictEquipmentTypes.csv!J:K,2,FALSE)</f>
        <v>200000</v>
      </c>
      <c r="K128" t="str">
        <f>"rg:{'id': '"&amp;J128&amp;"'}"</f>
        <v>rg:{'id': '200000'}</v>
      </c>
      <c r="L128">
        <f>IF(C128=C127,L127+1,1)</f>
        <v>4</v>
      </c>
      <c r="M128" t="str">
        <f>VLOOKUP(C128,Owners.csv!C:K,9,FALSE)&amp;TEXT(Equipment.csv!L128,"0000")</f>
        <v>GASD0004</v>
      </c>
      <c r="N128" t="s">
        <v>5401</v>
      </c>
      <c r="O128" t="s">
        <v>6795</v>
      </c>
      <c r="P128">
        <v>1975</v>
      </c>
      <c r="Q128">
        <v>137</v>
      </c>
      <c r="R128" t="s">
        <v>6663</v>
      </c>
      <c r="S128" s="1">
        <v>39032</v>
      </c>
      <c r="T128" s="1">
        <v>39035</v>
      </c>
      <c r="U128" t="str">
        <f ca="1">IF(RANDBETWEEN(1,10)&gt;1,"rg:False","rg:True")</f>
        <v>rg:False</v>
      </c>
      <c r="V128" t="str">
        <f ca="1">IF(U128="rg:True","This equipment should be archived","rg:None")</f>
        <v>rg:None</v>
      </c>
      <c r="W128" t="s">
        <v>7194</v>
      </c>
      <c r="X128" t="s">
        <v>76</v>
      </c>
      <c r="Y128" t="s">
        <v>76</v>
      </c>
      <c r="Z128" t="s">
        <v>76</v>
      </c>
      <c r="AA128" t="s">
        <v>7541</v>
      </c>
      <c r="AB128" t="s">
        <v>7367</v>
      </c>
      <c r="AC128">
        <v>0</v>
      </c>
      <c r="AD128" t="str">
        <f ca="1">IF(RANDBETWEEN(1,20)&gt;1,"rg:False","rg:True")</f>
        <v>rg:False</v>
      </c>
      <c r="AE128" t="str">
        <f ca="1">IF(AD128="rg:True","Seniority overridden to test things","rg:None")</f>
        <v>rg:None</v>
      </c>
      <c r="AF128" s="1">
        <v>42481</v>
      </c>
      <c r="AG128" s="4">
        <f ca="1">IF(I128="Dump Truck",60,30)*AH128+(AVERAGE(AI128:AK128))</f>
        <v>367.08333333333337</v>
      </c>
      <c r="AH128" s="4">
        <f>YEARFRAC(DATE("2016","4","1"),T128)</f>
        <v>9.3805555555555564</v>
      </c>
      <c r="AI128">
        <f ca="1">IF(AH128&lt;1,0,RANDBETWEEN(0,200))</f>
        <v>119</v>
      </c>
      <c r="AJ128">
        <f ca="1">IF(AH128&lt;2,0,RANDBETWEEN(0,200))</f>
        <v>118</v>
      </c>
      <c r="AK128">
        <f ca="1">IF(AH128&lt;3,0,RANDBETWEEN(0,200))</f>
        <v>20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>IF(ISNUMBER(B128),B128+1,200000)</f>
        <v>200127</v>
      </c>
      <c r="C129">
        <v>200033</v>
      </c>
      <c r="D129" t="str">
        <f>"rg:{'id': '"&amp;C129&amp;"'}"</f>
        <v>rg:{'id': '200033'}</v>
      </c>
      <c r="E129">
        <f>VLOOKUP(C129,Owners.csv!C:J,6,FALSE)</f>
        <v>200001</v>
      </c>
      <c r="F129" t="str">
        <f>VLOOKUP(VLOOKUP(E129,LocalAreas.csv!I:K,3,FALSE),ServiceAreas.csv!F:J,5,FALSE)</f>
        <v>200009</v>
      </c>
      <c r="G129" t="str">
        <f>"rg:{'id': '"&amp;E129&amp;"'}"</f>
        <v>rg:{'id': '200001'}</v>
      </c>
      <c r="H129" t="s">
        <v>7709</v>
      </c>
      <c r="I129" t="s">
        <v>5651</v>
      </c>
      <c r="J129">
        <f>VLOOKUP(I129&amp;"-"&amp;F129,DistrictEquipmentTypes.csv!J:K,2,FALSE)</f>
        <v>200006</v>
      </c>
      <c r="K129" t="str">
        <f>"rg:{'id': '"&amp;J129&amp;"'}"</f>
        <v>rg:{'id': '200006'}</v>
      </c>
      <c r="L129">
        <f>IF(C129=C128,L128+1,1)</f>
        <v>1</v>
      </c>
      <c r="M129" t="str">
        <f>VLOOKUP(C129,Owners.csv!C:K,9,FALSE)&amp;TEXT(Equipment.csv!L129,"0000")</f>
        <v>GERI0001</v>
      </c>
      <c r="N129" t="s">
        <v>5401</v>
      </c>
      <c r="O129" t="s">
        <v>6741</v>
      </c>
      <c r="P129">
        <v>2003</v>
      </c>
      <c r="Q129">
        <v>83</v>
      </c>
      <c r="R129" t="s">
        <v>6663</v>
      </c>
      <c r="S129" s="1">
        <v>41663</v>
      </c>
      <c r="T129" s="1">
        <v>41682</v>
      </c>
      <c r="U129" t="str">
        <f ca="1">IF(RANDBETWEEN(1,10)&gt;1,"rg:False","rg:True")</f>
        <v>rg:False</v>
      </c>
      <c r="V129" t="str">
        <f ca="1">IF(U129="rg:True","This equipment should be archived","rg:None")</f>
        <v>rg:None</v>
      </c>
      <c r="W129" t="s">
        <v>7140</v>
      </c>
      <c r="X129" t="s">
        <v>76</v>
      </c>
      <c r="Y129" t="s">
        <v>76</v>
      </c>
      <c r="Z129" t="s">
        <v>76</v>
      </c>
      <c r="AA129" t="s">
        <v>7487</v>
      </c>
      <c r="AB129" t="s">
        <v>7328</v>
      </c>
      <c r="AC129">
        <v>0</v>
      </c>
      <c r="AD129" t="str">
        <f ca="1">IF(RANDBETWEEN(1,20)&gt;1,"rg:False","rg:True")</f>
        <v>rg:False</v>
      </c>
      <c r="AE129" t="str">
        <f ca="1">IF(AD129="rg:True","Seniority overridden to test things","rg:None")</f>
        <v>rg:None</v>
      </c>
      <c r="AF129" s="1">
        <v>42481</v>
      </c>
      <c r="AG129" s="4">
        <f ca="1">IF(I129="Dump Truck",60,30)*AH129+(AVERAGE(AI129:AK129))</f>
        <v>192.16666666666666</v>
      </c>
      <c r="AH129" s="4">
        <f>YEARFRAC(DATE("2016","4","1"),T129)</f>
        <v>2.1361111111111111</v>
      </c>
      <c r="AI129">
        <f ca="1">IF(AH129&lt;1,0,RANDBETWEEN(0,200))</f>
        <v>184</v>
      </c>
      <c r="AJ129">
        <f ca="1">IF(AH129&lt;2,0,RANDBETWEEN(0,200))</f>
        <v>8</v>
      </c>
      <c r="AK129">
        <f ca="1">IF(AH129&lt;3,0,RANDBETWEEN(0,200))</f>
        <v>0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>IF(ISNUMBER(B129),B129+1,200000)</f>
        <v>200128</v>
      </c>
      <c r="C130">
        <v>200033</v>
      </c>
      <c r="D130" t="str">
        <f>"rg:{'id': '"&amp;C130&amp;"'}"</f>
        <v>rg:{'id': '200033'}</v>
      </c>
      <c r="E130">
        <f>VLOOKUP(C130,Owners.csv!C:J,6,FALSE)</f>
        <v>200001</v>
      </c>
      <c r="F130" t="str">
        <f>VLOOKUP(VLOOKUP(E130,LocalAreas.csv!I:K,3,FALSE),ServiceAreas.csv!F:J,5,FALSE)</f>
        <v>200009</v>
      </c>
      <c r="G130" t="str">
        <f>"rg:{'id': '"&amp;E130&amp;"'}"</f>
        <v>rg:{'id': '200001'}</v>
      </c>
      <c r="H130" t="s">
        <v>7722</v>
      </c>
      <c r="I130" t="s">
        <v>5651</v>
      </c>
      <c r="J130">
        <f>VLOOKUP(I130&amp;"-"&amp;F130,DistrictEquipmentTypes.csv!J:K,2,FALSE)</f>
        <v>200006</v>
      </c>
      <c r="K130" t="str">
        <f>"rg:{'id': '"&amp;J130&amp;"'}"</f>
        <v>rg:{'id': '200006'}</v>
      </c>
      <c r="L130">
        <f>IF(C130=C129,L129+1,1)</f>
        <v>2</v>
      </c>
      <c r="M130" t="str">
        <f>VLOOKUP(C130,Owners.csv!C:K,9,FALSE)&amp;TEXT(Equipment.csv!L130,"0000")</f>
        <v>GERI0002</v>
      </c>
      <c r="N130" t="s">
        <v>5401</v>
      </c>
      <c r="O130" t="s">
        <v>6761</v>
      </c>
      <c r="P130">
        <v>1997</v>
      </c>
      <c r="Q130">
        <v>103</v>
      </c>
      <c r="R130" t="s">
        <v>6663</v>
      </c>
      <c r="S130" s="1">
        <v>40478</v>
      </c>
      <c r="T130" s="1">
        <v>40479</v>
      </c>
      <c r="U130" t="str">
        <f ca="1">IF(RANDBETWEEN(1,10)&gt;1,"rg:False","rg:True")</f>
        <v>rg:False</v>
      </c>
      <c r="V130" t="str">
        <f ca="1">IF(U130="rg:True","This equipment should be archived","rg:None")</f>
        <v>rg:None</v>
      </c>
      <c r="W130" t="s">
        <v>7160</v>
      </c>
      <c r="X130" t="s">
        <v>76</v>
      </c>
      <c r="Y130" t="s">
        <v>76</v>
      </c>
      <c r="Z130" t="s">
        <v>76</v>
      </c>
      <c r="AA130" t="s">
        <v>7507</v>
      </c>
      <c r="AB130" t="s">
        <v>7343</v>
      </c>
      <c r="AC130">
        <v>0</v>
      </c>
      <c r="AD130" t="str">
        <f ca="1">IF(RANDBETWEEN(1,20)&gt;1,"rg:False","rg:True")</f>
        <v>rg:False</v>
      </c>
      <c r="AE130" t="str">
        <f ca="1">IF(AD130="rg:True","Seniority overridden to test things","rg:None")</f>
        <v>rg:None</v>
      </c>
      <c r="AF130" s="1">
        <v>42481</v>
      </c>
      <c r="AG130" s="4">
        <f ca="1">IF(I130="Dump Truck",60,30)*AH130+(AVERAGE(AI130:AK130))</f>
        <v>447.16666666666669</v>
      </c>
      <c r="AH130" s="4">
        <f>YEARFRAC(DATE("2016","4","1"),T130)</f>
        <v>5.4249999999999998</v>
      </c>
      <c r="AI130">
        <f ca="1">IF(AH130&lt;1,0,RANDBETWEEN(0,200))</f>
        <v>125</v>
      </c>
      <c r="AJ130">
        <f ca="1">IF(AH130&lt;2,0,RANDBETWEEN(0,200))</f>
        <v>98</v>
      </c>
      <c r="AK130">
        <f ca="1">IF(AH130&lt;3,0,RANDBETWEEN(0,200))</f>
        <v>142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>IF(ISNUMBER(B130),B130+1,200000)</f>
        <v>200129</v>
      </c>
      <c r="C131">
        <v>200034</v>
      </c>
      <c r="D131" t="str">
        <f>"rg:{'id': '"&amp;C131&amp;"'}"</f>
        <v>rg:{'id': '200034'}</v>
      </c>
      <c r="E131">
        <f>VLOOKUP(C131,Owners.csv!C:J,6,FALSE)</f>
        <v>200001</v>
      </c>
      <c r="F131" t="str">
        <f>VLOOKUP(VLOOKUP(E131,LocalAreas.csv!I:K,3,FALSE),ServiceAreas.csv!F:J,5,FALSE)</f>
        <v>200009</v>
      </c>
      <c r="G131" t="str">
        <f>"rg:{'id': '"&amp;E131&amp;"'}"</f>
        <v>rg:{'id': '200001'}</v>
      </c>
      <c r="H131" t="s">
        <v>7680</v>
      </c>
      <c r="I131" t="s">
        <v>5651</v>
      </c>
      <c r="J131">
        <f>VLOOKUP(I131&amp;"-"&amp;F131,DistrictEquipmentTypes.csv!J:K,2,FALSE)</f>
        <v>200006</v>
      </c>
      <c r="K131" t="str">
        <f>"rg:{'id': '"&amp;J131&amp;"'}"</f>
        <v>rg:{'id': '200006'}</v>
      </c>
      <c r="L131">
        <f>IF(C131=C130,L130+1,1)</f>
        <v>1</v>
      </c>
      <c r="M131" t="str">
        <f>VLOOKUP(C131,Owners.csv!C:K,9,FALSE)&amp;TEXT(Equipment.csv!L131,"0000")</f>
        <v>GRAS0001</v>
      </c>
      <c r="N131" t="s">
        <v>5401</v>
      </c>
      <c r="O131" t="s">
        <v>6742</v>
      </c>
      <c r="P131">
        <v>2012</v>
      </c>
      <c r="Q131">
        <v>84</v>
      </c>
      <c r="R131" t="s">
        <v>6663</v>
      </c>
      <c r="S131" s="1">
        <v>38931</v>
      </c>
      <c r="T131" s="1">
        <v>38940</v>
      </c>
      <c r="U131" t="str">
        <f ca="1">IF(RANDBETWEEN(1,10)&gt;1,"rg:False","rg:True")</f>
        <v>rg:False</v>
      </c>
      <c r="V131" t="str">
        <f ca="1">IF(U131="rg:True","This equipment should be archived","rg:None")</f>
        <v>rg:None</v>
      </c>
      <c r="W131" t="s">
        <v>7141</v>
      </c>
      <c r="X131" t="s">
        <v>76</v>
      </c>
      <c r="Y131" t="s">
        <v>76</v>
      </c>
      <c r="Z131" t="s">
        <v>76</v>
      </c>
      <c r="AA131" t="s">
        <v>7488</v>
      </c>
      <c r="AB131" t="s">
        <v>7329</v>
      </c>
      <c r="AC131">
        <v>0</v>
      </c>
      <c r="AD131" t="str">
        <f ca="1">IF(RANDBETWEEN(1,20)&gt;1,"rg:False","rg:True")</f>
        <v>rg:False</v>
      </c>
      <c r="AE131" t="str">
        <f ca="1">IF(AD131="rg:True","Seniority overridden to test things","rg:None")</f>
        <v>rg:None</v>
      </c>
      <c r="AF131" s="1">
        <v>42481</v>
      </c>
      <c r="AG131" s="4">
        <f ca="1">IF(I131="Dump Truck",60,30)*AH131+(AVERAGE(AI131:AK131))</f>
        <v>725.66666666666674</v>
      </c>
      <c r="AH131" s="4">
        <f>YEARFRAC(DATE("2016","4","1"),T131)</f>
        <v>9.6388888888888893</v>
      </c>
      <c r="AI131">
        <f ca="1">IF(AH131&lt;1,0,RANDBETWEEN(0,200))</f>
        <v>157</v>
      </c>
      <c r="AJ131">
        <f ca="1">IF(AH131&lt;2,0,RANDBETWEEN(0,200))</f>
        <v>110</v>
      </c>
      <c r="AK131">
        <f ca="1">IF(AH131&lt;3,0,RANDBETWEEN(0,200))</f>
        <v>175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>IF(ISNUMBER(B131),B131+1,200000)</f>
        <v>200130</v>
      </c>
      <c r="C132">
        <v>200034</v>
      </c>
      <c r="D132" t="str">
        <f>"rg:{'id': '"&amp;C132&amp;"'}"</f>
        <v>rg:{'id': '200034'}</v>
      </c>
      <c r="E132">
        <f>VLOOKUP(C132,Owners.csv!C:J,6,FALSE)</f>
        <v>200001</v>
      </c>
      <c r="F132" t="str">
        <f>VLOOKUP(VLOOKUP(E132,LocalAreas.csv!I:K,3,FALSE),ServiceAreas.csv!F:J,5,FALSE)</f>
        <v>200009</v>
      </c>
      <c r="G132" t="str">
        <f>"rg:{'id': '"&amp;E132&amp;"'}"</f>
        <v>rg:{'id': '200001'}</v>
      </c>
      <c r="H132" t="s">
        <v>7723</v>
      </c>
      <c r="I132" t="s">
        <v>5651</v>
      </c>
      <c r="J132">
        <f>VLOOKUP(I132&amp;"-"&amp;F132,DistrictEquipmentTypes.csv!J:K,2,FALSE)</f>
        <v>200006</v>
      </c>
      <c r="K132" t="str">
        <f>"rg:{'id': '"&amp;J132&amp;"'}"</f>
        <v>rg:{'id': '200006'}</v>
      </c>
      <c r="L132">
        <f>IF(C132=C131,L131+1,1)</f>
        <v>2</v>
      </c>
      <c r="M132" t="str">
        <f>VLOOKUP(C132,Owners.csv!C:K,9,FALSE)&amp;TEXT(Equipment.csv!L132,"0000")</f>
        <v>GRAS0002</v>
      </c>
      <c r="N132" t="s">
        <v>5401</v>
      </c>
      <c r="O132" t="s">
        <v>6762</v>
      </c>
      <c r="P132">
        <v>2006</v>
      </c>
      <c r="Q132">
        <v>104</v>
      </c>
      <c r="R132" t="s">
        <v>6663</v>
      </c>
      <c r="S132" s="1">
        <v>37953</v>
      </c>
      <c r="T132" s="1">
        <v>37961</v>
      </c>
      <c r="U132" t="str">
        <f ca="1">IF(RANDBETWEEN(1,10)&gt;1,"rg:False","rg:True")</f>
        <v>rg:False</v>
      </c>
      <c r="V132" t="str">
        <f ca="1">IF(U132="rg:True","This equipment should be archived","rg:None")</f>
        <v>rg:None</v>
      </c>
      <c r="W132" t="s">
        <v>7161</v>
      </c>
      <c r="X132" t="s">
        <v>76</v>
      </c>
      <c r="Y132" t="s">
        <v>76</v>
      </c>
      <c r="Z132" t="s">
        <v>76</v>
      </c>
      <c r="AA132" t="s">
        <v>7508</v>
      </c>
      <c r="AB132" t="s">
        <v>7344</v>
      </c>
      <c r="AC132">
        <v>0</v>
      </c>
      <c r="AD132" t="str">
        <f ca="1">IF(RANDBETWEEN(1,20)&gt;1,"rg:False","rg:True")</f>
        <v>rg:False</v>
      </c>
      <c r="AE132" t="str">
        <f ca="1">IF(AD132="rg:True","Seniority overridden to test things","rg:None")</f>
        <v>rg:None</v>
      </c>
      <c r="AF132" s="1">
        <v>42481</v>
      </c>
      <c r="AG132" s="4">
        <f ca="1">IF(I132="Dump Truck",60,30)*AH132+(AVERAGE(AI132:AK132))</f>
        <v>831.16666666666663</v>
      </c>
      <c r="AH132" s="4">
        <f>YEARFRAC(DATE("2016","4","1"),T132)</f>
        <v>12.319444444444445</v>
      </c>
      <c r="AI132">
        <f ca="1">IF(AH132&lt;1,0,RANDBETWEEN(0,200))</f>
        <v>74</v>
      </c>
      <c r="AJ132">
        <f ca="1">IF(AH132&lt;2,0,RANDBETWEEN(0,200))</f>
        <v>47</v>
      </c>
      <c r="AK132">
        <f ca="1">IF(AH132&lt;3,0,RANDBETWEEN(0,200))</f>
        <v>155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>IF(ISNUMBER(B132),B132+1,200000)</f>
        <v>200131</v>
      </c>
      <c r="C133">
        <v>200035</v>
      </c>
      <c r="D133" t="str">
        <f>"rg:{'id': '"&amp;C133&amp;"'}"</f>
        <v>rg:{'id': '200035'}</v>
      </c>
      <c r="E133">
        <f>VLOOKUP(C133,Owners.csv!C:J,6,FALSE)</f>
        <v>200001</v>
      </c>
      <c r="F133" t="str">
        <f>VLOOKUP(VLOOKUP(E133,LocalAreas.csv!I:K,3,FALSE),ServiceAreas.csv!F:J,5,FALSE)</f>
        <v>200009</v>
      </c>
      <c r="G133" t="str">
        <f>"rg:{'id': '"&amp;E133&amp;"'}"</f>
        <v>rg:{'id': '200001'}</v>
      </c>
      <c r="H133" t="s">
        <v>7710</v>
      </c>
      <c r="I133" t="s">
        <v>5651</v>
      </c>
      <c r="J133">
        <f>VLOOKUP(I133&amp;"-"&amp;F133,DistrictEquipmentTypes.csv!J:K,2,FALSE)</f>
        <v>200006</v>
      </c>
      <c r="K133" t="str">
        <f>"rg:{'id': '"&amp;J133&amp;"'}"</f>
        <v>rg:{'id': '200006'}</v>
      </c>
      <c r="L133">
        <f>IF(C133=C132,L132+1,1)</f>
        <v>1</v>
      </c>
      <c r="M133" t="str">
        <f>VLOOKUP(C133,Owners.csv!C:K,9,FALSE)&amp;TEXT(Equipment.csv!L133,"0000")</f>
        <v>GREA0001</v>
      </c>
      <c r="N133" t="s">
        <v>5401</v>
      </c>
      <c r="O133" t="s">
        <v>6743</v>
      </c>
      <c r="P133">
        <v>1982</v>
      </c>
      <c r="Q133">
        <v>85</v>
      </c>
      <c r="R133" t="s">
        <v>6663</v>
      </c>
      <c r="S133" s="1">
        <v>39211</v>
      </c>
      <c r="T133" s="1">
        <v>39222</v>
      </c>
      <c r="U133" t="str">
        <f ca="1">IF(RANDBETWEEN(1,10)&gt;1,"rg:False","rg:True")</f>
        <v>rg:False</v>
      </c>
      <c r="V133" t="str">
        <f ca="1">IF(U133="rg:True","This equipment should be archived","rg:None")</f>
        <v>rg:None</v>
      </c>
      <c r="W133" t="s">
        <v>7142</v>
      </c>
      <c r="X133" t="s">
        <v>76</v>
      </c>
      <c r="Y133" t="s">
        <v>76</v>
      </c>
      <c r="Z133" t="s">
        <v>76</v>
      </c>
      <c r="AA133" t="s">
        <v>7489</v>
      </c>
      <c r="AB133" t="s">
        <v>7330</v>
      </c>
      <c r="AC133">
        <v>0</v>
      </c>
      <c r="AD133" t="str">
        <f ca="1">IF(RANDBETWEEN(1,20)&gt;1,"rg:False","rg:True")</f>
        <v>rg:False</v>
      </c>
      <c r="AE133" t="str">
        <f ca="1">IF(AD133="rg:True","Seniority overridden to test things","rg:None")</f>
        <v>rg:None</v>
      </c>
      <c r="AF133" s="1">
        <v>42481</v>
      </c>
      <c r="AG133" s="4">
        <f ca="1">IF(I133="Dump Truck",60,30)*AH133+(AVERAGE(AI133:AK133))</f>
        <v>617.5</v>
      </c>
      <c r="AH133" s="4">
        <f>YEARFRAC(DATE("2016","4","1"),T133)</f>
        <v>8.8638888888888889</v>
      </c>
      <c r="AI133">
        <f ca="1">IF(AH133&lt;1,0,RANDBETWEEN(0,200))</f>
        <v>183</v>
      </c>
      <c r="AJ133">
        <f ca="1">IF(AH133&lt;2,0,RANDBETWEEN(0,200))</f>
        <v>5</v>
      </c>
      <c r="AK133">
        <f ca="1">IF(AH133&lt;3,0,RANDBETWEEN(0,200))</f>
        <v>69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>IF(ISNUMBER(B133),B133+1,200000)</f>
        <v>200132</v>
      </c>
      <c r="C134">
        <v>200035</v>
      </c>
      <c r="D134" t="str">
        <f>"rg:{'id': '"&amp;C134&amp;"'}"</f>
        <v>rg:{'id': '200035'}</v>
      </c>
      <c r="E134">
        <f>VLOOKUP(C134,Owners.csv!C:J,6,FALSE)</f>
        <v>200001</v>
      </c>
      <c r="F134" t="str">
        <f>VLOOKUP(VLOOKUP(E134,LocalAreas.csv!I:K,3,FALSE),ServiceAreas.csv!F:J,5,FALSE)</f>
        <v>200009</v>
      </c>
      <c r="G134" t="str">
        <f>"rg:{'id': '"&amp;E134&amp;"'}"</f>
        <v>rg:{'id': '200001'}</v>
      </c>
      <c r="H134" t="s">
        <v>7724</v>
      </c>
      <c r="I134" t="s">
        <v>5651</v>
      </c>
      <c r="J134">
        <f>VLOOKUP(I134&amp;"-"&amp;F134,DistrictEquipmentTypes.csv!J:K,2,FALSE)</f>
        <v>200006</v>
      </c>
      <c r="K134" t="str">
        <f>"rg:{'id': '"&amp;J134&amp;"'}"</f>
        <v>rg:{'id': '200006'}</v>
      </c>
      <c r="L134">
        <f>IF(C134=C133,L133+1,1)</f>
        <v>2</v>
      </c>
      <c r="M134" t="str">
        <f>VLOOKUP(C134,Owners.csv!C:K,9,FALSE)&amp;TEXT(Equipment.csv!L134,"0000")</f>
        <v>GREA0002</v>
      </c>
      <c r="N134" t="s">
        <v>5401</v>
      </c>
      <c r="O134" t="s">
        <v>6763</v>
      </c>
      <c r="P134">
        <v>1992</v>
      </c>
      <c r="Q134">
        <v>105</v>
      </c>
      <c r="R134" t="s">
        <v>6663</v>
      </c>
      <c r="S134" s="1">
        <v>39654</v>
      </c>
      <c r="T134" s="1">
        <v>39671</v>
      </c>
      <c r="U134" t="str">
        <f ca="1">IF(RANDBETWEEN(1,10)&gt;1,"rg:False","rg:True")</f>
        <v>rg:False</v>
      </c>
      <c r="V134" t="str">
        <f ca="1">IF(U134="rg:True","This equipment should be archived","rg:None")</f>
        <v>rg:None</v>
      </c>
      <c r="W134" t="s">
        <v>7162</v>
      </c>
      <c r="X134" t="s">
        <v>76</v>
      </c>
      <c r="Y134" t="s">
        <v>76</v>
      </c>
      <c r="Z134" t="s">
        <v>76</v>
      </c>
      <c r="AA134" t="s">
        <v>7509</v>
      </c>
      <c r="AB134" t="s">
        <v>7345</v>
      </c>
      <c r="AC134">
        <v>0</v>
      </c>
      <c r="AD134" t="str">
        <f ca="1">IF(RANDBETWEEN(1,20)&gt;1,"rg:False","rg:True")</f>
        <v>rg:False</v>
      </c>
      <c r="AE134" t="str">
        <f ca="1">IF(AD134="rg:True","Seniority overridden to test things","rg:None")</f>
        <v>rg:None</v>
      </c>
      <c r="AF134" s="1">
        <v>42481</v>
      </c>
      <c r="AG134" s="4">
        <f ca="1">IF(I134="Dump Truck",60,30)*AH134+(AVERAGE(AI134:AK134))</f>
        <v>553</v>
      </c>
      <c r="AH134" s="4">
        <f>YEARFRAC(DATE("2016","4","1"),T134)</f>
        <v>7.6388888888888893</v>
      </c>
      <c r="AI134">
        <f ca="1">IF(AH134&lt;1,0,RANDBETWEEN(0,200))</f>
        <v>122</v>
      </c>
      <c r="AJ134">
        <f ca="1">IF(AH134&lt;2,0,RANDBETWEEN(0,200))</f>
        <v>15</v>
      </c>
      <c r="AK134">
        <f ca="1">IF(AH134&lt;3,0,RANDBETWEEN(0,200))</f>
        <v>147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>IF(ISNUMBER(B134),B134+1,200000)</f>
        <v>200133</v>
      </c>
      <c r="C135">
        <v>200036</v>
      </c>
      <c r="D135" t="str">
        <f>"rg:{'id': '"&amp;C135&amp;"'}"</f>
        <v>rg:{'id': '200036'}</v>
      </c>
      <c r="E135">
        <f>VLOOKUP(C135,Owners.csv!C:J,6,FALSE)</f>
        <v>200001</v>
      </c>
      <c r="F135" t="str">
        <f>VLOOKUP(VLOOKUP(E135,LocalAreas.csv!I:K,3,FALSE),ServiceAreas.csv!F:J,5,FALSE)</f>
        <v>200009</v>
      </c>
      <c r="G135" t="str">
        <f>"rg:{'id': '"&amp;E135&amp;"'}"</f>
        <v>rg:{'id': '200001'}</v>
      </c>
      <c r="H135" t="s">
        <v>7711</v>
      </c>
      <c r="I135" t="s">
        <v>5651</v>
      </c>
      <c r="J135">
        <f>VLOOKUP(I135&amp;"-"&amp;F135,DistrictEquipmentTypes.csv!J:K,2,FALSE)</f>
        <v>200006</v>
      </c>
      <c r="K135" t="str">
        <f>"rg:{'id': '"&amp;J135&amp;"'}"</f>
        <v>rg:{'id': '200006'}</v>
      </c>
      <c r="L135">
        <f>IF(C135=C134,L134+1,1)</f>
        <v>1</v>
      </c>
      <c r="M135" t="str">
        <f>VLOOKUP(C135,Owners.csv!C:K,9,FALSE)&amp;TEXT(Equipment.csv!L135,"0000")</f>
        <v>HAPP0001</v>
      </c>
      <c r="N135" t="s">
        <v>5401</v>
      </c>
      <c r="O135" t="s">
        <v>6744</v>
      </c>
      <c r="P135">
        <v>2017</v>
      </c>
      <c r="Q135">
        <v>86</v>
      </c>
      <c r="R135" t="s">
        <v>6663</v>
      </c>
      <c r="S135" s="1">
        <v>40437</v>
      </c>
      <c r="T135" s="1">
        <v>40458</v>
      </c>
      <c r="U135" t="str">
        <f ca="1">IF(RANDBETWEEN(1,10)&gt;1,"rg:False","rg:True")</f>
        <v>rg:False</v>
      </c>
      <c r="V135" t="str">
        <f ca="1">IF(U135="rg:True","This equipment should be archived","rg:None")</f>
        <v>rg:None</v>
      </c>
      <c r="W135" t="s">
        <v>7143</v>
      </c>
      <c r="X135" t="s">
        <v>76</v>
      </c>
      <c r="Y135" t="s">
        <v>76</v>
      </c>
      <c r="Z135" t="s">
        <v>76</v>
      </c>
      <c r="AA135" t="s">
        <v>7490</v>
      </c>
      <c r="AB135" t="s">
        <v>7331</v>
      </c>
      <c r="AC135">
        <v>0</v>
      </c>
      <c r="AD135" t="str">
        <f ca="1">IF(RANDBETWEEN(1,20)&gt;1,"rg:False","rg:True")</f>
        <v>rg:False</v>
      </c>
      <c r="AE135" t="str">
        <f ca="1">IF(AD135="rg:True","Seniority overridden to test things","rg:None")</f>
        <v>rg:None</v>
      </c>
      <c r="AF135" s="1">
        <v>42481</v>
      </c>
      <c r="AG135" s="4">
        <f ca="1">IF(I135="Dump Truck",60,30)*AH135+(AVERAGE(AI135:AK135))</f>
        <v>411.66666666666669</v>
      </c>
      <c r="AH135" s="4">
        <f>YEARFRAC(DATE("2016","4","1"),T135)</f>
        <v>5.4833333333333334</v>
      </c>
      <c r="AI135">
        <f ca="1">IF(AH135&lt;1,0,RANDBETWEEN(0,200))</f>
        <v>34</v>
      </c>
      <c r="AJ135">
        <f ca="1">IF(AH135&lt;2,0,RANDBETWEEN(0,200))</f>
        <v>173</v>
      </c>
      <c r="AK135">
        <f ca="1">IF(AH135&lt;3,0,RANDBETWEEN(0,200))</f>
        <v>41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>IF(ISNUMBER(B135),B135+1,200000)</f>
        <v>200134</v>
      </c>
      <c r="C136">
        <v>200036</v>
      </c>
      <c r="D136" t="str">
        <f>"rg:{'id': '"&amp;C136&amp;"'}"</f>
        <v>rg:{'id': '200036'}</v>
      </c>
      <c r="E136">
        <f>VLOOKUP(C136,Owners.csv!C:J,6,FALSE)</f>
        <v>200001</v>
      </c>
      <c r="F136" t="str">
        <f>VLOOKUP(VLOOKUP(E136,LocalAreas.csv!I:K,3,FALSE),ServiceAreas.csv!F:J,5,FALSE)</f>
        <v>200009</v>
      </c>
      <c r="G136" t="str">
        <f>"rg:{'id': '"&amp;E136&amp;"'}"</f>
        <v>rg:{'id': '200001'}</v>
      </c>
      <c r="H136" t="s">
        <v>7683</v>
      </c>
      <c r="I136" t="s">
        <v>5651</v>
      </c>
      <c r="J136">
        <f>VLOOKUP(I136&amp;"-"&amp;F136,DistrictEquipmentTypes.csv!J:K,2,FALSE)</f>
        <v>200006</v>
      </c>
      <c r="K136" t="str">
        <f>"rg:{'id': '"&amp;J136&amp;"'}"</f>
        <v>rg:{'id': '200006'}</v>
      </c>
      <c r="L136">
        <f>IF(C136=C135,L135+1,1)</f>
        <v>2</v>
      </c>
      <c r="M136" t="str">
        <f>VLOOKUP(C136,Owners.csv!C:K,9,FALSE)&amp;TEXT(Equipment.csv!L136,"0000")</f>
        <v>HAPP0002</v>
      </c>
      <c r="N136" t="s">
        <v>5401</v>
      </c>
      <c r="O136" t="s">
        <v>6764</v>
      </c>
      <c r="P136">
        <v>1998</v>
      </c>
      <c r="Q136">
        <v>106</v>
      </c>
      <c r="R136" t="s">
        <v>6663</v>
      </c>
      <c r="S136" s="1">
        <v>41073</v>
      </c>
      <c r="T136" s="1">
        <v>41084</v>
      </c>
      <c r="U136" t="str">
        <f ca="1">IF(RANDBETWEEN(1,10)&gt;1,"rg:False","rg:True")</f>
        <v>rg:False</v>
      </c>
      <c r="V136" t="str">
        <f ca="1">IF(U136="rg:True","This equipment should be archived","rg:None")</f>
        <v>rg:None</v>
      </c>
      <c r="W136" t="s">
        <v>7163</v>
      </c>
      <c r="X136" t="s">
        <v>76</v>
      </c>
      <c r="Y136" t="s">
        <v>76</v>
      </c>
      <c r="Z136" t="s">
        <v>76</v>
      </c>
      <c r="AA136" t="s">
        <v>7510</v>
      </c>
      <c r="AB136" t="s">
        <v>7331</v>
      </c>
      <c r="AC136">
        <v>0</v>
      </c>
      <c r="AD136" t="str">
        <f ca="1">IF(RANDBETWEEN(1,20)&gt;1,"rg:False","rg:True")</f>
        <v>rg:False</v>
      </c>
      <c r="AE136" t="str">
        <f ca="1">IF(AD136="rg:True","Seniority overridden to test things","rg:None")</f>
        <v>rg:None</v>
      </c>
      <c r="AF136" s="1">
        <v>42481</v>
      </c>
      <c r="AG136" s="4">
        <f ca="1">IF(I136="Dump Truck",60,30)*AH136+(AVERAGE(AI136:AK136))</f>
        <v>342.16666666666663</v>
      </c>
      <c r="AH136" s="4">
        <f>YEARFRAC(DATE("2016","4","1"),T136)</f>
        <v>3.7694444444444444</v>
      </c>
      <c r="AI136">
        <f ca="1">IF(AH136&lt;1,0,RANDBETWEEN(0,200))</f>
        <v>155</v>
      </c>
      <c r="AJ136">
        <f ca="1">IF(AH136&lt;2,0,RANDBETWEEN(0,200))</f>
        <v>173</v>
      </c>
      <c r="AK136">
        <f ca="1">IF(AH136&lt;3,0,RANDBETWEEN(0,200))</f>
        <v>20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>IF(ISNUMBER(B136),B136+1,200000)</f>
        <v>200135</v>
      </c>
      <c r="C137">
        <v>200037</v>
      </c>
      <c r="D137" t="str">
        <f>"rg:{'id': '"&amp;C137&amp;"'}"</f>
        <v>rg:{'id': '200037'}</v>
      </c>
      <c r="E137">
        <f>VLOOKUP(C137,Owners.csv!C:J,6,FALSE)</f>
        <v>200001</v>
      </c>
      <c r="F137" t="str">
        <f>VLOOKUP(VLOOKUP(E137,LocalAreas.csv!I:K,3,FALSE),ServiceAreas.csv!F:J,5,FALSE)</f>
        <v>200009</v>
      </c>
      <c r="G137" t="str">
        <f>"rg:{'id': '"&amp;E137&amp;"'}"</f>
        <v>rg:{'id': '200001'}</v>
      </c>
      <c r="H137" t="s">
        <v>7712</v>
      </c>
      <c r="I137" t="s">
        <v>5651</v>
      </c>
      <c r="J137">
        <f>VLOOKUP(I137&amp;"-"&amp;F137,DistrictEquipmentTypes.csv!J:K,2,FALSE)</f>
        <v>200006</v>
      </c>
      <c r="K137" t="str">
        <f>"rg:{'id': '"&amp;J137&amp;"'}"</f>
        <v>rg:{'id': '200006'}</v>
      </c>
      <c r="L137">
        <f>IF(C137=C136,L136+1,1)</f>
        <v>1</v>
      </c>
      <c r="M137" t="str">
        <f>VLOOKUP(C137,Owners.csv!C:K,9,FALSE)&amp;TEXT(Equipment.csv!L137,"0000")</f>
        <v>HARO0001</v>
      </c>
      <c r="N137" t="s">
        <v>5401</v>
      </c>
      <c r="O137" t="s">
        <v>6745</v>
      </c>
      <c r="P137">
        <v>1989</v>
      </c>
      <c r="Q137">
        <v>87</v>
      </c>
      <c r="R137" t="s">
        <v>6663</v>
      </c>
      <c r="S137" s="1">
        <v>39387</v>
      </c>
      <c r="T137" s="1">
        <v>39410</v>
      </c>
      <c r="U137" t="str">
        <f ca="1">IF(RANDBETWEEN(1,10)&gt;1,"rg:False","rg:True")</f>
        <v>rg:False</v>
      </c>
      <c r="V137" t="str">
        <f ca="1">IF(U137="rg:True","This equipment should be archived","rg:None")</f>
        <v>rg:None</v>
      </c>
      <c r="W137" t="s">
        <v>7144</v>
      </c>
      <c r="X137" t="s">
        <v>76</v>
      </c>
      <c r="Y137" t="s">
        <v>76</v>
      </c>
      <c r="Z137" t="s">
        <v>76</v>
      </c>
      <c r="AA137" t="s">
        <v>7491</v>
      </c>
      <c r="AB137" t="s">
        <v>7332</v>
      </c>
      <c r="AC137">
        <v>0</v>
      </c>
      <c r="AD137" t="str">
        <f ca="1">IF(RANDBETWEEN(1,20)&gt;1,"rg:False","rg:True")</f>
        <v>rg:False</v>
      </c>
      <c r="AE137" t="str">
        <f ca="1">IF(AD137="rg:True","Seniority overridden to test things","rg:None")</f>
        <v>rg:None</v>
      </c>
      <c r="AF137" s="1">
        <v>42481</v>
      </c>
      <c r="AG137" s="4">
        <f ca="1">IF(I137="Dump Truck",60,30)*AH137+(AVERAGE(AI137:AK137))</f>
        <v>614.16666666666674</v>
      </c>
      <c r="AH137" s="4">
        <f>YEARFRAC(DATE("2016","4","1"),T137)</f>
        <v>8.3527777777777779</v>
      </c>
      <c r="AI137">
        <f ca="1">IF(AH137&lt;1,0,RANDBETWEEN(0,200))</f>
        <v>29</v>
      </c>
      <c r="AJ137">
        <f ca="1">IF(AH137&lt;2,0,RANDBETWEEN(0,200))</f>
        <v>195</v>
      </c>
      <c r="AK137">
        <f ca="1">IF(AH137&lt;3,0,RANDBETWEEN(0,200))</f>
        <v>115</v>
      </c>
      <c r="AL137" t="s">
        <v>5689</v>
      </c>
      <c r="AM137" t="s">
        <v>6884</v>
      </c>
      <c r="AN137" s="1">
        <v>42452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>IF(ISNUMBER(B137),B137+1,200000)</f>
        <v>200136</v>
      </c>
      <c r="C138">
        <v>200037</v>
      </c>
      <c r="D138" t="str">
        <f>"rg:{'id': '"&amp;C138&amp;"'}"</f>
        <v>rg:{'id': '200037'}</v>
      </c>
      <c r="E138">
        <f>VLOOKUP(C138,Owners.csv!C:J,6,FALSE)</f>
        <v>200001</v>
      </c>
      <c r="F138" t="str">
        <f>VLOOKUP(VLOOKUP(E138,LocalAreas.csv!I:K,3,FALSE),ServiceAreas.csv!F:J,5,FALSE)</f>
        <v>200009</v>
      </c>
      <c r="G138" t="str">
        <f>"rg:{'id': '"&amp;E138&amp;"'}"</f>
        <v>rg:{'id': '200001'}</v>
      </c>
      <c r="H138" t="s">
        <v>7675</v>
      </c>
      <c r="I138" t="s">
        <v>5651</v>
      </c>
      <c r="J138">
        <f>VLOOKUP(I138&amp;"-"&amp;F138,DistrictEquipmentTypes.csv!J:K,2,FALSE)</f>
        <v>200006</v>
      </c>
      <c r="K138" t="str">
        <f>"rg:{'id': '"&amp;J138&amp;"'}"</f>
        <v>rg:{'id': '200006'}</v>
      </c>
      <c r="L138">
        <f>IF(C138=C137,L137+1,1)</f>
        <v>2</v>
      </c>
      <c r="M138" t="str">
        <f>VLOOKUP(C138,Owners.csv!C:K,9,FALSE)&amp;TEXT(Equipment.csv!L138,"0000")</f>
        <v>HARO0002</v>
      </c>
      <c r="N138" t="s">
        <v>5401</v>
      </c>
      <c r="O138" t="s">
        <v>6765</v>
      </c>
      <c r="P138">
        <v>1976</v>
      </c>
      <c r="Q138">
        <v>107</v>
      </c>
      <c r="R138" t="s">
        <v>6663</v>
      </c>
      <c r="S138" s="1">
        <v>40716</v>
      </c>
      <c r="T138" s="1">
        <v>40722</v>
      </c>
      <c r="U138" t="str">
        <f ca="1">IF(RANDBETWEEN(1,10)&gt;1,"rg:False","rg:True")</f>
        <v>rg:False</v>
      </c>
      <c r="V138" t="str">
        <f ca="1">IF(U138="rg:True","This equipment should be archived","rg:None")</f>
        <v>rg:None</v>
      </c>
      <c r="W138" t="s">
        <v>7164</v>
      </c>
      <c r="X138" t="s">
        <v>76</v>
      </c>
      <c r="Y138" t="s">
        <v>76</v>
      </c>
      <c r="Z138" t="s">
        <v>76</v>
      </c>
      <c r="AA138" t="s">
        <v>7511</v>
      </c>
      <c r="AB138" t="s">
        <v>7342</v>
      </c>
      <c r="AC138">
        <v>0</v>
      </c>
      <c r="AD138" t="str">
        <f ca="1">IF(RANDBETWEEN(1,20)&gt;1,"rg:False","rg:True")</f>
        <v>rg:False</v>
      </c>
      <c r="AE138" t="str">
        <f ca="1">IF(AD138="rg:True","Seniority overridden to test things","rg:None")</f>
        <v>rg:None</v>
      </c>
      <c r="AF138" s="1">
        <v>42481</v>
      </c>
      <c r="AG138" s="4">
        <f ca="1">IF(I138="Dump Truck",60,30)*AH138+(AVERAGE(AI138:AK138))</f>
        <v>372.5</v>
      </c>
      <c r="AH138" s="4">
        <f>YEARFRAC(DATE("2016","4","1"),T138)</f>
        <v>4.7583333333333337</v>
      </c>
      <c r="AI138">
        <f ca="1">IF(AH138&lt;1,0,RANDBETWEEN(0,200))</f>
        <v>156</v>
      </c>
      <c r="AJ138">
        <f ca="1">IF(AH138&lt;2,0,RANDBETWEEN(0,200))</f>
        <v>25</v>
      </c>
      <c r="AK138">
        <f ca="1">IF(AH138&lt;3,0,RANDBETWEEN(0,200))</f>
        <v>80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>IF(ISNUMBER(B138),B138+1,200000)</f>
        <v>200137</v>
      </c>
      <c r="C139">
        <v>200038</v>
      </c>
      <c r="D139" t="str">
        <f>"rg:{'id': '"&amp;C139&amp;"'}"</f>
        <v>rg:{'id': '200038'}</v>
      </c>
      <c r="E139">
        <f>VLOOKUP(C139,Owners.csv!C:J,6,FALSE)</f>
        <v>200002</v>
      </c>
      <c r="F139" t="str">
        <f>VLOOKUP(VLOOKUP(E139,LocalAreas.csv!I:K,3,FALSE),ServiceAreas.csv!F:J,5,FALSE)</f>
        <v>200009</v>
      </c>
      <c r="G139" t="str">
        <f>"rg:{'id': '"&amp;E139&amp;"'}"</f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>"rg:{'id': '"&amp;J139&amp;"'}"</f>
        <v>rg:{'id': '200006'}</v>
      </c>
      <c r="L139">
        <f>IF(C139=C138,L138+1,1)</f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ca="1">IF(RANDBETWEEN(1,10)&gt;1,"rg:False","rg:True")</f>
        <v>rg:False</v>
      </c>
      <c r="V139" t="str">
        <f ca="1">IF(U139="rg:True","This equipment should be archived","rg:None")</f>
        <v>rg:None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ca="1">IF(RANDBETWEEN(1,20)&gt;1,"rg:False","rg:True")</f>
        <v>rg:False</v>
      </c>
      <c r="AE139" t="str">
        <f ca="1">IF(AD139="rg:True","Seniority overridden to test things","rg:None")</f>
        <v>rg:None</v>
      </c>
      <c r="AF139" s="1">
        <v>42481</v>
      </c>
      <c r="AG139" s="4">
        <f ca="1">IF(I139="Dump Truck",60,30)*AH139+(AVERAGE(AI139:AK139))</f>
        <v>342.83333333333331</v>
      </c>
      <c r="AH139" s="4">
        <f>YEARFRAC(DATE("2016","4","1"),T139)</f>
        <v>4.447222222222222</v>
      </c>
      <c r="AI139">
        <f ca="1">IF(AH139&lt;1,0,RANDBETWEEN(0,200))</f>
        <v>54</v>
      </c>
      <c r="AJ139">
        <f ca="1">IF(AH139&lt;2,0,RANDBETWEEN(0,200))</f>
        <v>173</v>
      </c>
      <c r="AK139">
        <f ca="1">IF(AH139&lt;3,0,RANDBETWEEN(0,200))</f>
        <v>1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>IF(ISNUMBER(B139),B139+1,200000)</f>
        <v>200138</v>
      </c>
      <c r="C140">
        <v>200038</v>
      </c>
      <c r="D140" t="str">
        <f>"rg:{'id': '"&amp;C140&amp;"'}"</f>
        <v>rg:{'id': '200038'}</v>
      </c>
      <c r="E140">
        <f>VLOOKUP(C140,Owners.csv!C:J,6,FALSE)</f>
        <v>200002</v>
      </c>
      <c r="F140" t="str">
        <f>VLOOKUP(VLOOKUP(E140,LocalAreas.csv!I:K,3,FALSE),ServiceAreas.csv!F:J,5,FALSE)</f>
        <v>200009</v>
      </c>
      <c r="G140" t="str">
        <f>"rg:{'id': '"&amp;E140&amp;"'}"</f>
        <v>rg:{'id': '200002'}</v>
      </c>
      <c r="H140" t="s">
        <v>7750</v>
      </c>
      <c r="I140" t="s">
        <v>5651</v>
      </c>
      <c r="J140">
        <f>VLOOKUP(I140&amp;"-"&amp;F140,DistrictEquipmentTypes.csv!J:K,2,FALSE)</f>
        <v>200006</v>
      </c>
      <c r="K140" t="str">
        <f>"rg:{'id': '"&amp;J140&amp;"'}"</f>
        <v>rg:{'id': '200006'}</v>
      </c>
      <c r="L140">
        <f>IF(C140=C139,L139+1,1)</f>
        <v>2</v>
      </c>
      <c r="M140" t="str">
        <f>VLOOKUP(C140,Owners.csv!C:K,9,FALSE)&amp;TEXT(Equipment.csv!L140,"0000")</f>
        <v>HENR0002</v>
      </c>
      <c r="N140" t="s">
        <v>5401</v>
      </c>
      <c r="O140" t="s">
        <v>6816</v>
      </c>
      <c r="P140">
        <v>1993</v>
      </c>
      <c r="Q140">
        <v>158</v>
      </c>
      <c r="R140" t="s">
        <v>6663</v>
      </c>
      <c r="S140" s="1">
        <v>39402</v>
      </c>
      <c r="T140" s="1">
        <v>39414</v>
      </c>
      <c r="U140" t="str">
        <f ca="1">IF(RANDBETWEEN(1,10)&gt;1,"rg:False","rg:True")</f>
        <v>rg:False</v>
      </c>
      <c r="V140" t="str">
        <f ca="1">IF(U140="rg:True","This equipment should be archived","rg:None")</f>
        <v>rg:None</v>
      </c>
      <c r="W140" t="s">
        <v>7215</v>
      </c>
      <c r="X140" t="s">
        <v>76</v>
      </c>
      <c r="Y140" t="s">
        <v>76</v>
      </c>
      <c r="Z140" t="s">
        <v>76</v>
      </c>
      <c r="AA140" t="s">
        <v>7562</v>
      </c>
      <c r="AB140" t="s">
        <v>7382</v>
      </c>
      <c r="AC140">
        <v>0</v>
      </c>
      <c r="AD140" t="str">
        <f ca="1">IF(RANDBETWEEN(1,20)&gt;1,"rg:False","rg:True")</f>
        <v>rg:False</v>
      </c>
      <c r="AE140" t="str">
        <f ca="1">IF(AD140="rg:True","Seniority overridden to test things","rg:None")</f>
        <v>rg:None</v>
      </c>
      <c r="AF140" s="1">
        <v>42481</v>
      </c>
      <c r="AG140" s="4">
        <f ca="1">IF(I140="Dump Truck",60,30)*AH140+(AVERAGE(AI140:AK140))</f>
        <v>647.5</v>
      </c>
      <c r="AH140" s="4">
        <f>YEARFRAC(DATE("2016","4","1"),T140)</f>
        <v>8.3416666666666668</v>
      </c>
      <c r="AI140">
        <f ca="1">IF(AH140&lt;1,0,RANDBETWEEN(0,200))</f>
        <v>130</v>
      </c>
      <c r="AJ140">
        <f ca="1">IF(AH140&lt;2,0,RANDBETWEEN(0,200))</f>
        <v>153</v>
      </c>
      <c r="AK140">
        <f ca="1">IF(AH140&lt;3,0,RANDBETWEEN(0,200))</f>
        <v>158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>IF(ISNUMBER(B140),B140+1,200000)</f>
        <v>200139</v>
      </c>
      <c r="C141">
        <v>200038</v>
      </c>
      <c r="D141" t="str">
        <f>"rg:{'id': '"&amp;C141&amp;"'}"</f>
        <v>rg:{'id': '200038'}</v>
      </c>
      <c r="E141">
        <f>VLOOKUP(C141,Owners.csv!C:J,6,FALSE)</f>
        <v>200002</v>
      </c>
      <c r="F141" t="str">
        <f>VLOOKUP(VLOOKUP(E141,LocalAreas.csv!I:K,3,FALSE),ServiceAreas.csv!F:J,5,FALSE)</f>
        <v>200009</v>
      </c>
      <c r="G141" t="str">
        <f>"rg:{'id': '"&amp;E141&amp;"'}"</f>
        <v>rg:{'id': '200002'}</v>
      </c>
      <c r="H141" t="s">
        <v>7734</v>
      </c>
      <c r="I141" t="s">
        <v>5637</v>
      </c>
      <c r="J141">
        <f>VLOOKUP(I141&amp;"-"&amp;F141,DistrictEquipmentTypes.csv!J:K,2,FALSE)</f>
        <v>200001</v>
      </c>
      <c r="K141" t="str">
        <f>"rg:{'id': '"&amp;J141&amp;"'}"</f>
        <v>rg:{'id': '200001'}</v>
      </c>
      <c r="L141">
        <f>IF(C141=C140,L140+1,1)</f>
        <v>3</v>
      </c>
      <c r="M141" t="str">
        <f>VLOOKUP(C141,Owners.csv!C:K,9,FALSE)&amp;TEXT(Equipment.csv!L141,"0000")</f>
        <v>HENR0003</v>
      </c>
      <c r="N141" t="s">
        <v>5401</v>
      </c>
      <c r="O141" t="s">
        <v>6822</v>
      </c>
      <c r="P141">
        <v>2016</v>
      </c>
      <c r="Q141">
        <v>164</v>
      </c>
      <c r="R141" t="s">
        <v>6663</v>
      </c>
      <c r="S141" s="1">
        <v>42270</v>
      </c>
      <c r="T141" s="1">
        <v>42274</v>
      </c>
      <c r="U141" t="str">
        <f ca="1">IF(RANDBETWEEN(1,10)&gt;1,"rg:False","rg:True")</f>
        <v>rg:False</v>
      </c>
      <c r="V141" t="str">
        <f ca="1">IF(U141="rg:True","This equipment should be archived","rg:None")</f>
        <v>rg:None</v>
      </c>
      <c r="W141" t="s">
        <v>7221</v>
      </c>
      <c r="X141" t="s">
        <v>76</v>
      </c>
      <c r="Y141" t="s">
        <v>76</v>
      </c>
      <c r="Z141" t="s">
        <v>76</v>
      </c>
      <c r="AA141" t="s">
        <v>7568</v>
      </c>
      <c r="AB141" t="s">
        <v>7386</v>
      </c>
      <c r="AC141">
        <v>0</v>
      </c>
      <c r="AD141" t="str">
        <f ca="1">IF(RANDBETWEEN(1,20)&gt;1,"rg:False","rg:True")</f>
        <v>rg:False</v>
      </c>
      <c r="AE141" t="str">
        <f ca="1">IF(AD141="rg:True","Seniority overridden to test things","rg:None")</f>
        <v>rg:None</v>
      </c>
      <c r="AF141" s="1">
        <v>42481</v>
      </c>
      <c r="AG141" s="4">
        <f ca="1">IF(I141="Dump Truck",60,30)*AH141+(AVERAGE(AI141:AK141))</f>
        <v>15.333333333333332</v>
      </c>
      <c r="AH141" s="4">
        <f>YEARFRAC(DATE("2016","4","1"),T141)</f>
        <v>0.51111111111111107</v>
      </c>
      <c r="AI141">
        <f ca="1">IF(AH141&lt;1,0,RANDBETWEEN(0,200))</f>
        <v>0</v>
      </c>
      <c r="AJ141">
        <f ca="1">IF(AH141&lt;2,0,RANDBETWEEN(0,200))</f>
        <v>0</v>
      </c>
      <c r="AK141">
        <f ca="1">IF(AH141&lt;3,0,RANDBETWEEN(0,200))</f>
        <v>0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>IF(ISNUMBER(B141),B141+1,200000)</f>
        <v>200140</v>
      </c>
      <c r="C142">
        <v>200038</v>
      </c>
      <c r="D142" t="str">
        <f>"rg:{'id': '"&amp;C142&amp;"'}"</f>
        <v>rg:{'id': '200038'}</v>
      </c>
      <c r="E142">
        <f>VLOOKUP(C142,Owners.csv!C:J,6,FALSE)</f>
        <v>200002</v>
      </c>
      <c r="F142" t="str">
        <f>VLOOKUP(VLOOKUP(E142,LocalAreas.csv!I:K,3,FALSE),ServiceAreas.csv!F:J,5,FALSE)</f>
        <v>200009</v>
      </c>
      <c r="G142" t="str">
        <f>"rg:{'id': '"&amp;E142&amp;"'}"</f>
        <v>rg:{'id': '200002'}</v>
      </c>
      <c r="H142" t="s">
        <v>7758</v>
      </c>
      <c r="I142" t="s">
        <v>5536</v>
      </c>
      <c r="J142">
        <f>VLOOKUP(I142&amp;"-"&amp;F142,DistrictEquipmentTypes.csv!J:K,2,FALSE)</f>
        <v>200000</v>
      </c>
      <c r="K142" t="str">
        <f>"rg:{'id': '"&amp;J142&amp;"'}"</f>
        <v>rg:{'id': '200000'}</v>
      </c>
      <c r="L142">
        <f>IF(C142=C141,L141+1,1)</f>
        <v>4</v>
      </c>
      <c r="M142" t="str">
        <f>VLOOKUP(C142,Owners.csv!C:K,9,FALSE)&amp;TEXT(Equipment.csv!L142,"0000")</f>
        <v>HENR0004</v>
      </c>
      <c r="N142" t="s">
        <v>5401</v>
      </c>
      <c r="O142" t="s">
        <v>6842</v>
      </c>
      <c r="P142">
        <v>1977</v>
      </c>
      <c r="Q142">
        <v>184</v>
      </c>
      <c r="R142" t="s">
        <v>6663</v>
      </c>
      <c r="S142" s="1">
        <v>41447</v>
      </c>
      <c r="T142" s="1">
        <v>41473</v>
      </c>
      <c r="U142" t="str">
        <f ca="1">IF(RANDBETWEEN(1,10)&gt;1,"rg:False","rg:True")</f>
        <v>rg:False</v>
      </c>
      <c r="V142" t="str">
        <f ca="1">IF(U142="rg:True","This equipment should be archived","rg:None")</f>
        <v>rg:None</v>
      </c>
      <c r="W142" t="s">
        <v>7241</v>
      </c>
      <c r="X142" t="s">
        <v>76</v>
      </c>
      <c r="Y142" t="s">
        <v>76</v>
      </c>
      <c r="Z142" t="s">
        <v>76</v>
      </c>
      <c r="AA142" t="s">
        <v>7588</v>
      </c>
      <c r="AB142" t="s">
        <v>7395</v>
      </c>
      <c r="AC142">
        <v>0</v>
      </c>
      <c r="AD142" t="str">
        <f ca="1">IF(RANDBETWEEN(1,20)&gt;1,"rg:False","rg:True")</f>
        <v>rg:False</v>
      </c>
      <c r="AE142" t="str">
        <f ca="1">IF(AD142="rg:True","Seniority overridden to test things","rg:None")</f>
        <v>rg:None</v>
      </c>
      <c r="AF142" s="1">
        <v>42481</v>
      </c>
      <c r="AG142" s="4">
        <f ca="1">IF(I142="Dump Truck",60,30)*AH142+(AVERAGE(AI142:AK142))</f>
        <v>135.41666666666669</v>
      </c>
      <c r="AH142" s="4">
        <f>YEARFRAC(DATE("2016","4","1"),T142)</f>
        <v>2.7027777777777779</v>
      </c>
      <c r="AI142">
        <f ca="1">IF(AH142&lt;1,0,RANDBETWEEN(0,200))</f>
        <v>141</v>
      </c>
      <c r="AJ142">
        <f ca="1">IF(AH142&lt;2,0,RANDBETWEEN(0,200))</f>
        <v>22</v>
      </c>
      <c r="AK142">
        <f ca="1">IF(AH142&lt;3,0,RANDBETWEEN(0,200))</f>
        <v>0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>IF(ISNUMBER(B142),B142+1,200000)</f>
        <v>200141</v>
      </c>
      <c r="C143">
        <v>200039</v>
      </c>
      <c r="D143" t="str">
        <f>"rg:{'id': '"&amp;C143&amp;"'}"</f>
        <v>rg:{'id': '200039'}</v>
      </c>
      <c r="E143">
        <f>VLOOKUP(C143,Owners.csv!C:J,6,FALSE)</f>
        <v>200002</v>
      </c>
      <c r="F143" t="str">
        <f>VLOOKUP(VLOOKUP(E143,LocalAreas.csv!I:K,3,FALSE),ServiceAreas.csv!F:J,5,FALSE)</f>
        <v>200009</v>
      </c>
      <c r="G143" t="str">
        <f>"rg:{'id': '"&amp;E143&amp;"'}"</f>
        <v>rg:{'id': '200002'}</v>
      </c>
      <c r="H143" t="s">
        <v>7741</v>
      </c>
      <c r="I143" t="s">
        <v>5651</v>
      </c>
      <c r="J143">
        <f>VLOOKUP(I143&amp;"-"&amp;F143,DistrictEquipmentTypes.csv!J:K,2,FALSE)</f>
        <v>200006</v>
      </c>
      <c r="K143" t="str">
        <f>"rg:{'id': '"&amp;J143&amp;"'}"</f>
        <v>rg:{'id': '200006'}</v>
      </c>
      <c r="L143">
        <f>IF(C143=C142,L142+1,1)</f>
        <v>1</v>
      </c>
      <c r="M143" t="str">
        <f>VLOOKUP(C143,Owners.csv!C:K,9,FALSE)&amp;TEXT(Equipment.csv!L143,"0000")</f>
        <v>HIGH0001</v>
      </c>
      <c r="N143" t="s">
        <v>5401</v>
      </c>
      <c r="O143" t="s">
        <v>6797</v>
      </c>
      <c r="P143">
        <v>2008</v>
      </c>
      <c r="Q143">
        <v>139</v>
      </c>
      <c r="R143" t="s">
        <v>6663</v>
      </c>
      <c r="S143" s="1">
        <v>40224</v>
      </c>
      <c r="T143" s="1">
        <v>40255</v>
      </c>
      <c r="U143" t="str">
        <f ca="1">IF(RANDBETWEEN(1,10)&gt;1,"rg:False","rg:True")</f>
        <v>rg:False</v>
      </c>
      <c r="V143" t="str">
        <f ca="1">IF(U143="rg:True","This equipment should be archived","rg:None")</f>
        <v>rg:None</v>
      </c>
      <c r="W143" t="s">
        <v>7196</v>
      </c>
      <c r="X143" t="s">
        <v>76</v>
      </c>
      <c r="Y143" t="s">
        <v>76</v>
      </c>
      <c r="Z143" t="s">
        <v>76</v>
      </c>
      <c r="AA143" t="s">
        <v>7543</v>
      </c>
      <c r="AB143" t="s">
        <v>7369</v>
      </c>
      <c r="AC143">
        <v>0</v>
      </c>
      <c r="AD143" t="str">
        <f ca="1">IF(RANDBETWEEN(1,20)&gt;1,"rg:False","rg:True")</f>
        <v>rg:False</v>
      </c>
      <c r="AE143" t="str">
        <f ca="1">IF(AD143="rg:True","Seniority overridden to test things","rg:None")</f>
        <v>rg:None</v>
      </c>
      <c r="AF143" s="1">
        <v>42481</v>
      </c>
      <c r="AG143" s="4">
        <f ca="1">IF(I143="Dump Truck",60,30)*AH143+(AVERAGE(AI143:AK143))</f>
        <v>408.5</v>
      </c>
      <c r="AH143" s="4">
        <f>YEARFRAC(DATE("2016","4","1"),T143)</f>
        <v>6.0361111111111114</v>
      </c>
      <c r="AI143">
        <f ca="1">IF(AH143&lt;1,0,RANDBETWEEN(0,200))</f>
        <v>49</v>
      </c>
      <c r="AJ143">
        <f ca="1">IF(AH143&lt;2,0,RANDBETWEEN(0,200))</f>
        <v>17</v>
      </c>
      <c r="AK143">
        <f ca="1">IF(AH143&lt;3,0,RANDBETWEEN(0,200))</f>
        <v>73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>IF(ISNUMBER(B143),B143+1,200000)</f>
        <v>200142</v>
      </c>
      <c r="C144">
        <v>200039</v>
      </c>
      <c r="D144" t="str">
        <f>"rg:{'id': '"&amp;C144&amp;"'}"</f>
        <v>rg:{'id': '200039'}</v>
      </c>
      <c r="E144">
        <f>VLOOKUP(C144,Owners.csv!C:J,6,FALSE)</f>
        <v>200002</v>
      </c>
      <c r="F144" t="str">
        <f>VLOOKUP(VLOOKUP(E144,LocalAreas.csv!I:K,3,FALSE),ServiceAreas.csv!F:J,5,FALSE)</f>
        <v>200009</v>
      </c>
      <c r="G144" t="str">
        <f>"rg:{'id': '"&amp;E144&amp;"'}"</f>
        <v>rg:{'id': '200002'}</v>
      </c>
      <c r="H144" t="s">
        <v>7701</v>
      </c>
      <c r="I144" t="s">
        <v>5651</v>
      </c>
      <c r="J144">
        <f>VLOOKUP(I144&amp;"-"&amp;F144,DistrictEquipmentTypes.csv!J:K,2,FALSE)</f>
        <v>200006</v>
      </c>
      <c r="K144" t="str">
        <f>"rg:{'id': '"&amp;J144&amp;"'}"</f>
        <v>rg:{'id': '200006'}</v>
      </c>
      <c r="L144">
        <f>IF(C144=C143,L143+1,1)</f>
        <v>2</v>
      </c>
      <c r="M144" t="str">
        <f>VLOOKUP(C144,Owners.csv!C:K,9,FALSE)&amp;TEXT(Equipment.csv!L144,"0000")</f>
        <v>HIGH0002</v>
      </c>
      <c r="N144" t="s">
        <v>5401</v>
      </c>
      <c r="O144" t="s">
        <v>6817</v>
      </c>
      <c r="P144">
        <v>1999</v>
      </c>
      <c r="Q144">
        <v>159</v>
      </c>
      <c r="R144" t="s">
        <v>6663</v>
      </c>
      <c r="S144" s="1">
        <v>39540</v>
      </c>
      <c r="T144" s="1">
        <v>39567</v>
      </c>
      <c r="U144" t="str">
        <f ca="1">IF(RANDBETWEEN(1,10)&gt;1,"rg:False","rg:True")</f>
        <v>rg:False</v>
      </c>
      <c r="V144" t="str">
        <f ca="1">IF(U144="rg:True","This equipment should be archived","rg:None")</f>
        <v>rg:None</v>
      </c>
      <c r="W144" t="s">
        <v>7216</v>
      </c>
      <c r="X144" t="s">
        <v>76</v>
      </c>
      <c r="Y144" t="s">
        <v>76</v>
      </c>
      <c r="Z144" t="s">
        <v>76</v>
      </c>
      <c r="AA144" t="s">
        <v>7563</v>
      </c>
      <c r="AB144" t="s">
        <v>7308</v>
      </c>
      <c r="AC144">
        <v>0</v>
      </c>
      <c r="AD144" t="str">
        <f ca="1">IF(RANDBETWEEN(1,20)&gt;1,"rg:False","rg:True")</f>
        <v>rg:False</v>
      </c>
      <c r="AE144" t="str">
        <f ca="1">IF(AD144="rg:True","Seniority overridden to test things","rg:None")</f>
        <v>rg:None</v>
      </c>
      <c r="AF144" s="1">
        <v>42481</v>
      </c>
      <c r="AG144" s="4">
        <f ca="1">IF(I144="Dump Truck",60,30)*AH144+(AVERAGE(AI144:AK144))</f>
        <v>610</v>
      </c>
      <c r="AH144" s="4">
        <f>YEARFRAC(DATE("2016","4","1"),T144)</f>
        <v>7.9222222222222225</v>
      </c>
      <c r="AI144">
        <f ca="1">IF(AH144&lt;1,0,RANDBETWEEN(0,200))</f>
        <v>120</v>
      </c>
      <c r="AJ144">
        <f ca="1">IF(AH144&lt;2,0,RANDBETWEEN(0,200))</f>
        <v>117</v>
      </c>
      <c r="AK144">
        <f ca="1">IF(AH144&lt;3,0,RANDBETWEEN(0,200))</f>
        <v>167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>IF(ISNUMBER(B144),B144+1,200000)</f>
        <v>200143</v>
      </c>
      <c r="C145">
        <v>200039</v>
      </c>
      <c r="D145" t="str">
        <f>"rg:{'id': '"&amp;C145&amp;"'}"</f>
        <v>rg:{'id': '200039'}</v>
      </c>
      <c r="E145">
        <f>VLOOKUP(C145,Owners.csv!C:J,6,FALSE)</f>
        <v>200002</v>
      </c>
      <c r="F145" t="str">
        <f>VLOOKUP(VLOOKUP(E145,LocalAreas.csv!I:K,3,FALSE),ServiceAreas.csv!F:J,5,FALSE)</f>
        <v>200009</v>
      </c>
      <c r="G145" t="str">
        <f>"rg:{'id': '"&amp;E145&amp;"'}"</f>
        <v>rg:{'id': '200002'}</v>
      </c>
      <c r="H145" t="s">
        <v>7738</v>
      </c>
      <c r="I145" t="s">
        <v>5637</v>
      </c>
      <c r="J145">
        <f>VLOOKUP(I145&amp;"-"&amp;F145,DistrictEquipmentTypes.csv!J:K,2,FALSE)</f>
        <v>200001</v>
      </c>
      <c r="K145" t="str">
        <f>"rg:{'id': '"&amp;J145&amp;"'}"</f>
        <v>rg:{'id': '200001'}</v>
      </c>
      <c r="L145">
        <f>IF(C145=C144,L144+1,1)</f>
        <v>3</v>
      </c>
      <c r="M145" t="str">
        <f>VLOOKUP(C145,Owners.csv!C:K,9,FALSE)&amp;TEXT(Equipment.csv!L145,"0000")</f>
        <v>HIGH0003</v>
      </c>
      <c r="N145" t="s">
        <v>5401</v>
      </c>
      <c r="O145" t="s">
        <v>6823</v>
      </c>
      <c r="P145">
        <v>1994</v>
      </c>
      <c r="Q145">
        <v>165</v>
      </c>
      <c r="R145" t="s">
        <v>6663</v>
      </c>
      <c r="S145" s="1">
        <v>38445</v>
      </c>
      <c r="T145" s="1">
        <v>38459</v>
      </c>
      <c r="U145" t="str">
        <f ca="1">IF(RANDBETWEEN(1,10)&gt;1,"rg:False","rg:True")</f>
        <v>rg:False</v>
      </c>
      <c r="V145" t="str">
        <f ca="1">IF(U145="rg:True","This equipment should be archived","rg:None")</f>
        <v>rg:None</v>
      </c>
      <c r="W145" t="s">
        <v>7222</v>
      </c>
      <c r="X145" t="s">
        <v>76</v>
      </c>
      <c r="Y145" t="s">
        <v>76</v>
      </c>
      <c r="Z145" t="s">
        <v>76</v>
      </c>
      <c r="AA145" t="s">
        <v>7569</v>
      </c>
      <c r="AB145" t="s">
        <v>7284</v>
      </c>
      <c r="AC145">
        <v>0</v>
      </c>
      <c r="AD145" t="str">
        <f ca="1">IF(RANDBETWEEN(1,20)&gt;1,"rg:False","rg:True")</f>
        <v>rg:False</v>
      </c>
      <c r="AE145" t="str">
        <f ca="1">IF(AD145="rg:True","Seniority overridden to test things","rg:None")</f>
        <v>rg:None</v>
      </c>
      <c r="AF145" s="1">
        <v>42481</v>
      </c>
      <c r="AG145" s="4">
        <f ca="1">IF(I145="Dump Truck",60,30)*AH145+(AVERAGE(AI145:AK145))</f>
        <v>444.66666666666669</v>
      </c>
      <c r="AH145" s="4">
        <f>YEARFRAC(DATE("2016","4","1"),T145)</f>
        <v>10.955555555555556</v>
      </c>
      <c r="AI145">
        <f ca="1">IF(AH145&lt;1,0,RANDBETWEEN(0,200))</f>
        <v>76</v>
      </c>
      <c r="AJ145">
        <f ca="1">IF(AH145&lt;2,0,RANDBETWEEN(0,200))</f>
        <v>123</v>
      </c>
      <c r="AK145">
        <f ca="1">IF(AH145&lt;3,0,RANDBETWEEN(0,200))</f>
        <v>149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>IF(ISNUMBER(B145),B145+1,200000)</f>
        <v>200144</v>
      </c>
      <c r="C146">
        <v>200039</v>
      </c>
      <c r="D146" t="str">
        <f>"rg:{'id': '"&amp;C146&amp;"'}"</f>
        <v>rg:{'id': '200039'}</v>
      </c>
      <c r="E146">
        <f>VLOOKUP(C146,Owners.csv!C:J,6,FALSE)</f>
        <v>200002</v>
      </c>
      <c r="F146" t="str">
        <f>VLOOKUP(VLOOKUP(E146,LocalAreas.csv!I:K,3,FALSE),ServiceAreas.csv!F:J,5,FALSE)</f>
        <v>200009</v>
      </c>
      <c r="G146" t="str">
        <f>"rg:{'id': '"&amp;E146&amp;"'}"</f>
        <v>rg:{'id': '200002'}</v>
      </c>
      <c r="H146" t="s">
        <v>7759</v>
      </c>
      <c r="I146" t="s">
        <v>5536</v>
      </c>
      <c r="J146">
        <f>VLOOKUP(I146&amp;"-"&amp;F146,DistrictEquipmentTypes.csv!J:K,2,FALSE)</f>
        <v>200000</v>
      </c>
      <c r="K146" t="str">
        <f>"rg:{'id': '"&amp;J146&amp;"'}"</f>
        <v>rg:{'id': '200000'}</v>
      </c>
      <c r="L146">
        <f>IF(C146=C145,L145+1,1)</f>
        <v>4</v>
      </c>
      <c r="M146" t="str">
        <f>VLOOKUP(C146,Owners.csv!C:K,9,FALSE)&amp;TEXT(Equipment.csv!L146,"0000")</f>
        <v>HIGH0004</v>
      </c>
      <c r="N146" t="s">
        <v>5401</v>
      </c>
      <c r="O146" t="s">
        <v>6843</v>
      </c>
      <c r="P146">
        <v>2004</v>
      </c>
      <c r="Q146">
        <v>185</v>
      </c>
      <c r="R146" t="s">
        <v>6663</v>
      </c>
      <c r="S146" s="1">
        <v>41678</v>
      </c>
      <c r="T146" s="1">
        <v>41691</v>
      </c>
      <c r="U146" t="str">
        <f ca="1">IF(RANDBETWEEN(1,10)&gt;1,"rg:False","rg:True")</f>
        <v>rg:False</v>
      </c>
      <c r="V146" t="str">
        <f ca="1">IF(U146="rg:True","This equipment should be archived","rg:None")</f>
        <v>rg:None</v>
      </c>
      <c r="W146" t="s">
        <v>7242</v>
      </c>
      <c r="X146" t="s">
        <v>76</v>
      </c>
      <c r="Y146" t="s">
        <v>76</v>
      </c>
      <c r="Z146" t="s">
        <v>76</v>
      </c>
      <c r="AA146" t="s">
        <v>7589</v>
      </c>
      <c r="AB146" t="s">
        <v>7280</v>
      </c>
      <c r="AC146">
        <v>0</v>
      </c>
      <c r="AD146" t="str">
        <f ca="1">IF(RANDBETWEEN(1,20)&gt;1,"rg:False","rg:True")</f>
        <v>rg:False</v>
      </c>
      <c r="AE146" t="str">
        <f ca="1">IF(AD146="rg:True","Seniority overridden to test things","rg:None")</f>
        <v>rg:None</v>
      </c>
      <c r="AF146" s="1">
        <v>42481</v>
      </c>
      <c r="AG146" s="4">
        <f ca="1">IF(I146="Dump Truck",60,30)*AH146+(AVERAGE(AI146:AK146))</f>
        <v>117.33333333333334</v>
      </c>
      <c r="AH146" s="4">
        <f>YEARFRAC(DATE("2016","4","1"),T146)</f>
        <v>2.1111111111111112</v>
      </c>
      <c r="AI146">
        <f ca="1">IF(AH146&lt;1,0,RANDBETWEEN(0,200))</f>
        <v>144</v>
      </c>
      <c r="AJ146">
        <f ca="1">IF(AH146&lt;2,0,RANDBETWEEN(0,200))</f>
        <v>18</v>
      </c>
      <c r="AK146">
        <f ca="1">IF(AH146&lt;3,0,RANDBETWEEN(0,200))</f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>IF(ISNUMBER(B146),B146+1,200000)</f>
        <v>200145</v>
      </c>
      <c r="C147">
        <v>200040</v>
      </c>
      <c r="D147" t="str">
        <f>"rg:{'id': '"&amp;C147&amp;"'}"</f>
        <v>rg:{'id': '200040'}</v>
      </c>
      <c r="E147">
        <f>VLOOKUP(C147,Owners.csv!C:J,6,FALSE)</f>
        <v>200002</v>
      </c>
      <c r="F147" t="str">
        <f>VLOOKUP(VLOOKUP(E147,LocalAreas.csv!I:K,3,FALSE),ServiceAreas.csv!F:J,5,FALSE)</f>
        <v>200009</v>
      </c>
      <c r="G147" t="str">
        <f>"rg:{'id': '"&amp;E147&amp;"'}"</f>
        <v>rg:{'id': '200002'}</v>
      </c>
      <c r="H147" t="s">
        <v>7742</v>
      </c>
      <c r="I147" t="s">
        <v>5651</v>
      </c>
      <c r="J147">
        <f>VLOOKUP(I147&amp;"-"&amp;F147,DistrictEquipmentTypes.csv!J:K,2,FALSE)</f>
        <v>200006</v>
      </c>
      <c r="K147" t="str">
        <f>"rg:{'id': '"&amp;J147&amp;"'}"</f>
        <v>rg:{'id': '200006'}</v>
      </c>
      <c r="L147">
        <f>IF(C147=C146,L146+1,1)</f>
        <v>1</v>
      </c>
      <c r="M147" t="str">
        <f>VLOOKUP(C147,Owners.csv!C:K,9,FALSE)&amp;TEXT(Equipment.csv!L147,"0000")</f>
        <v>HUGH0001</v>
      </c>
      <c r="N147" t="s">
        <v>5401</v>
      </c>
      <c r="O147" t="s">
        <v>6798</v>
      </c>
      <c r="P147">
        <v>2017</v>
      </c>
      <c r="Q147">
        <v>140</v>
      </c>
      <c r="R147" t="s">
        <v>6663</v>
      </c>
      <c r="S147" s="1">
        <v>40500</v>
      </c>
      <c r="T147" s="1">
        <v>40505</v>
      </c>
      <c r="U147" t="str">
        <f ca="1">IF(RANDBETWEEN(1,10)&gt;1,"rg:False","rg:True")</f>
        <v>rg:False</v>
      </c>
      <c r="V147" t="str">
        <f ca="1">IF(U147="rg:True","This equipment should be archived","rg:None")</f>
        <v>rg:None</v>
      </c>
      <c r="W147" t="s">
        <v>7197</v>
      </c>
      <c r="X147" t="s">
        <v>76</v>
      </c>
      <c r="Y147" t="s">
        <v>76</v>
      </c>
      <c r="Z147" t="s">
        <v>76</v>
      </c>
      <c r="AA147" t="s">
        <v>7544</v>
      </c>
      <c r="AB147" t="s">
        <v>7261</v>
      </c>
      <c r="AC147">
        <v>0</v>
      </c>
      <c r="AD147" t="str">
        <f ca="1">IF(RANDBETWEEN(1,20)&gt;1,"rg:False","rg:True")</f>
        <v>rg:False</v>
      </c>
      <c r="AE147" t="str">
        <f ca="1">IF(AD147="rg:True","Seniority overridden to test things","rg:None")</f>
        <v>rg:None</v>
      </c>
      <c r="AF147" s="1">
        <v>42481</v>
      </c>
      <c r="AG147" s="4">
        <f ca="1">IF(I147="Dump Truck",60,30)*AH147+(AVERAGE(AI147:AK147))</f>
        <v>425</v>
      </c>
      <c r="AH147" s="4">
        <f>YEARFRAC(DATE("2016","4","1"),T147)</f>
        <v>5.3555555555555552</v>
      </c>
      <c r="AI147">
        <f ca="1">IF(AH147&lt;1,0,RANDBETWEEN(0,200))</f>
        <v>14</v>
      </c>
      <c r="AJ147">
        <f ca="1">IF(AH147&lt;2,0,RANDBETWEEN(0,200))</f>
        <v>169</v>
      </c>
      <c r="AK147">
        <f ca="1">IF(AH147&lt;3,0,RANDBETWEEN(0,200))</f>
        <v>128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>IF(ISNUMBER(B147),B147+1,200000)</f>
        <v>200146</v>
      </c>
      <c r="C148">
        <v>200040</v>
      </c>
      <c r="D148" t="str">
        <f>"rg:{'id': '"&amp;C148&amp;"'}"</f>
        <v>rg:{'id': '200040'}</v>
      </c>
      <c r="E148">
        <f>VLOOKUP(C148,Owners.csv!C:J,6,FALSE)</f>
        <v>200002</v>
      </c>
      <c r="F148" t="str">
        <f>VLOOKUP(VLOOKUP(E148,LocalAreas.csv!I:K,3,FALSE),ServiceAreas.csv!F:J,5,FALSE)</f>
        <v>200009</v>
      </c>
      <c r="G148" t="str">
        <f>"rg:{'id': '"&amp;E148&amp;"'}"</f>
        <v>rg:{'id': '200002'}</v>
      </c>
      <c r="H148" t="s">
        <v>7708</v>
      </c>
      <c r="I148" t="s">
        <v>5651</v>
      </c>
      <c r="J148">
        <f>VLOOKUP(I148&amp;"-"&amp;F148,DistrictEquipmentTypes.csv!J:K,2,FALSE)</f>
        <v>200006</v>
      </c>
      <c r="K148" t="str">
        <f>"rg:{'id': '"&amp;J148&amp;"'}"</f>
        <v>rg:{'id': '200006'}</v>
      </c>
      <c r="L148">
        <f>IF(C148=C147,L147+1,1)</f>
        <v>2</v>
      </c>
      <c r="M148" t="str">
        <f>VLOOKUP(C148,Owners.csv!C:K,9,FALSE)&amp;TEXT(Equipment.csv!L148,"0000")</f>
        <v>HUGH0002</v>
      </c>
      <c r="N148" t="s">
        <v>5401</v>
      </c>
      <c r="O148" t="s">
        <v>6818</v>
      </c>
      <c r="P148">
        <v>2004</v>
      </c>
      <c r="Q148">
        <v>160</v>
      </c>
      <c r="R148" t="s">
        <v>6663</v>
      </c>
      <c r="S148" s="1">
        <v>39866</v>
      </c>
      <c r="T148" s="1">
        <v>39883</v>
      </c>
      <c r="U148" t="str">
        <f ca="1">IF(RANDBETWEEN(1,10)&gt;1,"rg:False","rg:True")</f>
        <v>rg:False</v>
      </c>
      <c r="V148" t="str">
        <f ca="1">IF(U148="rg:True","This equipment should be archived","rg:None")</f>
        <v>rg:None</v>
      </c>
      <c r="W148" t="s">
        <v>7217</v>
      </c>
      <c r="X148" t="s">
        <v>76</v>
      </c>
      <c r="Y148" t="s">
        <v>76</v>
      </c>
      <c r="Z148" t="s">
        <v>76</v>
      </c>
      <c r="AA148" t="s">
        <v>7564</v>
      </c>
      <c r="AB148" t="s">
        <v>7383</v>
      </c>
      <c r="AC148">
        <v>0</v>
      </c>
      <c r="AD148" t="str">
        <f ca="1">IF(RANDBETWEEN(1,20)&gt;1,"rg:False","rg:True")</f>
        <v>rg:False</v>
      </c>
      <c r="AE148" t="str">
        <f ca="1">IF(AD148="rg:True","Seniority overridden to test things","rg:None")</f>
        <v>rg:None</v>
      </c>
      <c r="AF148" s="1">
        <v>42481</v>
      </c>
      <c r="AG148" s="4">
        <f ca="1">IF(I148="Dump Truck",60,30)*AH148+(AVERAGE(AI148:AK148))</f>
        <v>544.33333333333326</v>
      </c>
      <c r="AH148" s="4">
        <f>YEARFRAC(DATE("2016","4","1"),T148)</f>
        <v>7.0555555555555554</v>
      </c>
      <c r="AI148">
        <f ca="1">IF(AH148&lt;1,0,RANDBETWEEN(0,200))</f>
        <v>167</v>
      </c>
      <c r="AJ148">
        <f ca="1">IF(AH148&lt;2,0,RANDBETWEEN(0,200))</f>
        <v>90</v>
      </c>
      <c r="AK148">
        <f ca="1">IF(AH148&lt;3,0,RANDBETWEEN(0,200))</f>
        <v>106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>IF(ISNUMBER(B148),B148+1,200000)</f>
        <v>200147</v>
      </c>
      <c r="C149">
        <v>200040</v>
      </c>
      <c r="D149" t="str">
        <f>"rg:{'id': '"&amp;C149&amp;"'}"</f>
        <v>rg:{'id': '200040'}</v>
      </c>
      <c r="E149">
        <f>VLOOKUP(C149,Owners.csv!C:J,6,FALSE)</f>
        <v>200002</v>
      </c>
      <c r="F149" t="str">
        <f>VLOOKUP(VLOOKUP(E149,LocalAreas.csv!I:K,3,FALSE),ServiceAreas.csv!F:J,5,FALSE)</f>
        <v>200009</v>
      </c>
      <c r="G149" t="str">
        <f>"rg:{'id': '"&amp;E149&amp;"'}"</f>
        <v>rg:{'id': '200002'}</v>
      </c>
      <c r="H149" t="s">
        <v>7737</v>
      </c>
      <c r="I149" t="s">
        <v>5637</v>
      </c>
      <c r="J149">
        <f>VLOOKUP(I149&amp;"-"&amp;F149,DistrictEquipmentTypes.csv!J:K,2,FALSE)</f>
        <v>200001</v>
      </c>
      <c r="K149" t="str">
        <f>"rg:{'id': '"&amp;J149&amp;"'}"</f>
        <v>rg:{'id': '200001'}</v>
      </c>
      <c r="L149">
        <f>IF(C149=C148,L148+1,1)</f>
        <v>3</v>
      </c>
      <c r="M149" t="str">
        <f>VLOOKUP(C149,Owners.csv!C:K,9,FALSE)&amp;TEXT(Equipment.csv!L149,"0000")</f>
        <v>HUGH0003</v>
      </c>
      <c r="N149" t="s">
        <v>5401</v>
      </c>
      <c r="O149" t="s">
        <v>6824</v>
      </c>
      <c r="P149">
        <v>2010</v>
      </c>
      <c r="Q149">
        <v>166</v>
      </c>
      <c r="R149" t="s">
        <v>6663</v>
      </c>
      <c r="S149" s="1">
        <v>38450</v>
      </c>
      <c r="T149" s="1">
        <v>38472</v>
      </c>
      <c r="U149" t="str">
        <f ca="1">IF(RANDBETWEEN(1,10)&gt;1,"rg:False","rg:True")</f>
        <v>rg:False</v>
      </c>
      <c r="V149" t="str">
        <f ca="1">IF(U149="rg:True","This equipment should be archived","rg:None")</f>
        <v>rg:None</v>
      </c>
      <c r="W149" t="s">
        <v>7223</v>
      </c>
      <c r="X149" t="s">
        <v>76</v>
      </c>
      <c r="Y149" t="s">
        <v>76</v>
      </c>
      <c r="Z149" t="s">
        <v>76</v>
      </c>
      <c r="AA149" t="s">
        <v>7570</v>
      </c>
      <c r="AB149" t="s">
        <v>7325</v>
      </c>
      <c r="AC149">
        <v>0</v>
      </c>
      <c r="AD149" t="str">
        <f ca="1">IF(RANDBETWEEN(1,20)&gt;1,"rg:False","rg:True")</f>
        <v>rg:False</v>
      </c>
      <c r="AE149" t="str">
        <f ca="1">IF(AD149="rg:True","Seniority overridden to test things","rg:None")</f>
        <v>rg:None</v>
      </c>
      <c r="AF149" s="1">
        <v>42481</v>
      </c>
      <c r="AG149" s="4">
        <f ca="1">IF(I149="Dump Truck",60,30)*AH149+(AVERAGE(AI149:AK149))</f>
        <v>415.58333333333331</v>
      </c>
      <c r="AH149" s="4">
        <f>YEARFRAC(DATE("2016","4","1"),T149)</f>
        <v>10.919444444444444</v>
      </c>
      <c r="AI149">
        <f ca="1">IF(AH149&lt;1,0,RANDBETWEEN(0,200))</f>
        <v>17</v>
      </c>
      <c r="AJ149">
        <f ca="1">IF(AH149&lt;2,0,RANDBETWEEN(0,200))</f>
        <v>194</v>
      </c>
      <c r="AK149">
        <f ca="1">IF(AH149&lt;3,0,RANDBETWEEN(0,200))</f>
        <v>53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>IF(ISNUMBER(B149),B149+1,200000)</f>
        <v>200148</v>
      </c>
      <c r="C150">
        <v>200040</v>
      </c>
      <c r="D150" t="str">
        <f>"rg:{'id': '"&amp;C150&amp;"'}"</f>
        <v>rg:{'id': '200040'}</v>
      </c>
      <c r="E150">
        <f>VLOOKUP(C150,Owners.csv!C:J,6,FALSE)</f>
        <v>200002</v>
      </c>
      <c r="F150" t="str">
        <f>VLOOKUP(VLOOKUP(E150,LocalAreas.csv!I:K,3,FALSE),ServiceAreas.csv!F:J,5,FALSE)</f>
        <v>200009</v>
      </c>
      <c r="G150" t="str">
        <f>"rg:{'id': '"&amp;E150&amp;"'}"</f>
        <v>rg:{'id': '200002'}</v>
      </c>
      <c r="H150" t="s">
        <v>7760</v>
      </c>
      <c r="I150" t="s">
        <v>5536</v>
      </c>
      <c r="J150">
        <f>VLOOKUP(I150&amp;"-"&amp;F150,DistrictEquipmentTypes.csv!J:K,2,FALSE)</f>
        <v>200000</v>
      </c>
      <c r="K150" t="str">
        <f>"rg:{'id': '"&amp;J150&amp;"'}"</f>
        <v>rg:{'id': '200000'}</v>
      </c>
      <c r="L150">
        <f>IF(C150=C149,L149+1,1)</f>
        <v>4</v>
      </c>
      <c r="M150" t="str">
        <f>VLOOKUP(C150,Owners.csv!C:K,9,FALSE)&amp;TEXT(Equipment.csv!L150,"0000")</f>
        <v>HUGH0004</v>
      </c>
      <c r="N150" t="s">
        <v>5401</v>
      </c>
      <c r="O150" t="s">
        <v>6844</v>
      </c>
      <c r="P150">
        <v>2001</v>
      </c>
      <c r="Q150">
        <v>186</v>
      </c>
      <c r="R150" t="s">
        <v>6663</v>
      </c>
      <c r="S150" s="1">
        <v>38147</v>
      </c>
      <c r="T150" s="1">
        <v>38150</v>
      </c>
      <c r="U150" t="str">
        <f ca="1">IF(RANDBETWEEN(1,10)&gt;1,"rg:False","rg:True")</f>
        <v>rg:False</v>
      </c>
      <c r="V150" t="str">
        <f ca="1">IF(U150="rg:True","This equipment should be archived","rg:None")</f>
        <v>rg:None</v>
      </c>
      <c r="W150" t="s">
        <v>7243</v>
      </c>
      <c r="X150" t="s">
        <v>76</v>
      </c>
      <c r="Y150" t="s">
        <v>76</v>
      </c>
      <c r="Z150" t="s">
        <v>76</v>
      </c>
      <c r="AA150" t="s">
        <v>7590</v>
      </c>
      <c r="AB150" t="s">
        <v>7396</v>
      </c>
      <c r="AC150">
        <v>0</v>
      </c>
      <c r="AD150" t="str">
        <f ca="1">IF(RANDBETWEEN(1,20)&gt;1,"rg:False","rg:True")</f>
        <v>rg:False</v>
      </c>
      <c r="AE150" t="str">
        <f ca="1">IF(AD150="rg:True","Seniority overridden to test things","rg:None")</f>
        <v>rg:None</v>
      </c>
      <c r="AF150" s="1">
        <v>42481</v>
      </c>
      <c r="AG150" s="4">
        <f ca="1">IF(I150="Dump Truck",60,30)*AH150+(AVERAGE(AI150:AK150))</f>
        <v>409.75</v>
      </c>
      <c r="AH150" s="4">
        <f>YEARFRAC(DATE("2016","4","1"),T150)</f>
        <v>11.802777777777777</v>
      </c>
      <c r="AI150">
        <f ca="1">IF(AH150&lt;1,0,RANDBETWEEN(0,200))</f>
        <v>146</v>
      </c>
      <c r="AJ150">
        <f ca="1">IF(AH150&lt;2,0,RANDBETWEEN(0,200))</f>
        <v>6</v>
      </c>
      <c r="AK150">
        <f ca="1">IF(AH150&lt;3,0,RANDBETWEEN(0,200))</f>
        <v>15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>IF(ISNUMBER(B150),B150+1,200000)</f>
        <v>200149</v>
      </c>
      <c r="C151">
        <v>200041</v>
      </c>
      <c r="D151" t="str">
        <f>"rg:{'id': '"&amp;C151&amp;"'}"</f>
        <v>rg:{'id': '200041'}</v>
      </c>
      <c r="E151">
        <f>VLOOKUP(C151,Owners.csv!C:J,6,FALSE)</f>
        <v>200002</v>
      </c>
      <c r="F151" t="str">
        <f>VLOOKUP(VLOOKUP(E151,LocalAreas.csv!I:K,3,FALSE),ServiceAreas.csv!F:J,5,FALSE)</f>
        <v>200009</v>
      </c>
      <c r="G151" t="str">
        <f>"rg:{'id': '"&amp;E151&amp;"'}"</f>
        <v>rg:{'id': '200002'}</v>
      </c>
      <c r="H151" t="s">
        <v>7726</v>
      </c>
      <c r="I151" t="s">
        <v>5651</v>
      </c>
      <c r="J151">
        <f>VLOOKUP(I151&amp;"-"&amp;F151,DistrictEquipmentTypes.csv!J:K,2,FALSE)</f>
        <v>200006</v>
      </c>
      <c r="K151" t="str">
        <f>"rg:{'id': '"&amp;J151&amp;"'}"</f>
        <v>rg:{'id': '200006'}</v>
      </c>
      <c r="L151">
        <f>IF(C151=C150,L150+1,1)</f>
        <v>1</v>
      </c>
      <c r="M151" t="str">
        <f>VLOOKUP(C151,Owners.csv!C:K,9,FALSE)&amp;TEXT(Equipment.csv!L151,"0000")</f>
        <v>HUGH0001</v>
      </c>
      <c r="N151" t="s">
        <v>5401</v>
      </c>
      <c r="O151" t="s">
        <v>6799</v>
      </c>
      <c r="P151">
        <v>2008</v>
      </c>
      <c r="Q151">
        <v>141</v>
      </c>
      <c r="R151" t="s">
        <v>6663</v>
      </c>
      <c r="S151" s="1">
        <v>40901</v>
      </c>
      <c r="T151" s="1">
        <v>40927</v>
      </c>
      <c r="U151" t="str">
        <f ca="1">IF(RANDBETWEEN(1,10)&gt;1,"rg:False","rg:True")</f>
        <v>rg:False</v>
      </c>
      <c r="V151" t="str">
        <f ca="1">IF(U151="rg:True","This equipment should be archived","rg:None")</f>
        <v>rg:None</v>
      </c>
      <c r="W151" t="s">
        <v>7198</v>
      </c>
      <c r="X151" t="s">
        <v>76</v>
      </c>
      <c r="Y151" t="s">
        <v>76</v>
      </c>
      <c r="Z151" t="s">
        <v>76</v>
      </c>
      <c r="AA151" t="s">
        <v>7545</v>
      </c>
      <c r="AB151" t="s">
        <v>7370</v>
      </c>
      <c r="AC151">
        <v>0</v>
      </c>
      <c r="AD151" t="str">
        <f ca="1">IF(RANDBETWEEN(1,20)&gt;1,"rg:False","rg:True")</f>
        <v>rg:False</v>
      </c>
      <c r="AE151" t="str">
        <f ca="1">IF(AD151="rg:True","Seniority overridden to test things","rg:None")</f>
        <v>rg:None</v>
      </c>
      <c r="AF151" s="1">
        <v>42481</v>
      </c>
      <c r="AG151" s="4">
        <f ca="1">IF(I151="Dump Truck",60,30)*AH151+(AVERAGE(AI151:AK151))</f>
        <v>369</v>
      </c>
      <c r="AH151" s="4">
        <f>YEARFRAC(DATE("2016","4","1"),T151)</f>
        <v>4.2</v>
      </c>
      <c r="AI151">
        <f ca="1">IF(AH151&lt;1,0,RANDBETWEEN(0,200))</f>
        <v>127</v>
      </c>
      <c r="AJ151">
        <f ca="1">IF(AH151&lt;2,0,RANDBETWEEN(0,200))</f>
        <v>173</v>
      </c>
      <c r="AK151">
        <f ca="1">IF(AH151&lt;3,0,RANDBETWEEN(0,200))</f>
        <v>51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>IF(ISNUMBER(B151),B151+1,200000)</f>
        <v>200150</v>
      </c>
      <c r="C152">
        <v>200041</v>
      </c>
      <c r="D152" t="str">
        <f>"rg:{'id': '"&amp;C152&amp;"'}"</f>
        <v>rg:{'id': '200041'}</v>
      </c>
      <c r="E152">
        <f>VLOOKUP(C152,Owners.csv!C:J,6,FALSE)</f>
        <v>200002</v>
      </c>
      <c r="F152" t="str">
        <f>VLOOKUP(VLOOKUP(E152,LocalAreas.csv!I:K,3,FALSE),ServiceAreas.csv!F:J,5,FALSE)</f>
        <v>200009</v>
      </c>
      <c r="G152" t="str">
        <f>"rg:{'id': '"&amp;E152&amp;"'}"</f>
        <v>rg:{'id': '200002'}</v>
      </c>
      <c r="H152" t="s">
        <v>7681</v>
      </c>
      <c r="I152" t="s">
        <v>5651</v>
      </c>
      <c r="J152">
        <f>VLOOKUP(I152&amp;"-"&amp;F152,DistrictEquipmentTypes.csv!J:K,2,FALSE)</f>
        <v>200006</v>
      </c>
      <c r="K152" t="str">
        <f>"rg:{'id': '"&amp;J152&amp;"'}"</f>
        <v>rg:{'id': '200006'}</v>
      </c>
      <c r="L152">
        <f>IF(C152=C151,L151+1,1)</f>
        <v>2</v>
      </c>
      <c r="M152" t="str">
        <f>VLOOKUP(C152,Owners.csv!C:K,9,FALSE)&amp;TEXT(Equipment.csv!L152,"0000")</f>
        <v>HUGH0002</v>
      </c>
      <c r="N152" t="s">
        <v>5401</v>
      </c>
      <c r="O152" t="s">
        <v>6819</v>
      </c>
      <c r="P152">
        <v>1981</v>
      </c>
      <c r="Q152">
        <v>161</v>
      </c>
      <c r="R152" t="s">
        <v>6663</v>
      </c>
      <c r="S152" s="1">
        <v>40054</v>
      </c>
      <c r="T152" s="1">
        <v>40085</v>
      </c>
      <c r="U152" t="str">
        <f ca="1">IF(RANDBETWEEN(1,10)&gt;1,"rg:False","rg:True")</f>
        <v>rg:False</v>
      </c>
      <c r="V152" t="str">
        <f ca="1">IF(U152="rg:True","This equipment should be archived","rg:None")</f>
        <v>rg:None</v>
      </c>
      <c r="W152" t="s">
        <v>7218</v>
      </c>
      <c r="X152" t="s">
        <v>76</v>
      </c>
      <c r="Y152" t="s">
        <v>76</v>
      </c>
      <c r="Z152" t="s">
        <v>76</v>
      </c>
      <c r="AA152" t="s">
        <v>7565</v>
      </c>
      <c r="AB152" t="s">
        <v>7384</v>
      </c>
      <c r="AC152">
        <v>0</v>
      </c>
      <c r="AD152" t="str">
        <f ca="1">IF(RANDBETWEEN(1,20)&gt;1,"rg:False","rg:True")</f>
        <v>rg:False</v>
      </c>
      <c r="AE152" t="str">
        <f ca="1">IF(AD152="rg:True","Seniority overridden to test things","rg:None")</f>
        <v>rg:None</v>
      </c>
      <c r="AF152" s="1">
        <v>42481</v>
      </c>
      <c r="AG152" s="4">
        <f ca="1">IF(I152="Dump Truck",60,30)*AH152+(AVERAGE(AI152:AK152))</f>
        <v>454.33333333333331</v>
      </c>
      <c r="AH152" s="4">
        <f>YEARFRAC(DATE("2016","4","1"),T152)</f>
        <v>6.5055555555555555</v>
      </c>
      <c r="AI152">
        <f ca="1">IF(AH152&lt;1,0,RANDBETWEEN(0,200))</f>
        <v>41</v>
      </c>
      <c r="AJ152">
        <f ca="1">IF(AH152&lt;2,0,RANDBETWEEN(0,200))</f>
        <v>97</v>
      </c>
      <c r="AK152">
        <f ca="1">IF(AH152&lt;3,0,RANDBETWEEN(0,200))</f>
        <v>54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>IF(ISNUMBER(B152),B152+1,200000)</f>
        <v>200151</v>
      </c>
      <c r="C153">
        <v>200041</v>
      </c>
      <c r="D153" t="str">
        <f>"rg:{'id': '"&amp;C153&amp;"'}"</f>
        <v>rg:{'id': '200041'}</v>
      </c>
      <c r="E153">
        <f>VLOOKUP(C153,Owners.csv!C:J,6,FALSE)</f>
        <v>200002</v>
      </c>
      <c r="F153" t="str">
        <f>VLOOKUP(VLOOKUP(E153,LocalAreas.csv!I:K,3,FALSE),ServiceAreas.csv!F:J,5,FALSE)</f>
        <v>200009</v>
      </c>
      <c r="G153" t="str">
        <f>"rg:{'id': '"&amp;E153&amp;"'}"</f>
        <v>rg:{'id': '200002'}</v>
      </c>
      <c r="H153" t="s">
        <v>7723</v>
      </c>
      <c r="I153" t="s">
        <v>5637</v>
      </c>
      <c r="J153">
        <f>VLOOKUP(I153&amp;"-"&amp;F153,DistrictEquipmentTypes.csv!J:K,2,FALSE)</f>
        <v>200001</v>
      </c>
      <c r="K153" t="str">
        <f>"rg:{'id': '"&amp;J153&amp;"'}"</f>
        <v>rg:{'id': '200001'}</v>
      </c>
      <c r="L153">
        <f>IF(C153=C152,L152+1,1)</f>
        <v>3</v>
      </c>
      <c r="M153" t="str">
        <f>VLOOKUP(C153,Owners.csv!C:K,9,FALSE)&amp;TEXT(Equipment.csv!L153,"0000")</f>
        <v>HUGH0003</v>
      </c>
      <c r="N153" t="s">
        <v>5401</v>
      </c>
      <c r="O153" t="s">
        <v>6825</v>
      </c>
      <c r="P153">
        <v>2014</v>
      </c>
      <c r="Q153">
        <v>167</v>
      </c>
      <c r="R153" t="s">
        <v>6663</v>
      </c>
      <c r="S153" s="1">
        <v>40734</v>
      </c>
      <c r="T153" s="1">
        <v>40735</v>
      </c>
      <c r="U153" t="str">
        <f ca="1">IF(RANDBETWEEN(1,10)&gt;1,"rg:False","rg:True")</f>
        <v>rg:False</v>
      </c>
      <c r="V153" t="str">
        <f ca="1">IF(U153="rg:True","This equipment should be archived","rg:None")</f>
        <v>rg:None</v>
      </c>
      <c r="W153" t="s">
        <v>7224</v>
      </c>
      <c r="X153" t="s">
        <v>76</v>
      </c>
      <c r="Y153" t="s">
        <v>76</v>
      </c>
      <c r="Z153" t="s">
        <v>76</v>
      </c>
      <c r="AA153" t="s">
        <v>7571</v>
      </c>
      <c r="AB153" t="s">
        <v>7387</v>
      </c>
      <c r="AC153">
        <v>0</v>
      </c>
      <c r="AD153" t="str">
        <f ca="1">IF(RANDBETWEEN(1,20)&gt;1,"rg:False","rg:True")</f>
        <v>rg:True</v>
      </c>
      <c r="AE153" t="str">
        <f ca="1">IF(AD153="rg:True","Seniority overridden to test things","rg:None")</f>
        <v>Seniority overridden to test things</v>
      </c>
      <c r="AF153" s="1">
        <v>42481</v>
      </c>
      <c r="AG153" s="4">
        <f ca="1">IF(I153="Dump Truck",60,30)*AH153+(AVERAGE(AI153:AK153))</f>
        <v>214</v>
      </c>
      <c r="AH153" s="4">
        <f>YEARFRAC(DATE("2016","4","1"),T153)</f>
        <v>4.7222222222222223</v>
      </c>
      <c r="AI153">
        <f ca="1">IF(AH153&lt;1,0,RANDBETWEEN(0,200))</f>
        <v>143</v>
      </c>
      <c r="AJ153">
        <f ca="1">IF(AH153&lt;2,0,RANDBETWEEN(0,200))</f>
        <v>59</v>
      </c>
      <c r="AK153">
        <f ca="1">IF(AH153&lt;3,0,RANDBETWEEN(0,200))</f>
        <v>15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>IF(ISNUMBER(B153),B153+1,200000)</f>
        <v>200152</v>
      </c>
      <c r="C154">
        <v>200041</v>
      </c>
      <c r="D154" t="str">
        <f>"rg:{'id': '"&amp;C154&amp;"'}"</f>
        <v>rg:{'id': '200041'}</v>
      </c>
      <c r="E154">
        <f>VLOOKUP(C154,Owners.csv!C:J,6,FALSE)</f>
        <v>200002</v>
      </c>
      <c r="F154" t="str">
        <f>VLOOKUP(VLOOKUP(E154,LocalAreas.csv!I:K,3,FALSE),ServiceAreas.csv!F:J,5,FALSE)</f>
        <v>200009</v>
      </c>
      <c r="G154" t="str">
        <f>"rg:{'id': '"&amp;E154&amp;"'}"</f>
        <v>rg:{'id': '200002'}</v>
      </c>
      <c r="H154" t="s">
        <v>7761</v>
      </c>
      <c r="I154" t="s">
        <v>5536</v>
      </c>
      <c r="J154">
        <f>VLOOKUP(I154&amp;"-"&amp;F154,DistrictEquipmentTypes.csv!J:K,2,FALSE)</f>
        <v>200000</v>
      </c>
      <c r="K154" t="str">
        <f>"rg:{'id': '"&amp;J154&amp;"'}"</f>
        <v>rg:{'id': '200000'}</v>
      </c>
      <c r="L154">
        <f>IF(C154=C153,L153+1,1)</f>
        <v>4</v>
      </c>
      <c r="M154" t="str">
        <f>VLOOKUP(C154,Owners.csv!C:K,9,FALSE)&amp;TEXT(Equipment.csv!L154,"0000")</f>
        <v>HUGH0004</v>
      </c>
      <c r="N154" t="s">
        <v>5401</v>
      </c>
      <c r="O154" t="s">
        <v>6845</v>
      </c>
      <c r="P154">
        <v>1985</v>
      </c>
      <c r="Q154">
        <v>187</v>
      </c>
      <c r="R154" t="s">
        <v>6663</v>
      </c>
      <c r="S154" s="1">
        <v>40540</v>
      </c>
      <c r="T154" s="1">
        <v>40547</v>
      </c>
      <c r="U154" t="str">
        <f ca="1">IF(RANDBETWEEN(1,10)&gt;1,"rg:False","rg:True")</f>
        <v>rg:False</v>
      </c>
      <c r="V154" t="str">
        <f ca="1">IF(U154="rg:True","This equipment should be archived","rg:None")</f>
        <v>rg:None</v>
      </c>
      <c r="W154" t="s">
        <v>7244</v>
      </c>
      <c r="X154" t="s">
        <v>76</v>
      </c>
      <c r="Y154" t="s">
        <v>76</v>
      </c>
      <c r="Z154" t="s">
        <v>76</v>
      </c>
      <c r="AA154" t="s">
        <v>7591</v>
      </c>
      <c r="AB154" t="s">
        <v>7397</v>
      </c>
      <c r="AC154">
        <v>0</v>
      </c>
      <c r="AD154" t="str">
        <f ca="1">IF(RANDBETWEEN(1,20)&gt;1,"rg:False","rg:True")</f>
        <v>rg:False</v>
      </c>
      <c r="AE154" t="str">
        <f ca="1">IF(AD154="rg:True","Seniority overridden to test things","rg:None")</f>
        <v>rg:None</v>
      </c>
      <c r="AF154" s="1">
        <v>42481</v>
      </c>
      <c r="AG154" s="4">
        <f ca="1">IF(I154="Dump Truck",60,30)*AH154+(AVERAGE(AI154:AK154))</f>
        <v>242.58333333333331</v>
      </c>
      <c r="AH154" s="4">
        <f>YEARFRAC(DATE("2016","4","1"),T154)</f>
        <v>5.2416666666666663</v>
      </c>
      <c r="AI154">
        <f ca="1">IF(AH154&lt;1,0,RANDBETWEEN(0,200))</f>
        <v>152</v>
      </c>
      <c r="AJ154">
        <f ca="1">IF(AH154&lt;2,0,RANDBETWEEN(0,200))</f>
        <v>1</v>
      </c>
      <c r="AK154">
        <f ca="1">IF(AH154&lt;3,0,RANDBETWEEN(0,200))</f>
        <v>103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>IF(ISNUMBER(B154),B154+1,200000)</f>
        <v>200153</v>
      </c>
      <c r="C155">
        <v>200042</v>
      </c>
      <c r="D155" t="str">
        <f>"rg:{'id': '"&amp;C155&amp;"'}"</f>
        <v>rg:{'id': '200042'}</v>
      </c>
      <c r="E155">
        <f>VLOOKUP(C155,Owners.csv!C:J,6,FALSE)</f>
        <v>200002</v>
      </c>
      <c r="F155" t="str">
        <f>VLOOKUP(VLOOKUP(E155,LocalAreas.csv!I:K,3,FALSE),ServiceAreas.csv!F:J,5,FALSE)</f>
        <v>200009</v>
      </c>
      <c r="G155" t="str">
        <f>"rg:{'id': '"&amp;E155&amp;"'}"</f>
        <v>rg:{'id': '200002'}</v>
      </c>
      <c r="H155" t="s">
        <v>7742</v>
      </c>
      <c r="I155" t="s">
        <v>5651</v>
      </c>
      <c r="J155">
        <f>VLOOKUP(I155&amp;"-"&amp;F155,DistrictEquipmentTypes.csv!J:K,2,FALSE)</f>
        <v>200006</v>
      </c>
      <c r="K155" t="str">
        <f>"rg:{'id': '"&amp;J155&amp;"'}"</f>
        <v>rg:{'id': '200006'}</v>
      </c>
      <c r="L155">
        <f>IF(C155=C154,L154+1,1)</f>
        <v>1</v>
      </c>
      <c r="M155" t="str">
        <f>VLOOKUP(C155,Owners.csv!C:K,9,FALSE)&amp;TEXT(Equipment.csv!L155,"0000")</f>
        <v>INDI0001</v>
      </c>
      <c r="N155" t="s">
        <v>5401</v>
      </c>
      <c r="O155" t="s">
        <v>6800</v>
      </c>
      <c r="P155">
        <v>1989</v>
      </c>
      <c r="Q155">
        <v>142</v>
      </c>
      <c r="R155" t="s">
        <v>6663</v>
      </c>
      <c r="S155" s="1">
        <v>42386</v>
      </c>
      <c r="T155" s="1">
        <v>42413</v>
      </c>
      <c r="U155" t="str">
        <f ca="1">IF(RANDBETWEEN(1,10)&gt;1,"rg:False","rg:True")</f>
        <v>rg:False</v>
      </c>
      <c r="V155" t="str">
        <f ca="1">IF(U155="rg:True","This equipment should be archived","rg:None")</f>
        <v>rg:None</v>
      </c>
      <c r="W155" t="s">
        <v>7199</v>
      </c>
      <c r="X155" t="s">
        <v>76</v>
      </c>
      <c r="Y155" t="s">
        <v>76</v>
      </c>
      <c r="Z155" t="s">
        <v>76</v>
      </c>
      <c r="AA155" t="s">
        <v>7546</v>
      </c>
      <c r="AB155" t="s">
        <v>7371</v>
      </c>
      <c r="AC155">
        <v>0</v>
      </c>
      <c r="AD155" t="str">
        <f ca="1">IF(RANDBETWEEN(1,20)&gt;1,"rg:False","rg:True")</f>
        <v>rg:False</v>
      </c>
      <c r="AE155" t="str">
        <f ca="1">IF(AD155="rg:True","Seniority overridden to test things","rg:None")</f>
        <v>rg:None</v>
      </c>
      <c r="AF155" s="1">
        <v>42481</v>
      </c>
      <c r="AG155" s="4">
        <f ca="1">IF(I155="Dump Truck",60,30)*AH155+(AVERAGE(AI155:AK155))</f>
        <v>8</v>
      </c>
      <c r="AH155" s="4">
        <f>YEARFRAC(DATE("2016","4","1"),T155)</f>
        <v>0.13333333333333333</v>
      </c>
      <c r="AI155">
        <f ca="1">IF(AH155&lt;1,0,RANDBETWEEN(0,200))</f>
        <v>0</v>
      </c>
      <c r="AJ155">
        <f ca="1">IF(AH155&lt;2,0,RANDBETWEEN(0,200))</f>
        <v>0</v>
      </c>
      <c r="AK155">
        <f ca="1">IF(AH155&lt;3,0,RANDBETWEEN(0,200))</f>
        <v>0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>IF(ISNUMBER(B155),B155+1,200000)</f>
        <v>200154</v>
      </c>
      <c r="C156">
        <v>200042</v>
      </c>
      <c r="D156" t="str">
        <f>"rg:{'id': '"&amp;C156&amp;"'}"</f>
        <v>rg:{'id': '200042'}</v>
      </c>
      <c r="E156">
        <f>VLOOKUP(C156,Owners.csv!C:J,6,FALSE)</f>
        <v>200002</v>
      </c>
      <c r="F156" t="str">
        <f>VLOOKUP(VLOOKUP(E156,LocalAreas.csv!I:K,3,FALSE),ServiceAreas.csv!F:J,5,FALSE)</f>
        <v>200009</v>
      </c>
      <c r="G156" t="str">
        <f>"rg:{'id': '"&amp;E156&amp;"'}"</f>
        <v>rg:{'id': '200002'}</v>
      </c>
      <c r="H156" t="s">
        <v>7751</v>
      </c>
      <c r="I156" t="s">
        <v>5651</v>
      </c>
      <c r="J156">
        <f>VLOOKUP(I156&amp;"-"&amp;F156,DistrictEquipmentTypes.csv!J:K,2,FALSE)</f>
        <v>200006</v>
      </c>
      <c r="K156" t="str">
        <f>"rg:{'id': '"&amp;J156&amp;"'}"</f>
        <v>rg:{'id': '200006'}</v>
      </c>
      <c r="L156">
        <f>IF(C156=C155,L155+1,1)</f>
        <v>2</v>
      </c>
      <c r="M156" t="str">
        <f>VLOOKUP(C156,Owners.csv!C:K,9,FALSE)&amp;TEXT(Equipment.csv!L156,"0000")</f>
        <v>INDI0002</v>
      </c>
      <c r="N156" t="s">
        <v>5401</v>
      </c>
      <c r="O156" t="s">
        <v>6820</v>
      </c>
      <c r="P156">
        <v>2001</v>
      </c>
      <c r="Q156">
        <v>162</v>
      </c>
      <c r="R156" t="s">
        <v>6663</v>
      </c>
      <c r="S156" s="1">
        <v>40216</v>
      </c>
      <c r="T156" s="1">
        <v>40237</v>
      </c>
      <c r="U156" t="str">
        <f ca="1">IF(RANDBETWEEN(1,10)&gt;1,"rg:False","rg:True")</f>
        <v>rg:False</v>
      </c>
      <c r="V156" t="str">
        <f ca="1">IF(U156="rg:True","This equipment should be archived","rg:None")</f>
        <v>rg:None</v>
      </c>
      <c r="W156" t="s">
        <v>7219</v>
      </c>
      <c r="X156" t="s">
        <v>76</v>
      </c>
      <c r="Y156" t="s">
        <v>76</v>
      </c>
      <c r="Z156" t="s">
        <v>76</v>
      </c>
      <c r="AA156" t="s">
        <v>7566</v>
      </c>
      <c r="AB156" t="s">
        <v>7385</v>
      </c>
      <c r="AC156">
        <v>0</v>
      </c>
      <c r="AD156" t="str">
        <f ca="1">IF(RANDBETWEEN(1,20)&gt;1,"rg:False","rg:True")</f>
        <v>rg:False</v>
      </c>
      <c r="AE156" t="str">
        <f ca="1">IF(AD156="rg:True","Seniority overridden to test things","rg:None")</f>
        <v>rg:None</v>
      </c>
      <c r="AF156" s="1">
        <v>42481</v>
      </c>
      <c r="AG156" s="4">
        <f ca="1">IF(I156="Dump Truck",60,30)*AH156+(AVERAGE(AI156:AK156))</f>
        <v>501.16666666666669</v>
      </c>
      <c r="AH156" s="4">
        <f>YEARFRAC(DATE("2016","4","1"),T156)</f>
        <v>6.0861111111111112</v>
      </c>
      <c r="AI156">
        <f ca="1">IF(AH156&lt;1,0,RANDBETWEEN(0,200))</f>
        <v>188</v>
      </c>
      <c r="AJ156">
        <f ca="1">IF(AH156&lt;2,0,RANDBETWEEN(0,200))</f>
        <v>70</v>
      </c>
      <c r="AK156">
        <f ca="1">IF(AH156&lt;3,0,RANDBETWEEN(0,200))</f>
        <v>150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>IF(ISNUMBER(B156),B156+1,200000)</f>
        <v>200155</v>
      </c>
      <c r="C157">
        <v>200042</v>
      </c>
      <c r="D157" t="str">
        <f>"rg:{'id': '"&amp;C157&amp;"'}"</f>
        <v>rg:{'id': '200042'}</v>
      </c>
      <c r="E157">
        <f>VLOOKUP(C157,Owners.csv!C:J,6,FALSE)</f>
        <v>200002</v>
      </c>
      <c r="F157" t="str">
        <f>VLOOKUP(VLOOKUP(E157,LocalAreas.csv!I:K,3,FALSE),ServiceAreas.csv!F:J,5,FALSE)</f>
        <v>200009</v>
      </c>
      <c r="G157" t="str">
        <f>"rg:{'id': '"&amp;E157&amp;"'}"</f>
        <v>rg:{'id': '200002'}</v>
      </c>
      <c r="H157" t="s">
        <v>7752</v>
      </c>
      <c r="I157" t="s">
        <v>5637</v>
      </c>
      <c r="J157">
        <f>VLOOKUP(I157&amp;"-"&amp;F157,DistrictEquipmentTypes.csv!J:K,2,FALSE)</f>
        <v>200001</v>
      </c>
      <c r="K157" t="str">
        <f>"rg:{'id': '"&amp;J157&amp;"'}"</f>
        <v>rg:{'id': '200001'}</v>
      </c>
      <c r="L157">
        <f>IF(C157=C156,L156+1,1)</f>
        <v>3</v>
      </c>
      <c r="M157" t="str">
        <f>VLOOKUP(C157,Owners.csv!C:K,9,FALSE)&amp;TEXT(Equipment.csv!L157,"0000")</f>
        <v>INDI0003</v>
      </c>
      <c r="N157" t="s">
        <v>5401</v>
      </c>
      <c r="O157" t="s">
        <v>6826</v>
      </c>
      <c r="P157">
        <v>1997</v>
      </c>
      <c r="Q157">
        <v>168</v>
      </c>
      <c r="R157" t="s">
        <v>6663</v>
      </c>
      <c r="S157" s="1">
        <v>40265</v>
      </c>
      <c r="T157" s="1">
        <v>40290</v>
      </c>
      <c r="U157" t="str">
        <f ca="1">IF(RANDBETWEEN(1,10)&gt;1,"rg:False","rg:True")</f>
        <v>rg:False</v>
      </c>
      <c r="V157" t="str">
        <f ca="1">IF(U157="rg:True","This equipment should be archived","rg:None")</f>
        <v>rg:None</v>
      </c>
      <c r="W157" t="s">
        <v>7225</v>
      </c>
      <c r="X157" t="s">
        <v>76</v>
      </c>
      <c r="Y157" t="s">
        <v>76</v>
      </c>
      <c r="Z157" t="s">
        <v>76</v>
      </c>
      <c r="AA157" t="s">
        <v>7572</v>
      </c>
      <c r="AB157" t="s">
        <v>7388</v>
      </c>
      <c r="AC157">
        <v>0</v>
      </c>
      <c r="AD157" t="str">
        <f ca="1">IF(RANDBETWEEN(1,20)&gt;1,"rg:False","rg:True")</f>
        <v>rg:False</v>
      </c>
      <c r="AE157" t="str">
        <f ca="1">IF(AD157="rg:True","Seniority overridden to test things","rg:None")</f>
        <v>rg:None</v>
      </c>
      <c r="AF157" s="1">
        <v>42481</v>
      </c>
      <c r="AG157" s="4">
        <f ca="1">IF(I157="Dump Truck",60,30)*AH157+(AVERAGE(AI157:AK157))</f>
        <v>257.91666666666669</v>
      </c>
      <c r="AH157" s="4">
        <f>YEARFRAC(DATE("2016","4","1"),T157)</f>
        <v>5.9416666666666664</v>
      </c>
      <c r="AI157">
        <f ca="1">IF(AH157&lt;1,0,RANDBETWEEN(0,200))</f>
        <v>126</v>
      </c>
      <c r="AJ157">
        <f ca="1">IF(AH157&lt;2,0,RANDBETWEEN(0,200))</f>
        <v>92</v>
      </c>
      <c r="AK157">
        <f ca="1">IF(AH157&lt;3,0,RANDBETWEEN(0,200))</f>
        <v>21</v>
      </c>
      <c r="AL157" t="s">
        <v>5689</v>
      </c>
      <c r="AM157" t="s">
        <v>6883</v>
      </c>
      <c r="AN157" s="1">
        <v>42483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>IF(ISNUMBER(B157),B157+1,200000)</f>
        <v>200156</v>
      </c>
      <c r="C158">
        <v>200042</v>
      </c>
      <c r="D158" t="str">
        <f>"rg:{'id': '"&amp;C158&amp;"'}"</f>
        <v>rg:{'id': '200042'}</v>
      </c>
      <c r="E158">
        <f>VLOOKUP(C158,Owners.csv!C:J,6,FALSE)</f>
        <v>200002</v>
      </c>
      <c r="F158" t="str">
        <f>VLOOKUP(VLOOKUP(E158,LocalAreas.csv!I:K,3,FALSE),ServiceAreas.csv!F:J,5,FALSE)</f>
        <v>200009</v>
      </c>
      <c r="G158" t="str">
        <f>"rg:{'id': '"&amp;E158&amp;"'}"</f>
        <v>rg:{'id': '200002'}</v>
      </c>
      <c r="H158" t="s">
        <v>7762</v>
      </c>
      <c r="I158" t="s">
        <v>5536</v>
      </c>
      <c r="J158">
        <f>VLOOKUP(I158&amp;"-"&amp;F158,DistrictEquipmentTypes.csv!J:K,2,FALSE)</f>
        <v>200000</v>
      </c>
      <c r="K158" t="str">
        <f>"rg:{'id': '"&amp;J158&amp;"'}"</f>
        <v>rg:{'id': '200000'}</v>
      </c>
      <c r="L158">
        <f>IF(C158=C157,L157+1,1)</f>
        <v>4</v>
      </c>
      <c r="M158" t="str">
        <f>VLOOKUP(C158,Owners.csv!C:K,9,FALSE)&amp;TEXT(Equipment.csv!L158,"0000")</f>
        <v>INDI0004</v>
      </c>
      <c r="N158" t="s">
        <v>5401</v>
      </c>
      <c r="O158" t="s">
        <v>6846</v>
      </c>
      <c r="P158">
        <v>1975</v>
      </c>
      <c r="Q158">
        <v>188</v>
      </c>
      <c r="R158" t="s">
        <v>6663</v>
      </c>
      <c r="S158" s="1">
        <v>40453</v>
      </c>
      <c r="T158" s="1">
        <v>40481</v>
      </c>
      <c r="U158" t="str">
        <f ca="1">IF(RANDBETWEEN(1,10)&gt;1,"rg:False","rg:True")</f>
        <v>rg:False</v>
      </c>
      <c r="V158" t="str">
        <f ca="1">IF(U158="rg:True","This equipment should be archived","rg:None")</f>
        <v>rg:None</v>
      </c>
      <c r="W158" t="s">
        <v>7245</v>
      </c>
      <c r="X158" t="s">
        <v>76</v>
      </c>
      <c r="Y158" t="s">
        <v>76</v>
      </c>
      <c r="Z158" t="s">
        <v>76</v>
      </c>
      <c r="AA158" t="s">
        <v>7592</v>
      </c>
      <c r="AB158" t="s">
        <v>7320</v>
      </c>
      <c r="AC158">
        <v>0</v>
      </c>
      <c r="AD158" t="str">
        <f ca="1">IF(RANDBETWEEN(1,20)&gt;1,"rg:False","rg:True")</f>
        <v>rg:False</v>
      </c>
      <c r="AE158" t="str">
        <f ca="1">IF(AD158="rg:True","Seniority overridden to test things","rg:None")</f>
        <v>rg:None</v>
      </c>
      <c r="AF158" s="1">
        <v>42481</v>
      </c>
      <c r="AG158" s="4">
        <f ca="1">IF(I158="Dump Truck",60,30)*AH158+(AVERAGE(AI158:AK158))</f>
        <v>259.58333333333331</v>
      </c>
      <c r="AH158" s="4">
        <f>YEARFRAC(DATE("2016","4","1"),T158)</f>
        <v>5.4194444444444443</v>
      </c>
      <c r="AI158">
        <f ca="1">IF(AH158&lt;1,0,RANDBETWEEN(0,200))</f>
        <v>27</v>
      </c>
      <c r="AJ158">
        <f ca="1">IF(AH158&lt;2,0,RANDBETWEEN(0,200))</f>
        <v>75</v>
      </c>
      <c r="AK158">
        <f ca="1">IF(AH158&lt;3,0,RANDBETWEEN(0,200))</f>
        <v>189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>IF(ISNUMBER(B158),B158+1,200000)</f>
        <v>200157</v>
      </c>
      <c r="C159">
        <v>200043</v>
      </c>
      <c r="D159" t="str">
        <f>"rg:{'id': '"&amp;C159&amp;"'}"</f>
        <v>rg:{'id': '200043'}</v>
      </c>
      <c r="E159">
        <f>VLOOKUP(C159,Owners.csv!C:J,6,FALSE)</f>
        <v>200002</v>
      </c>
      <c r="F159" t="str">
        <f>VLOOKUP(VLOOKUP(E159,LocalAreas.csv!I:K,3,FALSE),ServiceAreas.csv!F:J,5,FALSE)</f>
        <v>200009</v>
      </c>
      <c r="G159" t="str">
        <f>"rg:{'id': '"&amp;E159&amp;"'}"</f>
        <v>rg:{'id': '200002'}</v>
      </c>
      <c r="H159" t="s">
        <v>7743</v>
      </c>
      <c r="I159" t="s">
        <v>5651</v>
      </c>
      <c r="J159">
        <f>VLOOKUP(I159&amp;"-"&amp;F159,DistrictEquipmentTypes.csv!J:K,2,FALSE)</f>
        <v>200006</v>
      </c>
      <c r="K159" t="str">
        <f>"rg:{'id': '"&amp;J159&amp;"'}"</f>
        <v>rg:{'id': '200006'}</v>
      </c>
      <c r="L159">
        <f>IF(C159=C158,L158+1,1)</f>
        <v>1</v>
      </c>
      <c r="M159" t="str">
        <f>VLOOKUP(C159,Owners.csv!C:K,9,FALSE)&amp;TEXT(Equipment.csv!L159,"0000")</f>
        <v>JBRA0001</v>
      </c>
      <c r="N159" t="s">
        <v>5401</v>
      </c>
      <c r="O159" t="s">
        <v>6801</v>
      </c>
      <c r="P159">
        <v>1986</v>
      </c>
      <c r="Q159">
        <v>143</v>
      </c>
      <c r="R159" t="s">
        <v>6663</v>
      </c>
      <c r="S159" s="1">
        <v>39864</v>
      </c>
      <c r="T159" s="1">
        <v>39877</v>
      </c>
      <c r="U159" t="str">
        <f ca="1">IF(RANDBETWEEN(1,10)&gt;1,"rg:False","rg:True")</f>
        <v>rg:False</v>
      </c>
      <c r="V159" t="str">
        <f ca="1">IF(U159="rg:True","This equipment should be archived","rg:None")</f>
        <v>rg:None</v>
      </c>
      <c r="W159" t="s">
        <v>7200</v>
      </c>
      <c r="X159" t="s">
        <v>76</v>
      </c>
      <c r="Y159" t="s">
        <v>76</v>
      </c>
      <c r="Z159" t="s">
        <v>76</v>
      </c>
      <c r="AA159" t="s">
        <v>7547</v>
      </c>
      <c r="AB159" t="s">
        <v>7359</v>
      </c>
      <c r="AC159">
        <v>0</v>
      </c>
      <c r="AD159" t="str">
        <f ca="1">IF(RANDBETWEEN(1,20)&gt;1,"rg:False","rg:True")</f>
        <v>rg:False</v>
      </c>
      <c r="AE159" t="str">
        <f ca="1">IF(AD159="rg:True","Seniority overridden to test things","rg:None")</f>
        <v>rg:None</v>
      </c>
      <c r="AF159" s="1">
        <v>42481</v>
      </c>
      <c r="AG159" s="4">
        <f ca="1">IF(I159="Dump Truck",60,30)*AH159+(AVERAGE(AI159:AK159))</f>
        <v>511.66666666666663</v>
      </c>
      <c r="AH159" s="4">
        <f>YEARFRAC(DATE("2016","4","1"),T159)</f>
        <v>7.072222222222222</v>
      </c>
      <c r="AI159">
        <f ca="1">IF(AH159&lt;1,0,RANDBETWEEN(0,200))</f>
        <v>75</v>
      </c>
      <c r="AJ159">
        <f ca="1">IF(AH159&lt;2,0,RANDBETWEEN(0,200))</f>
        <v>96</v>
      </c>
      <c r="AK159">
        <f ca="1">IF(AH159&lt;3,0,RANDBETWEEN(0,200))</f>
        <v>91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>IF(ISNUMBER(B159),B159+1,200000)</f>
        <v>200158</v>
      </c>
      <c r="C160">
        <v>200043</v>
      </c>
      <c r="D160" t="str">
        <f>"rg:{'id': '"&amp;C160&amp;"'}"</f>
        <v>rg:{'id': '200043'}</v>
      </c>
      <c r="E160">
        <f>VLOOKUP(C160,Owners.csv!C:J,6,FALSE)</f>
        <v>200002</v>
      </c>
      <c r="F160" t="str">
        <f>VLOOKUP(VLOOKUP(E160,LocalAreas.csv!I:K,3,FALSE),ServiceAreas.csv!F:J,5,FALSE)</f>
        <v>200009</v>
      </c>
      <c r="G160" t="str">
        <f>"rg:{'id': '"&amp;E160&amp;"'}"</f>
        <v>rg:{'id': '200002'}</v>
      </c>
      <c r="H160" t="s">
        <v>7736</v>
      </c>
      <c r="I160" t="s">
        <v>5651</v>
      </c>
      <c r="J160">
        <f>VLOOKUP(I160&amp;"-"&amp;F160,DistrictEquipmentTypes.csv!J:K,2,FALSE)</f>
        <v>200006</v>
      </c>
      <c r="K160" t="str">
        <f>"rg:{'id': '"&amp;J160&amp;"'}"</f>
        <v>rg:{'id': '200006'}</v>
      </c>
      <c r="L160">
        <f>IF(C160=C159,L159+1,1)</f>
        <v>2</v>
      </c>
      <c r="M160" t="str">
        <f>VLOOKUP(C160,Owners.csv!C:K,9,FALSE)&amp;TEXT(Equipment.csv!L160,"0000")</f>
        <v>JBRA0002</v>
      </c>
      <c r="N160" t="s">
        <v>5401</v>
      </c>
      <c r="O160" t="s">
        <v>6821</v>
      </c>
      <c r="P160">
        <v>2001</v>
      </c>
      <c r="Q160">
        <v>163</v>
      </c>
      <c r="R160" t="s">
        <v>6663</v>
      </c>
      <c r="S160" s="1">
        <v>41394</v>
      </c>
      <c r="T160" s="1">
        <v>41395</v>
      </c>
      <c r="U160" t="str">
        <f ca="1">IF(RANDBETWEEN(1,10)&gt;1,"rg:False","rg:True")</f>
        <v>rg:False</v>
      </c>
      <c r="V160" t="str">
        <f ca="1">IF(U160="rg:True","This equipment should be archived","rg:None")</f>
        <v>rg:None</v>
      </c>
      <c r="W160" t="s">
        <v>7220</v>
      </c>
      <c r="X160" t="s">
        <v>76</v>
      </c>
      <c r="Y160" t="s">
        <v>76</v>
      </c>
      <c r="Z160" t="s">
        <v>76</v>
      </c>
      <c r="AA160" t="s">
        <v>7567</v>
      </c>
      <c r="AB160" t="s">
        <v>7313</v>
      </c>
      <c r="AC160">
        <v>0</v>
      </c>
      <c r="AD160" t="str">
        <f ca="1">IF(RANDBETWEEN(1,20)&gt;1,"rg:False","rg:True")</f>
        <v>rg:False</v>
      </c>
      <c r="AE160" t="str">
        <f ca="1">IF(AD160="rg:True","Seniority overridden to test things","rg:None")</f>
        <v>rg:None</v>
      </c>
      <c r="AF160" s="1">
        <v>42481</v>
      </c>
      <c r="AG160" s="4">
        <f ca="1">IF(I160="Dump Truck",60,30)*AH160+(AVERAGE(AI160:AK160))</f>
        <v>241</v>
      </c>
      <c r="AH160" s="4">
        <f>YEARFRAC(DATE("2016","4","1"),T160)</f>
        <v>2.9166666666666665</v>
      </c>
      <c r="AI160">
        <f ca="1">IF(AH160&lt;1,0,RANDBETWEEN(0,200))</f>
        <v>149</v>
      </c>
      <c r="AJ160">
        <f ca="1">IF(AH160&lt;2,0,RANDBETWEEN(0,200))</f>
        <v>49</v>
      </c>
      <c r="AK160">
        <f ca="1">IF(AH160&lt;3,0,RANDBETWEEN(0,200))</f>
        <v>0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>IF(ISNUMBER(B160),B160+1,200000)</f>
        <v>200159</v>
      </c>
      <c r="C161">
        <v>200043</v>
      </c>
      <c r="D161" t="str">
        <f>"rg:{'id': '"&amp;C161&amp;"'}"</f>
        <v>rg:{'id': '200043'}</v>
      </c>
      <c r="E161">
        <f>VLOOKUP(C161,Owners.csv!C:J,6,FALSE)</f>
        <v>200002</v>
      </c>
      <c r="F161" t="str">
        <f>VLOOKUP(VLOOKUP(E161,LocalAreas.csv!I:K,3,FALSE),ServiceAreas.csv!F:J,5,FALSE)</f>
        <v>200009</v>
      </c>
      <c r="G161" t="str">
        <f>"rg:{'id': '"&amp;E161&amp;"'}"</f>
        <v>rg:{'id': '200002'}</v>
      </c>
      <c r="H161" t="s">
        <v>7723</v>
      </c>
      <c r="I161" t="s">
        <v>5637</v>
      </c>
      <c r="J161">
        <f>VLOOKUP(I161&amp;"-"&amp;F161,DistrictEquipmentTypes.csv!J:K,2,FALSE)</f>
        <v>200001</v>
      </c>
      <c r="K161" t="str">
        <f>"rg:{'id': '"&amp;J161&amp;"'}"</f>
        <v>rg:{'id': '200001'}</v>
      </c>
      <c r="L161">
        <f>IF(C161=C160,L160+1,1)</f>
        <v>3</v>
      </c>
      <c r="M161" t="str">
        <f>VLOOKUP(C161,Owners.csv!C:K,9,FALSE)&amp;TEXT(Equipment.csv!L161,"0000")</f>
        <v>JBRA0003</v>
      </c>
      <c r="N161" t="s">
        <v>5401</v>
      </c>
      <c r="O161" t="s">
        <v>6827</v>
      </c>
      <c r="P161">
        <v>1973</v>
      </c>
      <c r="Q161">
        <v>169</v>
      </c>
      <c r="R161" t="s">
        <v>6663</v>
      </c>
      <c r="S161" s="1">
        <v>38181</v>
      </c>
      <c r="T161" s="1">
        <v>38198</v>
      </c>
      <c r="U161" t="str">
        <f ca="1">IF(RANDBETWEEN(1,10)&gt;1,"rg:False","rg:True")</f>
        <v>rg:False</v>
      </c>
      <c r="V161" t="str">
        <f ca="1">IF(U161="rg:True","This equipment should be archived","rg:None")</f>
        <v>rg:None</v>
      </c>
      <c r="W161" t="s">
        <v>7226</v>
      </c>
      <c r="X161" t="s">
        <v>76</v>
      </c>
      <c r="Y161" t="s">
        <v>76</v>
      </c>
      <c r="Z161" t="s">
        <v>76</v>
      </c>
      <c r="AA161" t="s">
        <v>7573</v>
      </c>
      <c r="AB161" t="s">
        <v>7371</v>
      </c>
      <c r="AC161">
        <v>0</v>
      </c>
      <c r="AD161" t="str">
        <f ca="1">IF(RANDBETWEEN(1,20)&gt;1,"rg:False","rg:True")</f>
        <v>rg:False</v>
      </c>
      <c r="AE161" t="str">
        <f ca="1">IF(AD161="rg:True","Seniority overridden to test things","rg:None")</f>
        <v>rg:None</v>
      </c>
      <c r="AF161" s="1">
        <v>42481</v>
      </c>
      <c r="AG161" s="4">
        <f ca="1">IF(I161="Dump Truck",60,30)*AH161+(AVERAGE(AI161:AK161))</f>
        <v>533.08333333333326</v>
      </c>
      <c r="AH161" s="4">
        <f>YEARFRAC(DATE("2016","4","1"),T161)</f>
        <v>11.669444444444444</v>
      </c>
      <c r="AI161">
        <f ca="1">IF(AH161&lt;1,0,RANDBETWEEN(0,200))</f>
        <v>186</v>
      </c>
      <c r="AJ161">
        <f ca="1">IF(AH161&lt;2,0,RANDBETWEEN(0,200))</f>
        <v>197</v>
      </c>
      <c r="AK161">
        <f ca="1">IF(AH161&lt;3,0,RANDBETWEEN(0,200))</f>
        <v>166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>IF(ISNUMBER(B161),B161+1,200000)</f>
        <v>200160</v>
      </c>
      <c r="C162">
        <v>200043</v>
      </c>
      <c r="D162" t="str">
        <f>"rg:{'id': '"&amp;C162&amp;"'}"</f>
        <v>rg:{'id': '200043'}</v>
      </c>
      <c r="E162">
        <f>VLOOKUP(C162,Owners.csv!C:J,6,FALSE)</f>
        <v>200002</v>
      </c>
      <c r="F162" t="str">
        <f>VLOOKUP(VLOOKUP(E162,LocalAreas.csv!I:K,3,FALSE),ServiceAreas.csv!F:J,5,FALSE)</f>
        <v>200009</v>
      </c>
      <c r="G162" t="str">
        <f>"rg:{'id': '"&amp;E162&amp;"'}"</f>
        <v>rg:{'id': '200002'}</v>
      </c>
      <c r="H162" t="s">
        <v>7657</v>
      </c>
      <c r="I162" t="s">
        <v>5536</v>
      </c>
      <c r="J162">
        <f>VLOOKUP(I162&amp;"-"&amp;F162,DistrictEquipmentTypes.csv!J:K,2,FALSE)</f>
        <v>200000</v>
      </c>
      <c r="K162" t="str">
        <f>"rg:{'id': '"&amp;J162&amp;"'}"</f>
        <v>rg:{'id': '200000'}</v>
      </c>
      <c r="L162">
        <f>IF(C162=C161,L161+1,1)</f>
        <v>4</v>
      </c>
      <c r="M162" t="str">
        <f>VLOOKUP(C162,Owners.csv!C:K,9,FALSE)&amp;TEXT(Equipment.csv!L162,"0000")</f>
        <v>JBRA0004</v>
      </c>
      <c r="N162" t="s">
        <v>5401</v>
      </c>
      <c r="O162" t="s">
        <v>6847</v>
      </c>
      <c r="P162">
        <v>1997</v>
      </c>
      <c r="Q162">
        <v>189</v>
      </c>
      <c r="R162" t="s">
        <v>6663</v>
      </c>
      <c r="S162" s="1">
        <v>42116</v>
      </c>
      <c r="T162" s="1">
        <v>42144</v>
      </c>
      <c r="U162" t="str">
        <f ca="1">IF(RANDBETWEEN(1,10)&gt;1,"rg:False","rg:True")</f>
        <v>rg:True</v>
      </c>
      <c r="V162" t="str">
        <f ca="1">IF(U162="rg:True","This equipment should be archived","rg:None")</f>
        <v>This equipment should be archived</v>
      </c>
      <c r="W162" t="s">
        <v>7246</v>
      </c>
      <c r="X162" t="s">
        <v>76</v>
      </c>
      <c r="Y162" t="s">
        <v>76</v>
      </c>
      <c r="Z162" t="s">
        <v>76</v>
      </c>
      <c r="AA162" t="s">
        <v>7593</v>
      </c>
      <c r="AB162" t="s">
        <v>7398</v>
      </c>
      <c r="AC162">
        <v>0</v>
      </c>
      <c r="AD162" t="str">
        <f ca="1">IF(RANDBETWEEN(1,20)&gt;1,"rg:False","rg:True")</f>
        <v>rg:False</v>
      </c>
      <c r="AE162" t="str">
        <f ca="1">IF(AD162="rg:True","Seniority overridden to test things","rg:None")</f>
        <v>rg:None</v>
      </c>
      <c r="AF162" s="1">
        <v>42481</v>
      </c>
      <c r="AG162" s="4">
        <f ca="1">IF(I162="Dump Truck",60,30)*AH162+(AVERAGE(AI162:AK162))</f>
        <v>25.916666666666668</v>
      </c>
      <c r="AH162" s="4">
        <f>YEARFRAC(DATE("2016","4","1"),T162)</f>
        <v>0.86388888888888893</v>
      </c>
      <c r="AI162">
        <f ca="1">IF(AH162&lt;1,0,RANDBETWEEN(0,200))</f>
        <v>0</v>
      </c>
      <c r="AJ162">
        <f ca="1">IF(AH162&lt;2,0,RANDBETWEEN(0,200))</f>
        <v>0</v>
      </c>
      <c r="AK162">
        <f ca="1">IF(AH162&lt;3,0,RANDBETWEEN(0,200))</f>
        <v>0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>IF(ISNUMBER(B162),B162+1,200000)</f>
        <v>200161</v>
      </c>
      <c r="C163">
        <v>200044</v>
      </c>
      <c r="D163" t="str">
        <f>"rg:{'id': '"&amp;C163&amp;"'}"</f>
        <v>rg:{'id': '200044'}</v>
      </c>
      <c r="E163">
        <f>VLOOKUP(C163,Owners.csv!C:J,6,FALSE)</f>
        <v>200002</v>
      </c>
      <c r="F163" t="str">
        <f>VLOOKUP(VLOOKUP(E163,LocalAreas.csv!I:K,3,FALSE),ServiceAreas.csv!F:J,5,FALSE)</f>
        <v>200009</v>
      </c>
      <c r="G163" t="str">
        <f>"rg:{'id': '"&amp;E163&amp;"'}"</f>
        <v>rg:{'id': '200002'}</v>
      </c>
      <c r="H163" t="s">
        <v>7650</v>
      </c>
      <c r="I163" t="s">
        <v>5651</v>
      </c>
      <c r="J163">
        <f>VLOOKUP(I163&amp;"-"&amp;F163,DistrictEquipmentTypes.csv!J:K,2,FALSE)</f>
        <v>200006</v>
      </c>
      <c r="K163" t="str">
        <f>"rg:{'id': '"&amp;J163&amp;"'}"</f>
        <v>rg:{'id': '200006'}</v>
      </c>
      <c r="L163">
        <f>IF(C163=C162,L162+1,1)</f>
        <v>1</v>
      </c>
      <c r="M163" t="str">
        <f>VLOOKUP(C163,Owners.csv!C:K,9,FALSE)&amp;TEXT(Equipment.csv!L163,"0000")</f>
        <v>JEAN0001</v>
      </c>
      <c r="N163" t="s">
        <v>5401</v>
      </c>
      <c r="O163" t="s">
        <v>6802</v>
      </c>
      <c r="P163">
        <v>2003</v>
      </c>
      <c r="Q163">
        <v>144</v>
      </c>
      <c r="R163" t="s">
        <v>6663</v>
      </c>
      <c r="S163" s="1">
        <v>41573</v>
      </c>
      <c r="T163" s="1">
        <v>41591</v>
      </c>
      <c r="U163" t="str">
        <f ca="1">IF(RANDBETWEEN(1,10)&gt;1,"rg:False","rg:True")</f>
        <v>rg:False</v>
      </c>
      <c r="V163" t="str">
        <f ca="1">IF(U163="rg:True","This equipment should be archived","rg:None")</f>
        <v>rg:None</v>
      </c>
      <c r="W163" t="s">
        <v>7201</v>
      </c>
      <c r="X163" t="s">
        <v>76</v>
      </c>
      <c r="Y163" t="s">
        <v>76</v>
      </c>
      <c r="Z163" t="s">
        <v>76</v>
      </c>
      <c r="AA163" t="s">
        <v>7548</v>
      </c>
      <c r="AB163" t="s">
        <v>7372</v>
      </c>
      <c r="AC163">
        <v>0</v>
      </c>
      <c r="AD163" t="str">
        <f ca="1">IF(RANDBETWEEN(1,20)&gt;1,"rg:False","rg:True")</f>
        <v>rg:False</v>
      </c>
      <c r="AE163" t="str">
        <f ca="1">IF(AD163="rg:True","Seniority overridden to test things","rg:None")</f>
        <v>rg:None</v>
      </c>
      <c r="AF163" s="1">
        <v>42481</v>
      </c>
      <c r="AG163" s="4">
        <f ca="1">IF(I163="Dump Truck",60,30)*AH163+(AVERAGE(AI163:AK163))</f>
        <v>178</v>
      </c>
      <c r="AH163" s="4">
        <f>YEARFRAC(DATE("2016","4","1"),T163)</f>
        <v>2.3833333333333333</v>
      </c>
      <c r="AI163">
        <f ca="1">IF(AH163&lt;1,0,RANDBETWEEN(0,200))</f>
        <v>4</v>
      </c>
      <c r="AJ163">
        <f ca="1">IF(AH163&lt;2,0,RANDBETWEEN(0,200))</f>
        <v>101</v>
      </c>
      <c r="AK163">
        <f ca="1">IF(AH163&lt;3,0,RANDBETWEEN(0,200))</f>
        <v>0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>IF(ISNUMBER(B163),B163+1,200000)</f>
        <v>200162</v>
      </c>
      <c r="C164">
        <v>200044</v>
      </c>
      <c r="D164" t="str">
        <f>"rg:{'id': '"&amp;C164&amp;"'}"</f>
        <v>rg:{'id': '200044'}</v>
      </c>
      <c r="E164">
        <f>VLOOKUP(C164,Owners.csv!C:J,6,FALSE)</f>
        <v>200002</v>
      </c>
      <c r="F164" t="str">
        <f>VLOOKUP(VLOOKUP(E164,LocalAreas.csv!I:K,3,FALSE),ServiceAreas.csv!F:J,5,FALSE)</f>
        <v>200009</v>
      </c>
      <c r="G164" t="str">
        <f>"rg:{'id': '"&amp;E164&amp;"'}"</f>
        <v>rg:{'id': '200002'}</v>
      </c>
      <c r="H164" t="s">
        <v>7678</v>
      </c>
      <c r="I164" t="s">
        <v>5637</v>
      </c>
      <c r="J164">
        <f>VLOOKUP(I164&amp;"-"&amp;F164,DistrictEquipmentTypes.csv!J:K,2,FALSE)</f>
        <v>200001</v>
      </c>
      <c r="K164" t="str">
        <f>"rg:{'id': '"&amp;J164&amp;"'}"</f>
        <v>rg:{'id': '200001'}</v>
      </c>
      <c r="L164">
        <f>IF(C164=C163,L163+1,1)</f>
        <v>2</v>
      </c>
      <c r="M164" t="str">
        <f>VLOOKUP(C164,Owners.csv!C:K,9,FALSE)&amp;TEXT(Equipment.csv!L164,"0000")</f>
        <v>JEAN0002</v>
      </c>
      <c r="N164" t="s">
        <v>5401</v>
      </c>
      <c r="O164" t="s">
        <v>6828</v>
      </c>
      <c r="P164">
        <v>2007</v>
      </c>
      <c r="Q164">
        <v>170</v>
      </c>
      <c r="R164" t="s">
        <v>6663</v>
      </c>
      <c r="S164" s="1">
        <v>40054</v>
      </c>
      <c r="T164" s="1">
        <v>40077</v>
      </c>
      <c r="U164" t="str">
        <f ca="1">IF(RANDBETWEEN(1,10)&gt;1,"rg:False","rg:True")</f>
        <v>rg:False</v>
      </c>
      <c r="V164" t="str">
        <f ca="1">IF(U164="rg:True","This equipment should be archived","rg:None")</f>
        <v>rg:None</v>
      </c>
      <c r="W164" t="s">
        <v>7227</v>
      </c>
      <c r="X164" t="s">
        <v>76</v>
      </c>
      <c r="Y164" t="s">
        <v>76</v>
      </c>
      <c r="Z164" t="s">
        <v>76</v>
      </c>
      <c r="AA164" t="s">
        <v>7574</v>
      </c>
      <c r="AB164" t="s">
        <v>7338</v>
      </c>
      <c r="AC164">
        <v>0</v>
      </c>
      <c r="AD164" t="str">
        <f ca="1">IF(RANDBETWEEN(1,20)&gt;1,"rg:False","rg:True")</f>
        <v>rg:False</v>
      </c>
      <c r="AE164" t="str">
        <f ca="1">IF(AD164="rg:True","Seniority overridden to test things","rg:None")</f>
        <v>rg:None</v>
      </c>
      <c r="AF164" s="1">
        <v>42481</v>
      </c>
      <c r="AG164" s="4">
        <f ca="1">IF(I164="Dump Truck",60,30)*AH164+(AVERAGE(AI164:AK164))</f>
        <v>290.83333333333337</v>
      </c>
      <c r="AH164" s="4">
        <f>YEARFRAC(DATE("2016","4","1"),T164)</f>
        <v>6.5277777777777777</v>
      </c>
      <c r="AI164">
        <f ca="1">IF(AH164&lt;1,0,RANDBETWEEN(0,200))</f>
        <v>144</v>
      </c>
      <c r="AJ164">
        <f ca="1">IF(AH164&lt;2,0,RANDBETWEEN(0,200))</f>
        <v>106</v>
      </c>
      <c r="AK164">
        <f ca="1">IF(AH164&lt;3,0,RANDBETWEEN(0,200))</f>
        <v>35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>IF(ISNUMBER(B164),B164+1,200000)</f>
        <v>200163</v>
      </c>
      <c r="C165">
        <v>200044</v>
      </c>
      <c r="D165" t="str">
        <f>"rg:{'id': '"&amp;C165&amp;"'}"</f>
        <v>rg:{'id': '200044'}</v>
      </c>
      <c r="E165">
        <f>VLOOKUP(C165,Owners.csv!C:J,6,FALSE)</f>
        <v>200002</v>
      </c>
      <c r="F165" t="str">
        <f>VLOOKUP(VLOOKUP(E165,LocalAreas.csv!I:K,3,FALSE),ServiceAreas.csv!F:J,5,FALSE)</f>
        <v>200009</v>
      </c>
      <c r="G165" t="str">
        <f>"rg:{'id': '"&amp;E165&amp;"'}"</f>
        <v>rg:{'id': '200002'}</v>
      </c>
      <c r="H165" t="s">
        <v>7706</v>
      </c>
      <c r="I165" t="s">
        <v>5536</v>
      </c>
      <c r="J165">
        <f>VLOOKUP(I165&amp;"-"&amp;F165,DistrictEquipmentTypes.csv!J:K,2,FALSE)</f>
        <v>200000</v>
      </c>
      <c r="K165" t="str">
        <f>"rg:{'id': '"&amp;J165&amp;"'}"</f>
        <v>rg:{'id': '200000'}</v>
      </c>
      <c r="L165">
        <f>IF(C165=C164,L164+1,1)</f>
        <v>3</v>
      </c>
      <c r="M165" t="str">
        <f>VLOOKUP(C165,Owners.csv!C:K,9,FALSE)&amp;TEXT(Equipment.csv!L165,"0000")</f>
        <v>JEAN0003</v>
      </c>
      <c r="N165" t="s">
        <v>5401</v>
      </c>
      <c r="O165" t="s">
        <v>6848</v>
      </c>
      <c r="P165">
        <v>2017</v>
      </c>
      <c r="Q165">
        <v>190</v>
      </c>
      <c r="R165" t="s">
        <v>6663</v>
      </c>
      <c r="S165" s="1">
        <v>37871</v>
      </c>
      <c r="T165" s="1">
        <v>37883</v>
      </c>
      <c r="U165" t="str">
        <f ca="1">IF(RANDBETWEEN(1,10)&gt;1,"rg:False","rg:True")</f>
        <v>rg:False</v>
      </c>
      <c r="V165" t="str">
        <f ca="1">IF(U165="rg:True","This equipment should be archived","rg:None")</f>
        <v>rg:None</v>
      </c>
      <c r="W165" t="s">
        <v>7247</v>
      </c>
      <c r="X165" t="s">
        <v>76</v>
      </c>
      <c r="Y165" t="s">
        <v>76</v>
      </c>
      <c r="Z165" t="s">
        <v>76</v>
      </c>
      <c r="AA165" t="s">
        <v>7594</v>
      </c>
      <c r="AB165" t="s">
        <v>7390</v>
      </c>
      <c r="AC165">
        <v>0</v>
      </c>
      <c r="AD165" t="str">
        <f ca="1">IF(RANDBETWEEN(1,20)&gt;1,"rg:False","rg:True")</f>
        <v>rg:False</v>
      </c>
      <c r="AE165" t="str">
        <f ca="1">IF(AD165="rg:True","Seniority overridden to test things","rg:None")</f>
        <v>rg:None</v>
      </c>
      <c r="AF165" s="1">
        <v>42481</v>
      </c>
      <c r="AG165" s="4">
        <f ca="1">IF(I165="Dump Truck",60,30)*AH165+(AVERAGE(AI165:AK165))</f>
        <v>437.33333333333331</v>
      </c>
      <c r="AH165" s="4">
        <f>YEARFRAC(DATE("2016","4","1"),T165)</f>
        <v>12.533333333333333</v>
      </c>
      <c r="AI165">
        <f ca="1">IF(AH165&lt;1,0,RANDBETWEEN(0,200))</f>
        <v>149</v>
      </c>
      <c r="AJ165">
        <f ca="1">IF(AH165&lt;2,0,RANDBETWEEN(0,200))</f>
        <v>24</v>
      </c>
      <c r="AK165">
        <f ca="1">IF(AH165&lt;3,0,RANDBETWEEN(0,200))</f>
        <v>11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>IF(ISNUMBER(B165),B165+1,200000)</f>
        <v>200164</v>
      </c>
      <c r="C166">
        <v>200045</v>
      </c>
      <c r="D166" t="str">
        <f>"rg:{'id': '"&amp;C166&amp;"'}"</f>
        <v>rg:{'id': '200045'}</v>
      </c>
      <c r="E166">
        <f>VLOOKUP(C166,Owners.csv!C:J,6,FALSE)</f>
        <v>200002</v>
      </c>
      <c r="F166" t="str">
        <f>VLOOKUP(VLOOKUP(E166,LocalAreas.csv!I:K,3,FALSE),ServiceAreas.csv!F:J,5,FALSE)</f>
        <v>200009</v>
      </c>
      <c r="G166" t="str">
        <f>"rg:{'id': '"&amp;E166&amp;"'}"</f>
        <v>rg:{'id': '200002'}</v>
      </c>
      <c r="H166" t="s">
        <v>7646</v>
      </c>
      <c r="I166" t="s">
        <v>5651</v>
      </c>
      <c r="J166">
        <f>VLOOKUP(I166&amp;"-"&amp;F166,DistrictEquipmentTypes.csv!J:K,2,FALSE)</f>
        <v>200006</v>
      </c>
      <c r="K166" t="str">
        <f>"rg:{'id': '"&amp;J166&amp;"'}"</f>
        <v>rg:{'id': '200006'}</v>
      </c>
      <c r="L166">
        <f>IF(C166=C165,L165+1,1)</f>
        <v>1</v>
      </c>
      <c r="M166" t="str">
        <f>VLOOKUP(C166,Owners.csv!C:K,9,FALSE)&amp;TEXT(Equipment.csv!L166,"0000")</f>
        <v>KBTO0001</v>
      </c>
      <c r="N166" t="s">
        <v>5401</v>
      </c>
      <c r="O166" t="s">
        <v>6803</v>
      </c>
      <c r="P166">
        <v>2002</v>
      </c>
      <c r="Q166">
        <v>145</v>
      </c>
      <c r="R166" t="s">
        <v>6663</v>
      </c>
      <c r="S166" s="1">
        <v>42134</v>
      </c>
      <c r="T166" s="1">
        <v>42141</v>
      </c>
      <c r="U166" t="str">
        <f ca="1">IF(RANDBETWEEN(1,10)&gt;1,"rg:False","rg:True")</f>
        <v>rg:False</v>
      </c>
      <c r="V166" t="str">
        <f ca="1">IF(U166="rg:True","This equipment should be archived","rg:None")</f>
        <v>rg:None</v>
      </c>
      <c r="W166" t="s">
        <v>7202</v>
      </c>
      <c r="X166" t="s">
        <v>76</v>
      </c>
      <c r="Y166" t="s">
        <v>76</v>
      </c>
      <c r="Z166" t="s">
        <v>76</v>
      </c>
      <c r="AA166" t="s">
        <v>7549</v>
      </c>
      <c r="AB166" t="s">
        <v>7286</v>
      </c>
      <c r="AC166">
        <v>0</v>
      </c>
      <c r="AD166" t="str">
        <f ca="1">IF(RANDBETWEEN(1,20)&gt;1,"rg:False","rg:True")</f>
        <v>rg:False</v>
      </c>
      <c r="AE166" t="str">
        <f ca="1">IF(AD166="rg:True","Seniority overridden to test things","rg:None")</f>
        <v>rg:None</v>
      </c>
      <c r="AF166" s="1">
        <v>42481</v>
      </c>
      <c r="AG166" s="4">
        <f ca="1">IF(I166="Dump Truck",60,30)*AH166+(AVERAGE(AI166:AK166))</f>
        <v>52.333333333333336</v>
      </c>
      <c r="AH166" s="4">
        <f>YEARFRAC(DATE("2016","4","1"),T166)</f>
        <v>0.87222222222222223</v>
      </c>
      <c r="AI166">
        <f ca="1">IF(AH166&lt;1,0,RANDBETWEEN(0,200))</f>
        <v>0</v>
      </c>
      <c r="AJ166">
        <f ca="1">IF(AH166&lt;2,0,RANDBETWEEN(0,200))</f>
        <v>0</v>
      </c>
      <c r="AK166">
        <f ca="1">IF(AH166&lt;3,0,RANDBETWEEN(0,200))</f>
        <v>0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>IF(ISNUMBER(B166),B166+1,200000)</f>
        <v>200165</v>
      </c>
      <c r="C167">
        <v>200045</v>
      </c>
      <c r="D167" t="str">
        <f>"rg:{'id': '"&amp;C167&amp;"'}"</f>
        <v>rg:{'id': '200045'}</v>
      </c>
      <c r="E167">
        <f>VLOOKUP(C167,Owners.csv!C:J,6,FALSE)</f>
        <v>200002</v>
      </c>
      <c r="F167" t="str">
        <f>VLOOKUP(VLOOKUP(E167,LocalAreas.csv!I:K,3,FALSE),ServiceAreas.csv!F:J,5,FALSE)</f>
        <v>200009</v>
      </c>
      <c r="G167" t="str">
        <f>"rg:{'id': '"&amp;E167&amp;"'}"</f>
        <v>rg:{'id': '200002'}</v>
      </c>
      <c r="H167" t="s">
        <v>7694</v>
      </c>
      <c r="I167" t="s">
        <v>5637</v>
      </c>
      <c r="J167">
        <f>VLOOKUP(I167&amp;"-"&amp;F167,DistrictEquipmentTypes.csv!J:K,2,FALSE)</f>
        <v>200001</v>
      </c>
      <c r="K167" t="str">
        <f>"rg:{'id': '"&amp;J167&amp;"'}"</f>
        <v>rg:{'id': '200001'}</v>
      </c>
      <c r="L167">
        <f>IF(C167=C166,L166+1,1)</f>
        <v>2</v>
      </c>
      <c r="M167" t="str">
        <f>VLOOKUP(C167,Owners.csv!C:K,9,FALSE)&amp;TEXT(Equipment.csv!L167,"0000")</f>
        <v>KBTO0002</v>
      </c>
      <c r="N167" t="s">
        <v>5401</v>
      </c>
      <c r="O167" t="s">
        <v>6829</v>
      </c>
      <c r="P167">
        <v>1986</v>
      </c>
      <c r="Q167">
        <v>171</v>
      </c>
      <c r="R167" t="s">
        <v>6663</v>
      </c>
      <c r="S167" s="1">
        <v>42233</v>
      </c>
      <c r="T167" s="1">
        <v>42262</v>
      </c>
      <c r="U167" t="str">
        <f ca="1">IF(RANDBETWEEN(1,10)&gt;1,"rg:False","rg:True")</f>
        <v>rg:False</v>
      </c>
      <c r="V167" t="str">
        <f ca="1">IF(U167="rg:True","This equipment should be archived","rg:None")</f>
        <v>rg:None</v>
      </c>
      <c r="W167" t="s">
        <v>7228</v>
      </c>
      <c r="X167" t="s">
        <v>76</v>
      </c>
      <c r="Y167" t="s">
        <v>76</v>
      </c>
      <c r="Z167" t="s">
        <v>76</v>
      </c>
      <c r="AA167" t="s">
        <v>7575</v>
      </c>
      <c r="AB167" t="s">
        <v>7389</v>
      </c>
      <c r="AC167">
        <v>0</v>
      </c>
      <c r="AD167" t="str">
        <f ca="1">IF(RANDBETWEEN(1,20)&gt;1,"rg:False","rg:True")</f>
        <v>rg:False</v>
      </c>
      <c r="AE167" t="str">
        <f ca="1">IF(AD167="rg:True","Seniority overridden to test things","rg:None")</f>
        <v>rg:None</v>
      </c>
      <c r="AF167" s="1">
        <v>42481</v>
      </c>
      <c r="AG167" s="4">
        <f ca="1">IF(I167="Dump Truck",60,30)*AH167+(AVERAGE(AI167:AK167))</f>
        <v>16.333333333333332</v>
      </c>
      <c r="AH167" s="4">
        <f>YEARFRAC(DATE("2016","4","1"),T167)</f>
        <v>0.5444444444444444</v>
      </c>
      <c r="AI167">
        <f ca="1">IF(AH167&lt;1,0,RANDBETWEEN(0,200))</f>
        <v>0</v>
      </c>
      <c r="AJ167">
        <f ca="1">IF(AH167&lt;2,0,RANDBETWEEN(0,200))</f>
        <v>0</v>
      </c>
      <c r="AK167">
        <f ca="1">IF(AH167&lt;3,0,RANDBETWEEN(0,200))</f>
        <v>0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>IF(ISNUMBER(B167),B167+1,200000)</f>
        <v>200166</v>
      </c>
      <c r="C168">
        <v>200045</v>
      </c>
      <c r="D168" t="str">
        <f>"rg:{'id': '"&amp;C168&amp;"'}"</f>
        <v>rg:{'id': '200045'}</v>
      </c>
      <c r="E168">
        <f>VLOOKUP(C168,Owners.csv!C:J,6,FALSE)</f>
        <v>200002</v>
      </c>
      <c r="F168" t="str">
        <f>VLOOKUP(VLOOKUP(E168,LocalAreas.csv!I:K,3,FALSE),ServiceAreas.csv!F:J,5,FALSE)</f>
        <v>200009</v>
      </c>
      <c r="G168" t="str">
        <f>"rg:{'id': '"&amp;E168&amp;"'}"</f>
        <v>rg:{'id': '200002'}</v>
      </c>
      <c r="H168" t="s">
        <v>7665</v>
      </c>
      <c r="I168" t="s">
        <v>5536</v>
      </c>
      <c r="J168">
        <f>VLOOKUP(I168&amp;"-"&amp;F168,DistrictEquipmentTypes.csv!J:K,2,FALSE)</f>
        <v>200000</v>
      </c>
      <c r="K168" t="str">
        <f>"rg:{'id': '"&amp;J168&amp;"'}"</f>
        <v>rg:{'id': '200000'}</v>
      </c>
      <c r="L168">
        <f>IF(C168=C167,L167+1,1)</f>
        <v>3</v>
      </c>
      <c r="M168" t="str">
        <f>VLOOKUP(C168,Owners.csv!C:K,9,FALSE)&amp;TEXT(Equipment.csv!L168,"0000")</f>
        <v>KBTO0003</v>
      </c>
      <c r="N168" t="s">
        <v>5401</v>
      </c>
      <c r="O168" t="s">
        <v>6849</v>
      </c>
      <c r="P168">
        <v>1973</v>
      </c>
      <c r="Q168">
        <v>191</v>
      </c>
      <c r="R168" t="s">
        <v>6663</v>
      </c>
      <c r="S168" s="1">
        <v>38749</v>
      </c>
      <c r="T168" s="1">
        <v>38770</v>
      </c>
      <c r="U168" t="str">
        <f ca="1">IF(RANDBETWEEN(1,10)&gt;1,"rg:False","rg:True")</f>
        <v>rg:False</v>
      </c>
      <c r="V168" t="str">
        <f ca="1">IF(U168="rg:True","This equipment should be archived","rg:None")</f>
        <v>rg:None</v>
      </c>
      <c r="W168" t="s">
        <v>7248</v>
      </c>
      <c r="X168" t="s">
        <v>76</v>
      </c>
      <c r="Y168" t="s">
        <v>76</v>
      </c>
      <c r="Z168" t="s">
        <v>76</v>
      </c>
      <c r="AA168" t="s">
        <v>7595</v>
      </c>
      <c r="AB168" t="s">
        <v>7360</v>
      </c>
      <c r="AC168">
        <v>0</v>
      </c>
      <c r="AD168" t="str">
        <f ca="1">IF(RANDBETWEEN(1,20)&gt;1,"rg:False","rg:True")</f>
        <v>rg:False</v>
      </c>
      <c r="AE168" t="str">
        <f ca="1">IF(AD168="rg:True","Seniority overridden to test things","rg:None")</f>
        <v>rg:None</v>
      </c>
      <c r="AF168" s="1">
        <v>42481</v>
      </c>
      <c r="AG168" s="4">
        <f ca="1">IF(I168="Dump Truck",60,30)*AH168+(AVERAGE(AI168:AK168))</f>
        <v>422.58333333333331</v>
      </c>
      <c r="AH168" s="4">
        <f>YEARFRAC(DATE("2016","4","1"),T168)</f>
        <v>10.108333333333333</v>
      </c>
      <c r="AI168">
        <f ca="1">IF(AH168&lt;1,0,RANDBETWEEN(0,200))</f>
        <v>35</v>
      </c>
      <c r="AJ168">
        <f ca="1">IF(AH168&lt;2,0,RANDBETWEEN(0,200))</f>
        <v>175</v>
      </c>
      <c r="AK168">
        <f ca="1">IF(AH168&lt;3,0,RANDBETWEEN(0,200))</f>
        <v>148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>IF(ISNUMBER(B168),B168+1,200000)</f>
        <v>200167</v>
      </c>
      <c r="C169">
        <v>200046</v>
      </c>
      <c r="D169" t="str">
        <f>"rg:{'id': '"&amp;C169&amp;"'}"</f>
        <v>rg:{'id': '200046'}</v>
      </c>
      <c r="E169">
        <f>VLOOKUP(C169,Owners.csv!C:J,6,FALSE)</f>
        <v>200002</v>
      </c>
      <c r="F169" t="str">
        <f>VLOOKUP(VLOOKUP(E169,LocalAreas.csv!I:K,3,FALSE),ServiceAreas.csv!F:J,5,FALSE)</f>
        <v>200009</v>
      </c>
      <c r="G169" t="str">
        <f>"rg:{'id': '"&amp;E169&amp;"'}"</f>
        <v>rg:{'id': '200002'}</v>
      </c>
      <c r="H169" t="s">
        <v>7652</v>
      </c>
      <c r="I169" t="s">
        <v>5651</v>
      </c>
      <c r="J169">
        <f>VLOOKUP(I169&amp;"-"&amp;F169,DistrictEquipmentTypes.csv!J:K,2,FALSE)</f>
        <v>200006</v>
      </c>
      <c r="K169" t="str">
        <f>"rg:{'id': '"&amp;J169&amp;"'}"</f>
        <v>rg:{'id': '200006'}</v>
      </c>
      <c r="L169">
        <f>IF(C169=C168,L168+1,1)</f>
        <v>1</v>
      </c>
      <c r="M169" t="str">
        <f>VLOOKUP(C169,Owners.csv!C:K,9,FALSE)&amp;TEXT(Equipment.csv!L169,"0000")</f>
        <v>KIDS0001</v>
      </c>
      <c r="N169" t="s">
        <v>5401</v>
      </c>
      <c r="O169" t="s">
        <v>6804</v>
      </c>
      <c r="P169">
        <v>2014</v>
      </c>
      <c r="Q169">
        <v>146</v>
      </c>
      <c r="R169" t="s">
        <v>6663</v>
      </c>
      <c r="S169" s="1">
        <v>39292</v>
      </c>
      <c r="T169" s="1">
        <v>39310</v>
      </c>
      <c r="U169" t="str">
        <f ca="1">IF(RANDBETWEEN(1,10)&gt;1,"rg:False","rg:True")</f>
        <v>rg:False</v>
      </c>
      <c r="V169" t="str">
        <f ca="1">IF(U169="rg:True","This equipment should be archived","rg:None")</f>
        <v>rg:None</v>
      </c>
      <c r="W169" t="s">
        <v>7203</v>
      </c>
      <c r="X169" t="s">
        <v>76</v>
      </c>
      <c r="Y169" t="s">
        <v>76</v>
      </c>
      <c r="Z169" t="s">
        <v>76</v>
      </c>
      <c r="AA169" t="s">
        <v>7550</v>
      </c>
      <c r="AB169" t="s">
        <v>7373</v>
      </c>
      <c r="AC169">
        <v>0</v>
      </c>
      <c r="AD169" t="str">
        <f ca="1">IF(RANDBETWEEN(1,20)&gt;1,"rg:False","rg:True")</f>
        <v>rg:False</v>
      </c>
      <c r="AE169" t="str">
        <f ca="1">IF(AD169="rg:True","Seniority overridden to test things","rg:None")</f>
        <v>rg:None</v>
      </c>
      <c r="AF169" s="1">
        <v>42481</v>
      </c>
      <c r="AG169" s="4">
        <f ca="1">IF(I169="Dump Truck",60,30)*AH169+(AVERAGE(AI169:AK169))</f>
        <v>617.83333333333337</v>
      </c>
      <c r="AH169" s="4">
        <f>YEARFRAC(DATE("2016","4","1"),T169)</f>
        <v>8.625</v>
      </c>
      <c r="AI169">
        <f ca="1">IF(AH169&lt;1,0,RANDBETWEEN(0,200))</f>
        <v>51</v>
      </c>
      <c r="AJ169">
        <f ca="1">IF(AH169&lt;2,0,RANDBETWEEN(0,200))</f>
        <v>75</v>
      </c>
      <c r="AK169">
        <f ca="1">IF(AH169&lt;3,0,RANDBETWEEN(0,200))</f>
        <v>175</v>
      </c>
      <c r="AL169" t="s">
        <v>326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>IF(ISNUMBER(B169),B169+1,200000)</f>
        <v>200168</v>
      </c>
      <c r="C170">
        <v>200046</v>
      </c>
      <c r="D170" t="str">
        <f>"rg:{'id': '"&amp;C170&amp;"'}"</f>
        <v>rg:{'id': '200046'}</v>
      </c>
      <c r="E170">
        <f>VLOOKUP(C170,Owners.csv!C:J,6,FALSE)</f>
        <v>200002</v>
      </c>
      <c r="F170" t="str">
        <f>VLOOKUP(VLOOKUP(E170,LocalAreas.csv!I:K,3,FALSE),ServiceAreas.csv!F:J,5,FALSE)</f>
        <v>200009</v>
      </c>
      <c r="G170" t="str">
        <f>"rg:{'id': '"&amp;E170&amp;"'}"</f>
        <v>rg:{'id': '200002'}</v>
      </c>
      <c r="H170" t="s">
        <v>7753</v>
      </c>
      <c r="I170" t="s">
        <v>5637</v>
      </c>
      <c r="J170">
        <f>VLOOKUP(I170&amp;"-"&amp;F170,DistrictEquipmentTypes.csv!J:K,2,FALSE)</f>
        <v>200001</v>
      </c>
      <c r="K170" t="str">
        <f>"rg:{'id': '"&amp;J170&amp;"'}"</f>
        <v>rg:{'id': '200001'}</v>
      </c>
      <c r="L170">
        <f>IF(C170=C169,L169+1,1)</f>
        <v>2</v>
      </c>
      <c r="M170" t="str">
        <f>VLOOKUP(C170,Owners.csv!C:K,9,FALSE)&amp;TEXT(Equipment.csv!L170,"0000")</f>
        <v>KIDS0002</v>
      </c>
      <c r="N170" t="s">
        <v>5401</v>
      </c>
      <c r="O170" t="s">
        <v>6830</v>
      </c>
      <c r="P170">
        <v>1992</v>
      </c>
      <c r="Q170">
        <v>172</v>
      </c>
      <c r="R170" t="s">
        <v>6663</v>
      </c>
      <c r="S170" s="1">
        <v>39235</v>
      </c>
      <c r="T170" s="1">
        <v>39240</v>
      </c>
      <c r="U170" t="str">
        <f ca="1">IF(RANDBETWEEN(1,10)&gt;1,"rg:False","rg:True")</f>
        <v>rg:False</v>
      </c>
      <c r="V170" t="str">
        <f ca="1">IF(U170="rg:True","This equipment should be archived","rg:None")</f>
        <v>rg:None</v>
      </c>
      <c r="W170" t="s">
        <v>7229</v>
      </c>
      <c r="X170" t="s">
        <v>76</v>
      </c>
      <c r="Y170" t="s">
        <v>76</v>
      </c>
      <c r="Z170" t="s">
        <v>76</v>
      </c>
      <c r="AA170" t="s">
        <v>7576</v>
      </c>
      <c r="AB170" t="s">
        <v>7369</v>
      </c>
      <c r="AC170">
        <v>0</v>
      </c>
      <c r="AD170" t="str">
        <f ca="1">IF(RANDBETWEEN(1,20)&gt;1,"rg:False","rg:True")</f>
        <v>rg:False</v>
      </c>
      <c r="AE170" t="str">
        <f ca="1">IF(AD170="rg:True","Seniority overridden to test things","rg:None")</f>
        <v>rg:None</v>
      </c>
      <c r="AF170" s="1">
        <v>42481</v>
      </c>
      <c r="AG170" s="4">
        <f ca="1">IF(I170="Dump Truck",60,30)*AH170+(AVERAGE(AI170:AK170))</f>
        <v>381.16666666666669</v>
      </c>
      <c r="AH170" s="4">
        <f>YEARFRAC(DATE("2016","4","1"),T170)</f>
        <v>8.8166666666666664</v>
      </c>
      <c r="AI170">
        <f ca="1">IF(AH170&lt;1,0,RANDBETWEEN(0,200))</f>
        <v>60</v>
      </c>
      <c r="AJ170">
        <f ca="1">IF(AH170&lt;2,0,RANDBETWEEN(0,200))</f>
        <v>132</v>
      </c>
      <c r="AK170">
        <f ca="1">IF(AH170&lt;3,0,RANDBETWEEN(0,200))</f>
        <v>158</v>
      </c>
      <c r="AL170" t="s">
        <v>5689</v>
      </c>
      <c r="AM170" t="s">
        <v>6886</v>
      </c>
      <c r="AN170" s="1">
        <v>42513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>IF(ISNUMBER(B170),B170+1,200000)</f>
        <v>200169</v>
      </c>
      <c r="C171">
        <v>200046</v>
      </c>
      <c r="D171" t="str">
        <f>"rg:{'id': '"&amp;C171&amp;"'}"</f>
        <v>rg:{'id': '200046'}</v>
      </c>
      <c r="E171">
        <f>VLOOKUP(C171,Owners.csv!C:J,6,FALSE)</f>
        <v>200002</v>
      </c>
      <c r="F171" t="str">
        <f>VLOOKUP(VLOOKUP(E171,LocalAreas.csv!I:K,3,FALSE),ServiceAreas.csv!F:J,5,FALSE)</f>
        <v>200009</v>
      </c>
      <c r="G171" t="str">
        <f>"rg:{'id': '"&amp;E171&amp;"'}"</f>
        <v>rg:{'id': '200002'}</v>
      </c>
      <c r="H171" t="s">
        <v>7666</v>
      </c>
      <c r="I171" t="s">
        <v>5536</v>
      </c>
      <c r="J171">
        <f>VLOOKUP(I171&amp;"-"&amp;F171,DistrictEquipmentTypes.csv!J:K,2,FALSE)</f>
        <v>200000</v>
      </c>
      <c r="K171" t="str">
        <f>"rg:{'id': '"&amp;J171&amp;"'}"</f>
        <v>rg:{'id': '200000'}</v>
      </c>
      <c r="L171">
        <f>IF(C171=C170,L170+1,1)</f>
        <v>3</v>
      </c>
      <c r="M171" t="str">
        <f>VLOOKUP(C171,Owners.csv!C:K,9,FALSE)&amp;TEXT(Equipment.csv!L171,"0000")</f>
        <v>KIDS0003</v>
      </c>
      <c r="N171" t="s">
        <v>5401</v>
      </c>
      <c r="O171" t="s">
        <v>6850</v>
      </c>
      <c r="P171">
        <v>1978</v>
      </c>
      <c r="Q171">
        <v>192</v>
      </c>
      <c r="R171" t="s">
        <v>6663</v>
      </c>
      <c r="S171" s="1">
        <v>37913</v>
      </c>
      <c r="T171" s="1">
        <v>37933</v>
      </c>
      <c r="U171" t="str">
        <f ca="1">IF(RANDBETWEEN(1,10)&gt;1,"rg:False","rg:True")</f>
        <v>rg:False</v>
      </c>
      <c r="V171" t="str">
        <f ca="1">IF(U171="rg:True","This equipment should be archived","rg:None")</f>
        <v>rg:None</v>
      </c>
      <c r="W171" t="s">
        <v>7249</v>
      </c>
      <c r="X171" t="s">
        <v>76</v>
      </c>
      <c r="Y171" t="s">
        <v>76</v>
      </c>
      <c r="Z171" t="s">
        <v>76</v>
      </c>
      <c r="AA171" t="s">
        <v>7596</v>
      </c>
      <c r="AB171" t="s">
        <v>7399</v>
      </c>
      <c r="AC171">
        <v>0</v>
      </c>
      <c r="AD171" t="str">
        <f ca="1">IF(RANDBETWEEN(1,20)&gt;1,"rg:False","rg:True")</f>
        <v>rg:False</v>
      </c>
      <c r="AE171" t="str">
        <f ca="1">IF(AD171="rg:True","Seniority overridden to test things","rg:None")</f>
        <v>rg:None</v>
      </c>
      <c r="AF171" s="1">
        <v>42482</v>
      </c>
      <c r="AG171" s="4">
        <f ca="1">IF(I171="Dump Truck",60,30)*AH171+(AVERAGE(AI171:AK171))</f>
        <v>481.25</v>
      </c>
      <c r="AH171" s="4">
        <f>YEARFRAC(DATE("2016","4","1"),T171)</f>
        <v>12.397222222222222</v>
      </c>
      <c r="AI171">
        <f ca="1">IF(AH171&lt;1,0,RANDBETWEEN(0,200))</f>
        <v>113</v>
      </c>
      <c r="AJ171">
        <f ca="1">IF(AH171&lt;2,0,RANDBETWEEN(0,200))</f>
        <v>95</v>
      </c>
      <c r="AK171">
        <f ca="1">IF(AH171&lt;3,0,RANDBETWEEN(0,200))</f>
        <v>120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>IF(ISNUMBER(B171),B171+1,200000)</f>
        <v>200170</v>
      </c>
      <c r="C172">
        <v>200047</v>
      </c>
      <c r="D172" t="str">
        <f>"rg:{'id': '"&amp;C172&amp;"'}"</f>
        <v>rg:{'id': '200047'}</v>
      </c>
      <c r="E172">
        <f>VLOOKUP(C172,Owners.csv!C:J,6,FALSE)</f>
        <v>200002</v>
      </c>
      <c r="F172" t="str">
        <f>VLOOKUP(VLOOKUP(E172,LocalAreas.csv!I:K,3,FALSE),ServiceAreas.csv!F:J,5,FALSE)</f>
        <v>200009</v>
      </c>
      <c r="G172" t="str">
        <f>"rg:{'id': '"&amp;E172&amp;"'}"</f>
        <v>rg:{'id': '200002'}</v>
      </c>
      <c r="H172" t="s">
        <v>7717</v>
      </c>
      <c r="I172" t="s">
        <v>5651</v>
      </c>
      <c r="J172">
        <f>VLOOKUP(I172&amp;"-"&amp;F172,DistrictEquipmentTypes.csv!J:K,2,FALSE)</f>
        <v>200006</v>
      </c>
      <c r="K172" t="str">
        <f>"rg:{'id': '"&amp;J172&amp;"'}"</f>
        <v>rg:{'id': '200006'}</v>
      </c>
      <c r="L172">
        <f>IF(C172=C171,L171+1,1)</f>
        <v>1</v>
      </c>
      <c r="M172" t="str">
        <f>VLOOKUP(C172,Owners.csv!C:K,9,FALSE)&amp;TEXT(Equipment.csv!L172,"0000")</f>
        <v>KINN0001</v>
      </c>
      <c r="N172" t="s">
        <v>5401</v>
      </c>
      <c r="O172" t="s">
        <v>6805</v>
      </c>
      <c r="P172">
        <v>2009</v>
      </c>
      <c r="Q172">
        <v>147</v>
      </c>
      <c r="R172" t="s">
        <v>6663</v>
      </c>
      <c r="S172" s="1">
        <v>40870</v>
      </c>
      <c r="T172" s="1">
        <v>40880</v>
      </c>
      <c r="U172" t="str">
        <f ca="1">IF(RANDBETWEEN(1,10)&gt;1,"rg:False","rg:True")</f>
        <v>rg:True</v>
      </c>
      <c r="V172" t="str">
        <f ca="1">IF(U172="rg:True","This equipment should be archived","rg:None")</f>
        <v>This equipment should be archived</v>
      </c>
      <c r="W172" t="s">
        <v>7204</v>
      </c>
      <c r="X172" t="s">
        <v>76</v>
      </c>
      <c r="Y172" t="s">
        <v>76</v>
      </c>
      <c r="Z172" t="s">
        <v>76</v>
      </c>
      <c r="AA172" t="s">
        <v>7551</v>
      </c>
      <c r="AB172" t="s">
        <v>7296</v>
      </c>
      <c r="AC172">
        <v>0</v>
      </c>
      <c r="AD172" t="str">
        <f ca="1">IF(RANDBETWEEN(1,20)&gt;1,"rg:False","rg:True")</f>
        <v>rg:False</v>
      </c>
      <c r="AE172" t="str">
        <f ca="1">IF(AD172="rg:True","Seniority overridden to test things","rg:None")</f>
        <v>rg:None</v>
      </c>
      <c r="AF172" s="1">
        <v>42481</v>
      </c>
      <c r="AG172" s="4">
        <f ca="1">IF(I172="Dump Truck",60,30)*AH172+(AVERAGE(AI172:AK172))</f>
        <v>352.66666666666663</v>
      </c>
      <c r="AH172" s="4">
        <f>YEARFRAC(DATE("2016","4","1"),T172)</f>
        <v>4.3277777777777775</v>
      </c>
      <c r="AI172">
        <f ca="1">IF(AH172&lt;1,0,RANDBETWEEN(0,200))</f>
        <v>0</v>
      </c>
      <c r="AJ172">
        <f ca="1">IF(AH172&lt;2,0,RANDBETWEEN(0,200))</f>
        <v>92</v>
      </c>
      <c r="AK172">
        <f ca="1">IF(AH172&lt;3,0,RANDBETWEEN(0,200))</f>
        <v>187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>IF(ISNUMBER(B172),B172+1,200000)</f>
        <v>200171</v>
      </c>
      <c r="C173">
        <v>200047</v>
      </c>
      <c r="D173" t="str">
        <f>"rg:{'id': '"&amp;C173&amp;"'}"</f>
        <v>rg:{'id': '200047'}</v>
      </c>
      <c r="E173">
        <f>VLOOKUP(C173,Owners.csv!C:J,6,FALSE)</f>
        <v>200002</v>
      </c>
      <c r="F173" t="str">
        <f>VLOOKUP(VLOOKUP(E173,LocalAreas.csv!I:K,3,FALSE),ServiceAreas.csv!F:J,5,FALSE)</f>
        <v>200009</v>
      </c>
      <c r="G173" t="str">
        <f>"rg:{'id': '"&amp;E173&amp;"'}"</f>
        <v>rg:{'id': '200002'}</v>
      </c>
      <c r="H173" t="s">
        <v>7650</v>
      </c>
      <c r="I173" t="s">
        <v>5637</v>
      </c>
      <c r="J173">
        <f>VLOOKUP(I173&amp;"-"&amp;F173,DistrictEquipmentTypes.csv!J:K,2,FALSE)</f>
        <v>200001</v>
      </c>
      <c r="K173" t="str">
        <f>"rg:{'id': '"&amp;J173&amp;"'}"</f>
        <v>rg:{'id': '200001'}</v>
      </c>
      <c r="L173">
        <f>IF(C173=C172,L172+1,1)</f>
        <v>2</v>
      </c>
      <c r="M173" t="str">
        <f>VLOOKUP(C173,Owners.csv!C:K,9,FALSE)&amp;TEXT(Equipment.csv!L173,"0000")</f>
        <v>KINN0002</v>
      </c>
      <c r="N173" t="s">
        <v>5401</v>
      </c>
      <c r="O173" t="s">
        <v>6831</v>
      </c>
      <c r="P173">
        <v>1995</v>
      </c>
      <c r="Q173">
        <v>173</v>
      </c>
      <c r="R173" t="s">
        <v>6663</v>
      </c>
      <c r="S173" s="1">
        <v>37893</v>
      </c>
      <c r="T173" s="1">
        <v>37902</v>
      </c>
      <c r="U173" t="str">
        <f ca="1">IF(RANDBETWEEN(1,10)&gt;1,"rg:False","rg:True")</f>
        <v>rg:False</v>
      </c>
      <c r="V173" t="str">
        <f ca="1">IF(U173="rg:True","This equipment should be archived","rg:None")</f>
        <v>rg:None</v>
      </c>
      <c r="W173" t="s">
        <v>7230</v>
      </c>
      <c r="X173" t="s">
        <v>76</v>
      </c>
      <c r="Y173" t="s">
        <v>76</v>
      </c>
      <c r="Z173" t="s">
        <v>76</v>
      </c>
      <c r="AA173" t="s">
        <v>7577</v>
      </c>
      <c r="AB173" t="s">
        <v>7274</v>
      </c>
      <c r="AC173">
        <v>0</v>
      </c>
      <c r="AD173" t="str">
        <f ca="1">IF(RANDBETWEEN(1,20)&gt;1,"rg:False","rg:True")</f>
        <v>rg:False</v>
      </c>
      <c r="AE173" t="str">
        <f ca="1">IF(AD173="rg:True","Seniority overridden to test things","rg:None")</f>
        <v>rg:None</v>
      </c>
      <c r="AF173" s="1">
        <v>42481</v>
      </c>
      <c r="AG173" s="4">
        <f ca="1">IF(I173="Dump Truck",60,30)*AH173+(AVERAGE(AI173:AK173))</f>
        <v>512.08333333333337</v>
      </c>
      <c r="AH173" s="4">
        <f>YEARFRAC(DATE("2016","4","1"),T173)</f>
        <v>12.480555555555556</v>
      </c>
      <c r="AI173">
        <f ca="1">IF(AH173&lt;1,0,RANDBETWEEN(0,200))</f>
        <v>163</v>
      </c>
      <c r="AJ173">
        <f ca="1">IF(AH173&lt;2,0,RANDBETWEEN(0,200))</f>
        <v>80</v>
      </c>
      <c r="AK173">
        <f ca="1">IF(AH173&lt;3,0,RANDBETWEEN(0,200))</f>
        <v>170</v>
      </c>
      <c r="AL173" t="s">
        <v>326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>IF(ISNUMBER(B173),B173+1,200000)</f>
        <v>200172</v>
      </c>
      <c r="C174">
        <v>200047</v>
      </c>
      <c r="D174" t="str">
        <f>"rg:{'id': '"&amp;C174&amp;"'}"</f>
        <v>rg:{'id': '200047'}</v>
      </c>
      <c r="E174">
        <f>VLOOKUP(C174,Owners.csv!C:J,6,FALSE)</f>
        <v>200002</v>
      </c>
      <c r="F174" t="str">
        <f>VLOOKUP(VLOOKUP(E174,LocalAreas.csv!I:K,3,FALSE),ServiceAreas.csv!F:J,5,FALSE)</f>
        <v>200009</v>
      </c>
      <c r="G174" t="str">
        <f>"rg:{'id': '"&amp;E174&amp;"'}"</f>
        <v>rg:{'id': '200002'}</v>
      </c>
      <c r="H174" t="s">
        <v>7651</v>
      </c>
      <c r="I174" t="s">
        <v>5536</v>
      </c>
      <c r="J174">
        <f>VLOOKUP(I174&amp;"-"&amp;F174,DistrictEquipmentTypes.csv!J:K,2,FALSE)</f>
        <v>200000</v>
      </c>
      <c r="K174" t="str">
        <f>"rg:{'id': '"&amp;J174&amp;"'}"</f>
        <v>rg:{'id': '200000'}</v>
      </c>
      <c r="L174">
        <f>IF(C174=C173,L173+1,1)</f>
        <v>3</v>
      </c>
      <c r="M174" t="str">
        <f>VLOOKUP(C174,Owners.csv!C:K,9,FALSE)&amp;TEXT(Equipment.csv!L174,"0000")</f>
        <v>KINN0003</v>
      </c>
      <c r="N174" t="s">
        <v>5401</v>
      </c>
      <c r="O174" t="s">
        <v>6851</v>
      </c>
      <c r="P174">
        <v>1999</v>
      </c>
      <c r="Q174">
        <v>193</v>
      </c>
      <c r="R174" t="s">
        <v>6663</v>
      </c>
      <c r="S174" s="1">
        <v>38286</v>
      </c>
      <c r="T174" s="1">
        <v>38312</v>
      </c>
      <c r="U174" t="str">
        <f ca="1">IF(RANDBETWEEN(1,10)&gt;1,"rg:False","rg:True")</f>
        <v>rg:False</v>
      </c>
      <c r="V174" t="str">
        <f ca="1">IF(U174="rg:True","This equipment should be archived","rg:None")</f>
        <v>rg:None</v>
      </c>
      <c r="W174" t="s">
        <v>7250</v>
      </c>
      <c r="X174" t="s">
        <v>76</v>
      </c>
      <c r="Y174" t="s">
        <v>76</v>
      </c>
      <c r="Z174" t="s">
        <v>76</v>
      </c>
      <c r="AA174" t="s">
        <v>7597</v>
      </c>
      <c r="AB174" t="s">
        <v>7400</v>
      </c>
      <c r="AC174">
        <v>0</v>
      </c>
      <c r="AD174" t="str">
        <f ca="1">IF(RANDBETWEEN(1,20)&gt;1,"rg:False","rg:True")</f>
        <v>rg:False</v>
      </c>
      <c r="AE174" t="str">
        <f ca="1">IF(AD174="rg:True","Seniority overridden to test things","rg:None")</f>
        <v>rg:None</v>
      </c>
      <c r="AF174" s="1">
        <v>42483</v>
      </c>
      <c r="AG174" s="4">
        <f ca="1">IF(I174="Dump Truck",60,30)*AH174+(AVERAGE(AI174:AK174))</f>
        <v>470.83333333333331</v>
      </c>
      <c r="AH174" s="4">
        <f>YEARFRAC(DATE("2016","4","1"),T174)</f>
        <v>11.361111111111111</v>
      </c>
      <c r="AI174">
        <f ca="1">IF(AH174&lt;1,0,RANDBETWEEN(0,200))</f>
        <v>155</v>
      </c>
      <c r="AJ174">
        <f ca="1">IF(AH174&lt;2,0,RANDBETWEEN(0,200))</f>
        <v>174</v>
      </c>
      <c r="AK174">
        <f ca="1">IF(AH174&lt;3,0,RANDBETWEEN(0,200))</f>
        <v>61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>IF(ISNUMBER(B174),B174+1,200000)</f>
        <v>200173</v>
      </c>
      <c r="C175">
        <v>200048</v>
      </c>
      <c r="D175" t="str">
        <f>"rg:{'id': '"&amp;C175&amp;"'}"</f>
        <v>rg:{'id': '200048'}</v>
      </c>
      <c r="E175">
        <f>VLOOKUP(C175,Owners.csv!C:J,6,FALSE)</f>
        <v>200002</v>
      </c>
      <c r="F175" t="str">
        <f>VLOOKUP(VLOOKUP(E175,LocalAreas.csv!I:K,3,FALSE),ServiceAreas.csv!F:J,5,FALSE)</f>
        <v>200009</v>
      </c>
      <c r="G175" t="str">
        <f>"rg:{'id': '"&amp;E175&amp;"'}"</f>
        <v>rg:{'id': '200002'}</v>
      </c>
      <c r="H175" t="s">
        <v>7744</v>
      </c>
      <c r="I175" t="s">
        <v>5651</v>
      </c>
      <c r="J175">
        <f>VLOOKUP(I175&amp;"-"&amp;F175,DistrictEquipmentTypes.csv!J:K,2,FALSE)</f>
        <v>200006</v>
      </c>
      <c r="K175" t="str">
        <f>"rg:{'id': '"&amp;J175&amp;"'}"</f>
        <v>rg:{'id': '200006'}</v>
      </c>
      <c r="L175">
        <f>IF(C175=C174,L174+1,1)</f>
        <v>1</v>
      </c>
      <c r="M175" t="str">
        <f>VLOOKUP(C175,Owners.csv!C:K,9,FALSE)&amp;TEXT(Equipment.csv!L175,"0000")</f>
        <v>KNOX0001</v>
      </c>
      <c r="N175" t="s">
        <v>5401</v>
      </c>
      <c r="O175" t="s">
        <v>6806</v>
      </c>
      <c r="P175">
        <v>2006</v>
      </c>
      <c r="Q175">
        <v>148</v>
      </c>
      <c r="R175" t="s">
        <v>6663</v>
      </c>
      <c r="S175" s="1">
        <v>39012</v>
      </c>
      <c r="T175" s="1">
        <v>39030</v>
      </c>
      <c r="U175" t="str">
        <f ca="1">IF(RANDBETWEEN(1,10)&gt;1,"rg:False","rg:True")</f>
        <v>rg:False</v>
      </c>
      <c r="V175" t="str">
        <f ca="1">IF(U175="rg:True","This equipment should be archived","rg:None")</f>
        <v>rg:None</v>
      </c>
      <c r="W175" t="s">
        <v>7205</v>
      </c>
      <c r="X175" t="s">
        <v>76</v>
      </c>
      <c r="Y175" t="s">
        <v>76</v>
      </c>
      <c r="Z175" t="s">
        <v>76</v>
      </c>
      <c r="AA175" t="s">
        <v>7552</v>
      </c>
      <c r="AB175" t="s">
        <v>7374</v>
      </c>
      <c r="AC175">
        <v>0</v>
      </c>
      <c r="AD175" t="str">
        <f ca="1">IF(RANDBETWEEN(1,20)&gt;1,"rg:False","rg:True")</f>
        <v>rg:False</v>
      </c>
      <c r="AE175" t="str">
        <f ca="1">IF(AD175="rg:True","Seniority overridden to test things","rg:None")</f>
        <v>rg:None</v>
      </c>
      <c r="AF175" s="1">
        <v>42481</v>
      </c>
      <c r="AG175" s="4">
        <f ca="1">IF(I175="Dump Truck",60,30)*AH175+(AVERAGE(AI175:AK175))</f>
        <v>654.66666666666663</v>
      </c>
      <c r="AH175" s="4">
        <f>YEARFRAC(DATE("2016","4","1"),T175)</f>
        <v>9.3944444444444439</v>
      </c>
      <c r="AI175">
        <f ca="1">IF(AH175&lt;1,0,RANDBETWEEN(0,200))</f>
        <v>62</v>
      </c>
      <c r="AJ175">
        <f ca="1">IF(AH175&lt;2,0,RANDBETWEEN(0,200))</f>
        <v>173</v>
      </c>
      <c r="AK175">
        <f ca="1">IF(AH175&lt;3,0,RANDBETWEEN(0,200))</f>
        <v>38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>IF(ISNUMBER(B175),B175+1,200000)</f>
        <v>200174</v>
      </c>
      <c r="C176">
        <v>200048</v>
      </c>
      <c r="D176" t="str">
        <f>"rg:{'id': '"&amp;C176&amp;"'}"</f>
        <v>rg:{'id': '200048'}</v>
      </c>
      <c r="E176">
        <f>VLOOKUP(C176,Owners.csv!C:J,6,FALSE)</f>
        <v>200002</v>
      </c>
      <c r="F176" t="str">
        <f>VLOOKUP(VLOOKUP(E176,LocalAreas.csv!I:K,3,FALSE),ServiceAreas.csv!F:J,5,FALSE)</f>
        <v>200009</v>
      </c>
      <c r="G176" t="str">
        <f>"rg:{'id': '"&amp;E176&amp;"'}"</f>
        <v>rg:{'id': '200002'}</v>
      </c>
      <c r="H176" t="s">
        <v>7754</v>
      </c>
      <c r="I176" t="s">
        <v>5637</v>
      </c>
      <c r="J176">
        <f>VLOOKUP(I176&amp;"-"&amp;F176,DistrictEquipmentTypes.csv!J:K,2,FALSE)</f>
        <v>200001</v>
      </c>
      <c r="K176" t="str">
        <f>"rg:{'id': '"&amp;J176&amp;"'}"</f>
        <v>rg:{'id': '200001'}</v>
      </c>
      <c r="L176">
        <f>IF(C176=C175,L175+1,1)</f>
        <v>2</v>
      </c>
      <c r="M176" t="str">
        <f>VLOOKUP(C176,Owners.csv!C:K,9,FALSE)&amp;TEXT(Equipment.csv!L176,"0000")</f>
        <v>KNOX0002</v>
      </c>
      <c r="N176" t="s">
        <v>5401</v>
      </c>
      <c r="O176" t="s">
        <v>6832</v>
      </c>
      <c r="P176">
        <v>1971</v>
      </c>
      <c r="Q176">
        <v>174</v>
      </c>
      <c r="R176" t="s">
        <v>6663</v>
      </c>
      <c r="S176" s="1">
        <v>39476</v>
      </c>
      <c r="T176" s="1">
        <v>39491</v>
      </c>
      <c r="U176" t="str">
        <f ca="1">IF(RANDBETWEEN(1,10)&gt;1,"rg:False","rg:True")</f>
        <v>rg:False</v>
      </c>
      <c r="V176" t="str">
        <f ca="1">IF(U176="rg:True","This equipment should be archived","rg:None")</f>
        <v>rg:None</v>
      </c>
      <c r="W176" t="s">
        <v>7231</v>
      </c>
      <c r="X176" t="s">
        <v>76</v>
      </c>
      <c r="Y176" t="s">
        <v>76</v>
      </c>
      <c r="Z176" t="s">
        <v>76</v>
      </c>
      <c r="AA176" t="s">
        <v>7578</v>
      </c>
      <c r="AB176" t="s">
        <v>7291</v>
      </c>
      <c r="AC176">
        <v>0</v>
      </c>
      <c r="AD176" t="str">
        <f ca="1">IF(RANDBETWEEN(1,20)&gt;1,"rg:False","rg:True")</f>
        <v>rg:False</v>
      </c>
      <c r="AE176" t="str">
        <f ca="1">IF(AD176="rg:True","Seniority overridden to test things","rg:None")</f>
        <v>rg:None</v>
      </c>
      <c r="AF176" s="1">
        <v>42481</v>
      </c>
      <c r="AG176" s="4">
        <f ca="1">IF(I176="Dump Truck",60,30)*AH176+(AVERAGE(AI176:AK176))</f>
        <v>357.33333333333331</v>
      </c>
      <c r="AH176" s="4">
        <f>YEARFRAC(DATE("2016","4","1"),T176)</f>
        <v>8.1333333333333329</v>
      </c>
      <c r="AI176">
        <f ca="1">IF(AH176&lt;1,0,RANDBETWEEN(0,200))</f>
        <v>57</v>
      </c>
      <c r="AJ176">
        <f ca="1">IF(AH176&lt;2,0,RANDBETWEEN(0,200))</f>
        <v>164</v>
      </c>
      <c r="AK176">
        <f ca="1">IF(AH176&lt;3,0,RANDBETWEEN(0,200))</f>
        <v>119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>IF(ISNUMBER(B176),B176+1,200000)</f>
        <v>200175</v>
      </c>
      <c r="C177">
        <v>200048</v>
      </c>
      <c r="D177" t="str">
        <f>"rg:{'id': '"&amp;C177&amp;"'}"</f>
        <v>rg:{'id': '200048'}</v>
      </c>
      <c r="E177">
        <f>VLOOKUP(C177,Owners.csv!C:J,6,FALSE)</f>
        <v>200002</v>
      </c>
      <c r="F177" t="str">
        <f>VLOOKUP(VLOOKUP(E177,LocalAreas.csv!I:K,3,FALSE),ServiceAreas.csv!F:J,5,FALSE)</f>
        <v>200009</v>
      </c>
      <c r="G177" t="str">
        <f>"rg:{'id': '"&amp;E177&amp;"'}"</f>
        <v>rg:{'id': '200002'}</v>
      </c>
      <c r="H177" t="s">
        <v>7763</v>
      </c>
      <c r="I177" t="s">
        <v>5536</v>
      </c>
      <c r="J177">
        <f>VLOOKUP(I177&amp;"-"&amp;F177,DistrictEquipmentTypes.csv!J:K,2,FALSE)</f>
        <v>200000</v>
      </c>
      <c r="K177" t="str">
        <f>"rg:{'id': '"&amp;J177&amp;"'}"</f>
        <v>rg:{'id': '200000'}</v>
      </c>
      <c r="L177">
        <f>IF(C177=C176,L176+1,1)</f>
        <v>3</v>
      </c>
      <c r="M177" t="str">
        <f>VLOOKUP(C177,Owners.csv!C:K,9,FALSE)&amp;TEXT(Equipment.csv!L177,"0000")</f>
        <v>KNOX0003</v>
      </c>
      <c r="N177" t="s">
        <v>5401</v>
      </c>
      <c r="O177" t="s">
        <v>6852</v>
      </c>
      <c r="P177">
        <v>1997</v>
      </c>
      <c r="Q177">
        <v>194</v>
      </c>
      <c r="R177" t="s">
        <v>6663</v>
      </c>
      <c r="S177" s="1">
        <v>39547</v>
      </c>
      <c r="T177" s="1">
        <v>39572</v>
      </c>
      <c r="U177" t="str">
        <f ca="1">IF(RANDBETWEEN(1,10)&gt;1,"rg:False","rg:True")</f>
        <v>rg:False</v>
      </c>
      <c r="V177" t="str">
        <f ca="1">IF(U177="rg:True","This equipment should be archived","rg:None")</f>
        <v>rg:None</v>
      </c>
      <c r="W177" t="s">
        <v>7251</v>
      </c>
      <c r="X177" t="s">
        <v>76</v>
      </c>
      <c r="Y177" t="s">
        <v>76</v>
      </c>
      <c r="Z177" t="s">
        <v>76</v>
      </c>
      <c r="AA177" t="s">
        <v>7598</v>
      </c>
      <c r="AB177" t="s">
        <v>7401</v>
      </c>
      <c r="AC177">
        <v>0</v>
      </c>
      <c r="AD177" t="str">
        <f ca="1">IF(RANDBETWEEN(1,20)&gt;1,"rg:False","rg:True")</f>
        <v>rg:False</v>
      </c>
      <c r="AE177" t="str">
        <f ca="1">IF(AD177="rg:True","Seniority overridden to test things","rg:None")</f>
        <v>rg:None</v>
      </c>
      <c r="AF177" s="1">
        <v>42484</v>
      </c>
      <c r="AG177" s="4">
        <f ca="1">IF(I177="Dump Truck",60,30)*AH177+(AVERAGE(AI177:AK177))</f>
        <v>334.91666666666669</v>
      </c>
      <c r="AH177" s="4">
        <f>YEARFRAC(DATE("2016","4","1"),T177)</f>
        <v>7.9083333333333332</v>
      </c>
      <c r="AI177">
        <f ca="1">IF(AH177&lt;1,0,RANDBETWEEN(0,200))</f>
        <v>55</v>
      </c>
      <c r="AJ177">
        <f ca="1">IF(AH177&lt;2,0,RANDBETWEEN(0,200))</f>
        <v>90</v>
      </c>
      <c r="AK177">
        <f ca="1">IF(AH177&lt;3,0,RANDBETWEEN(0,200))</f>
        <v>148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>IF(ISNUMBER(B177),B177+1,200000)</f>
        <v>200176</v>
      </c>
      <c r="C178">
        <v>200049</v>
      </c>
      <c r="D178" t="str">
        <f>"rg:{'id': '"&amp;C178&amp;"'}"</f>
        <v>rg:{'id': '200049'}</v>
      </c>
      <c r="E178">
        <f>VLOOKUP(C178,Owners.csv!C:J,6,FALSE)</f>
        <v>200002</v>
      </c>
      <c r="F178" t="str">
        <f>VLOOKUP(VLOOKUP(E178,LocalAreas.csv!I:K,3,FALSE),ServiceAreas.csv!F:J,5,FALSE)</f>
        <v>200009</v>
      </c>
      <c r="G178" t="str">
        <f>"rg:{'id': '"&amp;E178&amp;"'}"</f>
        <v>rg:{'id': '200002'}</v>
      </c>
      <c r="H178" t="s">
        <v>7703</v>
      </c>
      <c r="I178" t="s">
        <v>5651</v>
      </c>
      <c r="J178">
        <f>VLOOKUP(I178&amp;"-"&amp;F178,DistrictEquipmentTypes.csv!J:K,2,FALSE)</f>
        <v>200006</v>
      </c>
      <c r="K178" t="str">
        <f>"rg:{'id': '"&amp;J178&amp;"'}"</f>
        <v>rg:{'id': '200006'}</v>
      </c>
      <c r="L178">
        <f>IF(C178=C177,L177+1,1)</f>
        <v>1</v>
      </c>
      <c r="M178" t="str">
        <f>VLOOKUP(C178,Owners.csv!C:K,9,FALSE)&amp;TEXT(Equipment.csv!L178,"0000")</f>
        <v>LAWN0001</v>
      </c>
      <c r="N178" t="s">
        <v>5401</v>
      </c>
      <c r="O178" t="s">
        <v>6807</v>
      </c>
      <c r="P178">
        <v>1975</v>
      </c>
      <c r="Q178">
        <v>149</v>
      </c>
      <c r="R178" t="s">
        <v>6663</v>
      </c>
      <c r="S178" s="1">
        <v>38163</v>
      </c>
      <c r="T178" s="1">
        <v>38179</v>
      </c>
      <c r="U178" t="str">
        <f ca="1">IF(RANDBETWEEN(1,10)&gt;1,"rg:False","rg:True")</f>
        <v>rg:False</v>
      </c>
      <c r="V178" t="str">
        <f ca="1">IF(U178="rg:True","This equipment should be archived","rg:None")</f>
        <v>rg:None</v>
      </c>
      <c r="W178" t="s">
        <v>7206</v>
      </c>
      <c r="X178" t="s">
        <v>76</v>
      </c>
      <c r="Y178" t="s">
        <v>76</v>
      </c>
      <c r="Z178" t="s">
        <v>76</v>
      </c>
      <c r="AA178" t="s">
        <v>7553</v>
      </c>
      <c r="AB178" t="s">
        <v>7306</v>
      </c>
      <c r="AC178">
        <v>0</v>
      </c>
      <c r="AD178" t="str">
        <f ca="1">IF(RANDBETWEEN(1,20)&gt;1,"rg:False","rg:True")</f>
        <v>rg:False</v>
      </c>
      <c r="AE178" t="str">
        <f ca="1">IF(AD178="rg:True","Seniority overridden to test things","rg:None")</f>
        <v>rg:None</v>
      </c>
      <c r="AF178" s="1">
        <v>42481</v>
      </c>
      <c r="AG178" s="4">
        <f ca="1">IF(I178="Dump Truck",60,30)*AH178+(AVERAGE(AI178:AK178))</f>
        <v>812.99999999999989</v>
      </c>
      <c r="AH178" s="4">
        <f>YEARFRAC(DATE("2016","4","1"),T178)</f>
        <v>11.722222222222221</v>
      </c>
      <c r="AI178">
        <f ca="1">IF(AH178&lt;1,0,RANDBETWEEN(0,200))</f>
        <v>92</v>
      </c>
      <c r="AJ178">
        <f ca="1">IF(AH178&lt;2,0,RANDBETWEEN(0,200))</f>
        <v>183</v>
      </c>
      <c r="AK178">
        <f ca="1">IF(AH178&lt;3,0,RANDBETWEEN(0,200))</f>
        <v>54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>IF(ISNUMBER(B178),B178+1,200000)</f>
        <v>200177</v>
      </c>
      <c r="C179">
        <v>200049</v>
      </c>
      <c r="D179" t="str">
        <f>"rg:{'id': '"&amp;C179&amp;"'}"</f>
        <v>rg:{'id': '200049'}</v>
      </c>
      <c r="E179">
        <f>VLOOKUP(C179,Owners.csv!C:J,6,FALSE)</f>
        <v>200002</v>
      </c>
      <c r="F179" t="str">
        <f>VLOOKUP(VLOOKUP(E179,LocalAreas.csv!I:K,3,FALSE),ServiceAreas.csv!F:J,5,FALSE)</f>
        <v>200009</v>
      </c>
      <c r="G179" t="str">
        <f>"rg:{'id': '"&amp;E179&amp;"'}"</f>
        <v>rg:{'id': '200002'}</v>
      </c>
      <c r="H179" t="s">
        <v>7714</v>
      </c>
      <c r="I179" t="s">
        <v>5637</v>
      </c>
      <c r="J179">
        <f>VLOOKUP(I179&amp;"-"&amp;F179,DistrictEquipmentTypes.csv!J:K,2,FALSE)</f>
        <v>200001</v>
      </c>
      <c r="K179" t="str">
        <f>"rg:{'id': '"&amp;J179&amp;"'}"</f>
        <v>rg:{'id': '200001'}</v>
      </c>
      <c r="L179">
        <f>IF(C179=C178,L178+1,1)</f>
        <v>2</v>
      </c>
      <c r="M179" t="str">
        <f>VLOOKUP(C179,Owners.csv!C:K,9,FALSE)&amp;TEXT(Equipment.csv!L179,"0000")</f>
        <v>LAWN0002</v>
      </c>
      <c r="N179" t="s">
        <v>5401</v>
      </c>
      <c r="O179" t="s">
        <v>6833</v>
      </c>
      <c r="P179">
        <v>2012</v>
      </c>
      <c r="Q179">
        <v>175</v>
      </c>
      <c r="R179" t="s">
        <v>6663</v>
      </c>
      <c r="S179" s="1">
        <v>39043</v>
      </c>
      <c r="T179" s="1">
        <v>39069</v>
      </c>
      <c r="U179" t="str">
        <f ca="1">IF(RANDBETWEEN(1,10)&gt;1,"rg:False","rg:True")</f>
        <v>rg:False</v>
      </c>
      <c r="V179" t="str">
        <f ca="1">IF(U179="rg:True","This equipment should be archived","rg:None")</f>
        <v>rg:None</v>
      </c>
      <c r="W179" t="s">
        <v>7232</v>
      </c>
      <c r="X179" t="s">
        <v>76</v>
      </c>
      <c r="Y179" t="s">
        <v>76</v>
      </c>
      <c r="Z179" t="s">
        <v>76</v>
      </c>
      <c r="AA179" t="s">
        <v>7579</v>
      </c>
      <c r="AB179" t="s">
        <v>7390</v>
      </c>
      <c r="AC179">
        <v>0</v>
      </c>
      <c r="AD179" t="str">
        <f ca="1">IF(RANDBETWEEN(1,20)&gt;1,"rg:False","rg:True")</f>
        <v>rg:False</v>
      </c>
      <c r="AE179" t="str">
        <f ca="1">IF(AD179="rg:True","Seniority overridden to test things","rg:None")</f>
        <v>rg:None</v>
      </c>
      <c r="AF179" s="1">
        <v>42481</v>
      </c>
      <c r="AG179" s="4">
        <f ca="1">IF(I179="Dump Truck",60,30)*AH179+(AVERAGE(AI179:AK179))</f>
        <v>326.25000000000006</v>
      </c>
      <c r="AH179" s="4">
        <f>YEARFRAC(DATE("2016","4","1"),T179)</f>
        <v>9.2861111111111114</v>
      </c>
      <c r="AI179">
        <f ca="1">IF(AH179&lt;1,0,RANDBETWEEN(0,200))</f>
        <v>47</v>
      </c>
      <c r="AJ179">
        <f ca="1">IF(AH179&lt;2,0,RANDBETWEEN(0,200))</f>
        <v>95</v>
      </c>
      <c r="AK179">
        <f ca="1">IF(AH179&lt;3,0,RANDBETWEEN(0,200))</f>
        <v>1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>IF(ISNUMBER(B179),B179+1,200000)</f>
        <v>200178</v>
      </c>
      <c r="C180">
        <v>200049</v>
      </c>
      <c r="D180" t="str">
        <f>"rg:{'id': '"&amp;C180&amp;"'}"</f>
        <v>rg:{'id': '200049'}</v>
      </c>
      <c r="E180">
        <f>VLOOKUP(C180,Owners.csv!C:J,6,FALSE)</f>
        <v>200002</v>
      </c>
      <c r="F180" t="str">
        <f>VLOOKUP(VLOOKUP(E180,LocalAreas.csv!I:K,3,FALSE),ServiceAreas.csv!F:J,5,FALSE)</f>
        <v>200009</v>
      </c>
      <c r="G180" t="str">
        <f>"rg:{'id': '"&amp;E180&amp;"'}"</f>
        <v>rg:{'id': '200002'}</v>
      </c>
      <c r="H180" t="s">
        <v>7757</v>
      </c>
      <c r="I180" t="s">
        <v>5536</v>
      </c>
      <c r="J180">
        <f>VLOOKUP(I180&amp;"-"&amp;F180,DistrictEquipmentTypes.csv!J:K,2,FALSE)</f>
        <v>200000</v>
      </c>
      <c r="K180" t="str">
        <f>"rg:{'id': '"&amp;J180&amp;"'}"</f>
        <v>rg:{'id': '200000'}</v>
      </c>
      <c r="L180">
        <f>IF(C180=C179,L179+1,1)</f>
        <v>3</v>
      </c>
      <c r="M180" t="str">
        <f>VLOOKUP(C180,Owners.csv!C:K,9,FALSE)&amp;TEXT(Equipment.csv!L180,"0000")</f>
        <v>LAWN0003</v>
      </c>
      <c r="N180" t="s">
        <v>5401</v>
      </c>
      <c r="O180" t="s">
        <v>6853</v>
      </c>
      <c r="P180">
        <v>1997</v>
      </c>
      <c r="Q180">
        <v>195</v>
      </c>
      <c r="R180" t="s">
        <v>6663</v>
      </c>
      <c r="S180" s="1">
        <v>40725</v>
      </c>
      <c r="T180" s="1">
        <v>40726</v>
      </c>
      <c r="U180" t="str">
        <f ca="1">IF(RANDBETWEEN(1,10)&gt;1,"rg:False","rg:True")</f>
        <v>rg:False</v>
      </c>
      <c r="V180" t="str">
        <f ca="1">IF(U180="rg:True","This equipment should be archived","rg:None")</f>
        <v>rg:None</v>
      </c>
      <c r="W180" t="s">
        <v>7252</v>
      </c>
      <c r="X180" t="s">
        <v>76</v>
      </c>
      <c r="Y180" t="s">
        <v>76</v>
      </c>
      <c r="Z180" t="s">
        <v>76</v>
      </c>
      <c r="AA180" t="s">
        <v>7599</v>
      </c>
      <c r="AB180" t="s">
        <v>7402</v>
      </c>
      <c r="AC180">
        <v>0</v>
      </c>
      <c r="AD180" t="str">
        <f ca="1">IF(RANDBETWEEN(1,20)&gt;1,"rg:False","rg:True")</f>
        <v>rg:False</v>
      </c>
      <c r="AE180" t="str">
        <f ca="1">IF(AD180="rg:True","Seniority overridden to test things","rg:None")</f>
        <v>rg:None</v>
      </c>
      <c r="AF180" s="1">
        <v>42485</v>
      </c>
      <c r="AG180" s="4">
        <f ca="1">IF(I180="Dump Truck",60,30)*AH180+(AVERAGE(AI180:AK180))</f>
        <v>226.75</v>
      </c>
      <c r="AH180" s="4">
        <f>YEARFRAC(DATE("2016","4","1"),T180)</f>
        <v>4.7472222222222218</v>
      </c>
      <c r="AI180">
        <f ca="1">IF(AH180&lt;1,0,RANDBETWEEN(0,200))</f>
        <v>61</v>
      </c>
      <c r="AJ180">
        <f ca="1">IF(AH180&lt;2,0,RANDBETWEEN(0,200))</f>
        <v>69</v>
      </c>
      <c r="AK180">
        <f ca="1">IF(AH180&lt;3,0,RANDBETWEEN(0,200))</f>
        <v>123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>IF(ISNUMBER(B180),B180+1,200000)</f>
        <v>200179</v>
      </c>
      <c r="C181">
        <v>200050</v>
      </c>
      <c r="D181" t="str">
        <f>"rg:{'id': '"&amp;C181&amp;"'}"</f>
        <v>rg:{'id': '200050'}</v>
      </c>
      <c r="E181">
        <f>VLOOKUP(C181,Owners.csv!C:J,6,FALSE)</f>
        <v>200002</v>
      </c>
      <c r="F181" t="str">
        <f>VLOOKUP(VLOOKUP(E181,LocalAreas.csv!I:K,3,FALSE),ServiceAreas.csv!F:J,5,FALSE)</f>
        <v>200009</v>
      </c>
      <c r="G181" t="str">
        <f>"rg:{'id': '"&amp;E181&amp;"'}"</f>
        <v>rg:{'id': '200002'}</v>
      </c>
      <c r="H181" t="s">
        <v>7730</v>
      </c>
      <c r="I181" t="s">
        <v>5651</v>
      </c>
      <c r="J181">
        <f>VLOOKUP(I181&amp;"-"&amp;F181,DistrictEquipmentTypes.csv!J:K,2,FALSE)</f>
        <v>200006</v>
      </c>
      <c r="K181" t="str">
        <f>"rg:{'id': '"&amp;J181&amp;"'}"</f>
        <v>rg:{'id': '200006'}</v>
      </c>
      <c r="L181">
        <f>IF(C181=C180,L180+1,1)</f>
        <v>1</v>
      </c>
      <c r="M181" t="str">
        <f>VLOOKUP(C181,Owners.csv!C:K,9,FALSE)&amp;TEXT(Equipment.csv!L181,"0000")</f>
        <v>LIND0001</v>
      </c>
      <c r="N181" t="s">
        <v>5401</v>
      </c>
      <c r="O181" t="s">
        <v>6808</v>
      </c>
      <c r="P181">
        <v>1983</v>
      </c>
      <c r="Q181">
        <v>150</v>
      </c>
      <c r="R181" t="s">
        <v>6663</v>
      </c>
      <c r="S181" s="1">
        <v>41555</v>
      </c>
      <c r="T181" s="1">
        <v>41586</v>
      </c>
      <c r="U181" t="str">
        <f ca="1">IF(RANDBETWEEN(1,10)&gt;1,"rg:False","rg:True")</f>
        <v>rg:False</v>
      </c>
      <c r="V181" t="str">
        <f ca="1">IF(U181="rg:True","This equipment should be archived","rg:None")</f>
        <v>rg:None</v>
      </c>
      <c r="W181" t="s">
        <v>7207</v>
      </c>
      <c r="X181" t="s">
        <v>76</v>
      </c>
      <c r="Y181" t="s">
        <v>76</v>
      </c>
      <c r="Z181" t="s">
        <v>76</v>
      </c>
      <c r="AA181" t="s">
        <v>7554</v>
      </c>
      <c r="AB181" t="s">
        <v>7263</v>
      </c>
      <c r="AC181">
        <v>0</v>
      </c>
      <c r="AD181" t="str">
        <f ca="1">IF(RANDBETWEEN(1,20)&gt;1,"rg:False","rg:True")</f>
        <v>rg:False</v>
      </c>
      <c r="AE181" t="str">
        <f ca="1">IF(AD181="rg:True","Seniority overridden to test things","rg:None")</f>
        <v>rg:None</v>
      </c>
      <c r="AF181" s="1">
        <v>42481</v>
      </c>
      <c r="AG181" s="4">
        <f ca="1">IF(I181="Dump Truck",60,30)*AH181+(AVERAGE(AI181:AK181))</f>
        <v>177.16666666666666</v>
      </c>
      <c r="AH181" s="4">
        <f>YEARFRAC(DATE("2016","4","1"),T181)</f>
        <v>2.3972222222222221</v>
      </c>
      <c r="AI181">
        <f ca="1">IF(AH181&lt;1,0,RANDBETWEEN(0,200))</f>
        <v>74</v>
      </c>
      <c r="AJ181">
        <f ca="1">IF(AH181&lt;2,0,RANDBETWEEN(0,200))</f>
        <v>26</v>
      </c>
      <c r="AK181">
        <f ca="1">IF(AH181&lt;3,0,RANDBETWEEN(0,200))</f>
        <v>0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>IF(ISNUMBER(B181),B181+1,200000)</f>
        <v>200180</v>
      </c>
      <c r="C182">
        <v>200050</v>
      </c>
      <c r="D182" t="str">
        <f>"rg:{'id': '"&amp;C182&amp;"'}"</f>
        <v>rg:{'id': '200050'}</v>
      </c>
      <c r="E182">
        <f>VLOOKUP(C182,Owners.csv!C:J,6,FALSE)</f>
        <v>200002</v>
      </c>
      <c r="F182" t="str">
        <f>VLOOKUP(VLOOKUP(E182,LocalAreas.csv!I:K,3,FALSE),ServiceAreas.csv!F:J,5,FALSE)</f>
        <v>200009</v>
      </c>
      <c r="G182" t="str">
        <f>"rg:{'id': '"&amp;E182&amp;"'}"</f>
        <v>rg:{'id': '200002'}</v>
      </c>
      <c r="H182" t="s">
        <v>7755</v>
      </c>
      <c r="I182" t="s">
        <v>5637</v>
      </c>
      <c r="J182">
        <f>VLOOKUP(I182&amp;"-"&amp;F182,DistrictEquipmentTypes.csv!J:K,2,FALSE)</f>
        <v>200001</v>
      </c>
      <c r="K182" t="str">
        <f>"rg:{'id': '"&amp;J182&amp;"'}"</f>
        <v>rg:{'id': '200001'}</v>
      </c>
      <c r="L182">
        <f>IF(C182=C181,L181+1,1)</f>
        <v>2</v>
      </c>
      <c r="M182" t="str">
        <f>VLOOKUP(C182,Owners.csv!C:K,9,FALSE)&amp;TEXT(Equipment.csv!L182,"0000")</f>
        <v>LIND0002</v>
      </c>
      <c r="N182" t="s">
        <v>5401</v>
      </c>
      <c r="O182" t="s">
        <v>6834</v>
      </c>
      <c r="P182">
        <v>1988</v>
      </c>
      <c r="Q182">
        <v>176</v>
      </c>
      <c r="R182" t="s">
        <v>6663</v>
      </c>
      <c r="S182" s="1">
        <v>37879</v>
      </c>
      <c r="T182" s="1">
        <v>37909</v>
      </c>
      <c r="U182" t="str">
        <f ca="1">IF(RANDBETWEEN(1,10)&gt;1,"rg:False","rg:True")</f>
        <v>rg:False</v>
      </c>
      <c r="V182" t="str">
        <f ca="1">IF(U182="rg:True","This equipment should be archived","rg:None")</f>
        <v>rg:None</v>
      </c>
      <c r="W182" t="s">
        <v>7233</v>
      </c>
      <c r="X182" t="s">
        <v>76</v>
      </c>
      <c r="Y182" t="s">
        <v>76</v>
      </c>
      <c r="Z182" t="s">
        <v>76</v>
      </c>
      <c r="AA182" t="s">
        <v>7580</v>
      </c>
      <c r="AB182" t="s">
        <v>7289</v>
      </c>
      <c r="AC182">
        <v>0</v>
      </c>
      <c r="AD182" t="str">
        <f ca="1">IF(RANDBETWEEN(1,20)&gt;1,"rg:False","rg:True")</f>
        <v>rg:False</v>
      </c>
      <c r="AE182" t="str">
        <f ca="1">IF(AD182="rg:True","Seniority overridden to test things","rg:None")</f>
        <v>rg:None</v>
      </c>
      <c r="AF182" s="1">
        <v>42481</v>
      </c>
      <c r="AG182" s="4">
        <f ca="1">IF(I182="Dump Truck",60,30)*AH182+(AVERAGE(AI182:AK182))</f>
        <v>477.83333333333331</v>
      </c>
      <c r="AH182" s="4">
        <f>YEARFRAC(DATE("2016","4","1"),T182)</f>
        <v>12.46111111111111</v>
      </c>
      <c r="AI182">
        <f ca="1">IF(AH182&lt;1,0,RANDBETWEEN(0,200))</f>
        <v>152</v>
      </c>
      <c r="AJ182">
        <f ca="1">IF(AH182&lt;2,0,RANDBETWEEN(0,200))</f>
        <v>43</v>
      </c>
      <c r="AK182">
        <f ca="1">IF(AH182&lt;3,0,RANDBETWEEN(0,200))</f>
        <v>117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>IF(ISNUMBER(B182),B182+1,200000)</f>
        <v>200181</v>
      </c>
      <c r="C183">
        <v>200050</v>
      </c>
      <c r="D183" t="str">
        <f>"rg:{'id': '"&amp;C183&amp;"'}"</f>
        <v>rg:{'id': '200050'}</v>
      </c>
      <c r="E183">
        <f>VLOOKUP(C183,Owners.csv!C:J,6,FALSE)</f>
        <v>200002</v>
      </c>
      <c r="F183" t="str">
        <f>VLOOKUP(VLOOKUP(E183,LocalAreas.csv!I:K,3,FALSE),ServiceAreas.csv!F:J,5,FALSE)</f>
        <v>200009</v>
      </c>
      <c r="G183" t="str">
        <f>"rg:{'id': '"&amp;E183&amp;"'}"</f>
        <v>rg:{'id': '200002'}</v>
      </c>
      <c r="H183" t="s">
        <v>7764</v>
      </c>
      <c r="I183" t="s">
        <v>5536</v>
      </c>
      <c r="J183">
        <f>VLOOKUP(I183&amp;"-"&amp;F183,DistrictEquipmentTypes.csv!J:K,2,FALSE)</f>
        <v>200000</v>
      </c>
      <c r="K183" t="str">
        <f>"rg:{'id': '"&amp;J183&amp;"'}"</f>
        <v>rg:{'id': '200000'}</v>
      </c>
      <c r="L183">
        <f>IF(C183=C182,L182+1,1)</f>
        <v>3</v>
      </c>
      <c r="M183" t="str">
        <f>VLOOKUP(C183,Owners.csv!C:K,9,FALSE)&amp;TEXT(Equipment.csv!L183,"0000")</f>
        <v>LIND0003</v>
      </c>
      <c r="N183" t="s">
        <v>5401</v>
      </c>
      <c r="O183" t="s">
        <v>6854</v>
      </c>
      <c r="P183">
        <v>1994</v>
      </c>
      <c r="Q183">
        <v>196</v>
      </c>
      <c r="R183" t="s">
        <v>6663</v>
      </c>
      <c r="S183" s="1">
        <v>38957</v>
      </c>
      <c r="T183" s="1">
        <v>38962</v>
      </c>
      <c r="U183" t="str">
        <f ca="1">IF(RANDBETWEEN(1,10)&gt;1,"rg:False","rg:True")</f>
        <v>rg:False</v>
      </c>
      <c r="V183" t="str">
        <f ca="1">IF(U183="rg:True","This equipment should be archived","rg:None")</f>
        <v>rg:None</v>
      </c>
      <c r="W183" t="s">
        <v>7253</v>
      </c>
      <c r="X183" t="s">
        <v>76</v>
      </c>
      <c r="Y183" t="s">
        <v>76</v>
      </c>
      <c r="Z183" t="s">
        <v>76</v>
      </c>
      <c r="AA183" t="s">
        <v>7600</v>
      </c>
      <c r="AB183" t="s">
        <v>7390</v>
      </c>
      <c r="AC183">
        <v>0</v>
      </c>
      <c r="AD183" t="str">
        <f ca="1">IF(RANDBETWEEN(1,20)&gt;1,"rg:False","rg:True")</f>
        <v>rg:False</v>
      </c>
      <c r="AE183" t="str">
        <f ca="1">IF(AD183="rg:True","Seniority overridden to test things","rg:None")</f>
        <v>rg:None</v>
      </c>
      <c r="AF183" s="1">
        <v>42486</v>
      </c>
      <c r="AG183" s="4">
        <f ca="1">IF(I183="Dump Truck",60,30)*AH183+(AVERAGE(AI183:AK183))</f>
        <v>413.41666666666669</v>
      </c>
      <c r="AH183" s="4">
        <f>YEARFRAC(DATE("2016","4","1"),T183)</f>
        <v>9.5805555555555557</v>
      </c>
      <c r="AI183">
        <f ca="1">IF(AH183&lt;1,0,RANDBETWEEN(0,200))</f>
        <v>160</v>
      </c>
      <c r="AJ183">
        <f ca="1">IF(AH183&lt;2,0,RANDBETWEEN(0,200))</f>
        <v>171</v>
      </c>
      <c r="AK183">
        <f ca="1">IF(AH183&lt;3,0,RANDBETWEEN(0,200))</f>
        <v>47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>IF(ISNUMBER(B183),B183+1,200000)</f>
        <v>200182</v>
      </c>
      <c r="C184">
        <v>200051</v>
      </c>
      <c r="D184" t="str">
        <f>"rg:{'id': '"&amp;C184&amp;"'}"</f>
        <v>rg:{'id': '200051'}</v>
      </c>
      <c r="E184">
        <f>VLOOKUP(C184,Owners.csv!C:J,6,FALSE)</f>
        <v>200002</v>
      </c>
      <c r="F184" t="str">
        <f>VLOOKUP(VLOOKUP(E184,LocalAreas.csv!I:K,3,FALSE),ServiceAreas.csv!F:J,5,FALSE)</f>
        <v>200009</v>
      </c>
      <c r="G184" t="str">
        <f>"rg:{'id': '"&amp;E184&amp;"'}"</f>
        <v>rg:{'id': '200002'}</v>
      </c>
      <c r="H184" t="s">
        <v>7745</v>
      </c>
      <c r="I184" t="s">
        <v>5651</v>
      </c>
      <c r="J184">
        <f>VLOOKUP(I184&amp;"-"&amp;F184,DistrictEquipmentTypes.csv!J:K,2,FALSE)</f>
        <v>200006</v>
      </c>
      <c r="K184" t="str">
        <f>"rg:{'id': '"&amp;J184&amp;"'}"</f>
        <v>rg:{'id': '200006'}</v>
      </c>
      <c r="L184">
        <f>IF(C184=C183,L183+1,1)</f>
        <v>1</v>
      </c>
      <c r="M184" t="str">
        <f>VLOOKUP(C184,Owners.csv!C:K,9,FALSE)&amp;TEXT(Equipment.csv!L184,"0000")</f>
        <v>LION0001</v>
      </c>
      <c r="N184" t="s">
        <v>5401</v>
      </c>
      <c r="O184" t="s">
        <v>6809</v>
      </c>
      <c r="P184">
        <v>2005</v>
      </c>
      <c r="Q184">
        <v>151</v>
      </c>
      <c r="R184" t="s">
        <v>6663</v>
      </c>
      <c r="S184" s="1">
        <v>39630</v>
      </c>
      <c r="T184" s="1">
        <v>39659</v>
      </c>
      <c r="U184" t="str">
        <f ca="1">IF(RANDBETWEEN(1,10)&gt;1,"rg:False","rg:True")</f>
        <v>rg:False</v>
      </c>
      <c r="V184" t="str">
        <f ca="1">IF(U184="rg:True","This equipment should be archived","rg:None")</f>
        <v>rg:None</v>
      </c>
      <c r="W184" t="s">
        <v>7208</v>
      </c>
      <c r="X184" t="s">
        <v>76</v>
      </c>
      <c r="Y184" t="s">
        <v>76</v>
      </c>
      <c r="Z184" t="s">
        <v>76</v>
      </c>
      <c r="AA184" t="s">
        <v>7555</v>
      </c>
      <c r="AB184" t="s">
        <v>7375</v>
      </c>
      <c r="AC184">
        <v>0</v>
      </c>
      <c r="AD184" t="str">
        <f ca="1">IF(RANDBETWEEN(1,20)&gt;1,"rg:False","rg:True")</f>
        <v>rg:False</v>
      </c>
      <c r="AE184" t="str">
        <f ca="1">IF(AD184="rg:True","Seniority overridden to test things","rg:None")</f>
        <v>rg:None</v>
      </c>
      <c r="AF184" s="1">
        <v>42481</v>
      </c>
      <c r="AG184" s="4">
        <f ca="1">IF(I184="Dump Truck",60,30)*AH184+(AVERAGE(AI184:AK184))</f>
        <v>518.83333333333326</v>
      </c>
      <c r="AH184" s="4">
        <f>YEARFRAC(DATE("2016","4","1"),T184)</f>
        <v>7.6694444444444443</v>
      </c>
      <c r="AI184">
        <f ca="1">IF(AH184&lt;1,0,RANDBETWEEN(0,200))</f>
        <v>97</v>
      </c>
      <c r="AJ184">
        <f ca="1">IF(AH184&lt;2,0,RANDBETWEEN(0,200))</f>
        <v>77</v>
      </c>
      <c r="AK184">
        <f ca="1">IF(AH184&lt;3,0,RANDBETWEEN(0,200))</f>
        <v>2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>IF(ISNUMBER(B184),B184+1,200000)</f>
        <v>200183</v>
      </c>
      <c r="C185">
        <v>200051</v>
      </c>
      <c r="D185" t="str">
        <f>"rg:{'id': '"&amp;C185&amp;"'}"</f>
        <v>rg:{'id': '200051'}</v>
      </c>
      <c r="E185">
        <f>VLOOKUP(C185,Owners.csv!C:J,6,FALSE)</f>
        <v>200002</v>
      </c>
      <c r="F185" t="str">
        <f>VLOOKUP(VLOOKUP(E185,LocalAreas.csv!I:K,3,FALSE),ServiceAreas.csv!F:J,5,FALSE)</f>
        <v>200009</v>
      </c>
      <c r="G185" t="str">
        <f>"rg:{'id': '"&amp;E185&amp;"'}"</f>
        <v>rg:{'id': '200002'}</v>
      </c>
      <c r="H185" t="s">
        <v>7731</v>
      </c>
      <c r="I185" t="s">
        <v>5637</v>
      </c>
      <c r="J185">
        <f>VLOOKUP(I185&amp;"-"&amp;F185,DistrictEquipmentTypes.csv!J:K,2,FALSE)</f>
        <v>200001</v>
      </c>
      <c r="K185" t="str">
        <f>"rg:{'id': '"&amp;J185&amp;"'}"</f>
        <v>rg:{'id': '200001'}</v>
      </c>
      <c r="L185">
        <f>IF(C185=C184,L184+1,1)</f>
        <v>2</v>
      </c>
      <c r="M185" t="str">
        <f>VLOOKUP(C185,Owners.csv!C:K,9,FALSE)&amp;TEXT(Equipment.csv!L185,"0000")</f>
        <v>LION0002</v>
      </c>
      <c r="N185" t="s">
        <v>5401</v>
      </c>
      <c r="O185" t="s">
        <v>6835</v>
      </c>
      <c r="P185">
        <v>2003</v>
      </c>
      <c r="Q185">
        <v>177</v>
      </c>
      <c r="R185" t="s">
        <v>6663</v>
      </c>
      <c r="S185" s="1">
        <v>40663</v>
      </c>
      <c r="T185" s="1">
        <v>40680</v>
      </c>
      <c r="U185" t="str">
        <f ca="1">IF(RANDBETWEEN(1,10)&gt;1,"rg:False","rg:True")</f>
        <v>rg:True</v>
      </c>
      <c r="V185" t="str">
        <f ca="1">IF(U185="rg:True","This equipment should be archived","rg:None")</f>
        <v>This equipment should be archived</v>
      </c>
      <c r="W185" t="s">
        <v>7234</v>
      </c>
      <c r="X185" t="s">
        <v>76</v>
      </c>
      <c r="Y185" t="s">
        <v>76</v>
      </c>
      <c r="Z185" t="s">
        <v>76</v>
      </c>
      <c r="AA185" t="s">
        <v>7581</v>
      </c>
      <c r="AB185" t="s">
        <v>7391</v>
      </c>
      <c r="AC185">
        <v>0</v>
      </c>
      <c r="AD185" t="str">
        <f ca="1">IF(RANDBETWEEN(1,20)&gt;1,"rg:False","rg:True")</f>
        <v>rg:False</v>
      </c>
      <c r="AE185" t="str">
        <f ca="1">IF(AD185="rg:True","Seniority overridden to test things","rg:None")</f>
        <v>rg:None</v>
      </c>
      <c r="AF185" s="1">
        <v>42481</v>
      </c>
      <c r="AG185" s="4">
        <f ca="1">IF(I185="Dump Truck",60,30)*AH185+(AVERAGE(AI185:AK185))</f>
        <v>257.83333333333331</v>
      </c>
      <c r="AH185" s="4">
        <f>YEARFRAC(DATE("2016","4","1"),T185)</f>
        <v>4.8722222222222218</v>
      </c>
      <c r="AI185">
        <f ca="1">IF(AH185&lt;1,0,RANDBETWEEN(0,200))</f>
        <v>54</v>
      </c>
      <c r="AJ185">
        <f ca="1">IF(AH185&lt;2,0,RANDBETWEEN(0,200))</f>
        <v>92</v>
      </c>
      <c r="AK185">
        <f ca="1">IF(AH185&lt;3,0,RANDBETWEEN(0,200))</f>
        <v>189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>IF(ISNUMBER(B185),B185+1,200000)</f>
        <v>200184</v>
      </c>
      <c r="C186">
        <v>200051</v>
      </c>
      <c r="D186" t="str">
        <f>"rg:{'id': '"&amp;C186&amp;"'}"</f>
        <v>rg:{'id': '200051'}</v>
      </c>
      <c r="E186">
        <f>VLOOKUP(C186,Owners.csv!C:J,6,FALSE)</f>
        <v>200002</v>
      </c>
      <c r="F186" t="str">
        <f>VLOOKUP(VLOOKUP(E186,LocalAreas.csv!I:K,3,FALSE),ServiceAreas.csv!F:J,5,FALSE)</f>
        <v>200009</v>
      </c>
      <c r="G186" t="str">
        <f>"rg:{'id': '"&amp;E186&amp;"'}"</f>
        <v>rg:{'id': '200002'}</v>
      </c>
      <c r="H186" t="s">
        <v>7680</v>
      </c>
      <c r="I186" t="s">
        <v>5536</v>
      </c>
      <c r="J186">
        <f>VLOOKUP(I186&amp;"-"&amp;F186,DistrictEquipmentTypes.csv!J:K,2,FALSE)</f>
        <v>200000</v>
      </c>
      <c r="K186" t="str">
        <f>"rg:{'id': '"&amp;J186&amp;"'}"</f>
        <v>rg:{'id': '200000'}</v>
      </c>
      <c r="L186">
        <f>IF(C186=C185,L185+1,1)</f>
        <v>3</v>
      </c>
      <c r="M186" t="str">
        <f>VLOOKUP(C186,Owners.csv!C:K,9,FALSE)&amp;TEXT(Equipment.csv!L186,"0000")</f>
        <v>LION0003</v>
      </c>
      <c r="N186" t="s">
        <v>5401</v>
      </c>
      <c r="O186" t="s">
        <v>6855</v>
      </c>
      <c r="P186">
        <v>1994</v>
      </c>
      <c r="Q186">
        <v>197</v>
      </c>
      <c r="R186" t="s">
        <v>6663</v>
      </c>
      <c r="S186" s="1">
        <v>40088</v>
      </c>
      <c r="T186" s="1">
        <v>40107</v>
      </c>
      <c r="U186" t="str">
        <f ca="1">IF(RANDBETWEEN(1,10)&gt;1,"rg:False","rg:True")</f>
        <v>rg:False</v>
      </c>
      <c r="V186" t="str">
        <f ca="1">IF(U186="rg:True","This equipment should be archived","rg:None")</f>
        <v>rg:None</v>
      </c>
      <c r="W186" t="s">
        <v>7254</v>
      </c>
      <c r="X186" t="s">
        <v>76</v>
      </c>
      <c r="Y186" t="s">
        <v>76</v>
      </c>
      <c r="Z186" t="s">
        <v>76</v>
      </c>
      <c r="AA186" t="s">
        <v>7601</v>
      </c>
      <c r="AB186" t="s">
        <v>7403</v>
      </c>
      <c r="AC186">
        <v>0</v>
      </c>
      <c r="AD186" t="str">
        <f ca="1">IF(RANDBETWEEN(1,20)&gt;1,"rg:False","rg:True")</f>
        <v>rg:False</v>
      </c>
      <c r="AE186" t="str">
        <f ca="1">IF(AD186="rg:True","Seniority overridden to test things","rg:None")</f>
        <v>rg:None</v>
      </c>
      <c r="AF186" s="1">
        <v>42487</v>
      </c>
      <c r="AG186" s="4">
        <f ca="1">IF(I186="Dump Truck",60,30)*AH186+(AVERAGE(AI186:AK186))</f>
        <v>248.66666666666669</v>
      </c>
      <c r="AH186" s="4">
        <f>YEARFRAC(DATE("2016","4","1"),T186)</f>
        <v>6.4444444444444446</v>
      </c>
      <c r="AI186">
        <f ca="1">IF(AH186&lt;1,0,RANDBETWEEN(0,200))</f>
        <v>15</v>
      </c>
      <c r="AJ186">
        <f ca="1">IF(AH186&lt;2,0,RANDBETWEEN(0,200))</f>
        <v>142</v>
      </c>
      <c r="AK186">
        <f ca="1">IF(AH186&lt;3,0,RANDBETWEEN(0,200))</f>
        <v>9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>IF(ISNUMBER(B186),B186+1,200000)</f>
        <v>200185</v>
      </c>
      <c r="C187">
        <v>200052</v>
      </c>
      <c r="D187" t="str">
        <f>"rg:{'id': '"&amp;C187&amp;"'}"</f>
        <v>rg:{'id': '200052'}</v>
      </c>
      <c r="E187">
        <f>VLOOKUP(C187,Owners.csv!C:J,6,FALSE)</f>
        <v>200002</v>
      </c>
      <c r="F187" t="str">
        <f>VLOOKUP(VLOOKUP(E187,LocalAreas.csv!I:K,3,FALSE),ServiceAreas.csv!F:J,5,FALSE)</f>
        <v>200009</v>
      </c>
      <c r="G187" t="str">
        <f>"rg:{'id': '"&amp;E187&amp;"'}"</f>
        <v>rg:{'id': '200002'}</v>
      </c>
      <c r="H187" t="s">
        <v>7746</v>
      </c>
      <c r="I187" t="s">
        <v>5651</v>
      </c>
      <c r="J187">
        <f>VLOOKUP(I187&amp;"-"&amp;F187,DistrictEquipmentTypes.csv!J:K,2,FALSE)</f>
        <v>200006</v>
      </c>
      <c r="K187" t="str">
        <f>"rg:{'id': '"&amp;J187&amp;"'}"</f>
        <v>rg:{'id': '200006'}</v>
      </c>
      <c r="L187">
        <f>IF(C187=C186,L186+1,1)</f>
        <v>1</v>
      </c>
      <c r="M187" t="str">
        <f>VLOOKUP(C187,Owners.csv!C:K,9,FALSE)&amp;TEXT(Equipment.csv!L187,"0000")</f>
        <v>LITT0001</v>
      </c>
      <c r="N187" t="s">
        <v>5401</v>
      </c>
      <c r="O187" t="s">
        <v>6810</v>
      </c>
      <c r="P187">
        <v>1999</v>
      </c>
      <c r="Q187">
        <v>152</v>
      </c>
      <c r="R187" t="s">
        <v>6663</v>
      </c>
      <c r="S187" s="1">
        <v>41160</v>
      </c>
      <c r="T187" s="1">
        <v>41181</v>
      </c>
      <c r="U187" t="str">
        <f ca="1">IF(RANDBETWEEN(1,10)&gt;1,"rg:False","rg:True")</f>
        <v>rg:False</v>
      </c>
      <c r="V187" t="str">
        <f ca="1">IF(U187="rg:True","This equipment should be archived","rg:None")</f>
        <v>rg:None</v>
      </c>
      <c r="W187" t="s">
        <v>7209</v>
      </c>
      <c r="X187" t="s">
        <v>76</v>
      </c>
      <c r="Y187" t="s">
        <v>76</v>
      </c>
      <c r="Z187" t="s">
        <v>76</v>
      </c>
      <c r="AA187" t="s">
        <v>7556</v>
      </c>
      <c r="AB187" t="s">
        <v>7376</v>
      </c>
      <c r="AC187">
        <v>0</v>
      </c>
      <c r="AD187" t="str">
        <f ca="1">IF(RANDBETWEEN(1,20)&gt;1,"rg:False","rg:True")</f>
        <v>rg:False</v>
      </c>
      <c r="AE187" t="str">
        <f ca="1">IF(AD187="rg:True","Seniority overridden to test things","rg:None")</f>
        <v>rg:None</v>
      </c>
      <c r="AF187" s="1">
        <v>42481</v>
      </c>
      <c r="AG187" s="4">
        <f ca="1">IF(I187="Dump Truck",60,30)*AH187+(AVERAGE(AI187:AK187))</f>
        <v>333.66666666666669</v>
      </c>
      <c r="AH187" s="4">
        <f>YEARFRAC(DATE("2016","4","1"),T187)</f>
        <v>3.5055555555555555</v>
      </c>
      <c r="AI187">
        <f ca="1">IF(AH187&lt;1,0,RANDBETWEEN(0,200))</f>
        <v>155</v>
      </c>
      <c r="AJ187">
        <f ca="1">IF(AH187&lt;2,0,RANDBETWEEN(0,200))</f>
        <v>101</v>
      </c>
      <c r="AK187">
        <f ca="1">IF(AH187&lt;3,0,RANDBETWEEN(0,200))</f>
        <v>114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>IF(ISNUMBER(B187),B187+1,200000)</f>
        <v>200186</v>
      </c>
      <c r="C188">
        <v>200052</v>
      </c>
      <c r="D188" t="str">
        <f>"rg:{'id': '"&amp;C188&amp;"'}"</f>
        <v>rg:{'id': '200052'}</v>
      </c>
      <c r="E188">
        <f>VLOOKUP(C188,Owners.csv!C:J,6,FALSE)</f>
        <v>200002</v>
      </c>
      <c r="F188" t="str">
        <f>VLOOKUP(VLOOKUP(E188,LocalAreas.csv!I:K,3,FALSE),ServiceAreas.csv!F:J,5,FALSE)</f>
        <v>200009</v>
      </c>
      <c r="G188" t="str">
        <f>"rg:{'id': '"&amp;E188&amp;"'}"</f>
        <v>rg:{'id': '200002'}</v>
      </c>
      <c r="H188" t="s">
        <v>7756</v>
      </c>
      <c r="I188" t="s">
        <v>5637</v>
      </c>
      <c r="J188">
        <f>VLOOKUP(I188&amp;"-"&amp;F188,DistrictEquipmentTypes.csv!J:K,2,FALSE)</f>
        <v>200001</v>
      </c>
      <c r="K188" t="str">
        <f>"rg:{'id': '"&amp;J188&amp;"'}"</f>
        <v>rg:{'id': '200001'}</v>
      </c>
      <c r="L188">
        <f>IF(C188=C187,L187+1,1)</f>
        <v>2</v>
      </c>
      <c r="M188" t="str">
        <f>VLOOKUP(C188,Owners.csv!C:K,9,FALSE)&amp;TEXT(Equipment.csv!L188,"0000")</f>
        <v>LITT0002</v>
      </c>
      <c r="N188" t="s">
        <v>5401</v>
      </c>
      <c r="O188" t="s">
        <v>6836</v>
      </c>
      <c r="P188">
        <v>1995</v>
      </c>
      <c r="Q188">
        <v>178</v>
      </c>
      <c r="R188" t="s">
        <v>6663</v>
      </c>
      <c r="S188" s="1">
        <v>42192</v>
      </c>
      <c r="T188" s="1">
        <v>42194</v>
      </c>
      <c r="U188" t="str">
        <f ca="1">IF(RANDBETWEEN(1,10)&gt;1,"rg:False","rg:True")</f>
        <v>rg:False</v>
      </c>
      <c r="V188" t="str">
        <f ca="1">IF(U188="rg:True","This equipment should be archived","rg:None")</f>
        <v>rg:None</v>
      </c>
      <c r="W188" t="s">
        <v>7235</v>
      </c>
      <c r="X188" t="s">
        <v>76</v>
      </c>
      <c r="Y188" t="s">
        <v>76</v>
      </c>
      <c r="Z188" t="s">
        <v>76</v>
      </c>
      <c r="AA188" t="s">
        <v>7582</v>
      </c>
      <c r="AB188" t="s">
        <v>7392</v>
      </c>
      <c r="AC188">
        <v>0</v>
      </c>
      <c r="AD188" t="str">
        <f ca="1">IF(RANDBETWEEN(1,20)&gt;1,"rg:False","rg:True")</f>
        <v>rg:False</v>
      </c>
      <c r="AE188" t="str">
        <f ca="1">IF(AD188="rg:True","Seniority overridden to test things","rg:None")</f>
        <v>rg:None</v>
      </c>
      <c r="AF188" s="1">
        <v>42481</v>
      </c>
      <c r="AG188" s="4">
        <f ca="1">IF(I188="Dump Truck",60,30)*AH188+(AVERAGE(AI188:AK188))</f>
        <v>21.833333333333332</v>
      </c>
      <c r="AH188" s="4">
        <f>YEARFRAC(DATE("2016","4","1"),T188)</f>
        <v>0.72777777777777775</v>
      </c>
      <c r="AI188">
        <f ca="1">IF(AH188&lt;1,0,RANDBETWEEN(0,200))</f>
        <v>0</v>
      </c>
      <c r="AJ188">
        <f ca="1">IF(AH188&lt;2,0,RANDBETWEEN(0,200))</f>
        <v>0</v>
      </c>
      <c r="AK188">
        <f ca="1">IF(AH188&lt;3,0,RANDBETWEEN(0,200))</f>
        <v>0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>IF(ISNUMBER(B188),B188+1,200000)</f>
        <v>200187</v>
      </c>
      <c r="C189">
        <v>200052</v>
      </c>
      <c r="D189" t="str">
        <f>"rg:{'id': '"&amp;C189&amp;"'}"</f>
        <v>rg:{'id': '200052'}</v>
      </c>
      <c r="E189">
        <f>VLOOKUP(C189,Owners.csv!C:J,6,FALSE)</f>
        <v>200002</v>
      </c>
      <c r="F189" t="str">
        <f>VLOOKUP(VLOOKUP(E189,LocalAreas.csv!I:K,3,FALSE),ServiceAreas.csv!F:J,5,FALSE)</f>
        <v>200009</v>
      </c>
      <c r="G189" t="str">
        <f>"rg:{'id': '"&amp;E189&amp;"'}"</f>
        <v>rg:{'id': '200002'}</v>
      </c>
      <c r="H189" t="s">
        <v>7765</v>
      </c>
      <c r="I189" t="s">
        <v>5536</v>
      </c>
      <c r="J189">
        <f>VLOOKUP(I189&amp;"-"&amp;F189,DistrictEquipmentTypes.csv!J:K,2,FALSE)</f>
        <v>200000</v>
      </c>
      <c r="K189" t="str">
        <f>"rg:{'id': '"&amp;J189&amp;"'}"</f>
        <v>rg:{'id': '200000'}</v>
      </c>
      <c r="L189">
        <f>IF(C189=C188,L188+1,1)</f>
        <v>3</v>
      </c>
      <c r="M189" t="str">
        <f>VLOOKUP(C189,Owners.csv!C:K,9,FALSE)&amp;TEXT(Equipment.csv!L189,"0000")</f>
        <v>LITT0003</v>
      </c>
      <c r="N189" t="s">
        <v>5401</v>
      </c>
      <c r="O189" t="s">
        <v>6856</v>
      </c>
      <c r="P189">
        <v>2002</v>
      </c>
      <c r="Q189">
        <v>198</v>
      </c>
      <c r="R189" t="s">
        <v>6663</v>
      </c>
      <c r="S189" s="1">
        <v>40388</v>
      </c>
      <c r="T189" s="1">
        <v>40408</v>
      </c>
      <c r="U189" t="str">
        <f ca="1">IF(RANDBETWEEN(1,10)&gt;1,"rg:False","rg:True")</f>
        <v>rg:True</v>
      </c>
      <c r="V189" t="str">
        <f ca="1">IF(U189="rg:True","This equipment should be archived","rg:None")</f>
        <v>This equipment should be archived</v>
      </c>
      <c r="W189" t="s">
        <v>7255</v>
      </c>
      <c r="X189" t="s">
        <v>76</v>
      </c>
      <c r="Y189" t="s">
        <v>76</v>
      </c>
      <c r="Z189" t="s">
        <v>76</v>
      </c>
      <c r="AA189" t="s">
        <v>7602</v>
      </c>
      <c r="AB189" t="s">
        <v>7404</v>
      </c>
      <c r="AC189">
        <v>0</v>
      </c>
      <c r="AD189" t="str">
        <f ca="1">IF(RANDBETWEEN(1,20)&gt;1,"rg:False","rg:True")</f>
        <v>rg:False</v>
      </c>
      <c r="AE189" t="str">
        <f ca="1">IF(AD189="rg:True","Seniority overridden to test things","rg:None")</f>
        <v>rg:None</v>
      </c>
      <c r="AF189" s="1">
        <v>42488</v>
      </c>
      <c r="AG189" s="4">
        <f ca="1">IF(I189="Dump Truck",60,30)*AH189+(AVERAGE(AI189:AK189))</f>
        <v>325.58333333333337</v>
      </c>
      <c r="AH189" s="4">
        <f>YEARFRAC(DATE("2016","4","1"),T189)</f>
        <v>5.6194444444444445</v>
      </c>
      <c r="AI189">
        <f ca="1">IF(AH189&lt;1,0,RANDBETWEEN(0,200))</f>
        <v>140</v>
      </c>
      <c r="AJ189">
        <f ca="1">IF(AH189&lt;2,0,RANDBETWEEN(0,200))</f>
        <v>157</v>
      </c>
      <c r="AK189">
        <f ca="1">IF(AH189&lt;3,0,RANDBETWEEN(0,200))</f>
        <v>174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>IF(ISNUMBER(B189),B189+1,200000)</f>
        <v>200188</v>
      </c>
      <c r="C190">
        <v>200053</v>
      </c>
      <c r="D190" t="str">
        <f>"rg:{'id': '"&amp;C190&amp;"'}"</f>
        <v>rg:{'id': '200053'}</v>
      </c>
      <c r="E190">
        <f>VLOOKUP(C190,Owners.csv!C:J,6,FALSE)</f>
        <v>200002</v>
      </c>
      <c r="F190" t="str">
        <f>VLOOKUP(VLOOKUP(E190,LocalAreas.csv!I:K,3,FALSE),ServiceAreas.csv!F:J,5,FALSE)</f>
        <v>200009</v>
      </c>
      <c r="G190" t="str">
        <f>"rg:{'id': '"&amp;E190&amp;"'}"</f>
        <v>rg:{'id': '200002'}</v>
      </c>
      <c r="H190" t="s">
        <v>7747</v>
      </c>
      <c r="I190" t="s">
        <v>5651</v>
      </c>
      <c r="J190">
        <f>VLOOKUP(I190&amp;"-"&amp;F190,DistrictEquipmentTypes.csv!J:K,2,FALSE)</f>
        <v>200006</v>
      </c>
      <c r="K190" t="str">
        <f>"rg:{'id': '"&amp;J190&amp;"'}"</f>
        <v>rg:{'id': '200006'}</v>
      </c>
      <c r="L190">
        <f>IF(C190=C189,L189+1,1)</f>
        <v>1</v>
      </c>
      <c r="M190" t="str">
        <f>VLOOKUP(C190,Owners.csv!C:K,9,FALSE)&amp;TEXT(Equipment.csv!L190,"0000")</f>
        <v>MAGI0001</v>
      </c>
      <c r="N190" t="s">
        <v>5401</v>
      </c>
      <c r="O190" t="s">
        <v>6811</v>
      </c>
      <c r="P190">
        <v>2005</v>
      </c>
      <c r="Q190">
        <v>153</v>
      </c>
      <c r="R190" t="s">
        <v>6663</v>
      </c>
      <c r="S190" s="1">
        <v>40417</v>
      </c>
      <c r="T190" s="1">
        <v>40436</v>
      </c>
      <c r="U190" t="str">
        <f ca="1">IF(RANDBETWEEN(1,10)&gt;1,"rg:False","rg:True")</f>
        <v>rg:False</v>
      </c>
      <c r="V190" t="str">
        <f ca="1">IF(U190="rg:True","This equipment should be archived","rg:None")</f>
        <v>rg:None</v>
      </c>
      <c r="W190" t="s">
        <v>7210</v>
      </c>
      <c r="X190" t="s">
        <v>76</v>
      </c>
      <c r="Y190" t="s">
        <v>76</v>
      </c>
      <c r="Z190" t="s">
        <v>76</v>
      </c>
      <c r="AA190" t="s">
        <v>7557</v>
      </c>
      <c r="AB190" t="s">
        <v>7377</v>
      </c>
      <c r="AC190">
        <v>0</v>
      </c>
      <c r="AD190" t="str">
        <f ca="1">IF(RANDBETWEEN(1,20)&gt;1,"rg:False","rg:True")</f>
        <v>rg:False</v>
      </c>
      <c r="AE190" t="str">
        <f ca="1">IF(AD190="rg:True","Seniority overridden to test things","rg:None")</f>
        <v>rg:None</v>
      </c>
      <c r="AF190" s="1">
        <v>42481</v>
      </c>
      <c r="AG190" s="4">
        <f ca="1">IF(I190="Dump Truck",60,30)*AH190+(AVERAGE(AI190:AK190))</f>
        <v>425.99999999999994</v>
      </c>
      <c r="AH190" s="4">
        <f>YEARFRAC(DATE("2016","4","1"),T190)</f>
        <v>5.5444444444444443</v>
      </c>
      <c r="AI190">
        <f ca="1">IF(AH190&lt;1,0,RANDBETWEEN(0,200))</f>
        <v>88</v>
      </c>
      <c r="AJ190">
        <f ca="1">IF(AH190&lt;2,0,RANDBETWEEN(0,200))</f>
        <v>27</v>
      </c>
      <c r="AK190">
        <f ca="1">IF(AH190&lt;3,0,RANDBETWEEN(0,200))</f>
        <v>165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>IF(ISNUMBER(B190),B190+1,200000)</f>
        <v>200189</v>
      </c>
      <c r="C191">
        <v>200053</v>
      </c>
      <c r="D191" t="str">
        <f>"rg:{'id': '"&amp;C191&amp;"'}"</f>
        <v>rg:{'id': '200053'}</v>
      </c>
      <c r="E191">
        <f>VLOOKUP(C191,Owners.csv!C:J,6,FALSE)</f>
        <v>200002</v>
      </c>
      <c r="F191" t="str">
        <f>VLOOKUP(VLOOKUP(E191,LocalAreas.csv!I:K,3,FALSE),ServiceAreas.csv!F:J,5,FALSE)</f>
        <v>200009</v>
      </c>
      <c r="G191" t="str">
        <f>"rg:{'id': '"&amp;E191&amp;"'}"</f>
        <v>rg:{'id': '200002'}</v>
      </c>
      <c r="H191" t="s">
        <v>7724</v>
      </c>
      <c r="I191" t="s">
        <v>5637</v>
      </c>
      <c r="J191">
        <f>VLOOKUP(I191&amp;"-"&amp;F191,DistrictEquipmentTypes.csv!J:K,2,FALSE)</f>
        <v>200001</v>
      </c>
      <c r="K191" t="str">
        <f>"rg:{'id': '"&amp;J191&amp;"'}"</f>
        <v>rg:{'id': '200001'}</v>
      </c>
      <c r="L191">
        <f>IF(C191=C190,L190+1,1)</f>
        <v>2</v>
      </c>
      <c r="M191" t="str">
        <f>VLOOKUP(C191,Owners.csv!C:K,9,FALSE)&amp;TEXT(Equipment.csv!L191,"0000")</f>
        <v>MAGI0002</v>
      </c>
      <c r="N191" t="s">
        <v>5401</v>
      </c>
      <c r="O191" t="s">
        <v>6837</v>
      </c>
      <c r="P191">
        <v>2002</v>
      </c>
      <c r="Q191">
        <v>179</v>
      </c>
      <c r="R191" t="s">
        <v>6663</v>
      </c>
      <c r="S191" s="1">
        <v>42225</v>
      </c>
      <c r="T191" s="1">
        <v>42242</v>
      </c>
      <c r="U191" t="str">
        <f ca="1">IF(RANDBETWEEN(1,10)&gt;1,"rg:False","rg:True")</f>
        <v>rg:True</v>
      </c>
      <c r="V191" t="str">
        <f ca="1">IF(U191="rg:True","This equipment should be archived","rg:None")</f>
        <v>This equipment should be archived</v>
      </c>
      <c r="W191" t="s">
        <v>7236</v>
      </c>
      <c r="X191" t="s">
        <v>76</v>
      </c>
      <c r="Y191" t="s">
        <v>76</v>
      </c>
      <c r="Z191" t="s">
        <v>76</v>
      </c>
      <c r="AA191" t="s">
        <v>7583</v>
      </c>
      <c r="AB191" t="s">
        <v>7270</v>
      </c>
      <c r="AC191">
        <v>0</v>
      </c>
      <c r="AD191" t="str">
        <f ca="1">IF(RANDBETWEEN(1,20)&gt;1,"rg:False","rg:True")</f>
        <v>rg:False</v>
      </c>
      <c r="AE191" t="str">
        <f ca="1">IF(AD191="rg:True","Seniority overridden to test things","rg:None")</f>
        <v>rg:None</v>
      </c>
      <c r="AF191" s="1">
        <v>42481</v>
      </c>
      <c r="AG191" s="4">
        <f ca="1">IF(I191="Dump Truck",60,30)*AH191+(AVERAGE(AI191:AK191))</f>
        <v>17.916666666666668</v>
      </c>
      <c r="AH191" s="4">
        <f>YEARFRAC(DATE("2016","4","1"),T191)</f>
        <v>0.59722222222222221</v>
      </c>
      <c r="AI191">
        <f ca="1">IF(AH191&lt;1,0,RANDBETWEEN(0,200))</f>
        <v>0</v>
      </c>
      <c r="AJ191">
        <f ca="1">IF(AH191&lt;2,0,RANDBETWEEN(0,200))</f>
        <v>0</v>
      </c>
      <c r="AK191">
        <f ca="1">IF(AH191&lt;3,0,RANDBETWEEN(0,200))</f>
        <v>0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>IF(ISNUMBER(B191),B191+1,200000)</f>
        <v>200190</v>
      </c>
      <c r="C192">
        <v>200053</v>
      </c>
      <c r="D192" t="str">
        <f>"rg:{'id': '"&amp;C192&amp;"'}"</f>
        <v>rg:{'id': '200053'}</v>
      </c>
      <c r="E192">
        <f>VLOOKUP(C192,Owners.csv!C:J,6,FALSE)</f>
        <v>200002</v>
      </c>
      <c r="F192" t="str">
        <f>VLOOKUP(VLOOKUP(E192,LocalAreas.csv!I:K,3,FALSE),ServiceAreas.csv!F:J,5,FALSE)</f>
        <v>200009</v>
      </c>
      <c r="G192" t="str">
        <f>"rg:{'id': '"&amp;E192&amp;"'}"</f>
        <v>rg:{'id': '200002'}</v>
      </c>
      <c r="H192" t="s">
        <v>7364</v>
      </c>
      <c r="I192" t="s">
        <v>5536</v>
      </c>
      <c r="J192">
        <f>VLOOKUP(I192&amp;"-"&amp;F192,DistrictEquipmentTypes.csv!J:K,2,FALSE)</f>
        <v>200000</v>
      </c>
      <c r="K192" t="str">
        <f>"rg:{'id': '"&amp;J192&amp;"'}"</f>
        <v>rg:{'id': '200000'}</v>
      </c>
      <c r="L192">
        <f>IF(C192=C191,L191+1,1)</f>
        <v>3</v>
      </c>
      <c r="M192" t="str">
        <f>VLOOKUP(C192,Owners.csv!C:K,9,FALSE)&amp;TEXT(Equipment.csv!L192,"0000")</f>
        <v>MAGI0003</v>
      </c>
      <c r="N192" t="s">
        <v>5658</v>
      </c>
      <c r="O192">
        <v>303</v>
      </c>
      <c r="P192">
        <v>1989</v>
      </c>
      <c r="Q192">
        <v>400</v>
      </c>
      <c r="R192" t="s">
        <v>6663</v>
      </c>
      <c r="S192" s="1">
        <v>40274</v>
      </c>
      <c r="T192" s="1">
        <v>39491</v>
      </c>
      <c r="U192" t="str">
        <f ca="1">IF(RANDBETWEEN(1,10)&gt;1,"rg:False","rg:True")</f>
        <v>rg:False</v>
      </c>
      <c r="V192" t="str">
        <f ca="1">IF(U192="rg:True","This equipment should be archived","rg:None")</f>
        <v>rg:None</v>
      </c>
      <c r="W192" t="s">
        <v>7633</v>
      </c>
      <c r="X192" t="s">
        <v>76</v>
      </c>
      <c r="Y192" t="s">
        <v>76</v>
      </c>
      <c r="Z192" t="s">
        <v>76</v>
      </c>
      <c r="AA192" t="s">
        <v>7635</v>
      </c>
      <c r="AB192" s="1">
        <v>43042</v>
      </c>
      <c r="AC192">
        <v>0</v>
      </c>
      <c r="AD192" t="str">
        <f ca="1">IF(RANDBETWEEN(1,20)&gt;1,"rg:False","rg:True")</f>
        <v>rg:True</v>
      </c>
      <c r="AE192" t="str">
        <f ca="1">IF(AD192="rg:True","Seniority overridden to test things","rg:None")</f>
        <v>Seniority overridden to test things</v>
      </c>
      <c r="AF192" s="1">
        <v>42489</v>
      </c>
      <c r="AG192" s="4">
        <f ca="1">IF(I192="Dump Truck",60,30)*AH192+(AVERAGE(AI192:AK192))</f>
        <v>409.66666666666663</v>
      </c>
      <c r="AH192" s="4">
        <f>YEARFRAC(DATE("2016","4","1"),T192)</f>
        <v>8.1333333333333329</v>
      </c>
      <c r="AI192">
        <f ca="1">IF(AH192&lt;1,0,RANDBETWEEN(0,200))</f>
        <v>190</v>
      </c>
      <c r="AJ192">
        <f ca="1">IF(AH192&lt;2,0,RANDBETWEEN(0,200))</f>
        <v>133</v>
      </c>
      <c r="AK192">
        <f ca="1">IF(AH192&lt;3,0,RANDBETWEEN(0,200))</f>
        <v>174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>IF(ISNUMBER(B192),B192+1,200000)</f>
        <v>200191</v>
      </c>
      <c r="C193">
        <v>200054</v>
      </c>
      <c r="D193" t="str">
        <f>"rg:{'id': '"&amp;C193&amp;"'}"</f>
        <v>rg:{'id': '200054'}</v>
      </c>
      <c r="E193">
        <f>VLOOKUP(C193,Owners.csv!C:J,6,FALSE)</f>
        <v>200002</v>
      </c>
      <c r="F193" t="str">
        <f>VLOOKUP(VLOOKUP(E193,LocalAreas.csv!I:K,3,FALSE),ServiceAreas.csv!F:J,5,FALSE)</f>
        <v>200009</v>
      </c>
      <c r="G193" t="str">
        <f>"rg:{'id': '"&amp;E193&amp;"'}"</f>
        <v>rg:{'id': '200002'}</v>
      </c>
      <c r="H193" t="s">
        <v>7748</v>
      </c>
      <c r="I193" t="s">
        <v>5651</v>
      </c>
      <c r="J193">
        <f>VLOOKUP(I193&amp;"-"&amp;F193,DistrictEquipmentTypes.csv!J:K,2,FALSE)</f>
        <v>200006</v>
      </c>
      <c r="K193" t="str">
        <f>"rg:{'id': '"&amp;J193&amp;"'}"</f>
        <v>rg:{'id': '200006'}</v>
      </c>
      <c r="L193">
        <f>IF(C193=C192,L192+1,1)</f>
        <v>1</v>
      </c>
      <c r="M193" t="str">
        <f>VLOOKUP(C193,Owners.csv!C:K,9,FALSE)&amp;TEXT(Equipment.csv!L193,"0000")</f>
        <v>MANC0001</v>
      </c>
      <c r="N193" t="s">
        <v>5401</v>
      </c>
      <c r="O193" t="s">
        <v>6812</v>
      </c>
      <c r="P193">
        <v>1996</v>
      </c>
      <c r="Q193">
        <v>154</v>
      </c>
      <c r="R193" t="s">
        <v>6663</v>
      </c>
      <c r="S193" s="1">
        <v>40602</v>
      </c>
      <c r="T193" s="1">
        <v>40604</v>
      </c>
      <c r="U193" t="str">
        <f ca="1">IF(RANDBETWEEN(1,10)&gt;1,"rg:False","rg:True")</f>
        <v>rg:False</v>
      </c>
      <c r="V193" t="str">
        <f ca="1">IF(U193="rg:True","This equipment should be archived","rg:None")</f>
        <v>rg:None</v>
      </c>
      <c r="W193" t="s">
        <v>7211</v>
      </c>
      <c r="X193" t="s">
        <v>76</v>
      </c>
      <c r="Y193" t="s">
        <v>76</v>
      </c>
      <c r="Z193" t="s">
        <v>76</v>
      </c>
      <c r="AA193" t="s">
        <v>7558</v>
      </c>
      <c r="AB193" t="s">
        <v>7378</v>
      </c>
      <c r="AC193">
        <v>0</v>
      </c>
      <c r="AD193" t="str">
        <f ca="1">IF(RANDBETWEEN(1,20)&gt;1,"rg:False","rg:True")</f>
        <v>rg:False</v>
      </c>
      <c r="AE193" t="str">
        <f ca="1">IF(AD193="rg:True","Seniority overridden to test things","rg:None")</f>
        <v>rg:None</v>
      </c>
      <c r="AF193" s="1">
        <v>42481</v>
      </c>
      <c r="AG193" s="4">
        <f ca="1">IF(I193="Dump Truck",60,30)*AH193+(AVERAGE(AI193:AK193))</f>
        <v>388.16666666666669</v>
      </c>
      <c r="AH193" s="4">
        <f>YEARFRAC(DATE("2016","4","1"),T193)</f>
        <v>5.0805555555555557</v>
      </c>
      <c r="AI193">
        <f ca="1">IF(AH193&lt;1,0,RANDBETWEEN(0,200))</f>
        <v>148</v>
      </c>
      <c r="AJ193">
        <f ca="1">IF(AH193&lt;2,0,RANDBETWEEN(0,200))</f>
        <v>17</v>
      </c>
      <c r="AK193">
        <f ca="1">IF(AH193&lt;3,0,RANDBETWEEN(0,200))</f>
        <v>85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>IF(ISNUMBER(B193),B193+1,200000)</f>
        <v>200192</v>
      </c>
      <c r="C194">
        <v>200054</v>
      </c>
      <c r="D194" t="str">
        <f>"rg:{'id': '"&amp;C194&amp;"'}"</f>
        <v>rg:{'id': '200054'}</v>
      </c>
      <c r="E194">
        <f>VLOOKUP(C194,Owners.csv!C:J,6,FALSE)</f>
        <v>200002</v>
      </c>
      <c r="F194" t="str">
        <f>VLOOKUP(VLOOKUP(E194,LocalAreas.csv!I:K,3,FALSE),ServiceAreas.csv!F:J,5,FALSE)</f>
        <v>200009</v>
      </c>
      <c r="G194" t="str">
        <f>"rg:{'id': '"&amp;E194&amp;"'}"</f>
        <v>rg:{'id': '200002'}</v>
      </c>
      <c r="H194" t="s">
        <v>7744</v>
      </c>
      <c r="I194" t="s">
        <v>5637</v>
      </c>
      <c r="J194">
        <f>VLOOKUP(I194&amp;"-"&amp;F194,DistrictEquipmentTypes.csv!J:K,2,FALSE)</f>
        <v>200001</v>
      </c>
      <c r="K194" t="str">
        <f>"rg:{'id': '"&amp;J194&amp;"'}"</f>
        <v>rg:{'id': '200001'}</v>
      </c>
      <c r="L194">
        <f>IF(C194=C193,L193+1,1)</f>
        <v>2</v>
      </c>
      <c r="M194" t="str">
        <f>VLOOKUP(C194,Owners.csv!C:K,9,FALSE)&amp;TEXT(Equipment.csv!L194,"0000")</f>
        <v>MANC0002</v>
      </c>
      <c r="N194" t="s">
        <v>5401</v>
      </c>
      <c r="O194" t="s">
        <v>6838</v>
      </c>
      <c r="P194">
        <v>1990</v>
      </c>
      <c r="Q194">
        <v>180</v>
      </c>
      <c r="R194" t="s">
        <v>6663</v>
      </c>
      <c r="S194" s="1">
        <v>40978</v>
      </c>
      <c r="T194" s="1">
        <v>40995</v>
      </c>
      <c r="U194" t="str">
        <f ca="1">IF(RANDBETWEEN(1,10)&gt;1,"rg:False","rg:True")</f>
        <v>rg:False</v>
      </c>
      <c r="V194" t="str">
        <f ca="1">IF(U194="rg:True","This equipment should be archived","rg:None")</f>
        <v>rg:None</v>
      </c>
      <c r="W194" t="s">
        <v>7237</v>
      </c>
      <c r="X194" t="s">
        <v>76</v>
      </c>
      <c r="Y194" t="s">
        <v>76</v>
      </c>
      <c r="Z194" t="s">
        <v>76</v>
      </c>
      <c r="AA194" t="s">
        <v>7584</v>
      </c>
      <c r="AB194" t="s">
        <v>7393</v>
      </c>
      <c r="AC194">
        <v>0</v>
      </c>
      <c r="AD194" t="str">
        <f ca="1">IF(RANDBETWEEN(1,20)&gt;1,"rg:False","rg:True")</f>
        <v>rg:False</v>
      </c>
      <c r="AE194" t="str">
        <f ca="1">IF(AD194="rg:True","Seniority overridden to test things","rg:None")</f>
        <v>rg:None</v>
      </c>
      <c r="AF194" s="1">
        <v>42481</v>
      </c>
      <c r="AG194" s="4">
        <f ca="1">IF(I194="Dump Truck",60,30)*AH194+(AVERAGE(AI194:AK194))</f>
        <v>207.66666666666666</v>
      </c>
      <c r="AH194" s="4">
        <f>YEARFRAC(DATE("2016","4","1"),T194)</f>
        <v>4.0111111111111111</v>
      </c>
      <c r="AI194">
        <f ca="1">IF(AH194&lt;1,0,RANDBETWEEN(0,200))</f>
        <v>108</v>
      </c>
      <c r="AJ194">
        <f ca="1">IF(AH194&lt;2,0,RANDBETWEEN(0,200))</f>
        <v>126</v>
      </c>
      <c r="AK194">
        <f ca="1">IF(AH194&lt;3,0,RANDBETWEEN(0,200))</f>
        <v>28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>IF(ISNUMBER(B194),B194+1,200000)</f>
        <v>200193</v>
      </c>
      <c r="C195">
        <v>200054</v>
      </c>
      <c r="D195" t="str">
        <f>"rg:{'id': '"&amp;C195&amp;"'}"</f>
        <v>rg:{'id': '200054'}</v>
      </c>
      <c r="E195">
        <f>VLOOKUP(C195,Owners.csv!C:J,6,FALSE)</f>
        <v>200002</v>
      </c>
      <c r="F195" t="str">
        <f>VLOOKUP(VLOOKUP(E195,LocalAreas.csv!I:K,3,FALSE),ServiceAreas.csv!F:J,5,FALSE)</f>
        <v>200009</v>
      </c>
      <c r="G195" t="str">
        <f>"rg:{'id': '"&amp;E195&amp;"'}"</f>
        <v>rg:{'id': '200002'}</v>
      </c>
      <c r="H195" t="s">
        <v>7701</v>
      </c>
      <c r="I195" t="s">
        <v>5536</v>
      </c>
      <c r="J195">
        <f>VLOOKUP(I195&amp;"-"&amp;F195,DistrictEquipmentTypes.csv!J:K,2,FALSE)</f>
        <v>200000</v>
      </c>
      <c r="K195" t="str">
        <f>"rg:{'id': '"&amp;J195&amp;"'}"</f>
        <v>rg:{'id': '200000'}</v>
      </c>
      <c r="L195">
        <f>IF(C195=C194,L194+1,1)</f>
        <v>3</v>
      </c>
      <c r="M195" t="str">
        <f>VLOOKUP(C195,Owners.csv!C:K,9,FALSE)&amp;TEXT(Equipment.csv!L195,"0000")</f>
        <v>MANC0003</v>
      </c>
      <c r="N195" t="s">
        <v>5658</v>
      </c>
      <c r="O195" t="s">
        <v>7632</v>
      </c>
      <c r="P195">
        <v>2008</v>
      </c>
      <c r="Q195">
        <v>700</v>
      </c>
      <c r="R195" t="s">
        <v>6663</v>
      </c>
      <c r="S195" s="1">
        <v>41493</v>
      </c>
      <c r="T195" s="1">
        <v>39069</v>
      </c>
      <c r="U195" t="str">
        <f ca="1">IF(RANDBETWEEN(1,10)&gt;1,"rg:False","rg:True")</f>
        <v>rg:False</v>
      </c>
      <c r="V195" t="str">
        <f ca="1">IF(U195="rg:True","This equipment should be archived","rg:None")</f>
        <v>rg:None</v>
      </c>
      <c r="W195" t="s">
        <v>7634</v>
      </c>
      <c r="X195" t="s">
        <v>76</v>
      </c>
      <c r="Y195" t="s">
        <v>76</v>
      </c>
      <c r="Z195" t="s">
        <v>76</v>
      </c>
      <c r="AA195">
        <v>123.456</v>
      </c>
      <c r="AB195" s="1">
        <v>43056</v>
      </c>
      <c r="AC195">
        <v>0</v>
      </c>
      <c r="AD195" t="str">
        <f ca="1">IF(RANDBETWEEN(1,20)&gt;1,"rg:False","rg:True")</f>
        <v>rg:False</v>
      </c>
      <c r="AE195" t="str">
        <f ca="1">IF(AD195="rg:True","Seniority overridden to test things","rg:None")</f>
        <v>rg:None</v>
      </c>
      <c r="AF195" s="1">
        <v>42490</v>
      </c>
      <c r="AG195" s="4">
        <f ca="1">IF(I195="Dump Truck",60,30)*AH195+(AVERAGE(AI195:AK195))</f>
        <v>357.25000000000006</v>
      </c>
      <c r="AH195" s="4">
        <f>YEARFRAC(DATE("2016","4","1"),T195)</f>
        <v>9.2861111111111114</v>
      </c>
      <c r="AI195">
        <f ca="1">IF(AH195&lt;1,0,RANDBETWEEN(0,200))</f>
        <v>68</v>
      </c>
      <c r="AJ195">
        <f ca="1">IF(AH195&lt;2,0,RANDBETWEEN(0,200))</f>
        <v>39</v>
      </c>
      <c r="AK195">
        <f ca="1">IF(AH195&lt;3,0,RANDBETWEEN(0,200))</f>
        <v>129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>IF(ISNUMBER(B195),B195+1,200000)</f>
        <v>200194</v>
      </c>
      <c r="C196">
        <v>200055</v>
      </c>
      <c r="D196" t="str">
        <f>"rg:{'id': '"&amp;C196&amp;"'}"</f>
        <v>rg:{'id': '200055'}</v>
      </c>
      <c r="E196">
        <f>VLOOKUP(C196,Owners.csv!C:J,6,FALSE)</f>
        <v>200002</v>
      </c>
      <c r="F196" t="str">
        <f>VLOOKUP(VLOOKUP(E196,LocalAreas.csv!I:K,3,FALSE),ServiceAreas.csv!F:J,5,FALSE)</f>
        <v>200009</v>
      </c>
      <c r="G196" t="str">
        <f>"rg:{'id': '"&amp;E196&amp;"'}"</f>
        <v>rg:{'id': '200002'}</v>
      </c>
      <c r="H196" t="s">
        <v>7651</v>
      </c>
      <c r="I196" t="s">
        <v>5651</v>
      </c>
      <c r="J196">
        <f>VLOOKUP(I196&amp;"-"&amp;F196,DistrictEquipmentTypes.csv!J:K,2,FALSE)</f>
        <v>200006</v>
      </c>
      <c r="K196" t="str">
        <f>"rg:{'id': '"&amp;J196&amp;"'}"</f>
        <v>rg:{'id': '200006'}</v>
      </c>
      <c r="L196">
        <f>IF(C196=C195,L195+1,1)</f>
        <v>1</v>
      </c>
      <c r="M196" t="str">
        <f>VLOOKUP(C196,Owners.csv!C:K,9,FALSE)&amp;TEXT(Equipment.csv!L196,"0000")</f>
        <v>MCDU0001</v>
      </c>
      <c r="N196" t="s">
        <v>5401</v>
      </c>
      <c r="O196" t="s">
        <v>6813</v>
      </c>
      <c r="P196">
        <v>1984</v>
      </c>
      <c r="Q196">
        <v>155</v>
      </c>
      <c r="R196" t="s">
        <v>6663</v>
      </c>
      <c r="S196" s="1">
        <v>40236</v>
      </c>
      <c r="T196" s="1">
        <v>40251</v>
      </c>
      <c r="U196" t="str">
        <f ca="1">IF(RANDBETWEEN(1,10)&gt;1,"rg:False","rg:True")</f>
        <v>rg:False</v>
      </c>
      <c r="V196" t="str">
        <f ca="1">IF(U196="rg:True","This equipment should be archived","rg:None")</f>
        <v>rg:None</v>
      </c>
      <c r="W196" t="s">
        <v>7212</v>
      </c>
      <c r="X196" t="s">
        <v>76</v>
      </c>
      <c r="Y196" t="s">
        <v>76</v>
      </c>
      <c r="Z196" t="s">
        <v>76</v>
      </c>
      <c r="AA196" t="s">
        <v>7559</v>
      </c>
      <c r="AB196" t="s">
        <v>7379</v>
      </c>
      <c r="AC196">
        <v>0</v>
      </c>
      <c r="AD196" t="str">
        <f ca="1">IF(RANDBETWEEN(1,20)&gt;1,"rg:False","rg:True")</f>
        <v>rg:False</v>
      </c>
      <c r="AE196" t="str">
        <f ca="1">IF(AD196="rg:True","Seniority overridden to test things","rg:None")</f>
        <v>rg:None</v>
      </c>
      <c r="AF196" s="1">
        <v>42481</v>
      </c>
      <c r="AG196" s="4">
        <f ca="1">IF(I196="Dump Truck",60,30)*AH196+(AVERAGE(AI196:AK196))</f>
        <v>524.16666666666674</v>
      </c>
      <c r="AH196" s="4">
        <f>YEARFRAC(DATE("2016","4","1"),T196)</f>
        <v>6.0472222222222225</v>
      </c>
      <c r="AI196">
        <f ca="1">IF(AH196&lt;1,0,RANDBETWEEN(0,200))</f>
        <v>199</v>
      </c>
      <c r="AJ196">
        <f ca="1">IF(AH196&lt;2,0,RANDBETWEEN(0,200))</f>
        <v>136</v>
      </c>
      <c r="AK196">
        <f ca="1">IF(AH196&lt;3,0,RANDBETWEEN(0,200))</f>
        <v>149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>IF(ISNUMBER(B196),B196+1,200000)</f>
        <v>200195</v>
      </c>
      <c r="C197">
        <v>200055</v>
      </c>
      <c r="D197" t="str">
        <f>"rg:{'id': '"&amp;C197&amp;"'}"</f>
        <v>rg:{'id': '200055'}</v>
      </c>
      <c r="E197">
        <f>VLOOKUP(C197,Owners.csv!C:J,6,FALSE)</f>
        <v>200002</v>
      </c>
      <c r="F197" t="str">
        <f>VLOOKUP(VLOOKUP(E197,LocalAreas.csv!I:K,3,FALSE),ServiceAreas.csv!F:J,5,FALSE)</f>
        <v>200009</v>
      </c>
      <c r="G197" t="str">
        <f>"rg:{'id': '"&amp;E197&amp;"'}"</f>
        <v>rg:{'id': '200002'}</v>
      </c>
      <c r="H197" t="s">
        <v>7757</v>
      </c>
      <c r="I197" t="s">
        <v>5637</v>
      </c>
      <c r="J197">
        <f>VLOOKUP(I197&amp;"-"&amp;F197,DistrictEquipmentTypes.csv!J:K,2,FALSE)</f>
        <v>200001</v>
      </c>
      <c r="K197" t="str">
        <f>"rg:{'id': '"&amp;J197&amp;"'}"</f>
        <v>rg:{'id': '200001'}</v>
      </c>
      <c r="L197">
        <f>IF(C197=C196,L196+1,1)</f>
        <v>2</v>
      </c>
      <c r="M197" t="str">
        <f>VLOOKUP(C197,Owners.csv!C:K,9,FALSE)&amp;TEXT(Equipment.csv!L197,"0000")</f>
        <v>MCDU0002</v>
      </c>
      <c r="N197" t="s">
        <v>5401</v>
      </c>
      <c r="O197" t="s">
        <v>6839</v>
      </c>
      <c r="P197">
        <v>1978</v>
      </c>
      <c r="Q197">
        <v>181</v>
      </c>
      <c r="R197" t="s">
        <v>6663</v>
      </c>
      <c r="S197" s="1">
        <v>40190</v>
      </c>
      <c r="T197" s="1">
        <v>40217</v>
      </c>
      <c r="U197" t="str">
        <f ca="1">IF(RANDBETWEEN(1,10)&gt;1,"rg:False","rg:True")</f>
        <v>rg:False</v>
      </c>
      <c r="V197" t="str">
        <f ca="1">IF(U197="rg:True","This equipment should be archived","rg:None")</f>
        <v>rg:None</v>
      </c>
      <c r="W197" t="s">
        <v>7238</v>
      </c>
      <c r="X197" t="s">
        <v>76</v>
      </c>
      <c r="Y197" t="s">
        <v>76</v>
      </c>
      <c r="Z197" t="s">
        <v>76</v>
      </c>
      <c r="AA197" t="s">
        <v>7585</v>
      </c>
      <c r="AB197" t="s">
        <v>7394</v>
      </c>
      <c r="AC197">
        <v>0</v>
      </c>
      <c r="AD197" t="str">
        <f ca="1">IF(RANDBETWEEN(1,20)&gt;1,"rg:False","rg:True")</f>
        <v>rg:False</v>
      </c>
      <c r="AE197" t="str">
        <f ca="1">IF(AD197="rg:True","Seniority overridden to test things","rg:None")</f>
        <v>rg:None</v>
      </c>
      <c r="AF197" s="1">
        <v>42481</v>
      </c>
      <c r="AG197" s="4">
        <f ca="1">IF(I197="Dump Truck",60,30)*AH197+(AVERAGE(AI197:AK197))</f>
        <v>271.41666666666663</v>
      </c>
      <c r="AH197" s="4">
        <f>YEARFRAC(DATE("2016","4","1"),T197)</f>
        <v>6.1472222222222221</v>
      </c>
      <c r="AI197">
        <f ca="1">IF(AH197&lt;1,0,RANDBETWEEN(0,200))</f>
        <v>88</v>
      </c>
      <c r="AJ197">
        <f ca="1">IF(AH197&lt;2,0,RANDBETWEEN(0,200))</f>
        <v>156</v>
      </c>
      <c r="AK197">
        <f ca="1">IF(AH197&lt;3,0,RANDBETWEEN(0,200))</f>
        <v>17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>IF(ISNUMBER(B197),B197+1,200000)</f>
        <v>200196</v>
      </c>
      <c r="C198">
        <v>200055</v>
      </c>
      <c r="D198" t="str">
        <f>"rg:{'id': '"&amp;C198&amp;"'}"</f>
        <v>rg:{'id': '200055'}</v>
      </c>
      <c r="E198">
        <f>VLOOKUP(C198,Owners.csv!C:J,6,FALSE)</f>
        <v>200002</v>
      </c>
      <c r="F198" t="str">
        <f>VLOOKUP(VLOOKUP(E198,LocalAreas.csv!I:K,3,FALSE),ServiceAreas.csv!F:J,5,FALSE)</f>
        <v>200009</v>
      </c>
      <c r="G198" t="str">
        <f>"rg:{'id': '"&amp;E198&amp;"'}"</f>
        <v>rg:{'id': '200002'}</v>
      </c>
      <c r="H198" t="s">
        <v>7721</v>
      </c>
      <c r="I198" t="s">
        <v>5536</v>
      </c>
      <c r="J198">
        <f>VLOOKUP(I198&amp;"-"&amp;F198,DistrictEquipmentTypes.csv!J:K,2,FALSE)</f>
        <v>200000</v>
      </c>
      <c r="K198" t="str">
        <f>"rg:{'id': '"&amp;J198&amp;"'}"</f>
        <v>rg:{'id': '200000'}</v>
      </c>
      <c r="L198">
        <f>IF(C198=C197,L197+1,1)</f>
        <v>3</v>
      </c>
      <c r="M198" t="str">
        <f>VLOOKUP(C198,Owners.csv!C:K,9,FALSE)&amp;TEXT(Equipment.csv!L198,"0000")</f>
        <v>MCDU0003</v>
      </c>
      <c r="N198" t="s">
        <v>5658</v>
      </c>
      <c r="O198" t="s">
        <v>7637</v>
      </c>
      <c r="P198">
        <v>1977</v>
      </c>
      <c r="Q198">
        <v>10</v>
      </c>
      <c r="R198" t="s">
        <v>6663</v>
      </c>
      <c r="S198" s="1">
        <v>39711</v>
      </c>
      <c r="T198" s="1">
        <v>37909</v>
      </c>
      <c r="U198" t="str">
        <f ca="1">IF(RANDBETWEEN(1,10)&gt;1,"rg:False","rg:True")</f>
        <v>rg:False</v>
      </c>
      <c r="V198" t="str">
        <f ca="1">IF(U198="rg:True","This equipment should be archived","rg:None")</f>
        <v>rg:None</v>
      </c>
      <c r="W198" t="s">
        <v>7639</v>
      </c>
      <c r="X198" t="s">
        <v>76</v>
      </c>
      <c r="Y198" t="s">
        <v>76</v>
      </c>
      <c r="Z198" t="s">
        <v>76</v>
      </c>
      <c r="AA198" t="s">
        <v>7643</v>
      </c>
      <c r="AB198" t="s">
        <v>7263</v>
      </c>
      <c r="AC198">
        <v>0</v>
      </c>
      <c r="AD198" t="str">
        <f ca="1">IF(RANDBETWEEN(1,20)&gt;1,"rg:False","rg:True")</f>
        <v>rg:False</v>
      </c>
      <c r="AE198" t="s">
        <v>76</v>
      </c>
      <c r="AF198" s="1">
        <v>42491</v>
      </c>
      <c r="AG198" s="4">
        <f ca="1">IF(I198="Dump Truck",60,30)*AH198+(AVERAGE(AI198:AK198))</f>
        <v>439.83333333333331</v>
      </c>
      <c r="AH198" s="4">
        <f>YEARFRAC(DATE("2016","4","1"),T198)</f>
        <v>12.46111111111111</v>
      </c>
      <c r="AI198">
        <f ca="1">IF(AH198&lt;1,0,RANDBETWEEN(0,200))</f>
        <v>53</v>
      </c>
      <c r="AJ198">
        <f ca="1">IF(AH198&lt;2,0,RANDBETWEEN(0,200))</f>
        <v>35</v>
      </c>
      <c r="AK198">
        <f ca="1">IF(AH198&lt;3,0,RANDBETWEEN(0,200))</f>
        <v>110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>IF(ISNUMBER(B198),B198+1,200000)</f>
        <v>200197</v>
      </c>
      <c r="C199">
        <v>200056</v>
      </c>
      <c r="D199" t="str">
        <f>"rg:{'id': '"&amp;C199&amp;"'}"</f>
        <v>rg:{'id': '200056'}</v>
      </c>
      <c r="E199">
        <f>VLOOKUP(C199,Owners.csv!C:J,6,FALSE)</f>
        <v>200002</v>
      </c>
      <c r="F199" t="str">
        <f>VLOOKUP(VLOOKUP(E199,LocalAreas.csv!I:K,3,FALSE),ServiceAreas.csv!F:J,5,FALSE)</f>
        <v>200009</v>
      </c>
      <c r="G199" t="str">
        <f>"rg:{'id': '"&amp;E199&amp;"'}"</f>
        <v>rg:{'id': '200002'}</v>
      </c>
      <c r="H199" t="s">
        <v>7749</v>
      </c>
      <c r="I199" t="s">
        <v>5651</v>
      </c>
      <c r="J199">
        <f>VLOOKUP(I199&amp;"-"&amp;F199,DistrictEquipmentTypes.csv!J:K,2,FALSE)</f>
        <v>200006</v>
      </c>
      <c r="K199" t="str">
        <f>"rg:{'id': '"&amp;J199&amp;"'}"</f>
        <v>rg:{'id': '200006'}</v>
      </c>
      <c r="L199">
        <f>IF(C199=C198,L198+1,1)</f>
        <v>1</v>
      </c>
      <c r="M199" t="str">
        <f>VLOOKUP(C199,Owners.csv!C:K,9,FALSE)&amp;TEXT(Equipment.csv!L199,"0000")</f>
        <v>MEGA0001</v>
      </c>
      <c r="N199" t="s">
        <v>5401</v>
      </c>
      <c r="O199" t="s">
        <v>6814</v>
      </c>
      <c r="P199">
        <v>1991</v>
      </c>
      <c r="Q199">
        <v>156</v>
      </c>
      <c r="R199" t="s">
        <v>6663</v>
      </c>
      <c r="S199" s="1">
        <v>41091</v>
      </c>
      <c r="T199" s="1">
        <v>41110</v>
      </c>
      <c r="U199" t="str">
        <f ca="1">IF(RANDBETWEEN(1,10)&gt;1,"rg:False","rg:True")</f>
        <v>rg:False</v>
      </c>
      <c r="V199" t="str">
        <f ca="1">IF(U199="rg:True","This equipment should be archived","rg:None")</f>
        <v>rg:None</v>
      </c>
      <c r="W199" t="s">
        <v>7213</v>
      </c>
      <c r="X199" t="s">
        <v>76</v>
      </c>
      <c r="Y199" t="s">
        <v>76</v>
      </c>
      <c r="Z199" t="s">
        <v>76</v>
      </c>
      <c r="AA199" t="s">
        <v>7560</v>
      </c>
      <c r="AB199" t="s">
        <v>7380</v>
      </c>
      <c r="AC199">
        <v>0</v>
      </c>
      <c r="AD199" t="str">
        <f ca="1">IF(RANDBETWEEN(1,20)&gt;1,"rg:False","rg:True")</f>
        <v>rg:False</v>
      </c>
      <c r="AE199" t="str">
        <f ca="1">IF(AD199="rg:True","Seniority overridden to test things","rg:None")</f>
        <v>rg:None</v>
      </c>
      <c r="AF199" s="1">
        <v>42481</v>
      </c>
      <c r="AG199" s="4">
        <f ca="1">IF(I199="Dump Truck",60,30)*AH199+(AVERAGE(AI199:AK199))</f>
        <v>260.83333333333337</v>
      </c>
      <c r="AH199" s="4">
        <f>YEARFRAC(DATE("2016","4","1"),T199)</f>
        <v>3.6972222222222224</v>
      </c>
      <c r="AI199">
        <f ca="1">IF(AH199&lt;1,0,RANDBETWEEN(0,200))</f>
        <v>5</v>
      </c>
      <c r="AJ199">
        <f ca="1">IF(AH199&lt;2,0,RANDBETWEEN(0,200))</f>
        <v>1</v>
      </c>
      <c r="AK199">
        <f ca="1">IF(AH199&lt;3,0,RANDBETWEEN(0,200))</f>
        <v>111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>IF(ISNUMBER(B199),B199+1,200000)</f>
        <v>200198</v>
      </c>
      <c r="C200">
        <v>200056</v>
      </c>
      <c r="D200" t="str">
        <f>"rg:{'id': '"&amp;C200&amp;"'}"</f>
        <v>rg:{'id': '200056'}</v>
      </c>
      <c r="E200">
        <f>VLOOKUP(C200,Owners.csv!C:J,6,FALSE)</f>
        <v>200002</v>
      </c>
      <c r="F200" t="str">
        <f>VLOOKUP(VLOOKUP(E200,LocalAreas.csv!I:K,3,FALSE),ServiceAreas.csv!F:J,5,FALSE)</f>
        <v>200009</v>
      </c>
      <c r="G200" t="str">
        <f>"rg:{'id': '"&amp;E200&amp;"'}"</f>
        <v>rg:{'id': '200002'}</v>
      </c>
      <c r="H200" t="s">
        <v>7666</v>
      </c>
      <c r="I200" t="s">
        <v>5637</v>
      </c>
      <c r="J200">
        <f>VLOOKUP(I200&amp;"-"&amp;F200,DistrictEquipmentTypes.csv!J:K,2,FALSE)</f>
        <v>200001</v>
      </c>
      <c r="K200" t="str">
        <f>"rg:{'id': '"&amp;J200&amp;"'}"</f>
        <v>rg:{'id': '200001'}</v>
      </c>
      <c r="L200">
        <f>IF(C200=C199,L199+1,1)</f>
        <v>2</v>
      </c>
      <c r="M200" t="str">
        <f>VLOOKUP(C200,Owners.csv!C:K,9,FALSE)&amp;TEXT(Equipment.csv!L200,"0000")</f>
        <v>MEGA0002</v>
      </c>
      <c r="N200" t="s">
        <v>5401</v>
      </c>
      <c r="O200" t="s">
        <v>6840</v>
      </c>
      <c r="P200">
        <v>1975</v>
      </c>
      <c r="Q200">
        <v>182</v>
      </c>
      <c r="R200" t="s">
        <v>6663</v>
      </c>
      <c r="S200" s="1">
        <v>40019</v>
      </c>
      <c r="T200" s="1">
        <v>40041</v>
      </c>
      <c r="U200" t="str">
        <f ca="1">IF(RANDBETWEEN(1,10)&gt;1,"rg:False","rg:True")</f>
        <v>rg:False</v>
      </c>
      <c r="V200" t="str">
        <f ca="1">IF(U200="rg:True","This equipment should be archived","rg:None")</f>
        <v>rg:None</v>
      </c>
      <c r="W200" t="s">
        <v>7239</v>
      </c>
      <c r="X200" t="s">
        <v>76</v>
      </c>
      <c r="Y200" t="s">
        <v>76</v>
      </c>
      <c r="Z200" t="s">
        <v>76</v>
      </c>
      <c r="AA200" t="s">
        <v>7586</v>
      </c>
      <c r="AB200" t="s">
        <v>7372</v>
      </c>
      <c r="AC200">
        <v>0</v>
      </c>
      <c r="AD200" t="str">
        <f ca="1">IF(RANDBETWEEN(1,20)&gt;1,"rg:False","rg:True")</f>
        <v>rg:False</v>
      </c>
      <c r="AE200" t="str">
        <f ca="1">IF(AD200="rg:True","Seniority overridden to test things","rg:None")</f>
        <v>rg:None</v>
      </c>
      <c r="AF200" s="1">
        <v>42481</v>
      </c>
      <c r="AG200" s="4">
        <f ca="1">IF(I200="Dump Truck",60,30)*AH200+(AVERAGE(AI200:AK200))</f>
        <v>288.41666666666669</v>
      </c>
      <c r="AH200" s="4">
        <f>YEARFRAC(DATE("2016","4","1"),T200)</f>
        <v>6.625</v>
      </c>
      <c r="AI200">
        <f ca="1">IF(AH200&lt;1,0,RANDBETWEEN(0,200))</f>
        <v>162</v>
      </c>
      <c r="AJ200">
        <f ca="1">IF(AH200&lt;2,0,RANDBETWEEN(0,200))</f>
        <v>85</v>
      </c>
      <c r="AK200">
        <f ca="1">IF(AH200&lt;3,0,RANDBETWEEN(0,200))</f>
        <v>22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>IF(ISNUMBER(B200),B200+1,200000)</f>
        <v>200199</v>
      </c>
      <c r="C201">
        <v>200056</v>
      </c>
      <c r="D201" t="str">
        <f>"rg:{'id': '"&amp;C201&amp;"'}"</f>
        <v>rg:{'id': '200056'}</v>
      </c>
      <c r="E201">
        <f>VLOOKUP(C201,Owners.csv!C:J,6,FALSE)</f>
        <v>200002</v>
      </c>
      <c r="F201" t="str">
        <f>VLOOKUP(VLOOKUP(E201,LocalAreas.csv!I:K,3,FALSE),ServiceAreas.csv!F:J,5,FALSE)</f>
        <v>200009</v>
      </c>
      <c r="G201" t="str">
        <f>"rg:{'id': '"&amp;E201&amp;"'}"</f>
        <v>rg:{'id': '200002'}</v>
      </c>
      <c r="H201" t="s">
        <v>7738</v>
      </c>
      <c r="I201" t="s">
        <v>5536</v>
      </c>
      <c r="J201">
        <f>VLOOKUP(I201&amp;"-"&amp;F201,DistrictEquipmentTypes.csv!J:K,2,FALSE)</f>
        <v>200000</v>
      </c>
      <c r="K201" t="str">
        <f>"rg:{'id': '"&amp;J201&amp;"'}"</f>
        <v>rg:{'id': '200000'}</v>
      </c>
      <c r="L201">
        <f>IF(C201=C200,L200+1,1)</f>
        <v>3</v>
      </c>
      <c r="M201" t="str">
        <f>VLOOKUP(C201,Owners.csv!C:K,9,FALSE)&amp;TEXT(Equipment.csv!L201,"0000")</f>
        <v>MEGA0003</v>
      </c>
      <c r="N201" t="s">
        <v>5467</v>
      </c>
      <c r="O201" t="s">
        <v>5652</v>
      </c>
      <c r="P201">
        <v>1983</v>
      </c>
      <c r="Q201">
        <v>10</v>
      </c>
      <c r="R201" t="s">
        <v>6663</v>
      </c>
      <c r="S201" s="1">
        <v>41447</v>
      </c>
      <c r="T201" s="1">
        <v>40680</v>
      </c>
      <c r="U201" t="str">
        <f ca="1">IF(RANDBETWEEN(1,10)&gt;1,"rg:False","rg:True")</f>
        <v>rg:False</v>
      </c>
      <c r="V201" t="str">
        <f ca="1">IF(U201="rg:True","This equipment should be archived","rg:None")</f>
        <v>rg:None</v>
      </c>
      <c r="W201" t="s">
        <v>7641</v>
      </c>
      <c r="X201" t="s">
        <v>76</v>
      </c>
      <c r="Y201" t="s">
        <v>76</v>
      </c>
      <c r="Z201" t="s">
        <v>76</v>
      </c>
      <c r="AA201" t="s">
        <v>7642</v>
      </c>
      <c r="AB201" t="s">
        <v>7263</v>
      </c>
      <c r="AC201">
        <v>0</v>
      </c>
      <c r="AD201" t="str">
        <f ca="1">IF(RANDBETWEEN(1,20)&gt;1,"rg:False","rg:True")</f>
        <v>rg:False</v>
      </c>
      <c r="AE201" t="s">
        <v>76</v>
      </c>
      <c r="AF201" s="1">
        <v>42492</v>
      </c>
      <c r="AG201" s="4">
        <f ca="1">IF(I201="Dump Truck",60,30)*AH201+(AVERAGE(AI201:AK201))</f>
        <v>238.16666666666666</v>
      </c>
      <c r="AH201" s="4">
        <f>YEARFRAC(DATE("2016","4","1"),T201)</f>
        <v>4.8722222222222218</v>
      </c>
      <c r="AI201">
        <f ca="1">IF(AH201&lt;1,0,RANDBETWEEN(0,200))</f>
        <v>77</v>
      </c>
      <c r="AJ201">
        <f ca="1">IF(AH201&lt;2,0,RANDBETWEEN(0,200))</f>
        <v>66</v>
      </c>
      <c r="AK201">
        <f ca="1">IF(AH201&lt;3,0,RANDBETWEEN(0,200))</f>
        <v>133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>IF(ISNUMBER(B201),B201+1,200000)</f>
        <v>200200</v>
      </c>
      <c r="C202">
        <v>200057</v>
      </c>
      <c r="D202" t="str">
        <f>"rg:{'id': '"&amp;C202&amp;"'}"</f>
        <v>rg:{'id': '200057'}</v>
      </c>
      <c r="E202">
        <f>VLOOKUP(C202,Owners.csv!C:J,6,FALSE)</f>
        <v>200002</v>
      </c>
      <c r="F202" t="str">
        <f>VLOOKUP(VLOOKUP(E202,LocalAreas.csv!I:K,3,FALSE),ServiceAreas.csv!F:J,5,FALSE)</f>
        <v>200009</v>
      </c>
      <c r="G202" t="str">
        <f>"rg:{'id': '"&amp;E202&amp;"'}"</f>
        <v>rg:{'id': '200002'}</v>
      </c>
      <c r="H202" t="s">
        <v>7740</v>
      </c>
      <c r="I202" t="s">
        <v>5651</v>
      </c>
      <c r="J202">
        <f>VLOOKUP(I202&amp;"-"&amp;F202,DistrictEquipmentTypes.csv!J:K,2,FALSE)</f>
        <v>200006</v>
      </c>
      <c r="K202" t="str">
        <f>"rg:{'id': '"&amp;J202&amp;"'}"</f>
        <v>rg:{'id': '200006'}</v>
      </c>
      <c r="L202">
        <f>IF(C202=C201,L201+1,1)</f>
        <v>1</v>
      </c>
      <c r="M202" t="str">
        <f>VLOOKUP(C202,Owners.csv!C:K,9,FALSE)&amp;TEXT(Equipment.csv!L202,"0000")</f>
        <v>MERV0001</v>
      </c>
      <c r="N202" t="s">
        <v>5401</v>
      </c>
      <c r="O202" t="s">
        <v>6815</v>
      </c>
      <c r="P202">
        <v>2014</v>
      </c>
      <c r="Q202">
        <v>157</v>
      </c>
      <c r="R202" t="s">
        <v>6663</v>
      </c>
      <c r="S202" s="1">
        <v>41329</v>
      </c>
      <c r="T202" s="1">
        <v>41360</v>
      </c>
      <c r="U202" t="str">
        <f ca="1">IF(RANDBETWEEN(1,10)&gt;1,"rg:False","rg:True")</f>
        <v>rg:False</v>
      </c>
      <c r="V202" t="str">
        <f ca="1">IF(U202="rg:True","This equipment should be archived","rg:None")</f>
        <v>rg:None</v>
      </c>
      <c r="W202" t="s">
        <v>7214</v>
      </c>
      <c r="X202" t="s">
        <v>76</v>
      </c>
      <c r="Y202" t="s">
        <v>76</v>
      </c>
      <c r="Z202" t="s">
        <v>76</v>
      </c>
      <c r="AA202" t="s">
        <v>7561</v>
      </c>
      <c r="AB202" t="s">
        <v>7381</v>
      </c>
      <c r="AC202">
        <v>0</v>
      </c>
      <c r="AD202" t="str">
        <f ca="1">IF(RANDBETWEEN(1,20)&gt;1,"rg:False","rg:True")</f>
        <v>rg:False</v>
      </c>
      <c r="AE202" t="str">
        <f ca="1">IF(AD202="rg:True","Seniority overridden to test things","rg:None")</f>
        <v>rg:None</v>
      </c>
      <c r="AF202" s="1">
        <v>42481</v>
      </c>
      <c r="AG202" s="4">
        <f ca="1">IF(I202="Dump Truck",60,30)*AH202+(AVERAGE(AI202:AK202))</f>
        <v>276.66666666666663</v>
      </c>
      <c r="AH202" s="4">
        <f>YEARFRAC(DATE("2016","4","1"),T202)</f>
        <v>3.0111111111111111</v>
      </c>
      <c r="AI202">
        <f ca="1">IF(AH202&lt;1,0,RANDBETWEEN(0,200))</f>
        <v>42</v>
      </c>
      <c r="AJ202">
        <f ca="1">IF(AH202&lt;2,0,RANDBETWEEN(0,200))</f>
        <v>100</v>
      </c>
      <c r="AK202">
        <f ca="1">IF(AH202&lt;3,0,RANDBETWEEN(0,200))</f>
        <v>146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>IF(ISNUMBER(B202),B202+1,200000)</f>
        <v>200201</v>
      </c>
      <c r="C203">
        <v>200057</v>
      </c>
      <c r="D203" t="str">
        <f>"rg:{'id': '"&amp;C203&amp;"'}"</f>
        <v>rg:{'id': '200057'}</v>
      </c>
      <c r="E203">
        <f>VLOOKUP(C203,Owners.csv!C:J,6,FALSE)</f>
        <v>200002</v>
      </c>
      <c r="F203" t="str">
        <f>VLOOKUP(VLOOKUP(E203,LocalAreas.csv!I:K,3,FALSE),ServiceAreas.csv!F:J,5,FALSE)</f>
        <v>200009</v>
      </c>
      <c r="G203" t="str">
        <f>"rg:{'id': '"&amp;E203&amp;"'}"</f>
        <v>rg:{'id': '200002'}</v>
      </c>
      <c r="H203" t="s">
        <v>7727</v>
      </c>
      <c r="I203" t="s">
        <v>5637</v>
      </c>
      <c r="J203">
        <f>VLOOKUP(I203&amp;"-"&amp;F203,DistrictEquipmentTypes.csv!J:K,2,FALSE)</f>
        <v>200001</v>
      </c>
      <c r="K203" t="str">
        <f>"rg:{'id': '"&amp;J203&amp;"'}"</f>
        <v>rg:{'id': '200001'}</v>
      </c>
      <c r="L203">
        <f>IF(C203=C202,L202+1,1)</f>
        <v>2</v>
      </c>
      <c r="M203" t="str">
        <f>VLOOKUP(C203,Owners.csv!C:K,9,FALSE)&amp;TEXT(Equipment.csv!L203,"0000")</f>
        <v>MERV0002</v>
      </c>
      <c r="N203" t="s">
        <v>5401</v>
      </c>
      <c r="O203" t="s">
        <v>6841</v>
      </c>
      <c r="P203">
        <v>2012</v>
      </c>
      <c r="Q203">
        <v>183</v>
      </c>
      <c r="R203" t="s">
        <v>6663</v>
      </c>
      <c r="S203" s="1">
        <v>39711</v>
      </c>
      <c r="T203" s="1">
        <v>39721</v>
      </c>
      <c r="U203" t="str">
        <f ca="1">IF(RANDBETWEEN(1,10)&gt;1,"rg:False","rg:True")</f>
        <v>rg:False</v>
      </c>
      <c r="V203" t="str">
        <f ca="1">IF(U203="rg:True","This equipment should be archived","rg:None")</f>
        <v>rg:None</v>
      </c>
      <c r="W203" t="s">
        <v>7240</v>
      </c>
      <c r="X203" t="s">
        <v>76</v>
      </c>
      <c r="Y203" t="s">
        <v>76</v>
      </c>
      <c r="Z203" t="s">
        <v>76</v>
      </c>
      <c r="AA203" t="s">
        <v>7587</v>
      </c>
      <c r="AB203" t="s">
        <v>7349</v>
      </c>
      <c r="AC203">
        <v>0</v>
      </c>
      <c r="AD203" t="str">
        <f ca="1">IF(RANDBETWEEN(1,20)&gt;1,"rg:False","rg:True")</f>
        <v>rg:False</v>
      </c>
      <c r="AE203" t="str">
        <f ca="1">IF(AD203="rg:True","Seniority overridden to test things","rg:None")</f>
        <v>rg:None</v>
      </c>
      <c r="AF203" s="1">
        <v>42481</v>
      </c>
      <c r="AG203" s="4">
        <f ca="1">IF(I203="Dump Truck",60,30)*AH203+(AVERAGE(AI203:AK203))</f>
        <v>288.75</v>
      </c>
      <c r="AH203" s="4">
        <f>YEARFRAC(DATE("2016","4","1"),T203)</f>
        <v>7.5027777777777782</v>
      </c>
      <c r="AI203">
        <f ca="1">IF(AH203&lt;1,0,RANDBETWEEN(0,200))</f>
        <v>4</v>
      </c>
      <c r="AJ203">
        <f ca="1">IF(AH203&lt;2,0,RANDBETWEEN(0,200))</f>
        <v>35</v>
      </c>
      <c r="AK203">
        <f ca="1">IF(AH203&lt;3,0,RANDBETWEEN(0,200))</f>
        <v>152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>IF(ISNUMBER(B203),B203+1,200000)</f>
        <v>200202</v>
      </c>
      <c r="C204">
        <v>200057</v>
      </c>
      <c r="D204" t="str">
        <f>"rg:{'id': '"&amp;C204&amp;"'}"</f>
        <v>rg:{'id': '200057'}</v>
      </c>
      <c r="E204">
        <f>VLOOKUP(C204,Owners.csv!C:J,6,FALSE)</f>
        <v>200002</v>
      </c>
      <c r="F204" t="str">
        <f>VLOOKUP(VLOOKUP(E204,LocalAreas.csv!I:K,3,FALSE),ServiceAreas.csv!F:J,5,FALSE)</f>
        <v>200009</v>
      </c>
      <c r="G204" t="str">
        <f>"rg:{'id': '"&amp;E204&amp;"'}"</f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>"rg:{'id': '"&amp;J204&amp;"'}"</f>
        <v>rg:{'id': '200000'}</v>
      </c>
      <c r="L204">
        <f>IF(C204=C203,L203+1,1)</f>
        <v>3</v>
      </c>
      <c r="M204" t="str">
        <f>VLOOKUP(C204,Owners.csv!C:K,9,FALSE)&amp;TEXT(Equipment.csv!L204,"0000")</f>
        <v>MERV0003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ca="1">IF(RANDBETWEEN(1,10)&gt;1,"rg:False","rg:True")</f>
        <v>rg:False</v>
      </c>
      <c r="V204" t="str">
        <f ca="1">IF(U204="rg:True","This equipment should be archived","rg:None")</f>
        <v>rg:None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ca="1">IF(RANDBETWEEN(1,20)&gt;1,"rg:False","rg:True")</f>
        <v>rg:False</v>
      </c>
      <c r="AE204" t="s">
        <v>76</v>
      </c>
      <c r="AF204" s="1">
        <v>42493</v>
      </c>
      <c r="AG204" s="4">
        <f ca="1">IF(I204="Dump Truck",60,30)*AH204+(AVERAGE(AI204:AK204))</f>
        <v>21.833333333333332</v>
      </c>
      <c r="AH204" s="4">
        <f>YEARFRAC(DATE("2016","4","1"),T204)</f>
        <v>0.72777777777777775</v>
      </c>
      <c r="AI204">
        <f ca="1">IF(AH204&lt;1,0,RANDBETWEEN(0,200))</f>
        <v>0</v>
      </c>
      <c r="AJ204">
        <f ca="1">IF(AH204&lt;2,0,RANDBETWEEN(0,200))</f>
        <v>0</v>
      </c>
      <c r="AK204">
        <f ca="1">IF(AH204&lt;3,0,RANDBETWEEN(0,200))</f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>
    <sortState ref="A2:AT205">
      <sortCondition ref="C1:C205"/>
    </sortState>
  </autoFilter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Quick Change</v>
      </c>
      <c r="B2" t="s">
        <v>5383</v>
      </c>
      <c r="C2" t="s">
        <v>5384</v>
      </c>
      <c r="E2" t="str">
        <f ca="1">CONCATR(A2:C2,",")</f>
        <v>Quick Change,[Edit],[Del]</v>
      </c>
    </row>
    <row r="3" spans="1:5" x14ac:dyDescent="0.3">
      <c r="A3" t="str">
        <f ca="1">VLOOKUP(RANDBETWEEN(1,10),'Lookups (2)'!A:G,7,FALSE)</f>
        <v>Jaw Crusher</v>
      </c>
      <c r="B3" t="s">
        <v>5383</v>
      </c>
      <c r="C3" t="s">
        <v>5384</v>
      </c>
      <c r="E3" t="str">
        <f ca="1">CONCATR(A3:C3,",")</f>
        <v>Jaw Crusher,[Edit],[Del]</v>
      </c>
    </row>
    <row r="4" spans="1:5" x14ac:dyDescent="0.3">
      <c r="A4" t="str">
        <f ca="1">VLOOKUP(RANDBETWEEN(1,10),'Lookups (2)'!A:G,7,FALSE)</f>
        <v>Cleanup Bucket</v>
      </c>
      <c r="B4" t="s">
        <v>5383</v>
      </c>
      <c r="C4" t="s">
        <v>5384</v>
      </c>
      <c r="E4" t="str">
        <f ca="1">CONCATR(A4:C4,",")</f>
        <v>Cleanup Bucket,[Edit],[Del]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workbookViewId="0">
      <pane ySplit="1" topLeftCell="A2" activePane="bottomLeft" state="frozen"/>
      <selection pane="bottomLeft" activeCell="H149" sqref="H149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Bridge Replacement</v>
      </c>
      <c r="F2" s="1" t="s">
        <v>6937</v>
      </c>
      <c r="G2"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Upgrade</v>
      </c>
      <c r="F3" s="1" t="s">
        <v>6932</v>
      </c>
      <c r="G3">
        <f>G2+1</f>
        <v>40001</v>
      </c>
      <c r="H3">
        <f t="shared" ref="H3:H49" si="2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HOV Lane</v>
      </c>
      <c r="F4" s="1" t="s">
        <v>6938</v>
      </c>
      <c r="G4">
        <f t="shared" ref="G4:G67" si="5">G3+1</f>
        <v>40002</v>
      </c>
      <c r="H4">
        <f t="shared" si="2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HOV Lane</v>
      </c>
      <c r="F5" s="1" t="s">
        <v>6939</v>
      </c>
      <c r="G5">
        <f t="shared" si="5"/>
        <v>40003</v>
      </c>
      <c r="H5">
        <f t="shared" si="2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Upgrade</v>
      </c>
      <c r="F6" s="1" t="s">
        <v>6940</v>
      </c>
      <c r="G6">
        <f t="shared" si="5"/>
        <v>40004</v>
      </c>
      <c r="H6">
        <f t="shared" si="2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Express Lane</v>
      </c>
      <c r="F7" s="1" t="s">
        <v>6941</v>
      </c>
      <c r="G7">
        <f t="shared" si="5"/>
        <v>40005</v>
      </c>
      <c r="H7">
        <f t="shared" si="2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Expressway</v>
      </c>
      <c r="F8" s="1" t="s">
        <v>6942</v>
      </c>
      <c r="G8">
        <f t="shared" si="5"/>
        <v>40006</v>
      </c>
      <c r="H8">
        <f t="shared" si="2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HOV Lane</v>
      </c>
      <c r="F9" s="1" t="s">
        <v>6921</v>
      </c>
      <c r="G9">
        <f t="shared" si="5"/>
        <v>40007</v>
      </c>
      <c r="H9">
        <f t="shared" si="2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Express Lane</v>
      </c>
      <c r="F10" s="1" t="s">
        <v>6943</v>
      </c>
      <c r="G10">
        <f t="shared" si="5"/>
        <v>40008</v>
      </c>
      <c r="H10">
        <f t="shared" si="2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Express Lane</v>
      </c>
      <c r="F11" s="1" t="s">
        <v>6899</v>
      </c>
      <c r="G11">
        <f t="shared" si="5"/>
        <v>40009</v>
      </c>
      <c r="H11">
        <f t="shared" si="2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Bridge</v>
      </c>
      <c r="F12" s="1" t="s">
        <v>6944</v>
      </c>
      <c r="G12">
        <f t="shared" si="5"/>
        <v>40010</v>
      </c>
      <c r="H12">
        <f t="shared" si="2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Bridge Replacement</v>
      </c>
      <c r="F13" s="1" t="s">
        <v>6945</v>
      </c>
      <c r="G13">
        <f t="shared" si="5"/>
        <v>40011</v>
      </c>
      <c r="H13">
        <f t="shared" si="2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Overpass</v>
      </c>
      <c r="F14" s="1" t="s">
        <v>6946</v>
      </c>
      <c r="G14">
        <f t="shared" si="5"/>
        <v>40012</v>
      </c>
      <c r="H14">
        <f t="shared" si="2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HOV Lane</v>
      </c>
      <c r="F15" s="1" t="s">
        <v>6947</v>
      </c>
      <c r="G15">
        <f t="shared" si="5"/>
        <v>40013</v>
      </c>
      <c r="H15">
        <f t="shared" si="2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Building</v>
      </c>
      <c r="F16" s="1" t="s">
        <v>6934</v>
      </c>
      <c r="G16">
        <f t="shared" si="5"/>
        <v>40014</v>
      </c>
      <c r="H16">
        <f t="shared" si="2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Overpass</v>
      </c>
      <c r="F17" s="1" t="s">
        <v>6948</v>
      </c>
      <c r="G17">
        <f t="shared" si="5"/>
        <v>40015</v>
      </c>
      <c r="H17">
        <f t="shared" si="2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Express Lane</v>
      </c>
      <c r="F18" s="1" t="s">
        <v>6917</v>
      </c>
      <c r="G18">
        <f t="shared" si="5"/>
        <v>40016</v>
      </c>
      <c r="H18">
        <f t="shared" si="2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Upgrade</v>
      </c>
      <c r="F19" s="1" t="s">
        <v>6949</v>
      </c>
      <c r="G19">
        <f t="shared" si="5"/>
        <v>40017</v>
      </c>
      <c r="H19">
        <f t="shared" si="2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Bridge Replacement</v>
      </c>
      <c r="F20" s="1" t="s">
        <v>6894</v>
      </c>
      <c r="G20">
        <f t="shared" si="5"/>
        <v>40018</v>
      </c>
      <c r="H20">
        <f t="shared" si="2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Bypass</v>
      </c>
      <c r="F21" s="1" t="s">
        <v>6950</v>
      </c>
      <c r="G21">
        <f t="shared" si="5"/>
        <v>40019</v>
      </c>
      <c r="H21">
        <f t="shared" si="2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Express Lane</v>
      </c>
      <c r="F22" s="1" t="s">
        <v>6901</v>
      </c>
      <c r="G22">
        <f t="shared" si="5"/>
        <v>40020</v>
      </c>
      <c r="H22">
        <f t="shared" si="2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HOV Lane</v>
      </c>
      <c r="F23" s="1" t="s">
        <v>6951</v>
      </c>
      <c r="G23">
        <f t="shared" si="5"/>
        <v>40021</v>
      </c>
      <c r="H23">
        <f t="shared" si="2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Bypass</v>
      </c>
      <c r="F24" s="1" t="s">
        <v>6893</v>
      </c>
      <c r="G24">
        <f t="shared" si="5"/>
        <v>40022</v>
      </c>
      <c r="H24">
        <f t="shared" si="2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Bridge</v>
      </c>
      <c r="F25" s="1" t="s">
        <v>6952</v>
      </c>
      <c r="G25">
        <f t="shared" si="5"/>
        <v>40023</v>
      </c>
      <c r="H25">
        <f t="shared" si="2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Cloverleaf</v>
      </c>
      <c r="F26" s="1" t="s">
        <v>6953</v>
      </c>
      <c r="G26">
        <f t="shared" si="5"/>
        <v>40024</v>
      </c>
      <c r="H26">
        <f t="shared" si="2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Extension</v>
      </c>
      <c r="F27" s="1" t="s">
        <v>6912</v>
      </c>
      <c r="G27">
        <f t="shared" si="5"/>
        <v>40025</v>
      </c>
      <c r="H27">
        <f t="shared" si="2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Bridge Replacement</v>
      </c>
      <c r="F28" s="1" t="s">
        <v>6954</v>
      </c>
      <c r="G28">
        <f t="shared" si="5"/>
        <v>40026</v>
      </c>
      <c r="H28">
        <f t="shared" si="2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Expressway</v>
      </c>
      <c r="F29" s="1" t="s">
        <v>6927</v>
      </c>
      <c r="G29">
        <f t="shared" si="5"/>
        <v>40027</v>
      </c>
      <c r="H29">
        <f t="shared" si="2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Building</v>
      </c>
      <c r="F30" s="1" t="s">
        <v>6955</v>
      </c>
      <c r="G30">
        <f t="shared" si="5"/>
        <v>40028</v>
      </c>
      <c r="H30">
        <f t="shared" si="2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HOV Lane</v>
      </c>
      <c r="F31" s="1" t="s">
        <v>6956</v>
      </c>
      <c r="G31">
        <f t="shared" si="5"/>
        <v>40029</v>
      </c>
      <c r="H31">
        <f t="shared" si="2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Bridge</v>
      </c>
      <c r="F32" s="1" t="s">
        <v>6957</v>
      </c>
      <c r="G32">
        <f t="shared" si="5"/>
        <v>40030</v>
      </c>
      <c r="H32">
        <f t="shared" si="2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Building</v>
      </c>
      <c r="F33" s="1" t="s">
        <v>6958</v>
      </c>
      <c r="G33">
        <f t="shared" si="5"/>
        <v>40031</v>
      </c>
      <c r="H33">
        <f t="shared" si="2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Express Lane</v>
      </c>
      <c r="F34" s="1" t="s">
        <v>6959</v>
      </c>
      <c r="G34">
        <f t="shared" si="5"/>
        <v>40032</v>
      </c>
      <c r="H34">
        <f t="shared" si="2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Bridge Replacement</v>
      </c>
      <c r="F35" s="1" t="s">
        <v>6903</v>
      </c>
      <c r="G35">
        <f t="shared" si="5"/>
        <v>40033</v>
      </c>
      <c r="H35">
        <f t="shared" si="2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Building</v>
      </c>
      <c r="F36" s="1" t="s">
        <v>6909</v>
      </c>
      <c r="G36">
        <f t="shared" si="5"/>
        <v>40034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Bypass</v>
      </c>
      <c r="F37" s="1" t="s">
        <v>6960</v>
      </c>
      <c r="G37">
        <f t="shared" si="5"/>
        <v>40035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Extension</v>
      </c>
      <c r="F38" s="1" t="s">
        <v>6961</v>
      </c>
      <c r="G38">
        <f t="shared" si="5"/>
        <v>40036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Bypass</v>
      </c>
      <c r="F39" s="1" t="s">
        <v>6962</v>
      </c>
      <c r="G39">
        <f t="shared" si="5"/>
        <v>40037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Bridge Replacement</v>
      </c>
      <c r="F40" s="1" t="s">
        <v>6929</v>
      </c>
      <c r="G40">
        <f t="shared" si="5"/>
        <v>40038</v>
      </c>
      <c r="H40">
        <f t="shared" si="2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Bridge</v>
      </c>
      <c r="F41" s="1" t="s">
        <v>6924</v>
      </c>
      <c r="G41">
        <f t="shared" si="5"/>
        <v>40039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Building</v>
      </c>
      <c r="F42" s="1" t="s">
        <v>6931</v>
      </c>
      <c r="G42">
        <f t="shared" si="5"/>
        <v>40040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Bridge</v>
      </c>
      <c r="F43" s="1" t="s">
        <v>6963</v>
      </c>
      <c r="G43">
        <f t="shared" si="5"/>
        <v>40041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Expressway</v>
      </c>
      <c r="F44" s="1" t="s">
        <v>6914</v>
      </c>
      <c r="G44">
        <f t="shared" si="5"/>
        <v>40042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Express Lane</v>
      </c>
      <c r="F45" s="1" t="s">
        <v>6964</v>
      </c>
      <c r="G45">
        <f t="shared" si="5"/>
        <v>40043</v>
      </c>
      <c r="H45">
        <f t="shared" si="2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HOV Lane</v>
      </c>
      <c r="F46" s="1" t="s">
        <v>6965</v>
      </c>
      <c r="G46">
        <f t="shared" si="5"/>
        <v>40044</v>
      </c>
      <c r="H46">
        <f t="shared" si="2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Bridge</v>
      </c>
      <c r="F47" s="1" t="s">
        <v>6966</v>
      </c>
      <c r="G47">
        <f t="shared" si="5"/>
        <v>40045</v>
      </c>
      <c r="H47">
        <f t="shared" si="2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Expressway</v>
      </c>
      <c r="F48" s="1" t="s">
        <v>6967</v>
      </c>
      <c r="G48">
        <f t="shared" si="5"/>
        <v>40046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Bypass</v>
      </c>
      <c r="F49" s="1" t="s">
        <v>6906</v>
      </c>
      <c r="G49">
        <f t="shared" si="5"/>
        <v>40047</v>
      </c>
      <c r="H49">
        <f t="shared" si="2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Bridge Replacement</v>
      </c>
      <c r="F50" s="1" t="s">
        <v>6968</v>
      </c>
      <c r="G50">
        <f t="shared" si="5"/>
        <v>40048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Bridge Replacement</v>
      </c>
      <c r="F51" s="1" t="s">
        <v>6969</v>
      </c>
      <c r="G51">
        <f t="shared" si="5"/>
        <v>40049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Bypass</v>
      </c>
      <c r="F52" s="1" t="s">
        <v>6970</v>
      </c>
      <c r="G52">
        <f t="shared" si="5"/>
        <v>40050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Express Lane</v>
      </c>
      <c r="F53" s="1" t="s">
        <v>6911</v>
      </c>
      <c r="G53">
        <f t="shared" si="5"/>
        <v>40051</v>
      </c>
      <c r="H53">
        <f t="shared" ref="H53:H75" si="10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HOV Lane</v>
      </c>
      <c r="F54" s="1" t="s">
        <v>6910</v>
      </c>
      <c r="G54">
        <f t="shared" si="5"/>
        <v>40052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Express Lane</v>
      </c>
      <c r="F55" s="1" t="s">
        <v>6971</v>
      </c>
      <c r="G55">
        <f t="shared" si="5"/>
        <v>40053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Bridge Replacement</v>
      </c>
      <c r="F56" s="1" t="s">
        <v>6972</v>
      </c>
      <c r="G56">
        <f t="shared" si="5"/>
        <v>40054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Bridge Replacement</v>
      </c>
      <c r="F57" s="1" t="s">
        <v>6973</v>
      </c>
      <c r="G57">
        <f t="shared" si="5"/>
        <v>40055</v>
      </c>
      <c r="H57">
        <f t="shared" si="10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Bridge Replacement</v>
      </c>
      <c r="F58" s="1" t="s">
        <v>6974</v>
      </c>
      <c r="G58">
        <f t="shared" si="5"/>
        <v>40056</v>
      </c>
      <c r="H58">
        <f t="shared" si="10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Extension</v>
      </c>
      <c r="F59" s="1" t="s">
        <v>6975</v>
      </c>
      <c r="G59">
        <f t="shared" si="5"/>
        <v>40057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Extension</v>
      </c>
      <c r="F60" s="1" t="s">
        <v>6976</v>
      </c>
      <c r="G60">
        <f t="shared" si="5"/>
        <v>40058</v>
      </c>
      <c r="H60">
        <f t="shared" si="10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Overpass</v>
      </c>
      <c r="F61" s="1" t="s">
        <v>6977</v>
      </c>
      <c r="G61">
        <f t="shared" si="5"/>
        <v>40059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Overpass</v>
      </c>
      <c r="F62" s="1" t="s">
        <v>6978</v>
      </c>
      <c r="G62">
        <f t="shared" si="5"/>
        <v>40060</v>
      </c>
      <c r="H62">
        <f t="shared" si="10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Bridge Replacement</v>
      </c>
      <c r="F63" s="1" t="s">
        <v>6979</v>
      </c>
      <c r="G63">
        <f t="shared" si="5"/>
        <v>40061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Express Lane</v>
      </c>
      <c r="F64" s="1" t="s">
        <v>6980</v>
      </c>
      <c r="G64">
        <f t="shared" si="5"/>
        <v>40062</v>
      </c>
      <c r="H64">
        <f t="shared" si="10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Cloverleaf</v>
      </c>
      <c r="F65" s="1" t="s">
        <v>6981</v>
      </c>
      <c r="G65">
        <f t="shared" si="5"/>
        <v>40063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Overpass</v>
      </c>
      <c r="F66" s="1" t="s">
        <v>6982</v>
      </c>
      <c r="G66">
        <f t="shared" si="5"/>
        <v>40064</v>
      </c>
      <c r="H66">
        <f t="shared" si="10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1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Expressway</v>
      </c>
      <c r="F67" s="1" t="s">
        <v>6916</v>
      </c>
      <c r="G67">
        <f t="shared" si="5"/>
        <v>40065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1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Bridge</v>
      </c>
      <c r="F68" s="1" t="s">
        <v>6983</v>
      </c>
      <c r="G68">
        <f t="shared" ref="G68:G131" si="12">G67+1</f>
        <v>40066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1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Expressway</v>
      </c>
      <c r="F69" s="1" t="s">
        <v>6984</v>
      </c>
      <c r="G69">
        <f t="shared" si="12"/>
        <v>40067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1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Building</v>
      </c>
      <c r="F70" s="1" t="s">
        <v>6985</v>
      </c>
      <c r="G70">
        <f t="shared" si="12"/>
        <v>40068</v>
      </c>
      <c r="H70">
        <f t="shared" si="10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1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Extension</v>
      </c>
      <c r="F71" s="1" t="s">
        <v>6922</v>
      </c>
      <c r="G71">
        <f t="shared" si="12"/>
        <v>40069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1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Express Lane</v>
      </c>
      <c r="F72" s="1" t="s">
        <v>6986</v>
      </c>
      <c r="G72">
        <f t="shared" si="12"/>
        <v>40070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1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Bypass</v>
      </c>
      <c r="F73" s="1" t="s">
        <v>6987</v>
      </c>
      <c r="G73">
        <f t="shared" si="12"/>
        <v>40071</v>
      </c>
      <c r="H73">
        <f t="shared" si="10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1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Expressway</v>
      </c>
      <c r="F74" s="1" t="s">
        <v>6988</v>
      </c>
      <c r="G74">
        <f t="shared" si="12"/>
        <v>40072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1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Expressway</v>
      </c>
      <c r="F75" s="1" t="s">
        <v>6989</v>
      </c>
      <c r="G75">
        <f t="shared" si="12"/>
        <v>40073</v>
      </c>
      <c r="H75">
        <f t="shared" si="10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1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Building</v>
      </c>
      <c r="F76" s="1" t="s">
        <v>6990</v>
      </c>
      <c r="G76">
        <f t="shared" si="12"/>
        <v>40074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1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HOV Lane</v>
      </c>
      <c r="F77" s="1" t="s">
        <v>6991</v>
      </c>
      <c r="G77">
        <f t="shared" si="12"/>
        <v>40075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1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Extension</v>
      </c>
      <c r="F78" s="1" t="s">
        <v>6992</v>
      </c>
      <c r="G78">
        <f t="shared" si="12"/>
        <v>40076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1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HOV Lane</v>
      </c>
      <c r="F79" s="1" t="s">
        <v>6902</v>
      </c>
      <c r="G79">
        <f t="shared" si="12"/>
        <v>40077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1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Overpass</v>
      </c>
      <c r="F80" s="1" t="s">
        <v>6897</v>
      </c>
      <c r="G80">
        <f t="shared" si="12"/>
        <v>40078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1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Express Lane</v>
      </c>
      <c r="F81" s="1" t="s">
        <v>6993</v>
      </c>
      <c r="G81">
        <f t="shared" si="12"/>
        <v>40079</v>
      </c>
      <c r="H81">
        <f t="shared" ref="H81:H107" si="16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1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Express Lane</v>
      </c>
      <c r="F82" s="1" t="s">
        <v>6994</v>
      </c>
      <c r="G82">
        <f t="shared" si="12"/>
        <v>40080</v>
      </c>
      <c r="H82">
        <f t="shared" si="16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1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Building</v>
      </c>
      <c r="F83" s="1" t="s">
        <v>6995</v>
      </c>
      <c r="G83">
        <f t="shared" si="12"/>
        <v>40081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1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Express Lane</v>
      </c>
      <c r="F84" s="1" t="s">
        <v>6996</v>
      </c>
      <c r="G84">
        <f t="shared" si="12"/>
        <v>40082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1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Cloverleaf</v>
      </c>
      <c r="F85" s="1" t="s">
        <v>6896</v>
      </c>
      <c r="G85">
        <f t="shared" si="12"/>
        <v>40083</v>
      </c>
      <c r="H85">
        <f t="shared" si="16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1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Express Lane</v>
      </c>
      <c r="F86" s="1" t="s">
        <v>6997</v>
      </c>
      <c r="G86">
        <f t="shared" si="12"/>
        <v>40084</v>
      </c>
      <c r="H86">
        <f t="shared" si="16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1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Expressway</v>
      </c>
      <c r="F87" s="1" t="s">
        <v>6998</v>
      </c>
      <c r="G87">
        <f t="shared" si="12"/>
        <v>40085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1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Express Lane</v>
      </c>
      <c r="F88" s="1" t="s">
        <v>6999</v>
      </c>
      <c r="G88">
        <f t="shared" si="12"/>
        <v>40086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1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Express Lane</v>
      </c>
      <c r="F89" s="1" t="s">
        <v>6908</v>
      </c>
      <c r="G89">
        <f t="shared" si="12"/>
        <v>40087</v>
      </c>
      <c r="H89">
        <f t="shared" si="16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1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Expressway</v>
      </c>
      <c r="F90" s="1" t="s">
        <v>7000</v>
      </c>
      <c r="G90">
        <f t="shared" si="12"/>
        <v>40088</v>
      </c>
      <c r="H90">
        <f t="shared" si="16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1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Bridge Replacement</v>
      </c>
      <c r="F91" s="1" t="s">
        <v>7001</v>
      </c>
      <c r="G91">
        <f t="shared" si="12"/>
        <v>40089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1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Overpass</v>
      </c>
      <c r="F92" s="1" t="s">
        <v>7002</v>
      </c>
      <c r="G92">
        <f t="shared" si="12"/>
        <v>40090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1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Upgrade</v>
      </c>
      <c r="F93" s="1" t="s">
        <v>7003</v>
      </c>
      <c r="G93">
        <f t="shared" si="12"/>
        <v>40091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1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Expressway</v>
      </c>
      <c r="F94" s="1" t="s">
        <v>7004</v>
      </c>
      <c r="G94">
        <f t="shared" si="12"/>
        <v>40092</v>
      </c>
      <c r="H94">
        <f t="shared" si="16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1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Expressway</v>
      </c>
      <c r="F95" s="1" t="s">
        <v>6913</v>
      </c>
      <c r="G95">
        <f t="shared" si="12"/>
        <v>40093</v>
      </c>
      <c r="H95">
        <f t="shared" si="16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1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Express Lane</v>
      </c>
      <c r="F96" s="1" t="s">
        <v>7005</v>
      </c>
      <c r="G96">
        <f t="shared" si="12"/>
        <v>40094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1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Expressway</v>
      </c>
      <c r="F97" s="1" t="s">
        <v>7006</v>
      </c>
      <c r="G97">
        <f t="shared" si="12"/>
        <v>40095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1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HOV Lane</v>
      </c>
      <c r="F98" s="1" t="s">
        <v>7007</v>
      </c>
      <c r="G98">
        <f t="shared" si="12"/>
        <v>40096</v>
      </c>
      <c r="H98">
        <f t="shared" si="16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7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Building</v>
      </c>
      <c r="F99" s="1" t="s">
        <v>7008</v>
      </c>
      <c r="G99">
        <f t="shared" si="12"/>
        <v>40097</v>
      </c>
      <c r="H99">
        <f t="shared" si="16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7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Cloverleaf</v>
      </c>
      <c r="F100" s="1" t="s">
        <v>7009</v>
      </c>
      <c r="G100">
        <f t="shared" si="12"/>
        <v>40098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7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Building</v>
      </c>
      <c r="F101" s="1" t="s">
        <v>6920</v>
      </c>
      <c r="G101">
        <f t="shared" si="12"/>
        <v>40099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7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Express Lane</v>
      </c>
      <c r="F102" s="1" t="s">
        <v>7010</v>
      </c>
      <c r="G102">
        <f t="shared" si="12"/>
        <v>40100</v>
      </c>
      <c r="H102">
        <f t="shared" si="16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7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Overpass</v>
      </c>
      <c r="F103" s="1" t="s">
        <v>6904</v>
      </c>
      <c r="G103">
        <f t="shared" si="12"/>
        <v>40101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7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HOV Lane</v>
      </c>
      <c r="F104" s="1" t="s">
        <v>7011</v>
      </c>
      <c r="G104">
        <f t="shared" si="12"/>
        <v>40102</v>
      </c>
      <c r="H104">
        <f t="shared" si="16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7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Overpass</v>
      </c>
      <c r="F105" s="1" t="s">
        <v>7012</v>
      </c>
      <c r="G105">
        <f t="shared" si="12"/>
        <v>40103</v>
      </c>
      <c r="H105">
        <f t="shared" si="16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7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Bridge Replacement</v>
      </c>
      <c r="F106" s="1" t="s">
        <v>6935</v>
      </c>
      <c r="G106">
        <f t="shared" si="12"/>
        <v>40104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7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Express Lane</v>
      </c>
      <c r="F107" s="1" t="s">
        <v>6905</v>
      </c>
      <c r="G107">
        <f t="shared" si="12"/>
        <v>40105</v>
      </c>
      <c r="H107">
        <f t="shared" si="16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7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Building</v>
      </c>
      <c r="F108" s="1" t="s">
        <v>7013</v>
      </c>
      <c r="G108">
        <f t="shared" si="12"/>
        <v>40106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7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8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Upgrade</v>
      </c>
      <c r="F109" s="1" t="s">
        <v>7014</v>
      </c>
      <c r="G109">
        <f t="shared" si="12"/>
        <v>40107</v>
      </c>
      <c r="H109">
        <f t="shared" ref="H109:H139" si="19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7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8"/>
        <v>rg{'id': '200000'}'</v>
      </c>
      <c r="E110" s="1" t="str">
        <f ca="1">MID(Names!G64,FIND(" ",Names!G64)+1,LEN(Names!G64)-FIND(" ", Names!G64))&amp;" "&amp;INDEX(PROJ_EXT_Name,RANDBETWEEN(2,12))</f>
        <v>Sixth Street Bridge</v>
      </c>
      <c r="F110" s="1" t="s">
        <v>7015</v>
      </c>
      <c r="G110">
        <f t="shared" si="12"/>
        <v>40108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7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8"/>
        <v>rg{'id': '200000'}'</v>
      </c>
      <c r="E111" s="1" t="str">
        <f ca="1">MID(Names!G68,FIND(" ",Names!G68)+1,LEN(Names!G68)-FIND(" ", Names!G68))&amp;" "&amp;INDEX(PROJ_EXT_Name,RANDBETWEEN(2,12))</f>
        <v>James Street Extension</v>
      </c>
      <c r="F111" s="1" t="s">
        <v>7016</v>
      </c>
      <c r="G111">
        <f t="shared" si="12"/>
        <v>40109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7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8"/>
        <v>rg{'id': '200000'}'</v>
      </c>
      <c r="E112" s="1" t="str">
        <f ca="1">MID(Names!G69,FIND(" ",Names!G69)+1,LEN(Names!G69)-FIND(" ", Names!G69))&amp;" "&amp;INDEX(PROJ_EXT_Name,RANDBETWEEN(2,12))</f>
        <v>Tolmie St Bridge Replacement</v>
      </c>
      <c r="F112" s="1" t="s">
        <v>7017</v>
      </c>
      <c r="G112">
        <f t="shared" si="12"/>
        <v>40110</v>
      </c>
      <c r="H112">
        <f t="shared" si="19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7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8"/>
        <v>rg{'id': '200000'}'</v>
      </c>
      <c r="E113" s="1" t="str">
        <f ca="1">MID(Names!G72,FIND(" ",Names!G72)+1,LEN(Names!G72)-FIND(" ", Names!G72))&amp;" "&amp;INDEX(PROJ_EXT_Name,RANDBETWEEN(2,12))</f>
        <v>Coldstream Avenue Overpass</v>
      </c>
      <c r="F113" s="1" t="s">
        <v>7018</v>
      </c>
      <c r="G113">
        <f t="shared" si="12"/>
        <v>40111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7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8"/>
        <v>rg{'id': '200004'}'</v>
      </c>
      <c r="E114" s="1" t="str">
        <f ca="1">MID(Names!G73,FIND(" ",Names!G73)+1,LEN(Names!G73)-FIND(" ", Names!G73))&amp;" "&amp;INDEX(PROJ_EXT_Name,RANDBETWEEN(2,12))</f>
        <v>Lake City Way Overpass</v>
      </c>
      <c r="F114" s="1" t="s">
        <v>7019</v>
      </c>
      <c r="G114">
        <f t="shared" si="12"/>
        <v>40112</v>
      </c>
      <c r="H114">
        <f t="shared" si="19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6510</v>
      </c>
      <c r="O114" t="s">
        <v>6510</v>
      </c>
      <c r="P114" t="s">
        <v>6510</v>
      </c>
      <c r="Q114" t="str">
        <f t="shared" si="17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8"/>
        <v>rg{'id': '200004'}'</v>
      </c>
      <c r="E115" s="1" t="str">
        <f ca="1">MID(Names!G74,FIND(" ",Names!G74)+1,LEN(Names!G74)-FIND(" ", Names!G74))&amp;" "&amp;INDEX(PROJ_EXT_Name,RANDBETWEEN(2,12))</f>
        <v>Roger Street Overpass</v>
      </c>
      <c r="F115" s="1" t="s">
        <v>6898</v>
      </c>
      <c r="G115">
        <f t="shared" si="12"/>
        <v>40113</v>
      </c>
      <c r="H115">
        <f t="shared" si="19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6510</v>
      </c>
      <c r="O115" t="s">
        <v>6510</v>
      </c>
      <c r="P115" t="s">
        <v>6510</v>
      </c>
      <c r="Q115" t="str">
        <f t="shared" si="17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8"/>
        <v>rg{'id': '200004'}'</v>
      </c>
      <c r="E116" s="1" t="str">
        <f ca="1">MID(Names!G75,FIND(" ",Names!G75)+1,LEN(Names!G75)-FIND(" ", Names!G75))&amp;" "&amp;INDEX(PROJ_EXT_Name,RANDBETWEEN(2,12))</f>
        <v>Essendene Avenue Expressway</v>
      </c>
      <c r="F116" s="1" t="s">
        <v>7020</v>
      </c>
      <c r="G116">
        <f t="shared" si="12"/>
        <v>40114</v>
      </c>
      <c r="H116">
        <f t="shared" si="19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6510</v>
      </c>
      <c r="O116" t="s">
        <v>6510</v>
      </c>
      <c r="P116" t="s">
        <v>6510</v>
      </c>
      <c r="Q116" t="str">
        <f t="shared" si="17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8"/>
        <v>rg{'id': '200004'}'</v>
      </c>
      <c r="E117" s="1" t="str">
        <f ca="1">MID(Names!G76,FIND(" ",Names!G76)+1,LEN(Names!G76)-FIND(" ", Names!G76))&amp;" "&amp;INDEX(PROJ_EXT_Name,RANDBETWEEN(2,12))</f>
        <v>Blanshard Upgrade</v>
      </c>
      <c r="F117" s="1" t="s">
        <v>6925</v>
      </c>
      <c r="G117">
        <f t="shared" si="12"/>
        <v>40115</v>
      </c>
      <c r="H117">
        <f t="shared" si="19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6510</v>
      </c>
      <c r="O117" t="s">
        <v>6510</v>
      </c>
      <c r="P117" t="s">
        <v>6510</v>
      </c>
      <c r="Q117" t="str">
        <f t="shared" si="17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8"/>
        <v>rg{'id': '200004'}'</v>
      </c>
      <c r="E118" s="1" t="str">
        <f ca="1">MID(Names!G77,FIND(" ",Names!G77)+1,LEN(Names!G77)-FIND(" ", Names!G77))&amp;" "&amp;INDEX(PROJ_EXT_Name,RANDBETWEEN(2,12))</f>
        <v>Wallace Street Building</v>
      </c>
      <c r="F118" s="1" t="s">
        <v>6919</v>
      </c>
      <c r="G118">
        <f t="shared" si="12"/>
        <v>40116</v>
      </c>
      <c r="H118">
        <f t="shared" si="19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6510</v>
      </c>
      <c r="O118" t="s">
        <v>6510</v>
      </c>
      <c r="P118" t="s">
        <v>6510</v>
      </c>
      <c r="Q118" t="str">
        <f t="shared" si="17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8"/>
        <v>rg{'id': '200004'}'</v>
      </c>
      <c r="E119" s="1" t="str">
        <f ca="1">MID(Names!G80,FIND(" ",Names!G80)+1,LEN(Names!G80)-FIND(" ", Names!G80))&amp;" "&amp;INDEX(PROJ_EXT_Name,RANDBETWEEN(2,12))</f>
        <v>Burdett Avenue Express Lane</v>
      </c>
      <c r="F119" s="1" t="s">
        <v>7021</v>
      </c>
      <c r="G119">
        <f t="shared" si="12"/>
        <v>40117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6510</v>
      </c>
      <c r="O119" t="s">
        <v>6510</v>
      </c>
      <c r="P119" t="s">
        <v>6510</v>
      </c>
      <c r="Q119" t="str">
        <f t="shared" si="17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8"/>
        <v>rg{'id': '200004'}'</v>
      </c>
      <c r="E120" s="1" t="str">
        <f ca="1">MID(Names!G82,FIND(" ",Names!G82)+1,LEN(Names!G82)-FIND(" ", Names!G82))&amp;" "&amp;INDEX(PROJ_EXT_Name,RANDBETWEEN(2,12))</f>
        <v>Tchesinkut Lake Rd Extension</v>
      </c>
      <c r="F120" s="1" t="s">
        <v>7022</v>
      </c>
      <c r="G120">
        <f t="shared" si="12"/>
        <v>40118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6510</v>
      </c>
      <c r="O120" t="s">
        <v>6510</v>
      </c>
      <c r="P120" t="s">
        <v>6510</v>
      </c>
      <c r="Q120" t="str">
        <f t="shared" si="17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8"/>
        <v>rg{'id': '200003'}'</v>
      </c>
      <c r="E121" s="1" t="str">
        <f ca="1">MID(Names!G83,FIND(" ",Names!G83)+1,LEN(Names!G83)-FIND(" ", Names!G83))&amp;" "&amp;INDEX(PROJ_EXT_Name,RANDBETWEEN(2,12))</f>
        <v>Blind Bay Road Bridge</v>
      </c>
      <c r="F121" s="1" t="s">
        <v>6907</v>
      </c>
      <c r="G121">
        <f t="shared" si="12"/>
        <v>40119</v>
      </c>
      <c r="H121">
        <f t="shared" si="19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6510</v>
      </c>
      <c r="O121" t="s">
        <v>6510</v>
      </c>
      <c r="P121" t="s">
        <v>6510</v>
      </c>
      <c r="Q121" t="str">
        <f t="shared" si="17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8"/>
        <v>rg{'id': '200003'}'</v>
      </c>
      <c r="E122" s="1" t="str">
        <f ca="1">MID(Names!G90,FIND(" ",Names!G90)+1,LEN(Names!G90)-FIND(" ", Names!G90))&amp;" "&amp;INDEX(PROJ_EXT_Name,RANDBETWEEN(2,12))</f>
        <v>Tchesinkut Lake Rd Expressway</v>
      </c>
      <c r="F122" s="1" t="s">
        <v>7023</v>
      </c>
      <c r="G122">
        <f t="shared" si="12"/>
        <v>40120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6510</v>
      </c>
      <c r="O122" t="s">
        <v>6510</v>
      </c>
      <c r="P122" t="s">
        <v>6510</v>
      </c>
      <c r="Q122" t="str">
        <f t="shared" si="17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8"/>
        <v>rg{'id': '200003'}'</v>
      </c>
      <c r="E123" s="1" t="str">
        <f ca="1">MID(Names!G93,FIND(" ",Names!G93)+1,LEN(Names!G93)-FIND(" ", Names!G93))&amp;" "&amp;INDEX(PROJ_EXT_Name,RANDBETWEEN(2,12))</f>
        <v>Stum Lake Road Extension</v>
      </c>
      <c r="F123" s="1" t="s">
        <v>7024</v>
      </c>
      <c r="G123">
        <f t="shared" si="12"/>
        <v>40121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6510</v>
      </c>
      <c r="O123" t="s">
        <v>6510</v>
      </c>
      <c r="P123" t="s">
        <v>6510</v>
      </c>
      <c r="Q123" t="str">
        <f t="shared" si="17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8"/>
        <v>rg{'id': '200003'}'</v>
      </c>
      <c r="E124" s="1" t="str">
        <f ca="1">MID(Names!G94,FIND(" ",Names!G94)+1,LEN(Names!G94)-FIND(" ", Names!G94))&amp;" "&amp;INDEX(PROJ_EXT_Name,RANDBETWEEN(2,12))</f>
        <v>Yoho Valley Road Express Lane</v>
      </c>
      <c r="F124" s="1" t="s">
        <v>7025</v>
      </c>
      <c r="G124">
        <f t="shared" si="12"/>
        <v>40122</v>
      </c>
      <c r="H124">
        <f t="shared" si="19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6510</v>
      </c>
      <c r="O124" t="s">
        <v>6510</v>
      </c>
      <c r="P124" t="s">
        <v>6510</v>
      </c>
      <c r="Q124" t="str">
        <f t="shared" si="17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8"/>
        <v>rg{'id': '200003'}'</v>
      </c>
      <c r="E125" s="1" t="str">
        <f ca="1">MID(Names!G95,FIND(" ",Names!G95)+1,LEN(Names!G95)-FIND(" ", Names!G95))&amp;" "&amp;INDEX(PROJ_EXT_Name,RANDBETWEEN(2,12))</f>
        <v>Keith Road Building</v>
      </c>
      <c r="F125" s="1" t="s">
        <v>6923</v>
      </c>
      <c r="G125">
        <f t="shared" si="12"/>
        <v>40123</v>
      </c>
      <c r="H125">
        <f t="shared" si="19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6510</v>
      </c>
      <c r="O125" t="s">
        <v>6510</v>
      </c>
      <c r="P125" t="s">
        <v>6510</v>
      </c>
      <c r="Q125" t="str">
        <f t="shared" si="17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8"/>
        <v>rg{'id': '200003'}'</v>
      </c>
      <c r="E126" s="1" t="str">
        <f ca="1">MID(Names!G96,FIND(" ",Names!G96)+1,LEN(Names!G96)-FIND(" ", Names!G96))&amp;" "&amp;INDEX(PROJ_EXT_Name,RANDBETWEEN(2,12))</f>
        <v>Burdett Avenue Express Lane</v>
      </c>
      <c r="F126" s="1" t="s">
        <v>7026</v>
      </c>
      <c r="G126">
        <f t="shared" si="12"/>
        <v>40124</v>
      </c>
      <c r="H126">
        <f t="shared" si="19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6510</v>
      </c>
      <c r="O126" t="s">
        <v>6510</v>
      </c>
      <c r="P126" t="s">
        <v>6510</v>
      </c>
      <c r="Q126" t="str">
        <f t="shared" si="17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8"/>
        <v>rg{'id': '200003'}'</v>
      </c>
      <c r="E127" s="1" t="str">
        <f ca="1">MID(Names!G98,FIND(" ",Names!G98)+1,LEN(Names!G98)-FIND(" ", Names!G98))&amp;" "&amp;INDEX(PROJ_EXT_Name,RANDBETWEEN(2,12))</f>
        <v>Quayside Dr Express Lane</v>
      </c>
      <c r="F127" s="1" t="s">
        <v>7027</v>
      </c>
      <c r="G127">
        <f t="shared" si="12"/>
        <v>40125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6510</v>
      </c>
      <c r="O127" t="s">
        <v>6510</v>
      </c>
      <c r="P127" t="s">
        <v>6510</v>
      </c>
      <c r="Q127" t="str">
        <f t="shared" si="17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8"/>
        <v>rg{'id': '200002'}'</v>
      </c>
      <c r="E128" s="1" t="str">
        <f ca="1">MID(Names!G99,FIND(" ",Names!G99)+1,LEN(Names!G99)-FIND(" ", Names!G99))&amp;" "&amp;INDEX(PROJ_EXT_Name,RANDBETWEEN(2,12))</f>
        <v>Jade St Building</v>
      </c>
      <c r="F128" s="1" t="s">
        <v>6930</v>
      </c>
      <c r="G128">
        <f t="shared" si="12"/>
        <v>40126</v>
      </c>
      <c r="H128">
        <f t="shared" si="19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6510</v>
      </c>
      <c r="O128" t="s">
        <v>6510</v>
      </c>
      <c r="P128" t="s">
        <v>6510</v>
      </c>
      <c r="Q128" t="str">
        <f t="shared" si="17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8"/>
        <v>rg{'id': '200002'}'</v>
      </c>
      <c r="E129" s="1" t="str">
        <f ca="1">MID(Names!G100,FIND(" ",Names!G100)+1,LEN(Names!G100)-FIND(" ", Names!G100))&amp;" "&amp;INDEX(PROJ_EXT_Name,RANDBETWEEN(2,12))</f>
        <v>Robson St Bridge</v>
      </c>
      <c r="F129" s="1" t="s">
        <v>7028</v>
      </c>
      <c r="G129">
        <f t="shared" si="12"/>
        <v>40127</v>
      </c>
      <c r="H129">
        <f t="shared" si="19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6510</v>
      </c>
      <c r="O129" t="s">
        <v>6510</v>
      </c>
      <c r="P129" t="s">
        <v>6510</v>
      </c>
      <c r="Q129" t="str">
        <f t="shared" si="17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8"/>
        <v>rg{'id': '200002'}'</v>
      </c>
      <c r="E130" s="1" t="str">
        <f ca="1">MID(Names!G101,FIND(" ",Names!G101)+1,LEN(Names!G101)-FIND(" ", Names!G101))&amp;" "&amp;INDEX(PROJ_EXT_Name,RANDBETWEEN(2,12))</f>
        <v>Robson St HOV Lane</v>
      </c>
      <c r="F130" s="1" t="s">
        <v>7029</v>
      </c>
      <c r="G130">
        <f t="shared" si="12"/>
        <v>40128</v>
      </c>
      <c r="H130">
        <f t="shared" si="19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6510</v>
      </c>
      <c r="O130" t="s">
        <v>6510</v>
      </c>
      <c r="P130" t="s">
        <v>6510</v>
      </c>
      <c r="Q130" t="str">
        <f t="shared" ref="Q130:Q155" si="22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8"/>
        <v>rg{'id': '200002'}'</v>
      </c>
      <c r="E131" s="1" t="str">
        <f ca="1">MID(Names!G104,FIND(" ",Names!G104)+1,LEN(Names!G104)-FIND(" ", Names!G104))&amp;" "&amp;INDEX(PROJ_EXT_Name,RANDBETWEEN(2,12))</f>
        <v>Carlson Road Extension</v>
      </c>
      <c r="F131" s="1" t="s">
        <v>7030</v>
      </c>
      <c r="G131">
        <f t="shared" si="12"/>
        <v>40129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6510</v>
      </c>
      <c r="O131" t="s">
        <v>6510</v>
      </c>
      <c r="P131" t="s">
        <v>6510</v>
      </c>
      <c r="Q131" t="str">
        <f t="shared" si="22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8"/>
        <v>rg{'id': '200002'}'</v>
      </c>
      <c r="E132" s="1" t="str">
        <f ca="1">MID(Names!G107,FIND(" ",Names!G107)+1,LEN(Names!G107)-FIND(" ", Names!G107))&amp;" "&amp;INDEX(PROJ_EXT_Name,RANDBETWEEN(2,12))</f>
        <v>McGill Road Expressway</v>
      </c>
      <c r="F132" s="1" t="s">
        <v>7031</v>
      </c>
      <c r="G132">
        <f t="shared" ref="G132:G155" si="23">G131+1</f>
        <v>40130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6510</v>
      </c>
      <c r="O132" t="s">
        <v>6510</v>
      </c>
      <c r="P132" t="s">
        <v>6510</v>
      </c>
      <c r="Q132" t="str">
        <f t="shared" si="22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8"/>
        <v>rg{'id': '200002'}'</v>
      </c>
      <c r="E133" s="1" t="str">
        <f ca="1">MID(Names!G108,FIND(" ",Names!G108)+1,LEN(Names!G108)-FIND(" ", Names!G108))&amp;" "&amp;INDEX(PROJ_EXT_Name,RANDBETWEEN(2,12))</f>
        <v>Russell Avenue Upgrade</v>
      </c>
      <c r="F133" s="1" t="s">
        <v>7032</v>
      </c>
      <c r="G133">
        <f t="shared" si="23"/>
        <v>40131</v>
      </c>
      <c r="H133">
        <f t="shared" si="19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6510</v>
      </c>
      <c r="O133" t="s">
        <v>6510</v>
      </c>
      <c r="P133" t="s">
        <v>6510</v>
      </c>
      <c r="Q133" t="str">
        <f t="shared" si="22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8"/>
        <v>rg{'id': '200002'}'</v>
      </c>
      <c r="E134" s="1" t="str">
        <f ca="1">MID(Names!G110,FIND(" ",Names!G110)+1,LEN(Names!G110)-FIND(" ", Names!G110))&amp;" "&amp;INDEX(PROJ_EXT_Name,RANDBETWEEN(2,12))</f>
        <v>Findlay Creek Road Bypass</v>
      </c>
      <c r="F134" s="1" t="s">
        <v>7033</v>
      </c>
      <c r="G134">
        <f t="shared" si="23"/>
        <v>40132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6510</v>
      </c>
      <c r="O134" t="s">
        <v>6510</v>
      </c>
      <c r="P134" t="s">
        <v>6510</v>
      </c>
      <c r="Q134" t="str">
        <f t="shared" si="22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8"/>
        <v>rg{'id': '200007'}'</v>
      </c>
      <c r="E135" s="1" t="str">
        <f ca="1">MID(Names!G117,FIND(" ",Names!G117)+1,LEN(Names!G117)-FIND(" ", Names!G117))&amp;" "&amp;INDEX(PROJ_EXT_Name,RANDBETWEEN(2,12))</f>
        <v>Brew Creek Rd Overpass</v>
      </c>
      <c r="F135" s="1" t="s">
        <v>7034</v>
      </c>
      <c r="G135">
        <f t="shared" si="23"/>
        <v>40133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6510</v>
      </c>
      <c r="O135" t="s">
        <v>6510</v>
      </c>
      <c r="P135" t="s">
        <v>6510</v>
      </c>
      <c r="Q135" t="str">
        <f t="shared" si="22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8"/>
        <v>rg{'id': '200007'}'</v>
      </c>
      <c r="E136" s="1" t="str">
        <f ca="1">MID(Names!G118,FIND(" ",Names!G118)+1,LEN(Names!G118)-FIND(" ", Names!G118))&amp;" "&amp;INDEX(PROJ_EXT_Name,RANDBETWEEN(2,12))</f>
        <v>Roger Street Expressway</v>
      </c>
      <c r="F136" s="1" t="s">
        <v>6895</v>
      </c>
      <c r="G136">
        <f t="shared" si="23"/>
        <v>40134</v>
      </c>
      <c r="H136">
        <f t="shared" si="19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6510</v>
      </c>
      <c r="O136" t="s">
        <v>6510</v>
      </c>
      <c r="P136" t="s">
        <v>6510</v>
      </c>
      <c r="Q136" t="str">
        <f t="shared" si="22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8"/>
        <v>rg{'id': '200007'}'</v>
      </c>
      <c r="E137" s="1" t="str">
        <f ca="1">MID(Names!G119,FIND(" ",Names!G119)+1,LEN(Names!G119)-FIND(" ", Names!G119))&amp;" "&amp;INDEX(PROJ_EXT_Name,RANDBETWEEN(2,12))</f>
        <v>Quayside Dr Building</v>
      </c>
      <c r="F137" s="1" t="s">
        <v>7035</v>
      </c>
      <c r="G137">
        <f t="shared" si="23"/>
        <v>40135</v>
      </c>
      <c r="H137">
        <f t="shared" si="19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6510</v>
      </c>
      <c r="O137" t="s">
        <v>6510</v>
      </c>
      <c r="P137" t="s">
        <v>6510</v>
      </c>
      <c r="Q137" t="str">
        <f t="shared" si="22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8"/>
        <v>rg{'id': '200007'}'</v>
      </c>
      <c r="E138" s="1" t="str">
        <f ca="1">MID(Names!G120,FIND(" ",Names!G120)+1,LEN(Names!G120)-FIND(" ", Names!G120))&amp;" "&amp;INDEX(PROJ_EXT_Name,RANDBETWEEN(2,12))</f>
        <v>Haaglund Rd Overpass</v>
      </c>
      <c r="F138" s="1" t="s">
        <v>6933</v>
      </c>
      <c r="G138">
        <f t="shared" si="23"/>
        <v>40136</v>
      </c>
      <c r="H138">
        <f t="shared" si="19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6510</v>
      </c>
      <c r="O138" t="s">
        <v>6510</v>
      </c>
      <c r="P138" t="s">
        <v>6510</v>
      </c>
      <c r="Q138" t="str">
        <f t="shared" si="22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8"/>
        <v>rg{'id': '200007'}'</v>
      </c>
      <c r="E139" s="1" t="str">
        <f ca="1">MID(Names!G121,FIND(" ",Names!G121)+1,LEN(Names!G121)-FIND(" ", Names!G121))&amp;" "&amp;INDEX(PROJ_EXT_Name,RANDBETWEEN(2,12))</f>
        <v>Tchesinkut Lake Rd Expressway</v>
      </c>
      <c r="F139" s="1" t="s">
        <v>7036</v>
      </c>
      <c r="G139">
        <f t="shared" si="23"/>
        <v>40137</v>
      </c>
      <c r="H139">
        <f t="shared" si="19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6510</v>
      </c>
      <c r="O139" t="s">
        <v>6510</v>
      </c>
      <c r="P139" t="s">
        <v>6510</v>
      </c>
      <c r="Q139" t="str">
        <f t="shared" si="22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8"/>
        <v>rg{'id': '200007'}'</v>
      </c>
      <c r="E140" s="1" t="str">
        <f ca="1">MID(Names!G124,FIND(" ",Names!G124)+1,LEN(Names!G124)-FIND(" ", Names!G124))&amp;" "&amp;INDEX(PROJ_EXT_Name,RANDBETWEEN(2,12))</f>
        <v>Stum Lake Road Express Lane</v>
      </c>
      <c r="F140" s="1" t="s">
        <v>7037</v>
      </c>
      <c r="G140">
        <f t="shared" si="23"/>
        <v>40138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6510</v>
      </c>
      <c r="O140" t="s">
        <v>6510</v>
      </c>
      <c r="P140" t="s">
        <v>6510</v>
      </c>
      <c r="Q140" t="str">
        <f t="shared" si="22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4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Extension</v>
      </c>
      <c r="F141" s="1" t="s">
        <v>7038</v>
      </c>
      <c r="G141">
        <f t="shared" si="23"/>
        <v>40139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6510</v>
      </c>
      <c r="O141" t="s">
        <v>6510</v>
      </c>
      <c r="P141" t="s">
        <v>6510</v>
      </c>
      <c r="Q141" t="str">
        <f t="shared" si="22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4"/>
        <v>rg{'id': '200005'}'</v>
      </c>
      <c r="E142" s="1" t="str">
        <f ca="1">MID(Names!G128,FIND(" ",Names!G128)+1,LEN(Names!G128)-FIND(" ", Names!G128))&amp;" "&amp;INDEX(PROJ_EXT_Name,RANDBETWEEN(2,12))</f>
        <v>Shaughnessy St Expressway</v>
      </c>
      <c r="F142" s="1" t="s">
        <v>6926</v>
      </c>
      <c r="G142">
        <f t="shared" si="23"/>
        <v>40140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6510</v>
      </c>
      <c r="O142" t="s">
        <v>6510</v>
      </c>
      <c r="P142" t="s">
        <v>6510</v>
      </c>
      <c r="Q142" t="str">
        <f t="shared" si="22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4"/>
        <v>rg{'id': '200005'}'</v>
      </c>
      <c r="E143" s="1" t="str">
        <f ca="1">MID(Names!G129,FIND(" ",Names!G129)+1,LEN(Names!G129)-FIND(" ", Names!G129))&amp;" "&amp;INDEX(PROJ_EXT_Name,RANDBETWEEN(2,12))</f>
        <v>Cordova Street Building</v>
      </c>
      <c r="F143" s="1" t="s">
        <v>7039</v>
      </c>
      <c r="G143">
        <f t="shared" si="23"/>
        <v>40141</v>
      </c>
      <c r="H143">
        <f t="shared" ref="H143:H153" si="25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6510</v>
      </c>
      <c r="O143" t="s">
        <v>6510</v>
      </c>
      <c r="P143" t="s">
        <v>6510</v>
      </c>
      <c r="Q143" t="str">
        <f t="shared" si="22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4"/>
        <v>rg{'id': '200005'}'</v>
      </c>
      <c r="E144" s="1" t="str">
        <f ca="1">MID(Names!G130,FIND(" ",Names!G130)+1,LEN(Names!G130)-FIND(" ", Names!G130))&amp;" "&amp;INDEX(PROJ_EXT_Name,RANDBETWEEN(2,12))</f>
        <v>Mesa Vista Drive Overpass</v>
      </c>
      <c r="F144" s="1" t="s">
        <v>7040</v>
      </c>
      <c r="G144">
        <f t="shared" si="23"/>
        <v>40142</v>
      </c>
      <c r="H144">
        <f t="shared" si="25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6510</v>
      </c>
      <c r="O144" t="s">
        <v>6510</v>
      </c>
      <c r="P144" t="s">
        <v>6510</v>
      </c>
      <c r="Q144" t="str">
        <f t="shared" si="22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4"/>
        <v>rg{'id': '200005'}'</v>
      </c>
      <c r="E145" s="1" t="str">
        <f ca="1">MID(Names!G131,FIND(" ",Names!G131)+1,LEN(Names!G131)-FIND(" ", Names!G131))&amp;" "&amp;INDEX(PROJ_EXT_Name,RANDBETWEEN(2,12))</f>
        <v>Blanshard Bridge Replacement</v>
      </c>
      <c r="F145" s="1" t="s">
        <v>7041</v>
      </c>
      <c r="G145">
        <f t="shared" si="23"/>
        <v>40143</v>
      </c>
      <c r="H145">
        <f t="shared" si="25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6510</v>
      </c>
      <c r="O145" t="s">
        <v>6510</v>
      </c>
      <c r="P145" t="s">
        <v>6510</v>
      </c>
      <c r="Q145" t="str">
        <f t="shared" si="22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4"/>
        <v>rg{'id': '200005'}'</v>
      </c>
      <c r="E146" s="1" t="str">
        <f ca="1">MID(Names!G133,FIND(" ",Names!G133)+1,LEN(Names!G133)-FIND(" ", Names!G133))&amp;" "&amp;INDEX(PROJ_EXT_Name,RANDBETWEEN(2,12))</f>
        <v>Cordova Street HOV Lane</v>
      </c>
      <c r="F146" s="1" t="s">
        <v>7042</v>
      </c>
      <c r="G146">
        <f t="shared" si="23"/>
        <v>40144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6510</v>
      </c>
      <c r="O146" t="s">
        <v>6510</v>
      </c>
      <c r="P146" t="s">
        <v>6510</v>
      </c>
      <c r="Q146" t="str">
        <f t="shared" si="22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4"/>
        <v>rg{'id': '200005'}'</v>
      </c>
      <c r="E147" s="1" t="str">
        <f ca="1">MID(Names!G134,FIND(" ",Names!G134)+1,LEN(Names!G134)-FIND(" ", Names!G134))&amp;" "&amp;INDEX(PROJ_EXT_Name,RANDBETWEEN(2,12))</f>
        <v>Kinchant St Expressway</v>
      </c>
      <c r="F147" s="1" t="s">
        <v>7043</v>
      </c>
      <c r="G147">
        <f t="shared" si="23"/>
        <v>40145</v>
      </c>
      <c r="H147">
        <f t="shared" si="25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6510</v>
      </c>
      <c r="O147" t="s">
        <v>6510</v>
      </c>
      <c r="P147" t="s">
        <v>6510</v>
      </c>
      <c r="Q147" t="str">
        <f t="shared" si="22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4"/>
        <v>rg{'id': '200005'}'</v>
      </c>
      <c r="E148" s="1" t="str">
        <f ca="1">MID(Names!G138,FIND(" ",Names!G138)+1,LEN(Names!G138)-FIND(" ", Names!G138))&amp;" "&amp;INDEX(PROJ_EXT_Name,RANDBETWEEN(2,12))</f>
        <v>Alaska Hwy Overpass</v>
      </c>
      <c r="F148" s="1" t="s">
        <v>7044</v>
      </c>
      <c r="G148">
        <f t="shared" si="23"/>
        <v>40146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6510</v>
      </c>
      <c r="O148" t="s">
        <v>6510</v>
      </c>
      <c r="P148" t="s">
        <v>6510</v>
      </c>
      <c r="Q148" t="str">
        <f t="shared" si="22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4"/>
        <v>rg{'id': '200009'}'</v>
      </c>
      <c r="E149" s="1" t="str">
        <f ca="1">MID(Names!G139,FIND(" ",Names!G139)+1,LEN(Names!G139)-FIND(" ", Names!G139))&amp;" "&amp;INDEX(PROJ_EXT_Name,RANDBETWEEN(2,12))</f>
        <v>Stum Lake Road Cloverleaf</v>
      </c>
      <c r="F149" s="1" t="s">
        <v>6915</v>
      </c>
      <c r="G149">
        <f t="shared" si="23"/>
        <v>40147</v>
      </c>
      <c r="H149">
        <f t="shared" si="25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6510</v>
      </c>
      <c r="O149" t="s">
        <v>6510</v>
      </c>
      <c r="P149" t="s">
        <v>6510</v>
      </c>
      <c r="Q149" t="str">
        <f t="shared" si="22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4"/>
        <v>rg{'id': '200009'}'</v>
      </c>
      <c r="E150" s="1" t="str">
        <f ca="1">MID(Names!G142,FIND(" ",Names!G142)+1,LEN(Names!G142)-FIND(" ", Names!G142))&amp;" "&amp;INDEX(PROJ_EXT_Name,RANDBETWEEN(2,12))</f>
        <v>King George Hwy HOV Lane</v>
      </c>
      <c r="F150" s="1" t="s">
        <v>7045</v>
      </c>
      <c r="G150">
        <f t="shared" si="23"/>
        <v>40148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2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4"/>
        <v>rg{'id': '200009'}'</v>
      </c>
      <c r="E151" s="1" t="str">
        <f ca="1">MID(Names!G144,FIND(" ",Names!G144)+1,LEN(Names!G144)-FIND(" ", Names!G144))&amp;" "&amp;INDEX(PROJ_EXT_Name,RANDBETWEEN(2,12))</f>
        <v>Burdett Avenue Bridge</v>
      </c>
      <c r="F151" s="1" t="s">
        <v>6900</v>
      </c>
      <c r="G151">
        <f t="shared" si="23"/>
        <v>40149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6510</v>
      </c>
      <c r="O151" t="s">
        <v>6510</v>
      </c>
      <c r="P151" t="s">
        <v>6510</v>
      </c>
      <c r="Q151" t="str">
        <f t="shared" si="22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4"/>
        <v>rg{'id': '200009'}'</v>
      </c>
      <c r="E152" s="1" t="str">
        <f ca="1">MID(Names!G146,FIND(" ",Names!G146)+1,LEN(Names!G146)-FIND(" ", Names!G146))&amp;" "&amp;INDEX(PROJ_EXT_Name,RANDBETWEEN(2,12))</f>
        <v>Hastings Street Extension</v>
      </c>
      <c r="F152" s="1" t="s">
        <v>6918</v>
      </c>
      <c r="G152">
        <f t="shared" si="23"/>
        <v>40150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6510</v>
      </c>
      <c r="O152" t="s">
        <v>6510</v>
      </c>
      <c r="P152" t="s">
        <v>6510</v>
      </c>
      <c r="Q152" t="str">
        <f t="shared" si="22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4"/>
        <v>rg{'id': '200009'}'</v>
      </c>
      <c r="E153" s="1" t="str">
        <f ca="1">MID(Names!G147,FIND(" ",Names!G147)+1,LEN(Names!G147)-FIND(" ", Names!G147))&amp;" "&amp;INDEX(PROJ_EXT_Name,RANDBETWEEN(2,12))</f>
        <v>Old Spallumcheen Rd Express Lane</v>
      </c>
      <c r="F153" s="1" t="s">
        <v>7046</v>
      </c>
      <c r="G153">
        <f t="shared" si="23"/>
        <v>40151</v>
      </c>
      <c r="H153">
        <f t="shared" si="25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6510</v>
      </c>
      <c r="O153" t="s">
        <v>6510</v>
      </c>
      <c r="P153" t="s">
        <v>6510</v>
      </c>
      <c r="Q153" t="str">
        <f t="shared" si="22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4"/>
        <v>rg{'id': '200009'}'</v>
      </c>
      <c r="E154" s="1" t="str">
        <f ca="1">MID(Names!G149,FIND(" ",Names!G149)+1,LEN(Names!G149)-FIND(" ", Names!G149))&amp;" "&amp;INDEX(PROJ_EXT_Name,RANDBETWEEN(2,12))</f>
        <v>Coldstream Avenue Upgrade</v>
      </c>
      <c r="F154" s="1" t="s">
        <v>7047</v>
      </c>
      <c r="G154">
        <f t="shared" si="23"/>
        <v>40152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6510</v>
      </c>
      <c r="O154" t="s">
        <v>6510</v>
      </c>
      <c r="P154" t="s">
        <v>6510</v>
      </c>
      <c r="Q154" t="str">
        <f t="shared" si="22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4"/>
        <v>rg{'id': '200009'}'</v>
      </c>
      <c r="E155" s="1" t="str">
        <f ca="1">MID(Names!G101,FIND(" ",Names!G101)+1,LEN(Names!G101)-FIND(" ", Names!G101))&amp;" "&amp;INDEX(PROJ_EXT_Name,RANDBETWEEN(2,12))</f>
        <v>Robson St Building</v>
      </c>
      <c r="F155" s="1" t="s">
        <v>7048</v>
      </c>
      <c r="G155">
        <f t="shared" si="23"/>
        <v>40153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6510</v>
      </c>
      <c r="O155" t="s">
        <v>6510</v>
      </c>
      <c r="P155" t="s">
        <v>6510</v>
      </c>
      <c r="Q155" t="str">
        <f t="shared" si="22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rg:None</v>
      </c>
      <c r="L44" t="str">
        <f ca="1">IF(K44="rg:None",Names!P44,"rg:None")</f>
        <v>250-731-5024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604-267-2720</v>
      </c>
      <c r="L60" t="str">
        <f ca="1">IF(K60="rg:None",Names!P60,"rg:None")</f>
        <v>rg:None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604-988-5640</v>
      </c>
      <c r="L95" t="str">
        <f ca="1">IF(K95="rg:None",Names!P95,"rg:None")</f>
        <v>rg:None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rg:None</v>
      </c>
      <c r="L107" t="str">
        <f ca="1">IF(K107="rg:None",Names!P113,"rg:None")</f>
        <v>604-660-3393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rg:None</v>
      </c>
      <c r="L121" t="str">
        <f ca="1">IF(K121="rg:None",Names!P127,"rg:None")</f>
        <v>250-588-8563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 t="str">
        <f>IFERROR(VLOOKUP(VLOOKUP(VLOOKUP(C2,Project.csv!F:Q,12,FALSE),ServiceAreas.csv!B:I,8,FALSE),LocalAreas.csv!B:I,7,FALSE),200029)</f>
        <v>rg:None</v>
      </c>
      <c r="E2" s="8" t="str">
        <f xml:space="preserve"> "rg:{'id':'" &amp; D2 &amp; "'}"</f>
        <v>rg:{'id':'rg:None'}</v>
      </c>
      <c r="F2" s="9" t="s">
        <v>7055</v>
      </c>
      <c r="G2" s="9" t="str">
        <f ca="1">INDEX(DistrictEquipmentTypes.csv!F:F,RANDBETWEEN(2,COUNTA(DistrictEquipmentTypes.csv!D:D)),1)</f>
        <v>200006</v>
      </c>
      <c r="H2" s="8" t="str">
        <f ca="1">"rg:{ 'id': '"&amp;G2&amp;"'}"</f>
        <v>rg:{ 'id': '200006'}</v>
      </c>
      <c r="I2" s="8">
        <f ca="1">IF(RANDBETWEEN(1,5)&gt;1,1,RANDBETWEEN(2,5))</f>
        <v>3</v>
      </c>
      <c r="J2" s="8">
        <f ca="1">RANDBETWEEN(4,100)</f>
        <v>5</v>
      </c>
      <c r="K2" s="8" t="str">
        <f ca="1">TEXT(TODAY()+RANDBETWEEN(1,56),"YYYY-MM-DD")</f>
        <v>2017-04-02</v>
      </c>
      <c r="L2" s="8" t="str">
        <f ca="1">TEXT(K2+(I2*J2)/8,"YYYY-MM-DD")</f>
        <v>2017-04-03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 t="str">
        <f>IFERROR(VLOOKUP(VLOOKUP(VLOOKUP(C3,Project.csv!F:Q,12,FALSE),ServiceAreas.csv!B:I,8,FALSE),LocalAreas.csv!B:I,7,FALSE),200029)</f>
        <v>rg:None</v>
      </c>
      <c r="E3" s="8" t="str">
        <f t="shared" ref="E3:E66" si="1" xml:space="preserve"> "rg:{'id':'" &amp; D3 &amp; "'}"</f>
        <v>rg:{'id':'rg:None'}</v>
      </c>
      <c r="F3" s="9" t="s">
        <v>7056</v>
      </c>
      <c r="G3" s="9" t="str">
        <f ca="1">INDEX(DistrictEquipmentTypes.csv!F:F,RANDBETWEEN(2,COUNTA(DistrictEquipmentTypes.csv!D:D)),1)</f>
        <v>200009</v>
      </c>
      <c r="H3" s="8" t="str">
        <f t="shared" ref="H3:H66" ca="1" si="2">"rg:{ 'id': '"&amp;G3&amp;"'}"</f>
        <v>rg:{ 'id': '200009'}</v>
      </c>
      <c r="I3" s="8">
        <f t="shared" ref="I3:I66" ca="1" si="3">IF(RANDBETWEEN(1,5)&gt;1,1,RANDBETWEEN(2,5))</f>
        <v>5</v>
      </c>
      <c r="J3" s="8">
        <f t="shared" ref="J3:J66" ca="1" si="4">RANDBETWEEN(4,100)</f>
        <v>9</v>
      </c>
      <c r="K3" s="8" t="str">
        <f t="shared" ref="K3:K66" ca="1" si="5">TEXT(TODAY()+RANDBETWEEN(1,56),"YYYY-MM-DD")</f>
        <v>2017-04-10</v>
      </c>
      <c r="L3" s="8" t="str">
        <f t="shared" ref="L3:L66" ca="1" si="6">TEXT(K3+(I3*J3)/8,"YYYY-MM-DD")</f>
        <v>2017-04-15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 t="str">
        <f>IFERROR(VLOOKUP(VLOOKUP(VLOOKUP(C4,Project.csv!F:Q,12,FALSE),ServiceAreas.csv!B:I,8,FALSE),LocalAreas.csv!B:I,7,FALSE),200029)</f>
        <v>rg:None</v>
      </c>
      <c r="E4" s="8" t="str">
        <f t="shared" si="1"/>
        <v>rg:{'id':'rg:None'}</v>
      </c>
      <c r="F4" s="9" t="s">
        <v>7055</v>
      </c>
      <c r="G4" s="9" t="str">
        <f ca="1">INDEX(DistrictEquipmentTypes.csv!F:F,RANDBETWEEN(2,COUNTA(DistrictEquipmentTypes.csv!D:D)),1)</f>
        <v>200009</v>
      </c>
      <c r="H4" s="8" t="str">
        <f t="shared" ca="1" si="2"/>
        <v>rg:{ 'id': '200009'}</v>
      </c>
      <c r="I4" s="8">
        <f t="shared" ca="1" si="3"/>
        <v>1</v>
      </c>
      <c r="J4" s="8">
        <f t="shared" ca="1" si="4"/>
        <v>92</v>
      </c>
      <c r="K4" s="8" t="str">
        <f t="shared" ca="1" si="5"/>
        <v>2017-04-25</v>
      </c>
      <c r="L4" s="8" t="str">
        <f t="shared" ca="1" si="6"/>
        <v>2017-05-06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 t="str">
        <f>IFERROR(VLOOKUP(VLOOKUP(VLOOKUP(C5,Project.csv!F:Q,12,FALSE),ServiceAreas.csv!B:I,8,FALSE),LocalAreas.csv!B:I,7,FALSE),200029)</f>
        <v>rg:None</v>
      </c>
      <c r="E5" s="8" t="str">
        <f t="shared" si="1"/>
        <v>rg:{'id':'rg:None'}</v>
      </c>
      <c r="F5" s="9" t="s">
        <v>7055</v>
      </c>
      <c r="G5" s="9" t="str">
        <f ca="1">INDEX(DistrictEquipmentTypes.csv!F:F,RANDBETWEEN(2,COUNTA(DistrictEquipmentTypes.csv!D:D)),1)</f>
        <v>200000</v>
      </c>
      <c r="H5" s="8" t="str">
        <f t="shared" ca="1" si="2"/>
        <v>rg:{ 'id': '200000'}</v>
      </c>
      <c r="I5" s="8">
        <f t="shared" ca="1" si="3"/>
        <v>1</v>
      </c>
      <c r="J5" s="8">
        <f t="shared" ca="1" si="4"/>
        <v>10</v>
      </c>
      <c r="K5" s="8" t="str">
        <f t="shared" ca="1" si="5"/>
        <v>2017-04-14</v>
      </c>
      <c r="L5" s="8" t="str">
        <f t="shared" ca="1" si="6"/>
        <v>2017-04-15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 t="str">
        <f>IFERROR(VLOOKUP(VLOOKUP(VLOOKUP(C6,Project.csv!F:Q,12,FALSE),ServiceAreas.csv!B:I,8,FALSE),LocalAreas.csv!B:I,7,FALSE),200029)</f>
        <v>rg:None</v>
      </c>
      <c r="E6" s="8" t="str">
        <f t="shared" si="1"/>
        <v>rg:{'id':'rg:None'}</v>
      </c>
      <c r="F6" s="9" t="s">
        <v>7055</v>
      </c>
      <c r="G6" s="9" t="str">
        <f ca="1">INDEX(DistrictEquipmentTypes.csv!F:F,RANDBETWEEN(2,COUNTA(DistrictEquipmentTypes.csv!D:D)),1)</f>
        <v>200005</v>
      </c>
      <c r="H6" s="8" t="str">
        <f t="shared" ca="1" si="2"/>
        <v>rg:{ 'id': '200005'}</v>
      </c>
      <c r="I6" s="8">
        <f t="shared" ca="1" si="3"/>
        <v>2</v>
      </c>
      <c r="J6" s="8">
        <f t="shared" ca="1" si="4"/>
        <v>64</v>
      </c>
      <c r="K6" s="8" t="str">
        <f t="shared" ca="1" si="5"/>
        <v>2017-04-06</v>
      </c>
      <c r="L6" s="8" t="str">
        <f t="shared" ca="1" si="6"/>
        <v>2017-04-22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 t="str">
        <f>IFERROR(VLOOKUP(VLOOKUP(VLOOKUP(C7,Project.csv!F:Q,12,FALSE),ServiceAreas.csv!B:I,8,FALSE),LocalAreas.csv!B:I,7,FALSE),200029)</f>
        <v>rg:None</v>
      </c>
      <c r="E7" s="8" t="str">
        <f t="shared" si="1"/>
        <v>rg:{'id':'rg:None'}</v>
      </c>
      <c r="F7" s="9" t="s">
        <v>7056</v>
      </c>
      <c r="G7" s="9" t="str">
        <f ca="1">INDEX(DistrictEquipmentTypes.csv!F:F,RANDBETWEEN(2,COUNTA(DistrictEquipmentTypes.csv!D:D)),1)</f>
        <v>200002</v>
      </c>
      <c r="H7" s="8" t="str">
        <f t="shared" ca="1" si="2"/>
        <v>rg:{ 'id': '200002'}</v>
      </c>
      <c r="I7" s="8">
        <f t="shared" ca="1" si="3"/>
        <v>1</v>
      </c>
      <c r="J7" s="8">
        <f t="shared" ca="1" si="4"/>
        <v>4</v>
      </c>
      <c r="K7" s="8" t="str">
        <f t="shared" ca="1" si="5"/>
        <v>2017-05-01</v>
      </c>
      <c r="L7" s="8" t="str">
        <f t="shared" ca="1" si="6"/>
        <v>2017-05-01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 t="str">
        <f>IFERROR(VLOOKUP(VLOOKUP(VLOOKUP(C8,Project.csv!F:Q,12,FALSE),ServiceAreas.csv!B:I,8,FALSE),LocalAreas.csv!B:I,7,FALSE),200029)</f>
        <v>rg:None</v>
      </c>
      <c r="E8" s="8" t="str">
        <f t="shared" si="1"/>
        <v>rg:{'id':'rg:None'}</v>
      </c>
      <c r="F8" s="9" t="s">
        <v>7056</v>
      </c>
      <c r="G8" s="9" t="str">
        <f ca="1">INDEX(DistrictEquipmentTypes.csv!F:F,RANDBETWEEN(2,COUNTA(DistrictEquipmentTypes.csv!D:D)),1)</f>
        <v>200009</v>
      </c>
      <c r="H8" s="8" t="str">
        <f t="shared" ca="1" si="2"/>
        <v>rg:{ 'id': '200009'}</v>
      </c>
      <c r="I8" s="8">
        <f t="shared" ca="1" si="3"/>
        <v>5</v>
      </c>
      <c r="J8" s="8">
        <f t="shared" ca="1" si="4"/>
        <v>46</v>
      </c>
      <c r="K8" s="8" t="str">
        <f t="shared" ca="1" si="5"/>
        <v>2017-03-30</v>
      </c>
      <c r="L8" s="8" t="str">
        <f t="shared" ca="1" si="6"/>
        <v>2017-04-27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 t="str">
        <f>IFERROR(VLOOKUP(VLOOKUP(VLOOKUP(C9,Project.csv!F:Q,12,FALSE),ServiceAreas.csv!B:I,8,FALSE),LocalAreas.csv!B:I,7,FALSE),200029)</f>
        <v>rg:None</v>
      </c>
      <c r="E9" s="8" t="str">
        <f t="shared" si="1"/>
        <v>rg:{'id':'rg:None'}</v>
      </c>
      <c r="F9" s="9" t="s">
        <v>7056</v>
      </c>
      <c r="G9" s="9" t="str">
        <f ca="1">INDEX(DistrictEquipmentTypes.csv!F:F,RANDBETWEEN(2,COUNTA(DistrictEquipmentTypes.csv!D:D)),1)</f>
        <v>200009</v>
      </c>
      <c r="H9" s="8" t="str">
        <f t="shared" ca="1" si="2"/>
        <v>rg:{ 'id': '200009'}</v>
      </c>
      <c r="I9" s="8">
        <f t="shared" ca="1" si="3"/>
        <v>1</v>
      </c>
      <c r="J9" s="8">
        <f t="shared" ca="1" si="4"/>
        <v>49</v>
      </c>
      <c r="K9" s="8" t="str">
        <f t="shared" ca="1" si="5"/>
        <v>2017-05-11</v>
      </c>
      <c r="L9" s="8" t="str">
        <f t="shared" ca="1" si="6"/>
        <v>2017-05-17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 t="str">
        <f>IFERROR(VLOOKUP(VLOOKUP(VLOOKUP(C10,Project.csv!F:Q,12,FALSE),ServiceAreas.csv!B:I,8,FALSE),LocalAreas.csv!B:I,7,FALSE),200029)</f>
        <v>rg:None</v>
      </c>
      <c r="E10" s="8" t="str">
        <f t="shared" si="1"/>
        <v>rg:{'id':'rg:None'}</v>
      </c>
      <c r="F10" s="9" t="s">
        <v>7056</v>
      </c>
      <c r="G10" s="9" t="str">
        <f ca="1">INDEX(DistrictEquipmentTypes.csv!F:F,RANDBETWEEN(2,COUNTA(DistrictEquipmentTypes.csv!D:D)),1)</f>
        <v>200006</v>
      </c>
      <c r="H10" s="8" t="str">
        <f t="shared" ca="1" si="2"/>
        <v>rg:{ 'id': '200006'}</v>
      </c>
      <c r="I10" s="8">
        <f t="shared" ca="1" si="3"/>
        <v>1</v>
      </c>
      <c r="J10" s="8">
        <f t="shared" ca="1" si="4"/>
        <v>23</v>
      </c>
      <c r="K10" s="8" t="str">
        <f t="shared" ca="1" si="5"/>
        <v>2017-05-17</v>
      </c>
      <c r="L10" s="8" t="str">
        <f t="shared" ca="1" si="6"/>
        <v>2017-05-19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 t="str">
        <f>IFERROR(VLOOKUP(VLOOKUP(VLOOKUP(C11,Project.csv!F:Q,12,FALSE),ServiceAreas.csv!B:I,8,FALSE),LocalAreas.csv!B:I,7,FALSE),200029)</f>
        <v>rg:None</v>
      </c>
      <c r="E11" s="8" t="str">
        <f t="shared" si="1"/>
        <v>rg:{'id':'rg:None'}</v>
      </c>
      <c r="F11" s="9" t="s">
        <v>7055</v>
      </c>
      <c r="G11" s="9" t="str">
        <f ca="1">INDEX(DistrictEquipmentTypes.csv!F:F,RANDBETWEEN(2,COUNTA(DistrictEquipmentTypes.csv!D:D)),1)</f>
        <v>200009</v>
      </c>
      <c r="H11" s="8" t="str">
        <f t="shared" ca="1" si="2"/>
        <v>rg:{ 'id': '200009'}</v>
      </c>
      <c r="I11" s="8">
        <f t="shared" ca="1" si="3"/>
        <v>1</v>
      </c>
      <c r="J11" s="8">
        <f t="shared" ca="1" si="4"/>
        <v>69</v>
      </c>
      <c r="K11" s="8" t="str">
        <f t="shared" ca="1" si="5"/>
        <v>2017-05-24</v>
      </c>
      <c r="L11" s="8" t="str">
        <f t="shared" ca="1" si="6"/>
        <v>2017-06-01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 t="str">
        <f>IFERROR(VLOOKUP(VLOOKUP(VLOOKUP(C12,Project.csv!F:Q,12,FALSE),ServiceAreas.csv!B:I,8,FALSE),LocalAreas.csv!B:I,7,FALSE),200029)</f>
        <v>rg:None</v>
      </c>
      <c r="E12" s="8" t="str">
        <f t="shared" si="1"/>
        <v>rg:{'id':'rg:None'}</v>
      </c>
      <c r="F12" s="9" t="s">
        <v>7055</v>
      </c>
      <c r="G12" s="9" t="str">
        <f ca="1">INDEX(DistrictEquipmentTypes.csv!F:F,RANDBETWEEN(2,COUNTA(DistrictEquipmentTypes.csv!D:D)),1)</f>
        <v>200002</v>
      </c>
      <c r="H12" s="8" t="str">
        <f t="shared" ca="1" si="2"/>
        <v>rg:{ 'id': '200002'}</v>
      </c>
      <c r="I12" s="8">
        <f t="shared" ca="1" si="3"/>
        <v>3</v>
      </c>
      <c r="J12" s="8">
        <f t="shared" ca="1" si="4"/>
        <v>100</v>
      </c>
      <c r="K12" s="8" t="str">
        <f t="shared" ca="1" si="5"/>
        <v>2017-04-20</v>
      </c>
      <c r="L12" s="8" t="str">
        <f t="shared" ca="1" si="6"/>
        <v>2017-05-27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 t="str">
        <f>IFERROR(VLOOKUP(VLOOKUP(VLOOKUP(C13,Project.csv!F:Q,12,FALSE),ServiceAreas.csv!B:I,8,FALSE),LocalAreas.csv!B:I,7,FALSE),200029)</f>
        <v>rg:None</v>
      </c>
      <c r="E13" s="8" t="str">
        <f t="shared" si="1"/>
        <v>rg:{'id':'rg:None'}</v>
      </c>
      <c r="F13" s="9" t="s">
        <v>7055</v>
      </c>
      <c r="G13" s="9" t="str">
        <f ca="1">INDEX(DistrictEquipmentTypes.csv!F:F,RANDBETWEEN(2,COUNTA(DistrictEquipmentTypes.csv!D:D)),1)</f>
        <v>200009</v>
      </c>
      <c r="H13" s="8" t="str">
        <f t="shared" ca="1" si="2"/>
        <v>rg:{ 'id': '200009'}</v>
      </c>
      <c r="I13" s="8">
        <f t="shared" ca="1" si="3"/>
        <v>5</v>
      </c>
      <c r="J13" s="8">
        <f t="shared" ca="1" si="4"/>
        <v>91</v>
      </c>
      <c r="K13" s="8" t="str">
        <f t="shared" ca="1" si="5"/>
        <v>2017-04-28</v>
      </c>
      <c r="L13" s="8" t="str">
        <f t="shared" ca="1" si="6"/>
        <v>2017-06-23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 t="str">
        <f>IFERROR(VLOOKUP(VLOOKUP(VLOOKUP(C14,Project.csv!F:Q,12,FALSE),ServiceAreas.csv!B:I,8,FALSE),LocalAreas.csv!B:I,7,FALSE),200029)</f>
        <v>rg:None</v>
      </c>
      <c r="E14" s="8" t="str">
        <f t="shared" si="1"/>
        <v>rg:{'id':'rg:None'}</v>
      </c>
      <c r="F14" s="9" t="s">
        <v>7055</v>
      </c>
      <c r="G14" s="9" t="str">
        <f ca="1">INDEX(DistrictEquipmentTypes.csv!F:F,RANDBETWEEN(2,COUNTA(DistrictEquipmentTypes.csv!D:D)),1)</f>
        <v>200002</v>
      </c>
      <c r="H14" s="8" t="str">
        <f t="shared" ca="1" si="2"/>
        <v>rg:{ 'id': '200002'}</v>
      </c>
      <c r="I14" s="8">
        <f t="shared" ca="1" si="3"/>
        <v>1</v>
      </c>
      <c r="J14" s="8">
        <f t="shared" ca="1" si="4"/>
        <v>35</v>
      </c>
      <c r="K14" s="8" t="str">
        <f t="shared" ca="1" si="5"/>
        <v>2017-04-24</v>
      </c>
      <c r="L14" s="8" t="str">
        <f t="shared" ca="1" si="6"/>
        <v>2017-04-28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 t="str">
        <f>IFERROR(VLOOKUP(VLOOKUP(VLOOKUP(C15,Project.csv!F:Q,12,FALSE),ServiceAreas.csv!B:I,8,FALSE),LocalAreas.csv!B:I,7,FALSE),200029)</f>
        <v>rg:None</v>
      </c>
      <c r="E15" s="8" t="str">
        <f t="shared" si="1"/>
        <v>rg:{'id':'rg:None'}</v>
      </c>
      <c r="F15" s="9" t="s">
        <v>7055</v>
      </c>
      <c r="G15" s="9" t="str">
        <f ca="1">INDEX(DistrictEquipmentTypes.csv!F:F,RANDBETWEEN(2,COUNTA(DistrictEquipmentTypes.csv!D:D)),1)</f>
        <v>200006</v>
      </c>
      <c r="H15" s="8" t="str">
        <f t="shared" ca="1" si="2"/>
        <v>rg:{ 'id': '200006'}</v>
      </c>
      <c r="I15" s="8">
        <f t="shared" ca="1" si="3"/>
        <v>1</v>
      </c>
      <c r="J15" s="8">
        <f t="shared" ca="1" si="4"/>
        <v>97</v>
      </c>
      <c r="K15" s="8" t="str">
        <f t="shared" ca="1" si="5"/>
        <v>2017-04-29</v>
      </c>
      <c r="L15" s="8" t="str">
        <f t="shared" ca="1" si="6"/>
        <v>2017-05-11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 t="str">
        <f>IFERROR(VLOOKUP(VLOOKUP(VLOOKUP(C16,Project.csv!F:Q,12,FALSE),ServiceAreas.csv!B:I,8,FALSE),LocalAreas.csv!B:I,7,FALSE),200029)</f>
        <v>rg:None</v>
      </c>
      <c r="E16" s="8" t="str">
        <f t="shared" si="1"/>
        <v>rg:{'id':'rg:None'}</v>
      </c>
      <c r="F16" s="9" t="s">
        <v>7055</v>
      </c>
      <c r="G16" s="9" t="str">
        <f ca="1">INDEX(DistrictEquipmentTypes.csv!F:F,RANDBETWEEN(2,COUNTA(DistrictEquipmentTypes.csv!D:D)),1)</f>
        <v>200002</v>
      </c>
      <c r="H16" s="8" t="str">
        <f t="shared" ca="1" si="2"/>
        <v>rg:{ 'id': '200002'}</v>
      </c>
      <c r="I16" s="8">
        <f t="shared" ca="1" si="3"/>
        <v>2</v>
      </c>
      <c r="J16" s="8">
        <f t="shared" ca="1" si="4"/>
        <v>55</v>
      </c>
      <c r="K16" s="8" t="str">
        <f t="shared" ca="1" si="5"/>
        <v>2017-05-07</v>
      </c>
      <c r="L16" s="8" t="str">
        <f t="shared" ca="1" si="6"/>
        <v>2017-05-20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 t="str">
        <f>IFERROR(VLOOKUP(VLOOKUP(VLOOKUP(C17,Project.csv!F:Q,12,FALSE),ServiceAreas.csv!B:I,8,FALSE),LocalAreas.csv!B:I,7,FALSE),200029)</f>
        <v>rg:None</v>
      </c>
      <c r="E17" s="8" t="str">
        <f t="shared" si="1"/>
        <v>rg:{'id':'rg:None'}</v>
      </c>
      <c r="F17" s="9" t="s">
        <v>7055</v>
      </c>
      <c r="G17" s="9" t="str">
        <f ca="1">INDEX(DistrictEquipmentTypes.csv!F:F,RANDBETWEEN(2,COUNTA(DistrictEquipmentTypes.csv!D:D)),1)</f>
        <v>200000</v>
      </c>
      <c r="H17" s="8" t="str">
        <f t="shared" ca="1" si="2"/>
        <v>rg:{ 'id': '200000'}</v>
      </c>
      <c r="I17" s="8">
        <f t="shared" ca="1" si="3"/>
        <v>1</v>
      </c>
      <c r="J17" s="8">
        <f t="shared" ca="1" si="4"/>
        <v>17</v>
      </c>
      <c r="K17" s="8" t="str">
        <f t="shared" ca="1" si="5"/>
        <v>2017-04-07</v>
      </c>
      <c r="L17" s="8" t="str">
        <f t="shared" ca="1" si="6"/>
        <v>2017-04-09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 t="str">
        <f>IFERROR(VLOOKUP(VLOOKUP(VLOOKUP(C18,Project.csv!F:Q,12,FALSE),ServiceAreas.csv!B:I,8,FALSE),LocalAreas.csv!B:I,7,FALSE),200029)</f>
        <v>rg:None</v>
      </c>
      <c r="E18" s="8" t="str">
        <f t="shared" si="1"/>
        <v>rg:{'id':'rg:None'}</v>
      </c>
      <c r="F18" s="9" t="s">
        <v>7055</v>
      </c>
      <c r="G18" s="9" t="str">
        <f ca="1">INDEX(DistrictEquipmentTypes.csv!F:F,RANDBETWEEN(2,COUNTA(DistrictEquipmentTypes.csv!D:D)),1)</f>
        <v>200009</v>
      </c>
      <c r="H18" s="8" t="str">
        <f t="shared" ca="1" si="2"/>
        <v>rg:{ 'id': '200009'}</v>
      </c>
      <c r="I18" s="8">
        <f t="shared" ca="1" si="3"/>
        <v>5</v>
      </c>
      <c r="J18" s="8">
        <f t="shared" ca="1" si="4"/>
        <v>44</v>
      </c>
      <c r="K18" s="8" t="str">
        <f t="shared" ca="1" si="5"/>
        <v>2017-05-19</v>
      </c>
      <c r="L18" s="8" t="str">
        <f t="shared" ca="1" si="6"/>
        <v>2017-06-15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 t="str">
        <f>IFERROR(VLOOKUP(VLOOKUP(VLOOKUP(C19,Project.csv!F:Q,12,FALSE),ServiceAreas.csv!B:I,8,FALSE),LocalAreas.csv!B:I,7,FALSE),200029)</f>
        <v>rg:None</v>
      </c>
      <c r="E19" s="8" t="str">
        <f t="shared" si="1"/>
        <v>rg:{'id':'rg:None'}</v>
      </c>
      <c r="F19" s="9" t="s">
        <v>7055</v>
      </c>
      <c r="G19" s="9" t="str">
        <f ca="1">INDEX(DistrictEquipmentTypes.csv!F:F,RANDBETWEEN(2,COUNTA(DistrictEquipmentTypes.csv!D:D)),1)</f>
        <v>200009</v>
      </c>
      <c r="H19" s="8" t="str">
        <f t="shared" ca="1" si="2"/>
        <v>rg:{ 'id': '200009'}</v>
      </c>
      <c r="I19" s="8">
        <f t="shared" ca="1" si="3"/>
        <v>1</v>
      </c>
      <c r="J19" s="8">
        <f t="shared" ca="1" si="4"/>
        <v>51</v>
      </c>
      <c r="K19" s="8" t="str">
        <f t="shared" ca="1" si="5"/>
        <v>2017-04-06</v>
      </c>
      <c r="L19" s="8" t="str">
        <f t="shared" ca="1" si="6"/>
        <v>2017-04-12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 t="str">
        <f>IFERROR(VLOOKUP(VLOOKUP(VLOOKUP(C20,Project.csv!F:Q,12,FALSE),ServiceAreas.csv!B:I,8,FALSE),LocalAreas.csv!B:I,7,FALSE),200029)</f>
        <v>rg:None</v>
      </c>
      <c r="E20" s="8" t="str">
        <f t="shared" si="1"/>
        <v>rg:{'id':'rg:None'}</v>
      </c>
      <c r="F20" s="9" t="s">
        <v>7055</v>
      </c>
      <c r="G20" s="9" t="str">
        <f ca="1">INDEX(DistrictEquipmentTypes.csv!F:F,RANDBETWEEN(2,COUNTA(DistrictEquipmentTypes.csv!D:D)),1)</f>
        <v>200004</v>
      </c>
      <c r="H20" s="8" t="str">
        <f t="shared" ca="1" si="2"/>
        <v>rg:{ 'id': '200004'}</v>
      </c>
      <c r="I20" s="8">
        <f t="shared" ca="1" si="3"/>
        <v>1</v>
      </c>
      <c r="J20" s="8">
        <f t="shared" ca="1" si="4"/>
        <v>45</v>
      </c>
      <c r="K20" s="8" t="str">
        <f t="shared" ca="1" si="5"/>
        <v>2017-04-19</v>
      </c>
      <c r="L20" s="8" t="str">
        <f t="shared" ca="1" si="6"/>
        <v>2017-04-24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 t="str">
        <f>IFERROR(VLOOKUP(VLOOKUP(VLOOKUP(C21,Project.csv!F:Q,12,FALSE),ServiceAreas.csv!B:I,8,FALSE),LocalAreas.csv!B:I,7,FALSE),200029)</f>
        <v>rg:None</v>
      </c>
      <c r="E21" s="8" t="str">
        <f t="shared" si="1"/>
        <v>rg:{'id':'rg:None'}</v>
      </c>
      <c r="F21" s="9" t="s">
        <v>7055</v>
      </c>
      <c r="G21" s="9" t="str">
        <f ca="1">INDEX(DistrictEquipmentTypes.csv!F:F,RANDBETWEEN(2,COUNTA(DistrictEquipmentTypes.csv!D:D)),1)</f>
        <v>200000</v>
      </c>
      <c r="H21" s="8" t="str">
        <f t="shared" ca="1" si="2"/>
        <v>rg:{ 'id': '200000'}</v>
      </c>
      <c r="I21" s="8">
        <f t="shared" ca="1" si="3"/>
        <v>1</v>
      </c>
      <c r="J21" s="8">
        <f t="shared" ca="1" si="4"/>
        <v>7</v>
      </c>
      <c r="K21" s="8" t="str">
        <f t="shared" ca="1" si="5"/>
        <v>2017-04-06</v>
      </c>
      <c r="L21" s="8" t="str">
        <f t="shared" ca="1" si="6"/>
        <v>2017-04-06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 t="str">
        <f>IFERROR(VLOOKUP(VLOOKUP(VLOOKUP(C22,Project.csv!F:Q,12,FALSE),ServiceAreas.csv!B:I,8,FALSE),LocalAreas.csv!B:I,7,FALSE),200029)</f>
        <v>rg:None</v>
      </c>
      <c r="E22" s="8" t="str">
        <f t="shared" si="1"/>
        <v>rg:{'id':'rg:None'}</v>
      </c>
      <c r="F22" s="9" t="s">
        <v>7055</v>
      </c>
      <c r="G22" s="9" t="str">
        <f ca="1">INDEX(DistrictEquipmentTypes.csv!F:F,RANDBETWEEN(2,COUNTA(DistrictEquipmentTypes.csv!D:D)),1)</f>
        <v>200009</v>
      </c>
      <c r="H22" s="8" t="str">
        <f t="shared" ca="1" si="2"/>
        <v>rg:{ 'id': '200009'}</v>
      </c>
      <c r="I22" s="8">
        <f t="shared" ca="1" si="3"/>
        <v>1</v>
      </c>
      <c r="J22" s="8">
        <f t="shared" ca="1" si="4"/>
        <v>94</v>
      </c>
      <c r="K22" s="8" t="str">
        <f t="shared" ca="1" si="5"/>
        <v>2017-05-02</v>
      </c>
      <c r="L22" s="8" t="str">
        <f t="shared" ca="1" si="6"/>
        <v>2017-05-13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 t="str">
        <f>IFERROR(VLOOKUP(VLOOKUP(VLOOKUP(C23,Project.csv!F:Q,12,FALSE),ServiceAreas.csv!B:I,8,FALSE),LocalAreas.csv!B:I,7,FALSE),200029)</f>
        <v>rg:None</v>
      </c>
      <c r="E23" s="8" t="str">
        <f t="shared" si="1"/>
        <v>rg:{'id':'rg:None'}</v>
      </c>
      <c r="F23" s="9" t="s">
        <v>7055</v>
      </c>
      <c r="G23" s="9" t="str">
        <f ca="1">INDEX(DistrictEquipmentTypes.csv!F:F,RANDBETWEEN(2,COUNTA(DistrictEquipmentTypes.csv!D:D)),1)</f>
        <v>200009</v>
      </c>
      <c r="H23" s="8" t="str">
        <f t="shared" ca="1" si="2"/>
        <v>rg:{ 'id': '200009'}</v>
      </c>
      <c r="I23" s="8">
        <f t="shared" ca="1" si="3"/>
        <v>1</v>
      </c>
      <c r="J23" s="8">
        <f t="shared" ca="1" si="4"/>
        <v>22</v>
      </c>
      <c r="K23" s="8" t="str">
        <f t="shared" ca="1" si="5"/>
        <v>2017-05-13</v>
      </c>
      <c r="L23" s="8" t="str">
        <f t="shared" ca="1" si="6"/>
        <v>2017-05-15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 t="str">
        <f>IFERROR(VLOOKUP(VLOOKUP(VLOOKUP(C24,Project.csv!F:Q,12,FALSE),ServiceAreas.csv!B:I,8,FALSE),LocalAreas.csv!B:I,7,FALSE),200029)</f>
        <v>rg:None</v>
      </c>
      <c r="E24" s="8" t="str">
        <f t="shared" si="1"/>
        <v>rg:{'id':'rg:None'}</v>
      </c>
      <c r="F24" s="9" t="s">
        <v>7055</v>
      </c>
      <c r="G24" s="9" t="str">
        <f ca="1">INDEX(DistrictEquipmentTypes.csv!F:F,RANDBETWEEN(2,COUNTA(DistrictEquipmentTypes.csv!D:D)),1)</f>
        <v>200004</v>
      </c>
      <c r="H24" s="8" t="str">
        <f t="shared" ca="1" si="2"/>
        <v>rg:{ 'id': '200004'}</v>
      </c>
      <c r="I24" s="8">
        <f t="shared" ca="1" si="3"/>
        <v>3</v>
      </c>
      <c r="J24" s="8">
        <f t="shared" ca="1" si="4"/>
        <v>60</v>
      </c>
      <c r="K24" s="8" t="str">
        <f t="shared" ca="1" si="5"/>
        <v>2017-05-18</v>
      </c>
      <c r="L24" s="8" t="str">
        <f t="shared" ca="1" si="6"/>
        <v>2017-06-09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 t="str">
        <f>IFERROR(VLOOKUP(VLOOKUP(VLOOKUP(C25,Project.csv!F:Q,12,FALSE),ServiceAreas.csv!B:I,8,FALSE),LocalAreas.csv!B:I,7,FALSE),200029)</f>
        <v>rg:None</v>
      </c>
      <c r="E25" s="8" t="str">
        <f t="shared" si="1"/>
        <v>rg:{'id':'rg:None'}</v>
      </c>
      <c r="F25" s="9" t="s">
        <v>7055</v>
      </c>
      <c r="G25" s="9" t="str">
        <f ca="1">INDEX(DistrictEquipmentTypes.csv!F:F,RANDBETWEEN(2,COUNTA(DistrictEquipmentTypes.csv!D:D)),1)</f>
        <v>200009</v>
      </c>
      <c r="H25" s="8" t="str">
        <f t="shared" ca="1" si="2"/>
        <v>rg:{ 'id': '200009'}</v>
      </c>
      <c r="I25" s="8">
        <f t="shared" ca="1" si="3"/>
        <v>1</v>
      </c>
      <c r="J25" s="8">
        <f t="shared" ca="1" si="4"/>
        <v>16</v>
      </c>
      <c r="K25" s="8" t="str">
        <f t="shared" ca="1" si="5"/>
        <v>2017-05-20</v>
      </c>
      <c r="L25" s="8" t="str">
        <f t="shared" ca="1" si="6"/>
        <v>2017-05-22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 t="str">
        <f>IFERROR(VLOOKUP(VLOOKUP(VLOOKUP(C26,Project.csv!F:Q,12,FALSE),ServiceAreas.csv!B:I,8,FALSE),LocalAreas.csv!B:I,7,FALSE),200029)</f>
        <v>rg:None</v>
      </c>
      <c r="E26" s="8" t="str">
        <f t="shared" si="1"/>
        <v>rg:{'id':'rg:None'}</v>
      </c>
      <c r="F26" s="9" t="s">
        <v>7055</v>
      </c>
      <c r="G26" s="9" t="str">
        <f ca="1">INDEX(DistrictEquipmentTypes.csv!F:F,RANDBETWEEN(2,COUNTA(DistrictEquipmentTypes.csv!D:D)),1)</f>
        <v>200002</v>
      </c>
      <c r="H26" s="8" t="str">
        <f t="shared" ca="1" si="2"/>
        <v>rg:{ 'id': '200002'}</v>
      </c>
      <c r="I26" s="8">
        <f t="shared" ca="1" si="3"/>
        <v>5</v>
      </c>
      <c r="J26" s="8">
        <f t="shared" ca="1" si="4"/>
        <v>44</v>
      </c>
      <c r="K26" s="8" t="str">
        <f t="shared" ca="1" si="5"/>
        <v>2017-05-22</v>
      </c>
      <c r="L26" s="8" t="str">
        <f t="shared" ca="1" si="6"/>
        <v>2017-06-18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 t="str">
        <f>IFERROR(VLOOKUP(VLOOKUP(VLOOKUP(C27,Project.csv!F:Q,12,FALSE),ServiceAreas.csv!B:I,8,FALSE),LocalAreas.csv!B:I,7,FALSE),200029)</f>
        <v>rg:None</v>
      </c>
      <c r="E27" s="8" t="str">
        <f t="shared" si="1"/>
        <v>rg:{'id':'rg:None'}</v>
      </c>
      <c r="F27" s="9" t="s">
        <v>7055</v>
      </c>
      <c r="G27" s="9" t="str">
        <f ca="1">INDEX(DistrictEquipmentTypes.csv!F:F,RANDBETWEEN(2,COUNTA(DistrictEquipmentTypes.csv!D:D)),1)</f>
        <v>200006</v>
      </c>
      <c r="H27" s="8" t="str">
        <f t="shared" ca="1" si="2"/>
        <v>rg:{ 'id': '200006'}</v>
      </c>
      <c r="I27" s="8">
        <f t="shared" ca="1" si="3"/>
        <v>4</v>
      </c>
      <c r="J27" s="8">
        <f t="shared" ca="1" si="4"/>
        <v>55</v>
      </c>
      <c r="K27" s="8" t="str">
        <f t="shared" ca="1" si="5"/>
        <v>2017-04-16</v>
      </c>
      <c r="L27" s="8" t="str">
        <f t="shared" ca="1" si="6"/>
        <v>2017-05-13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 t="str">
        <f>IFERROR(VLOOKUP(VLOOKUP(VLOOKUP(C28,Project.csv!F:Q,12,FALSE),ServiceAreas.csv!B:I,8,FALSE),LocalAreas.csv!B:I,7,FALSE),200029)</f>
        <v>rg:None</v>
      </c>
      <c r="E28" s="8" t="str">
        <f t="shared" si="1"/>
        <v>rg:{'id':'rg:None'}</v>
      </c>
      <c r="F28" s="9" t="s">
        <v>7055</v>
      </c>
      <c r="G28" s="9" t="str">
        <f ca="1">INDEX(DistrictEquipmentTypes.csv!F:F,RANDBETWEEN(2,COUNTA(DistrictEquipmentTypes.csv!D:D)),1)</f>
        <v>200009</v>
      </c>
      <c r="H28" s="8" t="str">
        <f t="shared" ca="1" si="2"/>
        <v>rg:{ 'id': '200009'}</v>
      </c>
      <c r="I28" s="8">
        <f t="shared" ca="1" si="3"/>
        <v>4</v>
      </c>
      <c r="J28" s="8">
        <f t="shared" ca="1" si="4"/>
        <v>38</v>
      </c>
      <c r="K28" s="8" t="str">
        <f t="shared" ca="1" si="5"/>
        <v>2017-03-31</v>
      </c>
      <c r="L28" s="8" t="str">
        <f t="shared" ca="1" si="6"/>
        <v>2017-04-19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 t="str">
        <f>IFERROR(VLOOKUP(VLOOKUP(VLOOKUP(C29,Project.csv!F:Q,12,FALSE),ServiceAreas.csv!B:I,8,FALSE),LocalAreas.csv!B:I,7,FALSE),200029)</f>
        <v>rg:None</v>
      </c>
      <c r="E29" s="8" t="str">
        <f t="shared" si="1"/>
        <v>rg:{'id':'rg:None'}</v>
      </c>
      <c r="F29" s="9" t="s">
        <v>7055</v>
      </c>
      <c r="G29" s="9" t="str">
        <f ca="1">INDEX(DistrictEquipmentTypes.csv!F:F,RANDBETWEEN(2,COUNTA(DistrictEquipmentTypes.csv!D:D)),1)</f>
        <v>200002</v>
      </c>
      <c r="H29" s="8" t="str">
        <f t="shared" ca="1" si="2"/>
        <v>rg:{ 'id': '200002'}</v>
      </c>
      <c r="I29" s="8">
        <f t="shared" ca="1" si="3"/>
        <v>1</v>
      </c>
      <c r="J29" s="8">
        <f t="shared" ca="1" si="4"/>
        <v>34</v>
      </c>
      <c r="K29" s="8" t="str">
        <f t="shared" ca="1" si="5"/>
        <v>2017-04-21</v>
      </c>
      <c r="L29" s="8" t="str">
        <f t="shared" ca="1" si="6"/>
        <v>2017-04-25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IFERROR(VLOOKUP(VLOOKUP(VLOOKUP(C30,Project.csv!F:Q,12,FALSE),ServiceAreas.csv!B:I,8,FALSE),LocalAreas.csv!B:I,7,FALSE),200029)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200000</v>
      </c>
      <c r="H30" s="8" t="str">
        <f t="shared" ca="1" si="2"/>
        <v>rg:{ 'id': '200000'}</v>
      </c>
      <c r="I30" s="8">
        <f t="shared" ca="1" si="3"/>
        <v>1</v>
      </c>
      <c r="J30" s="8">
        <f t="shared" ca="1" si="4"/>
        <v>86</v>
      </c>
      <c r="K30" s="8" t="str">
        <f t="shared" ca="1" si="5"/>
        <v>2017-04-14</v>
      </c>
      <c r="L30" s="8" t="str">
        <f t="shared" ca="1" si="6"/>
        <v>2017-04-24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IFERROR(VLOOKUP(VLOOKUP(VLOOKUP(C31,Project.csv!F:Q,12,FALSE),ServiceAreas.csv!B:I,8,FALSE),LocalAreas.csv!B:I,7,FALSE),200029)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200009</v>
      </c>
      <c r="H31" s="8" t="str">
        <f t="shared" ca="1" si="2"/>
        <v>rg:{ 'id': '200009'}</v>
      </c>
      <c r="I31" s="8">
        <f t="shared" ca="1" si="3"/>
        <v>1</v>
      </c>
      <c r="J31" s="8">
        <f t="shared" ca="1" si="4"/>
        <v>20</v>
      </c>
      <c r="K31" s="8" t="str">
        <f t="shared" ca="1" si="5"/>
        <v>2017-05-07</v>
      </c>
      <c r="L31" s="8" t="str">
        <f t="shared" ca="1" si="6"/>
        <v>2017-05-09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IFERROR(VLOOKUP(VLOOKUP(VLOOKUP(C32,Project.csv!F:Q,12,FALSE),ServiceAreas.csv!B:I,8,FALSE),LocalAreas.csv!B:I,7,FALSE),200029)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200001</v>
      </c>
      <c r="H32" s="8" t="str">
        <f t="shared" ca="1" si="2"/>
        <v>rg:{ 'id': '200001'}</v>
      </c>
      <c r="I32" s="8">
        <f t="shared" ca="1" si="3"/>
        <v>1</v>
      </c>
      <c r="J32" s="8">
        <f t="shared" ca="1" si="4"/>
        <v>6</v>
      </c>
      <c r="K32" s="8" t="str">
        <f t="shared" ca="1" si="5"/>
        <v>2017-04-18</v>
      </c>
      <c r="L32" s="8" t="str">
        <f t="shared" ca="1" si="6"/>
        <v>2017-04-18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IFERROR(VLOOKUP(VLOOKUP(VLOOKUP(C33,Project.csv!F:Q,12,FALSE),ServiceAreas.csv!B:I,8,FALSE),LocalAreas.csv!B:I,7,FALSE),200029)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200007</v>
      </c>
      <c r="H33" s="8" t="str">
        <f t="shared" ca="1" si="2"/>
        <v>rg:{ 'id': '200007'}</v>
      </c>
      <c r="I33" s="8">
        <f t="shared" ca="1" si="3"/>
        <v>1</v>
      </c>
      <c r="J33" s="8">
        <f t="shared" ca="1" si="4"/>
        <v>65</v>
      </c>
      <c r="K33" s="8" t="str">
        <f t="shared" ca="1" si="5"/>
        <v>2017-04-19</v>
      </c>
      <c r="L33" s="8" t="str">
        <f t="shared" ca="1" si="6"/>
        <v>2017-04-27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IFERROR(VLOOKUP(VLOOKUP(VLOOKUP(C34,Project.csv!F:Q,12,FALSE),ServiceAreas.csv!B:I,8,FALSE),LocalAreas.csv!B:I,7,FALSE),200029)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200004</v>
      </c>
      <c r="H34" s="8" t="str">
        <f t="shared" ca="1" si="2"/>
        <v>rg:{ 'id': '200004'}</v>
      </c>
      <c r="I34" s="8">
        <f t="shared" ca="1" si="3"/>
        <v>1</v>
      </c>
      <c r="J34" s="8">
        <f t="shared" ca="1" si="4"/>
        <v>41</v>
      </c>
      <c r="K34" s="8" t="str">
        <f t="shared" ca="1" si="5"/>
        <v>2017-04-18</v>
      </c>
      <c r="L34" s="8" t="str">
        <f t="shared" ca="1" si="6"/>
        <v>2017-04-23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IFERROR(VLOOKUP(VLOOKUP(VLOOKUP(C35,Project.csv!F:Q,12,FALSE),ServiceAreas.csv!B:I,8,FALSE),LocalAreas.csv!B:I,7,FALSE),200029)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200001</v>
      </c>
      <c r="H35" s="8" t="str">
        <f t="shared" ca="1" si="2"/>
        <v>rg:{ 'id': '200001'}</v>
      </c>
      <c r="I35" s="8">
        <f t="shared" ca="1" si="3"/>
        <v>1</v>
      </c>
      <c r="J35" s="8">
        <f t="shared" ca="1" si="4"/>
        <v>77</v>
      </c>
      <c r="K35" s="8" t="str">
        <f t="shared" ca="1" si="5"/>
        <v>2017-05-20</v>
      </c>
      <c r="L35" s="8" t="str">
        <f t="shared" ca="1" si="6"/>
        <v>2017-05-29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IFERROR(VLOOKUP(VLOOKUP(VLOOKUP(C36,Project.csv!F:Q,12,FALSE),ServiceAreas.csv!B:I,8,FALSE),LocalAreas.csv!B:I,7,FALSE),200029)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200004</v>
      </c>
      <c r="H36" s="8" t="str">
        <f t="shared" ca="1" si="2"/>
        <v>rg:{ 'id': '200004'}</v>
      </c>
      <c r="I36" s="8">
        <f t="shared" ca="1" si="3"/>
        <v>1</v>
      </c>
      <c r="J36" s="8">
        <f t="shared" ca="1" si="4"/>
        <v>27</v>
      </c>
      <c r="K36" s="8" t="str">
        <f t="shared" ca="1" si="5"/>
        <v>2017-04-13</v>
      </c>
      <c r="L36" s="8" t="str">
        <f t="shared" ca="1" si="6"/>
        <v>2017-04-16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 t="str">
        <f>IFERROR(VLOOKUP(VLOOKUP(VLOOKUP(C37,Project.csv!F:Q,12,FALSE),ServiceAreas.csv!B:I,8,FALSE),LocalAreas.csv!B:I,7,FALSE),200029)</f>
        <v>rg:None</v>
      </c>
      <c r="E37" s="8" t="str">
        <f t="shared" si="1"/>
        <v>rg:{'id':'rg:None'}</v>
      </c>
      <c r="F37" s="9" t="s">
        <v>7056</v>
      </c>
      <c r="G37" s="9" t="str">
        <f ca="1">INDEX(DistrictEquipmentTypes.csv!F:F,RANDBETWEEN(2,COUNTA(DistrictEquipmentTypes.csv!D:D)),1)</f>
        <v>200001</v>
      </c>
      <c r="H37" s="8" t="str">
        <f t="shared" ca="1" si="2"/>
        <v>rg:{ 'id': '200001'}</v>
      </c>
      <c r="I37" s="8">
        <f t="shared" ca="1" si="3"/>
        <v>1</v>
      </c>
      <c r="J37" s="8">
        <f t="shared" ca="1" si="4"/>
        <v>17</v>
      </c>
      <c r="K37" s="8" t="str">
        <f t="shared" ca="1" si="5"/>
        <v>2017-04-06</v>
      </c>
      <c r="L37" s="8" t="str">
        <f t="shared" ca="1" si="6"/>
        <v>2017-04-08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 t="str">
        <f>IFERROR(VLOOKUP(VLOOKUP(VLOOKUP(C38,Project.csv!F:Q,12,FALSE),ServiceAreas.csv!B:I,8,FALSE),LocalAreas.csv!B:I,7,FALSE),200029)</f>
        <v>rg:None</v>
      </c>
      <c r="E38" s="8" t="str">
        <f t="shared" si="1"/>
        <v>rg:{'id':'rg:None'}</v>
      </c>
      <c r="F38" s="9" t="s">
        <v>7055</v>
      </c>
      <c r="G38" s="9" t="str">
        <f ca="1">INDEX(DistrictEquipmentTypes.csv!F:F,RANDBETWEEN(2,COUNTA(DistrictEquipmentTypes.csv!D:D)),1)</f>
        <v>200006</v>
      </c>
      <c r="H38" s="8" t="str">
        <f t="shared" ca="1" si="2"/>
        <v>rg:{ 'id': '200006'}</v>
      </c>
      <c r="I38" s="8">
        <f t="shared" ca="1" si="3"/>
        <v>4</v>
      </c>
      <c r="J38" s="8">
        <f t="shared" ca="1" si="4"/>
        <v>97</v>
      </c>
      <c r="K38" s="8" t="str">
        <f t="shared" ca="1" si="5"/>
        <v>2017-05-13</v>
      </c>
      <c r="L38" s="8" t="str">
        <f t="shared" ca="1" si="6"/>
        <v>2017-06-30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 t="str">
        <f>IFERROR(VLOOKUP(VLOOKUP(VLOOKUP(C39,Project.csv!F:Q,12,FALSE),ServiceAreas.csv!B:I,8,FALSE),LocalAreas.csv!B:I,7,FALSE),200029)</f>
        <v>rg:None</v>
      </c>
      <c r="E39" s="8" t="str">
        <f t="shared" si="1"/>
        <v>rg:{'id':'rg:None'}</v>
      </c>
      <c r="F39" s="9" t="s">
        <v>7055</v>
      </c>
      <c r="G39" s="9" t="str">
        <f ca="1">INDEX(DistrictEquipmentTypes.csv!F:F,RANDBETWEEN(2,COUNTA(DistrictEquipmentTypes.csv!D:D)),1)</f>
        <v>200001</v>
      </c>
      <c r="H39" s="8" t="str">
        <f t="shared" ca="1" si="2"/>
        <v>rg:{ 'id': '200001'}</v>
      </c>
      <c r="I39" s="8">
        <f t="shared" ca="1" si="3"/>
        <v>1</v>
      </c>
      <c r="J39" s="8">
        <f t="shared" ca="1" si="4"/>
        <v>84</v>
      </c>
      <c r="K39" s="8" t="str">
        <f t="shared" ca="1" si="5"/>
        <v>2017-04-09</v>
      </c>
      <c r="L39" s="8" t="str">
        <f t="shared" ca="1" si="6"/>
        <v>2017-04-19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 t="str">
        <f>IFERROR(VLOOKUP(VLOOKUP(VLOOKUP(C40,Project.csv!F:Q,12,FALSE),ServiceAreas.csv!B:I,8,FALSE),LocalAreas.csv!B:I,7,FALSE),200029)</f>
        <v>rg:None</v>
      </c>
      <c r="E40" s="8" t="str">
        <f t="shared" si="1"/>
        <v>rg:{'id':'rg:None'}</v>
      </c>
      <c r="F40" s="9" t="s">
        <v>7055</v>
      </c>
      <c r="G40" s="9" t="str">
        <f ca="1">INDEX(DistrictEquipmentTypes.csv!F:F,RANDBETWEEN(2,COUNTA(DistrictEquipmentTypes.csv!D:D)),1)</f>
        <v>200001</v>
      </c>
      <c r="H40" s="8" t="str">
        <f t="shared" ca="1" si="2"/>
        <v>rg:{ 'id': '200001'}</v>
      </c>
      <c r="I40" s="8">
        <f t="shared" ca="1" si="3"/>
        <v>1</v>
      </c>
      <c r="J40" s="8">
        <f t="shared" ca="1" si="4"/>
        <v>81</v>
      </c>
      <c r="K40" s="8" t="str">
        <f t="shared" ca="1" si="5"/>
        <v>2017-04-14</v>
      </c>
      <c r="L40" s="8" t="str">
        <f t="shared" ca="1" si="6"/>
        <v>2017-04-24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 t="str">
        <f>IFERROR(VLOOKUP(VLOOKUP(VLOOKUP(C41,Project.csv!F:Q,12,FALSE),ServiceAreas.csv!B:I,8,FALSE),LocalAreas.csv!B:I,7,FALSE),200029)</f>
        <v>rg:None</v>
      </c>
      <c r="E41" s="8" t="str">
        <f t="shared" si="1"/>
        <v>rg:{'id':'rg:None'}</v>
      </c>
      <c r="F41" s="9" t="s">
        <v>7055</v>
      </c>
      <c r="G41" s="9" t="str">
        <f ca="1">INDEX(DistrictEquipmentTypes.csv!F:F,RANDBETWEEN(2,COUNTA(DistrictEquipmentTypes.csv!D:D)),1)</f>
        <v>200006</v>
      </c>
      <c r="H41" s="8" t="str">
        <f t="shared" ca="1" si="2"/>
        <v>rg:{ 'id': '200006'}</v>
      </c>
      <c r="I41" s="8">
        <f t="shared" ca="1" si="3"/>
        <v>1</v>
      </c>
      <c r="J41" s="8">
        <f t="shared" ca="1" si="4"/>
        <v>17</v>
      </c>
      <c r="K41" s="8" t="str">
        <f t="shared" ca="1" si="5"/>
        <v>2017-04-30</v>
      </c>
      <c r="L41" s="8" t="str">
        <f t="shared" ca="1" si="6"/>
        <v>2017-05-02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 t="str">
        <f>IFERROR(VLOOKUP(VLOOKUP(VLOOKUP(C42,Project.csv!F:Q,12,FALSE),ServiceAreas.csv!B:I,8,FALSE),LocalAreas.csv!B:I,7,FALSE),200029)</f>
        <v>rg:None</v>
      </c>
      <c r="E42" s="8" t="str">
        <f t="shared" si="1"/>
        <v>rg:{'id':'rg:None'}</v>
      </c>
      <c r="F42" s="9" t="s">
        <v>7055</v>
      </c>
      <c r="G42" s="9" t="str">
        <f ca="1">INDEX(DistrictEquipmentTypes.csv!F:F,RANDBETWEEN(2,COUNTA(DistrictEquipmentTypes.csv!D:D)),1)</f>
        <v>200001</v>
      </c>
      <c r="H42" s="8" t="str">
        <f t="shared" ca="1" si="2"/>
        <v>rg:{ 'id': '200001'}</v>
      </c>
      <c r="I42" s="8">
        <f t="shared" ca="1" si="3"/>
        <v>1</v>
      </c>
      <c r="J42" s="8">
        <f t="shared" ca="1" si="4"/>
        <v>55</v>
      </c>
      <c r="K42" s="8" t="str">
        <f t="shared" ca="1" si="5"/>
        <v>2017-04-30</v>
      </c>
      <c r="L42" s="8" t="str">
        <f t="shared" ca="1" si="6"/>
        <v>2017-05-06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 t="str">
        <f>IFERROR(VLOOKUP(VLOOKUP(VLOOKUP(C43,Project.csv!F:Q,12,FALSE),ServiceAreas.csv!B:I,8,FALSE),LocalAreas.csv!B:I,7,FALSE),200029)</f>
        <v>rg:None</v>
      </c>
      <c r="E43" s="8" t="str">
        <f t="shared" si="1"/>
        <v>rg:{'id':'rg:None'}</v>
      </c>
      <c r="F43" s="9" t="s">
        <v>7055</v>
      </c>
      <c r="G43" s="9" t="str">
        <f ca="1">INDEX(DistrictEquipmentTypes.csv!F:F,RANDBETWEEN(2,COUNTA(DistrictEquipmentTypes.csv!D:D)),1)</f>
        <v>200001</v>
      </c>
      <c r="H43" s="8" t="str">
        <f t="shared" ca="1" si="2"/>
        <v>rg:{ 'id': '200001'}</v>
      </c>
      <c r="I43" s="8">
        <f t="shared" ca="1" si="3"/>
        <v>1</v>
      </c>
      <c r="J43" s="8">
        <f t="shared" ca="1" si="4"/>
        <v>24</v>
      </c>
      <c r="K43" s="8" t="str">
        <f t="shared" ca="1" si="5"/>
        <v>2017-05-16</v>
      </c>
      <c r="L43" s="8" t="str">
        <f t="shared" ca="1" si="6"/>
        <v>2017-05-19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 t="str">
        <f>IFERROR(VLOOKUP(VLOOKUP(VLOOKUP(C44,Project.csv!F:Q,12,FALSE),ServiceAreas.csv!B:I,8,FALSE),LocalAreas.csv!B:I,7,FALSE),200029)</f>
        <v>rg:None</v>
      </c>
      <c r="E44" s="8" t="str">
        <f t="shared" si="1"/>
        <v>rg:{'id':'rg:None'}</v>
      </c>
      <c r="F44" s="9" t="s">
        <v>7056</v>
      </c>
      <c r="G44" s="9" t="str">
        <f ca="1">INDEX(DistrictEquipmentTypes.csv!F:F,RANDBETWEEN(2,COUNTA(DistrictEquipmentTypes.csv!D:D)),1)</f>
        <v>200009</v>
      </c>
      <c r="H44" s="8" t="str">
        <f t="shared" ca="1" si="2"/>
        <v>rg:{ 'id': '200009'}</v>
      </c>
      <c r="I44" s="8">
        <f t="shared" ca="1" si="3"/>
        <v>1</v>
      </c>
      <c r="J44" s="8">
        <f t="shared" ca="1" si="4"/>
        <v>15</v>
      </c>
      <c r="K44" s="8" t="str">
        <f t="shared" ca="1" si="5"/>
        <v>2017-04-15</v>
      </c>
      <c r="L44" s="8" t="str">
        <f t="shared" ca="1" si="6"/>
        <v>2017-04-16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 t="str">
        <f>IFERROR(VLOOKUP(VLOOKUP(VLOOKUP(C45,Project.csv!F:Q,12,FALSE),ServiceAreas.csv!B:I,8,FALSE),LocalAreas.csv!B:I,7,FALSE),200029)</f>
        <v>rg:None</v>
      </c>
      <c r="E45" s="8" t="str">
        <f t="shared" si="1"/>
        <v>rg:{'id':'rg:None'}</v>
      </c>
      <c r="F45" s="9" t="s">
        <v>7055</v>
      </c>
      <c r="G45" s="9" t="str">
        <f ca="1">INDEX(DistrictEquipmentTypes.csv!F:F,RANDBETWEEN(2,COUNTA(DistrictEquipmentTypes.csv!D:D)),1)</f>
        <v>200003</v>
      </c>
      <c r="H45" s="8" t="str">
        <f t="shared" ca="1" si="2"/>
        <v>rg:{ 'id': '200003'}</v>
      </c>
      <c r="I45" s="8">
        <f t="shared" ca="1" si="3"/>
        <v>1</v>
      </c>
      <c r="J45" s="8">
        <f t="shared" ca="1" si="4"/>
        <v>81</v>
      </c>
      <c r="K45" s="8" t="str">
        <f t="shared" ca="1" si="5"/>
        <v>2017-05-22</v>
      </c>
      <c r="L45" s="8" t="str">
        <f t="shared" ca="1" si="6"/>
        <v>2017-06-01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 t="str">
        <f>IFERROR(VLOOKUP(VLOOKUP(VLOOKUP(C46,Project.csv!F:Q,12,FALSE),ServiceAreas.csv!B:I,8,FALSE),LocalAreas.csv!B:I,7,FALSE),200029)</f>
        <v>rg:None</v>
      </c>
      <c r="E46" s="8" t="str">
        <f t="shared" si="1"/>
        <v>rg:{'id':'rg:None'}</v>
      </c>
      <c r="F46" s="9" t="s">
        <v>7055</v>
      </c>
      <c r="G46" s="9" t="str">
        <f ca="1">INDEX(DistrictEquipmentTypes.csv!F:F,RANDBETWEEN(2,COUNTA(DistrictEquipmentTypes.csv!D:D)),1)</f>
        <v>200001</v>
      </c>
      <c r="H46" s="8" t="str">
        <f t="shared" ca="1" si="2"/>
        <v>rg:{ 'id': '200001'}</v>
      </c>
      <c r="I46" s="8">
        <f t="shared" ca="1" si="3"/>
        <v>1</v>
      </c>
      <c r="J46" s="8">
        <f t="shared" ca="1" si="4"/>
        <v>93</v>
      </c>
      <c r="K46" s="8" t="str">
        <f t="shared" ca="1" si="5"/>
        <v>2017-05-10</v>
      </c>
      <c r="L46" s="8" t="str">
        <f t="shared" ca="1" si="6"/>
        <v>2017-05-21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 t="str">
        <f>IFERROR(VLOOKUP(VLOOKUP(VLOOKUP(C47,Project.csv!F:Q,12,FALSE),ServiceAreas.csv!B:I,8,FALSE),LocalAreas.csv!B:I,7,FALSE),200029)</f>
        <v>rg:None</v>
      </c>
      <c r="E47" s="8" t="str">
        <f t="shared" si="1"/>
        <v>rg:{'id':'rg:None'}</v>
      </c>
      <c r="F47" s="9" t="s">
        <v>7055</v>
      </c>
      <c r="G47" s="9" t="str">
        <f ca="1">INDEX(DistrictEquipmentTypes.csv!F:F,RANDBETWEEN(2,COUNTA(DistrictEquipmentTypes.csv!D:D)),1)</f>
        <v>200005</v>
      </c>
      <c r="H47" s="8" t="str">
        <f t="shared" ca="1" si="2"/>
        <v>rg:{ 'id': '200005'}</v>
      </c>
      <c r="I47" s="8">
        <f t="shared" ca="1" si="3"/>
        <v>1</v>
      </c>
      <c r="J47" s="8">
        <f t="shared" ca="1" si="4"/>
        <v>100</v>
      </c>
      <c r="K47" s="8" t="str">
        <f t="shared" ca="1" si="5"/>
        <v>2017-04-07</v>
      </c>
      <c r="L47" s="8" t="str">
        <f t="shared" ca="1" si="6"/>
        <v>2017-04-19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 t="str">
        <f>IFERROR(VLOOKUP(VLOOKUP(VLOOKUP(C48,Project.csv!F:Q,12,FALSE),ServiceAreas.csv!B:I,8,FALSE),LocalAreas.csv!B:I,7,FALSE),200029)</f>
        <v>rg:None</v>
      </c>
      <c r="E48" s="8" t="str">
        <f t="shared" si="1"/>
        <v>rg:{'id':'rg:None'}</v>
      </c>
      <c r="F48" s="9" t="s">
        <v>7055</v>
      </c>
      <c r="G48" s="9" t="str">
        <f ca="1">INDEX(DistrictEquipmentTypes.csv!F:F,RANDBETWEEN(2,COUNTA(DistrictEquipmentTypes.csv!D:D)),1)</f>
        <v>200000</v>
      </c>
      <c r="H48" s="8" t="str">
        <f t="shared" ca="1" si="2"/>
        <v>rg:{ 'id': '200000'}</v>
      </c>
      <c r="I48" s="8">
        <f t="shared" ca="1" si="3"/>
        <v>1</v>
      </c>
      <c r="J48" s="8">
        <f t="shared" ca="1" si="4"/>
        <v>55</v>
      </c>
      <c r="K48" s="8" t="str">
        <f t="shared" ca="1" si="5"/>
        <v>2017-04-05</v>
      </c>
      <c r="L48" s="8" t="str">
        <f t="shared" ca="1" si="6"/>
        <v>2017-04-11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 t="str">
        <f>IFERROR(VLOOKUP(VLOOKUP(VLOOKUP(C49,Project.csv!F:Q,12,FALSE),ServiceAreas.csv!B:I,8,FALSE),LocalAreas.csv!B:I,7,FALSE),200029)</f>
        <v>rg:None</v>
      </c>
      <c r="E49" s="8" t="str">
        <f t="shared" si="1"/>
        <v>rg:{'id':'rg:None'}</v>
      </c>
      <c r="F49" s="9" t="s">
        <v>7055</v>
      </c>
      <c r="G49" s="9" t="str">
        <f ca="1">INDEX(DistrictEquipmentTypes.csv!F:F,RANDBETWEEN(2,COUNTA(DistrictEquipmentTypes.csv!D:D)),1)</f>
        <v>200002</v>
      </c>
      <c r="H49" s="8" t="str">
        <f t="shared" ca="1" si="2"/>
        <v>rg:{ 'id': '200002'}</v>
      </c>
      <c r="I49" s="8">
        <f t="shared" ca="1" si="3"/>
        <v>1</v>
      </c>
      <c r="J49" s="8">
        <f t="shared" ca="1" si="4"/>
        <v>95</v>
      </c>
      <c r="K49" s="8" t="str">
        <f t="shared" ca="1" si="5"/>
        <v>2017-04-28</v>
      </c>
      <c r="L49" s="8" t="str">
        <f t="shared" ca="1" si="6"/>
        <v>2017-05-09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 t="str">
        <f>IFERROR(VLOOKUP(VLOOKUP(VLOOKUP(C50,Project.csv!F:Q,12,FALSE),ServiceAreas.csv!B:I,8,FALSE),LocalAreas.csv!B:I,7,FALSE),200029)</f>
        <v>rg:None</v>
      </c>
      <c r="E50" s="8" t="str">
        <f t="shared" si="1"/>
        <v>rg:{'id':'rg:None'}</v>
      </c>
      <c r="F50" s="9" t="s">
        <v>7055</v>
      </c>
      <c r="G50" s="9" t="str">
        <f ca="1">INDEX(DistrictEquipmentTypes.csv!F:F,RANDBETWEEN(2,COUNTA(DistrictEquipmentTypes.csv!D:D)),1)</f>
        <v>200000</v>
      </c>
      <c r="H50" s="8" t="str">
        <f t="shared" ca="1" si="2"/>
        <v>rg:{ 'id': '200000'}</v>
      </c>
      <c r="I50" s="8">
        <f t="shared" ca="1" si="3"/>
        <v>1</v>
      </c>
      <c r="J50" s="8">
        <f t="shared" ca="1" si="4"/>
        <v>78</v>
      </c>
      <c r="K50" s="8" t="str">
        <f t="shared" ca="1" si="5"/>
        <v>2017-05-21</v>
      </c>
      <c r="L50" s="8" t="str">
        <f t="shared" ca="1" si="6"/>
        <v>2017-05-30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 t="str">
        <f>IFERROR(VLOOKUP(VLOOKUP(VLOOKUP(C51,Project.csv!F:Q,12,FALSE),ServiceAreas.csv!B:I,8,FALSE),LocalAreas.csv!B:I,7,FALSE),200029)</f>
        <v>rg:None</v>
      </c>
      <c r="E51" s="8" t="str">
        <f t="shared" si="1"/>
        <v>rg:{'id':'rg:None'}</v>
      </c>
      <c r="F51" s="9" t="s">
        <v>7056</v>
      </c>
      <c r="G51" s="9" t="str">
        <f ca="1">INDEX(DistrictEquipmentTypes.csv!F:F,RANDBETWEEN(2,COUNTA(DistrictEquipmentTypes.csv!D:D)),1)</f>
        <v>200004</v>
      </c>
      <c r="H51" s="8" t="str">
        <f t="shared" ca="1" si="2"/>
        <v>rg:{ 'id': '200004'}</v>
      </c>
      <c r="I51" s="8">
        <f t="shared" ca="1" si="3"/>
        <v>1</v>
      </c>
      <c r="J51" s="8">
        <f t="shared" ca="1" si="4"/>
        <v>71</v>
      </c>
      <c r="K51" s="8" t="str">
        <f t="shared" ca="1" si="5"/>
        <v>2017-05-15</v>
      </c>
      <c r="L51" s="8" t="str">
        <f t="shared" ca="1" si="6"/>
        <v>2017-05-23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 t="str">
        <f>IFERROR(VLOOKUP(VLOOKUP(VLOOKUP(C52,Project.csv!F:Q,12,FALSE),ServiceAreas.csv!B:I,8,FALSE),LocalAreas.csv!B:I,7,FALSE),200029)</f>
        <v>rg:None</v>
      </c>
      <c r="E52" s="8" t="str">
        <f t="shared" si="1"/>
        <v>rg:{'id':'rg:None'}</v>
      </c>
      <c r="F52" s="9" t="s">
        <v>7055</v>
      </c>
      <c r="G52" s="9" t="str">
        <f ca="1">INDEX(DistrictEquipmentTypes.csv!F:F,RANDBETWEEN(2,COUNTA(DistrictEquipmentTypes.csv!D:D)),1)</f>
        <v>200004</v>
      </c>
      <c r="H52" s="8" t="str">
        <f t="shared" ca="1" si="2"/>
        <v>rg:{ 'id': '200004'}</v>
      </c>
      <c r="I52" s="8">
        <f t="shared" ca="1" si="3"/>
        <v>1</v>
      </c>
      <c r="J52" s="8">
        <f t="shared" ca="1" si="4"/>
        <v>46</v>
      </c>
      <c r="K52" s="8" t="str">
        <f t="shared" ca="1" si="5"/>
        <v>2017-04-18</v>
      </c>
      <c r="L52" s="8" t="str">
        <f t="shared" ca="1" si="6"/>
        <v>2017-04-23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 t="str">
        <f>IFERROR(VLOOKUP(VLOOKUP(VLOOKUP(C53,Project.csv!F:Q,12,FALSE),ServiceAreas.csv!B:I,8,FALSE),LocalAreas.csv!B:I,7,FALSE),200029)</f>
        <v>rg:None</v>
      </c>
      <c r="E53" s="8" t="str">
        <f t="shared" si="1"/>
        <v>rg:{'id':'rg:None'}</v>
      </c>
      <c r="F53" s="9" t="s">
        <v>7055</v>
      </c>
      <c r="G53" s="9" t="str">
        <f ca="1">INDEX(DistrictEquipmentTypes.csv!F:F,RANDBETWEEN(2,COUNTA(DistrictEquipmentTypes.csv!D:D)),1)</f>
        <v>200009</v>
      </c>
      <c r="H53" s="8" t="str">
        <f t="shared" ca="1" si="2"/>
        <v>rg:{ 'id': '200009'}</v>
      </c>
      <c r="I53" s="8">
        <f t="shared" ca="1" si="3"/>
        <v>1</v>
      </c>
      <c r="J53" s="8">
        <f t="shared" ca="1" si="4"/>
        <v>6</v>
      </c>
      <c r="K53" s="8" t="str">
        <f t="shared" ca="1" si="5"/>
        <v>2017-04-18</v>
      </c>
      <c r="L53" s="8" t="str">
        <f t="shared" ca="1" si="6"/>
        <v>2017-04-18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 t="str">
        <f>IFERROR(VLOOKUP(VLOOKUP(VLOOKUP(C54,Project.csv!F:Q,12,FALSE),ServiceAreas.csv!B:I,8,FALSE),LocalAreas.csv!B:I,7,FALSE),200029)</f>
        <v>rg:None</v>
      </c>
      <c r="E54" s="8" t="str">
        <f t="shared" si="1"/>
        <v>rg:{'id':'rg:None'}</v>
      </c>
      <c r="F54" s="9" t="s">
        <v>7055</v>
      </c>
      <c r="G54" s="9" t="str">
        <f ca="1">INDEX(DistrictEquipmentTypes.csv!F:F,RANDBETWEEN(2,COUNTA(DistrictEquipmentTypes.csv!D:D)),1)</f>
        <v>200007</v>
      </c>
      <c r="H54" s="8" t="str">
        <f t="shared" ca="1" si="2"/>
        <v>rg:{ 'id': '200007'}</v>
      </c>
      <c r="I54" s="8">
        <f t="shared" ca="1" si="3"/>
        <v>1</v>
      </c>
      <c r="J54" s="8">
        <f t="shared" ca="1" si="4"/>
        <v>92</v>
      </c>
      <c r="K54" s="8" t="str">
        <f t="shared" ca="1" si="5"/>
        <v>2017-04-27</v>
      </c>
      <c r="L54" s="8" t="str">
        <f t="shared" ca="1" si="6"/>
        <v>2017-05-08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 t="str">
        <f>IFERROR(VLOOKUP(VLOOKUP(VLOOKUP(C55,Project.csv!F:Q,12,FALSE),ServiceAreas.csv!B:I,8,FALSE),LocalAreas.csv!B:I,7,FALSE),200029)</f>
        <v>rg:None</v>
      </c>
      <c r="E55" s="8" t="str">
        <f t="shared" si="1"/>
        <v>rg:{'id':'rg:None'}</v>
      </c>
      <c r="F55" s="9" t="s">
        <v>7055</v>
      </c>
      <c r="G55" s="9" t="str">
        <f ca="1">INDEX(DistrictEquipmentTypes.csv!F:F,RANDBETWEEN(2,COUNTA(DistrictEquipmentTypes.csv!D:D)),1)</f>
        <v>200003</v>
      </c>
      <c r="H55" s="8" t="str">
        <f t="shared" ca="1" si="2"/>
        <v>rg:{ 'id': '200003'}</v>
      </c>
      <c r="I55" s="8">
        <f t="shared" ca="1" si="3"/>
        <v>1</v>
      </c>
      <c r="J55" s="8">
        <f t="shared" ca="1" si="4"/>
        <v>25</v>
      </c>
      <c r="K55" s="8" t="str">
        <f t="shared" ca="1" si="5"/>
        <v>2017-05-10</v>
      </c>
      <c r="L55" s="8" t="str">
        <f t="shared" ca="1" si="6"/>
        <v>2017-05-13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 t="str">
        <f>IFERROR(VLOOKUP(VLOOKUP(VLOOKUP(C56,Project.csv!F:Q,12,FALSE),ServiceAreas.csv!B:I,8,FALSE),LocalAreas.csv!B:I,7,FALSE),200029)</f>
        <v>rg:None</v>
      </c>
      <c r="E56" s="8" t="str">
        <f t="shared" si="1"/>
        <v>rg:{'id':'rg:None'}</v>
      </c>
      <c r="F56" s="9" t="s">
        <v>7057</v>
      </c>
      <c r="G56" s="9" t="str">
        <f ca="1">INDEX(DistrictEquipmentTypes.csv!F:F,RANDBETWEEN(2,COUNTA(DistrictEquipmentTypes.csv!D:D)),1)</f>
        <v>200006</v>
      </c>
      <c r="H56" s="8" t="str">
        <f t="shared" ca="1" si="2"/>
        <v>rg:{ 'id': '200006'}</v>
      </c>
      <c r="I56" s="8">
        <f t="shared" ca="1" si="3"/>
        <v>1</v>
      </c>
      <c r="J56" s="8">
        <f t="shared" ca="1" si="4"/>
        <v>82</v>
      </c>
      <c r="K56" s="8" t="str">
        <f t="shared" ca="1" si="5"/>
        <v>2017-05-06</v>
      </c>
      <c r="L56" s="8" t="str">
        <f t="shared" ca="1" si="6"/>
        <v>2017-05-16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 t="str">
        <f>IFERROR(VLOOKUP(VLOOKUP(VLOOKUP(C57,Project.csv!F:Q,12,FALSE),ServiceAreas.csv!B:I,8,FALSE),LocalAreas.csv!B:I,7,FALSE),200029)</f>
        <v>rg:None</v>
      </c>
      <c r="E57" s="8" t="str">
        <f t="shared" si="1"/>
        <v>rg:{'id':'rg:None'}</v>
      </c>
      <c r="F57" s="9" t="s">
        <v>7057</v>
      </c>
      <c r="G57" s="9" t="str">
        <f ca="1">INDEX(DistrictEquipmentTypes.csv!F:F,RANDBETWEEN(2,COUNTA(DistrictEquipmentTypes.csv!D:D)),1)</f>
        <v>200003</v>
      </c>
      <c r="H57" s="8" t="str">
        <f t="shared" ca="1" si="2"/>
        <v>rg:{ 'id': '200003'}</v>
      </c>
      <c r="I57" s="8">
        <f t="shared" ca="1" si="3"/>
        <v>1</v>
      </c>
      <c r="J57" s="8">
        <f t="shared" ca="1" si="4"/>
        <v>74</v>
      </c>
      <c r="K57" s="8" t="str">
        <f t="shared" ca="1" si="5"/>
        <v>2017-05-15</v>
      </c>
      <c r="L57" s="8" t="str">
        <f t="shared" ca="1" si="6"/>
        <v>2017-05-24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 t="str">
        <f>IFERROR(VLOOKUP(VLOOKUP(VLOOKUP(C58,Project.csv!F:Q,12,FALSE),ServiceAreas.csv!B:I,8,FALSE),LocalAreas.csv!B:I,7,FALSE),200029)</f>
        <v>rg:None</v>
      </c>
      <c r="E58" s="8" t="str">
        <f t="shared" si="1"/>
        <v>rg:{'id':'rg:None'}</v>
      </c>
      <c r="F58" s="9" t="s">
        <v>7055</v>
      </c>
      <c r="G58" s="9" t="str">
        <f ca="1">INDEX(DistrictEquipmentTypes.csv!F:F,RANDBETWEEN(2,COUNTA(DistrictEquipmentTypes.csv!D:D)),1)</f>
        <v>200007</v>
      </c>
      <c r="H58" s="8" t="str">
        <f t="shared" ca="1" si="2"/>
        <v>rg:{ 'id': '200007'}</v>
      </c>
      <c r="I58" s="8">
        <f t="shared" ca="1" si="3"/>
        <v>1</v>
      </c>
      <c r="J58" s="8">
        <f t="shared" ca="1" si="4"/>
        <v>29</v>
      </c>
      <c r="K58" s="8" t="str">
        <f t="shared" ca="1" si="5"/>
        <v>2017-05-10</v>
      </c>
      <c r="L58" s="8" t="str">
        <f t="shared" ca="1" si="6"/>
        <v>2017-05-13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 t="str">
        <f>IFERROR(VLOOKUP(VLOOKUP(VLOOKUP(C59,Project.csv!F:Q,12,FALSE),ServiceAreas.csv!B:I,8,FALSE),LocalAreas.csv!B:I,7,FALSE),200029)</f>
        <v>rg:None</v>
      </c>
      <c r="E59" s="8" t="str">
        <f t="shared" si="1"/>
        <v>rg:{'id':'rg:None'}</v>
      </c>
      <c r="F59" s="9" t="s">
        <v>7055</v>
      </c>
      <c r="G59" s="9" t="str">
        <f ca="1">INDEX(DistrictEquipmentTypes.csv!F:F,RANDBETWEEN(2,COUNTA(DistrictEquipmentTypes.csv!D:D)),1)</f>
        <v>200009</v>
      </c>
      <c r="H59" s="8" t="str">
        <f t="shared" ca="1" si="2"/>
        <v>rg:{ 'id': '200009'}</v>
      </c>
      <c r="I59" s="8">
        <f t="shared" ca="1" si="3"/>
        <v>1</v>
      </c>
      <c r="J59" s="8">
        <f t="shared" ca="1" si="4"/>
        <v>52</v>
      </c>
      <c r="K59" s="8" t="str">
        <f t="shared" ca="1" si="5"/>
        <v>2017-05-14</v>
      </c>
      <c r="L59" s="8" t="str">
        <f t="shared" ca="1" si="6"/>
        <v>2017-05-20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 t="str">
        <f>IFERROR(VLOOKUP(VLOOKUP(VLOOKUP(C60,Project.csv!F:Q,12,FALSE),ServiceAreas.csv!B:I,8,FALSE),LocalAreas.csv!B:I,7,FALSE),200029)</f>
        <v>rg:None</v>
      </c>
      <c r="E60" s="8" t="str">
        <f t="shared" si="1"/>
        <v>rg:{'id':'rg:None'}</v>
      </c>
      <c r="F60" s="9" t="s">
        <v>7055</v>
      </c>
      <c r="G60" s="9" t="str">
        <f ca="1">INDEX(DistrictEquipmentTypes.csv!F:F,RANDBETWEEN(2,COUNTA(DistrictEquipmentTypes.csv!D:D)),1)</f>
        <v>200004</v>
      </c>
      <c r="H60" s="8" t="str">
        <f t="shared" ca="1" si="2"/>
        <v>rg:{ 'id': '200004'}</v>
      </c>
      <c r="I60" s="8">
        <f t="shared" ca="1" si="3"/>
        <v>1</v>
      </c>
      <c r="J60" s="8">
        <f t="shared" ca="1" si="4"/>
        <v>36</v>
      </c>
      <c r="K60" s="8" t="str">
        <f t="shared" ca="1" si="5"/>
        <v>2017-04-07</v>
      </c>
      <c r="L60" s="8" t="str">
        <f t="shared" ca="1" si="6"/>
        <v>2017-04-11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 t="str">
        <f>IFERROR(VLOOKUP(VLOOKUP(VLOOKUP(C61,Project.csv!F:Q,12,FALSE),ServiceAreas.csv!B:I,8,FALSE),LocalAreas.csv!B:I,7,FALSE),200029)</f>
        <v>rg:None</v>
      </c>
      <c r="E61" s="8" t="str">
        <f t="shared" si="1"/>
        <v>rg:{'id':'rg:None'}</v>
      </c>
      <c r="F61" s="9" t="s">
        <v>7057</v>
      </c>
      <c r="G61" s="9" t="str">
        <f ca="1">INDEX(DistrictEquipmentTypes.csv!F:F,RANDBETWEEN(2,COUNTA(DistrictEquipmentTypes.csv!D:D)),1)</f>
        <v>200004</v>
      </c>
      <c r="H61" s="8" t="str">
        <f t="shared" ca="1" si="2"/>
        <v>rg:{ 'id': '200004'}</v>
      </c>
      <c r="I61" s="8">
        <f t="shared" ca="1" si="3"/>
        <v>4</v>
      </c>
      <c r="J61" s="8">
        <f t="shared" ca="1" si="4"/>
        <v>53</v>
      </c>
      <c r="K61" s="8" t="str">
        <f t="shared" ca="1" si="5"/>
        <v>2017-05-16</v>
      </c>
      <c r="L61" s="8" t="str">
        <f t="shared" ca="1" si="6"/>
        <v>2017-06-11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 t="str">
        <f>IFERROR(VLOOKUP(VLOOKUP(VLOOKUP(C62,Project.csv!F:Q,12,FALSE),ServiceAreas.csv!B:I,8,FALSE),LocalAreas.csv!B:I,7,FALSE),200029)</f>
        <v>rg:None</v>
      </c>
      <c r="E62" s="8" t="str">
        <f t="shared" si="1"/>
        <v>rg:{'id':'rg:None'}</v>
      </c>
      <c r="F62" s="9" t="s">
        <v>7055</v>
      </c>
      <c r="G62" s="9" t="str">
        <f ca="1">INDEX(DistrictEquipmentTypes.csv!F:F,RANDBETWEEN(2,COUNTA(DistrictEquipmentTypes.csv!D:D)),1)</f>
        <v>200002</v>
      </c>
      <c r="H62" s="8" t="str">
        <f t="shared" ca="1" si="2"/>
        <v>rg:{ 'id': '200002'}</v>
      </c>
      <c r="I62" s="8">
        <f t="shared" ca="1" si="3"/>
        <v>1</v>
      </c>
      <c r="J62" s="8">
        <f t="shared" ca="1" si="4"/>
        <v>82</v>
      </c>
      <c r="K62" s="8" t="str">
        <f t="shared" ca="1" si="5"/>
        <v>2017-05-17</v>
      </c>
      <c r="L62" s="8" t="str">
        <f t="shared" ca="1" si="6"/>
        <v>2017-05-27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 t="str">
        <f>IFERROR(VLOOKUP(VLOOKUP(VLOOKUP(C63,Project.csv!F:Q,12,FALSE),ServiceAreas.csv!B:I,8,FALSE),LocalAreas.csv!B:I,7,FALSE),200029)</f>
        <v>rg:None</v>
      </c>
      <c r="E63" s="8" t="str">
        <f t="shared" si="1"/>
        <v>rg:{'id':'rg:None'}</v>
      </c>
      <c r="F63" s="9" t="s">
        <v>7055</v>
      </c>
      <c r="G63" s="9" t="str">
        <f ca="1">INDEX(DistrictEquipmentTypes.csv!F:F,RANDBETWEEN(2,COUNTA(DistrictEquipmentTypes.csv!D:D)),1)</f>
        <v>200009</v>
      </c>
      <c r="H63" s="8" t="str">
        <f t="shared" ca="1" si="2"/>
        <v>rg:{ 'id': '200009'}</v>
      </c>
      <c r="I63" s="8">
        <f t="shared" ca="1" si="3"/>
        <v>1</v>
      </c>
      <c r="J63" s="8">
        <f t="shared" ca="1" si="4"/>
        <v>56</v>
      </c>
      <c r="K63" s="8" t="str">
        <f t="shared" ca="1" si="5"/>
        <v>2017-04-03</v>
      </c>
      <c r="L63" s="8" t="str">
        <f t="shared" ca="1" si="6"/>
        <v>2017-04-10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 t="str">
        <f>IFERROR(VLOOKUP(VLOOKUP(VLOOKUP(C64,Project.csv!F:Q,12,FALSE),ServiceAreas.csv!B:I,8,FALSE),LocalAreas.csv!B:I,7,FALSE),200029)</f>
        <v>rg:None</v>
      </c>
      <c r="E64" s="8" t="str">
        <f t="shared" si="1"/>
        <v>rg:{'id':'rg:None'}</v>
      </c>
      <c r="F64" s="9" t="s">
        <v>7057</v>
      </c>
      <c r="G64" s="9" t="str">
        <f ca="1">INDEX(DistrictEquipmentTypes.csv!F:F,RANDBETWEEN(2,COUNTA(DistrictEquipmentTypes.csv!D:D)),1)</f>
        <v>200006</v>
      </c>
      <c r="H64" s="8" t="str">
        <f t="shared" ca="1" si="2"/>
        <v>rg:{ 'id': '200006'}</v>
      </c>
      <c r="I64" s="8">
        <f t="shared" ca="1" si="3"/>
        <v>1</v>
      </c>
      <c r="J64" s="8">
        <f t="shared" ca="1" si="4"/>
        <v>88</v>
      </c>
      <c r="K64" s="8" t="str">
        <f t="shared" ca="1" si="5"/>
        <v>2017-04-16</v>
      </c>
      <c r="L64" s="8" t="str">
        <f t="shared" ca="1" si="6"/>
        <v>2017-04-27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 t="str">
        <f>IFERROR(VLOOKUP(VLOOKUP(VLOOKUP(C65,Project.csv!F:Q,12,FALSE),ServiceAreas.csv!B:I,8,FALSE),LocalAreas.csv!B:I,7,FALSE),200029)</f>
        <v>rg:None</v>
      </c>
      <c r="E65" s="8" t="str">
        <f t="shared" si="1"/>
        <v>rg:{'id':'rg:None'}</v>
      </c>
      <c r="F65" s="9" t="s">
        <v>7055</v>
      </c>
      <c r="G65" s="9" t="str">
        <f ca="1">INDEX(DistrictEquipmentTypes.csv!F:F,RANDBETWEEN(2,COUNTA(DistrictEquipmentTypes.csv!D:D)),1)</f>
        <v>200006</v>
      </c>
      <c r="H65" s="8" t="str">
        <f t="shared" ca="1" si="2"/>
        <v>rg:{ 'id': '200006'}</v>
      </c>
      <c r="I65" s="8">
        <f t="shared" ca="1" si="3"/>
        <v>1</v>
      </c>
      <c r="J65" s="8">
        <f t="shared" ca="1" si="4"/>
        <v>32</v>
      </c>
      <c r="K65" s="8" t="str">
        <f t="shared" ca="1" si="5"/>
        <v>2017-04-14</v>
      </c>
      <c r="L65" s="8" t="str">
        <f t="shared" ca="1" si="6"/>
        <v>2017-04-18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 t="str">
        <f>IFERROR(VLOOKUP(VLOOKUP(VLOOKUP(C66,Project.csv!F:Q,12,FALSE),ServiceAreas.csv!B:I,8,FALSE),LocalAreas.csv!B:I,7,FALSE),200029)</f>
        <v>rg:None</v>
      </c>
      <c r="E66" s="8" t="str">
        <f t="shared" si="1"/>
        <v>rg:{'id':'rg:None'}</v>
      </c>
      <c r="F66" s="9" t="s">
        <v>7055</v>
      </c>
      <c r="G66" s="9" t="str">
        <f ca="1">INDEX(DistrictEquipmentTypes.csv!F:F,RANDBETWEEN(2,COUNTA(DistrictEquipmentTypes.csv!D:D)),1)</f>
        <v>200009</v>
      </c>
      <c r="H66" s="8" t="str">
        <f t="shared" ca="1" si="2"/>
        <v>rg:{ 'id': '200009'}</v>
      </c>
      <c r="I66" s="8">
        <f t="shared" ca="1" si="3"/>
        <v>1</v>
      </c>
      <c r="J66" s="8">
        <f t="shared" ca="1" si="4"/>
        <v>54</v>
      </c>
      <c r="K66" s="8" t="str">
        <f t="shared" ca="1" si="5"/>
        <v>2017-04-03</v>
      </c>
      <c r="L66" s="8" t="str">
        <f t="shared" ca="1" si="6"/>
        <v>2017-04-09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 t="str">
        <f>IFERROR(VLOOKUP(VLOOKUP(VLOOKUP(C67,Project.csv!F:Q,12,FALSE),ServiceAreas.csv!B:I,8,FALSE),LocalAreas.csv!B:I,7,FALSE),200029)</f>
        <v>rg:None</v>
      </c>
      <c r="E67" s="8" t="str">
        <f t="shared" ref="E67:E130" si="8" xml:space="preserve"> "rg:{'id':'" &amp; D67 &amp; "'}"</f>
        <v>rg:{'id':'rg:None'}</v>
      </c>
      <c r="F67" s="9" t="s">
        <v>7055</v>
      </c>
      <c r="G67" s="9" t="str">
        <f ca="1">INDEX(DistrictEquipmentTypes.csv!F:F,RANDBETWEEN(2,COUNTA(DistrictEquipmentTypes.csv!D:D)),1)</f>
        <v>200009</v>
      </c>
      <c r="H67" s="8" t="str">
        <f t="shared" ref="H67:H130" ca="1" si="9">"rg:{ 'id': '"&amp;G67&amp;"'}"</f>
        <v>rg:{ 'id': '200009'}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55</v>
      </c>
      <c r="K67" s="8" t="str">
        <f t="shared" ref="K67:K130" ca="1" si="12">TEXT(TODAY()+RANDBETWEEN(1,56),"YYYY-MM-DD")</f>
        <v>2017-05-09</v>
      </c>
      <c r="L67" s="8" t="str">
        <f t="shared" ref="L67:L130" ca="1" si="13">TEXT(K67+(I67*J67)/8,"YYYY-MM-DD")</f>
        <v>2017-05-15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 t="str">
        <f>IFERROR(VLOOKUP(VLOOKUP(VLOOKUP(C68,Project.csv!F:Q,12,FALSE),ServiceAreas.csv!B:I,8,FALSE),LocalAreas.csv!B:I,7,FALSE),200029)</f>
        <v>rg:None</v>
      </c>
      <c r="E68" s="8" t="str">
        <f t="shared" si="8"/>
        <v>rg:{'id':'rg:None'}</v>
      </c>
      <c r="F68" s="9" t="s">
        <v>7055</v>
      </c>
      <c r="G68" s="9" t="str">
        <f ca="1">INDEX(DistrictEquipmentTypes.csv!F:F,RANDBETWEEN(2,COUNTA(DistrictEquipmentTypes.csv!D:D)),1)</f>
        <v>200009</v>
      </c>
      <c r="H68" s="8" t="str">
        <f t="shared" ca="1" si="9"/>
        <v>rg:{ 'id': '200009'}</v>
      </c>
      <c r="I68" s="8">
        <f t="shared" ca="1" si="10"/>
        <v>1</v>
      </c>
      <c r="J68" s="8">
        <f t="shared" ca="1" si="11"/>
        <v>71</v>
      </c>
      <c r="K68" s="8" t="str">
        <f t="shared" ca="1" si="12"/>
        <v>2017-04-12</v>
      </c>
      <c r="L68" s="8" t="str">
        <f t="shared" ca="1" si="13"/>
        <v>2017-04-20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 t="str">
        <f>IFERROR(VLOOKUP(VLOOKUP(VLOOKUP(C69,Project.csv!F:Q,12,FALSE),ServiceAreas.csv!B:I,8,FALSE),LocalAreas.csv!B:I,7,FALSE),200029)</f>
        <v>rg:None</v>
      </c>
      <c r="E69" s="8" t="str">
        <f t="shared" si="8"/>
        <v>rg:{'id':'rg:None'}</v>
      </c>
      <c r="F69" s="9" t="s">
        <v>7057</v>
      </c>
      <c r="G69" s="9" t="str">
        <f ca="1">INDEX(DistrictEquipmentTypes.csv!F:F,RANDBETWEEN(2,COUNTA(DistrictEquipmentTypes.csv!D:D)),1)</f>
        <v>200007</v>
      </c>
      <c r="H69" s="8" t="str">
        <f t="shared" ca="1" si="9"/>
        <v>rg:{ 'id': '200007'}</v>
      </c>
      <c r="I69" s="8">
        <f t="shared" ca="1" si="10"/>
        <v>1</v>
      </c>
      <c r="J69" s="8">
        <f t="shared" ca="1" si="11"/>
        <v>63</v>
      </c>
      <c r="K69" s="8" t="str">
        <f t="shared" ca="1" si="12"/>
        <v>2017-04-16</v>
      </c>
      <c r="L69" s="8" t="str">
        <f t="shared" ca="1" si="13"/>
        <v>2017-04-23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 t="str">
        <f>IFERROR(VLOOKUP(VLOOKUP(VLOOKUP(C70,Project.csv!F:Q,12,FALSE),ServiceAreas.csv!B:I,8,FALSE),LocalAreas.csv!B:I,7,FALSE),200029)</f>
        <v>rg:None</v>
      </c>
      <c r="E70" s="8" t="str">
        <f t="shared" si="8"/>
        <v>rg:{'id':'rg:None'}</v>
      </c>
      <c r="F70" s="9" t="s">
        <v>7055</v>
      </c>
      <c r="G70" s="9" t="str">
        <f ca="1">INDEX(DistrictEquipmentTypes.csv!F:F,RANDBETWEEN(2,COUNTA(DistrictEquipmentTypes.csv!D:D)),1)</f>
        <v>200004</v>
      </c>
      <c r="H70" s="8" t="str">
        <f t="shared" ca="1" si="9"/>
        <v>rg:{ 'id': '200004'}</v>
      </c>
      <c r="I70" s="8">
        <f t="shared" ca="1" si="10"/>
        <v>2</v>
      </c>
      <c r="J70" s="8">
        <f t="shared" ca="1" si="11"/>
        <v>71</v>
      </c>
      <c r="K70" s="8" t="str">
        <f t="shared" ca="1" si="12"/>
        <v>2017-05-23</v>
      </c>
      <c r="L70" s="8" t="str">
        <f t="shared" ca="1" si="13"/>
        <v>2017-06-09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 t="str">
        <f>IFERROR(VLOOKUP(VLOOKUP(VLOOKUP(C71,Project.csv!F:Q,12,FALSE),ServiceAreas.csv!B:I,8,FALSE),LocalAreas.csv!B:I,7,FALSE),200029)</f>
        <v>rg:None</v>
      </c>
      <c r="E71" s="8" t="str">
        <f t="shared" si="8"/>
        <v>rg:{'id':'rg:None'}</v>
      </c>
      <c r="F71" s="9" t="s">
        <v>7055</v>
      </c>
      <c r="G71" s="9" t="str">
        <f ca="1">INDEX(DistrictEquipmentTypes.csv!F:F,RANDBETWEEN(2,COUNTA(DistrictEquipmentTypes.csv!D:D)),1)</f>
        <v>200009</v>
      </c>
      <c r="H71" s="8" t="str">
        <f t="shared" ca="1" si="9"/>
        <v>rg:{ 'id': '200009'}</v>
      </c>
      <c r="I71" s="8">
        <f t="shared" ca="1" si="10"/>
        <v>1</v>
      </c>
      <c r="J71" s="8">
        <f t="shared" ca="1" si="11"/>
        <v>70</v>
      </c>
      <c r="K71" s="8" t="str">
        <f t="shared" ca="1" si="12"/>
        <v>2017-04-23</v>
      </c>
      <c r="L71" s="8" t="str">
        <f t="shared" ca="1" si="13"/>
        <v>2017-05-01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 t="str">
        <f>IFERROR(VLOOKUP(VLOOKUP(VLOOKUP(C72,Project.csv!F:Q,12,FALSE),ServiceAreas.csv!B:I,8,FALSE),LocalAreas.csv!B:I,7,FALSE),200029)</f>
        <v>rg:None</v>
      </c>
      <c r="E72" s="8" t="str">
        <f t="shared" si="8"/>
        <v>rg:{'id':'rg:None'}</v>
      </c>
      <c r="F72" s="9" t="s">
        <v>7055</v>
      </c>
      <c r="G72" s="9" t="str">
        <f ca="1">INDEX(DistrictEquipmentTypes.csv!F:F,RANDBETWEEN(2,COUNTA(DistrictEquipmentTypes.csv!D:D)),1)</f>
        <v>200003</v>
      </c>
      <c r="H72" s="8" t="str">
        <f t="shared" ca="1" si="9"/>
        <v>rg:{ 'id': '200003'}</v>
      </c>
      <c r="I72" s="8">
        <f t="shared" ca="1" si="10"/>
        <v>1</v>
      </c>
      <c r="J72" s="8">
        <f t="shared" ca="1" si="11"/>
        <v>23</v>
      </c>
      <c r="K72" s="8" t="str">
        <f t="shared" ca="1" si="12"/>
        <v>2017-04-06</v>
      </c>
      <c r="L72" s="8" t="str">
        <f t="shared" ca="1" si="13"/>
        <v>2017-04-08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 t="str">
        <f>IFERROR(VLOOKUP(VLOOKUP(VLOOKUP(C73,Project.csv!F:Q,12,FALSE),ServiceAreas.csv!B:I,8,FALSE),LocalAreas.csv!B:I,7,FALSE),200029)</f>
        <v>rg:None</v>
      </c>
      <c r="E73" s="8" t="str">
        <f t="shared" si="8"/>
        <v>rg:{'id':'rg:None'}</v>
      </c>
      <c r="F73" s="9" t="s">
        <v>7057</v>
      </c>
      <c r="G73" s="9" t="str">
        <f ca="1">INDEX(DistrictEquipmentTypes.csv!F:F,RANDBETWEEN(2,COUNTA(DistrictEquipmentTypes.csv!D:D)),1)</f>
        <v>200006</v>
      </c>
      <c r="H73" s="8" t="str">
        <f t="shared" ca="1" si="9"/>
        <v>rg:{ 'id': '200006'}</v>
      </c>
      <c r="I73" s="8">
        <f t="shared" ca="1" si="10"/>
        <v>1</v>
      </c>
      <c r="J73" s="8">
        <f t="shared" ca="1" si="11"/>
        <v>98</v>
      </c>
      <c r="K73" s="8" t="str">
        <f t="shared" ca="1" si="12"/>
        <v>2017-05-17</v>
      </c>
      <c r="L73" s="8" t="str">
        <f t="shared" ca="1" si="13"/>
        <v>2017-05-29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 t="str">
        <f>IFERROR(VLOOKUP(VLOOKUP(VLOOKUP(C74,Project.csv!F:Q,12,FALSE),ServiceAreas.csv!B:I,8,FALSE),LocalAreas.csv!B:I,7,FALSE),200029)</f>
        <v>rg:None</v>
      </c>
      <c r="E74" s="8" t="str">
        <f t="shared" si="8"/>
        <v>rg:{'id':'rg:None'}</v>
      </c>
      <c r="F74" s="9" t="s">
        <v>7055</v>
      </c>
      <c r="G74" s="9" t="str">
        <f ca="1">INDEX(DistrictEquipmentTypes.csv!F:F,RANDBETWEEN(2,COUNTA(DistrictEquipmentTypes.csv!D:D)),1)</f>
        <v>200006</v>
      </c>
      <c r="H74" s="8" t="str">
        <f t="shared" ca="1" si="9"/>
        <v>rg:{ 'id': '200006'}</v>
      </c>
      <c r="I74" s="8">
        <f t="shared" ca="1" si="10"/>
        <v>1</v>
      </c>
      <c r="J74" s="8">
        <f t="shared" ca="1" si="11"/>
        <v>10</v>
      </c>
      <c r="K74" s="8" t="str">
        <f t="shared" ca="1" si="12"/>
        <v>2017-04-09</v>
      </c>
      <c r="L74" s="8" t="str">
        <f t="shared" ca="1" si="13"/>
        <v>2017-04-10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 t="str">
        <f>IFERROR(VLOOKUP(VLOOKUP(VLOOKUP(C75,Project.csv!F:Q,12,FALSE),ServiceAreas.csv!B:I,8,FALSE),LocalAreas.csv!B:I,7,FALSE),200029)</f>
        <v>rg:None</v>
      </c>
      <c r="E75" s="8" t="str">
        <f t="shared" si="8"/>
        <v>rg:{'id':'rg:None'}</v>
      </c>
      <c r="F75" s="9" t="s">
        <v>7055</v>
      </c>
      <c r="G75" s="9" t="str">
        <f ca="1">INDEX(DistrictEquipmentTypes.csv!F:F,RANDBETWEEN(2,COUNTA(DistrictEquipmentTypes.csv!D:D)),1)</f>
        <v>200003</v>
      </c>
      <c r="H75" s="8" t="str">
        <f t="shared" ca="1" si="9"/>
        <v>rg:{ 'id': '200003'}</v>
      </c>
      <c r="I75" s="8">
        <f t="shared" ca="1" si="10"/>
        <v>1</v>
      </c>
      <c r="J75" s="8">
        <f t="shared" ca="1" si="11"/>
        <v>10</v>
      </c>
      <c r="K75" s="8" t="str">
        <f t="shared" ca="1" si="12"/>
        <v>2017-04-25</v>
      </c>
      <c r="L75" s="8" t="str">
        <f t="shared" ca="1" si="13"/>
        <v>2017-04-26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 t="str">
        <f>IFERROR(VLOOKUP(VLOOKUP(VLOOKUP(C76,Project.csv!F:Q,12,FALSE),ServiceAreas.csv!B:I,8,FALSE),LocalAreas.csv!B:I,7,FALSE),200029)</f>
        <v>rg:None</v>
      </c>
      <c r="E76" s="8" t="str">
        <f t="shared" si="8"/>
        <v>rg:{'id':'rg:None'}</v>
      </c>
      <c r="F76" s="9" t="s">
        <v>7055</v>
      </c>
      <c r="G76" s="9" t="str">
        <f ca="1">INDEX(DistrictEquipmentTypes.csv!F:F,RANDBETWEEN(2,COUNTA(DistrictEquipmentTypes.csv!D:D)),1)</f>
        <v>200004</v>
      </c>
      <c r="H76" s="8" t="str">
        <f t="shared" ca="1" si="9"/>
        <v>rg:{ 'id': '200004'}</v>
      </c>
      <c r="I76" s="8">
        <f t="shared" ca="1" si="10"/>
        <v>1</v>
      </c>
      <c r="J76" s="8">
        <f t="shared" ca="1" si="11"/>
        <v>27</v>
      </c>
      <c r="K76" s="8" t="str">
        <f t="shared" ca="1" si="12"/>
        <v>2017-05-08</v>
      </c>
      <c r="L76" s="8" t="str">
        <f t="shared" ca="1" si="13"/>
        <v>2017-05-11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 t="str">
        <f>IFERROR(VLOOKUP(VLOOKUP(VLOOKUP(C77,Project.csv!F:Q,12,FALSE),ServiceAreas.csv!B:I,8,FALSE),LocalAreas.csv!B:I,7,FALSE),200029)</f>
        <v>rg:None</v>
      </c>
      <c r="E77" s="8" t="str">
        <f t="shared" si="8"/>
        <v>rg:{'id':'rg:None'}</v>
      </c>
      <c r="F77" s="9" t="s">
        <v>7055</v>
      </c>
      <c r="G77" s="9" t="str">
        <f ca="1">INDEX(DistrictEquipmentTypes.csv!F:F,RANDBETWEEN(2,COUNTA(DistrictEquipmentTypes.csv!D:D)),1)</f>
        <v>200003</v>
      </c>
      <c r="H77" s="8" t="str">
        <f t="shared" ca="1" si="9"/>
        <v>rg:{ 'id': '200003'}</v>
      </c>
      <c r="I77" s="8">
        <f t="shared" ca="1" si="10"/>
        <v>1</v>
      </c>
      <c r="J77" s="8">
        <f t="shared" ca="1" si="11"/>
        <v>41</v>
      </c>
      <c r="K77" s="8" t="str">
        <f t="shared" ca="1" si="12"/>
        <v>2017-05-12</v>
      </c>
      <c r="L77" s="8" t="str">
        <f t="shared" ca="1" si="13"/>
        <v>2017-05-17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 t="str">
        <f>IFERROR(VLOOKUP(VLOOKUP(VLOOKUP(C78,Project.csv!F:Q,12,FALSE),ServiceAreas.csv!B:I,8,FALSE),LocalAreas.csv!B:I,7,FALSE),200029)</f>
        <v>rg:None</v>
      </c>
      <c r="E78" s="8" t="str">
        <f t="shared" si="8"/>
        <v>rg:{'id':'rg:None'}</v>
      </c>
      <c r="F78" s="9" t="s">
        <v>7055</v>
      </c>
      <c r="G78" s="9" t="str">
        <f ca="1">INDEX(DistrictEquipmentTypes.csv!F:F,RANDBETWEEN(2,COUNTA(DistrictEquipmentTypes.csv!D:D)),1)</f>
        <v>200009</v>
      </c>
      <c r="H78" s="8" t="str">
        <f t="shared" ca="1" si="9"/>
        <v>rg:{ 'id': '200009'}</v>
      </c>
      <c r="I78" s="8">
        <f t="shared" ca="1" si="10"/>
        <v>1</v>
      </c>
      <c r="J78" s="8">
        <f t="shared" ca="1" si="11"/>
        <v>37</v>
      </c>
      <c r="K78" s="8" t="str">
        <f t="shared" ca="1" si="12"/>
        <v>2017-04-03</v>
      </c>
      <c r="L78" s="8" t="str">
        <f t="shared" ca="1" si="13"/>
        <v>2017-04-07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 t="str">
        <f>IFERROR(VLOOKUP(VLOOKUP(VLOOKUP(C79,Project.csv!F:Q,12,FALSE),ServiceAreas.csv!B:I,8,FALSE),LocalAreas.csv!B:I,7,FALSE),200029)</f>
        <v>rg:None</v>
      </c>
      <c r="E79" s="8" t="str">
        <f t="shared" si="8"/>
        <v>rg:{'id':'rg:None'}</v>
      </c>
      <c r="F79" s="9" t="s">
        <v>7057</v>
      </c>
      <c r="G79" s="9" t="str">
        <f ca="1">INDEX(DistrictEquipmentTypes.csv!F:F,RANDBETWEEN(2,COUNTA(DistrictEquipmentTypes.csv!D:D)),1)</f>
        <v>200006</v>
      </c>
      <c r="H79" s="8" t="str">
        <f t="shared" ca="1" si="9"/>
        <v>rg:{ 'id': '200006'}</v>
      </c>
      <c r="I79" s="8">
        <f t="shared" ca="1" si="10"/>
        <v>1</v>
      </c>
      <c r="J79" s="8">
        <f t="shared" ca="1" si="11"/>
        <v>12</v>
      </c>
      <c r="K79" s="8" t="str">
        <f t="shared" ca="1" si="12"/>
        <v>2017-05-20</v>
      </c>
      <c r="L79" s="8" t="str">
        <f t="shared" ca="1" si="13"/>
        <v>2017-05-21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 t="str">
        <f>IFERROR(VLOOKUP(VLOOKUP(VLOOKUP(C80,Project.csv!F:Q,12,FALSE),ServiceAreas.csv!B:I,8,FALSE),LocalAreas.csv!B:I,7,FALSE),200029)</f>
        <v>rg:None</v>
      </c>
      <c r="E80" s="8" t="str">
        <f t="shared" si="8"/>
        <v>rg:{'id':'rg:None'}</v>
      </c>
      <c r="F80" s="9" t="s">
        <v>7055</v>
      </c>
      <c r="G80" s="9" t="str">
        <f ca="1">INDEX(DistrictEquipmentTypes.csv!F:F,RANDBETWEEN(2,COUNTA(DistrictEquipmentTypes.csv!D:D)),1)</f>
        <v>200007</v>
      </c>
      <c r="H80" s="8" t="str">
        <f t="shared" ca="1" si="9"/>
        <v>rg:{ 'id': '200007'}</v>
      </c>
      <c r="I80" s="8">
        <f t="shared" ca="1" si="10"/>
        <v>1</v>
      </c>
      <c r="J80" s="8">
        <f t="shared" ca="1" si="11"/>
        <v>87</v>
      </c>
      <c r="K80" s="8" t="str">
        <f t="shared" ca="1" si="12"/>
        <v>2017-04-23</v>
      </c>
      <c r="L80" s="8" t="str">
        <f t="shared" ca="1" si="13"/>
        <v>2017-05-03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 t="str">
        <f>IFERROR(VLOOKUP(VLOOKUP(VLOOKUP(C81,Project.csv!F:Q,12,FALSE),ServiceAreas.csv!B:I,8,FALSE),LocalAreas.csv!B:I,7,FALSE),200029)</f>
        <v>rg:None</v>
      </c>
      <c r="E81" s="8" t="str">
        <f t="shared" si="8"/>
        <v>rg:{'id':'rg:None'}</v>
      </c>
      <c r="F81" s="9" t="s">
        <v>7055</v>
      </c>
      <c r="G81" s="9" t="str">
        <f ca="1">INDEX(DistrictEquipmentTypes.csv!F:F,RANDBETWEEN(2,COUNTA(DistrictEquipmentTypes.csv!D:D)),1)</f>
        <v>200006</v>
      </c>
      <c r="H81" s="8" t="str">
        <f t="shared" ca="1" si="9"/>
        <v>rg:{ 'id': '200006'}</v>
      </c>
      <c r="I81" s="8">
        <f t="shared" ca="1" si="10"/>
        <v>1</v>
      </c>
      <c r="J81" s="8">
        <f t="shared" ca="1" si="11"/>
        <v>26</v>
      </c>
      <c r="K81" s="8" t="str">
        <f t="shared" ca="1" si="12"/>
        <v>2017-04-02</v>
      </c>
      <c r="L81" s="8" t="str">
        <f t="shared" ca="1" si="13"/>
        <v>2017-04-05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 t="str">
        <f>IFERROR(VLOOKUP(VLOOKUP(VLOOKUP(C82,Project.csv!F:Q,12,FALSE),ServiceAreas.csv!B:I,8,FALSE),LocalAreas.csv!B:I,7,FALSE),200029)</f>
        <v>rg:None</v>
      </c>
      <c r="E82" s="8" t="str">
        <f t="shared" si="8"/>
        <v>rg:{'id':'rg:None'}</v>
      </c>
      <c r="F82" s="9" t="s">
        <v>7055</v>
      </c>
      <c r="G82" s="9" t="str">
        <f ca="1">INDEX(DistrictEquipmentTypes.csv!F:F,RANDBETWEEN(2,COUNTA(DistrictEquipmentTypes.csv!D:D)),1)</f>
        <v>200004</v>
      </c>
      <c r="H82" s="8" t="str">
        <f t="shared" ca="1" si="9"/>
        <v>rg:{ 'id': '200004'}</v>
      </c>
      <c r="I82" s="8">
        <f t="shared" ca="1" si="10"/>
        <v>1</v>
      </c>
      <c r="J82" s="8">
        <f t="shared" ca="1" si="11"/>
        <v>80</v>
      </c>
      <c r="K82" s="8" t="str">
        <f t="shared" ca="1" si="12"/>
        <v>2017-05-23</v>
      </c>
      <c r="L82" s="8" t="str">
        <f t="shared" ca="1" si="13"/>
        <v>2017-06-02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 t="str">
        <f>IFERROR(VLOOKUP(VLOOKUP(VLOOKUP(C83,Project.csv!F:Q,12,FALSE),ServiceAreas.csv!B:I,8,FALSE),LocalAreas.csv!B:I,7,FALSE),200029)</f>
        <v>rg:None</v>
      </c>
      <c r="E83" s="8" t="str">
        <f t="shared" si="8"/>
        <v>rg:{'id':'rg:None'}</v>
      </c>
      <c r="F83" s="9" t="s">
        <v>7057</v>
      </c>
      <c r="G83" s="9" t="str">
        <f ca="1">INDEX(DistrictEquipmentTypes.csv!F:F,RANDBETWEEN(2,COUNTA(DistrictEquipmentTypes.csv!D:D)),1)</f>
        <v>200009</v>
      </c>
      <c r="H83" s="8" t="str">
        <f t="shared" ca="1" si="9"/>
        <v>rg:{ 'id': '200009'}</v>
      </c>
      <c r="I83" s="8">
        <f t="shared" ca="1" si="10"/>
        <v>1</v>
      </c>
      <c r="J83" s="8">
        <f t="shared" ca="1" si="11"/>
        <v>39</v>
      </c>
      <c r="K83" s="8" t="str">
        <f t="shared" ca="1" si="12"/>
        <v>2017-04-18</v>
      </c>
      <c r="L83" s="8" t="str">
        <f t="shared" ca="1" si="13"/>
        <v>2017-04-22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 t="str">
        <f>IFERROR(VLOOKUP(VLOOKUP(VLOOKUP(C84,Project.csv!F:Q,12,FALSE),ServiceAreas.csv!B:I,8,FALSE),LocalAreas.csv!B:I,7,FALSE),200029)</f>
        <v>rg:None</v>
      </c>
      <c r="E84" s="8" t="str">
        <f t="shared" si="8"/>
        <v>rg:{'id':'rg:None'}</v>
      </c>
      <c r="F84" s="9" t="s">
        <v>7056</v>
      </c>
      <c r="G84" s="9" t="str">
        <f ca="1">INDEX(DistrictEquipmentTypes.csv!F:F,RANDBETWEEN(2,COUNTA(DistrictEquipmentTypes.csv!D:D)),1)</f>
        <v>200002</v>
      </c>
      <c r="H84" s="8" t="str">
        <f t="shared" ca="1" si="9"/>
        <v>rg:{ 'id': '200002'}</v>
      </c>
      <c r="I84" s="8">
        <f t="shared" ca="1" si="10"/>
        <v>1</v>
      </c>
      <c r="J84" s="8">
        <f t="shared" ca="1" si="11"/>
        <v>68</v>
      </c>
      <c r="K84" s="8" t="str">
        <f t="shared" ca="1" si="12"/>
        <v>2017-04-04</v>
      </c>
      <c r="L84" s="8" t="str">
        <f t="shared" ca="1" si="13"/>
        <v>2017-04-12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 t="str">
        <f>IFERROR(VLOOKUP(VLOOKUP(VLOOKUP(C85,Project.csv!F:Q,12,FALSE),ServiceAreas.csv!B:I,8,FALSE),LocalAreas.csv!B:I,7,FALSE),200029)</f>
        <v>rg:None</v>
      </c>
      <c r="E85" s="8" t="str">
        <f t="shared" si="8"/>
        <v>rg:{'id':'rg:None'}</v>
      </c>
      <c r="F85" s="9" t="s">
        <v>7056</v>
      </c>
      <c r="G85" s="9" t="str">
        <f ca="1">INDEX(DistrictEquipmentTypes.csv!F:F,RANDBETWEEN(2,COUNTA(DistrictEquipmentTypes.csv!D:D)),1)</f>
        <v>200005</v>
      </c>
      <c r="H85" s="8" t="str">
        <f t="shared" ca="1" si="9"/>
        <v>rg:{ 'id': '200005'}</v>
      </c>
      <c r="I85" s="8">
        <f t="shared" ca="1" si="10"/>
        <v>1</v>
      </c>
      <c r="J85" s="8">
        <f t="shared" ca="1" si="11"/>
        <v>35</v>
      </c>
      <c r="K85" s="8" t="str">
        <f t="shared" ca="1" si="12"/>
        <v>2017-05-05</v>
      </c>
      <c r="L85" s="8" t="str">
        <f t="shared" ca="1" si="13"/>
        <v>2017-05-09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 t="str">
        <f>IFERROR(VLOOKUP(VLOOKUP(VLOOKUP(C86,Project.csv!F:Q,12,FALSE),ServiceAreas.csv!B:I,8,FALSE),LocalAreas.csv!B:I,7,FALSE),200029)</f>
        <v>rg:None</v>
      </c>
      <c r="E86" s="8" t="str">
        <f t="shared" si="8"/>
        <v>rg:{'id':'rg:None'}</v>
      </c>
      <c r="F86" s="9" t="s">
        <v>7055</v>
      </c>
      <c r="G86" s="9" t="str">
        <f ca="1">INDEX(DistrictEquipmentTypes.csv!F:F,RANDBETWEEN(2,COUNTA(DistrictEquipmentTypes.csv!D:D)),1)</f>
        <v>200005</v>
      </c>
      <c r="H86" s="8" t="str">
        <f t="shared" ca="1" si="9"/>
        <v>rg:{ 'id': '200005'}</v>
      </c>
      <c r="I86" s="8">
        <f t="shared" ca="1" si="10"/>
        <v>1</v>
      </c>
      <c r="J86" s="8">
        <f t="shared" ca="1" si="11"/>
        <v>14</v>
      </c>
      <c r="K86" s="8" t="str">
        <f t="shared" ca="1" si="12"/>
        <v>2017-05-16</v>
      </c>
      <c r="L86" s="8" t="str">
        <f t="shared" ca="1" si="13"/>
        <v>2017-05-17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 t="str">
        <f>IFERROR(VLOOKUP(VLOOKUP(VLOOKUP(C87,Project.csv!F:Q,12,FALSE),ServiceAreas.csv!B:I,8,FALSE),LocalAreas.csv!B:I,7,FALSE),200029)</f>
        <v>rg:None</v>
      </c>
      <c r="E87" s="8" t="str">
        <f t="shared" si="8"/>
        <v>rg:{'id':'rg:None'}</v>
      </c>
      <c r="F87" s="9" t="s">
        <v>7057</v>
      </c>
      <c r="G87" s="9" t="str">
        <f ca="1">INDEX(DistrictEquipmentTypes.csv!F:F,RANDBETWEEN(2,COUNTA(DistrictEquipmentTypes.csv!D:D)),1)</f>
        <v>200009</v>
      </c>
      <c r="H87" s="8" t="str">
        <f t="shared" ca="1" si="9"/>
        <v>rg:{ 'id': '200009'}</v>
      </c>
      <c r="I87" s="8">
        <f t="shared" ca="1" si="10"/>
        <v>1</v>
      </c>
      <c r="J87" s="8">
        <f t="shared" ca="1" si="11"/>
        <v>90</v>
      </c>
      <c r="K87" s="8" t="str">
        <f t="shared" ca="1" si="12"/>
        <v>2017-04-14</v>
      </c>
      <c r="L87" s="8" t="str">
        <f t="shared" ca="1" si="13"/>
        <v>2017-04-25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 t="str">
        <f>IFERROR(VLOOKUP(VLOOKUP(VLOOKUP(C88,Project.csv!F:Q,12,FALSE),ServiceAreas.csv!B:I,8,FALSE),LocalAreas.csv!B:I,7,FALSE),200029)</f>
        <v>rg:None</v>
      </c>
      <c r="E88" s="8" t="str">
        <f t="shared" si="8"/>
        <v>rg:{'id':'rg:None'}</v>
      </c>
      <c r="F88" s="9" t="s">
        <v>7057</v>
      </c>
      <c r="G88" s="9" t="str">
        <f ca="1">INDEX(DistrictEquipmentTypes.csv!F:F,RANDBETWEEN(2,COUNTA(DistrictEquipmentTypes.csv!D:D)),1)</f>
        <v>200003</v>
      </c>
      <c r="H88" s="8" t="str">
        <f t="shared" ca="1" si="9"/>
        <v>rg:{ 'id': '200003'}</v>
      </c>
      <c r="I88" s="8">
        <f t="shared" ca="1" si="10"/>
        <v>1</v>
      </c>
      <c r="J88" s="8">
        <f t="shared" ca="1" si="11"/>
        <v>77</v>
      </c>
      <c r="K88" s="8" t="str">
        <f t="shared" ca="1" si="12"/>
        <v>2017-04-12</v>
      </c>
      <c r="L88" s="8" t="str">
        <f t="shared" ca="1" si="13"/>
        <v>2017-04-21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 t="str">
        <f>IFERROR(VLOOKUP(VLOOKUP(VLOOKUP(C89,Project.csv!F:Q,12,FALSE),ServiceAreas.csv!B:I,8,FALSE),LocalAreas.csv!B:I,7,FALSE),200029)</f>
        <v>rg:None</v>
      </c>
      <c r="E89" s="8" t="str">
        <f t="shared" si="8"/>
        <v>rg:{'id':'rg:None'}</v>
      </c>
      <c r="F89" s="9" t="s">
        <v>7055</v>
      </c>
      <c r="G89" s="9" t="str">
        <f ca="1">INDEX(DistrictEquipmentTypes.csv!F:F,RANDBETWEEN(2,COUNTA(DistrictEquipmentTypes.csv!D:D)),1)</f>
        <v>200006</v>
      </c>
      <c r="H89" s="8" t="str">
        <f t="shared" ca="1" si="9"/>
        <v>rg:{ 'id': '200006'}</v>
      </c>
      <c r="I89" s="8">
        <f t="shared" ca="1" si="10"/>
        <v>1</v>
      </c>
      <c r="J89" s="8">
        <f t="shared" ca="1" si="11"/>
        <v>30</v>
      </c>
      <c r="K89" s="8" t="str">
        <f t="shared" ca="1" si="12"/>
        <v>2017-05-14</v>
      </c>
      <c r="L89" s="8" t="str">
        <f t="shared" ca="1" si="13"/>
        <v>2017-05-17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 t="str">
        <f>IFERROR(VLOOKUP(VLOOKUP(VLOOKUP(C90,Project.csv!F:Q,12,FALSE),ServiceAreas.csv!B:I,8,FALSE),LocalAreas.csv!B:I,7,FALSE),200029)</f>
        <v>rg:None</v>
      </c>
      <c r="E90" s="8" t="str">
        <f t="shared" si="8"/>
        <v>rg:{'id':'rg:None'}</v>
      </c>
      <c r="F90" s="9" t="s">
        <v>7055</v>
      </c>
      <c r="G90" s="9" t="str">
        <f ca="1">INDEX(DistrictEquipmentTypes.csv!F:F,RANDBETWEEN(2,COUNTA(DistrictEquipmentTypes.csv!D:D)),1)</f>
        <v>200006</v>
      </c>
      <c r="H90" s="8" t="str">
        <f t="shared" ca="1" si="9"/>
        <v>rg:{ 'id': '200006'}</v>
      </c>
      <c r="I90" s="8">
        <f t="shared" ca="1" si="10"/>
        <v>1</v>
      </c>
      <c r="J90" s="8">
        <f t="shared" ca="1" si="11"/>
        <v>14</v>
      </c>
      <c r="K90" s="8" t="str">
        <f t="shared" ca="1" si="12"/>
        <v>2017-05-06</v>
      </c>
      <c r="L90" s="8" t="str">
        <f t="shared" ca="1" si="13"/>
        <v>2017-05-07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 t="str">
        <f>IFERROR(VLOOKUP(VLOOKUP(VLOOKUP(C91,Project.csv!F:Q,12,FALSE),ServiceAreas.csv!B:I,8,FALSE),LocalAreas.csv!B:I,7,FALSE),200029)</f>
        <v>rg:None</v>
      </c>
      <c r="E91" s="8" t="str">
        <f t="shared" si="8"/>
        <v>rg:{'id':'rg:None'}</v>
      </c>
      <c r="F91" s="9" t="s">
        <v>7055</v>
      </c>
      <c r="G91" s="9" t="str">
        <f ca="1">INDEX(DistrictEquipmentTypes.csv!F:F,RANDBETWEEN(2,COUNTA(DistrictEquipmentTypes.csv!D:D)),1)</f>
        <v>200006</v>
      </c>
      <c r="H91" s="8" t="str">
        <f t="shared" ca="1" si="9"/>
        <v>rg:{ 'id': '200006'}</v>
      </c>
      <c r="I91" s="8">
        <f t="shared" ca="1" si="10"/>
        <v>4</v>
      </c>
      <c r="J91" s="8">
        <f t="shared" ca="1" si="11"/>
        <v>25</v>
      </c>
      <c r="K91" s="8" t="str">
        <f t="shared" ca="1" si="12"/>
        <v>2017-04-24</v>
      </c>
      <c r="L91" s="8" t="str">
        <f t="shared" ca="1" si="13"/>
        <v>2017-05-06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 t="str">
        <f>IFERROR(VLOOKUP(VLOOKUP(VLOOKUP(C92,Project.csv!F:Q,12,FALSE),ServiceAreas.csv!B:I,8,FALSE),LocalAreas.csv!B:I,7,FALSE),200029)</f>
        <v>rg:None</v>
      </c>
      <c r="E92" s="8" t="str">
        <f t="shared" si="8"/>
        <v>rg:{'id':'rg:None'}</v>
      </c>
      <c r="F92" s="9" t="s">
        <v>7056</v>
      </c>
      <c r="G92" s="9" t="str">
        <f ca="1">INDEX(DistrictEquipmentTypes.csv!F:F,RANDBETWEEN(2,COUNTA(DistrictEquipmentTypes.csv!D:D)),1)</f>
        <v>200009</v>
      </c>
      <c r="H92" s="8" t="str">
        <f t="shared" ca="1" si="9"/>
        <v>rg:{ 'id': '200009'}</v>
      </c>
      <c r="I92" s="8">
        <f t="shared" ca="1" si="10"/>
        <v>1</v>
      </c>
      <c r="J92" s="8">
        <f t="shared" ca="1" si="11"/>
        <v>94</v>
      </c>
      <c r="K92" s="8" t="str">
        <f t="shared" ca="1" si="12"/>
        <v>2017-04-07</v>
      </c>
      <c r="L92" s="8" t="str">
        <f t="shared" ca="1" si="13"/>
        <v>2017-04-18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 t="str">
        <f>IFERROR(VLOOKUP(VLOOKUP(VLOOKUP(C93,Project.csv!F:Q,12,FALSE),ServiceAreas.csv!B:I,8,FALSE),LocalAreas.csv!B:I,7,FALSE),200029)</f>
        <v>rg:None</v>
      </c>
      <c r="E93" s="8" t="str">
        <f t="shared" si="8"/>
        <v>rg:{'id':'rg:None'}</v>
      </c>
      <c r="F93" s="9" t="s">
        <v>7055</v>
      </c>
      <c r="G93" s="9" t="str">
        <f ca="1">INDEX(DistrictEquipmentTypes.csv!F:F,RANDBETWEEN(2,COUNTA(DistrictEquipmentTypes.csv!D:D)),1)</f>
        <v>200009</v>
      </c>
      <c r="H93" s="8" t="str">
        <f t="shared" ca="1" si="9"/>
        <v>rg:{ 'id': '200009'}</v>
      </c>
      <c r="I93" s="8">
        <f t="shared" ca="1" si="10"/>
        <v>1</v>
      </c>
      <c r="J93" s="8">
        <f t="shared" ca="1" si="11"/>
        <v>65</v>
      </c>
      <c r="K93" s="8" t="str">
        <f t="shared" ca="1" si="12"/>
        <v>2017-05-19</v>
      </c>
      <c r="L93" s="8" t="str">
        <f t="shared" ca="1" si="13"/>
        <v>2017-05-27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 t="str">
        <f>IFERROR(VLOOKUP(VLOOKUP(VLOOKUP(C94,Project.csv!F:Q,12,FALSE),ServiceAreas.csv!B:I,8,FALSE),LocalAreas.csv!B:I,7,FALSE),200029)</f>
        <v>rg:None</v>
      </c>
      <c r="E94" s="8" t="str">
        <f t="shared" si="8"/>
        <v>rg:{'id':'rg:None'}</v>
      </c>
      <c r="F94" s="9" t="s">
        <v>7056</v>
      </c>
      <c r="G94" s="9" t="str">
        <f ca="1">INDEX(DistrictEquipmentTypes.csv!F:F,RANDBETWEEN(2,COUNTA(DistrictEquipmentTypes.csv!D:D)),1)</f>
        <v>200001</v>
      </c>
      <c r="H94" s="8" t="str">
        <f t="shared" ca="1" si="9"/>
        <v>rg:{ 'id': '200001'}</v>
      </c>
      <c r="I94" s="8">
        <f t="shared" ca="1" si="10"/>
        <v>1</v>
      </c>
      <c r="J94" s="8">
        <f t="shared" ca="1" si="11"/>
        <v>13</v>
      </c>
      <c r="K94" s="8" t="str">
        <f t="shared" ca="1" si="12"/>
        <v>2017-04-07</v>
      </c>
      <c r="L94" s="8" t="str">
        <f t="shared" ca="1" si="13"/>
        <v>2017-04-08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 t="str">
        <f>IFERROR(VLOOKUP(VLOOKUP(VLOOKUP(C95,Project.csv!F:Q,12,FALSE),ServiceAreas.csv!B:I,8,FALSE),LocalAreas.csv!B:I,7,FALSE),200029)</f>
        <v>rg:None</v>
      </c>
      <c r="E95" s="8" t="str">
        <f t="shared" si="8"/>
        <v>rg:{'id':'rg:None'}</v>
      </c>
      <c r="F95" s="9" t="s">
        <v>7055</v>
      </c>
      <c r="G95" s="9" t="str">
        <f ca="1">INDEX(DistrictEquipmentTypes.csv!F:F,RANDBETWEEN(2,COUNTA(DistrictEquipmentTypes.csv!D:D)),1)</f>
        <v>200002</v>
      </c>
      <c r="H95" s="8" t="str">
        <f t="shared" ca="1" si="9"/>
        <v>rg:{ 'id': '200002'}</v>
      </c>
      <c r="I95" s="8">
        <f t="shared" ca="1" si="10"/>
        <v>1</v>
      </c>
      <c r="J95" s="8">
        <f t="shared" ca="1" si="11"/>
        <v>100</v>
      </c>
      <c r="K95" s="8" t="str">
        <f t="shared" ca="1" si="12"/>
        <v>2017-05-09</v>
      </c>
      <c r="L95" s="8" t="str">
        <f t="shared" ca="1" si="13"/>
        <v>2017-05-21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 t="str">
        <f>IFERROR(VLOOKUP(VLOOKUP(VLOOKUP(C96,Project.csv!F:Q,12,FALSE),ServiceAreas.csv!B:I,8,FALSE),LocalAreas.csv!B:I,7,FALSE),200029)</f>
        <v>rg:None</v>
      </c>
      <c r="E96" s="8" t="str">
        <f t="shared" si="8"/>
        <v>rg:{'id':'rg:None'}</v>
      </c>
      <c r="F96" s="9" t="s">
        <v>7057</v>
      </c>
      <c r="G96" s="9" t="str">
        <f ca="1">INDEX(DistrictEquipmentTypes.csv!F:F,RANDBETWEEN(2,COUNTA(DistrictEquipmentTypes.csv!D:D)),1)</f>
        <v>200006</v>
      </c>
      <c r="H96" s="8" t="str">
        <f t="shared" ca="1" si="9"/>
        <v>rg:{ 'id': '200006'}</v>
      </c>
      <c r="I96" s="8">
        <f t="shared" ca="1" si="10"/>
        <v>1</v>
      </c>
      <c r="J96" s="8">
        <f t="shared" ca="1" si="11"/>
        <v>14</v>
      </c>
      <c r="K96" s="8" t="str">
        <f t="shared" ca="1" si="12"/>
        <v>2017-04-08</v>
      </c>
      <c r="L96" s="8" t="str">
        <f t="shared" ca="1" si="13"/>
        <v>2017-04-09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 t="str">
        <f>IFERROR(VLOOKUP(VLOOKUP(VLOOKUP(C97,Project.csv!F:Q,12,FALSE),ServiceAreas.csv!B:I,8,FALSE),LocalAreas.csv!B:I,7,FALSE),200029)</f>
        <v>rg:None</v>
      </c>
      <c r="E97" s="8" t="str">
        <f t="shared" si="8"/>
        <v>rg:{'id':'rg:None'}</v>
      </c>
      <c r="F97" s="9" t="s">
        <v>7055</v>
      </c>
      <c r="G97" s="9" t="str">
        <f ca="1">INDEX(DistrictEquipmentTypes.csv!F:F,RANDBETWEEN(2,COUNTA(DistrictEquipmentTypes.csv!D:D)),1)</f>
        <v>200006</v>
      </c>
      <c r="H97" s="8" t="str">
        <f t="shared" ca="1" si="9"/>
        <v>rg:{ 'id': '200006'}</v>
      </c>
      <c r="I97" s="8">
        <f t="shared" ca="1" si="10"/>
        <v>1</v>
      </c>
      <c r="J97" s="8">
        <f t="shared" ca="1" si="11"/>
        <v>15</v>
      </c>
      <c r="K97" s="8" t="str">
        <f t="shared" ca="1" si="12"/>
        <v>2017-05-06</v>
      </c>
      <c r="L97" s="8" t="str">
        <f t="shared" ca="1" si="13"/>
        <v>2017-05-07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 t="str">
        <f>IFERROR(VLOOKUP(VLOOKUP(VLOOKUP(C98,Project.csv!F:Q,12,FALSE),ServiceAreas.csv!B:I,8,FALSE),LocalAreas.csv!B:I,7,FALSE),200029)</f>
        <v>rg:None</v>
      </c>
      <c r="E98" s="8" t="str">
        <f t="shared" si="8"/>
        <v>rg:{'id':'rg:None'}</v>
      </c>
      <c r="F98" s="9" t="s">
        <v>7057</v>
      </c>
      <c r="G98" s="9" t="str">
        <f ca="1">INDEX(DistrictEquipmentTypes.csv!F:F,RANDBETWEEN(2,COUNTA(DistrictEquipmentTypes.csv!D:D)),1)</f>
        <v>200005</v>
      </c>
      <c r="H98" s="8" t="str">
        <f t="shared" ca="1" si="9"/>
        <v>rg:{ 'id': '200005'}</v>
      </c>
      <c r="I98" s="8">
        <f t="shared" ca="1" si="10"/>
        <v>1</v>
      </c>
      <c r="J98" s="8">
        <f t="shared" ca="1" si="11"/>
        <v>77</v>
      </c>
      <c r="K98" s="8" t="str">
        <f t="shared" ca="1" si="12"/>
        <v>2017-04-06</v>
      </c>
      <c r="L98" s="8" t="str">
        <f t="shared" ca="1" si="13"/>
        <v>2017-04-15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 t="str">
        <f>IFERROR(VLOOKUP(VLOOKUP(VLOOKUP(C99,Project.csv!F:Q,12,FALSE),ServiceAreas.csv!B:I,8,FALSE),LocalAreas.csv!B:I,7,FALSE),200029)</f>
        <v>rg:None</v>
      </c>
      <c r="E99" s="8" t="str">
        <f t="shared" si="8"/>
        <v>rg:{'id':'rg:None'}</v>
      </c>
      <c r="F99" s="9" t="s">
        <v>7055</v>
      </c>
      <c r="G99" s="9" t="str">
        <f ca="1">INDEX(DistrictEquipmentTypes.csv!F:F,RANDBETWEEN(2,COUNTA(DistrictEquipmentTypes.csv!D:D)),1)</f>
        <v>200005</v>
      </c>
      <c r="H99" s="8" t="str">
        <f t="shared" ca="1" si="9"/>
        <v>rg:{ 'id': '200005'}</v>
      </c>
      <c r="I99" s="8">
        <f t="shared" ca="1" si="10"/>
        <v>5</v>
      </c>
      <c r="J99" s="8">
        <f t="shared" ca="1" si="11"/>
        <v>17</v>
      </c>
      <c r="K99" s="8" t="str">
        <f t="shared" ca="1" si="12"/>
        <v>2017-05-22</v>
      </c>
      <c r="L99" s="8" t="str">
        <f t="shared" ca="1" si="13"/>
        <v>2017-06-01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 t="str">
        <f>IFERROR(VLOOKUP(VLOOKUP(VLOOKUP(C100,Project.csv!F:Q,12,FALSE),ServiceAreas.csv!B:I,8,FALSE),LocalAreas.csv!B:I,7,FALSE),200029)</f>
        <v>rg:None</v>
      </c>
      <c r="E100" s="8" t="str">
        <f t="shared" si="8"/>
        <v>rg:{'id':'rg:None'}</v>
      </c>
      <c r="F100" s="9" t="s">
        <v>7055</v>
      </c>
      <c r="G100" s="9" t="str">
        <f ca="1">INDEX(DistrictEquipmentTypes.csv!F:F,RANDBETWEEN(2,COUNTA(DistrictEquipmentTypes.csv!D:D)),1)</f>
        <v>200005</v>
      </c>
      <c r="H100" s="8" t="str">
        <f t="shared" ca="1" si="9"/>
        <v>rg:{ 'id': '200005'}</v>
      </c>
      <c r="I100" s="8">
        <f t="shared" ca="1" si="10"/>
        <v>1</v>
      </c>
      <c r="J100" s="8">
        <f t="shared" ca="1" si="11"/>
        <v>56</v>
      </c>
      <c r="K100" s="8" t="str">
        <f t="shared" ca="1" si="12"/>
        <v>2017-05-12</v>
      </c>
      <c r="L100" s="8" t="str">
        <f t="shared" ca="1" si="13"/>
        <v>2017-05-19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 t="str">
        <f>IFERROR(VLOOKUP(VLOOKUP(VLOOKUP(C101,Project.csv!F:Q,12,FALSE),ServiceAreas.csv!B:I,8,FALSE),LocalAreas.csv!B:I,7,FALSE),200029)</f>
        <v>rg:None</v>
      </c>
      <c r="E101" s="8" t="str">
        <f t="shared" si="8"/>
        <v>rg:{'id':'rg:None'}</v>
      </c>
      <c r="F101" s="9" t="s">
        <v>7055</v>
      </c>
      <c r="G101" s="9" t="str">
        <f ca="1">INDEX(DistrictEquipmentTypes.csv!F:F,RANDBETWEEN(2,COUNTA(DistrictEquipmentTypes.csv!D:D)),1)</f>
        <v>200002</v>
      </c>
      <c r="H101" s="8" t="str">
        <f t="shared" ca="1" si="9"/>
        <v>rg:{ 'id': '200002'}</v>
      </c>
      <c r="I101" s="8">
        <f t="shared" ca="1" si="10"/>
        <v>1</v>
      </c>
      <c r="J101" s="8">
        <f t="shared" ca="1" si="11"/>
        <v>45</v>
      </c>
      <c r="K101" s="8" t="str">
        <f t="shared" ca="1" si="12"/>
        <v>2017-04-11</v>
      </c>
      <c r="L101" s="8" t="str">
        <f t="shared" ca="1" si="13"/>
        <v>2017-04-16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 t="str">
        <f>IFERROR(VLOOKUP(VLOOKUP(VLOOKUP(C102,Project.csv!F:Q,12,FALSE),ServiceAreas.csv!B:I,8,FALSE),LocalAreas.csv!B:I,7,FALSE),200029)</f>
        <v>rg:None</v>
      </c>
      <c r="E102" s="8" t="str">
        <f t="shared" si="8"/>
        <v>rg:{'id':'rg:None'}</v>
      </c>
      <c r="F102" s="9" t="s">
        <v>7055</v>
      </c>
      <c r="G102" s="9" t="str">
        <f ca="1">INDEX(DistrictEquipmentTypes.csv!F:F,RANDBETWEEN(2,COUNTA(DistrictEquipmentTypes.csv!D:D)),1)</f>
        <v>200002</v>
      </c>
      <c r="H102" s="8" t="str">
        <f t="shared" ca="1" si="9"/>
        <v>rg:{ 'id': '200002'}</v>
      </c>
      <c r="I102" s="8">
        <f t="shared" ca="1" si="10"/>
        <v>1</v>
      </c>
      <c r="J102" s="8">
        <f t="shared" ca="1" si="11"/>
        <v>66</v>
      </c>
      <c r="K102" s="8" t="str">
        <f t="shared" ca="1" si="12"/>
        <v>2017-04-07</v>
      </c>
      <c r="L102" s="8" t="str">
        <f t="shared" ca="1" si="13"/>
        <v>2017-04-15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 t="str">
        <f>IFERROR(VLOOKUP(VLOOKUP(VLOOKUP(C103,Project.csv!F:Q,12,FALSE),ServiceAreas.csv!B:I,8,FALSE),LocalAreas.csv!B:I,7,FALSE),200029)</f>
        <v>rg:None</v>
      </c>
      <c r="E103" s="8" t="str">
        <f t="shared" si="8"/>
        <v>rg:{'id':'rg:None'}</v>
      </c>
      <c r="F103" s="9" t="s">
        <v>7055</v>
      </c>
      <c r="G103" s="9" t="str">
        <f ca="1">INDEX(DistrictEquipmentTypes.csv!F:F,RANDBETWEEN(2,COUNTA(DistrictEquipmentTypes.csv!D:D)),1)</f>
        <v>200002</v>
      </c>
      <c r="H103" s="8" t="str">
        <f t="shared" ca="1" si="9"/>
        <v>rg:{ 'id': '200002'}</v>
      </c>
      <c r="I103" s="8">
        <f t="shared" ca="1" si="10"/>
        <v>1</v>
      </c>
      <c r="J103" s="8">
        <f t="shared" ca="1" si="11"/>
        <v>59</v>
      </c>
      <c r="K103" s="8" t="str">
        <f t="shared" ca="1" si="12"/>
        <v>2017-04-21</v>
      </c>
      <c r="L103" s="8" t="str">
        <f t="shared" ca="1" si="13"/>
        <v>2017-04-28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 t="str">
        <f>IFERROR(VLOOKUP(VLOOKUP(VLOOKUP(C104,Project.csv!F:Q,12,FALSE),ServiceAreas.csv!B:I,8,FALSE),LocalAreas.csv!B:I,7,FALSE),200029)</f>
        <v>rg:None</v>
      </c>
      <c r="E104" s="8" t="str">
        <f t="shared" si="8"/>
        <v>rg:{'id':'rg:None'}</v>
      </c>
      <c r="F104" s="9" t="s">
        <v>7055</v>
      </c>
      <c r="G104" s="9" t="str">
        <f ca="1">INDEX(DistrictEquipmentTypes.csv!F:F,RANDBETWEEN(2,COUNTA(DistrictEquipmentTypes.csv!D:D)),1)</f>
        <v>200009</v>
      </c>
      <c r="H104" s="8" t="str">
        <f t="shared" ca="1" si="9"/>
        <v>rg:{ 'id': '200009'}</v>
      </c>
      <c r="I104" s="8">
        <f t="shared" ca="1" si="10"/>
        <v>5</v>
      </c>
      <c r="J104" s="8">
        <f t="shared" ca="1" si="11"/>
        <v>35</v>
      </c>
      <c r="K104" s="8" t="str">
        <f t="shared" ca="1" si="12"/>
        <v>2017-04-19</v>
      </c>
      <c r="L104" s="8" t="str">
        <f t="shared" ca="1" si="13"/>
        <v>2017-05-10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 t="str">
        <f>IFERROR(VLOOKUP(VLOOKUP(VLOOKUP(C105,Project.csv!F:Q,12,FALSE),ServiceAreas.csv!B:I,8,FALSE),LocalAreas.csv!B:I,7,FALSE),200029)</f>
        <v>rg:None</v>
      </c>
      <c r="E105" s="8" t="str">
        <f t="shared" si="8"/>
        <v>rg:{'id':'rg:None'}</v>
      </c>
      <c r="F105" s="9" t="s">
        <v>7055</v>
      </c>
      <c r="G105" s="9" t="str">
        <f ca="1">INDEX(DistrictEquipmentTypes.csv!F:F,RANDBETWEEN(2,COUNTA(DistrictEquipmentTypes.csv!D:D)),1)</f>
        <v>200003</v>
      </c>
      <c r="H105" s="8" t="str">
        <f t="shared" ca="1" si="9"/>
        <v>rg:{ 'id': '200003'}</v>
      </c>
      <c r="I105" s="8">
        <f t="shared" ca="1" si="10"/>
        <v>1</v>
      </c>
      <c r="J105" s="8">
        <f t="shared" ca="1" si="11"/>
        <v>40</v>
      </c>
      <c r="K105" s="8" t="str">
        <f t="shared" ca="1" si="12"/>
        <v>2017-05-08</v>
      </c>
      <c r="L105" s="8" t="str">
        <f t="shared" ca="1" si="13"/>
        <v>2017-05-13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 t="str">
        <f>IFERROR(VLOOKUP(VLOOKUP(VLOOKUP(C106,Project.csv!F:Q,12,FALSE),ServiceAreas.csv!B:I,8,FALSE),LocalAreas.csv!B:I,7,FALSE),200029)</f>
        <v>rg:None</v>
      </c>
      <c r="E106" s="8" t="str">
        <f t="shared" si="8"/>
        <v>rg:{'id':'rg:None'}</v>
      </c>
      <c r="F106" s="9" t="s">
        <v>7055</v>
      </c>
      <c r="G106" s="9" t="str">
        <f ca="1">INDEX(DistrictEquipmentTypes.csv!F:F,RANDBETWEEN(2,COUNTA(DistrictEquipmentTypes.csv!D:D)),1)</f>
        <v>200009</v>
      </c>
      <c r="H106" s="8" t="str">
        <f t="shared" ca="1" si="9"/>
        <v>rg:{ 'id': '200009'}</v>
      </c>
      <c r="I106" s="8">
        <f t="shared" ca="1" si="10"/>
        <v>1</v>
      </c>
      <c r="J106" s="8">
        <f t="shared" ca="1" si="11"/>
        <v>46</v>
      </c>
      <c r="K106" s="8" t="str">
        <f t="shared" ca="1" si="12"/>
        <v>2017-05-03</v>
      </c>
      <c r="L106" s="8" t="str">
        <f t="shared" ca="1" si="13"/>
        <v>2017-05-08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IFERROR(VLOOKUP(VLOOKUP(VLOOKUP(C107,Project.csv!F:Q,12,FALSE),ServiceAreas.csv!B:I,8,FALSE),LocalAreas.csv!B:I,7,FALSE),200029)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200001</v>
      </c>
      <c r="H107" s="8" t="str">
        <f t="shared" ca="1" si="9"/>
        <v>rg:{ 'id': '200001'}</v>
      </c>
      <c r="I107" s="8">
        <f t="shared" ca="1" si="10"/>
        <v>1</v>
      </c>
      <c r="J107" s="8">
        <f t="shared" ca="1" si="11"/>
        <v>88</v>
      </c>
      <c r="K107" s="8" t="str">
        <f t="shared" ca="1" si="12"/>
        <v>2017-04-05</v>
      </c>
      <c r="L107" s="8" t="str">
        <f t="shared" ca="1" si="13"/>
        <v>2017-04-16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IFERROR(VLOOKUP(VLOOKUP(VLOOKUP(C108,Project.csv!F:Q,12,FALSE),ServiceAreas.csv!B:I,8,FALSE),LocalAreas.csv!B:I,7,FALSE),200029)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200000</v>
      </c>
      <c r="H108" s="8" t="str">
        <f t="shared" ca="1" si="9"/>
        <v>rg:{ 'id': '200000'}</v>
      </c>
      <c r="I108" s="8">
        <f t="shared" ca="1" si="10"/>
        <v>1</v>
      </c>
      <c r="J108" s="8">
        <f t="shared" ca="1" si="11"/>
        <v>80</v>
      </c>
      <c r="K108" s="8" t="str">
        <f t="shared" ca="1" si="12"/>
        <v>2017-05-04</v>
      </c>
      <c r="L108" s="8" t="str">
        <f t="shared" ca="1" si="13"/>
        <v>2017-05-14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IFERROR(VLOOKUP(VLOOKUP(VLOOKUP(C109,Project.csv!F:Q,12,FALSE),ServiceAreas.csv!B:I,8,FALSE),LocalAreas.csv!B:I,7,FALSE),200029)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200009</v>
      </c>
      <c r="H109" s="8" t="str">
        <f t="shared" ca="1" si="9"/>
        <v>rg:{ 'id': '200009'}</v>
      </c>
      <c r="I109" s="8">
        <f t="shared" ca="1" si="10"/>
        <v>1</v>
      </c>
      <c r="J109" s="8">
        <f t="shared" ca="1" si="11"/>
        <v>12</v>
      </c>
      <c r="K109" s="8" t="str">
        <f t="shared" ca="1" si="12"/>
        <v>2017-04-25</v>
      </c>
      <c r="L109" s="8" t="str">
        <f t="shared" ca="1" si="13"/>
        <v>2017-04-26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IFERROR(VLOOKUP(VLOOKUP(VLOOKUP(C110,Project.csv!F:Q,12,FALSE),ServiceAreas.csv!B:I,8,FALSE),LocalAreas.csv!B:I,7,FALSE),200029)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200003</v>
      </c>
      <c r="H110" s="8" t="str">
        <f t="shared" ca="1" si="9"/>
        <v>rg:{ 'id': '200003'}</v>
      </c>
      <c r="I110" s="8">
        <f t="shared" ca="1" si="10"/>
        <v>1</v>
      </c>
      <c r="J110" s="8">
        <f t="shared" ca="1" si="11"/>
        <v>100</v>
      </c>
      <c r="K110" s="8" t="str">
        <f t="shared" ca="1" si="12"/>
        <v>2017-04-08</v>
      </c>
      <c r="L110" s="8" t="str">
        <f t="shared" ca="1" si="13"/>
        <v>2017-04-20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IFERROR(VLOOKUP(VLOOKUP(VLOOKUP(C111,Project.csv!F:Q,12,FALSE),ServiceAreas.csv!B:I,8,FALSE),LocalAreas.csv!B:I,7,FALSE),200029)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200006</v>
      </c>
      <c r="H111" s="8" t="str">
        <f t="shared" ca="1" si="9"/>
        <v>rg:{ 'id': '200006'}</v>
      </c>
      <c r="I111" s="8">
        <f t="shared" ca="1" si="10"/>
        <v>4</v>
      </c>
      <c r="J111" s="8">
        <f t="shared" ca="1" si="11"/>
        <v>59</v>
      </c>
      <c r="K111" s="8" t="str">
        <f t="shared" ca="1" si="12"/>
        <v>2017-05-01</v>
      </c>
      <c r="L111" s="8" t="str">
        <f t="shared" ca="1" si="13"/>
        <v>2017-05-30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IFERROR(VLOOKUP(VLOOKUP(VLOOKUP(C112,Project.csv!F:Q,12,FALSE),ServiceAreas.csv!B:I,8,FALSE),LocalAreas.csv!B:I,7,FALSE),200029)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200009</v>
      </c>
      <c r="H112" s="8" t="str">
        <f t="shared" ca="1" si="9"/>
        <v>rg:{ 'id': '200009'}</v>
      </c>
      <c r="I112" s="8">
        <f t="shared" ca="1" si="10"/>
        <v>3</v>
      </c>
      <c r="J112" s="8">
        <f t="shared" ca="1" si="11"/>
        <v>37</v>
      </c>
      <c r="K112" s="8" t="str">
        <f t="shared" ca="1" si="12"/>
        <v>2017-04-24</v>
      </c>
      <c r="L112" s="8" t="str">
        <f t="shared" ca="1" si="13"/>
        <v>2017-05-07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IFERROR(VLOOKUP(VLOOKUP(VLOOKUP(C113,Project.csv!F:Q,12,FALSE),ServiceAreas.csv!B:I,8,FALSE),LocalAreas.csv!B:I,7,FALSE),200029)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200002</v>
      </c>
      <c r="H113" s="8" t="str">
        <f t="shared" ca="1" si="9"/>
        <v>rg:{ 'id': '200002'}</v>
      </c>
      <c r="I113" s="8">
        <f t="shared" ca="1" si="10"/>
        <v>1</v>
      </c>
      <c r="J113" s="8">
        <f t="shared" ca="1" si="11"/>
        <v>62</v>
      </c>
      <c r="K113" s="8" t="str">
        <f t="shared" ca="1" si="12"/>
        <v>2017-04-26</v>
      </c>
      <c r="L113" s="8" t="str">
        <f t="shared" ca="1" si="13"/>
        <v>2017-05-03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 t="str">
        <f>IFERROR(VLOOKUP(VLOOKUP(VLOOKUP(C114,Project.csv!F:Q,12,FALSE),ServiceAreas.csv!B:I,8,FALSE),LocalAreas.csv!B:I,7,FALSE),200029)</f>
        <v>rg:None</v>
      </c>
      <c r="E114" s="8" t="str">
        <f t="shared" si="8"/>
        <v>rg:{'id':'rg:None'}</v>
      </c>
      <c r="F114" s="9" t="s">
        <v>7055</v>
      </c>
      <c r="G114" s="9" t="str">
        <f ca="1">INDEX(DistrictEquipmentTypes.csv!F:F,RANDBETWEEN(2,COUNTA(DistrictEquipmentTypes.csv!D:D)),1)</f>
        <v>200009</v>
      </c>
      <c r="H114" s="8" t="str">
        <f t="shared" ca="1" si="9"/>
        <v>rg:{ 'id': '200009'}</v>
      </c>
      <c r="I114" s="8">
        <f t="shared" ca="1" si="10"/>
        <v>1</v>
      </c>
      <c r="J114" s="8">
        <f t="shared" ca="1" si="11"/>
        <v>54</v>
      </c>
      <c r="K114" s="8" t="str">
        <f t="shared" ca="1" si="12"/>
        <v>2017-04-02</v>
      </c>
      <c r="L114" s="8" t="str">
        <f t="shared" ca="1" si="13"/>
        <v>2017-04-08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 t="str">
        <f>IFERROR(VLOOKUP(VLOOKUP(VLOOKUP(C115,Project.csv!F:Q,12,FALSE),ServiceAreas.csv!B:I,8,FALSE),LocalAreas.csv!B:I,7,FALSE),200029)</f>
        <v>rg:None</v>
      </c>
      <c r="E115" s="8" t="str">
        <f t="shared" si="8"/>
        <v>rg:{'id':'rg:None'}</v>
      </c>
      <c r="F115" s="9" t="s">
        <v>7055</v>
      </c>
      <c r="G115" s="9" t="str">
        <f ca="1">INDEX(DistrictEquipmentTypes.csv!F:F,RANDBETWEEN(2,COUNTA(DistrictEquipmentTypes.csv!D:D)),1)</f>
        <v>200009</v>
      </c>
      <c r="H115" s="8" t="str">
        <f t="shared" ca="1" si="9"/>
        <v>rg:{ 'id': '200009'}</v>
      </c>
      <c r="I115" s="8">
        <f t="shared" ca="1" si="10"/>
        <v>1</v>
      </c>
      <c r="J115" s="8">
        <f t="shared" ca="1" si="11"/>
        <v>20</v>
      </c>
      <c r="K115" s="8" t="str">
        <f t="shared" ca="1" si="12"/>
        <v>2017-05-02</v>
      </c>
      <c r="L115" s="8" t="str">
        <f t="shared" ca="1" si="13"/>
        <v>2017-05-04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 t="str">
        <f>IFERROR(VLOOKUP(VLOOKUP(VLOOKUP(C116,Project.csv!F:Q,12,FALSE),ServiceAreas.csv!B:I,8,FALSE),LocalAreas.csv!B:I,7,FALSE),200029)</f>
        <v>rg:None</v>
      </c>
      <c r="E116" s="8" t="str">
        <f t="shared" si="8"/>
        <v>rg:{'id':'rg:None'}</v>
      </c>
      <c r="F116" s="9" t="s">
        <v>7055</v>
      </c>
      <c r="G116" s="9" t="str">
        <f ca="1">INDEX(DistrictEquipmentTypes.csv!F:F,RANDBETWEEN(2,COUNTA(DistrictEquipmentTypes.csv!D:D)),1)</f>
        <v>200006</v>
      </c>
      <c r="H116" s="8" t="str">
        <f t="shared" ca="1" si="9"/>
        <v>rg:{ 'id': '200006'}</v>
      </c>
      <c r="I116" s="8">
        <f t="shared" ca="1" si="10"/>
        <v>1</v>
      </c>
      <c r="J116" s="8">
        <f t="shared" ca="1" si="11"/>
        <v>8</v>
      </c>
      <c r="K116" s="8" t="str">
        <f t="shared" ca="1" si="12"/>
        <v>2017-05-19</v>
      </c>
      <c r="L116" s="8" t="str">
        <f t="shared" ca="1" si="13"/>
        <v>2017-05-20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 t="str">
        <f>IFERROR(VLOOKUP(VLOOKUP(VLOOKUP(C117,Project.csv!F:Q,12,FALSE),ServiceAreas.csv!B:I,8,FALSE),LocalAreas.csv!B:I,7,FALSE),200029)</f>
        <v>rg:None</v>
      </c>
      <c r="E117" s="8" t="str">
        <f t="shared" si="8"/>
        <v>rg:{'id':'rg:None'}</v>
      </c>
      <c r="F117" s="9" t="s">
        <v>7055</v>
      </c>
      <c r="G117" s="9" t="str">
        <f ca="1">INDEX(DistrictEquipmentTypes.csv!F:F,RANDBETWEEN(2,COUNTA(DistrictEquipmentTypes.csv!D:D)),1)</f>
        <v>200006</v>
      </c>
      <c r="H117" s="8" t="str">
        <f t="shared" ca="1" si="9"/>
        <v>rg:{ 'id': '200006'}</v>
      </c>
      <c r="I117" s="8">
        <f t="shared" ca="1" si="10"/>
        <v>1</v>
      </c>
      <c r="J117" s="8">
        <f t="shared" ca="1" si="11"/>
        <v>99</v>
      </c>
      <c r="K117" s="8" t="str">
        <f t="shared" ca="1" si="12"/>
        <v>2017-05-23</v>
      </c>
      <c r="L117" s="8" t="str">
        <f t="shared" ca="1" si="13"/>
        <v>2017-06-04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 t="str">
        <f>IFERROR(VLOOKUP(VLOOKUP(VLOOKUP(C118,Project.csv!F:Q,12,FALSE),ServiceAreas.csv!B:I,8,FALSE),LocalAreas.csv!B:I,7,FALSE),200029)</f>
        <v>rg:None</v>
      </c>
      <c r="E118" s="8" t="str">
        <f t="shared" si="8"/>
        <v>rg:{'id':'rg:None'}</v>
      </c>
      <c r="F118" s="9" t="s">
        <v>7055</v>
      </c>
      <c r="G118" s="9" t="str">
        <f ca="1">INDEX(DistrictEquipmentTypes.csv!F:F,RANDBETWEEN(2,COUNTA(DistrictEquipmentTypes.csv!D:D)),1)</f>
        <v>200001</v>
      </c>
      <c r="H118" s="8" t="str">
        <f t="shared" ca="1" si="9"/>
        <v>rg:{ 'id': '200001'}</v>
      </c>
      <c r="I118" s="8">
        <f t="shared" ca="1" si="10"/>
        <v>1</v>
      </c>
      <c r="J118" s="8">
        <f t="shared" ca="1" si="11"/>
        <v>76</v>
      </c>
      <c r="K118" s="8" t="str">
        <f t="shared" ca="1" si="12"/>
        <v>2017-04-09</v>
      </c>
      <c r="L118" s="8" t="str">
        <f t="shared" ca="1" si="13"/>
        <v>2017-04-18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 t="str">
        <f>IFERROR(VLOOKUP(VLOOKUP(VLOOKUP(C119,Project.csv!F:Q,12,FALSE),ServiceAreas.csv!B:I,8,FALSE),LocalAreas.csv!B:I,7,FALSE),200029)</f>
        <v>rg:None</v>
      </c>
      <c r="E119" s="8" t="str">
        <f t="shared" si="8"/>
        <v>rg:{'id':'rg:None'}</v>
      </c>
      <c r="F119" s="9" t="s">
        <v>7055</v>
      </c>
      <c r="G119" s="9" t="str">
        <f ca="1">INDEX(DistrictEquipmentTypes.csv!F:F,RANDBETWEEN(2,COUNTA(DistrictEquipmentTypes.csv!D:D)),1)</f>
        <v>200002</v>
      </c>
      <c r="H119" s="8" t="str">
        <f t="shared" ca="1" si="9"/>
        <v>rg:{ 'id': '200002'}</v>
      </c>
      <c r="I119" s="8">
        <f t="shared" ca="1" si="10"/>
        <v>1</v>
      </c>
      <c r="J119" s="8">
        <f t="shared" ca="1" si="11"/>
        <v>47</v>
      </c>
      <c r="K119" s="8" t="str">
        <f t="shared" ca="1" si="12"/>
        <v>2017-03-30</v>
      </c>
      <c r="L119" s="8" t="str">
        <f t="shared" ca="1" si="13"/>
        <v>2017-04-04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 t="str">
        <f>IFERROR(VLOOKUP(VLOOKUP(VLOOKUP(C120,Project.csv!F:Q,12,FALSE),ServiceAreas.csv!B:I,8,FALSE),LocalAreas.csv!B:I,7,FALSE),200029)</f>
        <v>rg:None</v>
      </c>
      <c r="E120" s="8" t="str">
        <f t="shared" si="8"/>
        <v>rg:{'id':'rg:None'}</v>
      </c>
      <c r="F120" s="9" t="s">
        <v>7055</v>
      </c>
      <c r="G120" s="9" t="str">
        <f ca="1">INDEX(DistrictEquipmentTypes.csv!F:F,RANDBETWEEN(2,COUNTA(DistrictEquipmentTypes.csv!D:D)),1)</f>
        <v>200006</v>
      </c>
      <c r="H120" s="8" t="str">
        <f t="shared" ca="1" si="9"/>
        <v>rg:{ 'id': '200006'}</v>
      </c>
      <c r="I120" s="8">
        <f t="shared" ca="1" si="10"/>
        <v>1</v>
      </c>
      <c r="J120" s="8">
        <f t="shared" ca="1" si="11"/>
        <v>18</v>
      </c>
      <c r="K120" s="8" t="str">
        <f t="shared" ca="1" si="12"/>
        <v>2017-05-04</v>
      </c>
      <c r="L120" s="8" t="str">
        <f t="shared" ca="1" si="13"/>
        <v>2017-05-06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 t="str">
        <f>IFERROR(VLOOKUP(VLOOKUP(VLOOKUP(C121,Project.csv!F:Q,12,FALSE),ServiceAreas.csv!B:I,8,FALSE),LocalAreas.csv!B:I,7,FALSE),200029)</f>
        <v>rg:None</v>
      </c>
      <c r="E121" s="8" t="str">
        <f t="shared" si="8"/>
        <v>rg:{'id':'rg:None'}</v>
      </c>
      <c r="F121" s="9" t="s">
        <v>7055</v>
      </c>
      <c r="G121" s="9" t="str">
        <f ca="1">INDEX(DistrictEquipmentTypes.csv!F:F,RANDBETWEEN(2,COUNTA(DistrictEquipmentTypes.csv!D:D)),1)</f>
        <v>200000</v>
      </c>
      <c r="H121" s="8" t="str">
        <f t="shared" ca="1" si="9"/>
        <v>rg:{ 'id': '200000'}</v>
      </c>
      <c r="I121" s="8">
        <f t="shared" ca="1" si="10"/>
        <v>2</v>
      </c>
      <c r="J121" s="8">
        <f t="shared" ca="1" si="11"/>
        <v>83</v>
      </c>
      <c r="K121" s="8" t="str">
        <f t="shared" ca="1" si="12"/>
        <v>2017-05-21</v>
      </c>
      <c r="L121" s="8" t="str">
        <f t="shared" ca="1" si="13"/>
        <v>2017-06-10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 t="str">
        <f>IFERROR(VLOOKUP(VLOOKUP(VLOOKUP(C122,Project.csv!F:Q,12,FALSE),ServiceAreas.csv!B:I,8,FALSE),LocalAreas.csv!B:I,7,FALSE),200029)</f>
        <v>rg:None</v>
      </c>
      <c r="E122" s="8" t="str">
        <f t="shared" si="8"/>
        <v>rg:{'id':'rg:None'}</v>
      </c>
      <c r="F122" s="9" t="s">
        <v>7055</v>
      </c>
      <c r="G122" s="9" t="str">
        <f ca="1">INDEX(DistrictEquipmentTypes.csv!F:F,RANDBETWEEN(2,COUNTA(DistrictEquipmentTypes.csv!D:D)),1)</f>
        <v>200001</v>
      </c>
      <c r="H122" s="8" t="str">
        <f t="shared" ca="1" si="9"/>
        <v>rg:{ 'id': '200001'}</v>
      </c>
      <c r="I122" s="8">
        <f t="shared" ca="1" si="10"/>
        <v>1</v>
      </c>
      <c r="J122" s="8">
        <f t="shared" ca="1" si="11"/>
        <v>79</v>
      </c>
      <c r="K122" s="8" t="str">
        <f t="shared" ca="1" si="12"/>
        <v>2017-04-10</v>
      </c>
      <c r="L122" s="8" t="str">
        <f t="shared" ca="1" si="13"/>
        <v>2017-04-19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 t="str">
        <f>IFERROR(VLOOKUP(VLOOKUP(VLOOKUP(C123,Project.csv!F:Q,12,FALSE),ServiceAreas.csv!B:I,8,FALSE),LocalAreas.csv!B:I,7,FALSE),200029)</f>
        <v>rg:None</v>
      </c>
      <c r="E123" s="8" t="str">
        <f t="shared" si="8"/>
        <v>rg:{'id':'rg:None'}</v>
      </c>
      <c r="F123" s="9" t="s">
        <v>7055</v>
      </c>
      <c r="G123" s="9" t="str">
        <f ca="1">INDEX(DistrictEquipmentTypes.csv!F:F,RANDBETWEEN(2,COUNTA(DistrictEquipmentTypes.csv!D:D)),1)</f>
        <v>200006</v>
      </c>
      <c r="H123" s="8" t="str">
        <f t="shared" ca="1" si="9"/>
        <v>rg:{ 'id': '200006'}</v>
      </c>
      <c r="I123" s="8">
        <f t="shared" ca="1" si="10"/>
        <v>1</v>
      </c>
      <c r="J123" s="8">
        <f t="shared" ca="1" si="11"/>
        <v>52</v>
      </c>
      <c r="K123" s="8" t="str">
        <f t="shared" ca="1" si="12"/>
        <v>2017-04-02</v>
      </c>
      <c r="L123" s="8" t="str">
        <f t="shared" ca="1" si="13"/>
        <v>2017-04-08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 t="str">
        <f>IFERROR(VLOOKUP(VLOOKUP(VLOOKUP(C124,Project.csv!F:Q,12,FALSE),ServiceAreas.csv!B:I,8,FALSE),LocalAreas.csv!B:I,7,FALSE),200029)</f>
        <v>rg:None</v>
      </c>
      <c r="E124" s="8" t="str">
        <f t="shared" si="8"/>
        <v>rg:{'id':'rg:None'}</v>
      </c>
      <c r="F124" s="9" t="s">
        <v>7055</v>
      </c>
      <c r="G124" s="9" t="str">
        <f ca="1">INDEX(DistrictEquipmentTypes.csv!F:F,RANDBETWEEN(2,COUNTA(DistrictEquipmentTypes.csv!D:D)),1)</f>
        <v>200007</v>
      </c>
      <c r="H124" s="8" t="str">
        <f t="shared" ca="1" si="9"/>
        <v>rg:{ 'id': '200007'}</v>
      </c>
      <c r="I124" s="8">
        <f t="shared" ca="1" si="10"/>
        <v>1</v>
      </c>
      <c r="J124" s="8">
        <f t="shared" ca="1" si="11"/>
        <v>27</v>
      </c>
      <c r="K124" s="8" t="str">
        <f t="shared" ca="1" si="12"/>
        <v>2017-04-17</v>
      </c>
      <c r="L124" s="8" t="str">
        <f t="shared" ca="1" si="13"/>
        <v>2017-04-20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 t="str">
        <f>IFERROR(VLOOKUP(VLOOKUP(VLOOKUP(C125,Project.csv!F:Q,12,FALSE),ServiceAreas.csv!B:I,8,FALSE),LocalAreas.csv!B:I,7,FALSE),200029)</f>
        <v>rg:None</v>
      </c>
      <c r="E125" s="8" t="str">
        <f t="shared" si="8"/>
        <v>rg:{'id':'rg:None'}</v>
      </c>
      <c r="F125" s="9" t="s">
        <v>7055</v>
      </c>
      <c r="G125" s="9" t="str">
        <f ca="1">INDEX(DistrictEquipmentTypes.csv!F:F,RANDBETWEEN(2,COUNTA(DistrictEquipmentTypes.csv!D:D)),1)</f>
        <v>200000</v>
      </c>
      <c r="H125" s="8" t="str">
        <f t="shared" ca="1" si="9"/>
        <v>rg:{ 'id': '200000'}</v>
      </c>
      <c r="I125" s="8">
        <f t="shared" ca="1" si="10"/>
        <v>1</v>
      </c>
      <c r="J125" s="8">
        <f t="shared" ca="1" si="11"/>
        <v>14</v>
      </c>
      <c r="K125" s="8" t="str">
        <f t="shared" ca="1" si="12"/>
        <v>2017-05-03</v>
      </c>
      <c r="L125" s="8" t="str">
        <f t="shared" ca="1" si="13"/>
        <v>2017-05-04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 t="str">
        <f>IFERROR(VLOOKUP(VLOOKUP(VLOOKUP(C126,Project.csv!F:Q,12,FALSE),ServiceAreas.csv!B:I,8,FALSE),LocalAreas.csv!B:I,7,FALSE),200029)</f>
        <v>rg:None</v>
      </c>
      <c r="E126" s="8" t="str">
        <f t="shared" si="8"/>
        <v>rg:{'id':'rg:None'}</v>
      </c>
      <c r="F126" s="9" t="s">
        <v>7056</v>
      </c>
      <c r="G126" s="9" t="str">
        <f ca="1">INDEX(DistrictEquipmentTypes.csv!F:F,RANDBETWEEN(2,COUNTA(DistrictEquipmentTypes.csv!D:D)),1)</f>
        <v>200006</v>
      </c>
      <c r="H126" s="8" t="str">
        <f t="shared" ca="1" si="9"/>
        <v>rg:{ 'id': '200006'}</v>
      </c>
      <c r="I126" s="8">
        <f t="shared" ca="1" si="10"/>
        <v>1</v>
      </c>
      <c r="J126" s="8">
        <f t="shared" ca="1" si="11"/>
        <v>75</v>
      </c>
      <c r="K126" s="8" t="str">
        <f t="shared" ca="1" si="12"/>
        <v>2017-05-16</v>
      </c>
      <c r="L126" s="8" t="str">
        <f t="shared" ca="1" si="13"/>
        <v>2017-05-25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 t="str">
        <f>IFERROR(VLOOKUP(VLOOKUP(VLOOKUP(C127,Project.csv!F:Q,12,FALSE),ServiceAreas.csv!B:I,8,FALSE),LocalAreas.csv!B:I,7,FALSE),200029)</f>
        <v>rg:None</v>
      </c>
      <c r="E127" s="8" t="str">
        <f t="shared" si="8"/>
        <v>rg:{'id':'rg:None'}</v>
      </c>
      <c r="F127" s="9" t="s">
        <v>7056</v>
      </c>
      <c r="G127" s="9" t="str">
        <f ca="1">INDEX(DistrictEquipmentTypes.csv!F:F,RANDBETWEEN(2,COUNTA(DistrictEquipmentTypes.csv!D:D)),1)</f>
        <v>200009</v>
      </c>
      <c r="H127" s="8" t="str">
        <f t="shared" ca="1" si="9"/>
        <v>rg:{ 'id': '200009'}</v>
      </c>
      <c r="I127" s="8">
        <f t="shared" ca="1" si="10"/>
        <v>3</v>
      </c>
      <c r="J127" s="8">
        <f t="shared" ca="1" si="11"/>
        <v>24</v>
      </c>
      <c r="K127" s="8" t="str">
        <f t="shared" ca="1" si="12"/>
        <v>2017-04-11</v>
      </c>
      <c r="L127" s="8" t="str">
        <f t="shared" ca="1" si="13"/>
        <v>2017-04-20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 t="str">
        <f>IFERROR(VLOOKUP(VLOOKUP(VLOOKUP(C128,Project.csv!F:Q,12,FALSE),ServiceAreas.csv!B:I,8,FALSE),LocalAreas.csv!B:I,7,FALSE),200029)</f>
        <v>rg:None</v>
      </c>
      <c r="E128" s="8" t="str">
        <f t="shared" si="8"/>
        <v>rg:{'id':'rg:None'}</v>
      </c>
      <c r="F128" s="9" t="s">
        <v>7056</v>
      </c>
      <c r="G128" s="9" t="str">
        <f ca="1">INDEX(DistrictEquipmentTypes.csv!F:F,RANDBETWEEN(2,COUNTA(DistrictEquipmentTypes.csv!D:D)),1)</f>
        <v>200001</v>
      </c>
      <c r="H128" s="8" t="str">
        <f t="shared" ca="1" si="9"/>
        <v>rg:{ 'id': '200001'}</v>
      </c>
      <c r="I128" s="8">
        <f t="shared" ca="1" si="10"/>
        <v>1</v>
      </c>
      <c r="J128" s="8">
        <f t="shared" ca="1" si="11"/>
        <v>66</v>
      </c>
      <c r="K128" s="8" t="str">
        <f t="shared" ca="1" si="12"/>
        <v>2017-05-19</v>
      </c>
      <c r="L128" s="8" t="str">
        <f t="shared" ca="1" si="13"/>
        <v>2017-05-27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 t="str">
        <f>IFERROR(VLOOKUP(VLOOKUP(VLOOKUP(C129,Project.csv!F:Q,12,FALSE),ServiceAreas.csv!B:I,8,FALSE),LocalAreas.csv!B:I,7,FALSE),200029)</f>
        <v>rg:None</v>
      </c>
      <c r="E129" s="8" t="str">
        <f t="shared" si="8"/>
        <v>rg:{'id':'rg:None'}</v>
      </c>
      <c r="F129" s="9" t="s">
        <v>7055</v>
      </c>
      <c r="G129" s="9" t="str">
        <f ca="1">INDEX(DistrictEquipmentTypes.csv!F:F,RANDBETWEEN(2,COUNTA(DistrictEquipmentTypes.csv!D:D)),1)</f>
        <v>200006</v>
      </c>
      <c r="H129" s="8" t="str">
        <f t="shared" ca="1" si="9"/>
        <v>rg:{ 'id': '200006'}</v>
      </c>
      <c r="I129" s="8">
        <f t="shared" ca="1" si="10"/>
        <v>1</v>
      </c>
      <c r="J129" s="8">
        <f t="shared" ca="1" si="11"/>
        <v>91</v>
      </c>
      <c r="K129" s="8" t="str">
        <f t="shared" ca="1" si="12"/>
        <v>2017-04-27</v>
      </c>
      <c r="L129" s="8" t="str">
        <f t="shared" ca="1" si="13"/>
        <v>2017-05-08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 t="str">
        <f>IFERROR(VLOOKUP(VLOOKUP(VLOOKUP(C130,Project.csv!F:Q,12,FALSE),ServiceAreas.csv!B:I,8,FALSE),LocalAreas.csv!B:I,7,FALSE),200029)</f>
        <v>rg:None</v>
      </c>
      <c r="E130" s="8" t="str">
        <f t="shared" si="8"/>
        <v>rg:{'id':'rg:None'}</v>
      </c>
      <c r="F130" s="9" t="s">
        <v>7055</v>
      </c>
      <c r="G130" s="9" t="str">
        <f ca="1">INDEX(DistrictEquipmentTypes.csv!F:F,RANDBETWEEN(2,COUNTA(DistrictEquipmentTypes.csv!D:D)),1)</f>
        <v>200009</v>
      </c>
      <c r="H130" s="8" t="str">
        <f t="shared" ca="1" si="9"/>
        <v>rg:{ 'id': '200009'}</v>
      </c>
      <c r="I130" s="8">
        <f t="shared" ca="1" si="10"/>
        <v>2</v>
      </c>
      <c r="J130" s="8">
        <f t="shared" ca="1" si="11"/>
        <v>62</v>
      </c>
      <c r="K130" s="8" t="str">
        <f t="shared" ca="1" si="12"/>
        <v>2017-03-30</v>
      </c>
      <c r="L130" s="8" t="str">
        <f t="shared" ca="1" si="13"/>
        <v>2017-04-14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 t="str">
        <f>IFERROR(VLOOKUP(VLOOKUP(VLOOKUP(C131,Project.csv!F:Q,12,FALSE),ServiceAreas.csv!B:I,8,FALSE),LocalAreas.csv!B:I,7,FALSE),200029)</f>
        <v>rg:None</v>
      </c>
      <c r="E131" s="8" t="str">
        <f t="shared" ref="E131:E194" si="15" xml:space="preserve"> "rg:{'id':'" &amp; D131 &amp; "'}"</f>
        <v>rg:{'id':'rg:None'}</v>
      </c>
      <c r="F131" s="9" t="s">
        <v>7055</v>
      </c>
      <c r="G131" s="9" t="str">
        <f ca="1">INDEX(DistrictEquipmentTypes.csv!F:F,RANDBETWEEN(2,COUNTA(DistrictEquipmentTypes.csv!D:D)),1)</f>
        <v>200003</v>
      </c>
      <c r="H131" s="8" t="str">
        <f t="shared" ref="H131:H194" ca="1" si="16">"rg:{ 'id': '"&amp;G131&amp;"'}"</f>
        <v>rg:{ 'id': '200003'}</v>
      </c>
      <c r="I131" s="8">
        <f t="shared" ref="I131:I194" ca="1" si="17">IF(RANDBETWEEN(1,5)&gt;1,1,RANDBETWEEN(2,5))</f>
        <v>3</v>
      </c>
      <c r="J131" s="8">
        <f t="shared" ref="J131:J194" ca="1" si="18">RANDBETWEEN(4,100)</f>
        <v>36</v>
      </c>
      <c r="K131" s="8" t="str">
        <f t="shared" ref="K131:K194" ca="1" si="19">TEXT(TODAY()+RANDBETWEEN(1,56),"YYYY-MM-DD")</f>
        <v>2017-05-08</v>
      </c>
      <c r="L131" s="8" t="str">
        <f t="shared" ref="L131:L194" ca="1" si="20">TEXT(K131+(I131*J131)/8,"YYYY-MM-DD")</f>
        <v>2017-05-21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 t="str">
        <f>IFERROR(VLOOKUP(VLOOKUP(VLOOKUP(C132,Project.csv!F:Q,12,FALSE),ServiceAreas.csv!B:I,8,FALSE),LocalAreas.csv!B:I,7,FALSE),200029)</f>
        <v>rg:None</v>
      </c>
      <c r="E132" s="8" t="str">
        <f t="shared" si="15"/>
        <v>rg:{'id':'rg:None'}</v>
      </c>
      <c r="F132" s="9" t="s">
        <v>7055</v>
      </c>
      <c r="G132" s="9" t="str">
        <f ca="1">INDEX(DistrictEquipmentTypes.csv!F:F,RANDBETWEEN(2,COUNTA(DistrictEquipmentTypes.csv!D:D)),1)</f>
        <v>200000</v>
      </c>
      <c r="H132" s="8" t="str">
        <f t="shared" ca="1" si="16"/>
        <v>rg:{ 'id': '200000'}</v>
      </c>
      <c r="I132" s="8">
        <f t="shared" ca="1" si="17"/>
        <v>2</v>
      </c>
      <c r="J132" s="8">
        <f t="shared" ca="1" si="18"/>
        <v>74</v>
      </c>
      <c r="K132" s="8" t="str">
        <f t="shared" ca="1" si="19"/>
        <v>2017-05-16</v>
      </c>
      <c r="L132" s="8" t="str">
        <f t="shared" ca="1" si="20"/>
        <v>2017-06-03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 t="str">
        <f>IFERROR(VLOOKUP(VLOOKUP(VLOOKUP(C133,Project.csv!F:Q,12,FALSE),ServiceAreas.csv!B:I,8,FALSE),LocalAreas.csv!B:I,7,FALSE),200029)</f>
        <v>rg:None</v>
      </c>
      <c r="E133" s="8" t="str">
        <f t="shared" si="15"/>
        <v>rg:{'id':'rg:None'}</v>
      </c>
      <c r="F133" s="9" t="s">
        <v>7055</v>
      </c>
      <c r="G133" s="9" t="str">
        <f ca="1">INDEX(DistrictEquipmentTypes.csv!F:F,RANDBETWEEN(2,COUNTA(DistrictEquipmentTypes.csv!D:D)),1)</f>
        <v>200006</v>
      </c>
      <c r="H133" s="8" t="str">
        <f t="shared" ca="1" si="16"/>
        <v>rg:{ 'id': '200006'}</v>
      </c>
      <c r="I133" s="8">
        <f t="shared" ca="1" si="17"/>
        <v>1</v>
      </c>
      <c r="J133" s="8">
        <f t="shared" ca="1" si="18"/>
        <v>9</v>
      </c>
      <c r="K133" s="8" t="str">
        <f t="shared" ca="1" si="19"/>
        <v>2017-04-13</v>
      </c>
      <c r="L133" s="8" t="str">
        <f t="shared" ca="1" si="20"/>
        <v>2017-04-14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 t="str">
        <f>IFERROR(VLOOKUP(VLOOKUP(VLOOKUP(C134,Project.csv!F:Q,12,FALSE),ServiceAreas.csv!B:I,8,FALSE),LocalAreas.csv!B:I,7,FALSE),200029)</f>
        <v>rg:None</v>
      </c>
      <c r="E134" s="8" t="str">
        <f t="shared" si="15"/>
        <v>rg:{'id':'rg:None'}</v>
      </c>
      <c r="F134" s="9" t="s">
        <v>7055</v>
      </c>
      <c r="G134" s="9" t="str">
        <f ca="1">INDEX(DistrictEquipmentTypes.csv!F:F,RANDBETWEEN(2,COUNTA(DistrictEquipmentTypes.csv!D:D)),1)</f>
        <v>200005</v>
      </c>
      <c r="H134" s="8" t="str">
        <f t="shared" ca="1" si="16"/>
        <v>rg:{ 'id': '200005'}</v>
      </c>
      <c r="I134" s="8">
        <f t="shared" ca="1" si="17"/>
        <v>1</v>
      </c>
      <c r="J134" s="8">
        <f t="shared" ca="1" si="18"/>
        <v>9</v>
      </c>
      <c r="K134" s="8" t="str">
        <f t="shared" ca="1" si="19"/>
        <v>2017-05-11</v>
      </c>
      <c r="L134" s="8" t="str">
        <f t="shared" ca="1" si="20"/>
        <v>2017-05-12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 t="str">
        <f>IFERROR(VLOOKUP(VLOOKUP(VLOOKUP(C135,Project.csv!F:Q,12,FALSE),ServiceAreas.csv!B:I,8,FALSE),LocalAreas.csv!B:I,7,FALSE),200029)</f>
        <v>rg:None</v>
      </c>
      <c r="E135" s="8" t="str">
        <f t="shared" si="15"/>
        <v>rg:{'id':'rg:None'}</v>
      </c>
      <c r="F135" s="9" t="s">
        <v>7055</v>
      </c>
      <c r="G135" s="9" t="str">
        <f ca="1">INDEX(DistrictEquipmentTypes.csv!F:F,RANDBETWEEN(2,COUNTA(DistrictEquipmentTypes.csv!D:D)),1)</f>
        <v>200007</v>
      </c>
      <c r="H135" s="8" t="str">
        <f t="shared" ca="1" si="16"/>
        <v>rg:{ 'id': '200007'}</v>
      </c>
      <c r="I135" s="8">
        <f t="shared" ca="1" si="17"/>
        <v>1</v>
      </c>
      <c r="J135" s="8">
        <f t="shared" ca="1" si="18"/>
        <v>62</v>
      </c>
      <c r="K135" s="8" t="str">
        <f t="shared" ca="1" si="19"/>
        <v>2017-04-05</v>
      </c>
      <c r="L135" s="8" t="str">
        <f t="shared" ca="1" si="20"/>
        <v>2017-04-12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 t="str">
        <f>IFERROR(VLOOKUP(VLOOKUP(VLOOKUP(C136,Project.csv!F:Q,12,FALSE),ServiceAreas.csv!B:I,8,FALSE),LocalAreas.csv!B:I,7,FALSE),200029)</f>
        <v>rg:None</v>
      </c>
      <c r="E136" s="8" t="str">
        <f t="shared" si="15"/>
        <v>rg:{'id':'rg:None'}</v>
      </c>
      <c r="F136" s="9" t="s">
        <v>7055</v>
      </c>
      <c r="G136" s="9" t="str">
        <f ca="1">INDEX(DistrictEquipmentTypes.csv!F:F,RANDBETWEEN(2,COUNTA(DistrictEquipmentTypes.csv!D:D)),1)</f>
        <v>200009</v>
      </c>
      <c r="H136" s="8" t="str">
        <f t="shared" ca="1" si="16"/>
        <v>rg:{ 'id': '200009'}</v>
      </c>
      <c r="I136" s="8">
        <f t="shared" ca="1" si="17"/>
        <v>1</v>
      </c>
      <c r="J136" s="8">
        <f t="shared" ca="1" si="18"/>
        <v>55</v>
      </c>
      <c r="K136" s="8" t="str">
        <f t="shared" ca="1" si="19"/>
        <v>2017-04-27</v>
      </c>
      <c r="L136" s="8" t="str">
        <f t="shared" ca="1" si="20"/>
        <v>2017-05-03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 t="str">
        <f>IFERROR(VLOOKUP(VLOOKUP(VLOOKUP(C137,Project.csv!F:Q,12,FALSE),ServiceAreas.csv!B:I,8,FALSE),LocalAreas.csv!B:I,7,FALSE),200029)</f>
        <v>rg:None</v>
      </c>
      <c r="E137" s="8" t="str">
        <f t="shared" si="15"/>
        <v>rg:{'id':'rg:None'}</v>
      </c>
      <c r="F137" s="9" t="s">
        <v>7055</v>
      </c>
      <c r="G137" s="9" t="str">
        <f ca="1">INDEX(DistrictEquipmentTypes.csv!F:F,RANDBETWEEN(2,COUNTA(DistrictEquipmentTypes.csv!D:D)),1)</f>
        <v>200005</v>
      </c>
      <c r="H137" s="8" t="str">
        <f t="shared" ca="1" si="16"/>
        <v>rg:{ 'id': '200005'}</v>
      </c>
      <c r="I137" s="8">
        <f t="shared" ca="1" si="17"/>
        <v>1</v>
      </c>
      <c r="J137" s="8">
        <f t="shared" ca="1" si="18"/>
        <v>59</v>
      </c>
      <c r="K137" s="8" t="str">
        <f t="shared" ca="1" si="19"/>
        <v>2017-04-16</v>
      </c>
      <c r="L137" s="8" t="str">
        <f t="shared" ca="1" si="20"/>
        <v>2017-04-23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 t="str">
        <f>IFERROR(VLOOKUP(VLOOKUP(VLOOKUP(C138,Project.csv!F:Q,12,FALSE),ServiceAreas.csv!B:I,8,FALSE),LocalAreas.csv!B:I,7,FALSE),200029)</f>
        <v>rg:None</v>
      </c>
      <c r="E138" s="8" t="str">
        <f t="shared" si="15"/>
        <v>rg:{'id':'rg:None'}</v>
      </c>
      <c r="F138" s="9" t="s">
        <v>7055</v>
      </c>
      <c r="G138" s="9" t="str">
        <f ca="1">INDEX(DistrictEquipmentTypes.csv!F:F,RANDBETWEEN(2,COUNTA(DistrictEquipmentTypes.csv!D:D)),1)</f>
        <v>200005</v>
      </c>
      <c r="H138" s="8" t="str">
        <f t="shared" ca="1" si="16"/>
        <v>rg:{ 'id': '200005'}</v>
      </c>
      <c r="I138" s="8">
        <f t="shared" ca="1" si="17"/>
        <v>1</v>
      </c>
      <c r="J138" s="8">
        <f t="shared" ca="1" si="18"/>
        <v>47</v>
      </c>
      <c r="K138" s="8" t="str">
        <f t="shared" ca="1" si="19"/>
        <v>2017-05-13</v>
      </c>
      <c r="L138" s="8" t="str">
        <f t="shared" ca="1" si="20"/>
        <v>2017-05-18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 t="str">
        <f>IFERROR(VLOOKUP(VLOOKUP(VLOOKUP(C139,Project.csv!F:Q,12,FALSE),ServiceAreas.csv!B:I,8,FALSE),LocalAreas.csv!B:I,7,FALSE),200029)</f>
        <v>rg:None</v>
      </c>
      <c r="E139" s="8" t="str">
        <f t="shared" si="15"/>
        <v>rg:{'id':'rg:None'}</v>
      </c>
      <c r="F139" s="9" t="s">
        <v>7055</v>
      </c>
      <c r="G139" s="9" t="str">
        <f ca="1">INDEX(DistrictEquipmentTypes.csv!F:F,RANDBETWEEN(2,COUNTA(DistrictEquipmentTypes.csv!D:D)),1)</f>
        <v>200003</v>
      </c>
      <c r="H139" s="8" t="str">
        <f t="shared" ca="1" si="16"/>
        <v>rg:{ 'id': '200003'}</v>
      </c>
      <c r="I139" s="8">
        <f t="shared" ca="1" si="17"/>
        <v>5</v>
      </c>
      <c r="J139" s="8">
        <f t="shared" ca="1" si="18"/>
        <v>86</v>
      </c>
      <c r="K139" s="8" t="str">
        <f t="shared" ca="1" si="19"/>
        <v>2017-04-15</v>
      </c>
      <c r="L139" s="8" t="str">
        <f t="shared" ca="1" si="20"/>
        <v>2017-06-07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 t="str">
        <f>IFERROR(VLOOKUP(VLOOKUP(VLOOKUP(C140,Project.csv!F:Q,12,FALSE),ServiceAreas.csv!B:I,8,FALSE),LocalAreas.csv!B:I,7,FALSE),200029)</f>
        <v>rg:None</v>
      </c>
      <c r="E140" s="8" t="str">
        <f t="shared" si="15"/>
        <v>rg:{'id':'rg:None'}</v>
      </c>
      <c r="F140" s="9" t="s">
        <v>7055</v>
      </c>
      <c r="G140" s="9" t="str">
        <f ca="1">INDEX(DistrictEquipmentTypes.csv!F:F,RANDBETWEEN(2,COUNTA(DistrictEquipmentTypes.csv!D:D)),1)</f>
        <v>200009</v>
      </c>
      <c r="H140" s="8" t="str">
        <f t="shared" ca="1" si="16"/>
        <v>rg:{ 'id': '200009'}</v>
      </c>
      <c r="I140" s="8">
        <f t="shared" ca="1" si="17"/>
        <v>1</v>
      </c>
      <c r="J140" s="8">
        <f t="shared" ca="1" si="18"/>
        <v>96</v>
      </c>
      <c r="K140" s="8" t="str">
        <f t="shared" ca="1" si="19"/>
        <v>2017-04-15</v>
      </c>
      <c r="L140" s="8" t="str">
        <f t="shared" ca="1" si="20"/>
        <v>2017-04-27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 t="str">
        <f>IFERROR(VLOOKUP(VLOOKUP(VLOOKUP(C141,Project.csv!F:Q,12,FALSE),ServiceAreas.csv!B:I,8,FALSE),LocalAreas.csv!B:I,7,FALSE),200029)</f>
        <v>rg:None</v>
      </c>
      <c r="E141" s="8" t="str">
        <f t="shared" si="15"/>
        <v>rg:{'id':'rg:None'}</v>
      </c>
      <c r="F141" s="9" t="s">
        <v>7055</v>
      </c>
      <c r="G141" s="9" t="str">
        <f ca="1">INDEX(DistrictEquipmentTypes.csv!F:F,RANDBETWEEN(2,COUNTA(DistrictEquipmentTypes.csv!D:D)),1)</f>
        <v>200002</v>
      </c>
      <c r="H141" s="8" t="str">
        <f t="shared" ca="1" si="16"/>
        <v>rg:{ 'id': '200002'}</v>
      </c>
      <c r="I141" s="8">
        <f t="shared" ca="1" si="17"/>
        <v>1</v>
      </c>
      <c r="J141" s="8">
        <f t="shared" ca="1" si="18"/>
        <v>63</v>
      </c>
      <c r="K141" s="8" t="str">
        <f t="shared" ca="1" si="19"/>
        <v>2017-04-11</v>
      </c>
      <c r="L141" s="8" t="str">
        <f t="shared" ca="1" si="20"/>
        <v>2017-04-18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 t="str">
        <f>IFERROR(VLOOKUP(VLOOKUP(VLOOKUP(C142,Project.csv!F:Q,12,FALSE),ServiceAreas.csv!B:I,8,FALSE),LocalAreas.csv!B:I,7,FALSE),200029)</f>
        <v>rg:None</v>
      </c>
      <c r="E142" s="8" t="str">
        <f t="shared" si="15"/>
        <v>rg:{'id':'rg:None'}</v>
      </c>
      <c r="F142" s="9" t="s">
        <v>7055</v>
      </c>
      <c r="G142" s="9" t="str">
        <f ca="1">INDEX(DistrictEquipmentTypes.csv!F:F,RANDBETWEEN(2,COUNTA(DistrictEquipmentTypes.csv!D:D)),1)</f>
        <v>200004</v>
      </c>
      <c r="H142" s="8" t="str">
        <f t="shared" ca="1" si="16"/>
        <v>rg:{ 'id': '200004'}</v>
      </c>
      <c r="I142" s="8">
        <f t="shared" ca="1" si="17"/>
        <v>1</v>
      </c>
      <c r="J142" s="8">
        <f t="shared" ca="1" si="18"/>
        <v>17</v>
      </c>
      <c r="K142" s="8" t="str">
        <f t="shared" ca="1" si="19"/>
        <v>2017-05-10</v>
      </c>
      <c r="L142" s="8" t="str">
        <f t="shared" ca="1" si="20"/>
        <v>2017-05-12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 t="str">
        <f>IFERROR(VLOOKUP(VLOOKUP(VLOOKUP(C143,Project.csv!F:Q,12,FALSE),ServiceAreas.csv!B:I,8,FALSE),LocalAreas.csv!B:I,7,FALSE),200029)</f>
        <v>rg:None</v>
      </c>
      <c r="E143" s="8" t="str">
        <f t="shared" si="15"/>
        <v>rg:{'id':'rg:None'}</v>
      </c>
      <c r="F143" s="9" t="s">
        <v>7055</v>
      </c>
      <c r="G143" s="9" t="str">
        <f ca="1">INDEX(DistrictEquipmentTypes.csv!F:F,RANDBETWEEN(2,COUNTA(DistrictEquipmentTypes.csv!D:D)),1)</f>
        <v>200002</v>
      </c>
      <c r="H143" s="8" t="str">
        <f t="shared" ca="1" si="16"/>
        <v>rg:{ 'id': '200002'}</v>
      </c>
      <c r="I143" s="8">
        <f t="shared" ca="1" si="17"/>
        <v>1</v>
      </c>
      <c r="J143" s="8">
        <f t="shared" ca="1" si="18"/>
        <v>90</v>
      </c>
      <c r="K143" s="8" t="str">
        <f t="shared" ca="1" si="19"/>
        <v>2017-05-20</v>
      </c>
      <c r="L143" s="8" t="str">
        <f t="shared" ca="1" si="20"/>
        <v>2017-05-31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 t="str">
        <f>IFERROR(VLOOKUP(VLOOKUP(VLOOKUP(C144,Project.csv!F:Q,12,FALSE),ServiceAreas.csv!B:I,8,FALSE),LocalAreas.csv!B:I,7,FALSE),200029)</f>
        <v>rg:None</v>
      </c>
      <c r="E144" s="8" t="str">
        <f t="shared" si="15"/>
        <v>rg:{'id':'rg:None'}</v>
      </c>
      <c r="F144" s="9" t="s">
        <v>7056</v>
      </c>
      <c r="G144" s="9" t="str">
        <f ca="1">INDEX(DistrictEquipmentTypes.csv!F:F,RANDBETWEEN(2,COUNTA(DistrictEquipmentTypes.csv!D:D)),1)</f>
        <v>200005</v>
      </c>
      <c r="H144" s="8" t="str">
        <f t="shared" ca="1" si="16"/>
        <v>rg:{ 'id': '200005'}</v>
      </c>
      <c r="I144" s="8">
        <f t="shared" ca="1" si="17"/>
        <v>1</v>
      </c>
      <c r="J144" s="8">
        <f t="shared" ca="1" si="18"/>
        <v>64</v>
      </c>
      <c r="K144" s="8" t="str">
        <f t="shared" ca="1" si="19"/>
        <v>2017-04-03</v>
      </c>
      <c r="L144" s="8" t="str">
        <f t="shared" ca="1" si="20"/>
        <v>2017-04-11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 t="str">
        <f>IFERROR(VLOOKUP(VLOOKUP(VLOOKUP(C145,Project.csv!F:Q,12,FALSE),ServiceAreas.csv!B:I,8,FALSE),LocalAreas.csv!B:I,7,FALSE),200029)</f>
        <v>rg:None</v>
      </c>
      <c r="E145" s="8" t="str">
        <f t="shared" si="15"/>
        <v>rg:{'id':'rg:None'}</v>
      </c>
      <c r="F145" s="9" t="s">
        <v>7056</v>
      </c>
      <c r="G145" s="9" t="str">
        <f ca="1">INDEX(DistrictEquipmentTypes.csv!F:F,RANDBETWEEN(2,COUNTA(DistrictEquipmentTypes.csv!D:D)),1)</f>
        <v>200001</v>
      </c>
      <c r="H145" s="8" t="str">
        <f t="shared" ca="1" si="16"/>
        <v>rg:{ 'id': '200001'}</v>
      </c>
      <c r="I145" s="8">
        <f t="shared" ca="1" si="17"/>
        <v>1</v>
      </c>
      <c r="J145" s="8">
        <f t="shared" ca="1" si="18"/>
        <v>9</v>
      </c>
      <c r="K145" s="8" t="str">
        <f t="shared" ca="1" si="19"/>
        <v>2017-04-30</v>
      </c>
      <c r="L145" s="8" t="str">
        <f t="shared" ca="1" si="20"/>
        <v>2017-05-01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 t="str">
        <f>IFERROR(VLOOKUP(VLOOKUP(VLOOKUP(C146,Project.csv!F:Q,12,FALSE),ServiceAreas.csv!B:I,8,FALSE),LocalAreas.csv!B:I,7,FALSE),200029)</f>
        <v>rg:None</v>
      </c>
      <c r="E146" s="8" t="str">
        <f t="shared" si="15"/>
        <v>rg:{'id':'rg:None'}</v>
      </c>
      <c r="F146" s="9" t="s">
        <v>7056</v>
      </c>
      <c r="G146" s="9" t="str">
        <f ca="1">INDEX(DistrictEquipmentTypes.csv!F:F,RANDBETWEEN(2,COUNTA(DistrictEquipmentTypes.csv!D:D)),1)</f>
        <v>200006</v>
      </c>
      <c r="H146" s="8" t="str">
        <f t="shared" ca="1" si="16"/>
        <v>rg:{ 'id': '200006'}</v>
      </c>
      <c r="I146" s="8">
        <f t="shared" ca="1" si="17"/>
        <v>2</v>
      </c>
      <c r="J146" s="8">
        <f t="shared" ca="1" si="18"/>
        <v>43</v>
      </c>
      <c r="K146" s="8" t="str">
        <f t="shared" ca="1" si="19"/>
        <v>2017-04-20</v>
      </c>
      <c r="L146" s="8" t="str">
        <f t="shared" ca="1" si="20"/>
        <v>2017-04-30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 t="str">
        <f>IFERROR(VLOOKUP(VLOOKUP(VLOOKUP(C147,Project.csv!F:Q,12,FALSE),ServiceAreas.csv!B:I,8,FALSE),LocalAreas.csv!B:I,7,FALSE),200029)</f>
        <v>rg:None</v>
      </c>
      <c r="E147" s="8" t="str">
        <f t="shared" si="15"/>
        <v>rg:{'id':'rg:None'}</v>
      </c>
      <c r="F147" s="9" t="s">
        <v>7056</v>
      </c>
      <c r="G147" s="9" t="str">
        <f ca="1">INDEX(DistrictEquipmentTypes.csv!F:F,RANDBETWEEN(2,COUNTA(DistrictEquipmentTypes.csv!D:D)),1)</f>
        <v>200009</v>
      </c>
      <c r="H147" s="8" t="str">
        <f t="shared" ca="1" si="16"/>
        <v>rg:{ 'id': '200009'}</v>
      </c>
      <c r="I147" s="8">
        <f t="shared" ca="1" si="17"/>
        <v>1</v>
      </c>
      <c r="J147" s="8">
        <f t="shared" ca="1" si="18"/>
        <v>14</v>
      </c>
      <c r="K147" s="8" t="str">
        <f t="shared" ca="1" si="19"/>
        <v>2017-05-02</v>
      </c>
      <c r="L147" s="8" t="str">
        <f t="shared" ca="1" si="20"/>
        <v>2017-05-03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 t="str">
        <f>IFERROR(VLOOKUP(VLOOKUP(VLOOKUP(C148,Project.csv!F:Q,12,FALSE),ServiceAreas.csv!B:I,8,FALSE),LocalAreas.csv!B:I,7,FALSE),200029)</f>
        <v>rg:None</v>
      </c>
      <c r="E148" s="8" t="str">
        <f t="shared" si="15"/>
        <v>rg:{'id':'rg:None'}</v>
      </c>
      <c r="F148" s="9" t="s">
        <v>7055</v>
      </c>
      <c r="G148" s="9" t="str">
        <f ca="1">INDEX(DistrictEquipmentTypes.csv!F:F,RANDBETWEEN(2,COUNTA(DistrictEquipmentTypes.csv!D:D)),1)</f>
        <v>200006</v>
      </c>
      <c r="H148" s="8" t="str">
        <f t="shared" ca="1" si="16"/>
        <v>rg:{ 'id': '200006'}</v>
      </c>
      <c r="I148" s="8">
        <f t="shared" ca="1" si="17"/>
        <v>5</v>
      </c>
      <c r="J148" s="8">
        <f t="shared" ca="1" si="18"/>
        <v>64</v>
      </c>
      <c r="K148" s="8" t="str">
        <f t="shared" ca="1" si="19"/>
        <v>2017-04-08</v>
      </c>
      <c r="L148" s="8" t="str">
        <f t="shared" ca="1" si="20"/>
        <v>2017-05-18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 t="str">
        <f>IFERROR(VLOOKUP(VLOOKUP(VLOOKUP(C149,Project.csv!F:Q,12,FALSE),ServiceAreas.csv!B:I,8,FALSE),LocalAreas.csv!B:I,7,FALSE),200029)</f>
        <v>rg:None</v>
      </c>
      <c r="E149" s="8" t="str">
        <f t="shared" si="15"/>
        <v>rg:{'id':'rg:None'}</v>
      </c>
      <c r="F149" s="9" t="s">
        <v>7056</v>
      </c>
      <c r="G149" s="9" t="str">
        <f ca="1">INDEX(DistrictEquipmentTypes.csv!F:F,RANDBETWEEN(2,COUNTA(DistrictEquipmentTypes.csv!D:D)),1)</f>
        <v>200001</v>
      </c>
      <c r="H149" s="8" t="str">
        <f t="shared" ca="1" si="16"/>
        <v>rg:{ 'id': '200001'}</v>
      </c>
      <c r="I149" s="8">
        <f t="shared" ca="1" si="17"/>
        <v>1</v>
      </c>
      <c r="J149" s="8">
        <f t="shared" ca="1" si="18"/>
        <v>30</v>
      </c>
      <c r="K149" s="8" t="str">
        <f t="shared" ca="1" si="19"/>
        <v>2017-05-20</v>
      </c>
      <c r="L149" s="8" t="str">
        <f t="shared" ca="1" si="20"/>
        <v>2017-05-23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 t="str">
        <f>IFERROR(VLOOKUP(VLOOKUP(VLOOKUP(C150,Project.csv!F:Q,12,FALSE),ServiceAreas.csv!B:I,8,FALSE),LocalAreas.csv!B:I,7,FALSE),200029)</f>
        <v>rg:None</v>
      </c>
      <c r="E150" s="8" t="str">
        <f t="shared" si="15"/>
        <v>rg:{'id':'rg:None'}</v>
      </c>
      <c r="F150" s="9" t="s">
        <v>7056</v>
      </c>
      <c r="G150" s="9" t="str">
        <f ca="1">INDEX(DistrictEquipmentTypes.csv!F:F,RANDBETWEEN(2,COUNTA(DistrictEquipmentTypes.csv!D:D)),1)</f>
        <v>200005</v>
      </c>
      <c r="H150" s="8" t="str">
        <f t="shared" ca="1" si="16"/>
        <v>rg:{ 'id': '200005'}</v>
      </c>
      <c r="I150" s="8">
        <f t="shared" ca="1" si="17"/>
        <v>1</v>
      </c>
      <c r="J150" s="8">
        <f t="shared" ca="1" si="18"/>
        <v>87</v>
      </c>
      <c r="K150" s="8" t="str">
        <f t="shared" ca="1" si="19"/>
        <v>2017-05-11</v>
      </c>
      <c r="L150" s="8" t="str">
        <f t="shared" ca="1" si="20"/>
        <v>2017-05-21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 t="str">
        <f>IFERROR(VLOOKUP(VLOOKUP(VLOOKUP(C151,Project.csv!F:Q,12,FALSE),ServiceAreas.csv!B:I,8,FALSE),LocalAreas.csv!B:I,7,FALSE),200029)</f>
        <v>rg:None</v>
      </c>
      <c r="E151" s="8" t="str">
        <f t="shared" si="15"/>
        <v>rg:{'id':'rg:None'}</v>
      </c>
      <c r="F151" s="9" t="s">
        <v>7055</v>
      </c>
      <c r="G151" s="9" t="str">
        <f ca="1">INDEX(DistrictEquipmentTypes.csv!F:F,RANDBETWEEN(2,COUNTA(DistrictEquipmentTypes.csv!D:D)),1)</f>
        <v>200009</v>
      </c>
      <c r="H151" s="8" t="str">
        <f t="shared" ca="1" si="16"/>
        <v>rg:{ 'id': '200009'}</v>
      </c>
      <c r="I151" s="8">
        <f t="shared" ca="1" si="17"/>
        <v>1</v>
      </c>
      <c r="J151" s="8">
        <f t="shared" ca="1" si="18"/>
        <v>28</v>
      </c>
      <c r="K151" s="8" t="str">
        <f t="shared" ca="1" si="19"/>
        <v>2017-04-16</v>
      </c>
      <c r="L151" s="8" t="str">
        <f t="shared" ca="1" si="20"/>
        <v>2017-04-19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 t="str">
        <f>IFERROR(VLOOKUP(VLOOKUP(VLOOKUP(C152,Project.csv!F:Q,12,FALSE),ServiceAreas.csv!B:I,8,FALSE),LocalAreas.csv!B:I,7,FALSE),200029)</f>
        <v>rg:None</v>
      </c>
      <c r="E152" s="8" t="str">
        <f t="shared" si="15"/>
        <v>rg:{'id':'rg:None'}</v>
      </c>
      <c r="F152" s="9" t="s">
        <v>7055</v>
      </c>
      <c r="G152" s="9" t="str">
        <f ca="1">INDEX(DistrictEquipmentTypes.csv!F:F,RANDBETWEEN(2,COUNTA(DistrictEquipmentTypes.csv!D:D)),1)</f>
        <v>200002</v>
      </c>
      <c r="H152" s="8" t="str">
        <f t="shared" ca="1" si="16"/>
        <v>rg:{ 'id': '200002'}</v>
      </c>
      <c r="I152" s="8">
        <f t="shared" ca="1" si="17"/>
        <v>1</v>
      </c>
      <c r="J152" s="8">
        <f t="shared" ca="1" si="18"/>
        <v>44</v>
      </c>
      <c r="K152" s="8" t="str">
        <f t="shared" ca="1" si="19"/>
        <v>2017-04-17</v>
      </c>
      <c r="L152" s="8" t="str">
        <f t="shared" ca="1" si="20"/>
        <v>2017-04-22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 t="str">
        <f>IFERROR(VLOOKUP(VLOOKUP(VLOOKUP(C153,Project.csv!F:Q,12,FALSE),ServiceAreas.csv!B:I,8,FALSE),LocalAreas.csv!B:I,7,FALSE),200029)</f>
        <v>rg:None</v>
      </c>
      <c r="E153" s="8" t="str">
        <f t="shared" si="15"/>
        <v>rg:{'id':'rg:None'}</v>
      </c>
      <c r="F153" s="9" t="s">
        <v>7055</v>
      </c>
      <c r="G153" s="9" t="str">
        <f ca="1">INDEX(DistrictEquipmentTypes.csv!F:F,RANDBETWEEN(2,COUNTA(DistrictEquipmentTypes.csv!D:D)),1)</f>
        <v>200009</v>
      </c>
      <c r="H153" s="8" t="str">
        <f t="shared" ca="1" si="16"/>
        <v>rg:{ 'id': '200009'}</v>
      </c>
      <c r="I153" s="8">
        <f t="shared" ca="1" si="17"/>
        <v>1</v>
      </c>
      <c r="J153" s="8">
        <f t="shared" ca="1" si="18"/>
        <v>24</v>
      </c>
      <c r="K153" s="8" t="str">
        <f t="shared" ca="1" si="19"/>
        <v>2017-05-17</v>
      </c>
      <c r="L153" s="8" t="str">
        <f t="shared" ca="1" si="20"/>
        <v>2017-05-20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 t="str">
        <f>IFERROR(VLOOKUP(VLOOKUP(VLOOKUP(C154,Project.csv!F:Q,12,FALSE),ServiceAreas.csv!B:I,8,FALSE),LocalAreas.csv!B:I,7,FALSE),200029)</f>
        <v>rg:None</v>
      </c>
      <c r="E154" s="8" t="str">
        <f t="shared" si="15"/>
        <v>rg:{'id':'rg:None'}</v>
      </c>
      <c r="F154" s="9" t="s">
        <v>7055</v>
      </c>
      <c r="G154" s="9" t="str">
        <f ca="1">INDEX(DistrictEquipmentTypes.csv!F:F,RANDBETWEEN(2,COUNTA(DistrictEquipmentTypes.csv!D:D)),1)</f>
        <v>200000</v>
      </c>
      <c r="H154" s="8" t="str">
        <f t="shared" ca="1" si="16"/>
        <v>rg:{ 'id': '200000'}</v>
      </c>
      <c r="I154" s="8">
        <f t="shared" ca="1" si="17"/>
        <v>1</v>
      </c>
      <c r="J154" s="8">
        <f t="shared" ca="1" si="18"/>
        <v>20</v>
      </c>
      <c r="K154" s="8" t="str">
        <f t="shared" ca="1" si="19"/>
        <v>2017-04-27</v>
      </c>
      <c r="L154" s="8" t="str">
        <f t="shared" ca="1" si="20"/>
        <v>2017-04-29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 t="str">
        <f>IFERROR(VLOOKUP(VLOOKUP(VLOOKUP(C155,Project.csv!F:Q,12,FALSE),ServiceAreas.csv!B:I,8,FALSE),LocalAreas.csv!B:I,7,FALSE),200029)</f>
        <v>rg:None</v>
      </c>
      <c r="E155" s="8" t="str">
        <f t="shared" si="15"/>
        <v>rg:{'id':'rg:None'}</v>
      </c>
      <c r="F155" s="9" t="s">
        <v>7055</v>
      </c>
      <c r="G155" s="9" t="str">
        <f ca="1">INDEX(DistrictEquipmentTypes.csv!F:F,RANDBETWEEN(2,COUNTA(DistrictEquipmentTypes.csv!D:D)),1)</f>
        <v>200000</v>
      </c>
      <c r="H155" s="8" t="str">
        <f t="shared" ca="1" si="16"/>
        <v>rg:{ 'id': '200000'}</v>
      </c>
      <c r="I155" s="8">
        <f t="shared" ca="1" si="17"/>
        <v>1</v>
      </c>
      <c r="J155" s="8">
        <f t="shared" ca="1" si="18"/>
        <v>23</v>
      </c>
      <c r="K155" s="8" t="str">
        <f t="shared" ca="1" si="19"/>
        <v>2017-05-15</v>
      </c>
      <c r="L155" s="8" t="str">
        <f t="shared" ca="1" si="20"/>
        <v>2017-05-17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IFERROR(VLOOKUP(VLOOKUP(VLOOKUP(C156,Project.csv!F:Q,12,FALSE),ServiceAreas.csv!B:I,8,FALSE),LocalAreas.csv!B:I,7,FALSE),200029)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200002</v>
      </c>
      <c r="H156" s="8" t="str">
        <f t="shared" ca="1" si="16"/>
        <v>rg:{ 'id': '200002'}</v>
      </c>
      <c r="I156" s="8">
        <f t="shared" ca="1" si="17"/>
        <v>2</v>
      </c>
      <c r="J156" s="8">
        <f t="shared" ca="1" si="18"/>
        <v>80</v>
      </c>
      <c r="K156" s="8" t="str">
        <f t="shared" ca="1" si="19"/>
        <v>2017-03-30</v>
      </c>
      <c r="L156" s="8" t="str">
        <f t="shared" ca="1" si="20"/>
        <v>2017-04-19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IFERROR(VLOOKUP(VLOOKUP(VLOOKUP(C157,Project.csv!F:Q,12,FALSE),ServiceAreas.csv!B:I,8,FALSE),LocalAreas.csv!B:I,7,FALSE),200029)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200005</v>
      </c>
      <c r="H157" s="8" t="str">
        <f t="shared" ca="1" si="16"/>
        <v>rg:{ 'id': '200005'}</v>
      </c>
      <c r="I157" s="8">
        <f t="shared" ca="1" si="17"/>
        <v>1</v>
      </c>
      <c r="J157" s="8">
        <f t="shared" ca="1" si="18"/>
        <v>15</v>
      </c>
      <c r="K157" s="8" t="str">
        <f t="shared" ca="1" si="19"/>
        <v>2017-05-03</v>
      </c>
      <c r="L157" s="8" t="str">
        <f t="shared" ca="1" si="20"/>
        <v>2017-05-04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IFERROR(VLOOKUP(VLOOKUP(VLOOKUP(C158,Project.csv!F:Q,12,FALSE),ServiceAreas.csv!B:I,8,FALSE),LocalAreas.csv!B:I,7,FALSE),200029)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200001</v>
      </c>
      <c r="H158" s="8" t="str">
        <f t="shared" ca="1" si="16"/>
        <v>rg:{ 'id': '200001'}</v>
      </c>
      <c r="I158" s="8">
        <f t="shared" ca="1" si="17"/>
        <v>2</v>
      </c>
      <c r="J158" s="8">
        <f t="shared" ca="1" si="18"/>
        <v>29</v>
      </c>
      <c r="K158" s="8" t="str">
        <f t="shared" ca="1" si="19"/>
        <v>2017-04-13</v>
      </c>
      <c r="L158" s="8" t="str">
        <f t="shared" ca="1" si="20"/>
        <v>2017-04-20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IFERROR(VLOOKUP(VLOOKUP(VLOOKUP(C159,Project.csv!F:Q,12,FALSE),ServiceAreas.csv!B:I,8,FALSE),LocalAreas.csv!B:I,7,FALSE),200029)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200004</v>
      </c>
      <c r="H159" s="8" t="str">
        <f t="shared" ca="1" si="16"/>
        <v>rg:{ 'id': '200004'}</v>
      </c>
      <c r="I159" s="8">
        <f t="shared" ca="1" si="17"/>
        <v>1</v>
      </c>
      <c r="J159" s="8">
        <f t="shared" ca="1" si="18"/>
        <v>38</v>
      </c>
      <c r="K159" s="8" t="str">
        <f t="shared" ca="1" si="19"/>
        <v>2017-05-21</v>
      </c>
      <c r="L159" s="8" t="str">
        <f t="shared" ca="1" si="20"/>
        <v>2017-05-25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IFERROR(VLOOKUP(VLOOKUP(VLOOKUP(C160,Project.csv!F:Q,12,FALSE),ServiceAreas.csv!B:I,8,FALSE),LocalAreas.csv!B:I,7,FALSE),200029)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200004</v>
      </c>
      <c r="H160" s="8" t="str">
        <f t="shared" ca="1" si="16"/>
        <v>rg:{ 'id': '200004'}</v>
      </c>
      <c r="I160" s="8">
        <f t="shared" ca="1" si="17"/>
        <v>5</v>
      </c>
      <c r="J160" s="8">
        <f t="shared" ca="1" si="18"/>
        <v>13</v>
      </c>
      <c r="K160" s="8" t="str">
        <f t="shared" ca="1" si="19"/>
        <v>2017-05-20</v>
      </c>
      <c r="L160" s="8" t="str">
        <f t="shared" ca="1" si="20"/>
        <v>2017-05-28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IFERROR(VLOOKUP(VLOOKUP(VLOOKUP(C161,Project.csv!F:Q,12,FALSE),ServiceAreas.csv!B:I,8,FALSE),LocalAreas.csv!B:I,7,FALSE),200029)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200005</v>
      </c>
      <c r="H161" s="8" t="str">
        <f t="shared" ca="1" si="16"/>
        <v>rg:{ 'id': '200005'}</v>
      </c>
      <c r="I161" s="8">
        <f t="shared" ca="1" si="17"/>
        <v>1</v>
      </c>
      <c r="J161" s="8">
        <f t="shared" ca="1" si="18"/>
        <v>12</v>
      </c>
      <c r="K161" s="8" t="str">
        <f t="shared" ca="1" si="19"/>
        <v>2017-05-08</v>
      </c>
      <c r="L161" s="8" t="str">
        <f t="shared" ca="1" si="20"/>
        <v>2017-05-09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IFERROR(VLOOKUP(VLOOKUP(VLOOKUP(C162,Project.csv!F:Q,12,FALSE),ServiceAreas.csv!B:I,8,FALSE),LocalAreas.csv!B:I,7,FALSE),200029)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200002</v>
      </c>
      <c r="H162" s="8" t="str">
        <f t="shared" ca="1" si="16"/>
        <v>rg:{ 'id': '200002'}</v>
      </c>
      <c r="I162" s="8">
        <f t="shared" ca="1" si="17"/>
        <v>1</v>
      </c>
      <c r="J162" s="8">
        <f t="shared" ca="1" si="18"/>
        <v>41</v>
      </c>
      <c r="K162" s="8" t="str">
        <f t="shared" ca="1" si="19"/>
        <v>2017-04-29</v>
      </c>
      <c r="L162" s="8" t="str">
        <f t="shared" ca="1" si="20"/>
        <v>2017-05-04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IFERROR(VLOOKUP(VLOOKUP(VLOOKUP(C163,Project.csv!F:Q,12,FALSE),ServiceAreas.csv!B:I,8,FALSE),LocalAreas.csv!B:I,7,FALSE),200029)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200002</v>
      </c>
      <c r="H163" s="8" t="str">
        <f t="shared" ca="1" si="16"/>
        <v>rg:{ 'id': '200002'}</v>
      </c>
      <c r="I163" s="8">
        <f t="shared" ca="1" si="17"/>
        <v>1</v>
      </c>
      <c r="J163" s="8">
        <f t="shared" ca="1" si="18"/>
        <v>83</v>
      </c>
      <c r="K163" s="8" t="str">
        <f t="shared" ca="1" si="19"/>
        <v>2017-04-16</v>
      </c>
      <c r="L163" s="8" t="str">
        <f t="shared" ca="1" si="20"/>
        <v>2017-04-26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 t="str">
        <f>IFERROR(VLOOKUP(VLOOKUP(VLOOKUP(C164,Project.csv!F:Q,12,FALSE),ServiceAreas.csv!B:I,8,FALSE),LocalAreas.csv!B:I,7,FALSE),200029)</f>
        <v>rg:None</v>
      </c>
      <c r="E164" s="8" t="str">
        <f t="shared" si="15"/>
        <v>rg:{'id':'rg:None'}</v>
      </c>
      <c r="F164" s="9" t="s">
        <v>7055</v>
      </c>
      <c r="G164" s="9" t="str">
        <f ca="1">INDEX(DistrictEquipmentTypes.csv!F:F,RANDBETWEEN(2,COUNTA(DistrictEquipmentTypes.csv!D:D)),1)</f>
        <v>200009</v>
      </c>
      <c r="H164" s="8" t="str">
        <f t="shared" ca="1" si="16"/>
        <v>rg:{ 'id': '200009'}</v>
      </c>
      <c r="I164" s="8">
        <f t="shared" ca="1" si="17"/>
        <v>1</v>
      </c>
      <c r="J164" s="8">
        <f t="shared" ca="1" si="18"/>
        <v>70</v>
      </c>
      <c r="K164" s="8" t="str">
        <f t="shared" ca="1" si="19"/>
        <v>2017-05-13</v>
      </c>
      <c r="L164" s="8" t="str">
        <f t="shared" ca="1" si="20"/>
        <v>2017-05-21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 t="str">
        <f>IFERROR(VLOOKUP(VLOOKUP(VLOOKUP(C165,Project.csv!F:Q,12,FALSE),ServiceAreas.csv!B:I,8,FALSE),LocalAreas.csv!B:I,7,FALSE),200029)</f>
        <v>rg:None</v>
      </c>
      <c r="E165" s="8" t="str">
        <f t="shared" si="15"/>
        <v>rg:{'id':'rg:None'}</v>
      </c>
      <c r="F165" s="9" t="s">
        <v>7055</v>
      </c>
      <c r="G165" s="9" t="str">
        <f ca="1">INDEX(DistrictEquipmentTypes.csv!F:F,RANDBETWEEN(2,COUNTA(DistrictEquipmentTypes.csv!D:D)),1)</f>
        <v>200009</v>
      </c>
      <c r="H165" s="8" t="str">
        <f t="shared" ca="1" si="16"/>
        <v>rg:{ 'id': '200009'}</v>
      </c>
      <c r="I165" s="8">
        <f t="shared" ca="1" si="17"/>
        <v>1</v>
      </c>
      <c r="J165" s="8">
        <f t="shared" ca="1" si="18"/>
        <v>40</v>
      </c>
      <c r="K165" s="8" t="str">
        <f t="shared" ca="1" si="19"/>
        <v>2017-03-30</v>
      </c>
      <c r="L165" s="8" t="str">
        <f t="shared" ca="1" si="20"/>
        <v>2017-04-04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 t="str">
        <f>IFERROR(VLOOKUP(VLOOKUP(VLOOKUP(C166,Project.csv!F:Q,12,FALSE),ServiceAreas.csv!B:I,8,FALSE),LocalAreas.csv!B:I,7,FALSE),200029)</f>
        <v>rg:None</v>
      </c>
      <c r="E166" s="8" t="str">
        <f t="shared" si="15"/>
        <v>rg:{'id':'rg:None'}</v>
      </c>
      <c r="F166" s="9" t="s">
        <v>7056</v>
      </c>
      <c r="G166" s="9" t="str">
        <f ca="1">INDEX(DistrictEquipmentTypes.csv!F:F,RANDBETWEEN(2,COUNTA(DistrictEquipmentTypes.csv!D:D)),1)</f>
        <v>200001</v>
      </c>
      <c r="H166" s="8" t="str">
        <f t="shared" ca="1" si="16"/>
        <v>rg:{ 'id': '200001'}</v>
      </c>
      <c r="I166" s="8">
        <f t="shared" ca="1" si="17"/>
        <v>4</v>
      </c>
      <c r="J166" s="8">
        <f t="shared" ca="1" si="18"/>
        <v>46</v>
      </c>
      <c r="K166" s="8" t="str">
        <f t="shared" ca="1" si="19"/>
        <v>2017-05-03</v>
      </c>
      <c r="L166" s="8" t="str">
        <f t="shared" ca="1" si="20"/>
        <v>2017-05-26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 t="str">
        <f>IFERROR(VLOOKUP(VLOOKUP(VLOOKUP(C167,Project.csv!F:Q,12,FALSE),ServiceAreas.csv!B:I,8,FALSE),LocalAreas.csv!B:I,7,FALSE),200029)</f>
        <v>rg:None</v>
      </c>
      <c r="E167" s="8" t="str">
        <f t="shared" si="15"/>
        <v>rg:{'id':'rg:None'}</v>
      </c>
      <c r="F167" s="9" t="s">
        <v>7055</v>
      </c>
      <c r="G167" s="9" t="str">
        <f ca="1">INDEX(DistrictEquipmentTypes.csv!F:F,RANDBETWEEN(2,COUNTA(DistrictEquipmentTypes.csv!D:D)),1)</f>
        <v>200004</v>
      </c>
      <c r="H167" s="8" t="str">
        <f t="shared" ca="1" si="16"/>
        <v>rg:{ 'id': '200004'}</v>
      </c>
      <c r="I167" s="8">
        <f t="shared" ca="1" si="17"/>
        <v>1</v>
      </c>
      <c r="J167" s="8">
        <f t="shared" ca="1" si="18"/>
        <v>12</v>
      </c>
      <c r="K167" s="8" t="str">
        <f t="shared" ca="1" si="19"/>
        <v>2017-04-01</v>
      </c>
      <c r="L167" s="8" t="str">
        <f t="shared" ca="1" si="20"/>
        <v>2017-04-02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 t="str">
        <f>IFERROR(VLOOKUP(VLOOKUP(VLOOKUP(C168,Project.csv!F:Q,12,FALSE),ServiceAreas.csv!B:I,8,FALSE),LocalAreas.csv!B:I,7,FALSE),200029)</f>
        <v>rg:None</v>
      </c>
      <c r="E168" s="8" t="str">
        <f t="shared" si="15"/>
        <v>rg:{'id':'rg:None'}</v>
      </c>
      <c r="F168" s="9" t="s">
        <v>7055</v>
      </c>
      <c r="G168" s="9" t="str">
        <f ca="1">INDEX(DistrictEquipmentTypes.csv!F:F,RANDBETWEEN(2,COUNTA(DistrictEquipmentTypes.csv!D:D)),1)</f>
        <v>200009</v>
      </c>
      <c r="H168" s="8" t="str">
        <f t="shared" ca="1" si="16"/>
        <v>rg:{ 'id': '200009'}</v>
      </c>
      <c r="I168" s="8">
        <f t="shared" ca="1" si="17"/>
        <v>1</v>
      </c>
      <c r="J168" s="8">
        <f t="shared" ca="1" si="18"/>
        <v>66</v>
      </c>
      <c r="K168" s="8" t="str">
        <f t="shared" ca="1" si="19"/>
        <v>2017-04-01</v>
      </c>
      <c r="L168" s="8" t="str">
        <f t="shared" ca="1" si="20"/>
        <v>2017-04-09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 t="str">
        <f>IFERROR(VLOOKUP(VLOOKUP(VLOOKUP(C169,Project.csv!F:Q,12,FALSE),ServiceAreas.csv!B:I,8,FALSE),LocalAreas.csv!B:I,7,FALSE),200029)</f>
        <v>rg:None</v>
      </c>
      <c r="E169" s="8" t="str">
        <f t="shared" si="15"/>
        <v>rg:{'id':'rg:None'}</v>
      </c>
      <c r="F169" s="9" t="s">
        <v>7055</v>
      </c>
      <c r="G169" s="9" t="str">
        <f ca="1">INDEX(DistrictEquipmentTypes.csv!F:F,RANDBETWEEN(2,COUNTA(DistrictEquipmentTypes.csv!D:D)),1)</f>
        <v>200006</v>
      </c>
      <c r="H169" s="8" t="str">
        <f t="shared" ca="1" si="16"/>
        <v>rg:{ 'id': '200006'}</v>
      </c>
      <c r="I169" s="8">
        <f t="shared" ca="1" si="17"/>
        <v>4</v>
      </c>
      <c r="J169" s="8">
        <f t="shared" ca="1" si="18"/>
        <v>57</v>
      </c>
      <c r="K169" s="8" t="str">
        <f t="shared" ca="1" si="19"/>
        <v>2017-04-12</v>
      </c>
      <c r="L169" s="8" t="str">
        <f t="shared" ca="1" si="20"/>
        <v>2017-05-10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 t="str">
        <f>IFERROR(VLOOKUP(VLOOKUP(VLOOKUP(C170,Project.csv!F:Q,12,FALSE),ServiceAreas.csv!B:I,8,FALSE),LocalAreas.csv!B:I,7,FALSE),200029)</f>
        <v>rg:None</v>
      </c>
      <c r="E170" s="8" t="str">
        <f t="shared" si="15"/>
        <v>rg:{'id':'rg:None'}</v>
      </c>
      <c r="F170" s="9" t="s">
        <v>7056</v>
      </c>
      <c r="G170" s="9" t="str">
        <f ca="1">INDEX(DistrictEquipmentTypes.csv!F:F,RANDBETWEEN(2,COUNTA(DistrictEquipmentTypes.csv!D:D)),1)</f>
        <v>200006</v>
      </c>
      <c r="H170" s="8" t="str">
        <f t="shared" ca="1" si="16"/>
        <v>rg:{ 'id': '200006'}</v>
      </c>
      <c r="I170" s="8">
        <f t="shared" ca="1" si="17"/>
        <v>1</v>
      </c>
      <c r="J170" s="8">
        <f t="shared" ca="1" si="18"/>
        <v>25</v>
      </c>
      <c r="K170" s="8" t="str">
        <f t="shared" ca="1" si="19"/>
        <v>2017-05-17</v>
      </c>
      <c r="L170" s="8" t="str">
        <f t="shared" ca="1" si="20"/>
        <v>2017-05-20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 t="str">
        <f>IFERROR(VLOOKUP(VLOOKUP(VLOOKUP(C171,Project.csv!F:Q,12,FALSE),ServiceAreas.csv!B:I,8,FALSE),LocalAreas.csv!B:I,7,FALSE),200029)</f>
        <v>rg:None</v>
      </c>
      <c r="E171" s="8" t="str">
        <f t="shared" si="15"/>
        <v>rg:{'id':'rg:None'}</v>
      </c>
      <c r="F171" s="9" t="s">
        <v>7055</v>
      </c>
      <c r="G171" s="9" t="str">
        <f ca="1">INDEX(DistrictEquipmentTypes.csv!F:F,RANDBETWEEN(2,COUNTA(DistrictEquipmentTypes.csv!D:D)),1)</f>
        <v>200006</v>
      </c>
      <c r="H171" s="8" t="str">
        <f t="shared" ca="1" si="16"/>
        <v>rg:{ 'id': '200006'}</v>
      </c>
      <c r="I171" s="8">
        <f t="shared" ca="1" si="17"/>
        <v>1</v>
      </c>
      <c r="J171" s="8">
        <f t="shared" ca="1" si="18"/>
        <v>91</v>
      </c>
      <c r="K171" s="8" t="str">
        <f t="shared" ca="1" si="19"/>
        <v>2017-04-20</v>
      </c>
      <c r="L171" s="8" t="str">
        <f t="shared" ca="1" si="20"/>
        <v>2017-05-01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 t="str">
        <f>IFERROR(VLOOKUP(VLOOKUP(VLOOKUP(C172,Project.csv!F:Q,12,FALSE),ServiceAreas.csv!B:I,8,FALSE),LocalAreas.csv!B:I,7,FALSE),200029)</f>
        <v>rg:None</v>
      </c>
      <c r="E172" s="8" t="str">
        <f t="shared" si="15"/>
        <v>rg:{'id':'rg:None'}</v>
      </c>
      <c r="F172" s="9" t="s">
        <v>7055</v>
      </c>
      <c r="G172" s="9" t="str">
        <f ca="1">INDEX(DistrictEquipmentTypes.csv!F:F,RANDBETWEEN(2,COUNTA(DistrictEquipmentTypes.csv!D:D)),1)</f>
        <v>200007</v>
      </c>
      <c r="H172" s="8" t="str">
        <f t="shared" ca="1" si="16"/>
        <v>rg:{ 'id': '200007'}</v>
      </c>
      <c r="I172" s="8">
        <f t="shared" ca="1" si="17"/>
        <v>1</v>
      </c>
      <c r="J172" s="8">
        <f t="shared" ca="1" si="18"/>
        <v>20</v>
      </c>
      <c r="K172" s="8" t="str">
        <f t="shared" ca="1" si="19"/>
        <v>2017-05-09</v>
      </c>
      <c r="L172" s="8" t="str">
        <f t="shared" ca="1" si="20"/>
        <v>2017-05-11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 t="str">
        <f>IFERROR(VLOOKUP(VLOOKUP(VLOOKUP(C173,Project.csv!F:Q,12,FALSE),ServiceAreas.csv!B:I,8,FALSE),LocalAreas.csv!B:I,7,FALSE),200029)</f>
        <v>rg:None</v>
      </c>
      <c r="E173" s="8" t="str">
        <f t="shared" si="15"/>
        <v>rg:{'id':'rg:None'}</v>
      </c>
      <c r="F173" s="9" t="s">
        <v>7055</v>
      </c>
      <c r="G173" s="9" t="str">
        <f ca="1">INDEX(DistrictEquipmentTypes.csv!F:F,RANDBETWEEN(2,COUNTA(DistrictEquipmentTypes.csv!D:D)),1)</f>
        <v>200009</v>
      </c>
      <c r="H173" s="8" t="str">
        <f t="shared" ca="1" si="16"/>
        <v>rg:{ 'id': '200009'}</v>
      </c>
      <c r="I173" s="8">
        <f t="shared" ca="1" si="17"/>
        <v>4</v>
      </c>
      <c r="J173" s="8">
        <f t="shared" ca="1" si="18"/>
        <v>35</v>
      </c>
      <c r="K173" s="8" t="str">
        <f t="shared" ca="1" si="19"/>
        <v>2017-04-08</v>
      </c>
      <c r="L173" s="8" t="str">
        <f t="shared" ca="1" si="20"/>
        <v>2017-04-25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 t="str">
        <f>IFERROR(VLOOKUP(VLOOKUP(VLOOKUP(C174,Project.csv!F:Q,12,FALSE),ServiceAreas.csv!B:I,8,FALSE),LocalAreas.csv!B:I,7,FALSE),200029)</f>
        <v>rg:None</v>
      </c>
      <c r="E174" s="8" t="str">
        <f t="shared" si="15"/>
        <v>rg:{'id':'rg:None'}</v>
      </c>
      <c r="F174" s="9" t="s">
        <v>7055</v>
      </c>
      <c r="G174" s="9" t="str">
        <f ca="1">INDEX(DistrictEquipmentTypes.csv!F:F,RANDBETWEEN(2,COUNTA(DistrictEquipmentTypes.csv!D:D)),1)</f>
        <v>200002</v>
      </c>
      <c r="H174" s="8" t="str">
        <f t="shared" ca="1" si="16"/>
        <v>rg:{ 'id': '200002'}</v>
      </c>
      <c r="I174" s="8">
        <f t="shared" ca="1" si="17"/>
        <v>4</v>
      </c>
      <c r="J174" s="8">
        <f t="shared" ca="1" si="18"/>
        <v>20</v>
      </c>
      <c r="K174" s="8" t="str">
        <f t="shared" ca="1" si="19"/>
        <v>2017-04-25</v>
      </c>
      <c r="L174" s="8" t="str">
        <f t="shared" ca="1" si="20"/>
        <v>2017-05-05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 t="str">
        <f>IFERROR(VLOOKUP(VLOOKUP(VLOOKUP(C175,Project.csv!F:Q,12,FALSE),ServiceAreas.csv!B:I,8,FALSE),LocalAreas.csv!B:I,7,FALSE),200029)</f>
        <v>rg:None</v>
      </c>
      <c r="E175" s="8" t="str">
        <f t="shared" si="15"/>
        <v>rg:{'id':'rg:None'}</v>
      </c>
      <c r="F175" s="9" t="s">
        <v>7055</v>
      </c>
      <c r="G175" s="9" t="str">
        <f ca="1">INDEX(DistrictEquipmentTypes.csv!F:F,RANDBETWEEN(2,COUNTA(DistrictEquipmentTypes.csv!D:D)),1)</f>
        <v>200002</v>
      </c>
      <c r="H175" s="8" t="str">
        <f t="shared" ca="1" si="16"/>
        <v>rg:{ 'id': '200002'}</v>
      </c>
      <c r="I175" s="8">
        <f t="shared" ca="1" si="17"/>
        <v>5</v>
      </c>
      <c r="J175" s="8">
        <f t="shared" ca="1" si="18"/>
        <v>19</v>
      </c>
      <c r="K175" s="8" t="str">
        <f t="shared" ca="1" si="19"/>
        <v>2017-05-13</v>
      </c>
      <c r="L175" s="8" t="str">
        <f t="shared" ca="1" si="20"/>
        <v>2017-05-24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 t="str">
        <f>IFERROR(VLOOKUP(VLOOKUP(VLOOKUP(C176,Project.csv!F:Q,12,FALSE),ServiceAreas.csv!B:I,8,FALSE),LocalAreas.csv!B:I,7,FALSE),200029)</f>
        <v>rg:None</v>
      </c>
      <c r="E176" s="8" t="str">
        <f t="shared" si="15"/>
        <v>rg:{'id':'rg:None'}</v>
      </c>
      <c r="F176" s="9" t="s">
        <v>7055</v>
      </c>
      <c r="G176" s="9" t="str">
        <f ca="1">INDEX(DistrictEquipmentTypes.csv!F:F,RANDBETWEEN(2,COUNTA(DistrictEquipmentTypes.csv!D:D)),1)</f>
        <v>200006</v>
      </c>
      <c r="H176" s="8" t="str">
        <f t="shared" ca="1" si="16"/>
        <v>rg:{ 'id': '200006'}</v>
      </c>
      <c r="I176" s="8">
        <f t="shared" ca="1" si="17"/>
        <v>1</v>
      </c>
      <c r="J176" s="8">
        <f t="shared" ca="1" si="18"/>
        <v>50</v>
      </c>
      <c r="K176" s="8" t="str">
        <f t="shared" ca="1" si="19"/>
        <v>2017-04-01</v>
      </c>
      <c r="L176" s="8" t="str">
        <f t="shared" ca="1" si="20"/>
        <v>2017-04-07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 t="str">
        <f>IFERROR(VLOOKUP(VLOOKUP(VLOOKUP(C177,Project.csv!F:Q,12,FALSE),ServiceAreas.csv!B:I,8,FALSE),LocalAreas.csv!B:I,7,FALSE),200029)</f>
        <v>rg:None</v>
      </c>
      <c r="E177" s="8" t="str">
        <f t="shared" si="15"/>
        <v>rg:{'id':'rg:None'}</v>
      </c>
      <c r="F177" s="9" t="s">
        <v>7055</v>
      </c>
      <c r="G177" s="9" t="str">
        <f ca="1">INDEX(DistrictEquipmentTypes.csv!F:F,RANDBETWEEN(2,COUNTA(DistrictEquipmentTypes.csv!D:D)),1)</f>
        <v>200000</v>
      </c>
      <c r="H177" s="8" t="str">
        <f t="shared" ca="1" si="16"/>
        <v>rg:{ 'id': '200000'}</v>
      </c>
      <c r="I177" s="8">
        <f t="shared" ca="1" si="17"/>
        <v>1</v>
      </c>
      <c r="J177" s="8">
        <f t="shared" ca="1" si="18"/>
        <v>56</v>
      </c>
      <c r="K177" s="8" t="str">
        <f t="shared" ca="1" si="19"/>
        <v>2017-04-24</v>
      </c>
      <c r="L177" s="8" t="str">
        <f t="shared" ca="1" si="20"/>
        <v>2017-05-01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 t="str">
        <f>IFERROR(VLOOKUP(VLOOKUP(VLOOKUP(C178,Project.csv!F:Q,12,FALSE),ServiceAreas.csv!B:I,8,FALSE),LocalAreas.csv!B:I,7,FALSE),200029)</f>
        <v>rg:None</v>
      </c>
      <c r="E178" s="8" t="str">
        <f t="shared" si="15"/>
        <v>rg:{'id':'rg:None'}</v>
      </c>
      <c r="F178" s="9" t="s">
        <v>7055</v>
      </c>
      <c r="G178" s="9" t="str">
        <f ca="1">INDEX(DistrictEquipmentTypes.csv!F:F,RANDBETWEEN(2,COUNTA(DistrictEquipmentTypes.csv!D:D)),1)</f>
        <v>200009</v>
      </c>
      <c r="H178" s="8" t="str">
        <f t="shared" ca="1" si="16"/>
        <v>rg:{ 'id': '200009'}</v>
      </c>
      <c r="I178" s="8">
        <f t="shared" ca="1" si="17"/>
        <v>3</v>
      </c>
      <c r="J178" s="8">
        <f t="shared" ca="1" si="18"/>
        <v>99</v>
      </c>
      <c r="K178" s="8" t="str">
        <f t="shared" ca="1" si="19"/>
        <v>2017-05-23</v>
      </c>
      <c r="L178" s="8" t="str">
        <f t="shared" ca="1" si="20"/>
        <v>2017-06-29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 t="str">
        <f>IFERROR(VLOOKUP(VLOOKUP(VLOOKUP(C179,Project.csv!F:Q,12,FALSE),ServiceAreas.csv!B:I,8,FALSE),LocalAreas.csv!B:I,7,FALSE),200029)</f>
        <v>rg:None</v>
      </c>
      <c r="E179" s="8" t="str">
        <f t="shared" si="15"/>
        <v>rg:{'id':'rg:None'}</v>
      </c>
      <c r="F179" s="9" t="s">
        <v>7055</v>
      </c>
      <c r="G179" s="9" t="str">
        <f ca="1">INDEX(DistrictEquipmentTypes.csv!F:F,RANDBETWEEN(2,COUNTA(DistrictEquipmentTypes.csv!D:D)),1)</f>
        <v>200000</v>
      </c>
      <c r="H179" s="8" t="str">
        <f t="shared" ca="1" si="16"/>
        <v>rg:{ 'id': '200000'}</v>
      </c>
      <c r="I179" s="8">
        <f t="shared" ca="1" si="17"/>
        <v>1</v>
      </c>
      <c r="J179" s="8">
        <f t="shared" ca="1" si="18"/>
        <v>20</v>
      </c>
      <c r="K179" s="8" t="str">
        <f t="shared" ca="1" si="19"/>
        <v>2017-05-08</v>
      </c>
      <c r="L179" s="8" t="str">
        <f t="shared" ca="1" si="20"/>
        <v>2017-05-10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 t="str">
        <f>IFERROR(VLOOKUP(VLOOKUP(VLOOKUP(C180,Project.csv!F:Q,12,FALSE),ServiceAreas.csv!B:I,8,FALSE),LocalAreas.csv!B:I,7,FALSE),200029)</f>
        <v>rg:None</v>
      </c>
      <c r="E180" s="8" t="str">
        <f t="shared" si="15"/>
        <v>rg:{'id':'rg:None'}</v>
      </c>
      <c r="F180" s="9" t="s">
        <v>7055</v>
      </c>
      <c r="G180" s="9" t="str">
        <f ca="1">INDEX(DistrictEquipmentTypes.csv!F:F,RANDBETWEEN(2,COUNTA(DistrictEquipmentTypes.csv!D:D)),1)</f>
        <v>200009</v>
      </c>
      <c r="H180" s="8" t="str">
        <f t="shared" ca="1" si="16"/>
        <v>rg:{ 'id': '200009'}</v>
      </c>
      <c r="I180" s="8">
        <f t="shared" ca="1" si="17"/>
        <v>1</v>
      </c>
      <c r="J180" s="8">
        <f t="shared" ca="1" si="18"/>
        <v>18</v>
      </c>
      <c r="K180" s="8" t="str">
        <f t="shared" ca="1" si="19"/>
        <v>2017-05-19</v>
      </c>
      <c r="L180" s="8" t="str">
        <f t="shared" ca="1" si="20"/>
        <v>2017-05-21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 t="str">
        <f>IFERROR(VLOOKUP(VLOOKUP(VLOOKUP(C181,Project.csv!F:Q,12,FALSE),ServiceAreas.csv!B:I,8,FALSE),LocalAreas.csv!B:I,7,FALSE),200029)</f>
        <v>rg:None</v>
      </c>
      <c r="E181" s="8" t="str">
        <f t="shared" si="15"/>
        <v>rg:{'id':'rg:None'}</v>
      </c>
      <c r="F181" s="9" t="s">
        <v>7055</v>
      </c>
      <c r="G181" s="9" t="str">
        <f ca="1">INDEX(DistrictEquipmentTypes.csv!F:F,RANDBETWEEN(2,COUNTA(DistrictEquipmentTypes.csv!D:D)),1)</f>
        <v>200003</v>
      </c>
      <c r="H181" s="8" t="str">
        <f t="shared" ca="1" si="16"/>
        <v>rg:{ 'id': '200003'}</v>
      </c>
      <c r="I181" s="8">
        <f t="shared" ca="1" si="17"/>
        <v>1</v>
      </c>
      <c r="J181" s="8">
        <f t="shared" ca="1" si="18"/>
        <v>17</v>
      </c>
      <c r="K181" s="8" t="str">
        <f t="shared" ca="1" si="19"/>
        <v>2017-04-26</v>
      </c>
      <c r="L181" s="8" t="str">
        <f t="shared" ca="1" si="20"/>
        <v>2017-04-28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 t="str">
        <f>IFERROR(VLOOKUP(VLOOKUP(VLOOKUP(C182,Project.csv!F:Q,12,FALSE),ServiceAreas.csv!B:I,8,FALSE),LocalAreas.csv!B:I,7,FALSE),200029)</f>
        <v>rg:None</v>
      </c>
      <c r="E182" s="8" t="str">
        <f t="shared" si="15"/>
        <v>rg:{'id':'rg:None'}</v>
      </c>
      <c r="F182" s="9" t="s">
        <v>7055</v>
      </c>
      <c r="G182" s="9" t="str">
        <f ca="1">INDEX(DistrictEquipmentTypes.csv!F:F,RANDBETWEEN(2,COUNTA(DistrictEquipmentTypes.csv!D:D)),1)</f>
        <v>200005</v>
      </c>
      <c r="H182" s="8" t="str">
        <f t="shared" ca="1" si="16"/>
        <v>rg:{ 'id': '200005'}</v>
      </c>
      <c r="I182" s="8">
        <f t="shared" ca="1" si="17"/>
        <v>1</v>
      </c>
      <c r="J182" s="8">
        <f t="shared" ca="1" si="18"/>
        <v>39</v>
      </c>
      <c r="K182" s="8" t="str">
        <f t="shared" ca="1" si="19"/>
        <v>2017-04-08</v>
      </c>
      <c r="L182" s="8" t="str">
        <f t="shared" ca="1" si="20"/>
        <v>2017-04-12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 t="str">
        <f>IFERROR(VLOOKUP(VLOOKUP(VLOOKUP(C183,Project.csv!F:Q,12,FALSE),ServiceAreas.csv!B:I,8,FALSE),LocalAreas.csv!B:I,7,FALSE),200029)</f>
        <v>rg:None</v>
      </c>
      <c r="E183" s="8" t="str">
        <f t="shared" si="15"/>
        <v>rg:{'id':'rg:None'}</v>
      </c>
      <c r="F183" s="9" t="s">
        <v>7055</v>
      </c>
      <c r="G183" s="9" t="str">
        <f ca="1">INDEX(DistrictEquipmentTypes.csv!F:F,RANDBETWEEN(2,COUNTA(DistrictEquipmentTypes.csv!D:D)),1)</f>
        <v>200006</v>
      </c>
      <c r="H183" s="8" t="str">
        <f t="shared" ca="1" si="16"/>
        <v>rg:{ 'id': '200006'}</v>
      </c>
      <c r="I183" s="8">
        <f t="shared" ca="1" si="17"/>
        <v>1</v>
      </c>
      <c r="J183" s="8">
        <f t="shared" ca="1" si="18"/>
        <v>11</v>
      </c>
      <c r="K183" s="8" t="str">
        <f t="shared" ca="1" si="19"/>
        <v>2017-04-05</v>
      </c>
      <c r="L183" s="8" t="str">
        <f t="shared" ca="1" si="20"/>
        <v>2017-04-06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 t="str">
        <f>IFERROR(VLOOKUP(VLOOKUP(VLOOKUP(C184,Project.csv!F:Q,12,FALSE),ServiceAreas.csv!B:I,8,FALSE),LocalAreas.csv!B:I,7,FALSE),200029)</f>
        <v>rg:None</v>
      </c>
      <c r="E184" s="8" t="str">
        <f t="shared" si="15"/>
        <v>rg:{'id':'rg:None'}</v>
      </c>
      <c r="F184" s="9" t="s">
        <v>7055</v>
      </c>
      <c r="G184" s="9" t="str">
        <f ca="1">INDEX(DistrictEquipmentTypes.csv!F:F,RANDBETWEEN(2,COUNTA(DistrictEquipmentTypes.csv!D:D)),1)</f>
        <v>200003</v>
      </c>
      <c r="H184" s="8" t="str">
        <f t="shared" ca="1" si="16"/>
        <v>rg:{ 'id': '200003'}</v>
      </c>
      <c r="I184" s="8">
        <f t="shared" ca="1" si="17"/>
        <v>3</v>
      </c>
      <c r="J184" s="8">
        <f t="shared" ca="1" si="18"/>
        <v>49</v>
      </c>
      <c r="K184" s="8" t="str">
        <f t="shared" ca="1" si="19"/>
        <v>2017-05-06</v>
      </c>
      <c r="L184" s="8" t="str">
        <f t="shared" ca="1" si="20"/>
        <v>2017-05-24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 t="str">
        <f>IFERROR(VLOOKUP(VLOOKUP(VLOOKUP(C185,Project.csv!F:Q,12,FALSE),ServiceAreas.csv!B:I,8,FALSE),LocalAreas.csv!B:I,7,FALSE),200029)</f>
        <v>rg:None</v>
      </c>
      <c r="E185" s="8" t="str">
        <f t="shared" si="15"/>
        <v>rg:{'id':'rg:None'}</v>
      </c>
      <c r="F185" s="9" t="s">
        <v>7055</v>
      </c>
      <c r="G185" s="9" t="str">
        <f ca="1">INDEX(DistrictEquipmentTypes.csv!F:F,RANDBETWEEN(2,COUNTA(DistrictEquipmentTypes.csv!D:D)),1)</f>
        <v>200006</v>
      </c>
      <c r="H185" s="8" t="str">
        <f t="shared" ca="1" si="16"/>
        <v>rg:{ 'id': '200006'}</v>
      </c>
      <c r="I185" s="8">
        <f t="shared" ca="1" si="17"/>
        <v>1</v>
      </c>
      <c r="J185" s="8">
        <f t="shared" ca="1" si="18"/>
        <v>44</v>
      </c>
      <c r="K185" s="8" t="str">
        <f t="shared" ca="1" si="19"/>
        <v>2017-05-10</v>
      </c>
      <c r="L185" s="8" t="str">
        <f t="shared" ca="1" si="20"/>
        <v>2017-05-15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 t="str">
        <f>IFERROR(VLOOKUP(VLOOKUP(VLOOKUP(C186,Project.csv!F:Q,12,FALSE),ServiceAreas.csv!B:I,8,FALSE),LocalAreas.csv!B:I,7,FALSE),200029)</f>
        <v>rg:None</v>
      </c>
      <c r="E186" s="8" t="str">
        <f t="shared" si="15"/>
        <v>rg:{'id':'rg:None'}</v>
      </c>
      <c r="F186" s="9" t="s">
        <v>7055</v>
      </c>
      <c r="G186" s="9" t="str">
        <f ca="1">INDEX(DistrictEquipmentTypes.csv!F:F,RANDBETWEEN(2,COUNTA(DistrictEquipmentTypes.csv!D:D)),1)</f>
        <v>200007</v>
      </c>
      <c r="H186" s="8" t="str">
        <f t="shared" ca="1" si="16"/>
        <v>rg:{ 'id': '200007'}</v>
      </c>
      <c r="I186" s="8">
        <f t="shared" ca="1" si="17"/>
        <v>2</v>
      </c>
      <c r="J186" s="8">
        <f t="shared" ca="1" si="18"/>
        <v>96</v>
      </c>
      <c r="K186" s="8" t="str">
        <f t="shared" ca="1" si="19"/>
        <v>2017-05-17</v>
      </c>
      <c r="L186" s="8" t="str">
        <f t="shared" ca="1" si="20"/>
        <v>2017-06-10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 t="str">
        <f>IFERROR(VLOOKUP(VLOOKUP(VLOOKUP(C187,Project.csv!F:Q,12,FALSE),ServiceAreas.csv!B:I,8,FALSE),LocalAreas.csv!B:I,7,FALSE),200029)</f>
        <v>rg:None</v>
      </c>
      <c r="E187" s="8" t="str">
        <f t="shared" si="15"/>
        <v>rg:{'id':'rg:None'}</v>
      </c>
      <c r="F187" s="9" t="s">
        <v>7055</v>
      </c>
      <c r="G187" s="9" t="str">
        <f ca="1">INDEX(DistrictEquipmentTypes.csv!F:F,RANDBETWEEN(2,COUNTA(DistrictEquipmentTypes.csv!D:D)),1)</f>
        <v>200002</v>
      </c>
      <c r="H187" s="8" t="str">
        <f t="shared" ca="1" si="16"/>
        <v>rg:{ 'id': '200002'}</v>
      </c>
      <c r="I187" s="8">
        <f t="shared" ca="1" si="17"/>
        <v>1</v>
      </c>
      <c r="J187" s="8">
        <f t="shared" ca="1" si="18"/>
        <v>95</v>
      </c>
      <c r="K187" s="8" t="str">
        <f t="shared" ca="1" si="19"/>
        <v>2017-04-18</v>
      </c>
      <c r="L187" s="8" t="str">
        <f t="shared" ca="1" si="20"/>
        <v>2017-04-29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 t="str">
        <f>IFERROR(VLOOKUP(VLOOKUP(VLOOKUP(C188,Project.csv!F:Q,12,FALSE),ServiceAreas.csv!B:I,8,FALSE),LocalAreas.csv!B:I,7,FALSE),200029)</f>
        <v>rg:None</v>
      </c>
      <c r="E188" s="8" t="str">
        <f t="shared" si="15"/>
        <v>rg:{'id':'rg:None'}</v>
      </c>
      <c r="F188" s="9" t="s">
        <v>7055</v>
      </c>
      <c r="G188" s="9" t="str">
        <f ca="1">INDEX(DistrictEquipmentTypes.csv!F:F,RANDBETWEEN(2,COUNTA(DistrictEquipmentTypes.csv!D:D)),1)</f>
        <v>200002</v>
      </c>
      <c r="H188" s="8" t="str">
        <f t="shared" ca="1" si="16"/>
        <v>rg:{ 'id': '200002'}</v>
      </c>
      <c r="I188" s="8">
        <f t="shared" ca="1" si="17"/>
        <v>1</v>
      </c>
      <c r="J188" s="8">
        <f t="shared" ca="1" si="18"/>
        <v>44</v>
      </c>
      <c r="K188" s="8" t="str">
        <f t="shared" ca="1" si="19"/>
        <v>2017-04-12</v>
      </c>
      <c r="L188" s="8" t="str">
        <f t="shared" ca="1" si="20"/>
        <v>2017-04-17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 t="str">
        <f>IFERROR(VLOOKUP(VLOOKUP(VLOOKUP(C189,Project.csv!F:Q,12,FALSE),ServiceAreas.csv!B:I,8,FALSE),LocalAreas.csv!B:I,7,FALSE),200029)</f>
        <v>rg:None</v>
      </c>
      <c r="E189" s="8" t="str">
        <f t="shared" si="15"/>
        <v>rg:{'id':'rg:None'}</v>
      </c>
      <c r="F189" s="9" t="s">
        <v>7055</v>
      </c>
      <c r="G189" s="9" t="str">
        <f ca="1">INDEX(DistrictEquipmentTypes.csv!F:F,RANDBETWEEN(2,COUNTA(DistrictEquipmentTypes.csv!D:D)),1)</f>
        <v>200004</v>
      </c>
      <c r="H189" s="8" t="str">
        <f t="shared" ca="1" si="16"/>
        <v>rg:{ 'id': '200004'}</v>
      </c>
      <c r="I189" s="8">
        <f t="shared" ca="1" si="17"/>
        <v>2</v>
      </c>
      <c r="J189" s="8">
        <f t="shared" ca="1" si="18"/>
        <v>45</v>
      </c>
      <c r="K189" s="8" t="str">
        <f t="shared" ca="1" si="19"/>
        <v>2017-04-07</v>
      </c>
      <c r="L189" s="8" t="str">
        <f t="shared" ca="1" si="20"/>
        <v>2017-04-18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 t="str">
        <f>IFERROR(VLOOKUP(VLOOKUP(VLOOKUP(C190,Project.csv!F:Q,12,FALSE),ServiceAreas.csv!B:I,8,FALSE),LocalAreas.csv!B:I,7,FALSE),200029)</f>
        <v>rg:None</v>
      </c>
      <c r="E190" s="8" t="str">
        <f t="shared" si="15"/>
        <v>rg:{'id':'rg:None'}</v>
      </c>
      <c r="F190" s="9" t="s">
        <v>7055</v>
      </c>
      <c r="G190" s="9" t="str">
        <f ca="1">INDEX(DistrictEquipmentTypes.csv!F:F,RANDBETWEEN(2,COUNTA(DistrictEquipmentTypes.csv!D:D)),1)</f>
        <v>200005</v>
      </c>
      <c r="H190" s="8" t="str">
        <f t="shared" ca="1" si="16"/>
        <v>rg:{ 'id': '200005'}</v>
      </c>
      <c r="I190" s="8">
        <f t="shared" ca="1" si="17"/>
        <v>1</v>
      </c>
      <c r="J190" s="8">
        <f t="shared" ca="1" si="18"/>
        <v>5</v>
      </c>
      <c r="K190" s="8" t="str">
        <f t="shared" ca="1" si="19"/>
        <v>2017-05-17</v>
      </c>
      <c r="L190" s="8" t="str">
        <f t="shared" ca="1" si="20"/>
        <v>2017-05-17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 t="str">
        <f>IFERROR(VLOOKUP(VLOOKUP(VLOOKUP(C191,Project.csv!F:Q,12,FALSE),ServiceAreas.csv!B:I,8,FALSE),LocalAreas.csv!B:I,7,FALSE),200029)</f>
        <v>rg:None</v>
      </c>
      <c r="E191" s="8" t="str">
        <f t="shared" si="15"/>
        <v>rg:{'id':'rg:None'}</v>
      </c>
      <c r="F191" s="9" t="s">
        <v>7055</v>
      </c>
      <c r="G191" s="9" t="str">
        <f ca="1">INDEX(DistrictEquipmentTypes.csv!F:F,RANDBETWEEN(2,COUNTA(DistrictEquipmentTypes.csv!D:D)),1)</f>
        <v>200003</v>
      </c>
      <c r="H191" s="8" t="str">
        <f t="shared" ca="1" si="16"/>
        <v>rg:{ 'id': '200003'}</v>
      </c>
      <c r="I191" s="8">
        <f t="shared" ca="1" si="17"/>
        <v>4</v>
      </c>
      <c r="J191" s="8">
        <f t="shared" ca="1" si="18"/>
        <v>80</v>
      </c>
      <c r="K191" s="8" t="str">
        <f t="shared" ca="1" si="19"/>
        <v>2017-05-12</v>
      </c>
      <c r="L191" s="8" t="str">
        <f t="shared" ca="1" si="20"/>
        <v>2017-06-21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IFERROR(VLOOKUP(VLOOKUP(VLOOKUP(C192,Project.csv!F:Q,12,FALSE),ServiceAreas.csv!B:I,8,FALSE),LocalAreas.csv!B:I,7,FALSE),200029)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200009</v>
      </c>
      <c r="H192" s="8" t="str">
        <f t="shared" ca="1" si="16"/>
        <v>rg:{ 'id': '200009'}</v>
      </c>
      <c r="I192" s="8">
        <f t="shared" ca="1" si="17"/>
        <v>1</v>
      </c>
      <c r="J192" s="8">
        <f t="shared" ca="1" si="18"/>
        <v>49</v>
      </c>
      <c r="K192" s="8" t="str">
        <f t="shared" ca="1" si="19"/>
        <v>2017-05-12</v>
      </c>
      <c r="L192" s="8" t="str">
        <f t="shared" ca="1" si="20"/>
        <v>2017-05-18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IFERROR(VLOOKUP(VLOOKUP(VLOOKUP(C193,Project.csv!F:Q,12,FALSE),ServiceAreas.csv!B:I,8,FALSE),LocalAreas.csv!B:I,7,FALSE),200029)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200009</v>
      </c>
      <c r="H193" s="8" t="str">
        <f t="shared" ca="1" si="16"/>
        <v>rg:{ 'id': '200009'}</v>
      </c>
      <c r="I193" s="8">
        <f t="shared" ca="1" si="17"/>
        <v>1</v>
      </c>
      <c r="J193" s="8">
        <f t="shared" ca="1" si="18"/>
        <v>15</v>
      </c>
      <c r="K193" s="8" t="str">
        <f t="shared" ca="1" si="19"/>
        <v>2017-04-11</v>
      </c>
      <c r="L193" s="8" t="str">
        <f t="shared" ca="1" si="20"/>
        <v>2017-04-12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IFERROR(VLOOKUP(VLOOKUP(VLOOKUP(C194,Project.csv!F:Q,12,FALSE),ServiceAreas.csv!B:I,8,FALSE),LocalAreas.csv!B:I,7,FALSE),200029)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200007</v>
      </c>
      <c r="H194" s="8" t="str">
        <f t="shared" ca="1" si="16"/>
        <v>rg:{ 'id': '200007'}</v>
      </c>
      <c r="I194" s="8">
        <f t="shared" ca="1" si="17"/>
        <v>1</v>
      </c>
      <c r="J194" s="8">
        <f t="shared" ca="1" si="18"/>
        <v>30</v>
      </c>
      <c r="K194" s="8" t="str">
        <f t="shared" ca="1" si="19"/>
        <v>2017-05-02</v>
      </c>
      <c r="L194" s="8" t="str">
        <f t="shared" ca="1" si="20"/>
        <v>2017-05-05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IFERROR(VLOOKUP(VLOOKUP(VLOOKUP(C195,Project.csv!F:Q,12,FALSE),ServiceAreas.csv!B:I,8,FALSE),LocalAreas.csv!B:I,7,FALSE),200029)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200009</v>
      </c>
      <c r="H195" s="8" t="str">
        <f t="shared" ref="H195:H258" ca="1" si="23">"rg:{ 'id': '"&amp;G195&amp;"'}"</f>
        <v>rg:{ 'id': '200009'}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10</v>
      </c>
      <c r="K195" s="8" t="str">
        <f t="shared" ref="K195:K258" ca="1" si="26">TEXT(TODAY()+RANDBETWEEN(1,56),"YYYY-MM-DD")</f>
        <v>2017-04-16</v>
      </c>
      <c r="L195" s="8" t="str">
        <f t="shared" ref="L195:L258" ca="1" si="27">TEXT(K195+(I195*J195)/8,"YYYY-MM-DD")</f>
        <v>2017-04-17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IFERROR(VLOOKUP(VLOOKUP(VLOOKUP(C196,Project.csv!F:Q,12,FALSE),ServiceAreas.csv!B:I,8,FALSE),LocalAreas.csv!B:I,7,FALSE),200029)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200007</v>
      </c>
      <c r="H196" s="8" t="str">
        <f t="shared" ca="1" si="23"/>
        <v>rg:{ 'id': '200007'}</v>
      </c>
      <c r="I196" s="8">
        <f t="shared" ca="1" si="24"/>
        <v>1</v>
      </c>
      <c r="J196" s="8">
        <f t="shared" ca="1" si="25"/>
        <v>31</v>
      </c>
      <c r="K196" s="8" t="str">
        <f t="shared" ca="1" si="26"/>
        <v>2017-04-30</v>
      </c>
      <c r="L196" s="8" t="str">
        <f t="shared" ca="1" si="27"/>
        <v>2017-05-03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IFERROR(VLOOKUP(VLOOKUP(VLOOKUP(C197,Project.csv!F:Q,12,FALSE),ServiceAreas.csv!B:I,8,FALSE),LocalAreas.csv!B:I,7,FALSE),200029)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200002</v>
      </c>
      <c r="H197" s="8" t="str">
        <f t="shared" ca="1" si="23"/>
        <v>rg:{ 'id': '200002'}</v>
      </c>
      <c r="I197" s="8">
        <f t="shared" ca="1" si="24"/>
        <v>1</v>
      </c>
      <c r="J197" s="8">
        <f t="shared" ca="1" si="25"/>
        <v>99</v>
      </c>
      <c r="K197" s="8" t="str">
        <f t="shared" ca="1" si="26"/>
        <v>2017-05-05</v>
      </c>
      <c r="L197" s="8" t="str">
        <f t="shared" ca="1" si="27"/>
        <v>2017-05-17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IFERROR(VLOOKUP(VLOOKUP(VLOOKUP(C198,Project.csv!F:Q,12,FALSE),ServiceAreas.csv!B:I,8,FALSE),LocalAreas.csv!B:I,7,FALSE),200029)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200005</v>
      </c>
      <c r="H198" s="8" t="str">
        <f t="shared" ca="1" si="23"/>
        <v>rg:{ 'id': '200005'}</v>
      </c>
      <c r="I198" s="8">
        <f t="shared" ca="1" si="24"/>
        <v>1</v>
      </c>
      <c r="J198" s="8">
        <f t="shared" ca="1" si="25"/>
        <v>23</v>
      </c>
      <c r="K198" s="8" t="str">
        <f t="shared" ca="1" si="26"/>
        <v>2017-04-26</v>
      </c>
      <c r="L198" s="8" t="str">
        <f t="shared" ca="1" si="27"/>
        <v>2017-04-28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 t="str">
        <f>IFERROR(VLOOKUP(VLOOKUP(VLOOKUP(C199,Project.csv!F:Q,12,FALSE),ServiceAreas.csv!B:I,8,FALSE),LocalAreas.csv!B:I,7,FALSE),200029)</f>
        <v>rg:None</v>
      </c>
      <c r="E199" s="8" t="str">
        <f t="shared" si="22"/>
        <v>rg:{'id':'rg:None'}</v>
      </c>
      <c r="F199" s="9" t="s">
        <v>7055</v>
      </c>
      <c r="G199" s="9" t="str">
        <f ca="1">INDEX(DistrictEquipmentTypes.csv!F:F,RANDBETWEEN(2,COUNTA(DistrictEquipmentTypes.csv!D:D)),1)</f>
        <v>200009</v>
      </c>
      <c r="H199" s="8" t="str">
        <f t="shared" ca="1" si="23"/>
        <v>rg:{ 'id': '200009'}</v>
      </c>
      <c r="I199" s="8">
        <f t="shared" ca="1" si="24"/>
        <v>1</v>
      </c>
      <c r="J199" s="8">
        <f t="shared" ca="1" si="25"/>
        <v>60</v>
      </c>
      <c r="K199" s="8" t="str">
        <f t="shared" ca="1" si="26"/>
        <v>2017-04-19</v>
      </c>
      <c r="L199" s="8" t="str">
        <f t="shared" ca="1" si="27"/>
        <v>2017-04-26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 t="str">
        <f>IFERROR(VLOOKUP(VLOOKUP(VLOOKUP(C200,Project.csv!F:Q,12,FALSE),ServiceAreas.csv!B:I,8,FALSE),LocalAreas.csv!B:I,7,FALSE),200029)</f>
        <v>rg:None</v>
      </c>
      <c r="E200" s="8" t="str">
        <f t="shared" si="22"/>
        <v>rg:{'id':'rg:None'}</v>
      </c>
      <c r="F200" s="9" t="s">
        <v>7055</v>
      </c>
      <c r="G200" s="9" t="str">
        <f ca="1">INDEX(DistrictEquipmentTypes.csv!F:F,RANDBETWEEN(2,COUNTA(DistrictEquipmentTypes.csv!D:D)),1)</f>
        <v>200000</v>
      </c>
      <c r="H200" s="8" t="str">
        <f t="shared" ca="1" si="23"/>
        <v>rg:{ 'id': '200000'}</v>
      </c>
      <c r="I200" s="8">
        <f t="shared" ca="1" si="24"/>
        <v>1</v>
      </c>
      <c r="J200" s="8">
        <f t="shared" ca="1" si="25"/>
        <v>23</v>
      </c>
      <c r="K200" s="8" t="str">
        <f t="shared" ca="1" si="26"/>
        <v>2017-05-09</v>
      </c>
      <c r="L200" s="8" t="str">
        <f t="shared" ca="1" si="27"/>
        <v>2017-05-11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 t="str">
        <f>IFERROR(VLOOKUP(VLOOKUP(VLOOKUP(C201,Project.csv!F:Q,12,FALSE),ServiceAreas.csv!B:I,8,FALSE),LocalAreas.csv!B:I,7,FALSE),200029)</f>
        <v>rg:None</v>
      </c>
      <c r="E201" s="8" t="str">
        <f t="shared" si="22"/>
        <v>rg:{'id':'rg:None'}</v>
      </c>
      <c r="F201" s="9" t="s">
        <v>7055</v>
      </c>
      <c r="G201" s="9" t="str">
        <f ca="1">INDEX(DistrictEquipmentTypes.csv!F:F,RANDBETWEEN(2,COUNTA(DistrictEquipmentTypes.csv!D:D)),1)</f>
        <v>200009</v>
      </c>
      <c r="H201" s="8" t="str">
        <f t="shared" ca="1" si="23"/>
        <v>rg:{ 'id': '200009'}</v>
      </c>
      <c r="I201" s="8">
        <f t="shared" ca="1" si="24"/>
        <v>1</v>
      </c>
      <c r="J201" s="8">
        <f t="shared" ca="1" si="25"/>
        <v>86</v>
      </c>
      <c r="K201" s="8" t="str">
        <f t="shared" ca="1" si="26"/>
        <v>2017-04-01</v>
      </c>
      <c r="L201" s="8" t="str">
        <f t="shared" ca="1" si="27"/>
        <v>2017-04-11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 t="str">
        <f>IFERROR(VLOOKUP(VLOOKUP(VLOOKUP(C202,Project.csv!F:Q,12,FALSE),ServiceAreas.csv!B:I,8,FALSE),LocalAreas.csv!B:I,7,FALSE),200029)</f>
        <v>rg:None</v>
      </c>
      <c r="E202" s="8" t="str">
        <f t="shared" si="22"/>
        <v>rg:{'id':'rg:None'}</v>
      </c>
      <c r="F202" s="9" t="s">
        <v>7055</v>
      </c>
      <c r="G202" s="9" t="str">
        <f ca="1">INDEX(DistrictEquipmentTypes.csv!F:F,RANDBETWEEN(2,COUNTA(DistrictEquipmentTypes.csv!D:D)),1)</f>
        <v>200004</v>
      </c>
      <c r="H202" s="8" t="str">
        <f t="shared" ca="1" si="23"/>
        <v>rg:{ 'id': '200004'}</v>
      </c>
      <c r="I202" s="8">
        <f t="shared" ca="1" si="24"/>
        <v>1</v>
      </c>
      <c r="J202" s="8">
        <f t="shared" ca="1" si="25"/>
        <v>40</v>
      </c>
      <c r="K202" s="8" t="str">
        <f t="shared" ca="1" si="26"/>
        <v>2017-04-28</v>
      </c>
      <c r="L202" s="8" t="str">
        <f t="shared" ca="1" si="27"/>
        <v>2017-05-03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 t="str">
        <f>IFERROR(VLOOKUP(VLOOKUP(VLOOKUP(C203,Project.csv!F:Q,12,FALSE),ServiceAreas.csv!B:I,8,FALSE),LocalAreas.csv!B:I,7,FALSE),200029)</f>
        <v>rg:None</v>
      </c>
      <c r="E203" s="8" t="str">
        <f t="shared" si="22"/>
        <v>rg:{'id':'rg:None'}</v>
      </c>
      <c r="F203" s="9" t="s">
        <v>7055</v>
      </c>
      <c r="G203" s="9" t="str">
        <f ca="1">INDEX(DistrictEquipmentTypes.csv!F:F,RANDBETWEEN(2,COUNTA(DistrictEquipmentTypes.csv!D:D)),1)</f>
        <v>200006</v>
      </c>
      <c r="H203" s="8" t="str">
        <f t="shared" ca="1" si="23"/>
        <v>rg:{ 'id': '200006'}</v>
      </c>
      <c r="I203" s="8">
        <f t="shared" ca="1" si="24"/>
        <v>1</v>
      </c>
      <c r="J203" s="8">
        <f t="shared" ca="1" si="25"/>
        <v>64</v>
      </c>
      <c r="K203" s="8" t="str">
        <f t="shared" ca="1" si="26"/>
        <v>2017-05-11</v>
      </c>
      <c r="L203" s="8" t="str">
        <f t="shared" ca="1" si="27"/>
        <v>2017-05-19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 t="str">
        <f>IFERROR(VLOOKUP(VLOOKUP(VLOOKUP(C204,Project.csv!F:Q,12,FALSE),ServiceAreas.csv!B:I,8,FALSE),LocalAreas.csv!B:I,7,FALSE),200029)</f>
        <v>rg:None</v>
      </c>
      <c r="E204" s="8" t="str">
        <f t="shared" si="22"/>
        <v>rg:{'id':'rg:None'}</v>
      </c>
      <c r="F204" s="9" t="s">
        <v>7055</v>
      </c>
      <c r="G204" s="9" t="str">
        <f ca="1">INDEX(DistrictEquipmentTypes.csv!F:F,RANDBETWEEN(2,COUNTA(DistrictEquipmentTypes.csv!D:D)),1)</f>
        <v>200001</v>
      </c>
      <c r="H204" s="8" t="str">
        <f t="shared" ca="1" si="23"/>
        <v>rg:{ 'id': '200001'}</v>
      </c>
      <c r="I204" s="8">
        <f t="shared" ca="1" si="24"/>
        <v>1</v>
      </c>
      <c r="J204" s="8">
        <f t="shared" ca="1" si="25"/>
        <v>69</v>
      </c>
      <c r="K204" s="8" t="str">
        <f t="shared" ca="1" si="26"/>
        <v>2017-04-23</v>
      </c>
      <c r="L204" s="8" t="str">
        <f t="shared" ca="1" si="27"/>
        <v>2017-05-01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 t="str">
        <f>IFERROR(VLOOKUP(VLOOKUP(VLOOKUP(C205,Project.csv!F:Q,12,FALSE),ServiceAreas.csv!B:I,8,FALSE),LocalAreas.csv!B:I,7,FALSE),200029)</f>
        <v>rg:None</v>
      </c>
      <c r="E205" s="8" t="str">
        <f t="shared" si="22"/>
        <v>rg:{'id':'rg:None'}</v>
      </c>
      <c r="F205" s="9" t="s">
        <v>7055</v>
      </c>
      <c r="G205" s="9" t="str">
        <f ca="1">INDEX(DistrictEquipmentTypes.csv!F:F,RANDBETWEEN(2,COUNTA(DistrictEquipmentTypes.csv!D:D)),1)</f>
        <v>200007</v>
      </c>
      <c r="H205" s="8" t="str">
        <f t="shared" ca="1" si="23"/>
        <v>rg:{ 'id': '200007'}</v>
      </c>
      <c r="I205" s="8">
        <f t="shared" ca="1" si="24"/>
        <v>1</v>
      </c>
      <c r="J205" s="8">
        <f t="shared" ca="1" si="25"/>
        <v>48</v>
      </c>
      <c r="K205" s="8" t="str">
        <f t="shared" ca="1" si="26"/>
        <v>2017-05-10</v>
      </c>
      <c r="L205" s="8" t="str">
        <f t="shared" ca="1" si="27"/>
        <v>2017-05-16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 t="str">
        <f>IFERROR(VLOOKUP(VLOOKUP(VLOOKUP(C206,Project.csv!F:Q,12,FALSE),ServiceAreas.csv!B:I,8,FALSE),LocalAreas.csv!B:I,7,FALSE),200029)</f>
        <v>rg:None</v>
      </c>
      <c r="E206" s="8" t="str">
        <f t="shared" si="22"/>
        <v>rg:{'id':'rg:None'}</v>
      </c>
      <c r="F206" s="9" t="s">
        <v>7055</v>
      </c>
      <c r="G206" s="9" t="str">
        <f ca="1">INDEX(DistrictEquipmentTypes.csv!F:F,RANDBETWEEN(2,COUNTA(DistrictEquipmentTypes.csv!D:D)),1)</f>
        <v>200007</v>
      </c>
      <c r="H206" s="8" t="str">
        <f t="shared" ca="1" si="23"/>
        <v>rg:{ 'id': '200007'}</v>
      </c>
      <c r="I206" s="8">
        <f t="shared" ca="1" si="24"/>
        <v>1</v>
      </c>
      <c r="J206" s="8">
        <f t="shared" ca="1" si="25"/>
        <v>41</v>
      </c>
      <c r="K206" s="8" t="str">
        <f t="shared" ca="1" si="26"/>
        <v>2017-05-15</v>
      </c>
      <c r="L206" s="8" t="str">
        <f t="shared" ca="1" si="27"/>
        <v>2017-05-20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 t="str">
        <f>IFERROR(VLOOKUP(VLOOKUP(VLOOKUP(C207,Project.csv!F:Q,12,FALSE),ServiceAreas.csv!B:I,8,FALSE),LocalAreas.csv!B:I,7,FALSE),200029)</f>
        <v>rg:None</v>
      </c>
      <c r="E207" s="8" t="str">
        <f t="shared" si="22"/>
        <v>rg:{'id':'rg:None'}</v>
      </c>
      <c r="F207" s="9" t="s">
        <v>7055</v>
      </c>
      <c r="G207" s="9" t="str">
        <f ca="1">INDEX(DistrictEquipmentTypes.csv!F:F,RANDBETWEEN(2,COUNTA(DistrictEquipmentTypes.csv!D:D)),1)</f>
        <v>200004</v>
      </c>
      <c r="H207" s="8" t="str">
        <f t="shared" ca="1" si="23"/>
        <v>rg:{ 'id': '200004'}</v>
      </c>
      <c r="I207" s="8">
        <f t="shared" ca="1" si="24"/>
        <v>1</v>
      </c>
      <c r="J207" s="8">
        <f t="shared" ca="1" si="25"/>
        <v>83</v>
      </c>
      <c r="K207" s="8" t="str">
        <f t="shared" ca="1" si="26"/>
        <v>2017-04-13</v>
      </c>
      <c r="L207" s="8" t="str">
        <f t="shared" ca="1" si="27"/>
        <v>2017-04-23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 t="str">
        <f>IFERROR(VLOOKUP(VLOOKUP(VLOOKUP(C208,Project.csv!F:Q,12,FALSE),ServiceAreas.csv!B:I,8,FALSE),LocalAreas.csv!B:I,7,FALSE),200029)</f>
        <v>rg:None</v>
      </c>
      <c r="E208" s="8" t="str">
        <f t="shared" si="22"/>
        <v>rg:{'id':'rg:None'}</v>
      </c>
      <c r="F208" s="9" t="s">
        <v>7055</v>
      </c>
      <c r="G208" s="9" t="str">
        <f ca="1">INDEX(DistrictEquipmentTypes.csv!F:F,RANDBETWEEN(2,COUNTA(DistrictEquipmentTypes.csv!D:D)),1)</f>
        <v>200004</v>
      </c>
      <c r="H208" s="8" t="str">
        <f t="shared" ca="1" si="23"/>
        <v>rg:{ 'id': '200004'}</v>
      </c>
      <c r="I208" s="8">
        <f t="shared" ca="1" si="24"/>
        <v>5</v>
      </c>
      <c r="J208" s="8">
        <f t="shared" ca="1" si="25"/>
        <v>93</v>
      </c>
      <c r="K208" s="8" t="str">
        <f t="shared" ca="1" si="26"/>
        <v>2017-04-19</v>
      </c>
      <c r="L208" s="8" t="str">
        <f t="shared" ca="1" si="27"/>
        <v>2017-06-16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 t="str">
        <f>IFERROR(VLOOKUP(VLOOKUP(VLOOKUP(C209,Project.csv!F:Q,12,FALSE),ServiceAreas.csv!B:I,8,FALSE),LocalAreas.csv!B:I,7,FALSE),200029)</f>
        <v>rg:None</v>
      </c>
      <c r="E209" s="8" t="str">
        <f t="shared" si="22"/>
        <v>rg:{'id':'rg:None'}</v>
      </c>
      <c r="F209" s="9" t="s">
        <v>7055</v>
      </c>
      <c r="G209" s="9" t="str">
        <f ca="1">INDEX(DistrictEquipmentTypes.csv!F:F,RANDBETWEEN(2,COUNTA(DistrictEquipmentTypes.csv!D:D)),1)</f>
        <v>200000</v>
      </c>
      <c r="H209" s="8" t="str">
        <f t="shared" ca="1" si="23"/>
        <v>rg:{ 'id': '200000'}</v>
      </c>
      <c r="I209" s="8">
        <f t="shared" ca="1" si="24"/>
        <v>1</v>
      </c>
      <c r="J209" s="8">
        <f t="shared" ca="1" si="25"/>
        <v>5</v>
      </c>
      <c r="K209" s="8" t="str">
        <f t="shared" ca="1" si="26"/>
        <v>2017-04-12</v>
      </c>
      <c r="L209" s="8" t="str">
        <f t="shared" ca="1" si="27"/>
        <v>2017-04-12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 t="str">
        <f>IFERROR(VLOOKUP(VLOOKUP(VLOOKUP(C210,Project.csv!F:Q,12,FALSE),ServiceAreas.csv!B:I,8,FALSE),LocalAreas.csv!B:I,7,FALSE),200029)</f>
        <v>rg:None</v>
      </c>
      <c r="E210" s="8" t="str">
        <f t="shared" si="22"/>
        <v>rg:{'id':'rg:None'}</v>
      </c>
      <c r="F210" s="9" t="s">
        <v>7055</v>
      </c>
      <c r="G210" s="9" t="str">
        <f ca="1">INDEX(DistrictEquipmentTypes.csv!F:F,RANDBETWEEN(2,COUNTA(DistrictEquipmentTypes.csv!D:D)),1)</f>
        <v>200006</v>
      </c>
      <c r="H210" s="8" t="str">
        <f t="shared" ca="1" si="23"/>
        <v>rg:{ 'id': '200006'}</v>
      </c>
      <c r="I210" s="8">
        <f t="shared" ca="1" si="24"/>
        <v>1</v>
      </c>
      <c r="J210" s="8">
        <f t="shared" ca="1" si="25"/>
        <v>12</v>
      </c>
      <c r="K210" s="8" t="str">
        <f t="shared" ca="1" si="26"/>
        <v>2017-05-21</v>
      </c>
      <c r="L210" s="8" t="str">
        <f t="shared" ca="1" si="27"/>
        <v>2017-05-22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 t="str">
        <f>IFERROR(VLOOKUP(VLOOKUP(VLOOKUP(C211,Project.csv!F:Q,12,FALSE),ServiceAreas.csv!B:I,8,FALSE),LocalAreas.csv!B:I,7,FALSE),200029)</f>
        <v>rg:None</v>
      </c>
      <c r="E211" s="8" t="str">
        <f t="shared" si="22"/>
        <v>rg:{'id':'rg:None'}</v>
      </c>
      <c r="F211" s="9" t="s">
        <v>7055</v>
      </c>
      <c r="G211" s="9" t="str">
        <f ca="1">INDEX(DistrictEquipmentTypes.csv!F:F,RANDBETWEEN(2,COUNTA(DistrictEquipmentTypes.csv!D:D)),1)</f>
        <v>200002</v>
      </c>
      <c r="H211" s="8" t="str">
        <f t="shared" ca="1" si="23"/>
        <v>rg:{ 'id': '200002'}</v>
      </c>
      <c r="I211" s="8">
        <f t="shared" ca="1" si="24"/>
        <v>1</v>
      </c>
      <c r="J211" s="8">
        <f t="shared" ca="1" si="25"/>
        <v>97</v>
      </c>
      <c r="K211" s="8" t="str">
        <f t="shared" ca="1" si="26"/>
        <v>2017-04-18</v>
      </c>
      <c r="L211" s="8" t="str">
        <f t="shared" ca="1" si="27"/>
        <v>2017-04-30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 t="str">
        <f>IFERROR(VLOOKUP(VLOOKUP(VLOOKUP(C212,Project.csv!F:Q,12,FALSE),ServiceAreas.csv!B:I,8,FALSE),LocalAreas.csv!B:I,7,FALSE),200029)</f>
        <v>rg:None</v>
      </c>
      <c r="E212" s="8" t="str">
        <f t="shared" si="22"/>
        <v>rg:{'id':'rg:None'}</v>
      </c>
      <c r="F212" s="9" t="s">
        <v>7055</v>
      </c>
      <c r="G212" s="9" t="str">
        <f ca="1">INDEX(DistrictEquipmentTypes.csv!F:F,RANDBETWEEN(2,COUNTA(DistrictEquipmentTypes.csv!D:D)),1)</f>
        <v>200007</v>
      </c>
      <c r="H212" s="8" t="str">
        <f t="shared" ca="1" si="23"/>
        <v>rg:{ 'id': '200007'}</v>
      </c>
      <c r="I212" s="8">
        <f t="shared" ca="1" si="24"/>
        <v>2</v>
      </c>
      <c r="J212" s="8">
        <f t="shared" ca="1" si="25"/>
        <v>6</v>
      </c>
      <c r="K212" s="8" t="str">
        <f t="shared" ca="1" si="26"/>
        <v>2017-05-21</v>
      </c>
      <c r="L212" s="8" t="str">
        <f t="shared" ca="1" si="27"/>
        <v>2017-05-22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 t="str">
        <f>IFERROR(VLOOKUP(VLOOKUP(VLOOKUP(C213,Project.csv!F:Q,12,FALSE),ServiceAreas.csv!B:I,8,FALSE),LocalAreas.csv!B:I,7,FALSE),200029)</f>
        <v>rg:None</v>
      </c>
      <c r="E213" s="8" t="str">
        <f t="shared" si="22"/>
        <v>rg:{'id':'rg:None'}</v>
      </c>
      <c r="F213" s="9" t="s">
        <v>7055</v>
      </c>
      <c r="G213" s="9" t="str">
        <f ca="1">INDEX(DistrictEquipmentTypes.csv!F:F,RANDBETWEEN(2,COUNTA(DistrictEquipmentTypes.csv!D:D)),1)</f>
        <v>200004</v>
      </c>
      <c r="H213" s="8" t="str">
        <f t="shared" ca="1" si="23"/>
        <v>rg:{ 'id': '200004'}</v>
      </c>
      <c r="I213" s="8">
        <f t="shared" ca="1" si="24"/>
        <v>1</v>
      </c>
      <c r="J213" s="8">
        <f t="shared" ca="1" si="25"/>
        <v>22</v>
      </c>
      <c r="K213" s="8" t="str">
        <f t="shared" ca="1" si="26"/>
        <v>2017-04-07</v>
      </c>
      <c r="L213" s="8" t="str">
        <f t="shared" ca="1" si="27"/>
        <v>2017-04-09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 t="str">
        <f>IFERROR(VLOOKUP(VLOOKUP(VLOOKUP(C214,Project.csv!F:Q,12,FALSE),ServiceAreas.csv!B:I,8,FALSE),LocalAreas.csv!B:I,7,FALSE),200029)</f>
        <v>rg:None</v>
      </c>
      <c r="E214" s="8" t="str">
        <f t="shared" si="22"/>
        <v>rg:{'id':'rg:None'}</v>
      </c>
      <c r="F214" s="9" t="s">
        <v>7055</v>
      </c>
      <c r="G214" s="9" t="str">
        <f ca="1">INDEX(DistrictEquipmentTypes.csv!F:F,RANDBETWEEN(2,COUNTA(DistrictEquipmentTypes.csv!D:D)),1)</f>
        <v>200003</v>
      </c>
      <c r="H214" s="8" t="str">
        <f t="shared" ca="1" si="23"/>
        <v>rg:{ 'id': '200003'}</v>
      </c>
      <c r="I214" s="8">
        <f t="shared" ca="1" si="24"/>
        <v>1</v>
      </c>
      <c r="J214" s="8">
        <f t="shared" ca="1" si="25"/>
        <v>99</v>
      </c>
      <c r="K214" s="8" t="str">
        <f t="shared" ca="1" si="26"/>
        <v>2017-04-09</v>
      </c>
      <c r="L214" s="8" t="str">
        <f t="shared" ca="1" si="27"/>
        <v>2017-04-21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 t="str">
        <f>IFERROR(VLOOKUP(VLOOKUP(VLOOKUP(C215,Project.csv!F:Q,12,FALSE),ServiceAreas.csv!B:I,8,FALSE),LocalAreas.csv!B:I,7,FALSE),200029)</f>
        <v>rg:None</v>
      </c>
      <c r="E215" s="8" t="str">
        <f t="shared" si="22"/>
        <v>rg:{'id':'rg:None'}</v>
      </c>
      <c r="F215" s="9" t="s">
        <v>7055</v>
      </c>
      <c r="G215" s="9" t="str">
        <f ca="1">INDEX(DistrictEquipmentTypes.csv!F:F,RANDBETWEEN(2,COUNTA(DistrictEquipmentTypes.csv!D:D)),1)</f>
        <v>200006</v>
      </c>
      <c r="H215" s="8" t="str">
        <f t="shared" ca="1" si="23"/>
        <v>rg:{ 'id': '200006'}</v>
      </c>
      <c r="I215" s="8">
        <f t="shared" ca="1" si="24"/>
        <v>2</v>
      </c>
      <c r="J215" s="8">
        <f t="shared" ca="1" si="25"/>
        <v>39</v>
      </c>
      <c r="K215" s="8" t="str">
        <f t="shared" ca="1" si="26"/>
        <v>2017-05-11</v>
      </c>
      <c r="L215" s="8" t="str">
        <f t="shared" ca="1" si="27"/>
        <v>2017-05-20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 t="str">
        <f>IFERROR(VLOOKUP(VLOOKUP(VLOOKUP(C216,Project.csv!F:Q,12,FALSE),ServiceAreas.csv!B:I,8,FALSE),LocalAreas.csv!B:I,7,FALSE),200029)</f>
        <v>rg:None</v>
      </c>
      <c r="E216" s="8" t="str">
        <f t="shared" si="22"/>
        <v>rg:{'id':'rg:None'}</v>
      </c>
      <c r="F216" s="9" t="s">
        <v>7055</v>
      </c>
      <c r="G216" s="9" t="str">
        <f ca="1">INDEX(DistrictEquipmentTypes.csv!F:F,RANDBETWEEN(2,COUNTA(DistrictEquipmentTypes.csv!D:D)),1)</f>
        <v>200004</v>
      </c>
      <c r="H216" s="8" t="str">
        <f t="shared" ca="1" si="23"/>
        <v>rg:{ 'id': '200004'}</v>
      </c>
      <c r="I216" s="8">
        <f t="shared" ca="1" si="24"/>
        <v>5</v>
      </c>
      <c r="J216" s="8">
        <f t="shared" ca="1" si="25"/>
        <v>48</v>
      </c>
      <c r="K216" s="8" t="str">
        <f t="shared" ca="1" si="26"/>
        <v>2017-05-21</v>
      </c>
      <c r="L216" s="8" t="str">
        <f t="shared" ca="1" si="27"/>
        <v>2017-06-20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 t="str">
        <f>IFERROR(VLOOKUP(VLOOKUP(VLOOKUP(C217,Project.csv!F:Q,12,FALSE),ServiceAreas.csv!B:I,8,FALSE),LocalAreas.csv!B:I,7,FALSE),200029)</f>
        <v>rg:None</v>
      </c>
      <c r="E217" s="8" t="str">
        <f t="shared" si="22"/>
        <v>rg:{'id':'rg:None'}</v>
      </c>
      <c r="F217" s="9" t="s">
        <v>7055</v>
      </c>
      <c r="G217" s="9" t="str">
        <f ca="1">INDEX(DistrictEquipmentTypes.csv!F:F,RANDBETWEEN(2,COUNTA(DistrictEquipmentTypes.csv!D:D)),1)</f>
        <v>200005</v>
      </c>
      <c r="H217" s="8" t="str">
        <f t="shared" ca="1" si="23"/>
        <v>rg:{ 'id': '200005'}</v>
      </c>
      <c r="I217" s="8">
        <f t="shared" ca="1" si="24"/>
        <v>1</v>
      </c>
      <c r="J217" s="8">
        <f t="shared" ca="1" si="25"/>
        <v>92</v>
      </c>
      <c r="K217" s="8" t="str">
        <f t="shared" ca="1" si="26"/>
        <v>2017-04-30</v>
      </c>
      <c r="L217" s="8" t="str">
        <f t="shared" ca="1" si="27"/>
        <v>2017-05-11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 t="str">
        <f>IFERROR(VLOOKUP(VLOOKUP(VLOOKUP(C218,Project.csv!F:Q,12,FALSE),ServiceAreas.csv!B:I,8,FALSE),LocalAreas.csv!B:I,7,FALSE),200029)</f>
        <v>rg:None</v>
      </c>
      <c r="E218" s="8" t="str">
        <f t="shared" si="22"/>
        <v>rg:{'id':'rg:None'}</v>
      </c>
      <c r="F218" s="9" t="s">
        <v>7055</v>
      </c>
      <c r="G218" s="9" t="str">
        <f ca="1">INDEX(DistrictEquipmentTypes.csv!F:F,RANDBETWEEN(2,COUNTA(DistrictEquipmentTypes.csv!D:D)),1)</f>
        <v>200001</v>
      </c>
      <c r="H218" s="8" t="str">
        <f t="shared" ca="1" si="23"/>
        <v>rg:{ 'id': '200001'}</v>
      </c>
      <c r="I218" s="8">
        <f t="shared" ca="1" si="24"/>
        <v>1</v>
      </c>
      <c r="J218" s="8">
        <f t="shared" ca="1" si="25"/>
        <v>43</v>
      </c>
      <c r="K218" s="8" t="str">
        <f t="shared" ca="1" si="26"/>
        <v>2017-04-30</v>
      </c>
      <c r="L218" s="8" t="str">
        <f t="shared" ca="1" si="27"/>
        <v>2017-05-05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 t="str">
        <f>IFERROR(VLOOKUP(VLOOKUP(VLOOKUP(C219,Project.csv!F:Q,12,FALSE),ServiceAreas.csv!B:I,8,FALSE),LocalAreas.csv!B:I,7,FALSE),200029)</f>
        <v>rg:None</v>
      </c>
      <c r="E219" s="8" t="str">
        <f t="shared" si="22"/>
        <v>rg:{'id':'rg:None'}</v>
      </c>
      <c r="F219" s="9" t="s">
        <v>7055</v>
      </c>
      <c r="G219" s="9" t="str">
        <f ca="1">INDEX(DistrictEquipmentTypes.csv!F:F,RANDBETWEEN(2,COUNTA(DistrictEquipmentTypes.csv!D:D)),1)</f>
        <v>200009</v>
      </c>
      <c r="H219" s="8" t="str">
        <f t="shared" ca="1" si="23"/>
        <v>rg:{ 'id': '200009'}</v>
      </c>
      <c r="I219" s="8">
        <f t="shared" ca="1" si="24"/>
        <v>1</v>
      </c>
      <c r="J219" s="8">
        <f t="shared" ca="1" si="25"/>
        <v>61</v>
      </c>
      <c r="K219" s="8" t="str">
        <f t="shared" ca="1" si="26"/>
        <v>2017-04-10</v>
      </c>
      <c r="L219" s="8" t="str">
        <f t="shared" ca="1" si="27"/>
        <v>2017-04-17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 t="str">
        <f>IFERROR(VLOOKUP(VLOOKUP(VLOOKUP(C220,Project.csv!F:Q,12,FALSE),ServiceAreas.csv!B:I,8,FALSE),LocalAreas.csv!B:I,7,FALSE),200029)</f>
        <v>rg:None</v>
      </c>
      <c r="E220" s="8" t="str">
        <f t="shared" si="22"/>
        <v>rg:{'id':'rg:None'}</v>
      </c>
      <c r="F220" s="9" t="s">
        <v>7055</v>
      </c>
      <c r="G220" s="9" t="str">
        <f ca="1">INDEX(DistrictEquipmentTypes.csv!F:F,RANDBETWEEN(2,COUNTA(DistrictEquipmentTypes.csv!D:D)),1)</f>
        <v>200001</v>
      </c>
      <c r="H220" s="8" t="str">
        <f t="shared" ca="1" si="23"/>
        <v>rg:{ 'id': '200001'}</v>
      </c>
      <c r="I220" s="8">
        <f t="shared" ca="1" si="24"/>
        <v>2</v>
      </c>
      <c r="J220" s="8">
        <f t="shared" ca="1" si="25"/>
        <v>31</v>
      </c>
      <c r="K220" s="8" t="str">
        <f t="shared" ca="1" si="26"/>
        <v>2017-05-22</v>
      </c>
      <c r="L220" s="8" t="str">
        <f t="shared" ca="1" si="27"/>
        <v>2017-05-29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 t="str">
        <f>IFERROR(VLOOKUP(VLOOKUP(VLOOKUP(C221,Project.csv!F:Q,12,FALSE),ServiceAreas.csv!B:I,8,FALSE),LocalAreas.csv!B:I,7,FALSE),200029)</f>
        <v>rg:None</v>
      </c>
      <c r="E221" s="8" t="str">
        <f t="shared" si="22"/>
        <v>rg:{'id':'rg:None'}</v>
      </c>
      <c r="F221" s="9" t="s">
        <v>7055</v>
      </c>
      <c r="G221" s="9" t="str">
        <f ca="1">INDEX(DistrictEquipmentTypes.csv!F:F,RANDBETWEEN(2,COUNTA(DistrictEquipmentTypes.csv!D:D)),1)</f>
        <v>200006</v>
      </c>
      <c r="H221" s="8" t="str">
        <f t="shared" ca="1" si="23"/>
        <v>rg:{ 'id': '200006'}</v>
      </c>
      <c r="I221" s="8">
        <f t="shared" ca="1" si="24"/>
        <v>1</v>
      </c>
      <c r="J221" s="8">
        <f t="shared" ca="1" si="25"/>
        <v>31</v>
      </c>
      <c r="K221" s="8" t="str">
        <f t="shared" ca="1" si="26"/>
        <v>2017-04-23</v>
      </c>
      <c r="L221" s="8" t="str">
        <f t="shared" ca="1" si="27"/>
        <v>2017-04-26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 t="str">
        <f>IFERROR(VLOOKUP(VLOOKUP(VLOOKUP(C222,Project.csv!F:Q,12,FALSE),ServiceAreas.csv!B:I,8,FALSE),LocalAreas.csv!B:I,7,FALSE),200029)</f>
        <v>rg:None</v>
      </c>
      <c r="E222" s="8" t="str">
        <f t="shared" si="22"/>
        <v>rg:{'id':'rg:None'}</v>
      </c>
      <c r="F222" s="9" t="s">
        <v>7055</v>
      </c>
      <c r="G222" s="9" t="str">
        <f ca="1">INDEX(DistrictEquipmentTypes.csv!F:F,RANDBETWEEN(2,COUNTA(DistrictEquipmentTypes.csv!D:D)),1)</f>
        <v>200005</v>
      </c>
      <c r="H222" s="8" t="str">
        <f t="shared" ca="1" si="23"/>
        <v>rg:{ 'id': '200005'}</v>
      </c>
      <c r="I222" s="8">
        <f t="shared" ca="1" si="24"/>
        <v>1</v>
      </c>
      <c r="J222" s="8">
        <f t="shared" ca="1" si="25"/>
        <v>74</v>
      </c>
      <c r="K222" s="8" t="str">
        <f t="shared" ca="1" si="26"/>
        <v>2017-04-27</v>
      </c>
      <c r="L222" s="8" t="str">
        <f t="shared" ca="1" si="27"/>
        <v>2017-05-06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 t="str">
        <f>IFERROR(VLOOKUP(VLOOKUP(VLOOKUP(C223,Project.csv!F:Q,12,FALSE),ServiceAreas.csv!B:I,8,FALSE),LocalAreas.csv!B:I,7,FALSE),200029)</f>
        <v>rg:None</v>
      </c>
      <c r="E223" s="8" t="str">
        <f t="shared" si="22"/>
        <v>rg:{'id':'rg:None'}</v>
      </c>
      <c r="F223" s="9" t="s">
        <v>7055</v>
      </c>
      <c r="G223" s="9" t="str">
        <f ca="1">INDEX(DistrictEquipmentTypes.csv!F:F,RANDBETWEEN(2,COUNTA(DistrictEquipmentTypes.csv!D:D)),1)</f>
        <v>200009</v>
      </c>
      <c r="H223" s="8" t="str">
        <f t="shared" ca="1" si="23"/>
        <v>rg:{ 'id': '200009'}</v>
      </c>
      <c r="I223" s="8">
        <f t="shared" ca="1" si="24"/>
        <v>3</v>
      </c>
      <c r="J223" s="8">
        <f t="shared" ca="1" si="25"/>
        <v>71</v>
      </c>
      <c r="K223" s="8" t="str">
        <f t="shared" ca="1" si="26"/>
        <v>2017-04-15</v>
      </c>
      <c r="L223" s="8" t="str">
        <f t="shared" ca="1" si="27"/>
        <v>2017-05-11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 t="str">
        <f>IFERROR(VLOOKUP(VLOOKUP(VLOOKUP(C224,Project.csv!F:Q,12,FALSE),ServiceAreas.csv!B:I,8,FALSE),LocalAreas.csv!B:I,7,FALSE),200029)</f>
        <v>rg:None</v>
      </c>
      <c r="E224" s="8" t="str">
        <f t="shared" si="22"/>
        <v>rg:{'id':'rg:None'}</v>
      </c>
      <c r="F224" s="9" t="s">
        <v>7055</v>
      </c>
      <c r="G224" s="9" t="str">
        <f ca="1">INDEX(DistrictEquipmentTypes.csv!F:F,RANDBETWEEN(2,COUNTA(DistrictEquipmentTypes.csv!D:D)),1)</f>
        <v>200001</v>
      </c>
      <c r="H224" s="8" t="str">
        <f t="shared" ca="1" si="23"/>
        <v>rg:{ 'id': '200001'}</v>
      </c>
      <c r="I224" s="8">
        <f t="shared" ca="1" si="24"/>
        <v>1</v>
      </c>
      <c r="J224" s="8">
        <f t="shared" ca="1" si="25"/>
        <v>84</v>
      </c>
      <c r="K224" s="8" t="str">
        <f t="shared" ca="1" si="26"/>
        <v>2017-05-05</v>
      </c>
      <c r="L224" s="8" t="str">
        <f t="shared" ca="1" si="27"/>
        <v>2017-05-15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 t="str">
        <f>IFERROR(VLOOKUP(VLOOKUP(VLOOKUP(C225,Project.csv!F:Q,12,FALSE),ServiceAreas.csv!B:I,8,FALSE),LocalAreas.csv!B:I,7,FALSE),200029)</f>
        <v>rg:None</v>
      </c>
      <c r="E225" s="8" t="str">
        <f t="shared" si="22"/>
        <v>rg:{'id':'rg:None'}</v>
      </c>
      <c r="F225" s="9" t="s">
        <v>7055</v>
      </c>
      <c r="G225" s="9" t="str">
        <f ca="1">INDEX(DistrictEquipmentTypes.csv!F:F,RANDBETWEEN(2,COUNTA(DistrictEquipmentTypes.csv!D:D)),1)</f>
        <v>200005</v>
      </c>
      <c r="H225" s="8" t="str">
        <f t="shared" ca="1" si="23"/>
        <v>rg:{ 'id': '200005'}</v>
      </c>
      <c r="I225" s="8">
        <f t="shared" ca="1" si="24"/>
        <v>4</v>
      </c>
      <c r="J225" s="8">
        <f t="shared" ca="1" si="25"/>
        <v>15</v>
      </c>
      <c r="K225" s="8" t="str">
        <f t="shared" ca="1" si="26"/>
        <v>2017-05-01</v>
      </c>
      <c r="L225" s="8" t="str">
        <f t="shared" ca="1" si="27"/>
        <v>2017-05-08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 t="str">
        <f>IFERROR(VLOOKUP(VLOOKUP(VLOOKUP(C226,Project.csv!F:Q,12,FALSE),ServiceAreas.csv!B:I,8,FALSE),LocalAreas.csv!B:I,7,FALSE),200029)</f>
        <v>rg:None</v>
      </c>
      <c r="E226" s="8" t="str">
        <f t="shared" si="22"/>
        <v>rg:{'id':'rg:None'}</v>
      </c>
      <c r="F226" s="9" t="s">
        <v>7055</v>
      </c>
      <c r="G226" s="9" t="str">
        <f ca="1">INDEX(DistrictEquipmentTypes.csv!F:F,RANDBETWEEN(2,COUNTA(DistrictEquipmentTypes.csv!D:D)),1)</f>
        <v>200003</v>
      </c>
      <c r="H226" s="8" t="str">
        <f t="shared" ca="1" si="23"/>
        <v>rg:{ 'id': '200003'}</v>
      </c>
      <c r="I226" s="8">
        <f t="shared" ca="1" si="24"/>
        <v>5</v>
      </c>
      <c r="J226" s="8">
        <f t="shared" ca="1" si="25"/>
        <v>94</v>
      </c>
      <c r="K226" s="8" t="str">
        <f t="shared" ca="1" si="26"/>
        <v>2017-05-11</v>
      </c>
      <c r="L226" s="8" t="str">
        <f t="shared" ca="1" si="27"/>
        <v>2017-07-08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 t="str">
        <f>IFERROR(VLOOKUP(VLOOKUP(VLOOKUP(C227,Project.csv!F:Q,12,FALSE),ServiceAreas.csv!B:I,8,FALSE),LocalAreas.csv!B:I,7,FALSE),200029)</f>
        <v>rg:None</v>
      </c>
      <c r="E227" s="8" t="str">
        <f t="shared" si="22"/>
        <v>rg:{'id':'rg:None'}</v>
      </c>
      <c r="F227" s="9" t="s">
        <v>7055</v>
      </c>
      <c r="G227" s="9" t="str">
        <f ca="1">INDEX(DistrictEquipmentTypes.csv!F:F,RANDBETWEEN(2,COUNTA(DistrictEquipmentTypes.csv!D:D)),1)</f>
        <v>200003</v>
      </c>
      <c r="H227" s="8" t="str">
        <f t="shared" ca="1" si="23"/>
        <v>rg:{ 'id': '200003'}</v>
      </c>
      <c r="I227" s="8">
        <f t="shared" ca="1" si="24"/>
        <v>1</v>
      </c>
      <c r="J227" s="8">
        <f t="shared" ca="1" si="25"/>
        <v>6</v>
      </c>
      <c r="K227" s="8" t="str">
        <f t="shared" ca="1" si="26"/>
        <v>2017-04-06</v>
      </c>
      <c r="L227" s="8" t="str">
        <f t="shared" ca="1" si="27"/>
        <v>2017-04-06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 t="str">
        <f>IFERROR(VLOOKUP(VLOOKUP(VLOOKUP(C228,Project.csv!F:Q,12,FALSE),ServiceAreas.csv!B:I,8,FALSE),LocalAreas.csv!B:I,7,FALSE),200029)</f>
        <v>rg:None</v>
      </c>
      <c r="E228" s="8" t="str">
        <f t="shared" si="22"/>
        <v>rg:{'id':'rg:None'}</v>
      </c>
      <c r="F228" s="9" t="s">
        <v>7055</v>
      </c>
      <c r="G228" s="9" t="str">
        <f ca="1">INDEX(DistrictEquipmentTypes.csv!F:F,RANDBETWEEN(2,COUNTA(DistrictEquipmentTypes.csv!D:D)),1)</f>
        <v>200004</v>
      </c>
      <c r="H228" s="8" t="str">
        <f t="shared" ca="1" si="23"/>
        <v>rg:{ 'id': '200004'}</v>
      </c>
      <c r="I228" s="8">
        <f t="shared" ca="1" si="24"/>
        <v>1</v>
      </c>
      <c r="J228" s="8">
        <f t="shared" ca="1" si="25"/>
        <v>56</v>
      </c>
      <c r="K228" s="8" t="str">
        <f t="shared" ca="1" si="26"/>
        <v>2017-05-04</v>
      </c>
      <c r="L228" s="8" t="str">
        <f t="shared" ca="1" si="27"/>
        <v>2017-05-11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 t="str">
        <f>IFERROR(VLOOKUP(VLOOKUP(VLOOKUP(C229,Project.csv!F:Q,12,FALSE),ServiceAreas.csv!B:I,8,FALSE),LocalAreas.csv!B:I,7,FALSE),200029)</f>
        <v>rg:None</v>
      </c>
      <c r="E229" s="8" t="str">
        <f t="shared" si="22"/>
        <v>rg:{'id':'rg:None'}</v>
      </c>
      <c r="F229" s="9" t="s">
        <v>7055</v>
      </c>
      <c r="G229" s="9" t="str">
        <f ca="1">INDEX(DistrictEquipmentTypes.csv!F:F,RANDBETWEEN(2,COUNTA(DistrictEquipmentTypes.csv!D:D)),1)</f>
        <v>200009</v>
      </c>
      <c r="H229" s="8" t="str">
        <f t="shared" ca="1" si="23"/>
        <v>rg:{ 'id': '200009'}</v>
      </c>
      <c r="I229" s="8">
        <f t="shared" ca="1" si="24"/>
        <v>1</v>
      </c>
      <c r="J229" s="8">
        <f t="shared" ca="1" si="25"/>
        <v>15</v>
      </c>
      <c r="K229" s="8" t="str">
        <f t="shared" ca="1" si="26"/>
        <v>2017-05-05</v>
      </c>
      <c r="L229" s="8" t="str">
        <f t="shared" ca="1" si="27"/>
        <v>2017-05-06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 t="str">
        <f>IFERROR(VLOOKUP(VLOOKUP(VLOOKUP(C230,Project.csv!F:Q,12,FALSE),ServiceAreas.csv!B:I,8,FALSE),LocalAreas.csv!B:I,7,FALSE),200029)</f>
        <v>rg:None</v>
      </c>
      <c r="E230" s="8" t="str">
        <f t="shared" si="22"/>
        <v>rg:{'id':'rg:None'}</v>
      </c>
      <c r="F230" s="9" t="s">
        <v>7055</v>
      </c>
      <c r="G230" s="9" t="str">
        <f ca="1">INDEX(DistrictEquipmentTypes.csv!F:F,RANDBETWEEN(2,COUNTA(DistrictEquipmentTypes.csv!D:D)),1)</f>
        <v>200000</v>
      </c>
      <c r="H230" s="8" t="str">
        <f t="shared" ca="1" si="23"/>
        <v>rg:{ 'id': '200000'}</v>
      </c>
      <c r="I230" s="8">
        <f t="shared" ca="1" si="24"/>
        <v>1</v>
      </c>
      <c r="J230" s="8">
        <f t="shared" ca="1" si="25"/>
        <v>13</v>
      </c>
      <c r="K230" s="8" t="str">
        <f t="shared" ca="1" si="26"/>
        <v>2017-04-18</v>
      </c>
      <c r="L230" s="8" t="str">
        <f t="shared" ca="1" si="27"/>
        <v>2017-04-19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 t="str">
        <f>IFERROR(VLOOKUP(VLOOKUP(VLOOKUP(C231,Project.csv!F:Q,12,FALSE),ServiceAreas.csv!B:I,8,FALSE),LocalAreas.csv!B:I,7,FALSE),200029)</f>
        <v>rg:None</v>
      </c>
      <c r="E231" s="8" t="str">
        <f t="shared" si="22"/>
        <v>rg:{'id':'rg:None'}</v>
      </c>
      <c r="F231" s="9" t="s">
        <v>7055</v>
      </c>
      <c r="G231" s="9" t="str">
        <f ca="1">INDEX(DistrictEquipmentTypes.csv!F:F,RANDBETWEEN(2,COUNTA(DistrictEquipmentTypes.csv!D:D)),1)</f>
        <v>200002</v>
      </c>
      <c r="H231" s="8" t="str">
        <f t="shared" ca="1" si="23"/>
        <v>rg:{ 'id': '200002'}</v>
      </c>
      <c r="I231" s="8">
        <f t="shared" ca="1" si="24"/>
        <v>1</v>
      </c>
      <c r="J231" s="8">
        <f t="shared" ca="1" si="25"/>
        <v>12</v>
      </c>
      <c r="K231" s="8" t="str">
        <f t="shared" ca="1" si="26"/>
        <v>2017-04-05</v>
      </c>
      <c r="L231" s="8" t="str">
        <f t="shared" ca="1" si="27"/>
        <v>2017-04-06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 t="str">
        <f>IFERROR(VLOOKUP(VLOOKUP(VLOOKUP(C232,Project.csv!F:Q,12,FALSE),ServiceAreas.csv!B:I,8,FALSE),LocalAreas.csv!B:I,7,FALSE),200029)</f>
        <v>rg:None</v>
      </c>
      <c r="E232" s="8" t="str">
        <f t="shared" si="22"/>
        <v>rg:{'id':'rg:None'}</v>
      </c>
      <c r="F232" s="9" t="s">
        <v>7055</v>
      </c>
      <c r="G232" s="9" t="str">
        <f ca="1">INDEX(DistrictEquipmentTypes.csv!F:F,RANDBETWEEN(2,COUNTA(DistrictEquipmentTypes.csv!D:D)),1)</f>
        <v>200003</v>
      </c>
      <c r="H232" s="8" t="str">
        <f t="shared" ca="1" si="23"/>
        <v>rg:{ 'id': '200003'}</v>
      </c>
      <c r="I232" s="8">
        <f t="shared" ca="1" si="24"/>
        <v>2</v>
      </c>
      <c r="J232" s="8">
        <f t="shared" ca="1" si="25"/>
        <v>31</v>
      </c>
      <c r="K232" s="8" t="str">
        <f t="shared" ca="1" si="26"/>
        <v>2017-04-21</v>
      </c>
      <c r="L232" s="8" t="str">
        <f t="shared" ca="1" si="27"/>
        <v>2017-04-28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 t="str">
        <f>IFERROR(VLOOKUP(VLOOKUP(VLOOKUP(C233,Project.csv!F:Q,12,FALSE),ServiceAreas.csv!B:I,8,FALSE),LocalAreas.csv!B:I,7,FALSE),200029)</f>
        <v>rg:None</v>
      </c>
      <c r="E233" s="8" t="str">
        <f t="shared" si="22"/>
        <v>rg:{'id':'rg:None'}</v>
      </c>
      <c r="F233" s="9" t="s">
        <v>7055</v>
      </c>
      <c r="G233" s="9" t="str">
        <f ca="1">INDEX(DistrictEquipmentTypes.csv!F:F,RANDBETWEEN(2,COUNTA(DistrictEquipmentTypes.csv!D:D)),1)</f>
        <v>200001</v>
      </c>
      <c r="H233" s="8" t="str">
        <f t="shared" ca="1" si="23"/>
        <v>rg:{ 'id': '200001'}</v>
      </c>
      <c r="I233" s="8">
        <f t="shared" ca="1" si="24"/>
        <v>1</v>
      </c>
      <c r="J233" s="8">
        <f t="shared" ca="1" si="25"/>
        <v>20</v>
      </c>
      <c r="K233" s="8" t="str">
        <f t="shared" ca="1" si="26"/>
        <v>2017-04-09</v>
      </c>
      <c r="L233" s="8" t="str">
        <f t="shared" ca="1" si="27"/>
        <v>2017-04-11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 t="str">
        <f>IFERROR(VLOOKUP(VLOOKUP(VLOOKUP(C234,Project.csv!F:Q,12,FALSE),ServiceAreas.csv!B:I,8,FALSE),LocalAreas.csv!B:I,7,FALSE),200029)</f>
        <v>rg:None</v>
      </c>
      <c r="E234" s="8" t="str">
        <f t="shared" si="22"/>
        <v>rg:{'id':'rg:None'}</v>
      </c>
      <c r="F234" s="9" t="s">
        <v>7055</v>
      </c>
      <c r="G234" s="9" t="str">
        <f ca="1">INDEX(DistrictEquipmentTypes.csv!F:F,RANDBETWEEN(2,COUNTA(DistrictEquipmentTypes.csv!D:D)),1)</f>
        <v>200009</v>
      </c>
      <c r="H234" s="8" t="str">
        <f t="shared" ca="1" si="23"/>
        <v>rg:{ 'id': '200009'}</v>
      </c>
      <c r="I234" s="8">
        <f t="shared" ca="1" si="24"/>
        <v>1</v>
      </c>
      <c r="J234" s="8">
        <f t="shared" ca="1" si="25"/>
        <v>50</v>
      </c>
      <c r="K234" s="8" t="str">
        <f t="shared" ca="1" si="26"/>
        <v>2017-03-30</v>
      </c>
      <c r="L234" s="8" t="str">
        <f t="shared" ca="1" si="27"/>
        <v>2017-04-05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 t="str">
        <f>IFERROR(VLOOKUP(VLOOKUP(VLOOKUP(C235,Project.csv!F:Q,12,FALSE),ServiceAreas.csv!B:I,8,FALSE),LocalAreas.csv!B:I,7,FALSE),200029)</f>
        <v>rg:None</v>
      </c>
      <c r="E235" s="8" t="str">
        <f t="shared" si="22"/>
        <v>rg:{'id':'rg:None'}</v>
      </c>
      <c r="F235" s="9" t="s">
        <v>7055</v>
      </c>
      <c r="G235" s="9" t="str">
        <f ca="1">INDEX(DistrictEquipmentTypes.csv!F:F,RANDBETWEEN(2,COUNTA(DistrictEquipmentTypes.csv!D:D)),1)</f>
        <v>200007</v>
      </c>
      <c r="H235" s="8" t="str">
        <f t="shared" ca="1" si="23"/>
        <v>rg:{ 'id': '200007'}</v>
      </c>
      <c r="I235" s="8">
        <f t="shared" ca="1" si="24"/>
        <v>1</v>
      </c>
      <c r="J235" s="8">
        <f t="shared" ca="1" si="25"/>
        <v>61</v>
      </c>
      <c r="K235" s="8" t="str">
        <f t="shared" ca="1" si="26"/>
        <v>2017-05-09</v>
      </c>
      <c r="L235" s="8" t="str">
        <f t="shared" ca="1" si="27"/>
        <v>2017-05-16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 t="str">
        <f>IFERROR(VLOOKUP(VLOOKUP(VLOOKUP(C236,Project.csv!F:Q,12,FALSE),ServiceAreas.csv!B:I,8,FALSE),LocalAreas.csv!B:I,7,FALSE),200029)</f>
        <v>rg:None</v>
      </c>
      <c r="E236" s="8" t="str">
        <f t="shared" si="22"/>
        <v>rg:{'id':'rg:None'}</v>
      </c>
      <c r="F236" s="9" t="s">
        <v>7055</v>
      </c>
      <c r="G236" s="9" t="str">
        <f ca="1">INDEX(DistrictEquipmentTypes.csv!F:F,RANDBETWEEN(2,COUNTA(DistrictEquipmentTypes.csv!D:D)),1)</f>
        <v>200005</v>
      </c>
      <c r="H236" s="8" t="str">
        <f t="shared" ca="1" si="23"/>
        <v>rg:{ 'id': '200005'}</v>
      </c>
      <c r="I236" s="8">
        <f t="shared" ca="1" si="24"/>
        <v>1</v>
      </c>
      <c r="J236" s="8">
        <f t="shared" ca="1" si="25"/>
        <v>14</v>
      </c>
      <c r="K236" s="8" t="str">
        <f t="shared" ca="1" si="26"/>
        <v>2017-04-28</v>
      </c>
      <c r="L236" s="8" t="str">
        <f t="shared" ca="1" si="27"/>
        <v>2017-04-29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 t="str">
        <f>IFERROR(VLOOKUP(VLOOKUP(VLOOKUP(C237,Project.csv!F:Q,12,FALSE),ServiceAreas.csv!B:I,8,FALSE),LocalAreas.csv!B:I,7,FALSE),200029)</f>
        <v>rg:None</v>
      </c>
      <c r="E237" s="8" t="str">
        <f t="shared" si="22"/>
        <v>rg:{'id':'rg:None'}</v>
      </c>
      <c r="F237" s="9" t="s">
        <v>7055</v>
      </c>
      <c r="G237" s="9" t="str">
        <f ca="1">INDEX(DistrictEquipmentTypes.csv!F:F,RANDBETWEEN(2,COUNTA(DistrictEquipmentTypes.csv!D:D)),1)</f>
        <v>200002</v>
      </c>
      <c r="H237" s="8" t="str">
        <f t="shared" ca="1" si="23"/>
        <v>rg:{ 'id': '200002'}</v>
      </c>
      <c r="I237" s="8">
        <f t="shared" ca="1" si="24"/>
        <v>1</v>
      </c>
      <c r="J237" s="8">
        <f t="shared" ca="1" si="25"/>
        <v>45</v>
      </c>
      <c r="K237" s="8" t="str">
        <f t="shared" ca="1" si="26"/>
        <v>2017-04-14</v>
      </c>
      <c r="L237" s="8" t="str">
        <f t="shared" ca="1" si="27"/>
        <v>2017-04-19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 t="str">
        <f>IFERROR(VLOOKUP(VLOOKUP(VLOOKUP(C238,Project.csv!F:Q,12,FALSE),ServiceAreas.csv!B:I,8,FALSE),LocalAreas.csv!B:I,7,FALSE),200029)</f>
        <v>rg:None</v>
      </c>
      <c r="E238" s="8" t="str">
        <f t="shared" si="22"/>
        <v>rg:{'id':'rg:None'}</v>
      </c>
      <c r="F238" s="9" t="s">
        <v>7055</v>
      </c>
      <c r="G238" s="9" t="str">
        <f ca="1">INDEX(DistrictEquipmentTypes.csv!F:F,RANDBETWEEN(2,COUNTA(DistrictEquipmentTypes.csv!D:D)),1)</f>
        <v>200006</v>
      </c>
      <c r="H238" s="8" t="str">
        <f t="shared" ca="1" si="23"/>
        <v>rg:{ 'id': '200006'}</v>
      </c>
      <c r="I238" s="8">
        <f t="shared" ca="1" si="24"/>
        <v>1</v>
      </c>
      <c r="J238" s="8">
        <f t="shared" ca="1" si="25"/>
        <v>99</v>
      </c>
      <c r="K238" s="8" t="str">
        <f t="shared" ca="1" si="26"/>
        <v>2017-05-17</v>
      </c>
      <c r="L238" s="8" t="str">
        <f t="shared" ca="1" si="27"/>
        <v>2017-05-29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 t="str">
        <f>IFERROR(VLOOKUP(VLOOKUP(VLOOKUP(C239,Project.csv!F:Q,12,FALSE),ServiceAreas.csv!B:I,8,FALSE),LocalAreas.csv!B:I,7,FALSE),200029)</f>
        <v>rg:None</v>
      </c>
      <c r="E239" s="8" t="str">
        <f t="shared" si="22"/>
        <v>rg:{'id':'rg:None'}</v>
      </c>
      <c r="F239" s="9" t="s">
        <v>7055</v>
      </c>
      <c r="G239" s="9" t="str">
        <f ca="1">INDEX(DistrictEquipmentTypes.csv!F:F,RANDBETWEEN(2,COUNTA(DistrictEquipmentTypes.csv!D:D)),1)</f>
        <v>200000</v>
      </c>
      <c r="H239" s="8" t="str">
        <f t="shared" ca="1" si="23"/>
        <v>rg:{ 'id': '200000'}</v>
      </c>
      <c r="I239" s="8">
        <f t="shared" ca="1" si="24"/>
        <v>4</v>
      </c>
      <c r="J239" s="8">
        <f t="shared" ca="1" si="25"/>
        <v>32</v>
      </c>
      <c r="K239" s="8" t="str">
        <f t="shared" ca="1" si="26"/>
        <v>2017-05-13</v>
      </c>
      <c r="L239" s="8" t="str">
        <f t="shared" ca="1" si="27"/>
        <v>2017-05-29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 t="str">
        <f>IFERROR(VLOOKUP(VLOOKUP(VLOOKUP(C240,Project.csv!F:Q,12,FALSE),ServiceAreas.csv!B:I,8,FALSE),LocalAreas.csv!B:I,7,FALSE),200029)</f>
        <v>rg:None</v>
      </c>
      <c r="E240" s="8" t="str">
        <f t="shared" si="22"/>
        <v>rg:{'id':'rg:None'}</v>
      </c>
      <c r="F240" s="9" t="s">
        <v>7055</v>
      </c>
      <c r="G240" s="9" t="str">
        <f ca="1">INDEX(DistrictEquipmentTypes.csv!F:F,RANDBETWEEN(2,COUNTA(DistrictEquipmentTypes.csv!D:D)),1)</f>
        <v>200003</v>
      </c>
      <c r="H240" s="8" t="str">
        <f t="shared" ca="1" si="23"/>
        <v>rg:{ 'id': '200003'}</v>
      </c>
      <c r="I240" s="8">
        <f t="shared" ca="1" si="24"/>
        <v>1</v>
      </c>
      <c r="J240" s="8">
        <f t="shared" ca="1" si="25"/>
        <v>59</v>
      </c>
      <c r="K240" s="8" t="str">
        <f t="shared" ca="1" si="26"/>
        <v>2017-04-18</v>
      </c>
      <c r="L240" s="8" t="str">
        <f t="shared" ca="1" si="27"/>
        <v>2017-04-25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 t="str">
        <f>IFERROR(VLOOKUP(VLOOKUP(VLOOKUP(C241,Project.csv!F:Q,12,FALSE),ServiceAreas.csv!B:I,8,FALSE),LocalAreas.csv!B:I,7,FALSE),200029)</f>
        <v>rg:None</v>
      </c>
      <c r="E241" s="8" t="str">
        <f t="shared" si="22"/>
        <v>rg:{'id':'rg:None'}</v>
      </c>
      <c r="F241" s="9" t="s">
        <v>7055</v>
      </c>
      <c r="G241" s="9" t="str">
        <f ca="1">INDEX(DistrictEquipmentTypes.csv!F:F,RANDBETWEEN(2,COUNTA(DistrictEquipmentTypes.csv!D:D)),1)</f>
        <v>200000</v>
      </c>
      <c r="H241" s="8" t="str">
        <f t="shared" ca="1" si="23"/>
        <v>rg:{ 'id': '200000'}</v>
      </c>
      <c r="I241" s="8">
        <f t="shared" ca="1" si="24"/>
        <v>1</v>
      </c>
      <c r="J241" s="8">
        <f t="shared" ca="1" si="25"/>
        <v>27</v>
      </c>
      <c r="K241" s="8" t="str">
        <f t="shared" ca="1" si="26"/>
        <v>2017-04-16</v>
      </c>
      <c r="L241" s="8" t="str">
        <f t="shared" ca="1" si="27"/>
        <v>2017-04-19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 t="str">
        <f>IFERROR(VLOOKUP(VLOOKUP(VLOOKUP(C242,Project.csv!F:Q,12,FALSE),ServiceAreas.csv!B:I,8,FALSE),LocalAreas.csv!B:I,7,FALSE),200029)</f>
        <v>rg:None</v>
      </c>
      <c r="E242" s="8" t="str">
        <f t="shared" si="22"/>
        <v>rg:{'id':'rg:None'}</v>
      </c>
      <c r="F242" s="9" t="s">
        <v>7055</v>
      </c>
      <c r="G242" s="9" t="str">
        <f ca="1">INDEX(DistrictEquipmentTypes.csv!F:F,RANDBETWEEN(2,COUNTA(DistrictEquipmentTypes.csv!D:D)),1)</f>
        <v>200003</v>
      </c>
      <c r="H242" s="8" t="str">
        <f t="shared" ca="1" si="23"/>
        <v>rg:{ 'id': '200003'}</v>
      </c>
      <c r="I242" s="8">
        <f t="shared" ca="1" si="24"/>
        <v>1</v>
      </c>
      <c r="J242" s="8">
        <f t="shared" ca="1" si="25"/>
        <v>29</v>
      </c>
      <c r="K242" s="8" t="str">
        <f t="shared" ca="1" si="26"/>
        <v>2017-04-22</v>
      </c>
      <c r="L242" s="8" t="str">
        <f t="shared" ca="1" si="27"/>
        <v>2017-04-25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 t="str">
        <f>IFERROR(VLOOKUP(VLOOKUP(VLOOKUP(C243,Project.csv!F:Q,12,FALSE),ServiceAreas.csv!B:I,8,FALSE),LocalAreas.csv!B:I,7,FALSE),200029)</f>
        <v>rg:None</v>
      </c>
      <c r="E243" s="8" t="str">
        <f t="shared" si="22"/>
        <v>rg:{'id':'rg:None'}</v>
      </c>
      <c r="F243" s="9" t="s">
        <v>7055</v>
      </c>
      <c r="G243" s="9" t="str">
        <f ca="1">INDEX(DistrictEquipmentTypes.csv!F:F,RANDBETWEEN(2,COUNTA(DistrictEquipmentTypes.csv!D:D)),1)</f>
        <v>200005</v>
      </c>
      <c r="H243" s="8" t="str">
        <f t="shared" ca="1" si="23"/>
        <v>rg:{ 'id': '200005'}</v>
      </c>
      <c r="I243" s="8">
        <f t="shared" ca="1" si="24"/>
        <v>2</v>
      </c>
      <c r="J243" s="8">
        <f t="shared" ca="1" si="25"/>
        <v>24</v>
      </c>
      <c r="K243" s="8" t="str">
        <f t="shared" ca="1" si="26"/>
        <v>2017-05-20</v>
      </c>
      <c r="L243" s="8" t="str">
        <f t="shared" ca="1" si="27"/>
        <v>2017-05-26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 t="str">
        <f>IFERROR(VLOOKUP(VLOOKUP(VLOOKUP(C244,Project.csv!F:Q,12,FALSE),ServiceAreas.csv!B:I,8,FALSE),LocalAreas.csv!B:I,7,FALSE),200029)</f>
        <v>rg:None</v>
      </c>
      <c r="E244" s="8" t="str">
        <f t="shared" si="22"/>
        <v>rg:{'id':'rg:None'}</v>
      </c>
      <c r="F244" s="9" t="s">
        <v>7055</v>
      </c>
      <c r="G244" s="9" t="str">
        <f ca="1">INDEX(DistrictEquipmentTypes.csv!F:F,RANDBETWEEN(2,COUNTA(DistrictEquipmentTypes.csv!D:D)),1)</f>
        <v>200006</v>
      </c>
      <c r="H244" s="8" t="str">
        <f t="shared" ca="1" si="23"/>
        <v>rg:{ 'id': '200006'}</v>
      </c>
      <c r="I244" s="8">
        <f t="shared" ca="1" si="24"/>
        <v>1</v>
      </c>
      <c r="J244" s="8">
        <f t="shared" ca="1" si="25"/>
        <v>49</v>
      </c>
      <c r="K244" s="8" t="str">
        <f t="shared" ca="1" si="26"/>
        <v>2017-04-15</v>
      </c>
      <c r="L244" s="8" t="str">
        <f t="shared" ca="1" si="27"/>
        <v>2017-04-21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 t="str">
        <f>IFERROR(VLOOKUP(VLOOKUP(VLOOKUP(C245,Project.csv!F:Q,12,FALSE),ServiceAreas.csv!B:I,8,FALSE),LocalAreas.csv!B:I,7,FALSE),200029)</f>
        <v>rg:None</v>
      </c>
      <c r="E245" s="8" t="str">
        <f t="shared" si="22"/>
        <v>rg:{'id':'rg:None'}</v>
      </c>
      <c r="F245" s="9" t="s">
        <v>7055</v>
      </c>
      <c r="G245" s="9" t="str">
        <f ca="1">INDEX(DistrictEquipmentTypes.csv!F:F,RANDBETWEEN(2,COUNTA(DistrictEquipmentTypes.csv!D:D)),1)</f>
        <v>200003</v>
      </c>
      <c r="H245" s="8" t="str">
        <f t="shared" ca="1" si="23"/>
        <v>rg:{ 'id': '200003'}</v>
      </c>
      <c r="I245" s="8">
        <f t="shared" ca="1" si="24"/>
        <v>1</v>
      </c>
      <c r="J245" s="8">
        <f t="shared" ca="1" si="25"/>
        <v>15</v>
      </c>
      <c r="K245" s="8" t="str">
        <f t="shared" ca="1" si="26"/>
        <v>2017-04-27</v>
      </c>
      <c r="L245" s="8" t="str">
        <f t="shared" ca="1" si="27"/>
        <v>2017-04-28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 t="str">
        <f>IFERROR(VLOOKUP(VLOOKUP(VLOOKUP(C246,Project.csv!F:Q,12,FALSE),ServiceAreas.csv!B:I,8,FALSE),LocalAreas.csv!B:I,7,FALSE),200029)</f>
        <v>rg:None</v>
      </c>
      <c r="E246" s="8" t="str">
        <f t="shared" si="22"/>
        <v>rg:{'id':'rg:None'}</v>
      </c>
      <c r="F246" s="9" t="s">
        <v>7055</v>
      </c>
      <c r="G246" s="9" t="str">
        <f ca="1">INDEX(DistrictEquipmentTypes.csv!F:F,RANDBETWEEN(2,COUNTA(DistrictEquipmentTypes.csv!D:D)),1)</f>
        <v>200003</v>
      </c>
      <c r="H246" s="8" t="str">
        <f t="shared" ca="1" si="23"/>
        <v>rg:{ 'id': '200003'}</v>
      </c>
      <c r="I246" s="8">
        <f t="shared" ca="1" si="24"/>
        <v>1</v>
      </c>
      <c r="J246" s="8">
        <f t="shared" ca="1" si="25"/>
        <v>30</v>
      </c>
      <c r="K246" s="8" t="str">
        <f t="shared" ca="1" si="26"/>
        <v>2017-04-14</v>
      </c>
      <c r="L246" s="8" t="str">
        <f t="shared" ca="1" si="27"/>
        <v>2017-04-17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 t="str">
        <f>IFERROR(VLOOKUP(VLOOKUP(VLOOKUP(C247,Project.csv!F:Q,12,FALSE),ServiceAreas.csv!B:I,8,FALSE),LocalAreas.csv!B:I,7,FALSE),200029)</f>
        <v>rg:None</v>
      </c>
      <c r="E247" s="8" t="str">
        <f t="shared" si="22"/>
        <v>rg:{'id':'rg:None'}</v>
      </c>
      <c r="F247" s="9" t="s">
        <v>7055</v>
      </c>
      <c r="G247" s="9" t="str">
        <f ca="1">INDEX(DistrictEquipmentTypes.csv!F:F,RANDBETWEEN(2,COUNTA(DistrictEquipmentTypes.csv!D:D)),1)</f>
        <v>200002</v>
      </c>
      <c r="H247" s="8" t="str">
        <f t="shared" ca="1" si="23"/>
        <v>rg:{ 'id': '200002'}</v>
      </c>
      <c r="I247" s="8">
        <f t="shared" ca="1" si="24"/>
        <v>1</v>
      </c>
      <c r="J247" s="8">
        <f t="shared" ca="1" si="25"/>
        <v>73</v>
      </c>
      <c r="K247" s="8" t="str">
        <f t="shared" ca="1" si="26"/>
        <v>2017-05-18</v>
      </c>
      <c r="L247" s="8" t="str">
        <f t="shared" ca="1" si="27"/>
        <v>2017-05-27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 t="str">
        <f>IFERROR(VLOOKUP(VLOOKUP(VLOOKUP(C248,Project.csv!F:Q,12,FALSE),ServiceAreas.csv!B:I,8,FALSE),LocalAreas.csv!B:I,7,FALSE),200029)</f>
        <v>rg:None</v>
      </c>
      <c r="E248" s="8" t="str">
        <f t="shared" si="22"/>
        <v>rg:{'id':'rg:None'}</v>
      </c>
      <c r="F248" s="9" t="s">
        <v>7055</v>
      </c>
      <c r="G248" s="9" t="str">
        <f ca="1">INDEX(DistrictEquipmentTypes.csv!F:F,RANDBETWEEN(2,COUNTA(DistrictEquipmentTypes.csv!D:D)),1)</f>
        <v>200005</v>
      </c>
      <c r="H248" s="8" t="str">
        <f t="shared" ca="1" si="23"/>
        <v>rg:{ 'id': '200005'}</v>
      </c>
      <c r="I248" s="8">
        <f t="shared" ca="1" si="24"/>
        <v>1</v>
      </c>
      <c r="J248" s="8">
        <f t="shared" ca="1" si="25"/>
        <v>61</v>
      </c>
      <c r="K248" s="8" t="str">
        <f t="shared" ca="1" si="26"/>
        <v>2017-04-16</v>
      </c>
      <c r="L248" s="8" t="str">
        <f t="shared" ca="1" si="27"/>
        <v>2017-04-23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 t="str">
        <f>IFERROR(VLOOKUP(VLOOKUP(VLOOKUP(C249,Project.csv!F:Q,12,FALSE),ServiceAreas.csv!B:I,8,FALSE),LocalAreas.csv!B:I,7,FALSE),200029)</f>
        <v>rg:None</v>
      </c>
      <c r="E249" s="8" t="str">
        <f t="shared" si="22"/>
        <v>rg:{'id':'rg:None'}</v>
      </c>
      <c r="F249" s="9" t="s">
        <v>7055</v>
      </c>
      <c r="G249" s="9" t="str">
        <f ca="1">INDEX(DistrictEquipmentTypes.csv!F:F,RANDBETWEEN(2,COUNTA(DistrictEquipmentTypes.csv!D:D)),1)</f>
        <v>200004</v>
      </c>
      <c r="H249" s="8" t="str">
        <f t="shared" ca="1" si="23"/>
        <v>rg:{ 'id': '200004'}</v>
      </c>
      <c r="I249" s="8">
        <f t="shared" ca="1" si="24"/>
        <v>1</v>
      </c>
      <c r="J249" s="8">
        <f t="shared" ca="1" si="25"/>
        <v>79</v>
      </c>
      <c r="K249" s="8" t="str">
        <f t="shared" ca="1" si="26"/>
        <v>2017-04-14</v>
      </c>
      <c r="L249" s="8" t="str">
        <f t="shared" ca="1" si="27"/>
        <v>2017-04-23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 t="str">
        <f>IFERROR(VLOOKUP(VLOOKUP(VLOOKUP(C250,Project.csv!F:Q,12,FALSE),ServiceAreas.csv!B:I,8,FALSE),LocalAreas.csv!B:I,7,FALSE),200029)</f>
        <v>rg:None</v>
      </c>
      <c r="E250" s="8" t="str">
        <f t="shared" si="22"/>
        <v>rg:{'id':'rg:None'}</v>
      </c>
      <c r="F250" s="9" t="s">
        <v>7055</v>
      </c>
      <c r="G250" s="9" t="str">
        <f ca="1">INDEX(DistrictEquipmentTypes.csv!F:F,RANDBETWEEN(2,COUNTA(DistrictEquipmentTypes.csv!D:D)),1)</f>
        <v>200006</v>
      </c>
      <c r="H250" s="8" t="str">
        <f t="shared" ca="1" si="23"/>
        <v>rg:{ 'id': '200006'}</v>
      </c>
      <c r="I250" s="8">
        <f t="shared" ca="1" si="24"/>
        <v>5</v>
      </c>
      <c r="J250" s="8">
        <f t="shared" ca="1" si="25"/>
        <v>20</v>
      </c>
      <c r="K250" s="8" t="str">
        <f t="shared" ca="1" si="26"/>
        <v>2017-04-03</v>
      </c>
      <c r="L250" s="8" t="str">
        <f t="shared" ca="1" si="27"/>
        <v>2017-04-15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 t="str">
        <f>IFERROR(VLOOKUP(VLOOKUP(VLOOKUP(C251,Project.csv!F:Q,12,FALSE),ServiceAreas.csv!B:I,8,FALSE),LocalAreas.csv!B:I,7,FALSE),200029)</f>
        <v>rg:None</v>
      </c>
      <c r="E251" s="8" t="str">
        <f t="shared" si="22"/>
        <v>rg:{'id':'rg:None'}</v>
      </c>
      <c r="F251" s="9" t="s">
        <v>7055</v>
      </c>
      <c r="G251" s="9" t="str">
        <f ca="1">INDEX(DistrictEquipmentTypes.csv!F:F,RANDBETWEEN(2,COUNTA(DistrictEquipmentTypes.csv!D:D)),1)</f>
        <v>200000</v>
      </c>
      <c r="H251" s="8" t="str">
        <f t="shared" ca="1" si="23"/>
        <v>rg:{ 'id': '200000'}</v>
      </c>
      <c r="I251" s="8">
        <f t="shared" ca="1" si="24"/>
        <v>1</v>
      </c>
      <c r="J251" s="8">
        <f t="shared" ca="1" si="25"/>
        <v>31</v>
      </c>
      <c r="K251" s="8" t="str">
        <f t="shared" ca="1" si="26"/>
        <v>2017-04-26</v>
      </c>
      <c r="L251" s="8" t="str">
        <f t="shared" ca="1" si="27"/>
        <v>2017-04-29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 t="str">
        <f>IFERROR(VLOOKUP(VLOOKUP(VLOOKUP(C252,Project.csv!F:Q,12,FALSE),ServiceAreas.csv!B:I,8,FALSE),LocalAreas.csv!B:I,7,FALSE),200029)</f>
        <v>rg:None</v>
      </c>
      <c r="E252" s="8" t="str">
        <f t="shared" si="22"/>
        <v>rg:{'id':'rg:None'}</v>
      </c>
      <c r="F252" s="9" t="s">
        <v>7055</v>
      </c>
      <c r="G252" s="9" t="str">
        <f ca="1">INDEX(DistrictEquipmentTypes.csv!F:F,RANDBETWEEN(2,COUNTA(DistrictEquipmentTypes.csv!D:D)),1)</f>
        <v>200009</v>
      </c>
      <c r="H252" s="8" t="str">
        <f t="shared" ca="1" si="23"/>
        <v>rg:{ 'id': '200009'}</v>
      </c>
      <c r="I252" s="8">
        <f t="shared" ca="1" si="24"/>
        <v>5</v>
      </c>
      <c r="J252" s="8">
        <f t="shared" ca="1" si="25"/>
        <v>82</v>
      </c>
      <c r="K252" s="8" t="str">
        <f t="shared" ca="1" si="26"/>
        <v>2017-04-29</v>
      </c>
      <c r="L252" s="8" t="str">
        <f t="shared" ca="1" si="27"/>
        <v>2017-06-19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 t="str">
        <f>IFERROR(VLOOKUP(VLOOKUP(VLOOKUP(C253,Project.csv!F:Q,12,FALSE),ServiceAreas.csv!B:I,8,FALSE),LocalAreas.csv!B:I,7,FALSE),200029)</f>
        <v>rg:None</v>
      </c>
      <c r="E253" s="8" t="str">
        <f t="shared" si="22"/>
        <v>rg:{'id':'rg:None'}</v>
      </c>
      <c r="F253" s="9" t="s">
        <v>7055</v>
      </c>
      <c r="G253" s="9" t="str">
        <f ca="1">INDEX(DistrictEquipmentTypes.csv!F:F,RANDBETWEEN(2,COUNTA(DistrictEquipmentTypes.csv!D:D)),1)</f>
        <v>200009</v>
      </c>
      <c r="H253" s="8" t="str">
        <f t="shared" ca="1" si="23"/>
        <v>rg:{ 'id': '200009'}</v>
      </c>
      <c r="I253" s="8">
        <f t="shared" ca="1" si="24"/>
        <v>1</v>
      </c>
      <c r="J253" s="8">
        <f t="shared" ca="1" si="25"/>
        <v>5</v>
      </c>
      <c r="K253" s="8" t="str">
        <f t="shared" ca="1" si="26"/>
        <v>2017-04-06</v>
      </c>
      <c r="L253" s="8" t="str">
        <f t="shared" ca="1" si="27"/>
        <v>2017-04-06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 t="str">
        <f>IFERROR(VLOOKUP(VLOOKUP(VLOOKUP(C254,Project.csv!F:Q,12,FALSE),ServiceAreas.csv!B:I,8,FALSE),LocalAreas.csv!B:I,7,FALSE),200029)</f>
        <v>rg:None</v>
      </c>
      <c r="E254" s="8" t="str">
        <f t="shared" si="22"/>
        <v>rg:{'id':'rg:None'}</v>
      </c>
      <c r="F254" s="9" t="s">
        <v>7055</v>
      </c>
      <c r="G254" s="9" t="str">
        <f ca="1">INDEX(DistrictEquipmentTypes.csv!F:F,RANDBETWEEN(2,COUNTA(DistrictEquipmentTypes.csv!D:D)),1)</f>
        <v>200002</v>
      </c>
      <c r="H254" s="8" t="str">
        <f t="shared" ca="1" si="23"/>
        <v>rg:{ 'id': '200002'}</v>
      </c>
      <c r="I254" s="8">
        <f t="shared" ca="1" si="24"/>
        <v>1</v>
      </c>
      <c r="J254" s="8">
        <f t="shared" ca="1" si="25"/>
        <v>68</v>
      </c>
      <c r="K254" s="8" t="str">
        <f t="shared" ca="1" si="26"/>
        <v>2017-04-29</v>
      </c>
      <c r="L254" s="8" t="str">
        <f t="shared" ca="1" si="27"/>
        <v>2017-05-07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 t="str">
        <f>IFERROR(VLOOKUP(VLOOKUP(VLOOKUP(C255,Project.csv!F:Q,12,FALSE),ServiceAreas.csv!B:I,8,FALSE),LocalAreas.csv!B:I,7,FALSE),200029)</f>
        <v>rg:None</v>
      </c>
      <c r="E255" s="8" t="str">
        <f t="shared" si="22"/>
        <v>rg:{'id':'rg:None'}</v>
      </c>
      <c r="F255" s="9" t="s">
        <v>7055</v>
      </c>
      <c r="G255" s="9" t="str">
        <f ca="1">INDEX(DistrictEquipmentTypes.csv!F:F,RANDBETWEEN(2,COUNTA(DistrictEquipmentTypes.csv!D:D)),1)</f>
        <v>200009</v>
      </c>
      <c r="H255" s="8" t="str">
        <f t="shared" ca="1" si="23"/>
        <v>rg:{ 'id': '200009'}</v>
      </c>
      <c r="I255" s="8">
        <f t="shared" ca="1" si="24"/>
        <v>4</v>
      </c>
      <c r="J255" s="8">
        <f t="shared" ca="1" si="25"/>
        <v>24</v>
      </c>
      <c r="K255" s="8" t="str">
        <f t="shared" ca="1" si="26"/>
        <v>2017-04-14</v>
      </c>
      <c r="L255" s="8" t="str">
        <f t="shared" ca="1" si="27"/>
        <v>2017-04-26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 t="str">
        <f>IFERROR(VLOOKUP(VLOOKUP(VLOOKUP(C256,Project.csv!F:Q,12,FALSE),ServiceAreas.csv!B:I,8,FALSE),LocalAreas.csv!B:I,7,FALSE),200029)</f>
        <v>rg:None</v>
      </c>
      <c r="E256" s="8" t="str">
        <f t="shared" si="22"/>
        <v>rg:{'id':'rg:None'}</v>
      </c>
      <c r="F256" s="9" t="s">
        <v>7055</v>
      </c>
      <c r="G256" s="9" t="str">
        <f ca="1">INDEX(DistrictEquipmentTypes.csv!F:F,RANDBETWEEN(2,COUNTA(DistrictEquipmentTypes.csv!D:D)),1)</f>
        <v>200002</v>
      </c>
      <c r="H256" s="8" t="str">
        <f t="shared" ca="1" si="23"/>
        <v>rg:{ 'id': '200002'}</v>
      </c>
      <c r="I256" s="8">
        <f t="shared" ca="1" si="24"/>
        <v>1</v>
      </c>
      <c r="J256" s="8">
        <f t="shared" ca="1" si="25"/>
        <v>37</v>
      </c>
      <c r="K256" s="8" t="str">
        <f t="shared" ca="1" si="26"/>
        <v>2017-05-11</v>
      </c>
      <c r="L256" s="8" t="str">
        <f t="shared" ca="1" si="27"/>
        <v>2017-05-15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 t="str">
        <f>IFERROR(VLOOKUP(VLOOKUP(VLOOKUP(C257,Project.csv!F:Q,12,FALSE),ServiceAreas.csv!B:I,8,FALSE),LocalAreas.csv!B:I,7,FALSE),200029)</f>
        <v>rg:None</v>
      </c>
      <c r="E257" s="8" t="str">
        <f t="shared" si="22"/>
        <v>rg:{'id':'rg:None'}</v>
      </c>
      <c r="F257" s="9" t="s">
        <v>7055</v>
      </c>
      <c r="G257" s="9" t="str">
        <f ca="1">INDEX(DistrictEquipmentTypes.csv!F:F,RANDBETWEEN(2,COUNTA(DistrictEquipmentTypes.csv!D:D)),1)</f>
        <v>200009</v>
      </c>
      <c r="H257" s="8" t="str">
        <f t="shared" ca="1" si="23"/>
        <v>rg:{ 'id': '200009'}</v>
      </c>
      <c r="I257" s="8">
        <f t="shared" ca="1" si="24"/>
        <v>1</v>
      </c>
      <c r="J257" s="8">
        <f t="shared" ca="1" si="25"/>
        <v>29</v>
      </c>
      <c r="K257" s="8" t="str">
        <f t="shared" ca="1" si="26"/>
        <v>2017-04-25</v>
      </c>
      <c r="L257" s="8" t="str">
        <f t="shared" ca="1" si="27"/>
        <v>2017-04-28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 t="str">
        <f>IFERROR(VLOOKUP(VLOOKUP(VLOOKUP(C258,Project.csv!F:Q,12,FALSE),ServiceAreas.csv!B:I,8,FALSE),LocalAreas.csv!B:I,7,FALSE),200029)</f>
        <v>rg:None</v>
      </c>
      <c r="E258" s="8" t="str">
        <f t="shared" si="22"/>
        <v>rg:{'id':'rg:None'}</v>
      </c>
      <c r="F258" s="9" t="s">
        <v>7055</v>
      </c>
      <c r="G258" s="9" t="str">
        <f ca="1">INDEX(DistrictEquipmentTypes.csv!F:F,RANDBETWEEN(2,COUNTA(DistrictEquipmentTypes.csv!D:D)),1)</f>
        <v>200002</v>
      </c>
      <c r="H258" s="8" t="str">
        <f t="shared" ca="1" si="23"/>
        <v>rg:{ 'id': '200002'}</v>
      </c>
      <c r="I258" s="8">
        <f t="shared" ca="1" si="24"/>
        <v>1</v>
      </c>
      <c r="J258" s="8">
        <f t="shared" ca="1" si="25"/>
        <v>18</v>
      </c>
      <c r="K258" s="8" t="str">
        <f t="shared" ca="1" si="26"/>
        <v>2017-04-08</v>
      </c>
      <c r="L258" s="8" t="str">
        <f t="shared" ca="1" si="27"/>
        <v>2017-04-10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 t="str">
        <f>IFERROR(VLOOKUP(VLOOKUP(VLOOKUP(C259,Project.csv!F:Q,12,FALSE),ServiceAreas.csv!B:I,8,FALSE),LocalAreas.csv!B:I,7,FALSE),200029)</f>
        <v>rg:None</v>
      </c>
      <c r="E259" s="8" t="str">
        <f t="shared" ref="E259:E322" si="29" xml:space="preserve"> "rg:{'id':'" &amp; D259 &amp; "'}"</f>
        <v>rg:{'id':'rg:None'}</v>
      </c>
      <c r="F259" s="9" t="s">
        <v>7055</v>
      </c>
      <c r="G259" s="9" t="str">
        <f ca="1">INDEX(DistrictEquipmentTypes.csv!F:F,RANDBETWEEN(2,COUNTA(DistrictEquipmentTypes.csv!D:D)),1)</f>
        <v>200002</v>
      </c>
      <c r="H259" s="8" t="str">
        <f t="shared" ref="H259:H322" ca="1" si="30">"rg:{ 'id': '"&amp;G259&amp;"'}"</f>
        <v>rg:{ 'id': '200002'}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10</v>
      </c>
      <c r="K259" s="8" t="str">
        <f t="shared" ref="K259:K322" ca="1" si="33">TEXT(TODAY()+RANDBETWEEN(1,56),"YYYY-MM-DD")</f>
        <v>2017-05-21</v>
      </c>
      <c r="L259" s="8" t="str">
        <f t="shared" ref="L259:L322" ca="1" si="34">TEXT(K259+(I259*J259)/8,"YYYY-MM-DD")</f>
        <v>2017-05-22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 t="str">
        <f>IFERROR(VLOOKUP(VLOOKUP(VLOOKUP(C260,Project.csv!F:Q,12,FALSE),ServiceAreas.csv!B:I,8,FALSE),LocalAreas.csv!B:I,7,FALSE),200029)</f>
        <v>rg:None</v>
      </c>
      <c r="E260" s="8" t="str">
        <f t="shared" si="29"/>
        <v>rg:{'id':'rg:None'}</v>
      </c>
      <c r="F260" s="9" t="s">
        <v>7055</v>
      </c>
      <c r="G260" s="9" t="str">
        <f ca="1">INDEX(DistrictEquipmentTypes.csv!F:F,RANDBETWEEN(2,COUNTA(DistrictEquipmentTypes.csv!D:D)),1)</f>
        <v>200001</v>
      </c>
      <c r="H260" s="8" t="str">
        <f t="shared" ca="1" si="30"/>
        <v>rg:{ 'id': '200001'}</v>
      </c>
      <c r="I260" s="8">
        <f t="shared" ca="1" si="31"/>
        <v>1</v>
      </c>
      <c r="J260" s="8">
        <f t="shared" ca="1" si="32"/>
        <v>59</v>
      </c>
      <c r="K260" s="8" t="str">
        <f t="shared" ca="1" si="33"/>
        <v>2017-05-14</v>
      </c>
      <c r="L260" s="8" t="str">
        <f t="shared" ca="1" si="34"/>
        <v>2017-05-21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 t="str">
        <f>IFERROR(VLOOKUP(VLOOKUP(VLOOKUP(C261,Project.csv!F:Q,12,FALSE),ServiceAreas.csv!B:I,8,FALSE),LocalAreas.csv!B:I,7,FALSE),200029)</f>
        <v>rg:None</v>
      </c>
      <c r="E261" s="8" t="str">
        <f t="shared" si="29"/>
        <v>rg:{'id':'rg:None'}</v>
      </c>
      <c r="F261" s="9" t="s">
        <v>7055</v>
      </c>
      <c r="G261" s="9" t="str">
        <f ca="1">INDEX(DistrictEquipmentTypes.csv!F:F,RANDBETWEEN(2,COUNTA(DistrictEquipmentTypes.csv!D:D)),1)</f>
        <v>200009</v>
      </c>
      <c r="H261" s="8" t="str">
        <f t="shared" ca="1" si="30"/>
        <v>rg:{ 'id': '200009'}</v>
      </c>
      <c r="I261" s="8">
        <f t="shared" ca="1" si="31"/>
        <v>1</v>
      </c>
      <c r="J261" s="8">
        <f t="shared" ca="1" si="32"/>
        <v>7</v>
      </c>
      <c r="K261" s="8" t="str">
        <f t="shared" ca="1" si="33"/>
        <v>2017-05-18</v>
      </c>
      <c r="L261" s="8" t="str">
        <f t="shared" ca="1" si="34"/>
        <v>2017-05-18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 t="str">
        <f>IFERROR(VLOOKUP(VLOOKUP(VLOOKUP(C262,Project.csv!F:Q,12,FALSE),ServiceAreas.csv!B:I,8,FALSE),LocalAreas.csv!B:I,7,FALSE),200029)</f>
        <v>rg:None</v>
      </c>
      <c r="E262" s="8" t="str">
        <f t="shared" si="29"/>
        <v>rg:{'id':'rg:None'}</v>
      </c>
      <c r="F262" s="9" t="s">
        <v>7055</v>
      </c>
      <c r="G262" s="9" t="str">
        <f ca="1">INDEX(DistrictEquipmentTypes.csv!F:F,RANDBETWEEN(2,COUNTA(DistrictEquipmentTypes.csv!D:D)),1)</f>
        <v>200000</v>
      </c>
      <c r="H262" s="8" t="str">
        <f t="shared" ca="1" si="30"/>
        <v>rg:{ 'id': '200000'}</v>
      </c>
      <c r="I262" s="8">
        <f t="shared" ca="1" si="31"/>
        <v>3</v>
      </c>
      <c r="J262" s="8">
        <f t="shared" ca="1" si="32"/>
        <v>80</v>
      </c>
      <c r="K262" s="8" t="str">
        <f t="shared" ca="1" si="33"/>
        <v>2017-04-04</v>
      </c>
      <c r="L262" s="8" t="str">
        <f t="shared" ca="1" si="34"/>
        <v>2017-05-04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 t="str">
        <f>IFERROR(VLOOKUP(VLOOKUP(VLOOKUP(C263,Project.csv!F:Q,12,FALSE),ServiceAreas.csv!B:I,8,FALSE),LocalAreas.csv!B:I,7,FALSE),200029)</f>
        <v>rg:None</v>
      </c>
      <c r="E263" s="8" t="str">
        <f t="shared" si="29"/>
        <v>rg:{'id':'rg:None'}</v>
      </c>
      <c r="F263" s="9" t="s">
        <v>7055</v>
      </c>
      <c r="G263" s="9" t="str">
        <f ca="1">INDEX(DistrictEquipmentTypes.csv!F:F,RANDBETWEEN(2,COUNTA(DistrictEquipmentTypes.csv!D:D)),1)</f>
        <v>200000</v>
      </c>
      <c r="H263" s="8" t="str">
        <f t="shared" ca="1" si="30"/>
        <v>rg:{ 'id': '200000'}</v>
      </c>
      <c r="I263" s="8">
        <f t="shared" ca="1" si="31"/>
        <v>1</v>
      </c>
      <c r="J263" s="8">
        <f t="shared" ca="1" si="32"/>
        <v>16</v>
      </c>
      <c r="K263" s="8" t="str">
        <f t="shared" ca="1" si="33"/>
        <v>2017-05-14</v>
      </c>
      <c r="L263" s="8" t="str">
        <f t="shared" ca="1" si="34"/>
        <v>2017-05-16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 t="str">
        <f>IFERROR(VLOOKUP(VLOOKUP(VLOOKUP(C264,Project.csv!F:Q,12,FALSE),ServiceAreas.csv!B:I,8,FALSE),LocalAreas.csv!B:I,7,FALSE),200029)</f>
        <v>rg:None</v>
      </c>
      <c r="E264" s="8" t="str">
        <f t="shared" si="29"/>
        <v>rg:{'id':'rg:None'}</v>
      </c>
      <c r="F264" s="9" t="s">
        <v>7055</v>
      </c>
      <c r="G264" s="9" t="str">
        <f ca="1">INDEX(DistrictEquipmentTypes.csv!F:F,RANDBETWEEN(2,COUNTA(DistrictEquipmentTypes.csv!D:D)),1)</f>
        <v>200004</v>
      </c>
      <c r="H264" s="8" t="str">
        <f t="shared" ca="1" si="30"/>
        <v>rg:{ 'id': '200004'}</v>
      </c>
      <c r="I264" s="8">
        <f t="shared" ca="1" si="31"/>
        <v>1</v>
      </c>
      <c r="J264" s="8">
        <f t="shared" ca="1" si="32"/>
        <v>19</v>
      </c>
      <c r="K264" s="8" t="str">
        <f t="shared" ca="1" si="33"/>
        <v>2017-04-09</v>
      </c>
      <c r="L264" s="8" t="str">
        <f t="shared" ca="1" si="34"/>
        <v>2017-04-11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 t="str">
        <f>IFERROR(VLOOKUP(VLOOKUP(VLOOKUP(C265,Project.csv!F:Q,12,FALSE),ServiceAreas.csv!B:I,8,FALSE),LocalAreas.csv!B:I,7,FALSE),200029)</f>
        <v>rg:None</v>
      </c>
      <c r="E265" s="8" t="str">
        <f t="shared" si="29"/>
        <v>rg:{'id':'rg:None'}</v>
      </c>
      <c r="F265" s="9" t="s">
        <v>7055</v>
      </c>
      <c r="G265" s="9" t="str">
        <f ca="1">INDEX(DistrictEquipmentTypes.csv!F:F,RANDBETWEEN(2,COUNTA(DistrictEquipmentTypes.csv!D:D)),1)</f>
        <v>200004</v>
      </c>
      <c r="H265" s="8" t="str">
        <f t="shared" ca="1" si="30"/>
        <v>rg:{ 'id': '200004'}</v>
      </c>
      <c r="I265" s="8">
        <f t="shared" ca="1" si="31"/>
        <v>1</v>
      </c>
      <c r="J265" s="8">
        <f t="shared" ca="1" si="32"/>
        <v>70</v>
      </c>
      <c r="K265" s="8" t="str">
        <f t="shared" ca="1" si="33"/>
        <v>2017-05-21</v>
      </c>
      <c r="L265" s="8" t="str">
        <f t="shared" ca="1" si="34"/>
        <v>2017-05-29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 t="str">
        <f>IFERROR(VLOOKUP(VLOOKUP(VLOOKUP(C266,Project.csv!F:Q,12,FALSE),ServiceAreas.csv!B:I,8,FALSE),LocalAreas.csv!B:I,7,FALSE),200029)</f>
        <v>rg:None</v>
      </c>
      <c r="E266" s="8" t="str">
        <f t="shared" si="29"/>
        <v>rg:{'id':'rg:None'}</v>
      </c>
      <c r="F266" s="9" t="s">
        <v>7055</v>
      </c>
      <c r="G266" s="9" t="str">
        <f ca="1">INDEX(DistrictEquipmentTypes.csv!F:F,RANDBETWEEN(2,COUNTA(DistrictEquipmentTypes.csv!D:D)),1)</f>
        <v>200001</v>
      </c>
      <c r="H266" s="8" t="str">
        <f t="shared" ca="1" si="30"/>
        <v>rg:{ 'id': '200001'}</v>
      </c>
      <c r="I266" s="8">
        <f t="shared" ca="1" si="31"/>
        <v>5</v>
      </c>
      <c r="J266" s="8">
        <f t="shared" ca="1" si="32"/>
        <v>33</v>
      </c>
      <c r="K266" s="8" t="str">
        <f t="shared" ca="1" si="33"/>
        <v>2017-05-04</v>
      </c>
      <c r="L266" s="8" t="str">
        <f t="shared" ca="1" si="34"/>
        <v>2017-05-24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 t="str">
        <f>IFERROR(VLOOKUP(VLOOKUP(VLOOKUP(C267,Project.csv!F:Q,12,FALSE),ServiceAreas.csv!B:I,8,FALSE),LocalAreas.csv!B:I,7,FALSE),200029)</f>
        <v>rg:None</v>
      </c>
      <c r="E267" s="8" t="str">
        <f t="shared" si="29"/>
        <v>rg:{'id':'rg:None'}</v>
      </c>
      <c r="F267" s="9" t="s">
        <v>7055</v>
      </c>
      <c r="G267" s="9" t="str">
        <f ca="1">INDEX(DistrictEquipmentTypes.csv!F:F,RANDBETWEEN(2,COUNTA(DistrictEquipmentTypes.csv!D:D)),1)</f>
        <v>200000</v>
      </c>
      <c r="H267" s="8" t="str">
        <f t="shared" ca="1" si="30"/>
        <v>rg:{ 'id': '200000'}</v>
      </c>
      <c r="I267" s="8">
        <f t="shared" ca="1" si="31"/>
        <v>1</v>
      </c>
      <c r="J267" s="8">
        <f t="shared" ca="1" si="32"/>
        <v>50</v>
      </c>
      <c r="K267" s="8" t="str">
        <f t="shared" ca="1" si="33"/>
        <v>2017-05-20</v>
      </c>
      <c r="L267" s="8" t="str">
        <f t="shared" ca="1" si="34"/>
        <v>2017-05-26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 t="str">
        <f>IFERROR(VLOOKUP(VLOOKUP(VLOOKUP(C268,Project.csv!F:Q,12,FALSE),ServiceAreas.csv!B:I,8,FALSE),LocalAreas.csv!B:I,7,FALSE),200029)</f>
        <v>rg:None</v>
      </c>
      <c r="E268" s="8" t="str">
        <f t="shared" si="29"/>
        <v>rg:{'id':'rg:None'}</v>
      </c>
      <c r="F268" s="9" t="s">
        <v>7055</v>
      </c>
      <c r="G268" s="9" t="str">
        <f ca="1">INDEX(DistrictEquipmentTypes.csv!F:F,RANDBETWEEN(2,COUNTA(DistrictEquipmentTypes.csv!D:D)),1)</f>
        <v>200005</v>
      </c>
      <c r="H268" s="8" t="str">
        <f t="shared" ca="1" si="30"/>
        <v>rg:{ 'id': '200005'}</v>
      </c>
      <c r="I268" s="8">
        <f t="shared" ca="1" si="31"/>
        <v>1</v>
      </c>
      <c r="J268" s="8">
        <f t="shared" ca="1" si="32"/>
        <v>66</v>
      </c>
      <c r="K268" s="8" t="str">
        <f t="shared" ca="1" si="33"/>
        <v>2017-04-14</v>
      </c>
      <c r="L268" s="8" t="str">
        <f t="shared" ca="1" si="34"/>
        <v>2017-04-22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IFERROR(VLOOKUP(VLOOKUP(VLOOKUP(C269,Project.csv!F:Q,12,FALSE),ServiceAreas.csv!B:I,8,FALSE),LocalAreas.csv!B:I,7,FALSE),200029)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200003</v>
      </c>
      <c r="H269" s="8" t="str">
        <f t="shared" ca="1" si="30"/>
        <v>rg:{ 'id': '200003'}</v>
      </c>
      <c r="I269" s="8">
        <f t="shared" ca="1" si="31"/>
        <v>1</v>
      </c>
      <c r="J269" s="8">
        <f t="shared" ca="1" si="32"/>
        <v>98</v>
      </c>
      <c r="K269" s="8" t="str">
        <f t="shared" ca="1" si="33"/>
        <v>2017-04-04</v>
      </c>
      <c r="L269" s="8" t="str">
        <f t="shared" ca="1" si="34"/>
        <v>2017-04-16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IFERROR(VLOOKUP(VLOOKUP(VLOOKUP(C270,Project.csv!F:Q,12,FALSE),ServiceAreas.csv!B:I,8,FALSE),LocalAreas.csv!B:I,7,FALSE),200029)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200007</v>
      </c>
      <c r="H270" s="8" t="str">
        <f t="shared" ca="1" si="30"/>
        <v>rg:{ 'id': '200007'}</v>
      </c>
      <c r="I270" s="8">
        <f t="shared" ca="1" si="31"/>
        <v>1</v>
      </c>
      <c r="J270" s="8">
        <f t="shared" ca="1" si="32"/>
        <v>67</v>
      </c>
      <c r="K270" s="8" t="str">
        <f t="shared" ca="1" si="33"/>
        <v>2017-04-01</v>
      </c>
      <c r="L270" s="8" t="str">
        <f t="shared" ca="1" si="34"/>
        <v>2017-04-09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IFERROR(VLOOKUP(VLOOKUP(VLOOKUP(C271,Project.csv!F:Q,12,FALSE),ServiceAreas.csv!B:I,8,FALSE),LocalAreas.csv!B:I,7,FALSE),200029)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200004</v>
      </c>
      <c r="H271" s="8" t="str">
        <f t="shared" ca="1" si="30"/>
        <v>rg:{ 'id': '200004'}</v>
      </c>
      <c r="I271" s="8">
        <f t="shared" ca="1" si="31"/>
        <v>3</v>
      </c>
      <c r="J271" s="8">
        <f t="shared" ca="1" si="32"/>
        <v>20</v>
      </c>
      <c r="K271" s="8" t="str">
        <f t="shared" ca="1" si="33"/>
        <v>2017-04-08</v>
      </c>
      <c r="L271" s="8" t="str">
        <f t="shared" ca="1" si="34"/>
        <v>2017-04-15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IFERROR(VLOOKUP(VLOOKUP(VLOOKUP(C272,Project.csv!F:Q,12,FALSE),ServiceAreas.csv!B:I,8,FALSE),LocalAreas.csv!B:I,7,FALSE),200029)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200006</v>
      </c>
      <c r="H272" s="8" t="str">
        <f t="shared" ca="1" si="30"/>
        <v>rg:{ 'id': '200006'}</v>
      </c>
      <c r="I272" s="8">
        <f t="shared" ca="1" si="31"/>
        <v>1</v>
      </c>
      <c r="J272" s="8">
        <f t="shared" ca="1" si="32"/>
        <v>16</v>
      </c>
      <c r="K272" s="8" t="str">
        <f t="shared" ca="1" si="33"/>
        <v>2017-05-20</v>
      </c>
      <c r="L272" s="8" t="str">
        <f t="shared" ca="1" si="34"/>
        <v>2017-05-22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IFERROR(VLOOKUP(VLOOKUP(VLOOKUP(C273,Project.csv!F:Q,12,FALSE),ServiceAreas.csv!B:I,8,FALSE),LocalAreas.csv!B:I,7,FALSE),200029)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200000</v>
      </c>
      <c r="H273" s="8" t="str">
        <f t="shared" ca="1" si="30"/>
        <v>rg:{ 'id': '200000'}</v>
      </c>
      <c r="I273" s="8">
        <f t="shared" ca="1" si="31"/>
        <v>1</v>
      </c>
      <c r="J273" s="8">
        <f t="shared" ca="1" si="32"/>
        <v>76</v>
      </c>
      <c r="K273" s="8" t="str">
        <f t="shared" ca="1" si="33"/>
        <v>2017-04-28</v>
      </c>
      <c r="L273" s="8" t="str">
        <f t="shared" ca="1" si="34"/>
        <v>2017-05-07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IFERROR(VLOOKUP(VLOOKUP(VLOOKUP(C274,Project.csv!F:Q,12,FALSE),ServiceAreas.csv!B:I,8,FALSE),LocalAreas.csv!B:I,7,FALSE),200029)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200004</v>
      </c>
      <c r="H274" s="8" t="str">
        <f t="shared" ca="1" si="30"/>
        <v>rg:{ 'id': '200004'}</v>
      </c>
      <c r="I274" s="8">
        <f t="shared" ca="1" si="31"/>
        <v>1</v>
      </c>
      <c r="J274" s="8">
        <f t="shared" ca="1" si="32"/>
        <v>45</v>
      </c>
      <c r="K274" s="8" t="str">
        <f t="shared" ca="1" si="33"/>
        <v>2017-05-09</v>
      </c>
      <c r="L274" s="8" t="str">
        <f t="shared" ca="1" si="34"/>
        <v>2017-05-14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IFERROR(VLOOKUP(VLOOKUP(VLOOKUP(C275,Project.csv!F:Q,12,FALSE),ServiceAreas.csv!B:I,8,FALSE),LocalAreas.csv!B:I,7,FALSE),200029)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200006</v>
      </c>
      <c r="H275" s="8" t="str">
        <f t="shared" ca="1" si="30"/>
        <v>rg:{ 'id': '200006'}</v>
      </c>
      <c r="I275" s="8">
        <f t="shared" ca="1" si="31"/>
        <v>1</v>
      </c>
      <c r="J275" s="8">
        <f t="shared" ca="1" si="32"/>
        <v>92</v>
      </c>
      <c r="K275" s="8" t="str">
        <f t="shared" ca="1" si="33"/>
        <v>2017-05-08</v>
      </c>
      <c r="L275" s="8" t="str">
        <f t="shared" ca="1" si="34"/>
        <v>2017-05-19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 t="str">
        <f>IFERROR(VLOOKUP(VLOOKUP(VLOOKUP(C276,Project.csv!F:Q,12,FALSE),ServiceAreas.csv!B:I,8,FALSE),LocalAreas.csv!B:I,7,FALSE),200029)</f>
        <v>rg:None</v>
      </c>
      <c r="E276" s="8" t="str">
        <f t="shared" si="29"/>
        <v>rg:{'id':'rg:None'}</v>
      </c>
      <c r="F276" s="9" t="s">
        <v>7055</v>
      </c>
      <c r="G276" s="9" t="str">
        <f ca="1">INDEX(DistrictEquipmentTypes.csv!F:F,RANDBETWEEN(2,COUNTA(DistrictEquipmentTypes.csv!D:D)),1)</f>
        <v>200004</v>
      </c>
      <c r="H276" s="8" t="str">
        <f t="shared" ca="1" si="30"/>
        <v>rg:{ 'id': '200004'}</v>
      </c>
      <c r="I276" s="8">
        <f t="shared" ca="1" si="31"/>
        <v>4</v>
      </c>
      <c r="J276" s="8">
        <f t="shared" ca="1" si="32"/>
        <v>43</v>
      </c>
      <c r="K276" s="8" t="str">
        <f t="shared" ca="1" si="33"/>
        <v>2017-05-24</v>
      </c>
      <c r="L276" s="8" t="str">
        <f t="shared" ca="1" si="34"/>
        <v>2017-06-14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 t="str">
        <f>IFERROR(VLOOKUP(VLOOKUP(VLOOKUP(C277,Project.csv!F:Q,12,FALSE),ServiceAreas.csv!B:I,8,FALSE),LocalAreas.csv!B:I,7,FALSE),200029)</f>
        <v>rg:None</v>
      </c>
      <c r="E277" s="8" t="str">
        <f t="shared" si="29"/>
        <v>rg:{'id':'rg:None'}</v>
      </c>
      <c r="F277" s="9" t="s">
        <v>7055</v>
      </c>
      <c r="G277" s="9" t="str">
        <f ca="1">INDEX(DistrictEquipmentTypes.csv!F:F,RANDBETWEEN(2,COUNTA(DistrictEquipmentTypes.csv!D:D)),1)</f>
        <v>200009</v>
      </c>
      <c r="H277" s="8" t="str">
        <f t="shared" ca="1" si="30"/>
        <v>rg:{ 'id': '200009'}</v>
      </c>
      <c r="I277" s="8">
        <f t="shared" ca="1" si="31"/>
        <v>1</v>
      </c>
      <c r="J277" s="8">
        <f t="shared" ca="1" si="32"/>
        <v>44</v>
      </c>
      <c r="K277" s="8" t="str">
        <f t="shared" ca="1" si="33"/>
        <v>2017-05-05</v>
      </c>
      <c r="L277" s="8" t="str">
        <f t="shared" ca="1" si="34"/>
        <v>2017-05-10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 t="str">
        <f>IFERROR(VLOOKUP(VLOOKUP(VLOOKUP(C278,Project.csv!F:Q,12,FALSE),ServiceAreas.csv!B:I,8,FALSE),LocalAreas.csv!B:I,7,FALSE),200029)</f>
        <v>rg:None</v>
      </c>
      <c r="E278" s="8" t="str">
        <f t="shared" si="29"/>
        <v>rg:{'id':'rg:None'}</v>
      </c>
      <c r="F278" s="9" t="s">
        <v>7055</v>
      </c>
      <c r="G278" s="9" t="str">
        <f ca="1">INDEX(DistrictEquipmentTypes.csv!F:F,RANDBETWEEN(2,COUNTA(DistrictEquipmentTypes.csv!D:D)),1)</f>
        <v>200009</v>
      </c>
      <c r="H278" s="8" t="str">
        <f t="shared" ca="1" si="30"/>
        <v>rg:{ 'id': '200009'}</v>
      </c>
      <c r="I278" s="8">
        <f t="shared" ca="1" si="31"/>
        <v>5</v>
      </c>
      <c r="J278" s="8">
        <f t="shared" ca="1" si="32"/>
        <v>72</v>
      </c>
      <c r="K278" s="8" t="str">
        <f t="shared" ca="1" si="33"/>
        <v>2017-04-08</v>
      </c>
      <c r="L278" s="8" t="str">
        <f t="shared" ca="1" si="34"/>
        <v>2017-05-23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 t="str">
        <f>IFERROR(VLOOKUP(VLOOKUP(VLOOKUP(C279,Project.csv!F:Q,12,FALSE),ServiceAreas.csv!B:I,8,FALSE),LocalAreas.csv!B:I,7,FALSE),200029)</f>
        <v>rg:None</v>
      </c>
      <c r="E279" s="8" t="str">
        <f t="shared" si="29"/>
        <v>rg:{'id':'rg:None'}</v>
      </c>
      <c r="F279" s="9" t="s">
        <v>7055</v>
      </c>
      <c r="G279" s="9" t="str">
        <f ca="1">INDEX(DistrictEquipmentTypes.csv!F:F,RANDBETWEEN(2,COUNTA(DistrictEquipmentTypes.csv!D:D)),1)</f>
        <v>200006</v>
      </c>
      <c r="H279" s="8" t="str">
        <f t="shared" ca="1" si="30"/>
        <v>rg:{ 'id': '200006'}</v>
      </c>
      <c r="I279" s="8">
        <f t="shared" ca="1" si="31"/>
        <v>1</v>
      </c>
      <c r="J279" s="8">
        <f t="shared" ca="1" si="32"/>
        <v>75</v>
      </c>
      <c r="K279" s="8" t="str">
        <f t="shared" ca="1" si="33"/>
        <v>2017-05-01</v>
      </c>
      <c r="L279" s="8" t="str">
        <f t="shared" ca="1" si="34"/>
        <v>2017-05-10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 t="str">
        <f>IFERROR(VLOOKUP(VLOOKUP(VLOOKUP(C280,Project.csv!F:Q,12,FALSE),ServiceAreas.csv!B:I,8,FALSE),LocalAreas.csv!B:I,7,FALSE),200029)</f>
        <v>rg:None</v>
      </c>
      <c r="E280" s="8" t="str">
        <f t="shared" si="29"/>
        <v>rg:{'id':'rg:None'}</v>
      </c>
      <c r="F280" s="9" t="s">
        <v>7055</v>
      </c>
      <c r="G280" s="9" t="str">
        <f ca="1">INDEX(DistrictEquipmentTypes.csv!F:F,RANDBETWEEN(2,COUNTA(DistrictEquipmentTypes.csv!D:D)),1)</f>
        <v>200000</v>
      </c>
      <c r="H280" s="8" t="str">
        <f t="shared" ca="1" si="30"/>
        <v>rg:{ 'id': '200000'}</v>
      </c>
      <c r="I280" s="8">
        <f t="shared" ca="1" si="31"/>
        <v>1</v>
      </c>
      <c r="J280" s="8">
        <f t="shared" ca="1" si="32"/>
        <v>58</v>
      </c>
      <c r="K280" s="8" t="str">
        <f t="shared" ca="1" si="33"/>
        <v>2017-05-24</v>
      </c>
      <c r="L280" s="8" t="str">
        <f t="shared" ca="1" si="34"/>
        <v>2017-05-31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 t="str">
        <f>IFERROR(VLOOKUP(VLOOKUP(VLOOKUP(C281,Project.csv!F:Q,12,FALSE),ServiceAreas.csv!B:I,8,FALSE),LocalAreas.csv!B:I,7,FALSE),200029)</f>
        <v>rg:None</v>
      </c>
      <c r="E281" s="8" t="str">
        <f t="shared" si="29"/>
        <v>rg:{'id':'rg:None'}</v>
      </c>
      <c r="F281" s="9" t="s">
        <v>7055</v>
      </c>
      <c r="G281" s="9" t="str">
        <f ca="1">INDEX(DistrictEquipmentTypes.csv!F:F,RANDBETWEEN(2,COUNTA(DistrictEquipmentTypes.csv!D:D)),1)</f>
        <v>200009</v>
      </c>
      <c r="H281" s="8" t="str">
        <f t="shared" ca="1" si="30"/>
        <v>rg:{ 'id': '200009'}</v>
      </c>
      <c r="I281" s="8">
        <f t="shared" ca="1" si="31"/>
        <v>1</v>
      </c>
      <c r="J281" s="8">
        <f t="shared" ca="1" si="32"/>
        <v>71</v>
      </c>
      <c r="K281" s="8" t="str">
        <f t="shared" ca="1" si="33"/>
        <v>2017-04-14</v>
      </c>
      <c r="L281" s="8" t="str">
        <f t="shared" ca="1" si="34"/>
        <v>2017-04-22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 t="str">
        <f>IFERROR(VLOOKUP(VLOOKUP(VLOOKUP(C282,Project.csv!F:Q,12,FALSE),ServiceAreas.csv!B:I,8,FALSE),LocalAreas.csv!B:I,7,FALSE),200029)</f>
        <v>rg:None</v>
      </c>
      <c r="E282" s="8" t="str">
        <f t="shared" si="29"/>
        <v>rg:{'id':'rg:None'}</v>
      </c>
      <c r="F282" s="9" t="s">
        <v>7055</v>
      </c>
      <c r="G282" s="9" t="str">
        <f ca="1">INDEX(DistrictEquipmentTypes.csv!F:F,RANDBETWEEN(2,COUNTA(DistrictEquipmentTypes.csv!D:D)),1)</f>
        <v>200009</v>
      </c>
      <c r="H282" s="8" t="str">
        <f t="shared" ca="1" si="30"/>
        <v>rg:{ 'id': '200009'}</v>
      </c>
      <c r="I282" s="8">
        <f t="shared" ca="1" si="31"/>
        <v>1</v>
      </c>
      <c r="J282" s="8">
        <f t="shared" ca="1" si="32"/>
        <v>59</v>
      </c>
      <c r="K282" s="8" t="str">
        <f t="shared" ca="1" si="33"/>
        <v>2017-05-09</v>
      </c>
      <c r="L282" s="8" t="str">
        <f t="shared" ca="1" si="34"/>
        <v>2017-05-16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 t="str">
        <f>IFERROR(VLOOKUP(VLOOKUP(VLOOKUP(C283,Project.csv!F:Q,12,FALSE),ServiceAreas.csv!B:I,8,FALSE),LocalAreas.csv!B:I,7,FALSE),200029)</f>
        <v>rg:None</v>
      </c>
      <c r="E283" s="8" t="str">
        <f t="shared" si="29"/>
        <v>rg:{'id':'rg:None'}</v>
      </c>
      <c r="F283" s="9" t="s">
        <v>7055</v>
      </c>
      <c r="G283" s="9" t="str">
        <f ca="1">INDEX(DistrictEquipmentTypes.csv!F:F,RANDBETWEEN(2,COUNTA(DistrictEquipmentTypes.csv!D:D)),1)</f>
        <v>200009</v>
      </c>
      <c r="H283" s="8" t="str">
        <f t="shared" ca="1" si="30"/>
        <v>rg:{ 'id': '200009'}</v>
      </c>
      <c r="I283" s="8">
        <f t="shared" ca="1" si="31"/>
        <v>1</v>
      </c>
      <c r="J283" s="8">
        <f t="shared" ca="1" si="32"/>
        <v>38</v>
      </c>
      <c r="K283" s="8" t="str">
        <f t="shared" ca="1" si="33"/>
        <v>2017-04-30</v>
      </c>
      <c r="L283" s="8" t="str">
        <f t="shared" ca="1" si="34"/>
        <v>2017-05-04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 t="str">
        <f>IFERROR(VLOOKUP(VLOOKUP(VLOOKUP(C284,Project.csv!F:Q,12,FALSE),ServiceAreas.csv!B:I,8,FALSE),LocalAreas.csv!B:I,7,FALSE),200029)</f>
        <v>rg:None</v>
      </c>
      <c r="E284" s="8" t="str">
        <f t="shared" si="29"/>
        <v>rg:{'id':'rg:None'}</v>
      </c>
      <c r="F284" s="9" t="s">
        <v>7055</v>
      </c>
      <c r="G284" s="9" t="str">
        <f ca="1">INDEX(DistrictEquipmentTypes.csv!F:F,RANDBETWEEN(2,COUNTA(DistrictEquipmentTypes.csv!D:D)),1)</f>
        <v>200003</v>
      </c>
      <c r="H284" s="8" t="str">
        <f t="shared" ca="1" si="30"/>
        <v>rg:{ 'id': '200003'}</v>
      </c>
      <c r="I284" s="8">
        <f t="shared" ca="1" si="31"/>
        <v>1</v>
      </c>
      <c r="J284" s="8">
        <f t="shared" ca="1" si="32"/>
        <v>86</v>
      </c>
      <c r="K284" s="8" t="str">
        <f t="shared" ca="1" si="33"/>
        <v>2017-04-19</v>
      </c>
      <c r="L284" s="8" t="str">
        <f t="shared" ca="1" si="34"/>
        <v>2017-04-29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 t="str">
        <f>IFERROR(VLOOKUP(VLOOKUP(VLOOKUP(C285,Project.csv!F:Q,12,FALSE),ServiceAreas.csv!B:I,8,FALSE),LocalAreas.csv!B:I,7,FALSE),200029)</f>
        <v>rg:None</v>
      </c>
      <c r="E285" s="8" t="str">
        <f t="shared" si="29"/>
        <v>rg:{'id':'rg:None'}</v>
      </c>
      <c r="F285" s="9" t="s">
        <v>7055</v>
      </c>
      <c r="G285" s="9" t="str">
        <f ca="1">INDEX(DistrictEquipmentTypes.csv!F:F,RANDBETWEEN(2,COUNTA(DistrictEquipmentTypes.csv!D:D)),1)</f>
        <v>200005</v>
      </c>
      <c r="H285" s="8" t="str">
        <f t="shared" ca="1" si="30"/>
        <v>rg:{ 'id': '200005'}</v>
      </c>
      <c r="I285" s="8">
        <f t="shared" ca="1" si="31"/>
        <v>1</v>
      </c>
      <c r="J285" s="8">
        <f t="shared" ca="1" si="32"/>
        <v>94</v>
      </c>
      <c r="K285" s="8" t="str">
        <f t="shared" ca="1" si="33"/>
        <v>2017-04-12</v>
      </c>
      <c r="L285" s="8" t="str">
        <f t="shared" ca="1" si="34"/>
        <v>2017-04-23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 t="str">
        <f>IFERROR(VLOOKUP(VLOOKUP(VLOOKUP(C286,Project.csv!F:Q,12,FALSE),ServiceAreas.csv!B:I,8,FALSE),LocalAreas.csv!B:I,7,FALSE),200029)</f>
        <v>rg:None</v>
      </c>
      <c r="E286" s="8" t="str">
        <f t="shared" si="29"/>
        <v>rg:{'id':'rg:None'}</v>
      </c>
      <c r="F286" s="9" t="s">
        <v>7055</v>
      </c>
      <c r="G286" s="9" t="str">
        <f ca="1">INDEX(DistrictEquipmentTypes.csv!F:F,RANDBETWEEN(2,COUNTA(DistrictEquipmentTypes.csv!D:D)),1)</f>
        <v>200002</v>
      </c>
      <c r="H286" s="8" t="str">
        <f t="shared" ca="1" si="30"/>
        <v>rg:{ 'id': '200002'}</v>
      </c>
      <c r="I286" s="8">
        <f t="shared" ca="1" si="31"/>
        <v>1</v>
      </c>
      <c r="J286" s="8">
        <f t="shared" ca="1" si="32"/>
        <v>46</v>
      </c>
      <c r="K286" s="8" t="str">
        <f t="shared" ca="1" si="33"/>
        <v>2017-04-02</v>
      </c>
      <c r="L286" s="8" t="str">
        <f t="shared" ca="1" si="34"/>
        <v>2017-04-07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 t="str">
        <f>IFERROR(VLOOKUP(VLOOKUP(VLOOKUP(C287,Project.csv!F:Q,12,FALSE),ServiceAreas.csv!B:I,8,FALSE),LocalAreas.csv!B:I,7,FALSE),200029)</f>
        <v>rg:None</v>
      </c>
      <c r="E287" s="8" t="str">
        <f t="shared" si="29"/>
        <v>rg:{'id':'rg:None'}</v>
      </c>
      <c r="F287" s="9" t="s">
        <v>7055</v>
      </c>
      <c r="G287" s="9" t="str">
        <f ca="1">INDEX(DistrictEquipmentTypes.csv!F:F,RANDBETWEEN(2,COUNTA(DistrictEquipmentTypes.csv!D:D)),1)</f>
        <v>200006</v>
      </c>
      <c r="H287" s="8" t="str">
        <f t="shared" ca="1" si="30"/>
        <v>rg:{ 'id': '200006'}</v>
      </c>
      <c r="I287" s="8">
        <f t="shared" ca="1" si="31"/>
        <v>5</v>
      </c>
      <c r="J287" s="8">
        <f t="shared" ca="1" si="32"/>
        <v>66</v>
      </c>
      <c r="K287" s="8" t="str">
        <f t="shared" ca="1" si="33"/>
        <v>2017-05-07</v>
      </c>
      <c r="L287" s="8" t="str">
        <f t="shared" ca="1" si="34"/>
        <v>2017-06-17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 t="str">
        <f>IFERROR(VLOOKUP(VLOOKUP(VLOOKUP(C288,Project.csv!F:Q,12,FALSE),ServiceAreas.csv!B:I,8,FALSE),LocalAreas.csv!B:I,7,FALSE),200029)</f>
        <v>rg:None</v>
      </c>
      <c r="E288" s="8" t="str">
        <f t="shared" si="29"/>
        <v>rg:{'id':'rg:None'}</v>
      </c>
      <c r="F288" s="9" t="s">
        <v>7055</v>
      </c>
      <c r="G288" s="9" t="str">
        <f ca="1">INDEX(DistrictEquipmentTypes.csv!F:F,RANDBETWEEN(2,COUNTA(DistrictEquipmentTypes.csv!D:D)),1)</f>
        <v>200003</v>
      </c>
      <c r="H288" s="8" t="str">
        <f t="shared" ca="1" si="30"/>
        <v>rg:{ 'id': '200003'}</v>
      </c>
      <c r="I288" s="8">
        <f t="shared" ca="1" si="31"/>
        <v>1</v>
      </c>
      <c r="J288" s="8">
        <f t="shared" ca="1" si="32"/>
        <v>48</v>
      </c>
      <c r="K288" s="8" t="str">
        <f t="shared" ca="1" si="33"/>
        <v>2017-04-24</v>
      </c>
      <c r="L288" s="8" t="str">
        <f t="shared" ca="1" si="34"/>
        <v>2017-04-30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 t="str">
        <f>IFERROR(VLOOKUP(VLOOKUP(VLOOKUP(C289,Project.csv!F:Q,12,FALSE),ServiceAreas.csv!B:I,8,FALSE),LocalAreas.csv!B:I,7,FALSE),200029)</f>
        <v>rg:None</v>
      </c>
      <c r="E289" s="8" t="str">
        <f t="shared" si="29"/>
        <v>rg:{'id':'rg:None'}</v>
      </c>
      <c r="F289" s="9" t="s">
        <v>7055</v>
      </c>
      <c r="G289" s="9" t="str">
        <f ca="1">INDEX(DistrictEquipmentTypes.csv!F:F,RANDBETWEEN(2,COUNTA(DistrictEquipmentTypes.csv!D:D)),1)</f>
        <v>200005</v>
      </c>
      <c r="H289" s="8" t="str">
        <f t="shared" ca="1" si="30"/>
        <v>rg:{ 'id': '200005'}</v>
      </c>
      <c r="I289" s="8">
        <f t="shared" ca="1" si="31"/>
        <v>1</v>
      </c>
      <c r="J289" s="8">
        <f t="shared" ca="1" si="32"/>
        <v>85</v>
      </c>
      <c r="K289" s="8" t="str">
        <f t="shared" ca="1" si="33"/>
        <v>2017-05-13</v>
      </c>
      <c r="L289" s="8" t="str">
        <f t="shared" ca="1" si="34"/>
        <v>2017-05-23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 t="str">
        <f>IFERROR(VLOOKUP(VLOOKUP(VLOOKUP(C290,Project.csv!F:Q,12,FALSE),ServiceAreas.csv!B:I,8,FALSE),LocalAreas.csv!B:I,7,FALSE),200029)</f>
        <v>rg:None</v>
      </c>
      <c r="E290" s="8" t="str">
        <f t="shared" si="29"/>
        <v>rg:{'id':'rg:None'}</v>
      </c>
      <c r="F290" s="9" t="s">
        <v>7055</v>
      </c>
      <c r="G290" s="9" t="str">
        <f ca="1">INDEX(DistrictEquipmentTypes.csv!F:F,RANDBETWEEN(2,COUNTA(DistrictEquipmentTypes.csv!D:D)),1)</f>
        <v>200002</v>
      </c>
      <c r="H290" s="8" t="str">
        <f t="shared" ca="1" si="30"/>
        <v>rg:{ 'id': '200002'}</v>
      </c>
      <c r="I290" s="8">
        <f t="shared" ca="1" si="31"/>
        <v>1</v>
      </c>
      <c r="J290" s="8">
        <f t="shared" ca="1" si="32"/>
        <v>10</v>
      </c>
      <c r="K290" s="8" t="str">
        <f t="shared" ca="1" si="33"/>
        <v>2017-04-25</v>
      </c>
      <c r="L290" s="8" t="str">
        <f t="shared" ca="1" si="34"/>
        <v>2017-04-26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 t="str">
        <f>IFERROR(VLOOKUP(VLOOKUP(VLOOKUP(C291,Project.csv!F:Q,12,FALSE),ServiceAreas.csv!B:I,8,FALSE),LocalAreas.csv!B:I,7,FALSE),200029)</f>
        <v>rg:None</v>
      </c>
      <c r="E291" s="8" t="str">
        <f t="shared" si="29"/>
        <v>rg:{'id':'rg:None'}</v>
      </c>
      <c r="F291" s="9" t="s">
        <v>7055</v>
      </c>
      <c r="G291" s="9" t="str">
        <f ca="1">INDEX(DistrictEquipmentTypes.csv!F:F,RANDBETWEEN(2,COUNTA(DistrictEquipmentTypes.csv!D:D)),1)</f>
        <v>200006</v>
      </c>
      <c r="H291" s="8" t="str">
        <f t="shared" ca="1" si="30"/>
        <v>rg:{ 'id': '200006'}</v>
      </c>
      <c r="I291" s="8">
        <f t="shared" ca="1" si="31"/>
        <v>2</v>
      </c>
      <c r="J291" s="8">
        <f t="shared" ca="1" si="32"/>
        <v>54</v>
      </c>
      <c r="K291" s="8" t="str">
        <f t="shared" ca="1" si="33"/>
        <v>2017-04-14</v>
      </c>
      <c r="L291" s="8" t="str">
        <f t="shared" ca="1" si="34"/>
        <v>2017-04-27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 t="str">
        <f>IFERROR(VLOOKUP(VLOOKUP(VLOOKUP(C292,Project.csv!F:Q,12,FALSE),ServiceAreas.csv!B:I,8,FALSE),LocalAreas.csv!B:I,7,FALSE),200029)</f>
        <v>rg:None</v>
      </c>
      <c r="E292" s="8" t="str">
        <f t="shared" si="29"/>
        <v>rg:{'id':'rg:None'}</v>
      </c>
      <c r="F292" s="9" t="s">
        <v>7055</v>
      </c>
      <c r="G292" s="9" t="str">
        <f ca="1">INDEX(DistrictEquipmentTypes.csv!F:F,RANDBETWEEN(2,COUNTA(DistrictEquipmentTypes.csv!D:D)),1)</f>
        <v>200002</v>
      </c>
      <c r="H292" s="8" t="str">
        <f t="shared" ca="1" si="30"/>
        <v>rg:{ 'id': '200002'}</v>
      </c>
      <c r="I292" s="8">
        <f t="shared" ca="1" si="31"/>
        <v>2</v>
      </c>
      <c r="J292" s="8">
        <f t="shared" ca="1" si="32"/>
        <v>37</v>
      </c>
      <c r="K292" s="8" t="str">
        <f t="shared" ca="1" si="33"/>
        <v>2017-04-24</v>
      </c>
      <c r="L292" s="8" t="str">
        <f t="shared" ca="1" si="34"/>
        <v>2017-05-03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 t="str">
        <f>IFERROR(VLOOKUP(VLOOKUP(VLOOKUP(C293,Project.csv!F:Q,12,FALSE),ServiceAreas.csv!B:I,8,FALSE),LocalAreas.csv!B:I,7,FALSE),200029)</f>
        <v>rg:None</v>
      </c>
      <c r="E293" s="8" t="str">
        <f t="shared" si="29"/>
        <v>rg:{'id':'rg:None'}</v>
      </c>
      <c r="F293" s="9" t="s">
        <v>7055</v>
      </c>
      <c r="G293" s="9" t="str">
        <f ca="1">INDEX(DistrictEquipmentTypes.csv!F:F,RANDBETWEEN(2,COUNTA(DistrictEquipmentTypes.csv!D:D)),1)</f>
        <v>200004</v>
      </c>
      <c r="H293" s="8" t="str">
        <f t="shared" ca="1" si="30"/>
        <v>rg:{ 'id': '200004'}</v>
      </c>
      <c r="I293" s="8">
        <f t="shared" ca="1" si="31"/>
        <v>1</v>
      </c>
      <c r="J293" s="8">
        <f t="shared" ca="1" si="32"/>
        <v>90</v>
      </c>
      <c r="K293" s="8" t="str">
        <f t="shared" ca="1" si="33"/>
        <v>2017-05-09</v>
      </c>
      <c r="L293" s="8" t="str">
        <f t="shared" ca="1" si="34"/>
        <v>2017-05-20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 t="str">
        <f>IFERROR(VLOOKUP(VLOOKUP(VLOOKUP(C294,Project.csv!F:Q,12,FALSE),ServiceAreas.csv!B:I,8,FALSE),LocalAreas.csv!B:I,7,FALSE),200029)</f>
        <v>rg:None</v>
      </c>
      <c r="E294" s="8" t="str">
        <f t="shared" si="29"/>
        <v>rg:{'id':'rg:None'}</v>
      </c>
      <c r="F294" s="9" t="s">
        <v>7055</v>
      </c>
      <c r="G294" s="9" t="str">
        <f ca="1">INDEX(DistrictEquipmentTypes.csv!F:F,RANDBETWEEN(2,COUNTA(DistrictEquipmentTypes.csv!D:D)),1)</f>
        <v>200002</v>
      </c>
      <c r="H294" s="8" t="str">
        <f t="shared" ca="1" si="30"/>
        <v>rg:{ 'id': '200002'}</v>
      </c>
      <c r="I294" s="8">
        <f t="shared" ca="1" si="31"/>
        <v>1</v>
      </c>
      <c r="J294" s="8">
        <f t="shared" ca="1" si="32"/>
        <v>4</v>
      </c>
      <c r="K294" s="8" t="str">
        <f t="shared" ca="1" si="33"/>
        <v>2017-05-12</v>
      </c>
      <c r="L294" s="8" t="str">
        <f t="shared" ca="1" si="34"/>
        <v>2017-05-12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 t="str">
        <f>IFERROR(VLOOKUP(VLOOKUP(VLOOKUP(C295,Project.csv!F:Q,12,FALSE),ServiceAreas.csv!B:I,8,FALSE),LocalAreas.csv!B:I,7,FALSE),200029)</f>
        <v>rg:None</v>
      </c>
      <c r="E295" s="8" t="str">
        <f t="shared" si="29"/>
        <v>rg:{'id':'rg:None'}</v>
      </c>
      <c r="F295" s="9" t="s">
        <v>7055</v>
      </c>
      <c r="G295" s="9" t="str">
        <f ca="1">INDEX(DistrictEquipmentTypes.csv!F:F,RANDBETWEEN(2,COUNTA(DistrictEquipmentTypes.csv!D:D)),1)</f>
        <v>200003</v>
      </c>
      <c r="H295" s="8" t="str">
        <f t="shared" ca="1" si="30"/>
        <v>rg:{ 'id': '200003'}</v>
      </c>
      <c r="I295" s="8">
        <f t="shared" ca="1" si="31"/>
        <v>1</v>
      </c>
      <c r="J295" s="8">
        <f t="shared" ca="1" si="32"/>
        <v>38</v>
      </c>
      <c r="K295" s="8" t="str">
        <f t="shared" ca="1" si="33"/>
        <v>2017-04-29</v>
      </c>
      <c r="L295" s="8" t="str">
        <f t="shared" ca="1" si="34"/>
        <v>2017-05-03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 t="str">
        <f>IFERROR(VLOOKUP(VLOOKUP(VLOOKUP(C296,Project.csv!F:Q,12,FALSE),ServiceAreas.csv!B:I,8,FALSE),LocalAreas.csv!B:I,7,FALSE),200029)</f>
        <v>rg:None</v>
      </c>
      <c r="E296" s="8" t="str">
        <f t="shared" si="29"/>
        <v>rg:{'id':'rg:None'}</v>
      </c>
      <c r="F296" s="9" t="s">
        <v>7055</v>
      </c>
      <c r="G296" s="9" t="str">
        <f ca="1">INDEX(DistrictEquipmentTypes.csv!F:F,RANDBETWEEN(2,COUNTA(DistrictEquipmentTypes.csv!D:D)),1)</f>
        <v>200009</v>
      </c>
      <c r="H296" s="8" t="str">
        <f t="shared" ca="1" si="30"/>
        <v>rg:{ 'id': '200009'}</v>
      </c>
      <c r="I296" s="8">
        <f t="shared" ca="1" si="31"/>
        <v>4</v>
      </c>
      <c r="J296" s="8">
        <f t="shared" ca="1" si="32"/>
        <v>37</v>
      </c>
      <c r="K296" s="8" t="str">
        <f t="shared" ca="1" si="33"/>
        <v>2017-05-23</v>
      </c>
      <c r="L296" s="8" t="str">
        <f t="shared" ca="1" si="34"/>
        <v>2017-06-10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 t="str">
        <f>IFERROR(VLOOKUP(VLOOKUP(VLOOKUP(C297,Project.csv!F:Q,12,FALSE),ServiceAreas.csv!B:I,8,FALSE),LocalAreas.csv!B:I,7,FALSE),200029)</f>
        <v>rg:None</v>
      </c>
      <c r="E297" s="8" t="str">
        <f t="shared" si="29"/>
        <v>rg:{'id':'rg:None'}</v>
      </c>
      <c r="F297" s="9" t="s">
        <v>7055</v>
      </c>
      <c r="G297" s="9" t="str">
        <f ca="1">INDEX(DistrictEquipmentTypes.csv!F:F,RANDBETWEEN(2,COUNTA(DistrictEquipmentTypes.csv!D:D)),1)</f>
        <v>200004</v>
      </c>
      <c r="H297" s="8" t="str">
        <f t="shared" ca="1" si="30"/>
        <v>rg:{ 'id': '200004'}</v>
      </c>
      <c r="I297" s="8">
        <f t="shared" ca="1" si="31"/>
        <v>1</v>
      </c>
      <c r="J297" s="8">
        <f t="shared" ca="1" si="32"/>
        <v>58</v>
      </c>
      <c r="K297" s="8" t="str">
        <f t="shared" ca="1" si="33"/>
        <v>2017-04-22</v>
      </c>
      <c r="L297" s="8" t="str">
        <f t="shared" ca="1" si="34"/>
        <v>2017-04-29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 t="str">
        <f>IFERROR(VLOOKUP(VLOOKUP(VLOOKUP(C298,Project.csv!F:Q,12,FALSE),ServiceAreas.csv!B:I,8,FALSE),LocalAreas.csv!B:I,7,FALSE),200029)</f>
        <v>rg:None</v>
      </c>
      <c r="E298" s="8" t="str">
        <f t="shared" si="29"/>
        <v>rg:{'id':'rg:None'}</v>
      </c>
      <c r="F298" s="9" t="s">
        <v>7055</v>
      </c>
      <c r="G298" s="9" t="str">
        <f ca="1">INDEX(DistrictEquipmentTypes.csv!F:F,RANDBETWEEN(2,COUNTA(DistrictEquipmentTypes.csv!D:D)),1)</f>
        <v>200002</v>
      </c>
      <c r="H298" s="8" t="str">
        <f t="shared" ca="1" si="30"/>
        <v>rg:{ 'id': '200002'}</v>
      </c>
      <c r="I298" s="8">
        <f t="shared" ca="1" si="31"/>
        <v>1</v>
      </c>
      <c r="J298" s="8">
        <f t="shared" ca="1" si="32"/>
        <v>54</v>
      </c>
      <c r="K298" s="8" t="str">
        <f t="shared" ca="1" si="33"/>
        <v>2017-04-17</v>
      </c>
      <c r="L298" s="8" t="str">
        <f t="shared" ca="1" si="34"/>
        <v>2017-04-23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 t="str">
        <f>IFERROR(VLOOKUP(VLOOKUP(VLOOKUP(C299,Project.csv!F:Q,12,FALSE),ServiceAreas.csv!B:I,8,FALSE),LocalAreas.csv!B:I,7,FALSE),200029)</f>
        <v>rg:None</v>
      </c>
      <c r="E299" s="8" t="str">
        <f t="shared" si="29"/>
        <v>rg:{'id':'rg:None'}</v>
      </c>
      <c r="F299" s="9" t="s">
        <v>7055</v>
      </c>
      <c r="G299" s="9" t="str">
        <f ca="1">INDEX(DistrictEquipmentTypes.csv!F:F,RANDBETWEEN(2,COUNTA(DistrictEquipmentTypes.csv!D:D)),1)</f>
        <v>200009</v>
      </c>
      <c r="H299" s="8" t="str">
        <f t="shared" ca="1" si="30"/>
        <v>rg:{ 'id': '200009'}</v>
      </c>
      <c r="I299" s="8">
        <f t="shared" ca="1" si="31"/>
        <v>3</v>
      </c>
      <c r="J299" s="8">
        <f t="shared" ca="1" si="32"/>
        <v>43</v>
      </c>
      <c r="K299" s="8" t="str">
        <f t="shared" ca="1" si="33"/>
        <v>2017-05-07</v>
      </c>
      <c r="L299" s="8" t="str">
        <f t="shared" ca="1" si="34"/>
        <v>2017-05-23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 t="str">
        <f>IFERROR(VLOOKUP(VLOOKUP(VLOOKUP(C300,Project.csv!F:Q,12,FALSE),ServiceAreas.csv!B:I,8,FALSE),LocalAreas.csv!B:I,7,FALSE),200029)</f>
        <v>rg:None</v>
      </c>
      <c r="E300" s="8" t="str">
        <f t="shared" si="29"/>
        <v>rg:{'id':'rg:None'}</v>
      </c>
      <c r="F300" s="9" t="s">
        <v>7055</v>
      </c>
      <c r="G300" s="9" t="str">
        <f ca="1">INDEX(DistrictEquipmentTypes.csv!F:F,RANDBETWEEN(2,COUNTA(DistrictEquipmentTypes.csv!D:D)),1)</f>
        <v>200004</v>
      </c>
      <c r="H300" s="8" t="str">
        <f t="shared" ca="1" si="30"/>
        <v>rg:{ 'id': '200004'}</v>
      </c>
      <c r="I300" s="8">
        <f t="shared" ca="1" si="31"/>
        <v>1</v>
      </c>
      <c r="J300" s="8">
        <f t="shared" ca="1" si="32"/>
        <v>68</v>
      </c>
      <c r="K300" s="8" t="str">
        <f t="shared" ca="1" si="33"/>
        <v>2017-05-04</v>
      </c>
      <c r="L300" s="8" t="str">
        <f t="shared" ca="1" si="34"/>
        <v>2017-05-12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 t="str">
        <f>IFERROR(VLOOKUP(VLOOKUP(VLOOKUP(C301,Project.csv!F:Q,12,FALSE),ServiceAreas.csv!B:I,8,FALSE),LocalAreas.csv!B:I,7,FALSE),200029)</f>
        <v>rg:None</v>
      </c>
      <c r="E301" s="8" t="str">
        <f t="shared" si="29"/>
        <v>rg:{'id':'rg:None'}</v>
      </c>
      <c r="F301" s="9" t="s">
        <v>7055</v>
      </c>
      <c r="G301" s="9" t="str">
        <f ca="1">INDEX(DistrictEquipmentTypes.csv!F:F,RANDBETWEEN(2,COUNTA(DistrictEquipmentTypes.csv!D:D)),1)</f>
        <v>200003</v>
      </c>
      <c r="H301" s="8" t="str">
        <f t="shared" ca="1" si="30"/>
        <v>rg:{ 'id': '200003'}</v>
      </c>
      <c r="I301" s="8">
        <f t="shared" ca="1" si="31"/>
        <v>1</v>
      </c>
      <c r="J301" s="8">
        <f t="shared" ca="1" si="32"/>
        <v>51</v>
      </c>
      <c r="K301" s="8" t="str">
        <f t="shared" ca="1" si="33"/>
        <v>2017-04-01</v>
      </c>
      <c r="L301" s="8" t="str">
        <f t="shared" ca="1" si="34"/>
        <v>2017-04-07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 t="str">
        <f>IFERROR(VLOOKUP(VLOOKUP(VLOOKUP(C302,Project.csv!F:Q,12,FALSE),ServiceAreas.csv!B:I,8,FALSE),LocalAreas.csv!B:I,7,FALSE),200029)</f>
        <v>rg:None</v>
      </c>
      <c r="E302" s="8" t="str">
        <f t="shared" si="29"/>
        <v>rg:{'id':'rg:None'}</v>
      </c>
      <c r="F302" s="9" t="s">
        <v>7055</v>
      </c>
      <c r="G302" s="9" t="str">
        <f ca="1">INDEX(DistrictEquipmentTypes.csv!F:F,RANDBETWEEN(2,COUNTA(DistrictEquipmentTypes.csv!D:D)),1)</f>
        <v>200006</v>
      </c>
      <c r="H302" s="8" t="str">
        <f t="shared" ca="1" si="30"/>
        <v>rg:{ 'id': '200006'}</v>
      </c>
      <c r="I302" s="8">
        <f t="shared" ca="1" si="31"/>
        <v>3</v>
      </c>
      <c r="J302" s="8">
        <f t="shared" ca="1" si="32"/>
        <v>82</v>
      </c>
      <c r="K302" s="8" t="str">
        <f t="shared" ca="1" si="33"/>
        <v>2017-05-02</v>
      </c>
      <c r="L302" s="8" t="str">
        <f t="shared" ca="1" si="34"/>
        <v>2017-06-01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 t="str">
        <f>IFERROR(VLOOKUP(VLOOKUP(VLOOKUP(C303,Project.csv!F:Q,12,FALSE),ServiceAreas.csv!B:I,8,FALSE),LocalAreas.csv!B:I,7,FALSE),200029)</f>
        <v>rg:None</v>
      </c>
      <c r="E303" s="8" t="str">
        <f t="shared" si="29"/>
        <v>rg:{'id':'rg:None'}</v>
      </c>
      <c r="F303" s="9" t="s">
        <v>7055</v>
      </c>
      <c r="G303" s="9" t="str">
        <f ca="1">INDEX(DistrictEquipmentTypes.csv!F:F,RANDBETWEEN(2,COUNTA(DistrictEquipmentTypes.csv!D:D)),1)</f>
        <v>200006</v>
      </c>
      <c r="H303" s="8" t="str">
        <f t="shared" ca="1" si="30"/>
        <v>rg:{ 'id': '200006'}</v>
      </c>
      <c r="I303" s="8">
        <f t="shared" ca="1" si="31"/>
        <v>2</v>
      </c>
      <c r="J303" s="8">
        <f t="shared" ca="1" si="32"/>
        <v>93</v>
      </c>
      <c r="K303" s="8" t="str">
        <f t="shared" ca="1" si="33"/>
        <v>2017-04-02</v>
      </c>
      <c r="L303" s="8" t="str">
        <f t="shared" ca="1" si="34"/>
        <v>2017-04-25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 t="str">
        <f>IFERROR(VLOOKUP(VLOOKUP(VLOOKUP(C304,Project.csv!F:Q,12,FALSE),ServiceAreas.csv!B:I,8,FALSE),LocalAreas.csv!B:I,7,FALSE),200029)</f>
        <v>rg:None</v>
      </c>
      <c r="E304" s="8" t="str">
        <f t="shared" si="29"/>
        <v>rg:{'id':'rg:None'}</v>
      </c>
      <c r="F304" s="9" t="s">
        <v>7055</v>
      </c>
      <c r="G304" s="9" t="str">
        <f ca="1">INDEX(DistrictEquipmentTypes.csv!F:F,RANDBETWEEN(2,COUNTA(DistrictEquipmentTypes.csv!D:D)),1)</f>
        <v>200006</v>
      </c>
      <c r="H304" s="8" t="str">
        <f t="shared" ca="1" si="30"/>
        <v>rg:{ 'id': '200006'}</v>
      </c>
      <c r="I304" s="8">
        <f t="shared" ca="1" si="31"/>
        <v>1</v>
      </c>
      <c r="J304" s="8">
        <f t="shared" ca="1" si="32"/>
        <v>56</v>
      </c>
      <c r="K304" s="8" t="str">
        <f t="shared" ca="1" si="33"/>
        <v>2017-05-11</v>
      </c>
      <c r="L304" s="8" t="str">
        <f t="shared" ca="1" si="34"/>
        <v>2017-05-18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 t="str">
        <f>IFERROR(VLOOKUP(VLOOKUP(VLOOKUP(C305,Project.csv!F:Q,12,FALSE),ServiceAreas.csv!B:I,8,FALSE),LocalAreas.csv!B:I,7,FALSE),200029)</f>
        <v>rg:None</v>
      </c>
      <c r="E305" s="8" t="str">
        <f t="shared" si="29"/>
        <v>rg:{'id':'rg:None'}</v>
      </c>
      <c r="F305" s="9" t="s">
        <v>7055</v>
      </c>
      <c r="G305" s="9" t="str">
        <f ca="1">INDEX(DistrictEquipmentTypes.csv!F:F,RANDBETWEEN(2,COUNTA(DistrictEquipmentTypes.csv!D:D)),1)</f>
        <v>200000</v>
      </c>
      <c r="H305" s="8" t="str">
        <f t="shared" ca="1" si="30"/>
        <v>rg:{ 'id': '200000'}</v>
      </c>
      <c r="I305" s="8">
        <f t="shared" ca="1" si="31"/>
        <v>1</v>
      </c>
      <c r="J305" s="8">
        <f t="shared" ca="1" si="32"/>
        <v>87</v>
      </c>
      <c r="K305" s="8" t="str">
        <f t="shared" ca="1" si="33"/>
        <v>2017-05-18</v>
      </c>
      <c r="L305" s="8" t="str">
        <f t="shared" ca="1" si="34"/>
        <v>2017-05-28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 t="str">
        <f>IFERROR(VLOOKUP(VLOOKUP(VLOOKUP(C306,Project.csv!F:Q,12,FALSE),ServiceAreas.csv!B:I,8,FALSE),LocalAreas.csv!B:I,7,FALSE),200029)</f>
        <v>rg:None</v>
      </c>
      <c r="E306" s="8" t="str">
        <f t="shared" si="29"/>
        <v>rg:{'id':'rg:None'}</v>
      </c>
      <c r="F306" s="9" t="s">
        <v>7055</v>
      </c>
      <c r="G306" s="9" t="str">
        <f ca="1">INDEX(DistrictEquipmentTypes.csv!F:F,RANDBETWEEN(2,COUNTA(DistrictEquipmentTypes.csv!D:D)),1)</f>
        <v>200001</v>
      </c>
      <c r="H306" s="8" t="str">
        <f t="shared" ca="1" si="30"/>
        <v>rg:{ 'id': '200001'}</v>
      </c>
      <c r="I306" s="8">
        <f t="shared" ca="1" si="31"/>
        <v>1</v>
      </c>
      <c r="J306" s="8">
        <f t="shared" ca="1" si="32"/>
        <v>21</v>
      </c>
      <c r="K306" s="8" t="str">
        <f t="shared" ca="1" si="33"/>
        <v>2017-04-12</v>
      </c>
      <c r="L306" s="8" t="str">
        <f t="shared" ca="1" si="34"/>
        <v>2017-04-14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 t="str">
        <f>IFERROR(VLOOKUP(VLOOKUP(VLOOKUP(C307,Project.csv!F:Q,12,FALSE),ServiceAreas.csv!B:I,8,FALSE),LocalAreas.csv!B:I,7,FALSE),200029)</f>
        <v>rg:None</v>
      </c>
      <c r="E307" s="8" t="str">
        <f t="shared" si="29"/>
        <v>rg:{'id':'rg:None'}</v>
      </c>
      <c r="F307" s="9" t="s">
        <v>7055</v>
      </c>
      <c r="G307" s="9" t="str">
        <f ca="1">INDEX(DistrictEquipmentTypes.csv!F:F,RANDBETWEEN(2,COUNTA(DistrictEquipmentTypes.csv!D:D)),1)</f>
        <v>200001</v>
      </c>
      <c r="H307" s="8" t="str">
        <f t="shared" ca="1" si="30"/>
        <v>rg:{ 'id': '200001'}</v>
      </c>
      <c r="I307" s="8">
        <f t="shared" ca="1" si="31"/>
        <v>4</v>
      </c>
      <c r="J307" s="8">
        <f t="shared" ca="1" si="32"/>
        <v>90</v>
      </c>
      <c r="K307" s="8" t="str">
        <f t="shared" ca="1" si="33"/>
        <v>2017-04-24</v>
      </c>
      <c r="L307" s="8" t="str">
        <f t="shared" ca="1" si="34"/>
        <v>2017-06-08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 t="str">
        <f>IFERROR(VLOOKUP(VLOOKUP(VLOOKUP(C308,Project.csv!F:Q,12,FALSE),ServiceAreas.csv!B:I,8,FALSE),LocalAreas.csv!B:I,7,FALSE),200029)</f>
        <v>rg:None</v>
      </c>
      <c r="E308" s="8" t="str">
        <f t="shared" si="29"/>
        <v>rg:{'id':'rg:None'}</v>
      </c>
      <c r="F308" s="9" t="s">
        <v>7055</v>
      </c>
      <c r="G308" s="9" t="str">
        <f ca="1">INDEX(DistrictEquipmentTypes.csv!F:F,RANDBETWEEN(2,COUNTA(DistrictEquipmentTypes.csv!D:D)),1)</f>
        <v>200001</v>
      </c>
      <c r="H308" s="8" t="str">
        <f t="shared" ca="1" si="30"/>
        <v>rg:{ 'id': '200001'}</v>
      </c>
      <c r="I308" s="8">
        <f t="shared" ca="1" si="31"/>
        <v>1</v>
      </c>
      <c r="J308" s="8">
        <f t="shared" ca="1" si="32"/>
        <v>95</v>
      </c>
      <c r="K308" s="8" t="str">
        <f t="shared" ca="1" si="33"/>
        <v>2017-05-17</v>
      </c>
      <c r="L308" s="8" t="str">
        <f t="shared" ca="1" si="34"/>
        <v>2017-05-28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 t="str">
        <f>IFERROR(VLOOKUP(VLOOKUP(VLOOKUP(C309,Project.csv!F:Q,12,FALSE),ServiceAreas.csv!B:I,8,FALSE),LocalAreas.csv!B:I,7,FALSE),200029)</f>
        <v>rg:None</v>
      </c>
      <c r="E309" s="8" t="str">
        <f t="shared" si="29"/>
        <v>rg:{'id':'rg:None'}</v>
      </c>
      <c r="F309" s="9" t="s">
        <v>7055</v>
      </c>
      <c r="G309" s="9" t="str">
        <f ca="1">INDEX(DistrictEquipmentTypes.csv!F:F,RANDBETWEEN(2,COUNTA(DistrictEquipmentTypes.csv!D:D)),1)</f>
        <v>200001</v>
      </c>
      <c r="H309" s="8" t="str">
        <f t="shared" ca="1" si="30"/>
        <v>rg:{ 'id': '200001'}</v>
      </c>
      <c r="I309" s="8">
        <f t="shared" ca="1" si="31"/>
        <v>1</v>
      </c>
      <c r="J309" s="8">
        <f t="shared" ca="1" si="32"/>
        <v>61</v>
      </c>
      <c r="K309" s="8" t="str">
        <f t="shared" ca="1" si="33"/>
        <v>2017-05-12</v>
      </c>
      <c r="L309" s="8" t="str">
        <f t="shared" ca="1" si="34"/>
        <v>2017-05-19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 t="str">
        <f>IFERROR(VLOOKUP(VLOOKUP(VLOOKUP(C310,Project.csv!F:Q,12,FALSE),ServiceAreas.csv!B:I,8,FALSE),LocalAreas.csv!B:I,7,FALSE),200029)</f>
        <v>rg:None</v>
      </c>
      <c r="E310" s="8" t="str">
        <f t="shared" si="29"/>
        <v>rg:{'id':'rg:None'}</v>
      </c>
      <c r="F310" s="9" t="s">
        <v>7055</v>
      </c>
      <c r="G310" s="9" t="str">
        <f ca="1">INDEX(DistrictEquipmentTypes.csv!F:F,RANDBETWEEN(2,COUNTA(DistrictEquipmentTypes.csv!D:D)),1)</f>
        <v>200009</v>
      </c>
      <c r="H310" s="8" t="str">
        <f t="shared" ca="1" si="30"/>
        <v>rg:{ 'id': '200009'}</v>
      </c>
      <c r="I310" s="8">
        <f t="shared" ca="1" si="31"/>
        <v>1</v>
      </c>
      <c r="J310" s="8">
        <f t="shared" ca="1" si="32"/>
        <v>13</v>
      </c>
      <c r="K310" s="8" t="str">
        <f t="shared" ca="1" si="33"/>
        <v>2017-04-05</v>
      </c>
      <c r="L310" s="8" t="str">
        <f t="shared" ca="1" si="34"/>
        <v>2017-04-06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 t="str">
        <f>IFERROR(VLOOKUP(VLOOKUP(VLOOKUP(C311,Project.csv!F:Q,12,FALSE),ServiceAreas.csv!B:I,8,FALSE),LocalAreas.csv!B:I,7,FALSE),200029)</f>
        <v>rg:None</v>
      </c>
      <c r="E311" s="8" t="str">
        <f t="shared" si="29"/>
        <v>rg:{'id':'rg:None'}</v>
      </c>
      <c r="F311" s="9" t="s">
        <v>7055</v>
      </c>
      <c r="G311" s="9" t="str">
        <f ca="1">INDEX(DistrictEquipmentTypes.csv!F:F,RANDBETWEEN(2,COUNTA(DistrictEquipmentTypes.csv!D:D)),1)</f>
        <v>200006</v>
      </c>
      <c r="H311" s="8" t="str">
        <f t="shared" ca="1" si="30"/>
        <v>rg:{ 'id': '200006'}</v>
      </c>
      <c r="I311" s="8">
        <f t="shared" ca="1" si="31"/>
        <v>1</v>
      </c>
      <c r="J311" s="8">
        <f t="shared" ca="1" si="32"/>
        <v>24</v>
      </c>
      <c r="K311" s="8" t="str">
        <f t="shared" ca="1" si="33"/>
        <v>2017-04-08</v>
      </c>
      <c r="L311" s="8" t="str">
        <f t="shared" ca="1" si="34"/>
        <v>2017-04-11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 t="str">
        <f>IFERROR(VLOOKUP(VLOOKUP(VLOOKUP(C312,Project.csv!F:Q,12,FALSE),ServiceAreas.csv!B:I,8,FALSE),LocalAreas.csv!B:I,7,FALSE),200029)</f>
        <v>rg:None</v>
      </c>
      <c r="E312" s="8" t="str">
        <f t="shared" si="29"/>
        <v>rg:{'id':'rg:None'}</v>
      </c>
      <c r="F312" s="9" t="s">
        <v>7055</v>
      </c>
      <c r="G312" s="9" t="str">
        <f ca="1">INDEX(DistrictEquipmentTypes.csv!F:F,RANDBETWEEN(2,COUNTA(DistrictEquipmentTypes.csv!D:D)),1)</f>
        <v>200006</v>
      </c>
      <c r="H312" s="8" t="str">
        <f t="shared" ca="1" si="30"/>
        <v>rg:{ 'id': '200006'}</v>
      </c>
      <c r="I312" s="8">
        <f t="shared" ca="1" si="31"/>
        <v>1</v>
      </c>
      <c r="J312" s="8">
        <f t="shared" ca="1" si="32"/>
        <v>75</v>
      </c>
      <c r="K312" s="8" t="str">
        <f t="shared" ca="1" si="33"/>
        <v>2017-04-07</v>
      </c>
      <c r="L312" s="8" t="str">
        <f t="shared" ca="1" si="34"/>
        <v>2017-04-16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 t="str">
        <f>IFERROR(VLOOKUP(VLOOKUP(VLOOKUP(C313,Project.csv!F:Q,12,FALSE),ServiceAreas.csv!B:I,8,FALSE),LocalAreas.csv!B:I,7,FALSE),200029)</f>
        <v>rg:None</v>
      </c>
      <c r="E313" s="8" t="str">
        <f t="shared" si="29"/>
        <v>rg:{'id':'rg:None'}</v>
      </c>
      <c r="F313" s="9" t="s">
        <v>7055</v>
      </c>
      <c r="G313" s="9" t="str">
        <f ca="1">INDEX(DistrictEquipmentTypes.csv!F:F,RANDBETWEEN(2,COUNTA(DistrictEquipmentTypes.csv!D:D)),1)</f>
        <v>200001</v>
      </c>
      <c r="H313" s="8" t="str">
        <f t="shared" ca="1" si="30"/>
        <v>rg:{ 'id': '200001'}</v>
      </c>
      <c r="I313" s="8">
        <f t="shared" ca="1" si="31"/>
        <v>1</v>
      </c>
      <c r="J313" s="8">
        <f t="shared" ca="1" si="32"/>
        <v>94</v>
      </c>
      <c r="K313" s="8" t="str">
        <f t="shared" ca="1" si="33"/>
        <v>2017-03-30</v>
      </c>
      <c r="L313" s="8" t="str">
        <f t="shared" ca="1" si="34"/>
        <v>2017-04-10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 t="str">
        <f>IFERROR(VLOOKUP(VLOOKUP(VLOOKUP(C314,Project.csv!F:Q,12,FALSE),ServiceAreas.csv!B:I,8,FALSE),LocalAreas.csv!B:I,7,FALSE),200029)</f>
        <v>rg:None</v>
      </c>
      <c r="E314" s="8" t="str">
        <f t="shared" si="29"/>
        <v>rg:{'id':'rg:None'}</v>
      </c>
      <c r="F314" s="9" t="s">
        <v>7055</v>
      </c>
      <c r="G314" s="9" t="str">
        <f ca="1">INDEX(DistrictEquipmentTypes.csv!F:F,RANDBETWEEN(2,COUNTA(DistrictEquipmentTypes.csv!D:D)),1)</f>
        <v>200005</v>
      </c>
      <c r="H314" s="8" t="str">
        <f t="shared" ca="1" si="30"/>
        <v>rg:{ 'id': '200005'}</v>
      </c>
      <c r="I314" s="8">
        <f t="shared" ca="1" si="31"/>
        <v>1</v>
      </c>
      <c r="J314" s="8">
        <f t="shared" ca="1" si="32"/>
        <v>98</v>
      </c>
      <c r="K314" s="8" t="str">
        <f t="shared" ca="1" si="33"/>
        <v>2017-05-21</v>
      </c>
      <c r="L314" s="8" t="str">
        <f t="shared" ca="1" si="34"/>
        <v>2017-06-02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 t="str">
        <f>IFERROR(VLOOKUP(VLOOKUP(VLOOKUP(C315,Project.csv!F:Q,12,FALSE),ServiceAreas.csv!B:I,8,FALSE),LocalAreas.csv!B:I,7,FALSE),200029)</f>
        <v>rg:None</v>
      </c>
      <c r="E315" s="8" t="str">
        <f t="shared" si="29"/>
        <v>rg:{'id':'rg:None'}</v>
      </c>
      <c r="F315" s="9" t="s">
        <v>7055</v>
      </c>
      <c r="G315" s="9" t="str">
        <f ca="1">INDEX(DistrictEquipmentTypes.csv!F:F,RANDBETWEEN(2,COUNTA(DistrictEquipmentTypes.csv!D:D)),1)</f>
        <v>200009</v>
      </c>
      <c r="H315" s="8" t="str">
        <f t="shared" ca="1" si="30"/>
        <v>rg:{ 'id': '200009'}</v>
      </c>
      <c r="I315" s="8">
        <f t="shared" ca="1" si="31"/>
        <v>1</v>
      </c>
      <c r="J315" s="8">
        <f t="shared" ca="1" si="32"/>
        <v>97</v>
      </c>
      <c r="K315" s="8" t="str">
        <f t="shared" ca="1" si="33"/>
        <v>2017-04-18</v>
      </c>
      <c r="L315" s="8" t="str">
        <f t="shared" ca="1" si="34"/>
        <v>2017-04-30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 t="str">
        <f>IFERROR(VLOOKUP(VLOOKUP(VLOOKUP(C316,Project.csv!F:Q,12,FALSE),ServiceAreas.csv!B:I,8,FALSE),LocalAreas.csv!B:I,7,FALSE),200029)</f>
        <v>rg:None</v>
      </c>
      <c r="E316" s="8" t="str">
        <f t="shared" si="29"/>
        <v>rg:{'id':'rg:None'}</v>
      </c>
      <c r="F316" s="9" t="s">
        <v>7055</v>
      </c>
      <c r="G316" s="9" t="str">
        <f ca="1">INDEX(DistrictEquipmentTypes.csv!F:F,RANDBETWEEN(2,COUNTA(DistrictEquipmentTypes.csv!D:D)),1)</f>
        <v>200007</v>
      </c>
      <c r="H316" s="8" t="str">
        <f t="shared" ca="1" si="30"/>
        <v>rg:{ 'id': '200007'}</v>
      </c>
      <c r="I316" s="8">
        <f t="shared" ca="1" si="31"/>
        <v>1</v>
      </c>
      <c r="J316" s="8">
        <f t="shared" ca="1" si="32"/>
        <v>37</v>
      </c>
      <c r="K316" s="8" t="str">
        <f t="shared" ca="1" si="33"/>
        <v>2017-05-04</v>
      </c>
      <c r="L316" s="8" t="str">
        <f t="shared" ca="1" si="34"/>
        <v>2017-05-08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 t="str">
        <f>IFERROR(VLOOKUP(VLOOKUP(VLOOKUP(C317,Project.csv!F:Q,12,FALSE),ServiceAreas.csv!B:I,8,FALSE),LocalAreas.csv!B:I,7,FALSE),200029)</f>
        <v>rg:None</v>
      </c>
      <c r="E317" s="8" t="str">
        <f t="shared" si="29"/>
        <v>rg:{'id':'rg:None'}</v>
      </c>
      <c r="F317" s="9" t="s">
        <v>7055</v>
      </c>
      <c r="G317" s="9" t="str">
        <f ca="1">INDEX(DistrictEquipmentTypes.csv!F:F,RANDBETWEEN(2,COUNTA(DistrictEquipmentTypes.csv!D:D)),1)</f>
        <v>200009</v>
      </c>
      <c r="H317" s="8" t="str">
        <f t="shared" ca="1" si="30"/>
        <v>rg:{ 'id': '200009'}</v>
      </c>
      <c r="I317" s="8">
        <f t="shared" ca="1" si="31"/>
        <v>1</v>
      </c>
      <c r="J317" s="8">
        <f t="shared" ca="1" si="32"/>
        <v>59</v>
      </c>
      <c r="K317" s="8" t="str">
        <f t="shared" ca="1" si="33"/>
        <v>2017-05-22</v>
      </c>
      <c r="L317" s="8" t="str">
        <f t="shared" ca="1" si="34"/>
        <v>2017-05-29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IFERROR(VLOOKUP(VLOOKUP(VLOOKUP(C318,Project.csv!F:Q,12,FALSE),ServiceAreas.csv!B:I,8,FALSE),LocalAreas.csv!B:I,7,FALSE),200029)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200009</v>
      </c>
      <c r="H318" s="8" t="str">
        <f t="shared" ca="1" si="30"/>
        <v>rg:{ 'id': '200009'}</v>
      </c>
      <c r="I318" s="8">
        <f t="shared" ca="1" si="31"/>
        <v>1</v>
      </c>
      <c r="J318" s="8">
        <f t="shared" ca="1" si="32"/>
        <v>32</v>
      </c>
      <c r="K318" s="8" t="str">
        <f t="shared" ca="1" si="33"/>
        <v>2017-05-18</v>
      </c>
      <c r="L318" s="8" t="str">
        <f t="shared" ca="1" si="34"/>
        <v>2017-05-22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IFERROR(VLOOKUP(VLOOKUP(VLOOKUP(C319,Project.csv!F:Q,12,FALSE),ServiceAreas.csv!B:I,8,FALSE),LocalAreas.csv!B:I,7,FALSE),200029)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200001</v>
      </c>
      <c r="H319" s="8" t="str">
        <f t="shared" ca="1" si="30"/>
        <v>rg:{ 'id': '200001'}</v>
      </c>
      <c r="I319" s="8">
        <f t="shared" ca="1" si="31"/>
        <v>1</v>
      </c>
      <c r="J319" s="8">
        <f t="shared" ca="1" si="32"/>
        <v>41</v>
      </c>
      <c r="K319" s="8" t="str">
        <f t="shared" ca="1" si="33"/>
        <v>2017-05-05</v>
      </c>
      <c r="L319" s="8" t="str">
        <f t="shared" ca="1" si="34"/>
        <v>2017-05-10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IFERROR(VLOOKUP(VLOOKUP(VLOOKUP(C320,Project.csv!F:Q,12,FALSE),ServiceAreas.csv!B:I,8,FALSE),LocalAreas.csv!B:I,7,FALSE),200029)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200001</v>
      </c>
      <c r="H320" s="8" t="str">
        <f t="shared" ca="1" si="30"/>
        <v>rg:{ 'id': '200001'}</v>
      </c>
      <c r="I320" s="8">
        <f t="shared" ca="1" si="31"/>
        <v>1</v>
      </c>
      <c r="J320" s="8">
        <f t="shared" ca="1" si="32"/>
        <v>42</v>
      </c>
      <c r="K320" s="8" t="str">
        <f t="shared" ca="1" si="33"/>
        <v>2017-04-08</v>
      </c>
      <c r="L320" s="8" t="str">
        <f t="shared" ca="1" si="34"/>
        <v>2017-04-13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IFERROR(VLOOKUP(VLOOKUP(VLOOKUP(C321,Project.csv!F:Q,12,FALSE),ServiceAreas.csv!B:I,8,FALSE),LocalAreas.csv!B:I,7,FALSE),200029)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200006</v>
      </c>
      <c r="H321" s="8" t="str">
        <f t="shared" ca="1" si="30"/>
        <v>rg:{ 'id': '200006'}</v>
      </c>
      <c r="I321" s="8">
        <f t="shared" ca="1" si="31"/>
        <v>1</v>
      </c>
      <c r="J321" s="8">
        <f t="shared" ca="1" si="32"/>
        <v>95</v>
      </c>
      <c r="K321" s="8" t="str">
        <f t="shared" ca="1" si="33"/>
        <v>2017-05-19</v>
      </c>
      <c r="L321" s="8" t="str">
        <f t="shared" ca="1" si="34"/>
        <v>2017-05-30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IFERROR(VLOOKUP(VLOOKUP(VLOOKUP(C322,Project.csv!F:Q,12,FALSE),ServiceAreas.csv!B:I,8,FALSE),LocalAreas.csv!B:I,7,FALSE),200029)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200003</v>
      </c>
      <c r="H322" s="8" t="str">
        <f t="shared" ca="1" si="30"/>
        <v>rg:{ 'id': '200003'}</v>
      </c>
      <c r="I322" s="8">
        <f t="shared" ca="1" si="31"/>
        <v>4</v>
      </c>
      <c r="J322" s="8">
        <f t="shared" ca="1" si="32"/>
        <v>18</v>
      </c>
      <c r="K322" s="8" t="str">
        <f t="shared" ca="1" si="33"/>
        <v>2017-04-28</v>
      </c>
      <c r="L322" s="8" t="str">
        <f t="shared" ca="1" si="34"/>
        <v>2017-05-07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IFERROR(VLOOKUP(VLOOKUP(VLOOKUP(C323,Project.csv!F:Q,12,FALSE),ServiceAreas.csv!B:I,8,FALSE),LocalAreas.csv!B:I,7,FALSE),200029)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200006</v>
      </c>
      <c r="H323" s="8" t="str">
        <f t="shared" ref="H323:H325" ca="1" si="37">"rg:{ 'id': '"&amp;G323&amp;"'}"</f>
        <v>rg:{ 'id': '200006'}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9</v>
      </c>
      <c r="K323" s="8" t="str">
        <f t="shared" ref="K323:K325" ca="1" si="40">TEXT(TODAY()+RANDBETWEEN(1,56),"YYYY-MM-DD")</f>
        <v>2017-05-10</v>
      </c>
      <c r="L323" s="8" t="str">
        <f t="shared" ref="L323:L325" ca="1" si="41">TEXT(K323+(I323*J323)/8,"YYYY-MM-DD")</f>
        <v>2017-05-11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IFERROR(VLOOKUP(VLOOKUP(VLOOKUP(C324,Project.csv!F:Q,12,FALSE),ServiceAreas.csv!B:I,8,FALSE),LocalAreas.csv!B:I,7,FALSE),200029)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200004</v>
      </c>
      <c r="H324" s="8" t="str">
        <f t="shared" ca="1" si="37"/>
        <v>rg:{ 'id': '200004'}</v>
      </c>
      <c r="I324" s="8">
        <f t="shared" ca="1" si="38"/>
        <v>5</v>
      </c>
      <c r="J324" s="8">
        <f t="shared" ca="1" si="39"/>
        <v>99</v>
      </c>
      <c r="K324" s="8" t="str">
        <f t="shared" ca="1" si="40"/>
        <v>2017-05-23</v>
      </c>
      <c r="L324" s="8" t="str">
        <f t="shared" ca="1" si="41"/>
        <v>2017-07-23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IFERROR(VLOOKUP(VLOOKUP(VLOOKUP(C325,Project.csv!F:Q,12,FALSE),ServiceAreas.csv!B:I,8,FALSE),LocalAreas.csv!B:I,7,FALSE),200029)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200003</v>
      </c>
      <c r="H325" s="8" t="str">
        <f t="shared" ca="1" si="37"/>
        <v>rg:{ 'id': '200003'}</v>
      </c>
      <c r="I325" s="8">
        <f t="shared" ca="1" si="38"/>
        <v>1</v>
      </c>
      <c r="J325" s="8">
        <f t="shared" ca="1" si="39"/>
        <v>21</v>
      </c>
      <c r="K325" s="8" t="str">
        <f t="shared" ca="1" si="40"/>
        <v>2017-04-03</v>
      </c>
      <c r="L325" s="8" t="str">
        <f t="shared" ca="1" si="41"/>
        <v>2017-04-05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8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  <c r="H1" t="s">
        <v>5325</v>
      </c>
    </row>
    <row r="2" spans="1:8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  <c r="H2">
        <v>200000</v>
      </c>
    </row>
    <row r="3" spans="1:8" x14ac:dyDescent="0.3">
      <c r="A3" t="s">
        <v>7883</v>
      </c>
      <c r="B3" t="s">
        <v>7776</v>
      </c>
      <c r="C3" t="s">
        <v>7869</v>
      </c>
      <c r="D3">
        <v>3</v>
      </c>
      <c r="E3" t="s">
        <v>7779</v>
      </c>
      <c r="F3" t="s">
        <v>6664</v>
      </c>
      <c r="H3">
        <f>H2+1</f>
        <v>200001</v>
      </c>
    </row>
    <row r="4" spans="1:8" x14ac:dyDescent="0.3">
      <c r="A4" t="s">
        <v>7883</v>
      </c>
      <c r="B4" t="s">
        <v>7776</v>
      </c>
      <c r="C4" t="s">
        <v>7869</v>
      </c>
      <c r="D4">
        <v>1</v>
      </c>
      <c r="E4" t="s">
        <v>7780</v>
      </c>
      <c r="F4" t="s">
        <v>6665</v>
      </c>
      <c r="H4">
        <f t="shared" ref="H4:H54" si="0">H3+1</f>
        <v>200002</v>
      </c>
    </row>
    <row r="5" spans="1:8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  <c r="H5">
        <f t="shared" si="0"/>
        <v>200003</v>
      </c>
    </row>
    <row r="6" spans="1:8" x14ac:dyDescent="0.3">
      <c r="A6" t="s">
        <v>7883</v>
      </c>
      <c r="B6" t="s">
        <v>7781</v>
      </c>
      <c r="C6" t="s">
        <v>7869</v>
      </c>
      <c r="D6">
        <v>3</v>
      </c>
      <c r="E6" t="s">
        <v>7779</v>
      </c>
      <c r="F6" t="s">
        <v>6664</v>
      </c>
      <c r="H6">
        <f t="shared" si="0"/>
        <v>200004</v>
      </c>
    </row>
    <row r="7" spans="1:8" x14ac:dyDescent="0.3">
      <c r="A7" t="s">
        <v>7883</v>
      </c>
      <c r="B7" t="s">
        <v>7781</v>
      </c>
      <c r="C7" t="s">
        <v>7869</v>
      </c>
      <c r="D7">
        <v>1</v>
      </c>
      <c r="E7" t="s">
        <v>7780</v>
      </c>
      <c r="F7" t="s">
        <v>6665</v>
      </c>
      <c r="H7">
        <f t="shared" si="0"/>
        <v>200005</v>
      </c>
    </row>
    <row r="8" spans="1:8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  <c r="H8">
        <f t="shared" si="0"/>
        <v>200006</v>
      </c>
    </row>
    <row r="9" spans="1:8" x14ac:dyDescent="0.3">
      <c r="A9" t="s">
        <v>7883</v>
      </c>
      <c r="B9" t="s">
        <v>7782</v>
      </c>
      <c r="C9" t="s">
        <v>7869</v>
      </c>
      <c r="D9">
        <v>2</v>
      </c>
      <c r="E9" t="s">
        <v>7785</v>
      </c>
      <c r="F9" t="s">
        <v>7056</v>
      </c>
      <c r="H9">
        <f t="shared" si="0"/>
        <v>200007</v>
      </c>
    </row>
    <row r="10" spans="1:8" x14ac:dyDescent="0.3">
      <c r="A10" t="s">
        <v>7883</v>
      </c>
      <c r="B10" t="s">
        <v>7782</v>
      </c>
      <c r="C10" t="s">
        <v>7869</v>
      </c>
      <c r="D10">
        <v>3</v>
      </c>
      <c r="E10" t="s">
        <v>7786</v>
      </c>
      <c r="F10" t="s">
        <v>7057</v>
      </c>
      <c r="H10">
        <f t="shared" si="0"/>
        <v>200008</v>
      </c>
    </row>
    <row r="11" spans="1:8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  <c r="H11">
        <f t="shared" si="0"/>
        <v>200009</v>
      </c>
    </row>
    <row r="12" spans="1:8" x14ac:dyDescent="0.3">
      <c r="A12" t="s">
        <v>7883</v>
      </c>
      <c r="B12" t="s">
        <v>7787</v>
      </c>
      <c r="C12" t="s">
        <v>7869</v>
      </c>
      <c r="D12">
        <v>2</v>
      </c>
      <c r="E12" t="s">
        <v>5324</v>
      </c>
      <c r="F12" t="s">
        <v>7790</v>
      </c>
      <c r="H12">
        <f t="shared" si="0"/>
        <v>200010</v>
      </c>
    </row>
    <row r="13" spans="1:8" x14ac:dyDescent="0.3">
      <c r="A13" t="s">
        <v>7883</v>
      </c>
      <c r="B13" t="s">
        <v>7791</v>
      </c>
      <c r="C13" t="s">
        <v>7869</v>
      </c>
      <c r="D13">
        <v>1</v>
      </c>
      <c r="E13" t="s">
        <v>7792</v>
      </c>
      <c r="F13" t="s">
        <v>7792</v>
      </c>
      <c r="G13" t="s">
        <v>7793</v>
      </c>
      <c r="H13">
        <f t="shared" si="0"/>
        <v>200011</v>
      </c>
    </row>
    <row r="14" spans="1:8" x14ac:dyDescent="0.3">
      <c r="A14" t="s">
        <v>7883</v>
      </c>
      <c r="B14" t="s">
        <v>7791</v>
      </c>
      <c r="C14" t="s">
        <v>7869</v>
      </c>
      <c r="D14">
        <v>2</v>
      </c>
      <c r="E14" t="s">
        <v>7794</v>
      </c>
      <c r="F14" t="s">
        <v>7794</v>
      </c>
      <c r="H14">
        <f t="shared" si="0"/>
        <v>200012</v>
      </c>
    </row>
    <row r="15" spans="1:8" x14ac:dyDescent="0.3">
      <c r="A15" t="s">
        <v>7883</v>
      </c>
      <c r="B15" t="s">
        <v>7791</v>
      </c>
      <c r="C15" t="s">
        <v>7869</v>
      </c>
      <c r="D15">
        <v>3</v>
      </c>
      <c r="E15" t="s">
        <v>7795</v>
      </c>
      <c r="F15" t="s">
        <v>7795</v>
      </c>
      <c r="H15">
        <f t="shared" si="0"/>
        <v>200013</v>
      </c>
    </row>
    <row r="16" spans="1:8" x14ac:dyDescent="0.3">
      <c r="A16" t="s">
        <v>7883</v>
      </c>
      <c r="B16" t="s">
        <v>7791</v>
      </c>
      <c r="C16" t="s">
        <v>7869</v>
      </c>
      <c r="D16">
        <v>4</v>
      </c>
      <c r="E16" t="s">
        <v>7796</v>
      </c>
      <c r="F16" t="s">
        <v>7797</v>
      </c>
      <c r="H16">
        <f t="shared" si="0"/>
        <v>200014</v>
      </c>
    </row>
    <row r="17" spans="1:8" x14ac:dyDescent="0.3">
      <c r="A17" t="s">
        <v>7883</v>
      </c>
      <c r="B17" t="s">
        <v>7791</v>
      </c>
      <c r="C17" t="s">
        <v>7869</v>
      </c>
      <c r="D17">
        <v>5</v>
      </c>
      <c r="E17" t="s">
        <v>7798</v>
      </c>
      <c r="F17" t="s">
        <v>7799</v>
      </c>
      <c r="H17">
        <f t="shared" si="0"/>
        <v>200015</v>
      </c>
    </row>
    <row r="18" spans="1:8" x14ac:dyDescent="0.3">
      <c r="A18" t="s">
        <v>7883</v>
      </c>
      <c r="B18" t="s">
        <v>7791</v>
      </c>
      <c r="C18" t="s">
        <v>7869</v>
      </c>
      <c r="D18">
        <v>6</v>
      </c>
      <c r="E18" t="s">
        <v>7800</v>
      </c>
      <c r="F18" t="s">
        <v>7801</v>
      </c>
      <c r="H18">
        <f t="shared" si="0"/>
        <v>200016</v>
      </c>
    </row>
    <row r="19" spans="1:8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  <c r="H19">
        <f t="shared" si="0"/>
        <v>200017</v>
      </c>
    </row>
    <row r="20" spans="1:8" x14ac:dyDescent="0.3">
      <c r="A20" t="s">
        <v>7883</v>
      </c>
      <c r="B20" t="s">
        <v>7802</v>
      </c>
      <c r="C20" t="s">
        <v>7869</v>
      </c>
      <c r="D20">
        <v>2</v>
      </c>
      <c r="E20" t="s">
        <v>7886</v>
      </c>
      <c r="F20" t="s">
        <v>7885</v>
      </c>
      <c r="H20">
        <f t="shared" si="0"/>
        <v>200018</v>
      </c>
    </row>
    <row r="21" spans="1:8" x14ac:dyDescent="0.3">
      <c r="A21" t="s">
        <v>7883</v>
      </c>
      <c r="B21" t="s">
        <v>7802</v>
      </c>
      <c r="C21" t="s">
        <v>7869</v>
      </c>
      <c r="D21">
        <v>3</v>
      </c>
      <c r="E21" t="s">
        <v>7805</v>
      </c>
      <c r="F21" t="s">
        <v>7806</v>
      </c>
      <c r="H21">
        <f t="shared" si="0"/>
        <v>200019</v>
      </c>
    </row>
    <row r="22" spans="1:8" x14ac:dyDescent="0.3">
      <c r="A22" t="s">
        <v>7883</v>
      </c>
      <c r="B22" t="s">
        <v>7802</v>
      </c>
      <c r="C22" t="s">
        <v>7869</v>
      </c>
      <c r="D22">
        <v>4</v>
      </c>
      <c r="E22" t="s">
        <v>5324</v>
      </c>
      <c r="F22" t="s">
        <v>7807</v>
      </c>
      <c r="H22">
        <f t="shared" si="0"/>
        <v>200020</v>
      </c>
    </row>
    <row r="23" spans="1:8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  <c r="H23">
        <f t="shared" si="0"/>
        <v>200021</v>
      </c>
    </row>
    <row r="24" spans="1:8" x14ac:dyDescent="0.3">
      <c r="A24" t="s">
        <v>7883</v>
      </c>
      <c r="B24" t="s">
        <v>7808</v>
      </c>
      <c r="C24" t="s">
        <v>7869</v>
      </c>
      <c r="D24">
        <v>2</v>
      </c>
      <c r="E24" t="s">
        <v>7785</v>
      </c>
      <c r="F24" t="s">
        <v>7056</v>
      </c>
      <c r="H24">
        <f t="shared" si="0"/>
        <v>200022</v>
      </c>
    </row>
    <row r="25" spans="1:8" x14ac:dyDescent="0.3">
      <c r="A25" t="s">
        <v>7883</v>
      </c>
      <c r="B25" t="s">
        <v>7808</v>
      </c>
      <c r="C25" t="s">
        <v>7869</v>
      </c>
      <c r="D25">
        <v>3</v>
      </c>
      <c r="E25" t="s">
        <v>7786</v>
      </c>
      <c r="F25" t="s">
        <v>7057</v>
      </c>
      <c r="H25">
        <f t="shared" si="0"/>
        <v>200023</v>
      </c>
    </row>
    <row r="26" spans="1:8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  <c r="H26">
        <f t="shared" si="0"/>
        <v>200024</v>
      </c>
    </row>
    <row r="27" spans="1:8" x14ac:dyDescent="0.3">
      <c r="A27" t="s">
        <v>7883</v>
      </c>
      <c r="B27" t="s">
        <v>7809</v>
      </c>
      <c r="C27" t="s">
        <v>7869</v>
      </c>
      <c r="D27">
        <v>2</v>
      </c>
      <c r="E27" t="s">
        <v>7785</v>
      </c>
      <c r="F27" t="s">
        <v>7056</v>
      </c>
      <c r="H27">
        <f t="shared" si="0"/>
        <v>200025</v>
      </c>
    </row>
    <row r="28" spans="1:8" x14ac:dyDescent="0.3">
      <c r="A28" t="s">
        <v>7883</v>
      </c>
      <c r="B28" t="s">
        <v>7811</v>
      </c>
      <c r="C28" t="s">
        <v>7869</v>
      </c>
      <c r="D28">
        <v>1</v>
      </c>
      <c r="E28" t="s">
        <v>7812</v>
      </c>
      <c r="F28" t="s">
        <v>7813</v>
      </c>
      <c r="H28">
        <f t="shared" si="0"/>
        <v>200026</v>
      </c>
    </row>
    <row r="29" spans="1:8" x14ac:dyDescent="0.3">
      <c r="A29" t="s">
        <v>7883</v>
      </c>
      <c r="B29" t="s">
        <v>7811</v>
      </c>
      <c r="C29" t="s">
        <v>7869</v>
      </c>
      <c r="D29">
        <v>2</v>
      </c>
      <c r="E29" t="s">
        <v>7814</v>
      </c>
      <c r="F29" t="s">
        <v>7815</v>
      </c>
      <c r="H29">
        <f t="shared" si="0"/>
        <v>200027</v>
      </c>
    </row>
    <row r="30" spans="1:8" x14ac:dyDescent="0.3">
      <c r="A30" t="s">
        <v>7883</v>
      </c>
      <c r="B30" t="s">
        <v>7811</v>
      </c>
      <c r="C30" t="s">
        <v>7869</v>
      </c>
      <c r="D30">
        <v>3</v>
      </c>
      <c r="E30" t="s">
        <v>7816</v>
      </c>
      <c r="F30" t="s">
        <v>7817</v>
      </c>
      <c r="H30">
        <f t="shared" si="0"/>
        <v>200028</v>
      </c>
    </row>
    <row r="31" spans="1:8" x14ac:dyDescent="0.3">
      <c r="A31" t="s">
        <v>7883</v>
      </c>
      <c r="B31" t="s">
        <v>5672</v>
      </c>
      <c r="C31" t="s">
        <v>7869</v>
      </c>
      <c r="D31">
        <v>1</v>
      </c>
      <c r="E31" t="s">
        <v>7818</v>
      </c>
      <c r="F31" t="s">
        <v>7819</v>
      </c>
      <c r="H31">
        <f t="shared" si="0"/>
        <v>200029</v>
      </c>
    </row>
    <row r="32" spans="1:8" x14ac:dyDescent="0.3">
      <c r="A32" t="s">
        <v>7883</v>
      </c>
      <c r="B32" t="s">
        <v>5672</v>
      </c>
      <c r="C32" t="s">
        <v>7869</v>
      </c>
      <c r="D32">
        <v>2</v>
      </c>
      <c r="E32" t="s">
        <v>7820</v>
      </c>
      <c r="F32" t="s">
        <v>7821</v>
      </c>
      <c r="H32">
        <f t="shared" si="0"/>
        <v>200030</v>
      </c>
    </row>
    <row r="33" spans="1:8" x14ac:dyDescent="0.3">
      <c r="A33" t="s">
        <v>7883</v>
      </c>
      <c r="B33" t="s">
        <v>5672</v>
      </c>
      <c r="C33" t="s">
        <v>7869</v>
      </c>
      <c r="D33">
        <v>3</v>
      </c>
      <c r="E33" t="s">
        <v>7822</v>
      </c>
      <c r="F33" t="s">
        <v>7823</v>
      </c>
      <c r="H33">
        <f t="shared" si="0"/>
        <v>200031</v>
      </c>
    </row>
    <row r="34" spans="1:8" x14ac:dyDescent="0.3">
      <c r="A34" t="s">
        <v>7883</v>
      </c>
      <c r="B34" t="s">
        <v>5672</v>
      </c>
      <c r="C34" t="s">
        <v>7869</v>
      </c>
      <c r="D34">
        <v>4</v>
      </c>
      <c r="E34" t="s">
        <v>7824</v>
      </c>
      <c r="F34" t="s">
        <v>7825</v>
      </c>
      <c r="H34">
        <f t="shared" si="0"/>
        <v>200032</v>
      </c>
    </row>
    <row r="35" spans="1:8" x14ac:dyDescent="0.3">
      <c r="A35" t="s">
        <v>7883</v>
      </c>
      <c r="B35" t="s">
        <v>5672</v>
      </c>
      <c r="C35" t="s">
        <v>7869</v>
      </c>
      <c r="D35">
        <v>5</v>
      </c>
      <c r="E35" t="s">
        <v>7826</v>
      </c>
      <c r="F35" t="s">
        <v>7827</v>
      </c>
      <c r="H35">
        <f t="shared" si="0"/>
        <v>200033</v>
      </c>
    </row>
    <row r="36" spans="1:8" x14ac:dyDescent="0.3">
      <c r="A36" t="s">
        <v>7883</v>
      </c>
      <c r="B36" t="s">
        <v>7828</v>
      </c>
      <c r="C36" t="s">
        <v>7869</v>
      </c>
      <c r="E36" t="s">
        <v>7829</v>
      </c>
      <c r="F36" t="s">
        <v>7830</v>
      </c>
      <c r="H36">
        <f t="shared" si="0"/>
        <v>200034</v>
      </c>
    </row>
    <row r="37" spans="1:8" x14ac:dyDescent="0.3">
      <c r="A37" t="s">
        <v>7883</v>
      </c>
      <c r="B37" t="s">
        <v>7828</v>
      </c>
      <c r="C37" t="s">
        <v>7869</v>
      </c>
      <c r="E37" t="s">
        <v>7831</v>
      </c>
      <c r="F37" t="s">
        <v>7832</v>
      </c>
      <c r="H37">
        <f t="shared" si="0"/>
        <v>200035</v>
      </c>
    </row>
    <row r="38" spans="1:8" x14ac:dyDescent="0.3">
      <c r="A38" t="s">
        <v>7883</v>
      </c>
      <c r="B38" t="s">
        <v>7828</v>
      </c>
      <c r="C38" t="s">
        <v>7869</v>
      </c>
      <c r="E38" t="s">
        <v>7833</v>
      </c>
      <c r="F38" t="s">
        <v>7834</v>
      </c>
      <c r="H38">
        <f t="shared" si="0"/>
        <v>200036</v>
      </c>
    </row>
    <row r="39" spans="1:8" x14ac:dyDescent="0.3">
      <c r="A39" t="s">
        <v>7883</v>
      </c>
      <c r="B39" t="s">
        <v>7828</v>
      </c>
      <c r="C39" t="s">
        <v>7869</v>
      </c>
      <c r="E39" t="s">
        <v>7835</v>
      </c>
      <c r="F39" t="s">
        <v>7836</v>
      </c>
      <c r="H39">
        <f t="shared" si="0"/>
        <v>200037</v>
      </c>
    </row>
    <row r="40" spans="1:8" x14ac:dyDescent="0.3">
      <c r="A40" t="s">
        <v>7883</v>
      </c>
      <c r="B40" t="s">
        <v>7828</v>
      </c>
      <c r="C40" t="s">
        <v>7869</v>
      </c>
      <c r="E40" t="s">
        <v>7837</v>
      </c>
      <c r="F40" t="s">
        <v>7838</v>
      </c>
      <c r="H40">
        <f t="shared" si="0"/>
        <v>200038</v>
      </c>
    </row>
    <row r="41" spans="1:8" x14ac:dyDescent="0.3">
      <c r="A41" t="s">
        <v>7883</v>
      </c>
      <c r="B41" t="s">
        <v>7828</v>
      </c>
      <c r="C41" t="s">
        <v>7869</v>
      </c>
      <c r="E41" t="s">
        <v>7839</v>
      </c>
      <c r="F41" t="s">
        <v>7840</v>
      </c>
      <c r="H41">
        <f t="shared" si="0"/>
        <v>200039</v>
      </c>
    </row>
    <row r="42" spans="1:8" x14ac:dyDescent="0.3">
      <c r="A42" t="s">
        <v>7883</v>
      </c>
      <c r="B42" t="s">
        <v>7828</v>
      </c>
      <c r="C42" t="s">
        <v>7869</v>
      </c>
      <c r="E42" t="s">
        <v>2837</v>
      </c>
      <c r="F42" t="s">
        <v>7841</v>
      </c>
      <c r="H42">
        <f t="shared" si="0"/>
        <v>200040</v>
      </c>
    </row>
    <row r="43" spans="1:8" x14ac:dyDescent="0.3">
      <c r="A43" t="s">
        <v>7883</v>
      </c>
      <c r="B43" t="s">
        <v>7828</v>
      </c>
      <c r="C43" t="s">
        <v>7869</v>
      </c>
      <c r="E43" t="s">
        <v>7842</v>
      </c>
      <c r="F43" t="s">
        <v>7843</v>
      </c>
      <c r="H43">
        <f t="shared" si="0"/>
        <v>200041</v>
      </c>
    </row>
    <row r="44" spans="1:8" x14ac:dyDescent="0.3">
      <c r="A44" t="s">
        <v>7883</v>
      </c>
      <c r="B44" t="s">
        <v>7844</v>
      </c>
      <c r="C44" t="s">
        <v>7869</v>
      </c>
      <c r="E44" t="s">
        <v>7845</v>
      </c>
      <c r="F44" t="s">
        <v>7845</v>
      </c>
      <c r="H44">
        <f t="shared" si="0"/>
        <v>200042</v>
      </c>
    </row>
    <row r="45" spans="1:8" x14ac:dyDescent="0.3">
      <c r="A45" t="s">
        <v>7883</v>
      </c>
      <c r="B45" t="s">
        <v>7844</v>
      </c>
      <c r="C45" t="s">
        <v>7869</v>
      </c>
      <c r="E45" t="s">
        <v>7846</v>
      </c>
      <c r="F45" t="s">
        <v>7847</v>
      </c>
      <c r="H45">
        <f t="shared" si="0"/>
        <v>200043</v>
      </c>
    </row>
    <row r="46" spans="1:8" x14ac:dyDescent="0.3">
      <c r="A46" t="s">
        <v>7883</v>
      </c>
      <c r="B46" t="s">
        <v>7844</v>
      </c>
      <c r="C46" t="s">
        <v>7869</v>
      </c>
      <c r="E46" t="s">
        <v>7848</v>
      </c>
      <c r="F46" t="s">
        <v>7849</v>
      </c>
      <c r="H46">
        <f t="shared" si="0"/>
        <v>200044</v>
      </c>
    </row>
    <row r="47" spans="1:8" x14ac:dyDescent="0.3">
      <c r="A47" t="s">
        <v>7883</v>
      </c>
      <c r="B47" t="s">
        <v>7844</v>
      </c>
      <c r="C47" t="s">
        <v>7869</v>
      </c>
      <c r="E47" t="s">
        <v>7850</v>
      </c>
      <c r="F47" t="s">
        <v>7851</v>
      </c>
      <c r="H47">
        <f t="shared" si="0"/>
        <v>200045</v>
      </c>
    </row>
    <row r="48" spans="1:8" x14ac:dyDescent="0.3">
      <c r="A48" t="s">
        <v>7883</v>
      </c>
      <c r="B48" t="s">
        <v>7852</v>
      </c>
      <c r="C48" t="s">
        <v>7869</v>
      </c>
      <c r="E48" t="s">
        <v>7845</v>
      </c>
      <c r="F48" t="s">
        <v>7845</v>
      </c>
      <c r="H48">
        <f t="shared" si="0"/>
        <v>200046</v>
      </c>
    </row>
    <row r="49" spans="1:8" x14ac:dyDescent="0.3">
      <c r="A49" t="s">
        <v>7883</v>
      </c>
      <c r="B49" t="s">
        <v>7853</v>
      </c>
      <c r="C49" t="s">
        <v>7869</v>
      </c>
      <c r="E49" t="s">
        <v>7854</v>
      </c>
      <c r="F49" t="s">
        <v>7855</v>
      </c>
      <c r="H49">
        <f t="shared" si="0"/>
        <v>200047</v>
      </c>
    </row>
    <row r="50" spans="1:8" x14ac:dyDescent="0.3">
      <c r="A50" t="s">
        <v>7883</v>
      </c>
      <c r="B50" t="s">
        <v>7853</v>
      </c>
      <c r="C50" t="s">
        <v>7869</v>
      </c>
      <c r="E50" t="s">
        <v>7856</v>
      </c>
      <c r="F50" t="s">
        <v>7857</v>
      </c>
      <c r="H50">
        <f t="shared" si="0"/>
        <v>200048</v>
      </c>
    </row>
    <row r="51" spans="1:8" x14ac:dyDescent="0.3">
      <c r="A51" t="s">
        <v>7883</v>
      </c>
      <c r="B51" t="s">
        <v>7858</v>
      </c>
      <c r="C51" t="s">
        <v>7869</v>
      </c>
      <c r="E51" t="s">
        <v>7859</v>
      </c>
      <c r="F51" t="s">
        <v>7859</v>
      </c>
      <c r="H51">
        <f t="shared" si="0"/>
        <v>200049</v>
      </c>
    </row>
    <row r="52" spans="1:8" x14ac:dyDescent="0.3">
      <c r="A52" t="s">
        <v>7883</v>
      </c>
      <c r="B52" t="s">
        <v>7858</v>
      </c>
      <c r="C52" t="s">
        <v>7869</v>
      </c>
      <c r="E52" t="s">
        <v>7848</v>
      </c>
      <c r="F52" t="s">
        <v>7849</v>
      </c>
      <c r="H52">
        <f t="shared" si="0"/>
        <v>200050</v>
      </c>
    </row>
    <row r="53" spans="1:8" x14ac:dyDescent="0.3">
      <c r="A53" t="s">
        <v>7883</v>
      </c>
      <c r="B53" t="s">
        <v>7860</v>
      </c>
      <c r="C53" t="s">
        <v>7869</v>
      </c>
      <c r="E53" t="s">
        <v>7861</v>
      </c>
      <c r="F53" t="s">
        <v>7862</v>
      </c>
      <c r="H53">
        <f t="shared" si="0"/>
        <v>200051</v>
      </c>
    </row>
    <row r="54" spans="1:8" x14ac:dyDescent="0.3">
      <c r="A54" t="s">
        <v>7883</v>
      </c>
      <c r="B54" t="s">
        <v>7860</v>
      </c>
      <c r="C54" t="s">
        <v>7869</v>
      </c>
      <c r="E54" t="s">
        <v>7863</v>
      </c>
      <c r="F54" t="s">
        <v>7863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V1" sqref="V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22605432</v>
      </c>
      <c r="H2">
        <f ca="1">RANDBETWEEN(100,1000)</f>
        <v>847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47689883</v>
      </c>
      <c r="H3">
        <f t="shared" ref="H3:H11" ca="1" si="1">RANDBETWEEN(100,1000)</f>
        <v>646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26198892</v>
      </c>
      <c r="H4">
        <f t="shared" ca="1" si="1"/>
        <v>393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37752991</v>
      </c>
      <c r="H5">
        <f t="shared" ca="1" si="1"/>
        <v>473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19850896</v>
      </c>
      <c r="H6">
        <f t="shared" ca="1" si="1"/>
        <v>354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21701537</v>
      </c>
      <c r="H7">
        <f t="shared" ca="1" si="1"/>
        <v>714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35710933</v>
      </c>
      <c r="H8">
        <f t="shared" ca="1" si="1"/>
        <v>187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40093045</v>
      </c>
      <c r="H9">
        <f t="shared" ca="1" si="1"/>
        <v>128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43023103</v>
      </c>
      <c r="H10">
        <f t="shared" ca="1" si="1"/>
        <v>393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22200448</v>
      </c>
      <c r="H11">
        <f t="shared" ca="1" si="1"/>
        <v>212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EDW096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MCA106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CLO084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ARB044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ARG035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ASH061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FBA112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BIC119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BRA060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HEA012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5.33203125" bestFit="1" customWidth="1"/>
    <col min="7" max="7" width="11" customWidth="1"/>
  </cols>
  <sheetData>
    <row r="1" spans="1:11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7892</v>
      </c>
      <c r="G1" t="s">
        <v>70</v>
      </c>
      <c r="H1" t="s">
        <v>71</v>
      </c>
      <c r="I1" t="s">
        <v>5325</v>
      </c>
      <c r="J1" t="s">
        <v>6936</v>
      </c>
      <c r="K1" t="s">
        <v>7880</v>
      </c>
    </row>
    <row r="2" spans="1:11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>
        <v>1</v>
      </c>
      <c r="G2" s="2" t="s">
        <v>6512</v>
      </c>
      <c r="H2" t="s">
        <v>76</v>
      </c>
      <c r="I2" s="3">
        <v>200064</v>
      </c>
      <c r="J2" t="str">
        <f t="shared" ref="J2:J33" si="0">E2</f>
        <v>Cobble Hill</v>
      </c>
      <c r="K2" t="str">
        <f t="shared" ref="K2:K33" si="1">C2</f>
        <v>South Island</v>
      </c>
    </row>
    <row r="3" spans="1:11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>
        <v>2</v>
      </c>
      <c r="G3" s="2" t="s">
        <v>6512</v>
      </c>
      <c r="H3" t="s">
        <v>76</v>
      </c>
      <c r="I3" s="3">
        <v>200065</v>
      </c>
      <c r="J3" t="str">
        <f t="shared" si="0"/>
        <v>Lake Cowichan</v>
      </c>
      <c r="K3" t="str">
        <f t="shared" si="1"/>
        <v>South Island</v>
      </c>
    </row>
    <row r="4" spans="1:11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>
        <v>3</v>
      </c>
      <c r="G4" s="2" t="s">
        <v>6512</v>
      </c>
      <c r="H4" t="s">
        <v>76</v>
      </c>
      <c r="I4" s="3">
        <v>200066</v>
      </c>
      <c r="J4" t="str">
        <f t="shared" si="0"/>
        <v>Duncan</v>
      </c>
      <c r="K4" t="str">
        <f t="shared" si="1"/>
        <v>South Island</v>
      </c>
    </row>
    <row r="5" spans="1:11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>
        <v>4</v>
      </c>
      <c r="G5" s="2" t="s">
        <v>6512</v>
      </c>
      <c r="H5" t="s">
        <v>76</v>
      </c>
      <c r="I5" s="3">
        <v>200067</v>
      </c>
      <c r="J5" t="str">
        <f t="shared" si="0"/>
        <v>Saanich Peninsula</v>
      </c>
      <c r="K5" t="str">
        <f t="shared" si="1"/>
        <v>South Island</v>
      </c>
    </row>
    <row r="6" spans="1:11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>
        <v>5</v>
      </c>
      <c r="G6" s="2" t="s">
        <v>6512</v>
      </c>
      <c r="H6" t="s">
        <v>76</v>
      </c>
      <c r="I6" s="3">
        <v>200068</v>
      </c>
      <c r="J6" t="str">
        <f t="shared" si="0"/>
        <v>Western Communities</v>
      </c>
      <c r="K6" t="str">
        <f t="shared" si="1"/>
        <v>South Island</v>
      </c>
    </row>
    <row r="7" spans="1:11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>
        <v>6</v>
      </c>
      <c r="G7" s="2" t="s">
        <v>6512</v>
      </c>
      <c r="H7" t="s">
        <v>76</v>
      </c>
      <c r="I7" s="3">
        <v>200005</v>
      </c>
      <c r="J7" t="str">
        <f t="shared" si="0"/>
        <v>Nanaimo/Ladysmith/Lantzville</v>
      </c>
      <c r="K7" t="str">
        <f t="shared" si="1"/>
        <v>Central  Island</v>
      </c>
    </row>
    <row r="8" spans="1:11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>
        <v>7</v>
      </c>
      <c r="G8" s="2" t="s">
        <v>6512</v>
      </c>
      <c r="H8" t="s">
        <v>76</v>
      </c>
      <c r="I8" s="3">
        <v>200006</v>
      </c>
      <c r="J8" t="str">
        <f t="shared" si="0"/>
        <v>Parksville/Qualicum</v>
      </c>
      <c r="K8" t="str">
        <f t="shared" si="1"/>
        <v>Central  Island</v>
      </c>
    </row>
    <row r="9" spans="1:11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>
        <v>8</v>
      </c>
      <c r="G9" s="2" t="s">
        <v>6512</v>
      </c>
      <c r="H9" t="s">
        <v>76</v>
      </c>
      <c r="I9" s="3">
        <v>200007</v>
      </c>
      <c r="J9" t="str">
        <f t="shared" si="0"/>
        <v>Port Alberni</v>
      </c>
      <c r="K9" t="str">
        <f t="shared" si="1"/>
        <v>Central  Island</v>
      </c>
    </row>
    <row r="10" spans="1:11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>
        <v>9</v>
      </c>
      <c r="G10" s="2" t="s">
        <v>6512</v>
      </c>
      <c r="H10" t="s">
        <v>76</v>
      </c>
      <c r="I10" s="3">
        <v>200008</v>
      </c>
      <c r="J10" t="str">
        <f t="shared" si="0"/>
        <v>Ucluelet/Tofino</v>
      </c>
      <c r="K10" t="str">
        <f t="shared" si="1"/>
        <v>Central  Island</v>
      </c>
    </row>
    <row r="11" spans="1:11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>
        <v>10</v>
      </c>
      <c r="G11" s="2" t="s">
        <v>6512</v>
      </c>
      <c r="H11" t="s">
        <v>76</v>
      </c>
      <c r="I11" s="3">
        <v>200009</v>
      </c>
      <c r="J11" t="str">
        <f t="shared" si="0"/>
        <v>Gabriola Island</v>
      </c>
      <c r="K11" t="str">
        <f t="shared" si="1"/>
        <v>Central  Island</v>
      </c>
    </row>
    <row r="12" spans="1:11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>
        <v>11</v>
      </c>
      <c r="G12" s="2" t="s">
        <v>6512</v>
      </c>
      <c r="H12" t="s">
        <v>76</v>
      </c>
      <c r="I12" s="3">
        <v>200038</v>
      </c>
      <c r="J12" t="str">
        <f t="shared" si="0"/>
        <v>Courtenay</v>
      </c>
      <c r="K12" t="str">
        <f t="shared" si="1"/>
        <v>North  Island</v>
      </c>
    </row>
    <row r="13" spans="1:11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>
        <v>12</v>
      </c>
      <c r="G13" s="2" t="s">
        <v>6512</v>
      </c>
      <c r="H13" t="s">
        <v>76</v>
      </c>
      <c r="I13" s="3">
        <v>200039</v>
      </c>
      <c r="J13" t="str">
        <f t="shared" si="0"/>
        <v>Campbell River</v>
      </c>
      <c r="K13" t="str">
        <f t="shared" si="1"/>
        <v>North  Island</v>
      </c>
    </row>
    <row r="14" spans="1:11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>
        <v>13</v>
      </c>
      <c r="G14" s="2" t="s">
        <v>6512</v>
      </c>
      <c r="H14" t="s">
        <v>76</v>
      </c>
      <c r="I14" s="3">
        <v>200040</v>
      </c>
      <c r="J14" t="str">
        <f t="shared" si="0"/>
        <v>Port Hardy</v>
      </c>
      <c r="K14" t="str">
        <f t="shared" si="1"/>
        <v>North  Island</v>
      </c>
    </row>
    <row r="15" spans="1:11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>
        <v>14</v>
      </c>
      <c r="G15" s="2" t="s">
        <v>6512</v>
      </c>
      <c r="H15" t="s">
        <v>76</v>
      </c>
      <c r="I15" s="3">
        <v>200041</v>
      </c>
      <c r="J15" t="str">
        <f t="shared" si="0"/>
        <v>Gold River</v>
      </c>
      <c r="K15" t="str">
        <f t="shared" si="1"/>
        <v>North  Island</v>
      </c>
    </row>
    <row r="16" spans="1:11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>
        <v>15</v>
      </c>
      <c r="G16" s="2" t="s">
        <v>6512</v>
      </c>
      <c r="H16" t="s">
        <v>76</v>
      </c>
      <c r="I16" s="3">
        <v>200081</v>
      </c>
      <c r="J16" t="str">
        <f t="shared" si="0"/>
        <v>Powell River</v>
      </c>
      <c r="K16" t="str">
        <f t="shared" si="1"/>
        <v>Sunshine Coast</v>
      </c>
    </row>
    <row r="17" spans="1:11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>
        <v>16</v>
      </c>
      <c r="G17" s="2" t="s">
        <v>6512</v>
      </c>
      <c r="H17" t="s">
        <v>76</v>
      </c>
      <c r="I17" s="3">
        <v>200029</v>
      </c>
      <c r="J17" t="str">
        <f t="shared" si="0"/>
        <v>Lower Mainland-Surrey/Langley</v>
      </c>
      <c r="K17" t="str">
        <f t="shared" si="1"/>
        <v>Lower Mainland</v>
      </c>
    </row>
    <row r="18" spans="1:11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>
        <v>17</v>
      </c>
      <c r="G18" s="2" t="s">
        <v>6512</v>
      </c>
      <c r="H18" t="s">
        <v>76</v>
      </c>
      <c r="I18" s="3">
        <v>200030</v>
      </c>
      <c r="J18" t="str">
        <f t="shared" si="0"/>
        <v>Lower Mainland-Coquitlam/Burnaby/Van</v>
      </c>
      <c r="K18" t="str">
        <f t="shared" si="1"/>
        <v>Lower Mainland</v>
      </c>
    </row>
    <row r="19" spans="1:11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>
        <v>18</v>
      </c>
      <c r="G19" s="2" t="s">
        <v>6512</v>
      </c>
      <c r="H19" t="s">
        <v>76</v>
      </c>
      <c r="I19" s="3">
        <v>200031</v>
      </c>
      <c r="J19" t="str">
        <f t="shared" si="0"/>
        <v>Lower Mainland-Delta/Richmond</v>
      </c>
      <c r="K19" t="str">
        <f t="shared" si="1"/>
        <v>Lower Mainland</v>
      </c>
    </row>
    <row r="20" spans="1:11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>
        <v>19</v>
      </c>
      <c r="G20" s="2" t="s">
        <v>6512</v>
      </c>
      <c r="H20" t="s">
        <v>76</v>
      </c>
      <c r="I20" s="3">
        <v>200020</v>
      </c>
      <c r="J20" t="str">
        <f t="shared" si="0"/>
        <v>Chilliwack/Rosedale</v>
      </c>
      <c r="K20" t="str">
        <f t="shared" si="1"/>
        <v>Fraser Valley</v>
      </c>
    </row>
    <row r="21" spans="1:11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>
        <v>20</v>
      </c>
      <c r="G21" s="2" t="s">
        <v>6512</v>
      </c>
      <c r="H21" t="s">
        <v>76</v>
      </c>
      <c r="I21" s="3">
        <v>200021</v>
      </c>
      <c r="J21" t="str">
        <f t="shared" si="0"/>
        <v>Hope/Allison Pass</v>
      </c>
      <c r="K21" t="str">
        <f t="shared" si="1"/>
        <v>Fraser Valley</v>
      </c>
    </row>
    <row r="22" spans="1:11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>
        <v>21</v>
      </c>
      <c r="G22" s="2" t="s">
        <v>6512</v>
      </c>
      <c r="H22" t="s">
        <v>76</v>
      </c>
      <c r="I22" s="3">
        <v>200022</v>
      </c>
      <c r="J22" t="str">
        <f t="shared" si="0"/>
        <v>Abbotsford</v>
      </c>
      <c r="K22" t="str">
        <f t="shared" si="1"/>
        <v>Fraser Valley</v>
      </c>
    </row>
    <row r="23" spans="1:11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>
        <v>22</v>
      </c>
      <c r="G23" s="2" t="s">
        <v>6512</v>
      </c>
      <c r="H23" t="s">
        <v>76</v>
      </c>
      <c r="I23" s="3">
        <v>200069</v>
      </c>
      <c r="J23" t="str">
        <f t="shared" si="0"/>
        <v>Penticton Rd. Management Area</v>
      </c>
      <c r="K23" t="str">
        <f t="shared" si="1"/>
        <v>South Okanagan</v>
      </c>
    </row>
    <row r="24" spans="1:11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>
        <v>23</v>
      </c>
      <c r="G24" s="2" t="s">
        <v>6512</v>
      </c>
      <c r="H24" t="s">
        <v>76</v>
      </c>
      <c r="I24" s="3">
        <v>200070</v>
      </c>
      <c r="J24" t="str">
        <f t="shared" si="0"/>
        <v>Kelowna Road Management Area</v>
      </c>
      <c r="K24" t="str">
        <f t="shared" si="1"/>
        <v>South Okanagan</v>
      </c>
    </row>
    <row r="25" spans="1:11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>
        <v>24</v>
      </c>
      <c r="G25" s="2" t="s">
        <v>6512</v>
      </c>
      <c r="H25" t="s">
        <v>76</v>
      </c>
      <c r="I25" s="3">
        <v>200071</v>
      </c>
      <c r="J25" t="str">
        <f t="shared" si="0"/>
        <v>Princeton Road Management Area</v>
      </c>
      <c r="K25" t="str">
        <f t="shared" si="1"/>
        <v>South Okanagan</v>
      </c>
    </row>
    <row r="26" spans="1:11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>
        <v>25</v>
      </c>
      <c r="G26" s="2" t="s">
        <v>6512</v>
      </c>
      <c r="H26" t="s">
        <v>76</v>
      </c>
      <c r="I26" s="3">
        <v>200072</v>
      </c>
      <c r="J26" t="str">
        <f t="shared" si="0"/>
        <v>Oliver/Osoyoos Rd. Mgmt. Area</v>
      </c>
      <c r="K26" t="str">
        <f t="shared" si="1"/>
        <v>South Okanagan</v>
      </c>
    </row>
    <row r="27" spans="1:11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>
        <v>26</v>
      </c>
      <c r="G27" s="2" t="s">
        <v>6512</v>
      </c>
      <c r="H27" t="s">
        <v>76</v>
      </c>
      <c r="I27" s="3">
        <v>200073</v>
      </c>
      <c r="J27" t="str">
        <f t="shared" si="0"/>
        <v>Peachland/Westbank Rd.Mgt.Area</v>
      </c>
      <c r="K27" t="str">
        <f t="shared" si="1"/>
        <v>South Okanagan</v>
      </c>
    </row>
    <row r="28" spans="1:11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>
        <v>27</v>
      </c>
      <c r="G28" s="2" t="s">
        <v>6512</v>
      </c>
      <c r="H28" t="s">
        <v>76</v>
      </c>
      <c r="I28" s="3">
        <v>200023</v>
      </c>
      <c r="J28" t="str">
        <f t="shared" si="0"/>
        <v>Castlegar And Area</v>
      </c>
      <c r="K28" t="str">
        <f t="shared" si="1"/>
        <v>Kootenay Boundary</v>
      </c>
    </row>
    <row r="29" spans="1:11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>
        <v>28</v>
      </c>
      <c r="G29" s="2" t="s">
        <v>6512</v>
      </c>
      <c r="H29" t="s">
        <v>76</v>
      </c>
      <c r="I29" s="3">
        <v>200024</v>
      </c>
      <c r="J29" t="str">
        <f t="shared" si="0"/>
        <v>Grand Forks And Area</v>
      </c>
      <c r="K29" t="str">
        <f t="shared" si="1"/>
        <v>Kootenay Boundary</v>
      </c>
    </row>
    <row r="30" spans="1:11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>
        <v>29</v>
      </c>
      <c r="G30" s="2" t="s">
        <v>6512</v>
      </c>
      <c r="H30" t="s">
        <v>76</v>
      </c>
      <c r="I30" s="3">
        <v>200025</v>
      </c>
      <c r="J30" t="str">
        <f t="shared" si="0"/>
        <v>Rock Creek And Area</v>
      </c>
      <c r="K30" t="str">
        <f t="shared" si="1"/>
        <v>Kootenay Boundary</v>
      </c>
    </row>
    <row r="31" spans="1:11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>
        <v>30</v>
      </c>
      <c r="G31" s="2" t="s">
        <v>6512</v>
      </c>
      <c r="H31" t="s">
        <v>76</v>
      </c>
      <c r="I31" s="3">
        <v>200026</v>
      </c>
      <c r="J31" t="str">
        <f t="shared" si="0"/>
        <v>Rossland And Area</v>
      </c>
      <c r="K31" t="str">
        <f t="shared" si="1"/>
        <v>Kootenay Boundary</v>
      </c>
    </row>
    <row r="32" spans="1:11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>
        <v>31</v>
      </c>
      <c r="G32" s="2" t="s">
        <v>6512</v>
      </c>
      <c r="H32" t="s">
        <v>76</v>
      </c>
      <c r="I32" s="3">
        <v>200010</v>
      </c>
      <c r="J32" t="str">
        <f t="shared" si="0"/>
        <v>Central Koot., New Denver</v>
      </c>
      <c r="K32" t="str">
        <f t="shared" si="1"/>
        <v>Central Kootenay</v>
      </c>
    </row>
    <row r="33" spans="1:11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>
        <v>32</v>
      </c>
      <c r="G33" s="2" t="s">
        <v>6512</v>
      </c>
      <c r="H33" t="s">
        <v>76</v>
      </c>
      <c r="I33" s="3">
        <v>200011</v>
      </c>
      <c r="J33" t="str">
        <f t="shared" si="0"/>
        <v>Central Koot., Nakusp</v>
      </c>
      <c r="K33" t="str">
        <f t="shared" si="1"/>
        <v>Central Kootenay</v>
      </c>
    </row>
    <row r="34" spans="1:11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>
        <v>33</v>
      </c>
      <c r="G34" s="2" t="s">
        <v>6512</v>
      </c>
      <c r="H34" t="s">
        <v>76</v>
      </c>
      <c r="I34" s="3">
        <v>200012</v>
      </c>
      <c r="J34" t="str">
        <f t="shared" ref="J34:J65" si="3">E34</f>
        <v>Creston</v>
      </c>
      <c r="K34" t="str">
        <f t="shared" ref="K34:K65" si="4">C34</f>
        <v>Central Kootenay</v>
      </c>
    </row>
    <row r="35" spans="1:11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>
        <v>34</v>
      </c>
      <c r="G35" s="2" t="s">
        <v>6512</v>
      </c>
      <c r="H35" t="s">
        <v>76</v>
      </c>
      <c r="I35" s="3">
        <v>200013</v>
      </c>
      <c r="J35" t="str">
        <f t="shared" si="3"/>
        <v>Central Kootenay Nelson</v>
      </c>
      <c r="K35" t="str">
        <f t="shared" si="4"/>
        <v>Central Kootenay</v>
      </c>
    </row>
    <row r="36" spans="1:11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>
        <v>35</v>
      </c>
      <c r="G36" s="2" t="s">
        <v>6512</v>
      </c>
      <c r="H36" t="s">
        <v>76</v>
      </c>
      <c r="I36" s="3">
        <v>200014</v>
      </c>
      <c r="J36" t="str">
        <f t="shared" si="3"/>
        <v>Out Of District</v>
      </c>
      <c r="K36" t="str">
        <f t="shared" si="4"/>
        <v>Central Kootenay</v>
      </c>
    </row>
    <row r="37" spans="1:11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>
        <v>36</v>
      </c>
      <c r="G37" s="2" t="s">
        <v>6512</v>
      </c>
      <c r="H37" t="s">
        <v>76</v>
      </c>
      <c r="I37" s="3">
        <v>200015</v>
      </c>
      <c r="J37" t="str">
        <f t="shared" si="3"/>
        <v>Central Kootenay Salmo</v>
      </c>
      <c r="K37" t="str">
        <f t="shared" si="4"/>
        <v>Central Kootenay</v>
      </c>
    </row>
    <row r="38" spans="1:11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>
        <v>37</v>
      </c>
      <c r="G38" s="2" t="s">
        <v>6512</v>
      </c>
      <c r="H38" t="s">
        <v>76</v>
      </c>
      <c r="I38" s="3">
        <v>200016</v>
      </c>
      <c r="J38" t="str">
        <f t="shared" si="3"/>
        <v>Cranbrook</v>
      </c>
      <c r="K38" t="str">
        <f t="shared" si="4"/>
        <v>East Kootenay</v>
      </c>
    </row>
    <row r="39" spans="1:11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>
        <v>38</v>
      </c>
      <c r="G39" s="2" t="s">
        <v>6512</v>
      </c>
      <c r="H39" t="s">
        <v>76</v>
      </c>
      <c r="I39" s="3">
        <v>200017</v>
      </c>
      <c r="J39" t="str">
        <f t="shared" si="3"/>
        <v>Fernie/Sparwood</v>
      </c>
      <c r="K39" t="str">
        <f t="shared" si="4"/>
        <v>East Kootenay</v>
      </c>
    </row>
    <row r="40" spans="1:11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>
        <v>39</v>
      </c>
      <c r="G40" s="2" t="s">
        <v>6512</v>
      </c>
      <c r="H40" t="s">
        <v>76</v>
      </c>
      <c r="I40" s="3">
        <v>200018</v>
      </c>
      <c r="J40" t="str">
        <f t="shared" si="3"/>
        <v>Invermere</v>
      </c>
      <c r="K40" t="str">
        <f t="shared" si="4"/>
        <v>East Kootenay</v>
      </c>
    </row>
    <row r="41" spans="1:11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>
        <v>40</v>
      </c>
      <c r="G41" s="2" t="s">
        <v>6512</v>
      </c>
      <c r="H41" t="s">
        <v>76</v>
      </c>
      <c r="I41" s="3">
        <v>200056</v>
      </c>
      <c r="J41" t="str">
        <f t="shared" si="3"/>
        <v>Revelstoke</v>
      </c>
      <c r="K41" t="str">
        <f t="shared" si="4"/>
        <v>Selkirk</v>
      </c>
    </row>
    <row r="42" spans="1:11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>
        <v>41</v>
      </c>
      <c r="G42" s="2" t="s">
        <v>6512</v>
      </c>
      <c r="H42" t="s">
        <v>76</v>
      </c>
      <c r="I42" s="3">
        <v>200057</v>
      </c>
      <c r="J42" t="str">
        <f t="shared" si="3"/>
        <v>Golden</v>
      </c>
      <c r="K42" t="str">
        <f t="shared" si="4"/>
        <v>Selkirk</v>
      </c>
    </row>
    <row r="43" spans="1:11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>
        <v>42</v>
      </c>
      <c r="G43" s="2" t="s">
        <v>6512</v>
      </c>
      <c r="H43" t="s">
        <v>76</v>
      </c>
      <c r="I43" s="3">
        <v>200046</v>
      </c>
      <c r="J43" t="str">
        <f t="shared" si="3"/>
        <v>Chase/Celista</v>
      </c>
      <c r="K43" t="str">
        <f t="shared" si="4"/>
        <v>Okanagan - Shuswap</v>
      </c>
    </row>
    <row r="44" spans="1:11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>
        <v>43</v>
      </c>
      <c r="G44" s="2" t="s">
        <v>6512</v>
      </c>
      <c r="H44" t="s">
        <v>76</v>
      </c>
      <c r="I44" s="3">
        <v>200047</v>
      </c>
      <c r="J44" t="str">
        <f t="shared" si="3"/>
        <v>Enderby</v>
      </c>
      <c r="K44" t="str">
        <f t="shared" si="4"/>
        <v>Okanagan - Shuswap</v>
      </c>
    </row>
    <row r="45" spans="1:11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>
        <v>44</v>
      </c>
      <c r="G45" s="2" t="s">
        <v>6512</v>
      </c>
      <c r="H45" t="s">
        <v>76</v>
      </c>
      <c r="I45" s="3">
        <v>200048</v>
      </c>
      <c r="J45" t="str">
        <f t="shared" si="3"/>
        <v>Falkland</v>
      </c>
      <c r="K45" t="str">
        <f t="shared" si="4"/>
        <v>Okanagan - Shuswap</v>
      </c>
    </row>
    <row r="46" spans="1:11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>
        <v>45</v>
      </c>
      <c r="G46" s="2" t="s">
        <v>6512</v>
      </c>
      <c r="H46" t="s">
        <v>76</v>
      </c>
      <c r="I46" s="3">
        <v>200049</v>
      </c>
      <c r="J46" t="str">
        <f t="shared" si="3"/>
        <v>Lumby/Cherryville</v>
      </c>
      <c r="K46" t="str">
        <f t="shared" si="4"/>
        <v>Okanagan - Shuswap</v>
      </c>
    </row>
    <row r="47" spans="1:11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>
        <v>46</v>
      </c>
      <c r="G47" s="2" t="s">
        <v>6512</v>
      </c>
      <c r="H47" t="s">
        <v>76</v>
      </c>
      <c r="I47" s="3">
        <v>200050</v>
      </c>
      <c r="J47" t="str">
        <f t="shared" si="3"/>
        <v>Salmon Arm</v>
      </c>
      <c r="K47" t="str">
        <f t="shared" si="4"/>
        <v>Okanagan - Shuswap</v>
      </c>
    </row>
    <row r="48" spans="1:11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>
        <v>47</v>
      </c>
      <c r="G48" s="2" t="s">
        <v>6512</v>
      </c>
      <c r="H48" t="s">
        <v>76</v>
      </c>
      <c r="I48" s="3">
        <v>200051</v>
      </c>
      <c r="J48" t="str">
        <f t="shared" si="3"/>
        <v>Sicamous</v>
      </c>
      <c r="K48" t="str">
        <f t="shared" si="4"/>
        <v>Okanagan - Shuswap</v>
      </c>
    </row>
    <row r="49" spans="1:11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>
        <v>48</v>
      </c>
      <c r="G49" s="2" t="s">
        <v>6512</v>
      </c>
      <c r="H49" t="s">
        <v>76</v>
      </c>
      <c r="I49" s="3">
        <v>200052</v>
      </c>
      <c r="J49" t="str">
        <f t="shared" si="3"/>
        <v>Vernon</v>
      </c>
      <c r="K49" t="str">
        <f t="shared" si="4"/>
        <v>Okanagan - Shuswap</v>
      </c>
    </row>
    <row r="50" spans="1:11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>
        <v>49</v>
      </c>
      <c r="G50" s="2" t="s">
        <v>6512</v>
      </c>
      <c r="H50" t="s">
        <v>76</v>
      </c>
      <c r="I50" s="3">
        <v>200034</v>
      </c>
      <c r="J50" t="str">
        <f t="shared" si="3"/>
        <v>Merritt</v>
      </c>
      <c r="K50" t="str">
        <f t="shared" si="4"/>
        <v>Nicola</v>
      </c>
    </row>
    <row r="51" spans="1:11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>
        <v>50</v>
      </c>
      <c r="G51" s="2" t="s">
        <v>6512</v>
      </c>
      <c r="H51" t="s">
        <v>76</v>
      </c>
      <c r="I51" s="3">
        <v>200082</v>
      </c>
      <c r="J51" t="str">
        <f t="shared" si="3"/>
        <v>Barriere</v>
      </c>
      <c r="K51" t="str">
        <f t="shared" si="4"/>
        <v>Thompson</v>
      </c>
    </row>
    <row r="52" spans="1:11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>
        <v>51</v>
      </c>
      <c r="G52" s="2" t="s">
        <v>6512</v>
      </c>
      <c r="H52" t="s">
        <v>76</v>
      </c>
      <c r="I52" s="3">
        <v>200083</v>
      </c>
      <c r="J52" t="str">
        <f t="shared" si="3"/>
        <v>Clearwater</v>
      </c>
      <c r="K52" t="str">
        <f t="shared" si="4"/>
        <v>Thompson</v>
      </c>
    </row>
    <row r="53" spans="1:11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>
        <v>52</v>
      </c>
      <c r="G53" s="2" t="s">
        <v>6512</v>
      </c>
      <c r="H53" t="s">
        <v>76</v>
      </c>
      <c r="I53" s="3">
        <v>200084</v>
      </c>
      <c r="J53" t="str">
        <f t="shared" si="3"/>
        <v>Kamloops &amp; Savona</v>
      </c>
      <c r="K53" t="str">
        <f t="shared" si="4"/>
        <v>Thompson</v>
      </c>
    </row>
    <row r="54" spans="1:11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>
        <v>53</v>
      </c>
      <c r="G54" s="2" t="s">
        <v>6512</v>
      </c>
      <c r="H54" t="s">
        <v>76</v>
      </c>
      <c r="I54" s="3">
        <v>200060</v>
      </c>
      <c r="J54" t="str">
        <f t="shared" si="3"/>
        <v>100 Mile-Clinton</v>
      </c>
      <c r="K54" t="str">
        <f t="shared" si="4"/>
        <v>South Cariboo</v>
      </c>
    </row>
    <row r="55" spans="1:11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>
        <v>54</v>
      </c>
      <c r="G55" s="2" t="s">
        <v>6512</v>
      </c>
      <c r="H55" t="s">
        <v>76</v>
      </c>
      <c r="I55" s="3">
        <v>200061</v>
      </c>
      <c r="J55" t="str">
        <f t="shared" si="3"/>
        <v>Lillooet-Goldbridge</v>
      </c>
      <c r="K55" t="str">
        <f t="shared" si="4"/>
        <v>South Cariboo</v>
      </c>
    </row>
    <row r="56" spans="1:11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>
        <v>55</v>
      </c>
      <c r="G56" s="2" t="s">
        <v>6512</v>
      </c>
      <c r="H56" t="s">
        <v>76</v>
      </c>
      <c r="I56" s="3">
        <v>200062</v>
      </c>
      <c r="J56" t="str">
        <f t="shared" si="3"/>
        <v>20 Mile-Spences Bridge</v>
      </c>
      <c r="K56" t="str">
        <f t="shared" si="4"/>
        <v>South Cariboo</v>
      </c>
    </row>
    <row r="57" spans="1:11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>
        <v>56</v>
      </c>
      <c r="G57" s="2" t="s">
        <v>6512</v>
      </c>
      <c r="H57" t="s">
        <v>76</v>
      </c>
      <c r="I57" s="3">
        <v>200063</v>
      </c>
      <c r="J57" t="str">
        <f t="shared" si="3"/>
        <v>Bridge Lake</v>
      </c>
      <c r="K57" t="str">
        <f t="shared" si="4"/>
        <v>South Cariboo</v>
      </c>
    </row>
    <row r="58" spans="1:11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>
        <v>57</v>
      </c>
      <c r="G58" s="2" t="s">
        <v>6512</v>
      </c>
      <c r="H58" t="s">
        <v>76</v>
      </c>
      <c r="I58" s="3">
        <v>200003</v>
      </c>
      <c r="J58" t="str">
        <f t="shared" si="3"/>
        <v>Cariboo</v>
      </c>
      <c r="K58" t="str">
        <f t="shared" si="4"/>
        <v>Central Cariboo</v>
      </c>
    </row>
    <row r="59" spans="1:11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>
        <v>58</v>
      </c>
      <c r="G59" s="2" t="s">
        <v>6512</v>
      </c>
      <c r="H59" t="s">
        <v>76</v>
      </c>
      <c r="I59" s="3">
        <v>200004</v>
      </c>
      <c r="J59" t="str">
        <f t="shared" si="3"/>
        <v>Chilcotin</v>
      </c>
      <c r="K59" t="str">
        <f t="shared" si="4"/>
        <v>Central Cariboo</v>
      </c>
    </row>
    <row r="60" spans="1:11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>
        <v>59</v>
      </c>
      <c r="G60" s="2" t="s">
        <v>6512</v>
      </c>
      <c r="H60" t="s">
        <v>76</v>
      </c>
      <c r="I60" s="3">
        <v>200035</v>
      </c>
      <c r="J60" t="str">
        <f t="shared" si="3"/>
        <v>North Cariboo District</v>
      </c>
      <c r="K60" t="str">
        <f t="shared" si="4"/>
        <v>North Cariboo</v>
      </c>
    </row>
    <row r="61" spans="1:11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>
        <v>60</v>
      </c>
      <c r="G61" s="2" t="s">
        <v>6512</v>
      </c>
      <c r="H61" t="s">
        <v>76</v>
      </c>
      <c r="I61" s="3">
        <v>200019</v>
      </c>
      <c r="J61" t="str">
        <f t="shared" si="3"/>
        <v>Prince George</v>
      </c>
      <c r="K61" t="str">
        <f t="shared" si="4"/>
        <v>Fort George</v>
      </c>
    </row>
    <row r="62" spans="1:11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>
        <v>61</v>
      </c>
      <c r="G62" s="2" t="s">
        <v>6512</v>
      </c>
      <c r="H62" t="s">
        <v>76</v>
      </c>
      <c r="I62" s="3">
        <v>200053</v>
      </c>
      <c r="J62" t="str">
        <f t="shared" si="3"/>
        <v>Crescent Spur To Horsey Creek</v>
      </c>
      <c r="K62" t="str">
        <f t="shared" si="4"/>
        <v>Robson</v>
      </c>
    </row>
    <row r="63" spans="1:11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>
        <v>62</v>
      </c>
      <c r="G63" s="2" t="s">
        <v>6512</v>
      </c>
      <c r="H63" t="s">
        <v>76</v>
      </c>
      <c r="I63" s="3">
        <v>200054</v>
      </c>
      <c r="J63" t="str">
        <f t="shared" si="3"/>
        <v>Horsey Ck-Border S To Albreda</v>
      </c>
      <c r="K63" t="str">
        <f t="shared" si="4"/>
        <v>Robson</v>
      </c>
    </row>
    <row r="64" spans="1:11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>
        <v>63</v>
      </c>
      <c r="G64" s="2" t="s">
        <v>6512</v>
      </c>
      <c r="H64" t="s">
        <v>76</v>
      </c>
      <c r="I64" s="3">
        <v>200055</v>
      </c>
      <c r="J64" t="str">
        <f t="shared" si="3"/>
        <v>Albreda To Mcmurphy</v>
      </c>
      <c r="K64" t="str">
        <f t="shared" si="4"/>
        <v>Robson</v>
      </c>
    </row>
    <row r="65" spans="1:11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>
        <v>64</v>
      </c>
      <c r="G65" s="2" t="s">
        <v>6512</v>
      </c>
      <c r="H65" t="s">
        <v>76</v>
      </c>
      <c r="I65" s="3">
        <v>200074</v>
      </c>
      <c r="J65" t="str">
        <f t="shared" si="3"/>
        <v>Chetwynd</v>
      </c>
      <c r="K65" t="str">
        <f t="shared" si="4"/>
        <v>South Peace</v>
      </c>
    </row>
    <row r="66" spans="1:11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>
        <v>65</v>
      </c>
      <c r="G66" s="2" t="s">
        <v>6512</v>
      </c>
      <c r="H66" t="s">
        <v>76</v>
      </c>
      <c r="I66" s="3">
        <v>200075</v>
      </c>
      <c r="J66" t="str">
        <f t="shared" ref="J66:J88" si="5">E66</f>
        <v>Dawson Creek</v>
      </c>
      <c r="K66" t="str">
        <f t="shared" ref="K66:K88" si="6">C66</f>
        <v>South Peace</v>
      </c>
    </row>
    <row r="67" spans="1:11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>
        <v>66</v>
      </c>
      <c r="G67" s="2" t="s">
        <v>6512</v>
      </c>
      <c r="H67" t="s">
        <v>76</v>
      </c>
      <c r="I67" s="3">
        <v>200076</v>
      </c>
      <c r="J67" t="str">
        <f t="shared" si="5"/>
        <v>Tumbler Ridge</v>
      </c>
      <c r="K67" t="str">
        <f t="shared" si="6"/>
        <v>South Peace</v>
      </c>
    </row>
    <row r="68" spans="1:11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>
        <v>67</v>
      </c>
      <c r="G68" s="2" t="s">
        <v>6512</v>
      </c>
      <c r="H68" t="s">
        <v>76</v>
      </c>
      <c r="I68" s="3">
        <v>200042</v>
      </c>
      <c r="J68" t="str">
        <f t="shared" si="5"/>
        <v>Clayhurst</v>
      </c>
      <c r="K68" t="str">
        <f t="shared" si="6"/>
        <v>North Peace</v>
      </c>
    </row>
    <row r="69" spans="1:11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>
        <v>68</v>
      </c>
      <c r="G69" s="2" t="s">
        <v>6512</v>
      </c>
      <c r="H69" t="s">
        <v>76</v>
      </c>
      <c r="I69" s="3">
        <v>200043</v>
      </c>
      <c r="J69" t="str">
        <f t="shared" si="5"/>
        <v>Fort St. John</v>
      </c>
      <c r="K69" t="str">
        <f t="shared" si="6"/>
        <v>North Peace</v>
      </c>
    </row>
    <row r="70" spans="1:11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>
        <v>69</v>
      </c>
      <c r="G70" s="2" t="s">
        <v>6512</v>
      </c>
      <c r="H70" t="s">
        <v>76</v>
      </c>
      <c r="I70" s="3">
        <v>200044</v>
      </c>
      <c r="J70" t="str">
        <f t="shared" si="5"/>
        <v>Fort Nelson</v>
      </c>
      <c r="K70" t="str">
        <f t="shared" si="6"/>
        <v>North Peace</v>
      </c>
    </row>
    <row r="71" spans="1:11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>
        <v>70</v>
      </c>
      <c r="G71" s="2" t="s">
        <v>6512</v>
      </c>
      <c r="H71" t="s">
        <v>76</v>
      </c>
      <c r="I71" s="3">
        <v>200045</v>
      </c>
      <c r="J71" t="str">
        <f t="shared" si="5"/>
        <v>Prespatou</v>
      </c>
      <c r="K71" t="str">
        <f t="shared" si="6"/>
        <v>North Peace</v>
      </c>
    </row>
    <row r="72" spans="1:11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>
        <v>71</v>
      </c>
      <c r="G72" s="2" t="s">
        <v>6512</v>
      </c>
      <c r="H72" t="s">
        <v>76</v>
      </c>
      <c r="I72" s="3">
        <v>200032</v>
      </c>
      <c r="J72" t="str">
        <f t="shared" si="5"/>
        <v>Vanderhoof</v>
      </c>
      <c r="K72" t="str">
        <f t="shared" si="6"/>
        <v>Nechako</v>
      </c>
    </row>
    <row r="73" spans="1:11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>
        <v>72</v>
      </c>
      <c r="G73" s="2" t="s">
        <v>6512</v>
      </c>
      <c r="H73" t="s">
        <v>76</v>
      </c>
      <c r="I73" s="3">
        <v>200033</v>
      </c>
      <c r="J73" t="str">
        <f t="shared" si="5"/>
        <v>Fort St James</v>
      </c>
      <c r="K73" t="str">
        <f t="shared" si="6"/>
        <v>Nechako</v>
      </c>
    </row>
    <row r="74" spans="1:11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>
        <v>73</v>
      </c>
      <c r="G74" s="2" t="s">
        <v>6512</v>
      </c>
      <c r="H74" t="s">
        <v>76</v>
      </c>
      <c r="I74" s="3">
        <v>200027</v>
      </c>
      <c r="J74" t="str">
        <f t="shared" si="5"/>
        <v>Burns Lake</v>
      </c>
      <c r="K74" t="str">
        <f t="shared" si="6"/>
        <v>Lakes</v>
      </c>
    </row>
    <row r="75" spans="1:11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>
        <v>74</v>
      </c>
      <c r="G75" s="2" t="s">
        <v>6512</v>
      </c>
      <c r="H75" t="s">
        <v>76</v>
      </c>
      <c r="I75" s="3">
        <v>200028</v>
      </c>
      <c r="J75" t="str">
        <f t="shared" si="5"/>
        <v>Houston</v>
      </c>
      <c r="K75" t="str">
        <f t="shared" si="6"/>
        <v>Lakes</v>
      </c>
    </row>
    <row r="76" spans="1:11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>
        <v>75</v>
      </c>
      <c r="G76" s="2" t="s">
        <v>6512</v>
      </c>
      <c r="H76" t="s">
        <v>76</v>
      </c>
      <c r="I76" s="3">
        <v>200000</v>
      </c>
      <c r="J76" t="str">
        <f t="shared" si="5"/>
        <v>Smithers/Telkwa</v>
      </c>
      <c r="K76" t="str">
        <f t="shared" si="6"/>
        <v>Bulkley - Nass</v>
      </c>
    </row>
    <row r="77" spans="1:11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>
        <v>76</v>
      </c>
      <c r="G77" s="2" t="s">
        <v>6512</v>
      </c>
      <c r="H77" t="s">
        <v>76</v>
      </c>
      <c r="I77" s="3">
        <v>200001</v>
      </c>
      <c r="J77" t="str">
        <f t="shared" si="5"/>
        <v>Hazelton/Kitwanga</v>
      </c>
      <c r="K77" t="str">
        <f t="shared" si="6"/>
        <v>Bulkley - Nass</v>
      </c>
    </row>
    <row r="78" spans="1:11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>
        <v>77</v>
      </c>
      <c r="G78" s="2" t="s">
        <v>6512</v>
      </c>
      <c r="H78" t="s">
        <v>76</v>
      </c>
      <c r="I78" s="3">
        <v>200002</v>
      </c>
      <c r="J78" t="str">
        <f t="shared" si="5"/>
        <v>Stewart/Meziadin</v>
      </c>
      <c r="K78" t="str">
        <f t="shared" si="6"/>
        <v>Bulkley - Nass</v>
      </c>
    </row>
    <row r="79" spans="1:11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>
        <v>78</v>
      </c>
      <c r="G79" s="2" t="s">
        <v>6512</v>
      </c>
      <c r="H79" t="s">
        <v>76</v>
      </c>
      <c r="I79" s="3">
        <v>200058</v>
      </c>
      <c r="J79" t="str">
        <f t="shared" si="5"/>
        <v>Kitimat</v>
      </c>
      <c r="K79" t="str">
        <f t="shared" si="6"/>
        <v>Skeena</v>
      </c>
    </row>
    <row r="80" spans="1:11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>
        <v>79</v>
      </c>
      <c r="G80" s="2" t="s">
        <v>6512</v>
      </c>
      <c r="H80" t="s">
        <v>76</v>
      </c>
      <c r="I80" s="3">
        <v>200059</v>
      </c>
      <c r="J80" t="str">
        <f t="shared" si="5"/>
        <v>Terrace</v>
      </c>
      <c r="K80" t="str">
        <f t="shared" si="6"/>
        <v>Skeena</v>
      </c>
    </row>
    <row r="81" spans="1:11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>
        <v>80</v>
      </c>
      <c r="G81" s="2" t="s">
        <v>6512</v>
      </c>
      <c r="H81" t="s">
        <v>76</v>
      </c>
      <c r="I81" s="3">
        <v>200036</v>
      </c>
      <c r="J81" t="str">
        <f t="shared" si="5"/>
        <v>Prince Rupert</v>
      </c>
      <c r="K81" t="str">
        <f t="shared" si="6"/>
        <v>North Coast</v>
      </c>
    </row>
    <row r="82" spans="1:11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>
        <v>81</v>
      </c>
      <c r="G82" s="2" t="s">
        <v>6512</v>
      </c>
      <c r="H82" t="s">
        <v>76</v>
      </c>
      <c r="I82" s="3">
        <v>200037</v>
      </c>
      <c r="J82" t="str">
        <f t="shared" si="5"/>
        <v>Queen Charlotte Islands</v>
      </c>
      <c r="K82" t="str">
        <f t="shared" si="6"/>
        <v>North Coast</v>
      </c>
    </row>
    <row r="83" spans="1:11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>
        <v>82</v>
      </c>
      <c r="G83" s="2" t="s">
        <v>6512</v>
      </c>
      <c r="H83" t="s">
        <v>76</v>
      </c>
      <c r="I83" s="3">
        <v>200077</v>
      </c>
      <c r="J83" t="str">
        <f t="shared" si="5"/>
        <v>Atlin</v>
      </c>
      <c r="K83" t="str">
        <f t="shared" si="6"/>
        <v>Stikine</v>
      </c>
    </row>
    <row r="84" spans="1:11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>
        <v>83</v>
      </c>
      <c r="G84" s="2" t="s">
        <v>6512</v>
      </c>
      <c r="H84" t="s">
        <v>76</v>
      </c>
      <c r="I84" s="3">
        <v>200078</v>
      </c>
      <c r="J84" t="str">
        <f t="shared" si="5"/>
        <v>Iskut &amp; Bob Quinn</v>
      </c>
      <c r="K84" t="str">
        <f t="shared" si="6"/>
        <v>Stikine</v>
      </c>
    </row>
    <row r="85" spans="1:11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>
        <v>84</v>
      </c>
      <c r="G85" s="2" t="s">
        <v>6512</v>
      </c>
      <c r="H85" t="s">
        <v>76</v>
      </c>
      <c r="I85" s="3">
        <v>200079</v>
      </c>
      <c r="J85" t="str">
        <f t="shared" si="5"/>
        <v>Dease Lake</v>
      </c>
      <c r="K85" t="str">
        <f t="shared" si="6"/>
        <v>Stikine</v>
      </c>
    </row>
    <row r="86" spans="1:11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>
        <v>85</v>
      </c>
      <c r="G86" s="2" t="s">
        <v>6512</v>
      </c>
      <c r="H86" t="s">
        <v>76</v>
      </c>
      <c r="I86" s="3">
        <v>200080</v>
      </c>
      <c r="J86" t="str">
        <f t="shared" si="5"/>
        <v>Telegraph Creek</v>
      </c>
      <c r="K86" t="str">
        <f t="shared" si="6"/>
        <v>Stikine</v>
      </c>
    </row>
    <row r="87" spans="1:11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>
        <v>86</v>
      </c>
      <c r="G87" s="2" t="s">
        <v>6512</v>
      </c>
      <c r="H87" t="s">
        <v>76</v>
      </c>
      <c r="I87" s="3">
        <v>200085</v>
      </c>
      <c r="J87" t="str">
        <f t="shared" si="5"/>
        <v>NON-BC</v>
      </c>
      <c r="K87" t="str">
        <f t="shared" si="6"/>
        <v>NON-BC</v>
      </c>
    </row>
    <row r="88" spans="1:11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>
        <v>87</v>
      </c>
      <c r="G88" s="2" t="s">
        <v>6512</v>
      </c>
      <c r="H88" t="s">
        <v>76</v>
      </c>
      <c r="I88" s="3">
        <v>200086</v>
      </c>
      <c r="J88" t="str">
        <f t="shared" si="5"/>
        <v>Unknown</v>
      </c>
      <c r="K88" t="str">
        <f t="shared" si="6"/>
        <v>Unknown</v>
      </c>
    </row>
  </sheetData>
  <sortState ref="A2:K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2017-03-29T23:34:37Z</dcterms:modified>
</cp:coreProperties>
</file>