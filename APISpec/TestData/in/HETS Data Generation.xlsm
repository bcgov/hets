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repo\hets\APISpec\TestData\in\"/>
    </mc:Choice>
  </mc:AlternateContent>
  <bookViews>
    <workbookView xWindow="0" yWindow="0" windowWidth="21732" windowHeight="8628" tabRatio="765" activeTab="3"/>
  </bookViews>
  <sheets>
    <sheet name="Owners.csv" sheetId="2" r:id="rId1"/>
    <sheet name="Equipment.csv" sheetId="27" r:id="rId2"/>
    <sheet name="Attachments" sheetId="42" r:id="rId3"/>
    <sheet name="Project.csv" sheetId="43" r:id="rId4"/>
    <sheet name="Contacts.csv" sheetId="51" r:id="rId5"/>
    <sheet name="RentalRequest.csv" sheetId="45" r:id="rId6"/>
    <sheet name="LookupLists.csv" sheetId="52" r:id="rId7"/>
    <sheet name="EquipmentTypes.csv" sheetId="53" r:id="rId8"/>
    <sheet name="DistrictEquipmentTypes.csv" sheetId="48" r:id="rId9"/>
    <sheet name="HETS Data" sheetId="50" r:id="rId10"/>
    <sheet name="Names" sheetId="28" r:id="rId11"/>
    <sheet name="Lookups" sheetId="9" r:id="rId12"/>
    <sheet name="Lookups (2)" sheetId="46" r:id="rId13"/>
    <sheet name="Tables" sheetId="49" r:id="rId14"/>
    <sheet name="ServiceAreas.csv" sheetId="25" r:id="rId15"/>
    <sheet name="LocalAreas.csv" sheetId="40" r:id="rId16"/>
  </sheets>
  <functionGroups builtInGroupCount="18"/>
  <definedNames>
    <definedName name="_xlnm._FilterDatabase" localSheetId="1" hidden="1">Equipment.csv!$A$1:$AS$205</definedName>
    <definedName name="_xlnm._FilterDatabase" localSheetId="9" hidden="1">'HETS Data'!$A$1:$AE$199</definedName>
    <definedName name="_xlnm._FilterDatabase" localSheetId="0" hidden="1">Owners.csv!$A$1:$Z$109</definedName>
    <definedName name="_xlnm._FilterDatabase" localSheetId="3" hidden="1">Project.csv!$A$1:$P$155</definedName>
    <definedName name="_xlnm._FilterDatabase" localSheetId="13" hidden="1">Tables!$A$1:$B$35</definedName>
    <definedName name="Full_Name">Names!$AL$2:$AL$150</definedName>
    <definedName name="PROJ_EXT_Name">Names!$AM$2:$AM$13</definedName>
    <definedName name="Service_Area">'HETS Data'!$C$2:$C$199</definedName>
    <definedName name="Service_Area_Name">ServiceAreas.csv!$F$2:$F$31</definedName>
    <definedName name="Street_Address">Names!$G$2:$G$150</definedName>
  </definedNames>
  <calcPr calcId="171027"/>
</workbook>
</file>

<file path=xl/calcChain.xml><?xml version="1.0" encoding="utf-8"?>
<calcChain xmlns="http://schemas.openxmlformats.org/spreadsheetml/2006/main">
  <c r="H4" i="52" l="1"/>
  <c r="H5" i="52" s="1"/>
  <c r="H6" i="52" s="1"/>
  <c r="H7" i="52" s="1"/>
  <c r="H8" i="52" s="1"/>
  <c r="H9" i="52" s="1"/>
  <c r="H10" i="52" s="1"/>
  <c r="H11" i="52" s="1"/>
  <c r="H12" i="52" s="1"/>
  <c r="H13" i="52" s="1"/>
  <c r="H14" i="52" s="1"/>
  <c r="H15" i="52" s="1"/>
  <c r="H16" i="52" s="1"/>
  <c r="H17" i="52" s="1"/>
  <c r="H18" i="52" s="1"/>
  <c r="H19" i="52" s="1"/>
  <c r="H20" i="52" s="1"/>
  <c r="H21" i="52" s="1"/>
  <c r="H22" i="52" s="1"/>
  <c r="H23" i="52" s="1"/>
  <c r="H24" i="52" s="1"/>
  <c r="H25" i="52" s="1"/>
  <c r="H26" i="52" s="1"/>
  <c r="H27" i="52" s="1"/>
  <c r="H28" i="52" s="1"/>
  <c r="H29" i="52" s="1"/>
  <c r="H30" i="52" s="1"/>
  <c r="H31" i="52" s="1"/>
  <c r="H32" i="52" s="1"/>
  <c r="H33" i="52" s="1"/>
  <c r="H34" i="52" s="1"/>
  <c r="H35" i="52" s="1"/>
  <c r="H36" i="52" s="1"/>
  <c r="H37" i="52" s="1"/>
  <c r="H38" i="52" s="1"/>
  <c r="H39" i="52" s="1"/>
  <c r="H40" i="52" s="1"/>
  <c r="H41" i="52" s="1"/>
  <c r="H42" i="52" s="1"/>
  <c r="H43" i="52" s="1"/>
  <c r="H44" i="52" s="1"/>
  <c r="H45" i="52" s="1"/>
  <c r="H46" i="52" s="1"/>
  <c r="H47" i="52" s="1"/>
  <c r="H48" i="52" s="1"/>
  <c r="H49" i="52" s="1"/>
  <c r="H50" i="52" s="1"/>
  <c r="H51" i="52" s="1"/>
  <c r="H52" i="52" s="1"/>
  <c r="H53" i="52" s="1"/>
  <c r="H54" i="52" s="1"/>
  <c r="H3" i="52"/>
  <c r="G4" i="43" l="1"/>
  <c r="G5" i="43" s="1"/>
  <c r="G6" i="43" s="1"/>
  <c r="G7" i="43" s="1"/>
  <c r="G8" i="43" s="1"/>
  <c r="G9" i="43" s="1"/>
  <c r="G10" i="43" s="1"/>
  <c r="G11" i="43" s="1"/>
  <c r="G12" i="43" s="1"/>
  <c r="G13" i="43" s="1"/>
  <c r="G14" i="43" s="1"/>
  <c r="G15" i="43" s="1"/>
  <c r="G16" i="43" s="1"/>
  <c r="G17" i="43" s="1"/>
  <c r="G18" i="43" s="1"/>
  <c r="G19" i="43" s="1"/>
  <c r="G20" i="43" s="1"/>
  <c r="G21" i="43" s="1"/>
  <c r="G22" i="43" s="1"/>
  <c r="G23" i="43" s="1"/>
  <c r="G24" i="43" s="1"/>
  <c r="G25" i="43" s="1"/>
  <c r="G26" i="43" s="1"/>
  <c r="G27" i="43" s="1"/>
  <c r="G28" i="43" s="1"/>
  <c r="G29" i="43" s="1"/>
  <c r="G30" i="43" s="1"/>
  <c r="G31" i="43" s="1"/>
  <c r="G32" i="43" s="1"/>
  <c r="G33" i="43" s="1"/>
  <c r="G34" i="43" s="1"/>
  <c r="G35" i="43" s="1"/>
  <c r="G36" i="43" s="1"/>
  <c r="G37" i="43" s="1"/>
  <c r="G38" i="43" s="1"/>
  <c r="G39" i="43" s="1"/>
  <c r="G40" i="43" s="1"/>
  <c r="G41" i="43" s="1"/>
  <c r="G42" i="43" s="1"/>
  <c r="G43" i="43" s="1"/>
  <c r="G44" i="43" s="1"/>
  <c r="G45" i="43" s="1"/>
  <c r="G46" i="43" s="1"/>
  <c r="G47" i="43" s="1"/>
  <c r="G48" i="43" s="1"/>
  <c r="G49" i="43" s="1"/>
  <c r="G50" i="43" s="1"/>
  <c r="G51" i="43" s="1"/>
  <c r="G52" i="43" s="1"/>
  <c r="G53" i="43" s="1"/>
  <c r="G54" i="43" s="1"/>
  <c r="G55" i="43" s="1"/>
  <c r="G56" i="43" s="1"/>
  <c r="G57" i="43" s="1"/>
  <c r="G58" i="43" s="1"/>
  <c r="G59" i="43" s="1"/>
  <c r="G60" i="43" s="1"/>
  <c r="G61" i="43" s="1"/>
  <c r="G62" i="43" s="1"/>
  <c r="G63" i="43" s="1"/>
  <c r="G64" i="43" s="1"/>
  <c r="G65" i="43" s="1"/>
  <c r="G66" i="43" s="1"/>
  <c r="G67" i="43" s="1"/>
  <c r="G68" i="43" s="1"/>
  <c r="G69" i="43" s="1"/>
  <c r="G70" i="43" s="1"/>
  <c r="G71" i="43" s="1"/>
  <c r="G72" i="43" s="1"/>
  <c r="G73" i="43" s="1"/>
  <c r="G74" i="43" s="1"/>
  <c r="G75" i="43" s="1"/>
  <c r="G76" i="43" s="1"/>
  <c r="G77" i="43" s="1"/>
  <c r="G78" i="43" s="1"/>
  <c r="G79" i="43" s="1"/>
  <c r="G80" i="43" s="1"/>
  <c r="G81" i="43" s="1"/>
  <c r="G82" i="43" s="1"/>
  <c r="G83" i="43" s="1"/>
  <c r="G84" i="43" s="1"/>
  <c r="G85" i="43" s="1"/>
  <c r="G86" i="43" s="1"/>
  <c r="G87" i="43" s="1"/>
  <c r="G88" i="43" s="1"/>
  <c r="G89" i="43" s="1"/>
  <c r="G90" i="43" s="1"/>
  <c r="G91" i="43" s="1"/>
  <c r="G92" i="43" s="1"/>
  <c r="G93" i="43" s="1"/>
  <c r="G94" i="43" s="1"/>
  <c r="G95" i="43" s="1"/>
  <c r="G96" i="43" s="1"/>
  <c r="G97" i="43" s="1"/>
  <c r="G98" i="43" s="1"/>
  <c r="G99" i="43" s="1"/>
  <c r="G100" i="43" s="1"/>
  <c r="G101" i="43" s="1"/>
  <c r="G102" i="43" s="1"/>
  <c r="G103" i="43" s="1"/>
  <c r="G104" i="43" s="1"/>
  <c r="G105" i="43" s="1"/>
  <c r="G106" i="43" s="1"/>
  <c r="G107" i="43" s="1"/>
  <c r="G108" i="43" s="1"/>
  <c r="G109" i="43" s="1"/>
  <c r="G110" i="43" s="1"/>
  <c r="G111" i="43" s="1"/>
  <c r="G112" i="43" s="1"/>
  <c r="G113" i="43" s="1"/>
  <c r="G114" i="43" s="1"/>
  <c r="G115" i="43" s="1"/>
  <c r="G116" i="43" s="1"/>
  <c r="G117" i="43" s="1"/>
  <c r="G118" i="43" s="1"/>
  <c r="G119" i="43" s="1"/>
  <c r="G120" i="43" s="1"/>
  <c r="G121" i="43" s="1"/>
  <c r="G122" i="43" s="1"/>
  <c r="G123" i="43" s="1"/>
  <c r="G124" i="43" s="1"/>
  <c r="G125" i="43" s="1"/>
  <c r="G126" i="43" s="1"/>
  <c r="G127" i="43" s="1"/>
  <c r="G128" i="43" s="1"/>
  <c r="G129" i="43" s="1"/>
  <c r="G130" i="43" s="1"/>
  <c r="G131" i="43" s="1"/>
  <c r="G132" i="43" s="1"/>
  <c r="G133" i="43" s="1"/>
  <c r="G134" i="43" s="1"/>
  <c r="G135" i="43" s="1"/>
  <c r="G136" i="43" s="1"/>
  <c r="G137" i="43" s="1"/>
  <c r="G138" i="43" s="1"/>
  <c r="G139" i="43" s="1"/>
  <c r="G140" i="43" s="1"/>
  <c r="G141" i="43" s="1"/>
  <c r="G142" i="43" s="1"/>
  <c r="G143" i="43" s="1"/>
  <c r="G144" i="43" s="1"/>
  <c r="G145" i="43" s="1"/>
  <c r="G146" i="43" s="1"/>
  <c r="G147" i="43" s="1"/>
  <c r="G148" i="43" s="1"/>
  <c r="G149" i="43" s="1"/>
  <c r="G150" i="43" s="1"/>
  <c r="G151" i="43" s="1"/>
  <c r="G152" i="43" s="1"/>
  <c r="G153" i="43" s="1"/>
  <c r="G154" i="43" s="1"/>
  <c r="G155" i="43" s="1"/>
  <c r="G3" i="43"/>
  <c r="D3" i="45" l="1"/>
  <c r="D4" i="45"/>
  <c r="D5" i="45"/>
  <c r="D6" i="45"/>
  <c r="D7" i="45"/>
  <c r="D8" i="45"/>
  <c r="D9" i="45"/>
  <c r="D10" i="45"/>
  <c r="D11" i="45"/>
  <c r="D12" i="45"/>
  <c r="D13" i="45"/>
  <c r="D14" i="45"/>
  <c r="D15" i="45"/>
  <c r="D16" i="45"/>
  <c r="D17" i="45"/>
  <c r="D18" i="45"/>
  <c r="D19" i="45"/>
  <c r="D20" i="45"/>
  <c r="D21" i="45"/>
  <c r="D22" i="45"/>
  <c r="D23" i="45"/>
  <c r="D24" i="45"/>
  <c r="D25" i="45"/>
  <c r="D26" i="45"/>
  <c r="D27" i="45"/>
  <c r="D28" i="45"/>
  <c r="D29" i="45"/>
  <c r="D30" i="45"/>
  <c r="D31" i="45"/>
  <c r="D32" i="45"/>
  <c r="D33" i="45"/>
  <c r="D34" i="45"/>
  <c r="D35" i="45"/>
  <c r="D36" i="45"/>
  <c r="D37" i="45"/>
  <c r="D38" i="45"/>
  <c r="D39" i="45"/>
  <c r="D40" i="45"/>
  <c r="D41" i="45"/>
  <c r="D42" i="45"/>
  <c r="D43" i="45"/>
  <c r="D44" i="45"/>
  <c r="D45" i="45"/>
  <c r="D46" i="45"/>
  <c r="D47" i="45"/>
  <c r="D48" i="45"/>
  <c r="D49" i="45"/>
  <c r="D50" i="45"/>
  <c r="D51" i="45"/>
  <c r="D52" i="45"/>
  <c r="D53" i="45"/>
  <c r="D54" i="45"/>
  <c r="D55" i="45"/>
  <c r="D56" i="45"/>
  <c r="D57" i="45"/>
  <c r="D58" i="45"/>
  <c r="D59" i="45"/>
  <c r="D60" i="45"/>
  <c r="D61" i="45"/>
  <c r="D62" i="45"/>
  <c r="D63" i="45"/>
  <c r="D64" i="45"/>
  <c r="D65" i="45"/>
  <c r="D66" i="45"/>
  <c r="D67" i="45"/>
  <c r="D68" i="45"/>
  <c r="D69" i="45"/>
  <c r="D70" i="45"/>
  <c r="D71" i="45"/>
  <c r="D72" i="45"/>
  <c r="D73" i="45"/>
  <c r="D74" i="45"/>
  <c r="D75" i="45"/>
  <c r="D76" i="45"/>
  <c r="D77" i="45"/>
  <c r="D78" i="45"/>
  <c r="D79" i="45"/>
  <c r="D80" i="45"/>
  <c r="D81" i="45"/>
  <c r="D82" i="45"/>
  <c r="D83" i="45"/>
  <c r="D84" i="45"/>
  <c r="D85" i="45"/>
  <c r="D86" i="45"/>
  <c r="D87" i="45"/>
  <c r="D88" i="45"/>
  <c r="D89" i="45"/>
  <c r="D90" i="45"/>
  <c r="D91" i="45"/>
  <c r="D92" i="45"/>
  <c r="D93" i="45"/>
  <c r="D94" i="45"/>
  <c r="D95" i="45"/>
  <c r="D96" i="45"/>
  <c r="D97" i="45"/>
  <c r="D98" i="45"/>
  <c r="D99" i="45"/>
  <c r="D100" i="45"/>
  <c r="D101" i="45"/>
  <c r="D102" i="45"/>
  <c r="D103" i="45"/>
  <c r="D104" i="45"/>
  <c r="D105" i="45"/>
  <c r="D106" i="45"/>
  <c r="D107" i="45"/>
  <c r="D108" i="45"/>
  <c r="D109" i="45"/>
  <c r="D110" i="45"/>
  <c r="D111" i="45"/>
  <c r="D112" i="45"/>
  <c r="D113" i="45"/>
  <c r="D114" i="45"/>
  <c r="D115" i="45"/>
  <c r="D116" i="45"/>
  <c r="D117" i="45"/>
  <c r="D118" i="45"/>
  <c r="D119" i="45"/>
  <c r="D120" i="45"/>
  <c r="D121" i="45"/>
  <c r="D122" i="45"/>
  <c r="D123" i="45"/>
  <c r="D124" i="45"/>
  <c r="D125" i="45"/>
  <c r="D126" i="45"/>
  <c r="D127" i="45"/>
  <c r="D128" i="45"/>
  <c r="D129" i="45"/>
  <c r="D130" i="45"/>
  <c r="D131" i="45"/>
  <c r="D132" i="45"/>
  <c r="D133" i="45"/>
  <c r="D134" i="45"/>
  <c r="D135" i="45"/>
  <c r="D136" i="45"/>
  <c r="D137" i="45"/>
  <c r="D138" i="45"/>
  <c r="D139" i="45"/>
  <c r="D140" i="45"/>
  <c r="D141" i="45"/>
  <c r="D142" i="45"/>
  <c r="D143" i="45"/>
  <c r="D144" i="45"/>
  <c r="D145" i="45"/>
  <c r="D146" i="45"/>
  <c r="D147" i="45"/>
  <c r="D148" i="45"/>
  <c r="D149" i="45"/>
  <c r="D150" i="45"/>
  <c r="D151" i="45"/>
  <c r="D152" i="45"/>
  <c r="D153" i="45"/>
  <c r="D154" i="45"/>
  <c r="D155" i="45"/>
  <c r="D156" i="45"/>
  <c r="D157" i="45"/>
  <c r="D158" i="45"/>
  <c r="D159" i="45"/>
  <c r="D160" i="45"/>
  <c r="D161" i="45"/>
  <c r="D162" i="45"/>
  <c r="D163" i="45"/>
  <c r="D164" i="45"/>
  <c r="D165" i="45"/>
  <c r="D166" i="45"/>
  <c r="D167" i="45"/>
  <c r="D168" i="45"/>
  <c r="D169" i="45"/>
  <c r="D170" i="45"/>
  <c r="D171" i="45"/>
  <c r="D172" i="45"/>
  <c r="D173" i="45"/>
  <c r="D174" i="45"/>
  <c r="D175" i="45"/>
  <c r="D176" i="45"/>
  <c r="D177" i="45"/>
  <c r="D178" i="45"/>
  <c r="D179" i="45"/>
  <c r="D180" i="45"/>
  <c r="D181" i="45"/>
  <c r="D182" i="45"/>
  <c r="D183" i="45"/>
  <c r="D184" i="45"/>
  <c r="D185" i="45"/>
  <c r="D186" i="45"/>
  <c r="D187" i="45"/>
  <c r="D188" i="45"/>
  <c r="D189" i="45"/>
  <c r="D190" i="45"/>
  <c r="D191" i="45"/>
  <c r="D192" i="45"/>
  <c r="D193" i="45"/>
  <c r="D194" i="45"/>
  <c r="D195" i="45"/>
  <c r="D196" i="45"/>
  <c r="D197" i="45"/>
  <c r="D198" i="45"/>
  <c r="D199" i="45"/>
  <c r="D200" i="45"/>
  <c r="D201" i="45"/>
  <c r="D202" i="45"/>
  <c r="D203" i="45"/>
  <c r="D204" i="45"/>
  <c r="D205" i="45"/>
  <c r="D206" i="45"/>
  <c r="D207" i="45"/>
  <c r="D208" i="45"/>
  <c r="D209" i="45"/>
  <c r="D210" i="45"/>
  <c r="D211" i="45"/>
  <c r="D212" i="45"/>
  <c r="D213" i="45"/>
  <c r="D214" i="45"/>
  <c r="D215" i="45"/>
  <c r="D216" i="45"/>
  <c r="D217" i="45"/>
  <c r="D218" i="45"/>
  <c r="D219" i="45"/>
  <c r="D220" i="45"/>
  <c r="D221" i="45"/>
  <c r="D222" i="45"/>
  <c r="D223" i="45"/>
  <c r="D224" i="45"/>
  <c r="D225" i="45"/>
  <c r="D226" i="45"/>
  <c r="D227" i="45"/>
  <c r="D228" i="45"/>
  <c r="D229" i="45"/>
  <c r="D230" i="45"/>
  <c r="D231" i="45"/>
  <c r="D232" i="45"/>
  <c r="D233" i="45"/>
  <c r="D234" i="45"/>
  <c r="D235" i="45"/>
  <c r="D236" i="45"/>
  <c r="D237" i="45"/>
  <c r="D238" i="45"/>
  <c r="D239" i="45"/>
  <c r="D240" i="45"/>
  <c r="D241" i="45"/>
  <c r="D242" i="45"/>
  <c r="D243" i="45"/>
  <c r="D244" i="45"/>
  <c r="D245" i="45"/>
  <c r="D246" i="45"/>
  <c r="D247" i="45"/>
  <c r="D248" i="45"/>
  <c r="D249" i="45"/>
  <c r="D250" i="45"/>
  <c r="D251" i="45"/>
  <c r="D252" i="45"/>
  <c r="D253" i="45"/>
  <c r="D254" i="45"/>
  <c r="D255" i="45"/>
  <c r="D256" i="45"/>
  <c r="D257" i="45"/>
  <c r="D258" i="45"/>
  <c r="D259" i="45"/>
  <c r="D260" i="45"/>
  <c r="D261" i="45"/>
  <c r="D262" i="45"/>
  <c r="D263" i="45"/>
  <c r="D264" i="45"/>
  <c r="D265" i="45"/>
  <c r="D266" i="45"/>
  <c r="D267" i="45"/>
  <c r="D268" i="45"/>
  <c r="D269" i="45"/>
  <c r="D270" i="45"/>
  <c r="D271" i="45"/>
  <c r="D272" i="45"/>
  <c r="D273" i="45"/>
  <c r="D274" i="45"/>
  <c r="D275" i="45"/>
  <c r="D276" i="45"/>
  <c r="D277" i="45"/>
  <c r="D278" i="45"/>
  <c r="D279" i="45"/>
  <c r="D280" i="45"/>
  <c r="D281" i="45"/>
  <c r="D282" i="45"/>
  <c r="D283" i="45"/>
  <c r="D284" i="45"/>
  <c r="D285" i="45"/>
  <c r="D286" i="45"/>
  <c r="D287" i="45"/>
  <c r="D288" i="45"/>
  <c r="D289" i="45"/>
  <c r="D290" i="45"/>
  <c r="D291" i="45"/>
  <c r="D292" i="45"/>
  <c r="D293" i="45"/>
  <c r="D294" i="45"/>
  <c r="D295" i="45"/>
  <c r="D296" i="45"/>
  <c r="D297" i="45"/>
  <c r="D298" i="45"/>
  <c r="D299" i="45"/>
  <c r="D300" i="45"/>
  <c r="D301" i="45"/>
  <c r="D302" i="45"/>
  <c r="D303" i="45"/>
  <c r="D304" i="45"/>
  <c r="D305" i="45"/>
  <c r="D306" i="45"/>
  <c r="D307" i="45"/>
  <c r="D308" i="45"/>
  <c r="D309" i="45"/>
  <c r="D310" i="45"/>
  <c r="D311" i="45"/>
  <c r="D312" i="45"/>
  <c r="D313" i="45"/>
  <c r="D314" i="45"/>
  <c r="D315" i="45"/>
  <c r="D316" i="45"/>
  <c r="D317" i="45"/>
  <c r="D318" i="45"/>
  <c r="D319" i="45"/>
  <c r="D320" i="45"/>
  <c r="D321" i="45"/>
  <c r="D322" i="45"/>
  <c r="D323" i="45"/>
  <c r="D324" i="45"/>
  <c r="D325" i="45"/>
  <c r="D2" i="45"/>
  <c r="B3" i="40"/>
  <c r="B4" i="40"/>
  <c r="B5" i="40"/>
  <c r="B6" i="40"/>
  <c r="B7" i="40"/>
  <c r="B8" i="40"/>
  <c r="B9" i="40"/>
  <c r="B10" i="40"/>
  <c r="B11" i="40"/>
  <c r="B12" i="40"/>
  <c r="B13" i="40"/>
  <c r="B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B32" i="40"/>
  <c r="B33" i="40"/>
  <c r="B34" i="40"/>
  <c r="B35" i="40"/>
  <c r="B36" i="40"/>
  <c r="B37" i="40"/>
  <c r="B38" i="40"/>
  <c r="B39" i="40"/>
  <c r="B40" i="40"/>
  <c r="B41" i="40"/>
  <c r="B42" i="40"/>
  <c r="B43" i="40"/>
  <c r="B44" i="40"/>
  <c r="B45" i="40"/>
  <c r="B46" i="40"/>
  <c r="B47" i="40"/>
  <c r="B48" i="40"/>
  <c r="B49" i="40"/>
  <c r="B50" i="40"/>
  <c r="B51" i="40"/>
  <c r="B52" i="40"/>
  <c r="B53" i="40"/>
  <c r="B54" i="40"/>
  <c r="B55" i="40"/>
  <c r="B56" i="40"/>
  <c r="B57" i="40"/>
  <c r="B58" i="40"/>
  <c r="B59" i="40"/>
  <c r="B60" i="40"/>
  <c r="B61" i="40"/>
  <c r="B62" i="40"/>
  <c r="B63" i="40"/>
  <c r="B64" i="40"/>
  <c r="B65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B85" i="40"/>
  <c r="B86" i="40"/>
  <c r="B87" i="40"/>
  <c r="B88" i="40"/>
  <c r="B2" i="40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2" i="25"/>
  <c r="C3" i="43" l="1"/>
  <c r="C4" i="43"/>
  <c r="C5" i="43"/>
  <c r="C6" i="43"/>
  <c r="C7" i="43"/>
  <c r="C8" i="43"/>
  <c r="C9" i="43"/>
  <c r="C10" i="43"/>
  <c r="C11" i="43"/>
  <c r="C12" i="43"/>
  <c r="C13" i="43"/>
  <c r="C14" i="43"/>
  <c r="C15" i="43"/>
  <c r="C16" i="43"/>
  <c r="C17" i="43"/>
  <c r="C18" i="43"/>
  <c r="C19" i="43"/>
  <c r="C20" i="43"/>
  <c r="C21" i="43"/>
  <c r="C22" i="43"/>
  <c r="C23" i="43"/>
  <c r="C24" i="43"/>
  <c r="C25" i="43"/>
  <c r="C26" i="43"/>
  <c r="C27" i="43"/>
  <c r="C28" i="43"/>
  <c r="C29" i="43"/>
  <c r="C30" i="43"/>
  <c r="C31" i="43"/>
  <c r="C32" i="43"/>
  <c r="C33" i="43"/>
  <c r="C34" i="43"/>
  <c r="C35" i="43"/>
  <c r="C36" i="43"/>
  <c r="C37" i="43"/>
  <c r="C38" i="43"/>
  <c r="C39" i="43"/>
  <c r="C40" i="43"/>
  <c r="C41" i="43"/>
  <c r="C42" i="43"/>
  <c r="C43" i="43"/>
  <c r="C44" i="43"/>
  <c r="C45" i="43"/>
  <c r="C46" i="43"/>
  <c r="C47" i="43"/>
  <c r="C48" i="43"/>
  <c r="C49" i="43"/>
  <c r="C50" i="43"/>
  <c r="C51" i="43"/>
  <c r="C52" i="43"/>
  <c r="C53" i="43"/>
  <c r="C54" i="43"/>
  <c r="C55" i="43"/>
  <c r="C56" i="43"/>
  <c r="C57" i="43"/>
  <c r="C58" i="43"/>
  <c r="C59" i="43"/>
  <c r="C60" i="43"/>
  <c r="C61" i="43"/>
  <c r="C62" i="43"/>
  <c r="C63" i="43"/>
  <c r="C64" i="43"/>
  <c r="C65" i="43"/>
  <c r="C66" i="43"/>
  <c r="C67" i="43"/>
  <c r="C68" i="43"/>
  <c r="C69" i="43"/>
  <c r="C70" i="43"/>
  <c r="C71" i="43"/>
  <c r="C72" i="43"/>
  <c r="C73" i="43"/>
  <c r="C74" i="43"/>
  <c r="C75" i="43"/>
  <c r="C76" i="43"/>
  <c r="C77" i="43"/>
  <c r="C78" i="43"/>
  <c r="C79" i="43"/>
  <c r="C80" i="43"/>
  <c r="C81" i="43"/>
  <c r="C82" i="43"/>
  <c r="C83" i="43"/>
  <c r="C84" i="43"/>
  <c r="C85" i="43"/>
  <c r="C86" i="43"/>
  <c r="C87" i="43"/>
  <c r="C88" i="43"/>
  <c r="C89" i="43"/>
  <c r="C90" i="43"/>
  <c r="C91" i="43"/>
  <c r="C92" i="43"/>
  <c r="C93" i="43"/>
  <c r="C94" i="43"/>
  <c r="C95" i="43"/>
  <c r="C96" i="43"/>
  <c r="C97" i="43"/>
  <c r="C98" i="43"/>
  <c r="C99" i="43"/>
  <c r="C100" i="43"/>
  <c r="C101" i="43"/>
  <c r="C102" i="43"/>
  <c r="C103" i="43"/>
  <c r="C104" i="43"/>
  <c r="C105" i="43"/>
  <c r="C106" i="43"/>
  <c r="C107" i="43"/>
  <c r="C108" i="43"/>
  <c r="C109" i="43"/>
  <c r="C110" i="43"/>
  <c r="C111" i="43"/>
  <c r="C112" i="43"/>
  <c r="C113" i="43"/>
  <c r="C114" i="43"/>
  <c r="C115" i="43"/>
  <c r="C116" i="43"/>
  <c r="C117" i="43"/>
  <c r="C118" i="43"/>
  <c r="C119" i="43"/>
  <c r="C120" i="43"/>
  <c r="C121" i="43"/>
  <c r="C122" i="43"/>
  <c r="C123" i="43"/>
  <c r="C124" i="43"/>
  <c r="C125" i="43"/>
  <c r="C126" i="43"/>
  <c r="C127" i="43"/>
  <c r="C128" i="43"/>
  <c r="C129" i="43"/>
  <c r="C130" i="43"/>
  <c r="C131" i="43"/>
  <c r="C132" i="43"/>
  <c r="C133" i="43"/>
  <c r="C134" i="43"/>
  <c r="C135" i="43"/>
  <c r="C136" i="43"/>
  <c r="C137" i="43"/>
  <c r="C138" i="43"/>
  <c r="C139" i="43"/>
  <c r="C140" i="43"/>
  <c r="C141" i="43"/>
  <c r="C142" i="43"/>
  <c r="C143" i="43"/>
  <c r="C144" i="43"/>
  <c r="C145" i="43"/>
  <c r="C146" i="43"/>
  <c r="C147" i="43"/>
  <c r="C148" i="43"/>
  <c r="C149" i="43"/>
  <c r="C150" i="43"/>
  <c r="C151" i="43"/>
  <c r="C152" i="43"/>
  <c r="C153" i="43"/>
  <c r="C154" i="43"/>
  <c r="C155" i="43"/>
  <c r="C2" i="43"/>
  <c r="C3" i="48" l="1"/>
  <c r="C4" i="48"/>
  <c r="C5" i="48"/>
  <c r="C6" i="48"/>
  <c r="C7" i="48"/>
  <c r="C8" i="48"/>
  <c r="C9" i="48"/>
  <c r="C10" i="48"/>
  <c r="C11" i="48"/>
  <c r="C12" i="48"/>
  <c r="C13" i="48"/>
  <c r="C14" i="48"/>
  <c r="C15" i="48"/>
  <c r="C16" i="48"/>
  <c r="C17" i="48"/>
  <c r="C18" i="48"/>
  <c r="C19" i="48"/>
  <c r="C20" i="48"/>
  <c r="C21" i="48"/>
  <c r="C22" i="48"/>
  <c r="C23" i="48"/>
  <c r="C24" i="48"/>
  <c r="C25" i="48"/>
  <c r="C26" i="48"/>
  <c r="C27" i="48"/>
  <c r="C28" i="48"/>
  <c r="C29" i="48"/>
  <c r="C30" i="48"/>
  <c r="C31" i="48"/>
  <c r="C32" i="48"/>
  <c r="C33" i="48"/>
  <c r="C34" i="48"/>
  <c r="C35" i="48"/>
  <c r="C36" i="48"/>
  <c r="C37" i="48"/>
  <c r="C38" i="48"/>
  <c r="C39" i="48"/>
  <c r="C40" i="48"/>
  <c r="C41" i="48"/>
  <c r="C42" i="48"/>
  <c r="C43" i="48"/>
  <c r="C44" i="48"/>
  <c r="C45" i="48"/>
  <c r="C46" i="48"/>
  <c r="C47" i="48"/>
  <c r="C48" i="48"/>
  <c r="C49" i="48"/>
  <c r="C50" i="48"/>
  <c r="C51" i="48"/>
  <c r="C52" i="48"/>
  <c r="C53" i="48"/>
  <c r="C54" i="48"/>
  <c r="C55" i="48"/>
  <c r="C56" i="48"/>
  <c r="C57" i="48"/>
  <c r="C58" i="48"/>
  <c r="C59" i="48"/>
  <c r="C60" i="48"/>
  <c r="C61" i="48"/>
  <c r="C62" i="48"/>
  <c r="C63" i="48"/>
  <c r="C64" i="48"/>
  <c r="C65" i="48"/>
  <c r="C66" i="48"/>
  <c r="C67" i="48"/>
  <c r="C68" i="48"/>
  <c r="C69" i="48"/>
  <c r="C70" i="48"/>
  <c r="C71" i="48"/>
  <c r="C72" i="48"/>
  <c r="C73" i="48"/>
  <c r="C74" i="48"/>
  <c r="C75" i="48"/>
  <c r="C76" i="48"/>
  <c r="C77" i="48"/>
  <c r="C78" i="48"/>
  <c r="C2" i="48"/>
  <c r="K3" i="48"/>
  <c r="K4" i="48"/>
  <c r="K5" i="48"/>
  <c r="K6" i="48"/>
  <c r="K7" i="48"/>
  <c r="K8" i="48"/>
  <c r="K9" i="48"/>
  <c r="K10" i="48"/>
  <c r="K11" i="48"/>
  <c r="K12" i="48"/>
  <c r="K13" i="48"/>
  <c r="K14" i="48"/>
  <c r="K15" i="48"/>
  <c r="K16" i="48"/>
  <c r="K17" i="48"/>
  <c r="K18" i="48"/>
  <c r="K19" i="48"/>
  <c r="K20" i="48"/>
  <c r="K21" i="48"/>
  <c r="K22" i="48"/>
  <c r="K23" i="48"/>
  <c r="K24" i="48"/>
  <c r="K25" i="48"/>
  <c r="K26" i="48"/>
  <c r="K27" i="48"/>
  <c r="K28" i="48"/>
  <c r="K29" i="48"/>
  <c r="K30" i="48"/>
  <c r="K31" i="48"/>
  <c r="K32" i="48"/>
  <c r="K33" i="48"/>
  <c r="K34" i="48"/>
  <c r="K35" i="48"/>
  <c r="K36" i="48"/>
  <c r="K37" i="48"/>
  <c r="K38" i="48"/>
  <c r="K39" i="48"/>
  <c r="K40" i="48"/>
  <c r="K41" i="48"/>
  <c r="K42" i="48"/>
  <c r="K43" i="48"/>
  <c r="K44" i="48"/>
  <c r="K45" i="48"/>
  <c r="K46" i="48"/>
  <c r="K47" i="48"/>
  <c r="K48" i="48"/>
  <c r="K49" i="48"/>
  <c r="K50" i="48"/>
  <c r="K51" i="48"/>
  <c r="K52" i="48"/>
  <c r="K53" i="48"/>
  <c r="K54" i="48"/>
  <c r="K55" i="48"/>
  <c r="K56" i="48"/>
  <c r="K57" i="48"/>
  <c r="K58" i="48"/>
  <c r="K59" i="48"/>
  <c r="K60" i="48"/>
  <c r="K61" i="48"/>
  <c r="K62" i="48"/>
  <c r="K63" i="48"/>
  <c r="K64" i="48"/>
  <c r="K65" i="48"/>
  <c r="K66" i="48"/>
  <c r="K67" i="48"/>
  <c r="K68" i="48"/>
  <c r="K69" i="48"/>
  <c r="K70" i="48"/>
  <c r="K71" i="48"/>
  <c r="K72" i="48"/>
  <c r="K73" i="48"/>
  <c r="K74" i="48"/>
  <c r="K75" i="48"/>
  <c r="K76" i="48"/>
  <c r="K77" i="48"/>
  <c r="K78" i="48"/>
  <c r="K2" i="48"/>
  <c r="K77" i="40"/>
  <c r="K78" i="40"/>
  <c r="K58" i="40"/>
  <c r="K59" i="40"/>
  <c r="K7" i="40"/>
  <c r="K8" i="40"/>
  <c r="K9" i="40"/>
  <c r="K10" i="40"/>
  <c r="K11" i="40"/>
  <c r="K32" i="40"/>
  <c r="K33" i="40"/>
  <c r="K34" i="40"/>
  <c r="K35" i="40"/>
  <c r="K36" i="40"/>
  <c r="K37" i="40"/>
  <c r="K38" i="40"/>
  <c r="K39" i="40"/>
  <c r="K40" i="40"/>
  <c r="K61" i="40"/>
  <c r="K20" i="40"/>
  <c r="K21" i="40"/>
  <c r="K22" i="40"/>
  <c r="K28" i="40"/>
  <c r="K29" i="40"/>
  <c r="K30" i="40"/>
  <c r="K31" i="40"/>
  <c r="K74" i="40"/>
  <c r="K75" i="40"/>
  <c r="K17" i="40"/>
  <c r="K18" i="40"/>
  <c r="K19" i="40"/>
  <c r="K72" i="40"/>
  <c r="K73" i="40"/>
  <c r="K50" i="40"/>
  <c r="K60" i="40"/>
  <c r="K81" i="40"/>
  <c r="K82" i="40"/>
  <c r="K12" i="40"/>
  <c r="K13" i="40"/>
  <c r="K14" i="40"/>
  <c r="K15" i="40"/>
  <c r="K68" i="40"/>
  <c r="K69" i="40"/>
  <c r="K70" i="40"/>
  <c r="K71" i="40"/>
  <c r="K43" i="40"/>
  <c r="K44" i="40"/>
  <c r="K45" i="40"/>
  <c r="K46" i="40"/>
  <c r="K47" i="40"/>
  <c r="K48" i="40"/>
  <c r="K49" i="40"/>
  <c r="K62" i="40"/>
  <c r="K63" i="40"/>
  <c r="K64" i="40"/>
  <c r="K41" i="40"/>
  <c r="K42" i="40"/>
  <c r="K79" i="40"/>
  <c r="K80" i="40"/>
  <c r="K54" i="40"/>
  <c r="K55" i="40"/>
  <c r="K56" i="40"/>
  <c r="K57" i="40"/>
  <c r="K2" i="40"/>
  <c r="K3" i="40"/>
  <c r="K4" i="40"/>
  <c r="K5" i="40"/>
  <c r="K6" i="40"/>
  <c r="K23" i="40"/>
  <c r="K24" i="40"/>
  <c r="K25" i="40"/>
  <c r="K26" i="40"/>
  <c r="K27" i="40"/>
  <c r="K65" i="40"/>
  <c r="K66" i="40"/>
  <c r="K67" i="40"/>
  <c r="K83" i="40"/>
  <c r="K84" i="40"/>
  <c r="K85" i="40"/>
  <c r="K86" i="40"/>
  <c r="K16" i="40"/>
  <c r="K51" i="40"/>
  <c r="K52" i="40"/>
  <c r="K53" i="40"/>
  <c r="K87" i="40"/>
  <c r="K88" i="40"/>
  <c r="K76" i="40"/>
  <c r="I3" i="48"/>
  <c r="I4" i="48"/>
  <c r="I5" i="48"/>
  <c r="I6" i="48"/>
  <c r="I7" i="48"/>
  <c r="I8" i="48"/>
  <c r="I9" i="48"/>
  <c r="I10" i="48"/>
  <c r="I11" i="48"/>
  <c r="I12" i="48"/>
  <c r="I13" i="48"/>
  <c r="I14" i="48"/>
  <c r="I15" i="48"/>
  <c r="I16" i="48"/>
  <c r="I17" i="48"/>
  <c r="I18" i="48"/>
  <c r="I19" i="48"/>
  <c r="I20" i="48"/>
  <c r="I21" i="48"/>
  <c r="I22" i="48"/>
  <c r="I23" i="48"/>
  <c r="I24" i="48"/>
  <c r="I25" i="48"/>
  <c r="I26" i="48"/>
  <c r="I27" i="48"/>
  <c r="I28" i="48"/>
  <c r="I29" i="48"/>
  <c r="I30" i="48"/>
  <c r="I31" i="48"/>
  <c r="I32" i="48"/>
  <c r="I33" i="48"/>
  <c r="I34" i="48"/>
  <c r="I35" i="48"/>
  <c r="I36" i="48"/>
  <c r="I37" i="48"/>
  <c r="I38" i="48"/>
  <c r="I39" i="48"/>
  <c r="I40" i="48"/>
  <c r="I41" i="48"/>
  <c r="I42" i="48"/>
  <c r="I43" i="48"/>
  <c r="I44" i="48"/>
  <c r="I45" i="48"/>
  <c r="I46" i="48"/>
  <c r="I47" i="48"/>
  <c r="I48" i="48"/>
  <c r="I49" i="48"/>
  <c r="I50" i="48"/>
  <c r="I51" i="48"/>
  <c r="I52" i="48"/>
  <c r="I53" i="48"/>
  <c r="I54" i="48"/>
  <c r="I55" i="48"/>
  <c r="I56" i="48"/>
  <c r="I57" i="48"/>
  <c r="I58" i="48"/>
  <c r="I59" i="48"/>
  <c r="I60" i="48"/>
  <c r="I61" i="48"/>
  <c r="I62" i="48"/>
  <c r="I63" i="48"/>
  <c r="I64" i="48"/>
  <c r="I65" i="48"/>
  <c r="I66" i="48"/>
  <c r="I67" i="48"/>
  <c r="I68" i="48"/>
  <c r="I69" i="48"/>
  <c r="I70" i="48"/>
  <c r="I71" i="48"/>
  <c r="I72" i="48"/>
  <c r="I73" i="48"/>
  <c r="I74" i="48"/>
  <c r="I75" i="48"/>
  <c r="I76" i="48"/>
  <c r="I77" i="48"/>
  <c r="I78" i="48"/>
  <c r="I2" i="48"/>
  <c r="F3" i="48"/>
  <c r="J3" i="48" s="1"/>
  <c r="F4" i="48"/>
  <c r="J4" i="48" s="1"/>
  <c r="F5" i="48"/>
  <c r="J5" i="48" s="1"/>
  <c r="F6" i="48"/>
  <c r="J6" i="48" s="1"/>
  <c r="F7" i="48"/>
  <c r="J7" i="48" s="1"/>
  <c r="F8" i="48"/>
  <c r="J8" i="48" s="1"/>
  <c r="F9" i="48"/>
  <c r="J9" i="48" s="1"/>
  <c r="F10" i="48"/>
  <c r="J10" i="48" s="1"/>
  <c r="F11" i="48"/>
  <c r="J11" i="48" s="1"/>
  <c r="F12" i="48"/>
  <c r="J12" i="48" s="1"/>
  <c r="F13" i="48"/>
  <c r="J13" i="48" s="1"/>
  <c r="F14" i="48"/>
  <c r="J14" i="48" s="1"/>
  <c r="F15" i="48"/>
  <c r="J15" i="48" s="1"/>
  <c r="F16" i="48"/>
  <c r="J16" i="48" s="1"/>
  <c r="F17" i="48"/>
  <c r="J17" i="48" s="1"/>
  <c r="F18" i="48"/>
  <c r="J18" i="48" s="1"/>
  <c r="F19" i="48"/>
  <c r="J19" i="48" s="1"/>
  <c r="F20" i="48"/>
  <c r="J20" i="48" s="1"/>
  <c r="F21" i="48"/>
  <c r="J21" i="48" s="1"/>
  <c r="F22" i="48"/>
  <c r="J22" i="48" s="1"/>
  <c r="F23" i="48"/>
  <c r="J23" i="48" s="1"/>
  <c r="F24" i="48"/>
  <c r="J24" i="48" s="1"/>
  <c r="F25" i="48"/>
  <c r="J25" i="48" s="1"/>
  <c r="F26" i="48"/>
  <c r="J26" i="48" s="1"/>
  <c r="F27" i="48"/>
  <c r="J27" i="48" s="1"/>
  <c r="F28" i="48"/>
  <c r="J28" i="48" s="1"/>
  <c r="F29" i="48"/>
  <c r="J29" i="48" s="1"/>
  <c r="F30" i="48"/>
  <c r="J30" i="48" s="1"/>
  <c r="F31" i="48"/>
  <c r="J31" i="48" s="1"/>
  <c r="F32" i="48"/>
  <c r="J32" i="48" s="1"/>
  <c r="F33" i="48"/>
  <c r="J33" i="48" s="1"/>
  <c r="F34" i="48"/>
  <c r="J34" i="48" s="1"/>
  <c r="F35" i="48"/>
  <c r="J35" i="48" s="1"/>
  <c r="F36" i="48"/>
  <c r="J36" i="48" s="1"/>
  <c r="F37" i="48"/>
  <c r="J37" i="48" s="1"/>
  <c r="F38" i="48"/>
  <c r="J38" i="48" s="1"/>
  <c r="F39" i="48"/>
  <c r="J39" i="48" s="1"/>
  <c r="F40" i="48"/>
  <c r="J40" i="48" s="1"/>
  <c r="F41" i="48"/>
  <c r="J41" i="48" s="1"/>
  <c r="F42" i="48"/>
  <c r="J42" i="48" s="1"/>
  <c r="F43" i="48"/>
  <c r="J43" i="48" s="1"/>
  <c r="F44" i="48"/>
  <c r="J44" i="48" s="1"/>
  <c r="F45" i="48"/>
  <c r="J45" i="48" s="1"/>
  <c r="F46" i="48"/>
  <c r="J46" i="48" s="1"/>
  <c r="F47" i="48"/>
  <c r="J47" i="48" s="1"/>
  <c r="F48" i="48"/>
  <c r="J48" i="48" s="1"/>
  <c r="F49" i="48"/>
  <c r="J49" i="48" s="1"/>
  <c r="F50" i="48"/>
  <c r="J50" i="48" s="1"/>
  <c r="F51" i="48"/>
  <c r="J51" i="48" s="1"/>
  <c r="F52" i="48"/>
  <c r="J52" i="48" s="1"/>
  <c r="F53" i="48"/>
  <c r="J53" i="48" s="1"/>
  <c r="F54" i="48"/>
  <c r="J54" i="48" s="1"/>
  <c r="F55" i="48"/>
  <c r="J55" i="48" s="1"/>
  <c r="F56" i="48"/>
  <c r="J56" i="48" s="1"/>
  <c r="F57" i="48"/>
  <c r="J57" i="48" s="1"/>
  <c r="F58" i="48"/>
  <c r="J58" i="48" s="1"/>
  <c r="F59" i="48"/>
  <c r="J59" i="48" s="1"/>
  <c r="F60" i="48"/>
  <c r="J60" i="48" s="1"/>
  <c r="F61" i="48"/>
  <c r="J61" i="48" s="1"/>
  <c r="F62" i="48"/>
  <c r="J62" i="48" s="1"/>
  <c r="F63" i="48"/>
  <c r="J63" i="48" s="1"/>
  <c r="F64" i="48"/>
  <c r="J64" i="48" s="1"/>
  <c r="F65" i="48"/>
  <c r="J65" i="48" s="1"/>
  <c r="F66" i="48"/>
  <c r="J66" i="48" s="1"/>
  <c r="F67" i="48"/>
  <c r="J67" i="48" s="1"/>
  <c r="F68" i="48"/>
  <c r="J68" i="48" s="1"/>
  <c r="F69" i="48"/>
  <c r="J69" i="48" s="1"/>
  <c r="F70" i="48"/>
  <c r="J70" i="48" s="1"/>
  <c r="F71" i="48"/>
  <c r="J71" i="48" s="1"/>
  <c r="F72" i="48"/>
  <c r="J72" i="48" s="1"/>
  <c r="F73" i="48"/>
  <c r="J73" i="48" s="1"/>
  <c r="F74" i="48"/>
  <c r="J74" i="48" s="1"/>
  <c r="F75" i="48"/>
  <c r="J75" i="48" s="1"/>
  <c r="F76" i="48"/>
  <c r="J76" i="48" s="1"/>
  <c r="F77" i="48"/>
  <c r="J77" i="48" s="1"/>
  <c r="F78" i="48"/>
  <c r="J78" i="48" s="1"/>
  <c r="F2" i="48"/>
  <c r="J2" i="48" s="1"/>
  <c r="J3" i="25"/>
  <c r="J4" i="25"/>
  <c r="J5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J23" i="25"/>
  <c r="J24" i="25"/>
  <c r="J25" i="25"/>
  <c r="J26" i="25"/>
  <c r="J27" i="25"/>
  <c r="J28" i="25"/>
  <c r="J29" i="25"/>
  <c r="J30" i="25"/>
  <c r="J31" i="25"/>
  <c r="J2" i="25"/>
  <c r="H3" i="53"/>
  <c r="H4" i="53"/>
  <c r="H5" i="53"/>
  <c r="H6" i="53"/>
  <c r="H7" i="53"/>
  <c r="H8" i="53"/>
  <c r="H2" i="53"/>
  <c r="G3" i="53"/>
  <c r="G4" i="53"/>
  <c r="G5" i="53"/>
  <c r="G6" i="53"/>
  <c r="G7" i="53"/>
  <c r="G8" i="53"/>
  <c r="G2" i="53"/>
  <c r="B2" i="53" l="1"/>
  <c r="B3" i="53" l="1"/>
  <c r="K3" i="53" s="1"/>
  <c r="K2" i="53"/>
  <c r="D37" i="27"/>
  <c r="D45" i="27"/>
  <c r="D53" i="27"/>
  <c r="D61" i="27"/>
  <c r="D69" i="27"/>
  <c r="D77" i="27"/>
  <c r="D85" i="27"/>
  <c r="D93" i="27"/>
  <c r="D100" i="27"/>
  <c r="D107" i="27"/>
  <c r="D111" i="27"/>
  <c r="D115" i="27"/>
  <c r="D119" i="27"/>
  <c r="D123" i="27"/>
  <c r="D127" i="27"/>
  <c r="D38" i="27"/>
  <c r="D46" i="27"/>
  <c r="D54" i="27"/>
  <c r="D62" i="27"/>
  <c r="D70" i="27"/>
  <c r="H3" i="2"/>
  <c r="H4" i="2" s="1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2" i="2"/>
  <c r="B4" i="53" l="1"/>
  <c r="K4" i="53" s="1"/>
  <c r="B5" i="53"/>
  <c r="K5" i="53" s="1"/>
  <c r="AH3" i="27"/>
  <c r="AH4" i="27"/>
  <c r="AH5" i="27"/>
  <c r="AH6" i="27"/>
  <c r="AI6" i="27" s="1"/>
  <c r="AH7" i="27"/>
  <c r="AH8" i="27"/>
  <c r="AH9" i="27"/>
  <c r="AH10" i="27"/>
  <c r="AI10" i="27" s="1"/>
  <c r="AH11" i="27"/>
  <c r="AH12" i="27"/>
  <c r="AH13" i="27"/>
  <c r="AH14" i="27"/>
  <c r="AI14" i="27" s="1"/>
  <c r="AH15" i="27"/>
  <c r="AH16" i="27"/>
  <c r="AH17" i="27"/>
  <c r="AH18" i="27"/>
  <c r="AI18" i="27" s="1"/>
  <c r="AH19" i="27"/>
  <c r="AH20" i="27"/>
  <c r="AH21" i="27"/>
  <c r="AH22" i="27"/>
  <c r="AI22" i="27" s="1"/>
  <c r="AH23" i="27"/>
  <c r="AH24" i="27"/>
  <c r="AH25" i="27"/>
  <c r="AH26" i="27"/>
  <c r="AI26" i="27" s="1"/>
  <c r="AH27" i="27"/>
  <c r="AH28" i="27"/>
  <c r="AH29" i="27"/>
  <c r="AH30" i="27"/>
  <c r="AI30" i="27" s="1"/>
  <c r="AH31" i="27"/>
  <c r="AH39" i="27"/>
  <c r="AH47" i="27"/>
  <c r="AH55" i="27"/>
  <c r="AI55" i="27" s="1"/>
  <c r="AH63" i="27"/>
  <c r="AH71" i="27"/>
  <c r="AH79" i="27"/>
  <c r="AH87" i="27"/>
  <c r="AI87" i="27" s="1"/>
  <c r="AH95" i="27"/>
  <c r="AH102" i="27"/>
  <c r="AH32" i="27"/>
  <c r="AH40" i="27"/>
  <c r="AI40" i="27" s="1"/>
  <c r="AH48" i="27"/>
  <c r="AH56" i="27"/>
  <c r="AH64" i="27"/>
  <c r="AH72" i="27"/>
  <c r="AI72" i="27" s="1"/>
  <c r="AH80" i="27"/>
  <c r="AH88" i="27"/>
  <c r="AH96" i="27"/>
  <c r="AH103" i="27"/>
  <c r="AI103" i="27" s="1"/>
  <c r="AH33" i="27"/>
  <c r="AH41" i="27"/>
  <c r="AH49" i="27"/>
  <c r="AH57" i="27"/>
  <c r="AI57" i="27" s="1"/>
  <c r="AH65" i="27"/>
  <c r="AH73" i="27"/>
  <c r="AH81" i="27"/>
  <c r="AH89" i="27"/>
  <c r="AI89" i="27" s="1"/>
  <c r="AH97" i="27"/>
  <c r="AH104" i="27"/>
  <c r="AH34" i="27"/>
  <c r="AH42" i="27"/>
  <c r="AI42" i="27" s="1"/>
  <c r="AH50" i="27"/>
  <c r="AH58" i="27"/>
  <c r="AH66" i="27"/>
  <c r="AH74" i="27"/>
  <c r="AI74" i="27" s="1"/>
  <c r="AH82" i="27"/>
  <c r="AH90" i="27"/>
  <c r="AH35" i="27"/>
  <c r="AH43" i="27"/>
  <c r="AI43" i="27" s="1"/>
  <c r="AH51" i="27"/>
  <c r="AH59" i="27"/>
  <c r="AH67" i="27"/>
  <c r="AH75" i="27"/>
  <c r="AI75" i="27" s="1"/>
  <c r="AH83" i="27"/>
  <c r="AH91" i="27"/>
  <c r="AH98" i="27"/>
  <c r="AH105" i="27"/>
  <c r="AI105" i="27" s="1"/>
  <c r="AH109" i="27"/>
  <c r="AH113" i="27"/>
  <c r="AH117" i="27"/>
  <c r="AH121" i="27"/>
  <c r="AI121" i="27" s="1"/>
  <c r="AH125" i="27"/>
  <c r="AH129" i="27"/>
  <c r="AH131" i="27"/>
  <c r="AH133" i="27"/>
  <c r="AI133" i="27" s="1"/>
  <c r="AH135" i="27"/>
  <c r="AH137" i="27"/>
  <c r="AH36" i="27"/>
  <c r="AH44" i="27"/>
  <c r="AI44" i="27" s="1"/>
  <c r="AH52" i="27"/>
  <c r="AH60" i="27"/>
  <c r="AH68" i="27"/>
  <c r="AH76" i="27"/>
  <c r="AI76" i="27" s="1"/>
  <c r="AH84" i="27"/>
  <c r="AH92" i="27"/>
  <c r="AH99" i="27"/>
  <c r="AH106" i="27"/>
  <c r="AI106" i="27" s="1"/>
  <c r="AH110" i="27"/>
  <c r="AH114" i="27"/>
  <c r="AH118" i="27"/>
  <c r="AH122" i="27"/>
  <c r="AI122" i="27" s="1"/>
  <c r="AH126" i="27"/>
  <c r="AH130" i="27"/>
  <c r="AH132" i="27"/>
  <c r="AH134" i="27"/>
  <c r="AI134" i="27" s="1"/>
  <c r="AH136" i="27"/>
  <c r="AH138" i="27"/>
  <c r="AH37" i="27"/>
  <c r="AH45" i="27"/>
  <c r="AI45" i="27" s="1"/>
  <c r="AH53" i="27"/>
  <c r="AH61" i="27"/>
  <c r="AH69" i="27"/>
  <c r="AH77" i="27"/>
  <c r="AI77" i="27" s="1"/>
  <c r="AH85" i="27"/>
  <c r="AH93" i="27"/>
  <c r="AH100" i="27"/>
  <c r="AH107" i="27"/>
  <c r="AI107" i="27" s="1"/>
  <c r="AH111" i="27"/>
  <c r="AH115" i="27"/>
  <c r="AH119" i="27"/>
  <c r="AH123" i="27"/>
  <c r="AI123" i="27" s="1"/>
  <c r="AH127" i="27"/>
  <c r="AH38" i="27"/>
  <c r="AH46" i="27"/>
  <c r="AH54" i="27"/>
  <c r="AI54" i="27" s="1"/>
  <c r="AH62" i="27"/>
  <c r="AH70" i="27"/>
  <c r="AH78" i="27"/>
  <c r="AH86" i="27"/>
  <c r="AI86" i="27" s="1"/>
  <c r="AH94" i="27"/>
  <c r="AH101" i="27"/>
  <c r="AH108" i="27"/>
  <c r="AH112" i="27"/>
  <c r="AI112" i="27" s="1"/>
  <c r="AH116" i="27"/>
  <c r="AH120" i="27"/>
  <c r="AH124" i="27"/>
  <c r="AH128" i="27"/>
  <c r="AI128" i="27" s="1"/>
  <c r="AH139" i="27"/>
  <c r="AH143" i="27"/>
  <c r="AH147" i="27"/>
  <c r="AK147" i="27" s="1"/>
  <c r="AH151" i="27"/>
  <c r="AK151" i="27" s="1"/>
  <c r="AH155" i="27"/>
  <c r="AK155" i="27" s="1"/>
  <c r="AH159" i="27"/>
  <c r="AK159" i="27" s="1"/>
  <c r="AH163" i="27"/>
  <c r="AK163" i="27" s="1"/>
  <c r="AH166" i="27"/>
  <c r="AK166" i="27" s="1"/>
  <c r="AH169" i="27"/>
  <c r="AK169" i="27" s="1"/>
  <c r="AH172" i="27"/>
  <c r="AK172" i="27" s="1"/>
  <c r="AH175" i="27"/>
  <c r="AK175" i="27" s="1"/>
  <c r="AH178" i="27"/>
  <c r="AK178" i="27" s="1"/>
  <c r="AH181" i="27"/>
  <c r="AK181" i="27" s="1"/>
  <c r="AH184" i="27"/>
  <c r="AK184" i="27" s="1"/>
  <c r="AH187" i="27"/>
  <c r="AK187" i="27" s="1"/>
  <c r="AH190" i="27"/>
  <c r="AK190" i="27" s="1"/>
  <c r="AH193" i="27"/>
  <c r="AK193" i="27" s="1"/>
  <c r="AH196" i="27"/>
  <c r="AK196" i="27" s="1"/>
  <c r="AH199" i="27"/>
  <c r="AK199" i="27" s="1"/>
  <c r="AH202" i="27"/>
  <c r="AK202" i="27" s="1"/>
  <c r="AH140" i="27"/>
  <c r="AK140" i="27" s="1"/>
  <c r="AH144" i="27"/>
  <c r="AK144" i="27" s="1"/>
  <c r="AH148" i="27"/>
  <c r="AK148" i="27" s="1"/>
  <c r="AH152" i="27"/>
  <c r="AK152" i="27" s="1"/>
  <c r="AH156" i="27"/>
  <c r="AK156" i="27" s="1"/>
  <c r="AH160" i="27"/>
  <c r="AK160" i="27" s="1"/>
  <c r="AH141" i="27"/>
  <c r="AK141" i="27" s="1"/>
  <c r="AH145" i="27"/>
  <c r="AK145" i="27" s="1"/>
  <c r="AH149" i="27"/>
  <c r="AK149" i="27" s="1"/>
  <c r="AH153" i="27"/>
  <c r="AK153" i="27" s="1"/>
  <c r="AH157" i="27"/>
  <c r="AK157" i="27" s="1"/>
  <c r="AH161" i="27"/>
  <c r="AK161" i="27" s="1"/>
  <c r="AH164" i="27"/>
  <c r="AK164" i="27" s="1"/>
  <c r="AH167" i="27"/>
  <c r="AK167" i="27" s="1"/>
  <c r="AH170" i="27"/>
  <c r="AK170" i="27" s="1"/>
  <c r="AH173" i="27"/>
  <c r="AK173" i="27" s="1"/>
  <c r="AH176" i="27"/>
  <c r="AK176" i="27" s="1"/>
  <c r="AH179" i="27"/>
  <c r="AK179" i="27" s="1"/>
  <c r="AH182" i="27"/>
  <c r="AK182" i="27" s="1"/>
  <c r="AH185" i="27"/>
  <c r="AK185" i="27" s="1"/>
  <c r="AH188" i="27"/>
  <c r="AK188" i="27" s="1"/>
  <c r="AH191" i="27"/>
  <c r="AK191" i="27" s="1"/>
  <c r="AH194" i="27"/>
  <c r="AK194" i="27" s="1"/>
  <c r="AH197" i="27"/>
  <c r="AK197" i="27" s="1"/>
  <c r="AH200" i="27"/>
  <c r="AK200" i="27" s="1"/>
  <c r="AH203" i="27"/>
  <c r="AK203" i="27" s="1"/>
  <c r="AH142" i="27"/>
  <c r="AK142" i="27" s="1"/>
  <c r="AH146" i="27"/>
  <c r="AK146" i="27" s="1"/>
  <c r="AH150" i="27"/>
  <c r="AK150" i="27" s="1"/>
  <c r="AH154" i="27"/>
  <c r="AK154" i="27" s="1"/>
  <c r="AH158" i="27"/>
  <c r="AK158" i="27" s="1"/>
  <c r="AH162" i="27"/>
  <c r="AK162" i="27" s="1"/>
  <c r="AH165" i="27"/>
  <c r="AK165" i="27" s="1"/>
  <c r="AH168" i="27"/>
  <c r="AK168" i="27" s="1"/>
  <c r="AH171" i="27"/>
  <c r="AK171" i="27" s="1"/>
  <c r="AH174" i="27"/>
  <c r="AK174" i="27" s="1"/>
  <c r="AH177" i="27"/>
  <c r="AK177" i="27" s="1"/>
  <c r="AH180" i="27"/>
  <c r="AK180" i="27" s="1"/>
  <c r="AH183" i="27"/>
  <c r="AK183" i="27" s="1"/>
  <c r="AH186" i="27"/>
  <c r="AK186" i="27" s="1"/>
  <c r="AH189" i="27"/>
  <c r="AK189" i="27" s="1"/>
  <c r="AH192" i="27"/>
  <c r="AK192" i="27" s="1"/>
  <c r="AH195" i="27"/>
  <c r="AK195" i="27" s="1"/>
  <c r="AH198" i="27"/>
  <c r="AK198" i="27" s="1"/>
  <c r="AH201" i="27"/>
  <c r="AK201" i="27" s="1"/>
  <c r="AH204" i="27"/>
  <c r="AK204" i="27" s="1"/>
  <c r="AH2" i="27"/>
  <c r="AI2" i="27" s="1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39" i="27"/>
  <c r="V39" i="27" s="1"/>
  <c r="U47" i="27"/>
  <c r="V47" i="27" s="1"/>
  <c r="U55" i="27"/>
  <c r="V55" i="27" s="1"/>
  <c r="U63" i="27"/>
  <c r="V63" i="27" s="1"/>
  <c r="U71" i="27"/>
  <c r="V71" i="27" s="1"/>
  <c r="U79" i="27"/>
  <c r="V79" i="27" s="1"/>
  <c r="U87" i="27"/>
  <c r="V87" i="27" s="1"/>
  <c r="U95" i="27"/>
  <c r="V95" i="27" s="1"/>
  <c r="U102" i="27"/>
  <c r="V102" i="27" s="1"/>
  <c r="U32" i="27"/>
  <c r="V32" i="27" s="1"/>
  <c r="U40" i="27"/>
  <c r="V40" i="27" s="1"/>
  <c r="U48" i="27"/>
  <c r="V48" i="27" s="1"/>
  <c r="U56" i="27"/>
  <c r="V56" i="27" s="1"/>
  <c r="U64" i="27"/>
  <c r="V64" i="27" s="1"/>
  <c r="U72" i="27"/>
  <c r="V72" i="27" s="1"/>
  <c r="U80" i="27"/>
  <c r="V80" i="27" s="1"/>
  <c r="U88" i="27"/>
  <c r="V88" i="27" s="1"/>
  <c r="U96" i="27"/>
  <c r="V96" i="27" s="1"/>
  <c r="U103" i="27"/>
  <c r="V103" i="27" s="1"/>
  <c r="U33" i="27"/>
  <c r="V33" i="27" s="1"/>
  <c r="U41" i="27"/>
  <c r="V41" i="27" s="1"/>
  <c r="U49" i="27"/>
  <c r="V49" i="27" s="1"/>
  <c r="U57" i="27"/>
  <c r="V57" i="27" s="1"/>
  <c r="U65" i="27"/>
  <c r="V65" i="27" s="1"/>
  <c r="U73" i="27"/>
  <c r="V73" i="27" s="1"/>
  <c r="U81" i="27"/>
  <c r="V81" i="27" s="1"/>
  <c r="U89" i="27"/>
  <c r="V89" i="27" s="1"/>
  <c r="U97" i="27"/>
  <c r="V97" i="27" s="1"/>
  <c r="U104" i="27"/>
  <c r="V104" i="27" s="1"/>
  <c r="U34" i="27"/>
  <c r="V34" i="27" s="1"/>
  <c r="U42" i="27"/>
  <c r="V42" i="27" s="1"/>
  <c r="U50" i="27"/>
  <c r="V50" i="27" s="1"/>
  <c r="U58" i="27"/>
  <c r="V58" i="27" s="1"/>
  <c r="U66" i="27"/>
  <c r="V66" i="27" s="1"/>
  <c r="U74" i="27"/>
  <c r="V74" i="27" s="1"/>
  <c r="U82" i="27"/>
  <c r="V82" i="27" s="1"/>
  <c r="U90" i="27"/>
  <c r="V90" i="27" s="1"/>
  <c r="U35" i="27"/>
  <c r="V35" i="27" s="1"/>
  <c r="U43" i="27"/>
  <c r="V43" i="27" s="1"/>
  <c r="U51" i="27"/>
  <c r="V51" i="27" s="1"/>
  <c r="U59" i="27"/>
  <c r="V59" i="27" s="1"/>
  <c r="U67" i="27"/>
  <c r="V67" i="27" s="1"/>
  <c r="U75" i="27"/>
  <c r="V75" i="27" s="1"/>
  <c r="U83" i="27"/>
  <c r="V83" i="27" s="1"/>
  <c r="U91" i="27"/>
  <c r="V91" i="27" s="1"/>
  <c r="U98" i="27"/>
  <c r="V98" i="27" s="1"/>
  <c r="U105" i="27"/>
  <c r="V105" i="27" s="1"/>
  <c r="U109" i="27"/>
  <c r="V109" i="27" s="1"/>
  <c r="U113" i="27"/>
  <c r="V113" i="27" s="1"/>
  <c r="U117" i="27"/>
  <c r="V117" i="27" s="1"/>
  <c r="U121" i="27"/>
  <c r="V121" i="27" s="1"/>
  <c r="U125" i="27"/>
  <c r="V125" i="27" s="1"/>
  <c r="U129" i="27"/>
  <c r="V129" i="27" s="1"/>
  <c r="U131" i="27"/>
  <c r="V131" i="27" s="1"/>
  <c r="U133" i="27"/>
  <c r="V133" i="27" s="1"/>
  <c r="U135" i="27"/>
  <c r="V135" i="27" s="1"/>
  <c r="U137" i="27"/>
  <c r="V137" i="27" s="1"/>
  <c r="U36" i="27"/>
  <c r="V36" i="27" s="1"/>
  <c r="U44" i="27"/>
  <c r="V44" i="27" s="1"/>
  <c r="U52" i="27"/>
  <c r="V52" i="27" s="1"/>
  <c r="U60" i="27"/>
  <c r="V60" i="27" s="1"/>
  <c r="U68" i="27"/>
  <c r="V68" i="27" s="1"/>
  <c r="U76" i="27"/>
  <c r="V76" i="27" s="1"/>
  <c r="U84" i="27"/>
  <c r="V84" i="27" s="1"/>
  <c r="U92" i="27"/>
  <c r="V92" i="27" s="1"/>
  <c r="U99" i="27"/>
  <c r="V99" i="27" s="1"/>
  <c r="U106" i="27"/>
  <c r="V106" i="27" s="1"/>
  <c r="U110" i="27"/>
  <c r="V110" i="27" s="1"/>
  <c r="U114" i="27"/>
  <c r="V114" i="27" s="1"/>
  <c r="U118" i="27"/>
  <c r="V118" i="27" s="1"/>
  <c r="U122" i="27"/>
  <c r="V122" i="27" s="1"/>
  <c r="U126" i="27"/>
  <c r="V126" i="27" s="1"/>
  <c r="U130" i="27"/>
  <c r="V130" i="27" s="1"/>
  <c r="U132" i="27"/>
  <c r="V132" i="27" s="1"/>
  <c r="U134" i="27"/>
  <c r="V134" i="27" s="1"/>
  <c r="U136" i="27"/>
  <c r="V136" i="27" s="1"/>
  <c r="U138" i="27"/>
  <c r="V138" i="27" s="1"/>
  <c r="U37" i="27"/>
  <c r="V37" i="27" s="1"/>
  <c r="U45" i="27"/>
  <c r="V45" i="27" s="1"/>
  <c r="U53" i="27"/>
  <c r="V53" i="27" s="1"/>
  <c r="U61" i="27"/>
  <c r="V61" i="27" s="1"/>
  <c r="U69" i="27"/>
  <c r="V69" i="27" s="1"/>
  <c r="U77" i="27"/>
  <c r="V77" i="27" s="1"/>
  <c r="U85" i="27"/>
  <c r="V85" i="27" s="1"/>
  <c r="U93" i="27"/>
  <c r="V93" i="27" s="1"/>
  <c r="U100" i="27"/>
  <c r="V100" i="27" s="1"/>
  <c r="U107" i="27"/>
  <c r="V107" i="27" s="1"/>
  <c r="U111" i="27"/>
  <c r="V111" i="27" s="1"/>
  <c r="U115" i="27"/>
  <c r="V115" i="27" s="1"/>
  <c r="U119" i="27"/>
  <c r="V119" i="27" s="1"/>
  <c r="U123" i="27"/>
  <c r="V123" i="27" s="1"/>
  <c r="U127" i="27"/>
  <c r="V127" i="27" s="1"/>
  <c r="U38" i="27"/>
  <c r="V38" i="27" s="1"/>
  <c r="U46" i="27"/>
  <c r="V46" i="27" s="1"/>
  <c r="U54" i="27"/>
  <c r="V54" i="27" s="1"/>
  <c r="U62" i="27"/>
  <c r="V62" i="27" s="1"/>
  <c r="U70" i="27"/>
  <c r="V70" i="27" s="1"/>
  <c r="U78" i="27"/>
  <c r="V78" i="27" s="1"/>
  <c r="U86" i="27"/>
  <c r="V86" i="27" s="1"/>
  <c r="U94" i="27"/>
  <c r="V94" i="27" s="1"/>
  <c r="U101" i="27"/>
  <c r="V101" i="27" s="1"/>
  <c r="U108" i="27"/>
  <c r="V108" i="27" s="1"/>
  <c r="U112" i="27"/>
  <c r="V112" i="27" s="1"/>
  <c r="U116" i="27"/>
  <c r="V116" i="27" s="1"/>
  <c r="U120" i="27"/>
  <c r="V120" i="27" s="1"/>
  <c r="U124" i="27"/>
  <c r="V124" i="27" s="1"/>
  <c r="U128" i="27"/>
  <c r="V128" i="27" s="1"/>
  <c r="U139" i="27"/>
  <c r="V139" i="27" s="1"/>
  <c r="U143" i="27"/>
  <c r="V143" i="27" s="1"/>
  <c r="U147" i="27"/>
  <c r="V147" i="27" s="1"/>
  <c r="U151" i="27"/>
  <c r="V151" i="27" s="1"/>
  <c r="U155" i="27"/>
  <c r="V155" i="27" s="1"/>
  <c r="U159" i="27"/>
  <c r="V159" i="27" s="1"/>
  <c r="U163" i="27"/>
  <c r="V163" i="27" s="1"/>
  <c r="U166" i="27"/>
  <c r="V166" i="27" s="1"/>
  <c r="U169" i="27"/>
  <c r="V169" i="27" s="1"/>
  <c r="U172" i="27"/>
  <c r="V172" i="27" s="1"/>
  <c r="U175" i="27"/>
  <c r="V175" i="27" s="1"/>
  <c r="U178" i="27"/>
  <c r="V178" i="27" s="1"/>
  <c r="U181" i="27"/>
  <c r="V181" i="27" s="1"/>
  <c r="U184" i="27"/>
  <c r="V184" i="27" s="1"/>
  <c r="U187" i="27"/>
  <c r="V187" i="27" s="1"/>
  <c r="U190" i="27"/>
  <c r="V190" i="27" s="1"/>
  <c r="U193" i="27"/>
  <c r="V193" i="27" s="1"/>
  <c r="U196" i="27"/>
  <c r="V196" i="27" s="1"/>
  <c r="U199" i="27"/>
  <c r="V199" i="27" s="1"/>
  <c r="U202" i="27"/>
  <c r="V202" i="27" s="1"/>
  <c r="U140" i="27"/>
  <c r="V140" i="27" s="1"/>
  <c r="U144" i="27"/>
  <c r="V144" i="27" s="1"/>
  <c r="U148" i="27"/>
  <c r="V148" i="27" s="1"/>
  <c r="U152" i="27"/>
  <c r="V152" i="27" s="1"/>
  <c r="U156" i="27"/>
  <c r="V156" i="27" s="1"/>
  <c r="U160" i="27"/>
  <c r="V160" i="27" s="1"/>
  <c r="U141" i="27"/>
  <c r="V141" i="27" s="1"/>
  <c r="U145" i="27"/>
  <c r="V145" i="27" s="1"/>
  <c r="U149" i="27"/>
  <c r="V149" i="27" s="1"/>
  <c r="U153" i="27"/>
  <c r="V153" i="27" s="1"/>
  <c r="U157" i="27"/>
  <c r="V157" i="27" s="1"/>
  <c r="U161" i="27"/>
  <c r="V161" i="27" s="1"/>
  <c r="U164" i="27"/>
  <c r="V164" i="27" s="1"/>
  <c r="U167" i="27"/>
  <c r="V167" i="27" s="1"/>
  <c r="U170" i="27"/>
  <c r="V170" i="27" s="1"/>
  <c r="U173" i="27"/>
  <c r="V173" i="27" s="1"/>
  <c r="U176" i="27"/>
  <c r="V176" i="27" s="1"/>
  <c r="U179" i="27"/>
  <c r="V179" i="27" s="1"/>
  <c r="U182" i="27"/>
  <c r="V182" i="27" s="1"/>
  <c r="U185" i="27"/>
  <c r="V185" i="27" s="1"/>
  <c r="U188" i="27"/>
  <c r="V188" i="27" s="1"/>
  <c r="U191" i="27"/>
  <c r="V191" i="27" s="1"/>
  <c r="U194" i="27"/>
  <c r="V194" i="27" s="1"/>
  <c r="U197" i="27"/>
  <c r="V197" i="27" s="1"/>
  <c r="U200" i="27"/>
  <c r="V200" i="27" s="1"/>
  <c r="U203" i="27"/>
  <c r="V203" i="27" s="1"/>
  <c r="U142" i="27"/>
  <c r="V142" i="27" s="1"/>
  <c r="U146" i="27"/>
  <c r="V146" i="27" s="1"/>
  <c r="U150" i="27"/>
  <c r="V150" i="27" s="1"/>
  <c r="U154" i="27"/>
  <c r="V154" i="27" s="1"/>
  <c r="U158" i="27"/>
  <c r="V158" i="27" s="1"/>
  <c r="U162" i="27"/>
  <c r="V162" i="27" s="1"/>
  <c r="U165" i="27"/>
  <c r="V165" i="27" s="1"/>
  <c r="U168" i="27"/>
  <c r="V168" i="27" s="1"/>
  <c r="U171" i="27"/>
  <c r="V171" i="27" s="1"/>
  <c r="U174" i="27"/>
  <c r="V174" i="27" s="1"/>
  <c r="U177" i="27"/>
  <c r="V177" i="27" s="1"/>
  <c r="U180" i="27"/>
  <c r="V180" i="27" s="1"/>
  <c r="U183" i="27"/>
  <c r="V183" i="27" s="1"/>
  <c r="U186" i="27"/>
  <c r="V186" i="27" s="1"/>
  <c r="U189" i="27"/>
  <c r="V189" i="27" s="1"/>
  <c r="U192" i="27"/>
  <c r="V192" i="27" s="1"/>
  <c r="U195" i="27"/>
  <c r="V195" i="27" s="1"/>
  <c r="U198" i="27"/>
  <c r="V198" i="27" s="1"/>
  <c r="U201" i="27"/>
  <c r="V201" i="27" s="1"/>
  <c r="U204" i="27"/>
  <c r="V204" i="27" s="1"/>
  <c r="U2" i="27"/>
  <c r="V2" i="27" s="1"/>
  <c r="L8" i="27"/>
  <c r="M8" i="27" s="1"/>
  <c r="L14" i="27"/>
  <c r="L20" i="27"/>
  <c r="M20" i="27" s="1"/>
  <c r="L27" i="27"/>
  <c r="M27" i="27" s="1"/>
  <c r="L39" i="27"/>
  <c r="M39" i="27" s="1"/>
  <c r="L55" i="27"/>
  <c r="L71" i="27"/>
  <c r="M71" i="27" s="1"/>
  <c r="L79" i="27"/>
  <c r="M79" i="27" s="1"/>
  <c r="L87" i="27"/>
  <c r="M87" i="27" s="1"/>
  <c r="L95" i="27"/>
  <c r="L102" i="27"/>
  <c r="M102" i="27" s="1"/>
  <c r="L109" i="27"/>
  <c r="M109" i="27" s="1"/>
  <c r="L117" i="27"/>
  <c r="M117" i="27" s="1"/>
  <c r="L121" i="27"/>
  <c r="L131" i="27"/>
  <c r="M131" i="27" s="1"/>
  <c r="L133" i="27"/>
  <c r="M133" i="27" s="1"/>
  <c r="L135" i="27"/>
  <c r="M135" i="27" s="1"/>
  <c r="L137" i="27"/>
  <c r="M137" i="27" s="1"/>
  <c r="L110" i="27"/>
  <c r="M110" i="27" s="1"/>
  <c r="L118" i="27"/>
  <c r="M118" i="27" s="1"/>
  <c r="L132" i="27"/>
  <c r="M132" i="27" s="1"/>
  <c r="L134" i="27"/>
  <c r="M134" i="27" s="1"/>
  <c r="L139" i="27"/>
  <c r="M139" i="27" s="1"/>
  <c r="L143" i="27"/>
  <c r="M143" i="27" s="1"/>
  <c r="L159" i="27"/>
  <c r="M159" i="27" s="1"/>
  <c r="L163" i="27"/>
  <c r="M163" i="27" s="1"/>
  <c r="L166" i="27"/>
  <c r="M166" i="27" s="1"/>
  <c r="L169" i="27"/>
  <c r="M169" i="27" s="1"/>
  <c r="L172" i="27"/>
  <c r="L175" i="27"/>
  <c r="M175" i="27" s="1"/>
  <c r="L178" i="27"/>
  <c r="M178" i="27" s="1"/>
  <c r="L181" i="27"/>
  <c r="M181" i="27" s="1"/>
  <c r="L184" i="27"/>
  <c r="M184" i="27" s="1"/>
  <c r="L187" i="27"/>
  <c r="M187" i="27" s="1"/>
  <c r="L190" i="27"/>
  <c r="M190" i="27" s="1"/>
  <c r="L193" i="27"/>
  <c r="M193" i="27" s="1"/>
  <c r="L196" i="27"/>
  <c r="M196" i="27" s="1"/>
  <c r="L199" i="27"/>
  <c r="L202" i="27"/>
  <c r="M202" i="27" s="1"/>
  <c r="L140" i="27"/>
  <c r="M140" i="27" s="1"/>
  <c r="L164" i="27"/>
  <c r="M164" i="27" s="1"/>
  <c r="L167" i="27"/>
  <c r="M167" i="27" s="1"/>
  <c r="L191" i="27"/>
  <c r="M191" i="27" s="1"/>
  <c r="L194" i="27"/>
  <c r="M194" i="27" s="1"/>
  <c r="L203" i="27"/>
  <c r="M203" i="27" s="1"/>
  <c r="L2" i="27"/>
  <c r="M2" i="27" s="1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9" i="27"/>
  <c r="D47" i="27"/>
  <c r="D55" i="27"/>
  <c r="D63" i="27"/>
  <c r="D71" i="27"/>
  <c r="D79" i="27"/>
  <c r="D87" i="27"/>
  <c r="D95" i="27"/>
  <c r="D102" i="27"/>
  <c r="D32" i="27"/>
  <c r="D40" i="27"/>
  <c r="D48" i="27"/>
  <c r="D56" i="27"/>
  <c r="D64" i="27"/>
  <c r="D72" i="27"/>
  <c r="D80" i="27"/>
  <c r="D88" i="27"/>
  <c r="D96" i="27"/>
  <c r="D103" i="27"/>
  <c r="D33" i="27"/>
  <c r="D41" i="27"/>
  <c r="D49" i="27"/>
  <c r="D57" i="27"/>
  <c r="D65" i="27"/>
  <c r="D73" i="27"/>
  <c r="D81" i="27"/>
  <c r="D89" i="27"/>
  <c r="D97" i="27"/>
  <c r="D104" i="27"/>
  <c r="D34" i="27"/>
  <c r="D42" i="27"/>
  <c r="D50" i="27"/>
  <c r="D58" i="27"/>
  <c r="D66" i="27"/>
  <c r="D74" i="27"/>
  <c r="D82" i="27"/>
  <c r="D90" i="27"/>
  <c r="D35" i="27"/>
  <c r="D43" i="27"/>
  <c r="D51" i="27"/>
  <c r="D59" i="27"/>
  <c r="D67" i="27"/>
  <c r="D75" i="27"/>
  <c r="D83" i="27"/>
  <c r="D91" i="27"/>
  <c r="D98" i="27"/>
  <c r="D105" i="27"/>
  <c r="D109" i="27"/>
  <c r="D113" i="27"/>
  <c r="D117" i="27"/>
  <c r="D121" i="27"/>
  <c r="D125" i="27"/>
  <c r="D129" i="27"/>
  <c r="D131" i="27"/>
  <c r="D133" i="27"/>
  <c r="D135" i="27"/>
  <c r="D137" i="27"/>
  <c r="D36" i="27"/>
  <c r="D44" i="27"/>
  <c r="D52" i="27"/>
  <c r="D60" i="27"/>
  <c r="D68" i="27"/>
  <c r="D76" i="27"/>
  <c r="D84" i="27"/>
  <c r="D92" i="27"/>
  <c r="D99" i="27"/>
  <c r="D106" i="27"/>
  <c r="D110" i="27"/>
  <c r="D114" i="27"/>
  <c r="D118" i="27"/>
  <c r="D122" i="27"/>
  <c r="D126" i="27"/>
  <c r="D130" i="27"/>
  <c r="D132" i="27"/>
  <c r="D134" i="27"/>
  <c r="D136" i="27"/>
  <c r="D138" i="27"/>
  <c r="D78" i="27"/>
  <c r="D86" i="27"/>
  <c r="D94" i="27"/>
  <c r="D101" i="27"/>
  <c r="D108" i="27"/>
  <c r="D112" i="27"/>
  <c r="D116" i="27"/>
  <c r="D120" i="27"/>
  <c r="D124" i="27"/>
  <c r="D128" i="27"/>
  <c r="D139" i="27"/>
  <c r="D143" i="27"/>
  <c r="D147" i="27"/>
  <c r="D151" i="27"/>
  <c r="D155" i="27"/>
  <c r="D159" i="27"/>
  <c r="D163" i="27"/>
  <c r="D166" i="27"/>
  <c r="D169" i="27"/>
  <c r="D172" i="27"/>
  <c r="D175" i="27"/>
  <c r="D178" i="27"/>
  <c r="D181" i="27"/>
  <c r="D184" i="27"/>
  <c r="D187" i="27"/>
  <c r="D190" i="27"/>
  <c r="D193" i="27"/>
  <c r="D196" i="27"/>
  <c r="D199" i="27"/>
  <c r="D202" i="27"/>
  <c r="D140" i="27"/>
  <c r="D144" i="27"/>
  <c r="D148" i="27"/>
  <c r="D152" i="27"/>
  <c r="D156" i="27"/>
  <c r="D160" i="27"/>
  <c r="D141" i="27"/>
  <c r="D145" i="27"/>
  <c r="D149" i="27"/>
  <c r="D153" i="27"/>
  <c r="D157" i="27"/>
  <c r="D161" i="27"/>
  <c r="D164" i="27"/>
  <c r="D167" i="27"/>
  <c r="D170" i="27"/>
  <c r="D173" i="27"/>
  <c r="D176" i="27"/>
  <c r="D179" i="27"/>
  <c r="D182" i="27"/>
  <c r="D185" i="27"/>
  <c r="D188" i="27"/>
  <c r="D191" i="27"/>
  <c r="D194" i="27"/>
  <c r="D197" i="27"/>
  <c r="D200" i="27"/>
  <c r="D203" i="27"/>
  <c r="D142" i="27"/>
  <c r="D146" i="27"/>
  <c r="D150" i="27"/>
  <c r="D154" i="27"/>
  <c r="D158" i="27"/>
  <c r="D162" i="27"/>
  <c r="D165" i="27"/>
  <c r="D168" i="27"/>
  <c r="D171" i="27"/>
  <c r="D174" i="27"/>
  <c r="D177" i="27"/>
  <c r="D180" i="27"/>
  <c r="D183" i="27"/>
  <c r="D186" i="27"/>
  <c r="D189" i="27"/>
  <c r="D192" i="27"/>
  <c r="D195" i="27"/>
  <c r="D198" i="27"/>
  <c r="D201" i="27"/>
  <c r="D204" i="27"/>
  <c r="D2" i="27"/>
  <c r="E194" i="27"/>
  <c r="F194" i="27" s="1"/>
  <c r="J194" i="27" s="1"/>
  <c r="E197" i="27"/>
  <c r="E200" i="27"/>
  <c r="E203" i="27"/>
  <c r="F203" i="27" s="1"/>
  <c r="J203" i="27" s="1"/>
  <c r="E142" i="27"/>
  <c r="E146" i="27"/>
  <c r="E150" i="27"/>
  <c r="E154" i="27"/>
  <c r="F154" i="27" s="1"/>
  <c r="J154" i="27" s="1"/>
  <c r="E158" i="27"/>
  <c r="F158" i="27" s="1"/>
  <c r="J158" i="27" s="1"/>
  <c r="E162" i="27"/>
  <c r="E165" i="27"/>
  <c r="E168" i="27"/>
  <c r="F168" i="27" s="1"/>
  <c r="J168" i="27" s="1"/>
  <c r="E171" i="27"/>
  <c r="F171" i="27" s="1"/>
  <c r="J171" i="27" s="1"/>
  <c r="E174" i="27"/>
  <c r="E177" i="27"/>
  <c r="E180" i="27"/>
  <c r="F180" i="27" s="1"/>
  <c r="J180" i="27" s="1"/>
  <c r="E183" i="27"/>
  <c r="F183" i="27" s="1"/>
  <c r="J183" i="27" s="1"/>
  <c r="E186" i="27"/>
  <c r="E189" i="27"/>
  <c r="E2" i="27"/>
  <c r="F2" i="27" s="1"/>
  <c r="J2" i="27" s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G2" i="2"/>
  <c r="F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2" i="2"/>
  <c r="E191" i="27"/>
  <c r="F191" i="27" s="1"/>
  <c r="J191" i="27" s="1"/>
  <c r="J77" i="40"/>
  <c r="J78" i="40"/>
  <c r="J58" i="40"/>
  <c r="J59" i="40"/>
  <c r="J7" i="40"/>
  <c r="J8" i="40"/>
  <c r="J9" i="40"/>
  <c r="J10" i="40"/>
  <c r="J11" i="40"/>
  <c r="J32" i="40"/>
  <c r="J33" i="40"/>
  <c r="J34" i="40"/>
  <c r="J35" i="40"/>
  <c r="J36" i="40"/>
  <c r="J37" i="40"/>
  <c r="J38" i="40"/>
  <c r="J39" i="40"/>
  <c r="J40" i="40"/>
  <c r="J61" i="40"/>
  <c r="J20" i="40"/>
  <c r="J21" i="40"/>
  <c r="J22" i="40"/>
  <c r="J28" i="40"/>
  <c r="J29" i="40"/>
  <c r="J30" i="40"/>
  <c r="J31" i="40"/>
  <c r="J74" i="40"/>
  <c r="J75" i="40"/>
  <c r="J17" i="40"/>
  <c r="J18" i="40"/>
  <c r="J19" i="40"/>
  <c r="J72" i="40"/>
  <c r="J73" i="40"/>
  <c r="J50" i="40"/>
  <c r="J60" i="40"/>
  <c r="J81" i="40"/>
  <c r="J82" i="40"/>
  <c r="J12" i="40"/>
  <c r="J13" i="40"/>
  <c r="J14" i="40"/>
  <c r="J15" i="40"/>
  <c r="J68" i="40"/>
  <c r="J69" i="40"/>
  <c r="J70" i="40"/>
  <c r="J71" i="40"/>
  <c r="J43" i="40"/>
  <c r="J44" i="40"/>
  <c r="J45" i="40"/>
  <c r="J46" i="40"/>
  <c r="J47" i="40"/>
  <c r="J48" i="40"/>
  <c r="J49" i="40"/>
  <c r="J62" i="40"/>
  <c r="J63" i="40"/>
  <c r="J64" i="40"/>
  <c r="J41" i="40"/>
  <c r="J42" i="40"/>
  <c r="J79" i="40"/>
  <c r="J80" i="40"/>
  <c r="J54" i="40"/>
  <c r="J55" i="40"/>
  <c r="J56" i="40"/>
  <c r="J57" i="40"/>
  <c r="J2" i="40"/>
  <c r="J3" i="40"/>
  <c r="J4" i="40"/>
  <c r="J5" i="40"/>
  <c r="J6" i="40"/>
  <c r="J23" i="40"/>
  <c r="J24" i="40"/>
  <c r="J25" i="40"/>
  <c r="J26" i="40"/>
  <c r="J27" i="40"/>
  <c r="J65" i="40"/>
  <c r="J66" i="40"/>
  <c r="J67" i="40"/>
  <c r="J83" i="40"/>
  <c r="J84" i="40"/>
  <c r="J85" i="40"/>
  <c r="J86" i="40"/>
  <c r="J16" i="40"/>
  <c r="J51" i="40"/>
  <c r="J52" i="40"/>
  <c r="J53" i="40"/>
  <c r="J87" i="40"/>
  <c r="J88" i="40"/>
  <c r="J76" i="40"/>
  <c r="I2" i="2" s="1"/>
  <c r="L192" i="27" l="1"/>
  <c r="M192" i="27" s="1"/>
  <c r="L185" i="27"/>
  <c r="M185" i="27" s="1"/>
  <c r="L160" i="27"/>
  <c r="L200" i="27"/>
  <c r="M200" i="27" s="1"/>
  <c r="M199" i="27"/>
  <c r="L138" i="27"/>
  <c r="M138" i="27" s="1"/>
  <c r="L170" i="27"/>
  <c r="M170" i="27" s="1"/>
  <c r="L144" i="27"/>
  <c r="M144" i="27" s="1"/>
  <c r="L173" i="27"/>
  <c r="M173" i="27" s="1"/>
  <c r="M172" i="27"/>
  <c r="L125" i="27"/>
  <c r="M121" i="27"/>
  <c r="L96" i="27"/>
  <c r="M96" i="27" s="1"/>
  <c r="M95" i="27"/>
  <c r="L63" i="27"/>
  <c r="M55" i="27"/>
  <c r="L15" i="27"/>
  <c r="M14" i="27"/>
  <c r="L195" i="27"/>
  <c r="M195" i="27" s="1"/>
  <c r="L122" i="27"/>
  <c r="M122" i="27" s="1"/>
  <c r="L176" i="27"/>
  <c r="L136" i="27"/>
  <c r="M136" i="27" s="1"/>
  <c r="L56" i="27"/>
  <c r="L204" i="27"/>
  <c r="M204" i="27" s="1"/>
  <c r="L201" i="27"/>
  <c r="M201" i="27" s="1"/>
  <c r="L188" i="27"/>
  <c r="M188" i="27" s="1"/>
  <c r="L103" i="27"/>
  <c r="M103" i="27" s="1"/>
  <c r="G174" i="27"/>
  <c r="F174" i="27"/>
  <c r="J174" i="27" s="1"/>
  <c r="G162" i="27"/>
  <c r="F162" i="27"/>
  <c r="J162" i="27" s="1"/>
  <c r="G146" i="27"/>
  <c r="F146" i="27"/>
  <c r="J146" i="27" s="1"/>
  <c r="G197" i="27"/>
  <c r="F197" i="27"/>
  <c r="J197" i="27" s="1"/>
  <c r="G186" i="27"/>
  <c r="F186" i="27"/>
  <c r="J186" i="27" s="1"/>
  <c r="G142" i="27"/>
  <c r="F142" i="27"/>
  <c r="J142" i="27" s="1"/>
  <c r="G189" i="27"/>
  <c r="F189" i="27"/>
  <c r="J189" i="27" s="1"/>
  <c r="G177" i="27"/>
  <c r="F177" i="27"/>
  <c r="J177" i="27" s="1"/>
  <c r="G165" i="27"/>
  <c r="F165" i="27"/>
  <c r="J165" i="27" s="1"/>
  <c r="G150" i="27"/>
  <c r="F150" i="27"/>
  <c r="J150" i="27" s="1"/>
  <c r="G200" i="27"/>
  <c r="F200" i="27"/>
  <c r="J200" i="27" s="1"/>
  <c r="B6" i="53"/>
  <c r="K6" i="53" s="1"/>
  <c r="AJ124" i="27"/>
  <c r="AK124" i="27"/>
  <c r="AJ108" i="27"/>
  <c r="AK108" i="27"/>
  <c r="AJ78" i="27"/>
  <c r="AK78" i="27"/>
  <c r="AJ46" i="27"/>
  <c r="AK46" i="27"/>
  <c r="AJ119" i="27"/>
  <c r="AK119" i="27"/>
  <c r="AJ100" i="27"/>
  <c r="AK100" i="27"/>
  <c r="AJ69" i="27"/>
  <c r="AK69" i="27"/>
  <c r="AJ37" i="27"/>
  <c r="AK37" i="27"/>
  <c r="AJ132" i="27"/>
  <c r="AK132" i="27"/>
  <c r="AJ118" i="27"/>
  <c r="AK118" i="27"/>
  <c r="AJ99" i="27"/>
  <c r="AK99" i="27"/>
  <c r="AJ68" i="27"/>
  <c r="AK68" i="27"/>
  <c r="AJ36" i="27"/>
  <c r="AK36" i="27"/>
  <c r="AJ131" i="27"/>
  <c r="AK131" i="27"/>
  <c r="AJ117" i="27"/>
  <c r="AK117" i="27"/>
  <c r="AJ98" i="27"/>
  <c r="AK98" i="27"/>
  <c r="AJ67" i="27"/>
  <c r="AK67" i="27"/>
  <c r="AJ35" i="27"/>
  <c r="AK35" i="27"/>
  <c r="AJ66" i="27"/>
  <c r="AK66" i="27"/>
  <c r="AJ34" i="27"/>
  <c r="AK34" i="27"/>
  <c r="AJ81" i="27"/>
  <c r="AK81" i="27"/>
  <c r="AJ49" i="27"/>
  <c r="AK49" i="27"/>
  <c r="AJ96" i="27"/>
  <c r="AK96" i="27"/>
  <c r="AJ64" i="27"/>
  <c r="AK64" i="27"/>
  <c r="AJ32" i="27"/>
  <c r="AK32" i="27"/>
  <c r="AJ79" i="27"/>
  <c r="AK79" i="27"/>
  <c r="AJ47" i="27"/>
  <c r="AK47" i="27"/>
  <c r="AJ29" i="27"/>
  <c r="AK29" i="27"/>
  <c r="AJ25" i="27"/>
  <c r="AK25" i="27"/>
  <c r="AJ21" i="27"/>
  <c r="AK21" i="27"/>
  <c r="AJ17" i="27"/>
  <c r="AK17" i="27"/>
  <c r="AJ13" i="27"/>
  <c r="AK13" i="27"/>
  <c r="AJ9" i="27"/>
  <c r="AK9" i="27"/>
  <c r="AJ5" i="27"/>
  <c r="AK5" i="27"/>
  <c r="AJ2" i="27"/>
  <c r="AI198" i="27"/>
  <c r="AI186" i="27"/>
  <c r="AI174" i="27"/>
  <c r="AI162" i="27"/>
  <c r="AI146" i="27"/>
  <c r="AI197" i="27"/>
  <c r="AI185" i="27"/>
  <c r="AI173" i="27"/>
  <c r="AI161" i="27"/>
  <c r="AI145" i="27"/>
  <c r="AI152" i="27"/>
  <c r="AI202" i="27"/>
  <c r="AI190" i="27"/>
  <c r="AI178" i="27"/>
  <c r="AI166" i="27"/>
  <c r="AI151" i="27"/>
  <c r="AJ204" i="27"/>
  <c r="AJ192" i="27"/>
  <c r="AJ180" i="27"/>
  <c r="AJ168" i="27"/>
  <c r="AJ154" i="27"/>
  <c r="AJ203" i="27"/>
  <c r="AJ191" i="27"/>
  <c r="AJ179" i="27"/>
  <c r="AJ167" i="27"/>
  <c r="AJ153" i="27"/>
  <c r="AJ160" i="27"/>
  <c r="AJ144" i="27"/>
  <c r="AJ196" i="27"/>
  <c r="AJ184" i="27"/>
  <c r="AJ172" i="27"/>
  <c r="AJ159" i="27"/>
  <c r="AK143" i="27"/>
  <c r="AJ143" i="27"/>
  <c r="AK120" i="27"/>
  <c r="AJ120" i="27"/>
  <c r="AK101" i="27"/>
  <c r="AJ101" i="27"/>
  <c r="AK70" i="27"/>
  <c r="AJ70" i="27"/>
  <c r="AK38" i="27"/>
  <c r="AJ38" i="27"/>
  <c r="AK115" i="27"/>
  <c r="AJ115" i="27"/>
  <c r="AK93" i="27"/>
  <c r="AJ93" i="27"/>
  <c r="AK61" i="27"/>
  <c r="AJ61" i="27"/>
  <c r="AK138" i="27"/>
  <c r="AJ138" i="27"/>
  <c r="AK130" i="27"/>
  <c r="AJ130" i="27"/>
  <c r="AK114" i="27"/>
  <c r="AJ114" i="27"/>
  <c r="AK92" i="27"/>
  <c r="AJ92" i="27"/>
  <c r="AK60" i="27"/>
  <c r="AJ60" i="27"/>
  <c r="AK137" i="27"/>
  <c r="AJ137" i="27"/>
  <c r="AK129" i="27"/>
  <c r="AJ129" i="27"/>
  <c r="AK113" i="27"/>
  <c r="AJ113" i="27"/>
  <c r="AK91" i="27"/>
  <c r="AJ91" i="27"/>
  <c r="AK59" i="27"/>
  <c r="AJ59" i="27"/>
  <c r="AK90" i="27"/>
  <c r="AJ90" i="27"/>
  <c r="AK58" i="27"/>
  <c r="AJ58" i="27"/>
  <c r="AK104" i="27"/>
  <c r="AJ104" i="27"/>
  <c r="AK73" i="27"/>
  <c r="AJ73" i="27"/>
  <c r="AK41" i="27"/>
  <c r="AJ41" i="27"/>
  <c r="AK88" i="27"/>
  <c r="AJ88" i="27"/>
  <c r="AK56" i="27"/>
  <c r="AJ56" i="27"/>
  <c r="AK102" i="27"/>
  <c r="AJ102" i="27"/>
  <c r="AK71" i="27"/>
  <c r="AJ71" i="27"/>
  <c r="AK39" i="27"/>
  <c r="AJ39" i="27"/>
  <c r="AK28" i="27"/>
  <c r="AJ28" i="27"/>
  <c r="AK24" i="27"/>
  <c r="AJ24" i="27"/>
  <c r="AK20" i="27"/>
  <c r="AJ20" i="27"/>
  <c r="AK16" i="27"/>
  <c r="AJ16" i="27"/>
  <c r="AK12" i="27"/>
  <c r="AJ12" i="27"/>
  <c r="AK8" i="27"/>
  <c r="AJ8" i="27"/>
  <c r="AK4" i="27"/>
  <c r="AJ4" i="27"/>
  <c r="AK2" i="27"/>
  <c r="AI195" i="27"/>
  <c r="AI183" i="27"/>
  <c r="AI171" i="27"/>
  <c r="AI158" i="27"/>
  <c r="AI142" i="27"/>
  <c r="AI194" i="27"/>
  <c r="AI182" i="27"/>
  <c r="AI170" i="27"/>
  <c r="AI157" i="27"/>
  <c r="AI141" i="27"/>
  <c r="AI148" i="27"/>
  <c r="AI199" i="27"/>
  <c r="AI187" i="27"/>
  <c r="AI175" i="27"/>
  <c r="AI163" i="27"/>
  <c r="AI147" i="27"/>
  <c r="AI124" i="27"/>
  <c r="AI108" i="27"/>
  <c r="AI78" i="27"/>
  <c r="AI46" i="27"/>
  <c r="AI119" i="27"/>
  <c r="AI100" i="27"/>
  <c r="AI69" i="27"/>
  <c r="AI37" i="27"/>
  <c r="AI132" i="27"/>
  <c r="AI118" i="27"/>
  <c r="AI99" i="27"/>
  <c r="AI68" i="27"/>
  <c r="AI36" i="27"/>
  <c r="AI131" i="27"/>
  <c r="AI117" i="27"/>
  <c r="AI98" i="27"/>
  <c r="AI67" i="27"/>
  <c r="AI35" i="27"/>
  <c r="AI66" i="27"/>
  <c r="AI34" i="27"/>
  <c r="AI81" i="27"/>
  <c r="AI49" i="27"/>
  <c r="AI96" i="27"/>
  <c r="AI64" i="27"/>
  <c r="AI32" i="27"/>
  <c r="AI79" i="27"/>
  <c r="AI47" i="27"/>
  <c r="AI29" i="27"/>
  <c r="AI25" i="27"/>
  <c r="AI21" i="27"/>
  <c r="AI17" i="27"/>
  <c r="AI13" i="27"/>
  <c r="AI9" i="27"/>
  <c r="AI5" i="27"/>
  <c r="AJ201" i="27"/>
  <c r="AJ189" i="27"/>
  <c r="AJ177" i="27"/>
  <c r="AJ165" i="27"/>
  <c r="AJ150" i="27"/>
  <c r="AJ200" i="27"/>
  <c r="AJ188" i="27"/>
  <c r="AJ176" i="27"/>
  <c r="AJ164" i="27"/>
  <c r="AJ149" i="27"/>
  <c r="AJ156" i="27"/>
  <c r="AJ140" i="27"/>
  <c r="AJ193" i="27"/>
  <c r="AJ181" i="27"/>
  <c r="AJ169" i="27"/>
  <c r="AJ155" i="27"/>
  <c r="AK139" i="27"/>
  <c r="AJ139" i="27"/>
  <c r="AK116" i="27"/>
  <c r="AJ116" i="27"/>
  <c r="AK94" i="27"/>
  <c r="AJ94" i="27"/>
  <c r="AK62" i="27"/>
  <c r="AJ62" i="27"/>
  <c r="AK127" i="27"/>
  <c r="AJ127" i="27"/>
  <c r="AK111" i="27"/>
  <c r="AJ111" i="27"/>
  <c r="AK85" i="27"/>
  <c r="AJ85" i="27"/>
  <c r="AK53" i="27"/>
  <c r="AJ53" i="27"/>
  <c r="AK136" i="27"/>
  <c r="AJ136" i="27"/>
  <c r="AK126" i="27"/>
  <c r="AJ126" i="27"/>
  <c r="AK110" i="27"/>
  <c r="AJ110" i="27"/>
  <c r="AK84" i="27"/>
  <c r="AJ84" i="27"/>
  <c r="AK52" i="27"/>
  <c r="AJ52" i="27"/>
  <c r="AK135" i="27"/>
  <c r="AJ135" i="27"/>
  <c r="AK125" i="27"/>
  <c r="AJ125" i="27"/>
  <c r="AK109" i="27"/>
  <c r="AJ109" i="27"/>
  <c r="AK83" i="27"/>
  <c r="AJ83" i="27"/>
  <c r="AK51" i="27"/>
  <c r="AJ51" i="27"/>
  <c r="AK82" i="27"/>
  <c r="AJ82" i="27"/>
  <c r="AK50" i="27"/>
  <c r="AJ50" i="27"/>
  <c r="AK97" i="27"/>
  <c r="AJ97" i="27"/>
  <c r="AK65" i="27"/>
  <c r="AJ65" i="27"/>
  <c r="AK33" i="27"/>
  <c r="AJ33" i="27"/>
  <c r="AK80" i="27"/>
  <c r="AJ80" i="27"/>
  <c r="AK48" i="27"/>
  <c r="AJ48" i="27"/>
  <c r="AK95" i="27"/>
  <c r="AJ95" i="27"/>
  <c r="AK63" i="27"/>
  <c r="AJ63" i="27"/>
  <c r="AK31" i="27"/>
  <c r="AJ31" i="27"/>
  <c r="AK27" i="27"/>
  <c r="AJ27" i="27"/>
  <c r="AK23" i="27"/>
  <c r="AJ23" i="27"/>
  <c r="AK19" i="27"/>
  <c r="AJ19" i="27"/>
  <c r="AK15" i="27"/>
  <c r="AJ15" i="27"/>
  <c r="AK11" i="27"/>
  <c r="AJ11" i="27"/>
  <c r="AK7" i="27"/>
  <c r="AJ7" i="27"/>
  <c r="AK3" i="27"/>
  <c r="AJ3" i="27"/>
  <c r="AI204" i="27"/>
  <c r="AI192" i="27"/>
  <c r="AG192" i="27" s="1"/>
  <c r="AI180" i="27"/>
  <c r="AG180" i="27" s="1"/>
  <c r="AI168" i="27"/>
  <c r="AG168" i="27" s="1"/>
  <c r="AI154" i="27"/>
  <c r="AI203" i="27"/>
  <c r="AG203" i="27" s="1"/>
  <c r="AI191" i="27"/>
  <c r="AG191" i="27" s="1"/>
  <c r="AI179" i="27"/>
  <c r="AG179" i="27" s="1"/>
  <c r="AI167" i="27"/>
  <c r="AI153" i="27"/>
  <c r="AG153" i="27" s="1"/>
  <c r="AI160" i="27"/>
  <c r="AG160" i="27" s="1"/>
  <c r="AI144" i="27"/>
  <c r="AG144" i="27" s="1"/>
  <c r="AI196" i="27"/>
  <c r="AI184" i="27"/>
  <c r="AG184" i="27" s="1"/>
  <c r="AI172" i="27"/>
  <c r="AG172" i="27" s="1"/>
  <c r="AI159" i="27"/>
  <c r="AI143" i="27"/>
  <c r="AI120" i="27"/>
  <c r="AI101" i="27"/>
  <c r="AI70" i="27"/>
  <c r="AI38" i="27"/>
  <c r="AI115" i="27"/>
  <c r="AI93" i="27"/>
  <c r="AI61" i="27"/>
  <c r="AI138" i="27"/>
  <c r="AI130" i="27"/>
  <c r="AI114" i="27"/>
  <c r="AI92" i="27"/>
  <c r="AI60" i="27"/>
  <c r="AI137" i="27"/>
  <c r="AI129" i="27"/>
  <c r="AI113" i="27"/>
  <c r="AI91" i="27"/>
  <c r="AI59" i="27"/>
  <c r="AI90" i="27"/>
  <c r="AI58" i="27"/>
  <c r="AI104" i="27"/>
  <c r="AI73" i="27"/>
  <c r="AI41" i="27"/>
  <c r="AI88" i="27"/>
  <c r="AI56" i="27"/>
  <c r="AI102" i="27"/>
  <c r="AI71" i="27"/>
  <c r="AI39" i="27"/>
  <c r="AI28" i="27"/>
  <c r="AI24" i="27"/>
  <c r="AI20" i="27"/>
  <c r="AI16" i="27"/>
  <c r="AI12" i="27"/>
  <c r="AI8" i="27"/>
  <c r="AI4" i="27"/>
  <c r="AJ198" i="27"/>
  <c r="AJ186" i="27"/>
  <c r="AJ174" i="27"/>
  <c r="AJ162" i="27"/>
  <c r="AJ146" i="27"/>
  <c r="AJ197" i="27"/>
  <c r="AJ185" i="27"/>
  <c r="AJ173" i="27"/>
  <c r="AJ161" i="27"/>
  <c r="AJ145" i="27"/>
  <c r="AJ152" i="27"/>
  <c r="AJ202" i="27"/>
  <c r="AJ190" i="27"/>
  <c r="AJ178" i="27"/>
  <c r="AJ166" i="27"/>
  <c r="AJ151" i="27"/>
  <c r="AJ128" i="27"/>
  <c r="AK128" i="27"/>
  <c r="AJ112" i="27"/>
  <c r="AK112" i="27"/>
  <c r="AJ86" i="27"/>
  <c r="AK86" i="27"/>
  <c r="AJ54" i="27"/>
  <c r="AK54" i="27"/>
  <c r="AJ123" i="27"/>
  <c r="AK123" i="27"/>
  <c r="AJ107" i="27"/>
  <c r="AK107" i="27"/>
  <c r="AJ77" i="27"/>
  <c r="AK77" i="27"/>
  <c r="AJ45" i="27"/>
  <c r="AK45" i="27"/>
  <c r="AJ134" i="27"/>
  <c r="AK134" i="27"/>
  <c r="AJ122" i="27"/>
  <c r="AK122" i="27"/>
  <c r="AJ106" i="27"/>
  <c r="AK106" i="27"/>
  <c r="AJ76" i="27"/>
  <c r="AK76" i="27"/>
  <c r="AJ44" i="27"/>
  <c r="AK44" i="27"/>
  <c r="AJ133" i="27"/>
  <c r="AK133" i="27"/>
  <c r="AJ121" i="27"/>
  <c r="AK121" i="27"/>
  <c r="AJ105" i="27"/>
  <c r="AK105" i="27"/>
  <c r="AJ75" i="27"/>
  <c r="AK75" i="27"/>
  <c r="AJ43" i="27"/>
  <c r="AK43" i="27"/>
  <c r="AJ74" i="27"/>
  <c r="AK74" i="27"/>
  <c r="AJ42" i="27"/>
  <c r="AK42" i="27"/>
  <c r="AJ89" i="27"/>
  <c r="AK89" i="27"/>
  <c r="AJ57" i="27"/>
  <c r="AK57" i="27"/>
  <c r="AJ103" i="27"/>
  <c r="AK103" i="27"/>
  <c r="AJ72" i="27"/>
  <c r="AK72" i="27"/>
  <c r="AJ40" i="27"/>
  <c r="AK40" i="27"/>
  <c r="AJ87" i="27"/>
  <c r="AK87" i="27"/>
  <c r="AJ55" i="27"/>
  <c r="AK55" i="27"/>
  <c r="AJ30" i="27"/>
  <c r="AK30" i="27"/>
  <c r="AJ26" i="27"/>
  <c r="AK26" i="27"/>
  <c r="AJ22" i="27"/>
  <c r="AK22" i="27"/>
  <c r="AJ18" i="27"/>
  <c r="AK18" i="27"/>
  <c r="AJ14" i="27"/>
  <c r="AK14" i="27"/>
  <c r="AJ10" i="27"/>
  <c r="AK10" i="27"/>
  <c r="AJ6" i="27"/>
  <c r="AK6" i="27"/>
  <c r="AI201" i="27"/>
  <c r="AI189" i="27"/>
  <c r="AI177" i="27"/>
  <c r="AI165" i="27"/>
  <c r="AI150" i="27"/>
  <c r="AI200" i="27"/>
  <c r="AI188" i="27"/>
  <c r="AI176" i="27"/>
  <c r="AI164" i="27"/>
  <c r="AI149" i="27"/>
  <c r="AI156" i="27"/>
  <c r="AI140" i="27"/>
  <c r="AI193" i="27"/>
  <c r="AI181" i="27"/>
  <c r="AI169" i="27"/>
  <c r="AI155" i="27"/>
  <c r="AI139" i="27"/>
  <c r="AI116" i="27"/>
  <c r="AI94" i="27"/>
  <c r="AI62" i="27"/>
  <c r="AI127" i="27"/>
  <c r="AI111" i="27"/>
  <c r="AI85" i="27"/>
  <c r="AI53" i="27"/>
  <c r="AI136" i="27"/>
  <c r="AI126" i="27"/>
  <c r="AI110" i="27"/>
  <c r="AI84" i="27"/>
  <c r="AI52" i="27"/>
  <c r="AI135" i="27"/>
  <c r="AI125" i="27"/>
  <c r="AI109" i="27"/>
  <c r="AI83" i="27"/>
  <c r="AI51" i="27"/>
  <c r="AI82" i="27"/>
  <c r="AI50" i="27"/>
  <c r="AI97" i="27"/>
  <c r="AI65" i="27"/>
  <c r="AI33" i="27"/>
  <c r="AI80" i="27"/>
  <c r="AI48" i="27"/>
  <c r="AI95" i="27"/>
  <c r="AI63" i="27"/>
  <c r="AI31" i="27"/>
  <c r="AI27" i="27"/>
  <c r="AI23" i="27"/>
  <c r="AI19" i="27"/>
  <c r="AI15" i="27"/>
  <c r="AI11" i="27"/>
  <c r="AI7" i="27"/>
  <c r="AI3" i="27"/>
  <c r="AJ195" i="27"/>
  <c r="AJ183" i="27"/>
  <c r="AJ171" i="27"/>
  <c r="AJ158" i="27"/>
  <c r="AJ142" i="27"/>
  <c r="AJ194" i="27"/>
  <c r="AJ182" i="27"/>
  <c r="AJ170" i="27"/>
  <c r="AJ157" i="27"/>
  <c r="AJ141" i="27"/>
  <c r="AJ148" i="27"/>
  <c r="AJ199" i="27"/>
  <c r="AJ187" i="27"/>
  <c r="AJ175" i="27"/>
  <c r="AJ163" i="27"/>
  <c r="AJ147" i="27"/>
  <c r="L21" i="27"/>
  <c r="M21" i="27" s="1"/>
  <c r="L9" i="27"/>
  <c r="L3" i="27"/>
  <c r="M3" i="27" s="1"/>
  <c r="L197" i="27"/>
  <c r="M197" i="27" s="1"/>
  <c r="L147" i="27"/>
  <c r="M147" i="27" s="1"/>
  <c r="L119" i="27"/>
  <c r="M119" i="27" s="1"/>
  <c r="L113" i="27"/>
  <c r="M113" i="27" s="1"/>
  <c r="L145" i="27"/>
  <c r="M145" i="27" s="1"/>
  <c r="L151" i="27"/>
  <c r="M151" i="27" s="1"/>
  <c r="I106" i="2"/>
  <c r="I102" i="2"/>
  <c r="I98" i="2"/>
  <c r="I94" i="2"/>
  <c r="I90" i="2"/>
  <c r="I86" i="2"/>
  <c r="I82" i="2"/>
  <c r="I78" i="2"/>
  <c r="I74" i="2"/>
  <c r="I70" i="2"/>
  <c r="I66" i="2"/>
  <c r="I62" i="2"/>
  <c r="I58" i="2"/>
  <c r="I54" i="2"/>
  <c r="I50" i="2"/>
  <c r="I46" i="2"/>
  <c r="I42" i="2"/>
  <c r="I38" i="2"/>
  <c r="I34" i="2"/>
  <c r="I30" i="2"/>
  <c r="I26" i="2"/>
  <c r="I22" i="2"/>
  <c r="I18" i="2"/>
  <c r="I14" i="2"/>
  <c r="I10" i="2"/>
  <c r="I6" i="2"/>
  <c r="E198" i="27"/>
  <c r="E185" i="27"/>
  <c r="F185" i="27" s="1"/>
  <c r="J185" i="27" s="1"/>
  <c r="E173" i="27"/>
  <c r="E161" i="27"/>
  <c r="E145" i="27"/>
  <c r="E152" i="27"/>
  <c r="F152" i="27" s="1"/>
  <c r="J152" i="27" s="1"/>
  <c r="E202" i="27"/>
  <c r="E190" i="27"/>
  <c r="E178" i="27"/>
  <c r="E166" i="27"/>
  <c r="F166" i="27" s="1"/>
  <c r="J166" i="27" s="1"/>
  <c r="E151" i="27"/>
  <c r="E128" i="27"/>
  <c r="F128" i="27" s="1"/>
  <c r="J128" i="27" s="1"/>
  <c r="E112" i="27"/>
  <c r="E86" i="27"/>
  <c r="F86" i="27" s="1"/>
  <c r="J86" i="27" s="1"/>
  <c r="E54" i="27"/>
  <c r="F54" i="27" s="1"/>
  <c r="J54" i="27" s="1"/>
  <c r="E123" i="27"/>
  <c r="F123" i="27" s="1"/>
  <c r="J123" i="27" s="1"/>
  <c r="E107" i="27"/>
  <c r="E77" i="27"/>
  <c r="E45" i="27"/>
  <c r="F45" i="27" s="1"/>
  <c r="J45" i="27" s="1"/>
  <c r="E134" i="27"/>
  <c r="F134" i="27" s="1"/>
  <c r="J134" i="27" s="1"/>
  <c r="E122" i="27"/>
  <c r="E106" i="27"/>
  <c r="E76" i="27"/>
  <c r="F76" i="27" s="1"/>
  <c r="J76" i="27" s="1"/>
  <c r="E44" i="27"/>
  <c r="F44" i="27" s="1"/>
  <c r="J44" i="27" s="1"/>
  <c r="E133" i="27"/>
  <c r="F133" i="27" s="1"/>
  <c r="J133" i="27" s="1"/>
  <c r="E121" i="27"/>
  <c r="F121" i="27" s="1"/>
  <c r="J121" i="27" s="1"/>
  <c r="E105" i="27"/>
  <c r="F105" i="27" s="1"/>
  <c r="J105" i="27" s="1"/>
  <c r="E75" i="27"/>
  <c r="F75" i="27" s="1"/>
  <c r="J75" i="27" s="1"/>
  <c r="E43" i="27"/>
  <c r="E74" i="27"/>
  <c r="F74" i="27" s="1"/>
  <c r="J74" i="27" s="1"/>
  <c r="E42" i="27"/>
  <c r="E89" i="27"/>
  <c r="E57" i="27"/>
  <c r="F57" i="27" s="1"/>
  <c r="J57" i="27" s="1"/>
  <c r="E103" i="27"/>
  <c r="F103" i="27" s="1"/>
  <c r="J103" i="27" s="1"/>
  <c r="E72" i="27"/>
  <c r="F72" i="27" s="1"/>
  <c r="J72" i="27" s="1"/>
  <c r="E40" i="27"/>
  <c r="F40" i="27" s="1"/>
  <c r="J40" i="27" s="1"/>
  <c r="E87" i="27"/>
  <c r="E55" i="27"/>
  <c r="F55" i="27" s="1"/>
  <c r="J55" i="27" s="1"/>
  <c r="E30" i="27"/>
  <c r="F30" i="27" s="1"/>
  <c r="J30" i="27" s="1"/>
  <c r="E26" i="27"/>
  <c r="F26" i="27" s="1"/>
  <c r="J26" i="27" s="1"/>
  <c r="E22" i="27"/>
  <c r="E18" i="27"/>
  <c r="E14" i="27"/>
  <c r="F14" i="27" s="1"/>
  <c r="J14" i="27" s="1"/>
  <c r="E10" i="27"/>
  <c r="F10" i="27" s="1"/>
  <c r="J10" i="27" s="1"/>
  <c r="E6" i="27"/>
  <c r="I109" i="2"/>
  <c r="I105" i="2"/>
  <c r="I101" i="2"/>
  <c r="I97" i="2"/>
  <c r="I93" i="2"/>
  <c r="I89" i="2"/>
  <c r="I85" i="2"/>
  <c r="I81" i="2"/>
  <c r="I77" i="2"/>
  <c r="I73" i="2"/>
  <c r="I69" i="2"/>
  <c r="I65" i="2"/>
  <c r="I61" i="2"/>
  <c r="I57" i="2"/>
  <c r="I53" i="2"/>
  <c r="I49" i="2"/>
  <c r="I45" i="2"/>
  <c r="I41" i="2"/>
  <c r="I37" i="2"/>
  <c r="I33" i="2"/>
  <c r="I29" i="2"/>
  <c r="I25" i="2"/>
  <c r="I21" i="2"/>
  <c r="I17" i="2"/>
  <c r="I13" i="2"/>
  <c r="I9" i="2"/>
  <c r="I5" i="2"/>
  <c r="E195" i="27"/>
  <c r="F195" i="27" s="1"/>
  <c r="J195" i="27" s="1"/>
  <c r="G183" i="27"/>
  <c r="G171" i="27"/>
  <c r="G158" i="27"/>
  <c r="G194" i="27"/>
  <c r="E182" i="27"/>
  <c r="F182" i="27" s="1"/>
  <c r="J182" i="27" s="1"/>
  <c r="E170" i="27"/>
  <c r="F170" i="27" s="1"/>
  <c r="J170" i="27" s="1"/>
  <c r="E157" i="27"/>
  <c r="F157" i="27" s="1"/>
  <c r="J157" i="27" s="1"/>
  <c r="E141" i="27"/>
  <c r="F141" i="27" s="1"/>
  <c r="J141" i="27" s="1"/>
  <c r="E148" i="27"/>
  <c r="F148" i="27" s="1"/>
  <c r="J148" i="27" s="1"/>
  <c r="E199" i="27"/>
  <c r="F199" i="27" s="1"/>
  <c r="J199" i="27" s="1"/>
  <c r="E187" i="27"/>
  <c r="F187" i="27" s="1"/>
  <c r="J187" i="27" s="1"/>
  <c r="E175" i="27"/>
  <c r="F175" i="27" s="1"/>
  <c r="J175" i="27" s="1"/>
  <c r="E163" i="27"/>
  <c r="F163" i="27" s="1"/>
  <c r="J163" i="27" s="1"/>
  <c r="E147" i="27"/>
  <c r="F147" i="27" s="1"/>
  <c r="J147" i="27" s="1"/>
  <c r="E124" i="27"/>
  <c r="F124" i="27" s="1"/>
  <c r="J124" i="27" s="1"/>
  <c r="E108" i="27"/>
  <c r="F108" i="27" s="1"/>
  <c r="J108" i="27" s="1"/>
  <c r="E78" i="27"/>
  <c r="F78" i="27" s="1"/>
  <c r="J78" i="27" s="1"/>
  <c r="E46" i="27"/>
  <c r="F46" i="27" s="1"/>
  <c r="J46" i="27" s="1"/>
  <c r="E119" i="27"/>
  <c r="F119" i="27" s="1"/>
  <c r="J119" i="27" s="1"/>
  <c r="E100" i="27"/>
  <c r="F100" i="27" s="1"/>
  <c r="J100" i="27" s="1"/>
  <c r="E69" i="27"/>
  <c r="F69" i="27" s="1"/>
  <c r="J69" i="27" s="1"/>
  <c r="E37" i="27"/>
  <c r="F37" i="27" s="1"/>
  <c r="J37" i="27" s="1"/>
  <c r="E132" i="27"/>
  <c r="F132" i="27" s="1"/>
  <c r="J132" i="27" s="1"/>
  <c r="E118" i="27"/>
  <c r="F118" i="27" s="1"/>
  <c r="J118" i="27" s="1"/>
  <c r="E99" i="27"/>
  <c r="F99" i="27" s="1"/>
  <c r="J99" i="27" s="1"/>
  <c r="E68" i="27"/>
  <c r="F68" i="27" s="1"/>
  <c r="J68" i="27" s="1"/>
  <c r="E36" i="27"/>
  <c r="F36" i="27" s="1"/>
  <c r="J36" i="27" s="1"/>
  <c r="E131" i="27"/>
  <c r="F131" i="27" s="1"/>
  <c r="J131" i="27" s="1"/>
  <c r="E117" i="27"/>
  <c r="F117" i="27" s="1"/>
  <c r="J117" i="27" s="1"/>
  <c r="E98" i="27"/>
  <c r="F98" i="27" s="1"/>
  <c r="J98" i="27" s="1"/>
  <c r="E67" i="27"/>
  <c r="F67" i="27" s="1"/>
  <c r="J67" i="27" s="1"/>
  <c r="E35" i="27"/>
  <c r="F35" i="27" s="1"/>
  <c r="J35" i="27" s="1"/>
  <c r="E66" i="27"/>
  <c r="F66" i="27" s="1"/>
  <c r="J66" i="27" s="1"/>
  <c r="E34" i="27"/>
  <c r="F34" i="27" s="1"/>
  <c r="J34" i="27" s="1"/>
  <c r="E81" i="27"/>
  <c r="F81" i="27" s="1"/>
  <c r="J81" i="27" s="1"/>
  <c r="E49" i="27"/>
  <c r="F49" i="27" s="1"/>
  <c r="J49" i="27" s="1"/>
  <c r="E96" i="27"/>
  <c r="F96" i="27" s="1"/>
  <c r="J96" i="27" s="1"/>
  <c r="E64" i="27"/>
  <c r="F64" i="27" s="1"/>
  <c r="J64" i="27" s="1"/>
  <c r="E32" i="27"/>
  <c r="F32" i="27" s="1"/>
  <c r="J32" i="27" s="1"/>
  <c r="E79" i="27"/>
  <c r="F79" i="27" s="1"/>
  <c r="J79" i="27" s="1"/>
  <c r="E47" i="27"/>
  <c r="F47" i="27" s="1"/>
  <c r="J47" i="27" s="1"/>
  <c r="E29" i="27"/>
  <c r="F29" i="27" s="1"/>
  <c r="J29" i="27" s="1"/>
  <c r="E25" i="27"/>
  <c r="F25" i="27" s="1"/>
  <c r="J25" i="27" s="1"/>
  <c r="E21" i="27"/>
  <c r="F21" i="27" s="1"/>
  <c r="J21" i="27" s="1"/>
  <c r="E17" i="27"/>
  <c r="F17" i="27" s="1"/>
  <c r="J17" i="27" s="1"/>
  <c r="E13" i="27"/>
  <c r="F13" i="27" s="1"/>
  <c r="J13" i="27" s="1"/>
  <c r="E9" i="27"/>
  <c r="F9" i="27" s="1"/>
  <c r="J9" i="27" s="1"/>
  <c r="E5" i="27"/>
  <c r="F5" i="27" s="1"/>
  <c r="J5" i="27" s="1"/>
  <c r="I108" i="2"/>
  <c r="I104" i="2"/>
  <c r="I100" i="2"/>
  <c r="I96" i="2"/>
  <c r="I92" i="2"/>
  <c r="I88" i="2"/>
  <c r="I84" i="2"/>
  <c r="I80" i="2"/>
  <c r="I76" i="2"/>
  <c r="I72" i="2"/>
  <c r="I68" i="2"/>
  <c r="I64" i="2"/>
  <c r="I60" i="2"/>
  <c r="I56" i="2"/>
  <c r="I52" i="2"/>
  <c r="I48" i="2"/>
  <c r="I44" i="2"/>
  <c r="I40" i="2"/>
  <c r="I36" i="2"/>
  <c r="I32" i="2"/>
  <c r="I28" i="2"/>
  <c r="I24" i="2"/>
  <c r="I20" i="2"/>
  <c r="I16" i="2"/>
  <c r="I12" i="2"/>
  <c r="I8" i="2"/>
  <c r="I4" i="2"/>
  <c r="E204" i="27"/>
  <c r="F204" i="27" s="1"/>
  <c r="J204" i="27" s="1"/>
  <c r="E192" i="27"/>
  <c r="G180" i="27"/>
  <c r="G168" i="27"/>
  <c r="G154" i="27"/>
  <c r="G203" i="27"/>
  <c r="E179" i="27"/>
  <c r="F179" i="27" s="1"/>
  <c r="J179" i="27" s="1"/>
  <c r="E167" i="27"/>
  <c r="F167" i="27" s="1"/>
  <c r="J167" i="27" s="1"/>
  <c r="E153" i="27"/>
  <c r="F153" i="27" s="1"/>
  <c r="J153" i="27" s="1"/>
  <c r="E160" i="27"/>
  <c r="F160" i="27" s="1"/>
  <c r="J160" i="27" s="1"/>
  <c r="E144" i="27"/>
  <c r="F144" i="27" s="1"/>
  <c r="J144" i="27" s="1"/>
  <c r="E196" i="27"/>
  <c r="F196" i="27" s="1"/>
  <c r="J196" i="27" s="1"/>
  <c r="E184" i="27"/>
  <c r="F184" i="27" s="1"/>
  <c r="J184" i="27" s="1"/>
  <c r="E172" i="27"/>
  <c r="F172" i="27" s="1"/>
  <c r="J172" i="27" s="1"/>
  <c r="E159" i="27"/>
  <c r="F159" i="27" s="1"/>
  <c r="J159" i="27" s="1"/>
  <c r="E143" i="27"/>
  <c r="F143" i="27" s="1"/>
  <c r="J143" i="27" s="1"/>
  <c r="E120" i="27"/>
  <c r="F120" i="27" s="1"/>
  <c r="J120" i="27" s="1"/>
  <c r="E101" i="27"/>
  <c r="F101" i="27" s="1"/>
  <c r="J101" i="27" s="1"/>
  <c r="E70" i="27"/>
  <c r="F70" i="27" s="1"/>
  <c r="J70" i="27" s="1"/>
  <c r="E38" i="27"/>
  <c r="F38" i="27" s="1"/>
  <c r="J38" i="27" s="1"/>
  <c r="E115" i="27"/>
  <c r="F115" i="27" s="1"/>
  <c r="J115" i="27" s="1"/>
  <c r="E93" i="27"/>
  <c r="F93" i="27" s="1"/>
  <c r="J93" i="27" s="1"/>
  <c r="E61" i="27"/>
  <c r="F61" i="27" s="1"/>
  <c r="J61" i="27" s="1"/>
  <c r="E138" i="27"/>
  <c r="F138" i="27" s="1"/>
  <c r="J138" i="27" s="1"/>
  <c r="E130" i="27"/>
  <c r="F130" i="27" s="1"/>
  <c r="J130" i="27" s="1"/>
  <c r="E114" i="27"/>
  <c r="F114" i="27" s="1"/>
  <c r="J114" i="27" s="1"/>
  <c r="E92" i="27"/>
  <c r="F92" i="27" s="1"/>
  <c r="J92" i="27" s="1"/>
  <c r="E60" i="27"/>
  <c r="F60" i="27" s="1"/>
  <c r="J60" i="27" s="1"/>
  <c r="E137" i="27"/>
  <c r="F137" i="27" s="1"/>
  <c r="J137" i="27" s="1"/>
  <c r="E129" i="27"/>
  <c r="F129" i="27" s="1"/>
  <c r="J129" i="27" s="1"/>
  <c r="E113" i="27"/>
  <c r="F113" i="27" s="1"/>
  <c r="J113" i="27" s="1"/>
  <c r="E91" i="27"/>
  <c r="E59" i="27"/>
  <c r="F59" i="27" s="1"/>
  <c r="J59" i="27" s="1"/>
  <c r="E90" i="27"/>
  <c r="F90" i="27" s="1"/>
  <c r="J90" i="27" s="1"/>
  <c r="E58" i="27"/>
  <c r="F58" i="27" s="1"/>
  <c r="J58" i="27" s="1"/>
  <c r="E104" i="27"/>
  <c r="E73" i="27"/>
  <c r="F73" i="27" s="1"/>
  <c r="J73" i="27" s="1"/>
  <c r="E41" i="27"/>
  <c r="F41" i="27" s="1"/>
  <c r="J41" i="27" s="1"/>
  <c r="E88" i="27"/>
  <c r="F88" i="27" s="1"/>
  <c r="J88" i="27" s="1"/>
  <c r="E56" i="27"/>
  <c r="F56" i="27" s="1"/>
  <c r="J56" i="27" s="1"/>
  <c r="E102" i="27"/>
  <c r="F102" i="27" s="1"/>
  <c r="J102" i="27" s="1"/>
  <c r="E71" i="27"/>
  <c r="F71" i="27" s="1"/>
  <c r="J71" i="27" s="1"/>
  <c r="E39" i="27"/>
  <c r="F39" i="27" s="1"/>
  <c r="J39" i="27" s="1"/>
  <c r="E28" i="27"/>
  <c r="E24" i="27"/>
  <c r="E20" i="27"/>
  <c r="F20" i="27" s="1"/>
  <c r="J20" i="27" s="1"/>
  <c r="E16" i="27"/>
  <c r="F16" i="27" s="1"/>
  <c r="J16" i="27" s="1"/>
  <c r="E12" i="27"/>
  <c r="F12" i="27" s="1"/>
  <c r="J12" i="27" s="1"/>
  <c r="E8" i="27"/>
  <c r="E4" i="27"/>
  <c r="F4" i="27" s="1"/>
  <c r="J4" i="27" s="1"/>
  <c r="I107" i="2"/>
  <c r="I103" i="2"/>
  <c r="I99" i="2"/>
  <c r="I95" i="2"/>
  <c r="I91" i="2"/>
  <c r="I87" i="2"/>
  <c r="I83" i="2"/>
  <c r="I79" i="2"/>
  <c r="I75" i="2"/>
  <c r="I71" i="2"/>
  <c r="I67" i="2"/>
  <c r="I63" i="2"/>
  <c r="I59" i="2"/>
  <c r="I55" i="2"/>
  <c r="I51" i="2"/>
  <c r="I47" i="2"/>
  <c r="I43" i="2"/>
  <c r="I39" i="2"/>
  <c r="I35" i="2"/>
  <c r="I31" i="2"/>
  <c r="I27" i="2"/>
  <c r="I23" i="2"/>
  <c r="I19" i="2"/>
  <c r="I15" i="2"/>
  <c r="I11" i="2"/>
  <c r="I7" i="2"/>
  <c r="I3" i="2"/>
  <c r="E201" i="27"/>
  <c r="E188" i="27"/>
  <c r="E176" i="27"/>
  <c r="F176" i="27" s="1"/>
  <c r="J176" i="27" s="1"/>
  <c r="E164" i="27"/>
  <c r="F164" i="27" s="1"/>
  <c r="J164" i="27" s="1"/>
  <c r="E149" i="27"/>
  <c r="E156" i="27"/>
  <c r="E140" i="27"/>
  <c r="E193" i="27"/>
  <c r="F193" i="27" s="1"/>
  <c r="J193" i="27" s="1"/>
  <c r="E181" i="27"/>
  <c r="E169" i="27"/>
  <c r="E155" i="27"/>
  <c r="F155" i="27" s="1"/>
  <c r="J155" i="27" s="1"/>
  <c r="E139" i="27"/>
  <c r="F139" i="27" s="1"/>
  <c r="J139" i="27" s="1"/>
  <c r="E116" i="27"/>
  <c r="E94" i="27"/>
  <c r="F94" i="27" s="1"/>
  <c r="J94" i="27" s="1"/>
  <c r="E62" i="27"/>
  <c r="E127" i="27"/>
  <c r="F127" i="27" s="1"/>
  <c r="J127" i="27" s="1"/>
  <c r="E111" i="27"/>
  <c r="E85" i="27"/>
  <c r="F85" i="27" s="1"/>
  <c r="J85" i="27" s="1"/>
  <c r="E53" i="27"/>
  <c r="E136" i="27"/>
  <c r="F136" i="27" s="1"/>
  <c r="J136" i="27" s="1"/>
  <c r="E126" i="27"/>
  <c r="E110" i="27"/>
  <c r="F110" i="27" s="1"/>
  <c r="J110" i="27" s="1"/>
  <c r="E84" i="27"/>
  <c r="E52" i="27"/>
  <c r="F52" i="27" s="1"/>
  <c r="J52" i="27" s="1"/>
  <c r="E135" i="27"/>
  <c r="E125" i="27"/>
  <c r="F125" i="27" s="1"/>
  <c r="J125" i="27" s="1"/>
  <c r="E109" i="27"/>
  <c r="F109" i="27" s="1"/>
  <c r="J109" i="27" s="1"/>
  <c r="E83" i="27"/>
  <c r="F83" i="27" s="1"/>
  <c r="J83" i="27" s="1"/>
  <c r="E51" i="27"/>
  <c r="E82" i="27"/>
  <c r="F82" i="27" s="1"/>
  <c r="J82" i="27" s="1"/>
  <c r="E50" i="27"/>
  <c r="E97" i="27"/>
  <c r="F97" i="27" s="1"/>
  <c r="J97" i="27" s="1"/>
  <c r="E65" i="27"/>
  <c r="E33" i="27"/>
  <c r="F33" i="27" s="1"/>
  <c r="J33" i="27" s="1"/>
  <c r="E80" i="27"/>
  <c r="F80" i="27" s="1"/>
  <c r="J80" i="27" s="1"/>
  <c r="E48" i="27"/>
  <c r="F48" i="27" s="1"/>
  <c r="J48" i="27" s="1"/>
  <c r="E95" i="27"/>
  <c r="E63" i="27"/>
  <c r="E31" i="27"/>
  <c r="E27" i="27"/>
  <c r="F27" i="27" s="1"/>
  <c r="J27" i="27" s="1"/>
  <c r="E23" i="27"/>
  <c r="E19" i="27"/>
  <c r="F19" i="27" s="1"/>
  <c r="J19" i="27" s="1"/>
  <c r="E15" i="27"/>
  <c r="F15" i="27" s="1"/>
  <c r="J15" i="27" s="1"/>
  <c r="E11" i="27"/>
  <c r="F11" i="27" s="1"/>
  <c r="J11" i="27" s="1"/>
  <c r="E7" i="27"/>
  <c r="E3" i="27"/>
  <c r="F3" i="27" s="1"/>
  <c r="J3" i="27" s="1"/>
  <c r="L72" i="27"/>
  <c r="L40" i="27"/>
  <c r="M40" i="27" s="1"/>
  <c r="L28" i="27"/>
  <c r="M28" i="27" s="1"/>
  <c r="L126" i="27"/>
  <c r="L47" i="27"/>
  <c r="M47" i="27" s="1"/>
  <c r="G2" i="27"/>
  <c r="G99" i="27"/>
  <c r="G191" i="27"/>
  <c r="G54" i="27"/>
  <c r="G14" i="27"/>
  <c r="G199" i="27"/>
  <c r="G147" i="27"/>
  <c r="G37" i="27"/>
  <c r="G68" i="27"/>
  <c r="G98" i="27"/>
  <c r="G34" i="27"/>
  <c r="G29" i="27"/>
  <c r="G13" i="27"/>
  <c r="G45" i="27"/>
  <c r="G133" i="27"/>
  <c r="G105" i="27"/>
  <c r="G57" i="27"/>
  <c r="G30" i="27"/>
  <c r="G144" i="27"/>
  <c r="G159" i="27"/>
  <c r="G115" i="27"/>
  <c r="G61" i="27"/>
  <c r="G92" i="27"/>
  <c r="G137" i="27"/>
  <c r="G113" i="27"/>
  <c r="G58" i="27"/>
  <c r="G102" i="27"/>
  <c r="G16" i="27"/>
  <c r="G179" i="27"/>
  <c r="G76" i="27"/>
  <c r="G72" i="27"/>
  <c r="G94" i="27"/>
  <c r="G127" i="27"/>
  <c r="G85" i="27"/>
  <c r="G52" i="27"/>
  <c r="G48" i="27"/>
  <c r="G170" i="27"/>
  <c r="G49" i="27"/>
  <c r="AD3" i="27"/>
  <c r="AE3" i="27" s="1"/>
  <c r="AD4" i="27"/>
  <c r="AE4" i="27" s="1"/>
  <c r="AD5" i="27"/>
  <c r="AE5" i="27" s="1"/>
  <c r="AD6" i="27"/>
  <c r="AE6" i="27" s="1"/>
  <c r="AD7" i="27"/>
  <c r="AE7" i="27" s="1"/>
  <c r="AD8" i="27"/>
  <c r="AE8" i="27" s="1"/>
  <c r="AD9" i="27"/>
  <c r="AE9" i="27" s="1"/>
  <c r="AD10" i="27"/>
  <c r="AE10" i="27" s="1"/>
  <c r="AD11" i="27"/>
  <c r="AE11" i="27" s="1"/>
  <c r="AD12" i="27"/>
  <c r="AE12" i="27" s="1"/>
  <c r="AD13" i="27"/>
  <c r="AE13" i="27" s="1"/>
  <c r="AD14" i="27"/>
  <c r="AE14" i="27" s="1"/>
  <c r="AD15" i="27"/>
  <c r="AE15" i="27" s="1"/>
  <c r="AD16" i="27"/>
  <c r="AE16" i="27" s="1"/>
  <c r="AD17" i="27"/>
  <c r="AE17" i="27" s="1"/>
  <c r="AD18" i="27"/>
  <c r="AE18" i="27" s="1"/>
  <c r="AD19" i="27"/>
  <c r="AE19" i="27" s="1"/>
  <c r="AD20" i="27"/>
  <c r="AE20" i="27" s="1"/>
  <c r="AD21" i="27"/>
  <c r="AE21" i="27" s="1"/>
  <c r="AD22" i="27"/>
  <c r="AE22" i="27" s="1"/>
  <c r="AD23" i="27"/>
  <c r="AE23" i="27" s="1"/>
  <c r="AD24" i="27"/>
  <c r="AE24" i="27" s="1"/>
  <c r="AD25" i="27"/>
  <c r="AE25" i="27" s="1"/>
  <c r="AD26" i="27"/>
  <c r="AE26" i="27" s="1"/>
  <c r="AD27" i="27"/>
  <c r="AE27" i="27" s="1"/>
  <c r="AD28" i="27"/>
  <c r="AE28" i="27" s="1"/>
  <c r="AD29" i="27"/>
  <c r="AE29" i="27" s="1"/>
  <c r="AD30" i="27"/>
  <c r="AE30" i="27" s="1"/>
  <c r="AD31" i="27"/>
  <c r="AE31" i="27" s="1"/>
  <c r="AD39" i="27"/>
  <c r="AE39" i="27" s="1"/>
  <c r="AD47" i="27"/>
  <c r="AE47" i="27" s="1"/>
  <c r="AD55" i="27"/>
  <c r="AE55" i="27" s="1"/>
  <c r="AD63" i="27"/>
  <c r="AE63" i="27" s="1"/>
  <c r="AD71" i="27"/>
  <c r="AE71" i="27" s="1"/>
  <c r="AD79" i="27"/>
  <c r="AE79" i="27" s="1"/>
  <c r="AD87" i="27"/>
  <c r="AE87" i="27" s="1"/>
  <c r="AD95" i="27"/>
  <c r="AE95" i="27" s="1"/>
  <c r="AD102" i="27"/>
  <c r="AE102" i="27" s="1"/>
  <c r="AD32" i="27"/>
  <c r="AE32" i="27" s="1"/>
  <c r="AD40" i="27"/>
  <c r="AE40" i="27" s="1"/>
  <c r="AD48" i="27"/>
  <c r="AE48" i="27" s="1"/>
  <c r="AD56" i="27"/>
  <c r="AE56" i="27" s="1"/>
  <c r="AD64" i="27"/>
  <c r="AE64" i="27" s="1"/>
  <c r="AD72" i="27"/>
  <c r="AE72" i="27" s="1"/>
  <c r="AD80" i="27"/>
  <c r="AE80" i="27" s="1"/>
  <c r="AD88" i="27"/>
  <c r="AE88" i="27" s="1"/>
  <c r="AD96" i="27"/>
  <c r="AE96" i="27" s="1"/>
  <c r="AD103" i="27"/>
  <c r="AE103" i="27" s="1"/>
  <c r="AD33" i="27"/>
  <c r="AE33" i="27" s="1"/>
  <c r="AD41" i="27"/>
  <c r="AE41" i="27" s="1"/>
  <c r="AD49" i="27"/>
  <c r="AE49" i="27" s="1"/>
  <c r="AD57" i="27"/>
  <c r="AE57" i="27" s="1"/>
  <c r="AD65" i="27"/>
  <c r="AE65" i="27" s="1"/>
  <c r="AD73" i="27"/>
  <c r="AE73" i="27" s="1"/>
  <c r="AD81" i="27"/>
  <c r="AE81" i="27" s="1"/>
  <c r="AD89" i="27"/>
  <c r="AE89" i="27" s="1"/>
  <c r="AD97" i="27"/>
  <c r="AE97" i="27" s="1"/>
  <c r="AD104" i="27"/>
  <c r="AE104" i="27" s="1"/>
  <c r="AD34" i="27"/>
  <c r="AE34" i="27" s="1"/>
  <c r="AD42" i="27"/>
  <c r="AE42" i="27" s="1"/>
  <c r="AD50" i="27"/>
  <c r="AE50" i="27" s="1"/>
  <c r="AD58" i="27"/>
  <c r="AE58" i="27" s="1"/>
  <c r="AD66" i="27"/>
  <c r="AE66" i="27" s="1"/>
  <c r="AD74" i="27"/>
  <c r="AE74" i="27" s="1"/>
  <c r="AD82" i="27"/>
  <c r="AE82" i="27" s="1"/>
  <c r="AD90" i="27"/>
  <c r="AE90" i="27" s="1"/>
  <c r="AD35" i="27"/>
  <c r="AE35" i="27" s="1"/>
  <c r="AD43" i="27"/>
  <c r="AE43" i="27" s="1"/>
  <c r="AD51" i="27"/>
  <c r="AE51" i="27" s="1"/>
  <c r="AD59" i="27"/>
  <c r="AE59" i="27" s="1"/>
  <c r="AD67" i="27"/>
  <c r="AE67" i="27" s="1"/>
  <c r="AD75" i="27"/>
  <c r="AE75" i="27" s="1"/>
  <c r="AD83" i="27"/>
  <c r="AE83" i="27" s="1"/>
  <c r="AD91" i="27"/>
  <c r="AE91" i="27" s="1"/>
  <c r="AD98" i="27"/>
  <c r="AE98" i="27" s="1"/>
  <c r="AD105" i="27"/>
  <c r="AE105" i="27" s="1"/>
  <c r="AD109" i="27"/>
  <c r="AE109" i="27" s="1"/>
  <c r="AD113" i="27"/>
  <c r="AE113" i="27" s="1"/>
  <c r="AD117" i="27"/>
  <c r="AE117" i="27" s="1"/>
  <c r="AD121" i="27"/>
  <c r="AE121" i="27" s="1"/>
  <c r="AD125" i="27"/>
  <c r="AE125" i="27" s="1"/>
  <c r="AD129" i="27"/>
  <c r="AE129" i="27" s="1"/>
  <c r="AD131" i="27"/>
  <c r="AE131" i="27" s="1"/>
  <c r="AD133" i="27"/>
  <c r="AE133" i="27" s="1"/>
  <c r="AD135" i="27"/>
  <c r="AE135" i="27" s="1"/>
  <c r="AD137" i="27"/>
  <c r="AE137" i="27" s="1"/>
  <c r="AD36" i="27"/>
  <c r="AE36" i="27" s="1"/>
  <c r="AD44" i="27"/>
  <c r="AE44" i="27" s="1"/>
  <c r="AD52" i="27"/>
  <c r="AE52" i="27" s="1"/>
  <c r="AD60" i="27"/>
  <c r="AE60" i="27" s="1"/>
  <c r="AD68" i="27"/>
  <c r="AE68" i="27" s="1"/>
  <c r="AD76" i="27"/>
  <c r="AE76" i="27" s="1"/>
  <c r="AD84" i="27"/>
  <c r="AE84" i="27" s="1"/>
  <c r="AD92" i="27"/>
  <c r="AE92" i="27" s="1"/>
  <c r="AD99" i="27"/>
  <c r="AE99" i="27" s="1"/>
  <c r="AD106" i="27"/>
  <c r="AE106" i="27" s="1"/>
  <c r="AD110" i="27"/>
  <c r="AE110" i="27" s="1"/>
  <c r="AD114" i="27"/>
  <c r="AE114" i="27" s="1"/>
  <c r="AD118" i="27"/>
  <c r="AE118" i="27" s="1"/>
  <c r="AD122" i="27"/>
  <c r="AE122" i="27" s="1"/>
  <c r="AD126" i="27"/>
  <c r="AE126" i="27" s="1"/>
  <c r="AD130" i="27"/>
  <c r="AE130" i="27" s="1"/>
  <c r="AD132" i="27"/>
  <c r="AE132" i="27" s="1"/>
  <c r="AD134" i="27"/>
  <c r="AE134" i="27" s="1"/>
  <c r="AD136" i="27"/>
  <c r="AE136" i="27" s="1"/>
  <c r="AD138" i="27"/>
  <c r="AE138" i="27" s="1"/>
  <c r="AD37" i="27"/>
  <c r="AE37" i="27" s="1"/>
  <c r="AD45" i="27"/>
  <c r="AE45" i="27" s="1"/>
  <c r="AD53" i="27"/>
  <c r="AE53" i="27" s="1"/>
  <c r="AD61" i="27"/>
  <c r="AE61" i="27" s="1"/>
  <c r="AD69" i="27"/>
  <c r="AE69" i="27" s="1"/>
  <c r="AD77" i="27"/>
  <c r="AE77" i="27" s="1"/>
  <c r="AD85" i="27"/>
  <c r="AE85" i="27" s="1"/>
  <c r="AD93" i="27"/>
  <c r="AE93" i="27" s="1"/>
  <c r="AD100" i="27"/>
  <c r="AE100" i="27" s="1"/>
  <c r="AD107" i="27"/>
  <c r="AE107" i="27" s="1"/>
  <c r="AD111" i="27"/>
  <c r="AE111" i="27" s="1"/>
  <c r="AD115" i="27"/>
  <c r="AE115" i="27" s="1"/>
  <c r="AD119" i="27"/>
  <c r="AE119" i="27" s="1"/>
  <c r="AD123" i="27"/>
  <c r="AE123" i="27" s="1"/>
  <c r="AD127" i="27"/>
  <c r="AE127" i="27" s="1"/>
  <c r="AD38" i="27"/>
  <c r="AE38" i="27" s="1"/>
  <c r="AD46" i="27"/>
  <c r="AE46" i="27" s="1"/>
  <c r="AD54" i="27"/>
  <c r="AE54" i="27" s="1"/>
  <c r="AD62" i="27"/>
  <c r="AE62" i="27" s="1"/>
  <c r="AD70" i="27"/>
  <c r="AE70" i="27" s="1"/>
  <c r="AD78" i="27"/>
  <c r="AE78" i="27" s="1"/>
  <c r="AD86" i="27"/>
  <c r="AE86" i="27" s="1"/>
  <c r="AD94" i="27"/>
  <c r="AE94" i="27" s="1"/>
  <c r="AD101" i="27"/>
  <c r="AE101" i="27" s="1"/>
  <c r="AD108" i="27"/>
  <c r="AE108" i="27" s="1"/>
  <c r="AD112" i="27"/>
  <c r="AE112" i="27" s="1"/>
  <c r="AD116" i="27"/>
  <c r="AE116" i="27" s="1"/>
  <c r="AD120" i="27"/>
  <c r="AE120" i="27" s="1"/>
  <c r="AD124" i="27"/>
  <c r="AE124" i="27" s="1"/>
  <c r="AD128" i="27"/>
  <c r="AE128" i="27" s="1"/>
  <c r="AD139" i="27"/>
  <c r="AE139" i="27" s="1"/>
  <c r="AD143" i="27"/>
  <c r="AE143" i="27" s="1"/>
  <c r="AD147" i="27"/>
  <c r="AE147" i="27" s="1"/>
  <c r="AD151" i="27"/>
  <c r="AE151" i="27" s="1"/>
  <c r="AD155" i="27"/>
  <c r="AE155" i="27" s="1"/>
  <c r="AD159" i="27"/>
  <c r="AE159" i="27" s="1"/>
  <c r="AD163" i="27"/>
  <c r="AE163" i="27" s="1"/>
  <c r="AD166" i="27"/>
  <c r="AE166" i="27" s="1"/>
  <c r="AD169" i="27"/>
  <c r="AE169" i="27" s="1"/>
  <c r="AD172" i="27"/>
  <c r="AE172" i="27" s="1"/>
  <c r="AD175" i="27"/>
  <c r="AE175" i="27" s="1"/>
  <c r="AD178" i="27"/>
  <c r="AE178" i="27" s="1"/>
  <c r="AD181" i="27"/>
  <c r="AE181" i="27" s="1"/>
  <c r="AD184" i="27"/>
  <c r="AE184" i="27" s="1"/>
  <c r="AD187" i="27"/>
  <c r="AE187" i="27" s="1"/>
  <c r="AD190" i="27"/>
  <c r="AE190" i="27" s="1"/>
  <c r="AD193" i="27"/>
  <c r="AE193" i="27" s="1"/>
  <c r="AD196" i="27"/>
  <c r="AE196" i="27" s="1"/>
  <c r="AD199" i="27"/>
  <c r="AE199" i="27" s="1"/>
  <c r="AD202" i="27"/>
  <c r="AE202" i="27" s="1"/>
  <c r="AD140" i="27"/>
  <c r="AE140" i="27" s="1"/>
  <c r="AD144" i="27"/>
  <c r="AE144" i="27" s="1"/>
  <c r="AD148" i="27"/>
  <c r="AE148" i="27" s="1"/>
  <c r="AD152" i="27"/>
  <c r="AE152" i="27" s="1"/>
  <c r="AD156" i="27"/>
  <c r="AE156" i="27" s="1"/>
  <c r="AD160" i="27"/>
  <c r="AE160" i="27" s="1"/>
  <c r="AD141" i="27"/>
  <c r="AE141" i="27" s="1"/>
  <c r="AD145" i="27"/>
  <c r="AE145" i="27" s="1"/>
  <c r="AD149" i="27"/>
  <c r="AE149" i="27" s="1"/>
  <c r="AD153" i="27"/>
  <c r="AE153" i="27" s="1"/>
  <c r="AD157" i="27"/>
  <c r="AE157" i="27" s="1"/>
  <c r="AD161" i="27"/>
  <c r="AE161" i="27" s="1"/>
  <c r="AD164" i="27"/>
  <c r="AE164" i="27" s="1"/>
  <c r="AD167" i="27"/>
  <c r="AE167" i="27" s="1"/>
  <c r="AD170" i="27"/>
  <c r="AE170" i="27" s="1"/>
  <c r="AD173" i="27"/>
  <c r="AE173" i="27" s="1"/>
  <c r="AD176" i="27"/>
  <c r="AE176" i="27" s="1"/>
  <c r="AD179" i="27"/>
  <c r="AE179" i="27" s="1"/>
  <c r="AD182" i="27"/>
  <c r="AE182" i="27" s="1"/>
  <c r="AD185" i="27"/>
  <c r="AE185" i="27" s="1"/>
  <c r="AD188" i="27"/>
  <c r="AE188" i="27" s="1"/>
  <c r="AD191" i="27"/>
  <c r="AE191" i="27" s="1"/>
  <c r="AD194" i="27"/>
  <c r="AE194" i="27" s="1"/>
  <c r="AD197" i="27"/>
  <c r="AE197" i="27" s="1"/>
  <c r="AD200" i="27"/>
  <c r="AE200" i="27" s="1"/>
  <c r="AD203" i="27"/>
  <c r="AE203" i="27" s="1"/>
  <c r="AD142" i="27"/>
  <c r="AE142" i="27" s="1"/>
  <c r="AD146" i="27"/>
  <c r="AE146" i="27" s="1"/>
  <c r="AD150" i="27"/>
  <c r="AE150" i="27" s="1"/>
  <c r="AD154" i="27"/>
  <c r="AE154" i="27" s="1"/>
  <c r="AD158" i="27"/>
  <c r="AE158" i="27" s="1"/>
  <c r="AD162" i="27"/>
  <c r="AE162" i="27" s="1"/>
  <c r="AD165" i="27"/>
  <c r="AE165" i="27" s="1"/>
  <c r="AD168" i="27"/>
  <c r="AE168" i="27" s="1"/>
  <c r="AD171" i="27"/>
  <c r="AE171" i="27" s="1"/>
  <c r="AD174" i="27"/>
  <c r="AE174" i="27" s="1"/>
  <c r="AD177" i="27"/>
  <c r="AE177" i="27" s="1"/>
  <c r="AD180" i="27"/>
  <c r="AE180" i="27" s="1"/>
  <c r="AD183" i="27"/>
  <c r="AE183" i="27" s="1"/>
  <c r="AD186" i="27"/>
  <c r="AE186" i="27" s="1"/>
  <c r="AD189" i="27"/>
  <c r="AE189" i="27" s="1"/>
  <c r="AD192" i="27"/>
  <c r="AE192" i="27" s="1"/>
  <c r="AD195" i="27"/>
  <c r="AE195" i="27" s="1"/>
  <c r="AD198" i="27"/>
  <c r="AD201" i="27"/>
  <c r="AD204" i="27"/>
  <c r="AD2" i="27"/>
  <c r="AE2" i="27" s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2" i="2"/>
  <c r="AG196" i="27" l="1"/>
  <c r="AG167" i="27"/>
  <c r="AG154" i="27"/>
  <c r="AG204" i="27"/>
  <c r="G125" i="27"/>
  <c r="L10" i="27"/>
  <c r="M10" i="27" s="1"/>
  <c r="M9" i="27"/>
  <c r="L97" i="27"/>
  <c r="M97" i="27" s="1"/>
  <c r="L57" i="27"/>
  <c r="M56" i="27"/>
  <c r="L64" i="27"/>
  <c r="M63" i="27"/>
  <c r="L129" i="27"/>
  <c r="M129" i="27" s="1"/>
  <c r="M125" i="27"/>
  <c r="L141" i="27"/>
  <c r="M160" i="27"/>
  <c r="G19" i="27"/>
  <c r="G110" i="27"/>
  <c r="G39" i="27"/>
  <c r="L73" i="27"/>
  <c r="M73" i="27" s="1"/>
  <c r="M72" i="27"/>
  <c r="L161" i="27"/>
  <c r="M161" i="27" s="1"/>
  <c r="L179" i="27"/>
  <c r="M176" i="27"/>
  <c r="L127" i="27"/>
  <c r="M127" i="27" s="1"/>
  <c r="M126" i="27"/>
  <c r="L16" i="27"/>
  <c r="M15" i="27"/>
  <c r="L120" i="27"/>
  <c r="M120" i="27" s="1"/>
  <c r="L146" i="27"/>
  <c r="M146" i="27" s="1"/>
  <c r="L48" i="27"/>
  <c r="M48" i="27" s="1"/>
  <c r="L98" i="27"/>
  <c r="M98" i="27" s="1"/>
  <c r="G9" i="27"/>
  <c r="L104" i="27"/>
  <c r="M104" i="27" s="1"/>
  <c r="L155" i="27"/>
  <c r="M155" i="27" s="1"/>
  <c r="L152" i="27"/>
  <c r="M152" i="27" s="1"/>
  <c r="L148" i="27"/>
  <c r="M148" i="27" s="1"/>
  <c r="L128" i="27"/>
  <c r="M128" i="27" s="1"/>
  <c r="L198" i="27"/>
  <c r="M198" i="27" s="1"/>
  <c r="L41" i="27"/>
  <c r="M41" i="27" s="1"/>
  <c r="L74" i="27"/>
  <c r="M74" i="27" s="1"/>
  <c r="L114" i="27"/>
  <c r="M114" i="27" s="1"/>
  <c r="AG159" i="27"/>
  <c r="G100" i="27"/>
  <c r="G83" i="27"/>
  <c r="G136" i="27"/>
  <c r="G139" i="27"/>
  <c r="G59" i="27"/>
  <c r="G130" i="27"/>
  <c r="G152" i="27"/>
  <c r="G95" i="27"/>
  <c r="F95" i="27"/>
  <c r="J95" i="27" s="1"/>
  <c r="G51" i="27"/>
  <c r="F51" i="27"/>
  <c r="J51" i="27" s="1"/>
  <c r="G111" i="27"/>
  <c r="F111" i="27"/>
  <c r="J111" i="27" s="1"/>
  <c r="G201" i="27"/>
  <c r="F201" i="27"/>
  <c r="J201" i="27" s="1"/>
  <c r="G192" i="27"/>
  <c r="F192" i="27"/>
  <c r="J192" i="27" s="1"/>
  <c r="G18" i="27"/>
  <c r="F18" i="27"/>
  <c r="J18" i="27" s="1"/>
  <c r="G106" i="27"/>
  <c r="F106" i="27"/>
  <c r="J106" i="27" s="1"/>
  <c r="G77" i="27"/>
  <c r="F77" i="27"/>
  <c r="J77" i="27" s="1"/>
  <c r="G185" i="27"/>
  <c r="G8" i="27"/>
  <c r="F8" i="27"/>
  <c r="J8" i="27" s="1"/>
  <c r="G24" i="27"/>
  <c r="F24" i="27"/>
  <c r="J24" i="27" s="1"/>
  <c r="G6" i="27"/>
  <c r="F6" i="27"/>
  <c r="J6" i="27" s="1"/>
  <c r="G22" i="27"/>
  <c r="F22" i="27"/>
  <c r="J22" i="27" s="1"/>
  <c r="G87" i="27"/>
  <c r="F87" i="27"/>
  <c r="J87" i="27" s="1"/>
  <c r="G43" i="27"/>
  <c r="F43" i="27"/>
  <c r="J43" i="27" s="1"/>
  <c r="G122" i="27"/>
  <c r="F122" i="27"/>
  <c r="J122" i="27" s="1"/>
  <c r="G107" i="27"/>
  <c r="F107" i="27"/>
  <c r="J107" i="27" s="1"/>
  <c r="G112" i="27"/>
  <c r="F112" i="27"/>
  <c r="J112" i="27" s="1"/>
  <c r="G178" i="27"/>
  <c r="F178" i="27"/>
  <c r="J178" i="27" s="1"/>
  <c r="G145" i="27"/>
  <c r="F145" i="27"/>
  <c r="J145" i="27" s="1"/>
  <c r="G198" i="27"/>
  <c r="F198" i="27"/>
  <c r="J198" i="27" s="1"/>
  <c r="G7" i="27"/>
  <c r="F7" i="27"/>
  <c r="J7" i="27" s="1"/>
  <c r="G23" i="27"/>
  <c r="F23" i="27"/>
  <c r="J23" i="27" s="1"/>
  <c r="G135" i="27"/>
  <c r="F135" i="27"/>
  <c r="J135" i="27" s="1"/>
  <c r="G116" i="27"/>
  <c r="F116" i="27"/>
  <c r="J116" i="27" s="1"/>
  <c r="G149" i="27"/>
  <c r="F149" i="27"/>
  <c r="J149" i="27" s="1"/>
  <c r="G50" i="27"/>
  <c r="F50" i="27"/>
  <c r="J50" i="27" s="1"/>
  <c r="G84" i="27"/>
  <c r="F84" i="27"/>
  <c r="J84" i="27" s="1"/>
  <c r="G140" i="27"/>
  <c r="F140" i="27"/>
  <c r="J140" i="27" s="1"/>
  <c r="G28" i="27"/>
  <c r="F28" i="27"/>
  <c r="J28" i="27" s="1"/>
  <c r="G104" i="27"/>
  <c r="F104" i="27"/>
  <c r="J104" i="27" s="1"/>
  <c r="G91" i="27"/>
  <c r="F91" i="27"/>
  <c r="J91" i="27" s="1"/>
  <c r="G89" i="27"/>
  <c r="F89" i="27"/>
  <c r="J89" i="27" s="1"/>
  <c r="G65" i="27"/>
  <c r="F65" i="27"/>
  <c r="J65" i="27" s="1"/>
  <c r="G126" i="27"/>
  <c r="F126" i="27"/>
  <c r="J126" i="27" s="1"/>
  <c r="G181" i="27"/>
  <c r="F181" i="27"/>
  <c r="J181" i="27" s="1"/>
  <c r="L4" i="27"/>
  <c r="M4" i="27" s="1"/>
  <c r="G31" i="27"/>
  <c r="F31" i="27"/>
  <c r="J31" i="27" s="1"/>
  <c r="G53" i="27"/>
  <c r="F53" i="27"/>
  <c r="J53" i="27" s="1"/>
  <c r="G62" i="27"/>
  <c r="F62" i="27"/>
  <c r="J62" i="27" s="1"/>
  <c r="G190" i="27"/>
  <c r="F190" i="27"/>
  <c r="J190" i="27" s="1"/>
  <c r="G161" i="27"/>
  <c r="F161" i="27"/>
  <c r="J161" i="27" s="1"/>
  <c r="G187" i="27"/>
  <c r="G166" i="27"/>
  <c r="G96" i="27"/>
  <c r="G63" i="27"/>
  <c r="F63" i="27"/>
  <c r="J63" i="27" s="1"/>
  <c r="G169" i="27"/>
  <c r="F169" i="27"/>
  <c r="J169" i="27" s="1"/>
  <c r="G156" i="27"/>
  <c r="F156" i="27"/>
  <c r="J156" i="27" s="1"/>
  <c r="G188" i="27"/>
  <c r="F188" i="27"/>
  <c r="J188" i="27" s="1"/>
  <c r="G42" i="27"/>
  <c r="F42" i="27"/>
  <c r="J42" i="27" s="1"/>
  <c r="G151" i="27"/>
  <c r="F151" i="27"/>
  <c r="J151" i="27" s="1"/>
  <c r="G202" i="27"/>
  <c r="F202" i="27"/>
  <c r="J202" i="27" s="1"/>
  <c r="G173" i="27"/>
  <c r="F173" i="27"/>
  <c r="J173" i="27" s="1"/>
  <c r="AG13" i="27"/>
  <c r="AG29" i="27"/>
  <c r="AG64" i="27"/>
  <c r="AG34" i="27"/>
  <c r="AG98" i="27"/>
  <c r="AG68" i="27"/>
  <c r="AG37" i="27"/>
  <c r="AG46" i="27"/>
  <c r="B7" i="53"/>
  <c r="K7" i="53" s="1"/>
  <c r="AG14" i="27"/>
  <c r="AG105" i="27"/>
  <c r="AG12" i="27"/>
  <c r="AG28" i="27"/>
  <c r="AG56" i="27"/>
  <c r="AG104" i="27"/>
  <c r="AG91" i="27"/>
  <c r="AG60" i="27"/>
  <c r="AG138" i="27"/>
  <c r="AG38" i="27"/>
  <c r="AG143" i="27"/>
  <c r="AG7" i="27"/>
  <c r="AG23" i="27"/>
  <c r="AG95" i="27"/>
  <c r="AG65" i="27"/>
  <c r="AG51" i="27"/>
  <c r="AG135" i="27"/>
  <c r="AG126" i="27"/>
  <c r="AG111" i="27"/>
  <c r="AG116" i="27"/>
  <c r="AG193" i="27"/>
  <c r="AG164" i="27"/>
  <c r="AG150" i="27"/>
  <c r="AG201" i="27"/>
  <c r="AG198" i="27"/>
  <c r="AG195" i="27"/>
  <c r="AG30" i="27"/>
  <c r="AG72" i="27"/>
  <c r="AG42" i="27"/>
  <c r="AG76" i="27"/>
  <c r="AG45" i="27"/>
  <c r="AG54" i="27"/>
  <c r="AG10" i="27"/>
  <c r="AG6" i="27"/>
  <c r="AG22" i="27"/>
  <c r="AG87" i="27"/>
  <c r="AG57" i="27"/>
  <c r="AG43" i="27"/>
  <c r="AG133" i="27"/>
  <c r="AG122" i="27"/>
  <c r="AG107" i="27"/>
  <c r="AG112" i="27"/>
  <c r="AG130" i="27"/>
  <c r="AG115" i="27"/>
  <c r="AG120" i="27"/>
  <c r="AG181" i="27"/>
  <c r="AG149" i="27"/>
  <c r="AG200" i="27"/>
  <c r="AG189" i="27"/>
  <c r="AG5" i="27"/>
  <c r="AG21" i="27"/>
  <c r="AG79" i="27"/>
  <c r="AG49" i="27"/>
  <c r="AG35" i="27"/>
  <c r="AG131" i="27"/>
  <c r="AG118" i="27"/>
  <c r="AG100" i="27"/>
  <c r="AG108" i="27"/>
  <c r="AG175" i="27"/>
  <c r="AG141" i="27"/>
  <c r="AG194" i="27"/>
  <c r="AG183" i="27"/>
  <c r="AG190" i="27"/>
  <c r="AG161" i="27"/>
  <c r="AG146" i="27"/>
  <c r="AG11" i="27"/>
  <c r="AG27" i="27"/>
  <c r="AG48" i="27"/>
  <c r="AG97" i="27"/>
  <c r="AG83" i="27"/>
  <c r="AG52" i="27"/>
  <c r="AG136" i="27"/>
  <c r="AG127" i="27"/>
  <c r="AG139" i="27"/>
  <c r="AG18" i="27"/>
  <c r="AG26" i="27"/>
  <c r="AG55" i="27"/>
  <c r="AG40" i="27"/>
  <c r="AG103" i="27"/>
  <c r="AG89" i="27"/>
  <c r="AG74" i="27"/>
  <c r="AG75" i="27"/>
  <c r="AG121" i="27"/>
  <c r="AG44" i="27"/>
  <c r="AG106" i="27"/>
  <c r="AG134" i="27"/>
  <c r="AG77" i="27"/>
  <c r="AG123" i="27"/>
  <c r="AG86" i="27"/>
  <c r="AG128" i="27"/>
  <c r="AG16" i="27"/>
  <c r="AG39" i="27"/>
  <c r="AG88" i="27"/>
  <c r="AG58" i="27"/>
  <c r="AG113" i="27"/>
  <c r="AG92" i="27"/>
  <c r="AG61" i="27"/>
  <c r="AG70" i="27"/>
  <c r="AG9" i="27"/>
  <c r="AG25" i="27"/>
  <c r="AG32" i="27"/>
  <c r="AG81" i="27"/>
  <c r="AG67" i="27"/>
  <c r="AG36" i="27"/>
  <c r="AG132" i="27"/>
  <c r="AG119" i="27"/>
  <c r="AG124" i="27"/>
  <c r="AG187" i="27"/>
  <c r="AG157" i="27"/>
  <c r="AG142" i="27"/>
  <c r="AG151" i="27"/>
  <c r="AG202" i="27"/>
  <c r="AG173" i="27"/>
  <c r="AG162" i="27"/>
  <c r="AG2" i="27"/>
  <c r="AG15" i="27"/>
  <c r="AG31" i="27"/>
  <c r="AG80" i="27"/>
  <c r="AG50" i="27"/>
  <c r="AG109" i="27"/>
  <c r="AG84" i="27"/>
  <c r="AG53" i="27"/>
  <c r="AG62" i="27"/>
  <c r="AG155" i="27"/>
  <c r="AG140" i="27"/>
  <c r="AG176" i="27"/>
  <c r="AG165" i="27"/>
  <c r="AG4" i="27"/>
  <c r="AG20" i="27"/>
  <c r="AG71" i="27"/>
  <c r="AG41" i="27"/>
  <c r="AG90" i="27"/>
  <c r="AG129" i="27"/>
  <c r="AG114" i="27"/>
  <c r="AG93" i="27"/>
  <c r="AG101" i="27"/>
  <c r="AG147" i="27"/>
  <c r="AG199" i="27"/>
  <c r="AG170" i="27"/>
  <c r="AG158" i="27"/>
  <c r="AG166" i="27"/>
  <c r="AG152" i="27"/>
  <c r="AG185" i="27"/>
  <c r="AG174" i="27"/>
  <c r="AG3" i="27"/>
  <c r="AG19" i="27"/>
  <c r="AG63" i="27"/>
  <c r="AG33" i="27"/>
  <c r="AG82" i="27"/>
  <c r="AG125" i="27"/>
  <c r="AG110" i="27"/>
  <c r="AG85" i="27"/>
  <c r="AG94" i="27"/>
  <c r="AG169" i="27"/>
  <c r="AG156" i="27"/>
  <c r="AG188" i="27"/>
  <c r="AG177" i="27"/>
  <c r="AG8" i="27"/>
  <c r="AG24" i="27"/>
  <c r="AG102" i="27"/>
  <c r="AG73" i="27"/>
  <c r="AG59" i="27"/>
  <c r="AG137" i="27"/>
  <c r="AG17" i="27"/>
  <c r="AG47" i="27"/>
  <c r="AG96" i="27"/>
  <c r="AG66" i="27"/>
  <c r="AG117" i="27"/>
  <c r="AG99" i="27"/>
  <c r="AG69" i="27"/>
  <c r="AG78" i="27"/>
  <c r="AG163" i="27"/>
  <c r="AG148" i="27"/>
  <c r="AG182" i="27"/>
  <c r="AG171" i="27"/>
  <c r="AG178" i="27"/>
  <c r="AG145" i="27"/>
  <c r="AG197" i="27"/>
  <c r="AG186" i="27"/>
  <c r="G35" i="27"/>
  <c r="G108" i="27"/>
  <c r="G11" i="27"/>
  <c r="G27" i="27"/>
  <c r="G164" i="27"/>
  <c r="G153" i="27"/>
  <c r="G21" i="27"/>
  <c r="G131" i="27"/>
  <c r="G175" i="27"/>
  <c r="G97" i="27"/>
  <c r="G193" i="27"/>
  <c r="G73" i="27"/>
  <c r="G120" i="27"/>
  <c r="G184" i="27"/>
  <c r="G79" i="27"/>
  <c r="G118" i="27"/>
  <c r="G141" i="27"/>
  <c r="G5" i="27"/>
  <c r="G25" i="27"/>
  <c r="G12" i="27"/>
  <c r="G10" i="27"/>
  <c r="G26" i="27"/>
  <c r="G75" i="27"/>
  <c r="G67" i="27"/>
  <c r="G196" i="27"/>
  <c r="G132" i="27"/>
  <c r="G138" i="27"/>
  <c r="G157" i="27"/>
  <c r="G176" i="27"/>
  <c r="G167" i="27"/>
  <c r="G155" i="27"/>
  <c r="G124" i="27"/>
  <c r="G143" i="27"/>
  <c r="G128" i="27"/>
  <c r="G38" i="27"/>
  <c r="G119" i="27"/>
  <c r="G70" i="27"/>
  <c r="G123" i="27"/>
  <c r="G46" i="27"/>
  <c r="G134" i="27"/>
  <c r="G60" i="27"/>
  <c r="G44" i="27"/>
  <c r="G36" i="27"/>
  <c r="G82" i="27"/>
  <c r="G81" i="27"/>
  <c r="G33" i="27"/>
  <c r="G32" i="27"/>
  <c r="G56" i="27"/>
  <c r="G40" i="27"/>
  <c r="L29" i="27"/>
  <c r="M29" i="27" s="1"/>
  <c r="L22" i="27"/>
  <c r="M22" i="27" s="1"/>
  <c r="L11" i="27"/>
  <c r="M11" i="27" s="1"/>
  <c r="G3" i="27"/>
  <c r="L123" i="27"/>
  <c r="M123" i="27" s="1"/>
  <c r="G88" i="27"/>
  <c r="G64" i="27"/>
  <c r="G55" i="27"/>
  <c r="G121" i="27"/>
  <c r="G86" i="27"/>
  <c r="G20" i="27"/>
  <c r="G71" i="27"/>
  <c r="G41" i="27"/>
  <c r="G90" i="27"/>
  <c r="G129" i="27"/>
  <c r="G114" i="27"/>
  <c r="G93" i="27"/>
  <c r="G101" i="27"/>
  <c r="G172" i="27"/>
  <c r="G160" i="27"/>
  <c r="G74" i="27"/>
  <c r="G103" i="27"/>
  <c r="G66" i="27"/>
  <c r="G148" i="27"/>
  <c r="G4" i="27"/>
  <c r="G78" i="27"/>
  <c r="G69" i="27"/>
  <c r="G163" i="27"/>
  <c r="G17" i="27"/>
  <c r="G182" i="27"/>
  <c r="G47" i="27"/>
  <c r="G117" i="27"/>
  <c r="G204" i="27"/>
  <c r="G195" i="27"/>
  <c r="G15" i="27"/>
  <c r="G80" i="27"/>
  <c r="G109" i="27"/>
  <c r="L130" i="27"/>
  <c r="M130" i="27" s="1"/>
  <c r="L80" i="27"/>
  <c r="L111" i="27"/>
  <c r="M111" i="27" s="1"/>
  <c r="K3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2" i="43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2" i="2"/>
  <c r="S3" i="51"/>
  <c r="S4" i="51"/>
  <c r="S5" i="51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36" i="51"/>
  <c r="S37" i="51"/>
  <c r="S38" i="51"/>
  <c r="S39" i="51"/>
  <c r="S40" i="51"/>
  <c r="S41" i="51"/>
  <c r="S42" i="51"/>
  <c r="S43" i="51"/>
  <c r="S44" i="51"/>
  <c r="S45" i="51"/>
  <c r="S46" i="51"/>
  <c r="S47" i="51"/>
  <c r="S48" i="51"/>
  <c r="S49" i="51"/>
  <c r="S50" i="51"/>
  <c r="S51" i="51"/>
  <c r="S52" i="51"/>
  <c r="S53" i="51"/>
  <c r="S54" i="51"/>
  <c r="S55" i="51"/>
  <c r="S56" i="51"/>
  <c r="S57" i="51"/>
  <c r="S58" i="51"/>
  <c r="S59" i="51"/>
  <c r="S60" i="51"/>
  <c r="S61" i="51"/>
  <c r="S62" i="51"/>
  <c r="S63" i="51"/>
  <c r="S64" i="51"/>
  <c r="S65" i="51"/>
  <c r="S66" i="51"/>
  <c r="S67" i="51"/>
  <c r="S68" i="51"/>
  <c r="S69" i="51"/>
  <c r="S70" i="51"/>
  <c r="S71" i="51"/>
  <c r="S72" i="51"/>
  <c r="S73" i="51"/>
  <c r="S74" i="51"/>
  <c r="S75" i="51"/>
  <c r="S76" i="51"/>
  <c r="S77" i="51"/>
  <c r="S78" i="51"/>
  <c r="S79" i="51"/>
  <c r="S80" i="51"/>
  <c r="S81" i="51"/>
  <c r="S82" i="51"/>
  <c r="S83" i="51"/>
  <c r="S84" i="51"/>
  <c r="S85" i="51"/>
  <c r="S86" i="51"/>
  <c r="S87" i="51"/>
  <c r="S88" i="51"/>
  <c r="S89" i="51"/>
  <c r="S90" i="51"/>
  <c r="S91" i="51"/>
  <c r="S92" i="51"/>
  <c r="S93" i="51"/>
  <c r="S94" i="51"/>
  <c r="S95" i="51"/>
  <c r="S96" i="51"/>
  <c r="S97" i="51"/>
  <c r="S98" i="51"/>
  <c r="S99" i="51"/>
  <c r="S100" i="51"/>
  <c r="S101" i="51"/>
  <c r="S102" i="51"/>
  <c r="S103" i="51"/>
  <c r="S104" i="51"/>
  <c r="S105" i="51"/>
  <c r="S106" i="51"/>
  <c r="S107" i="51"/>
  <c r="S108" i="51"/>
  <c r="S109" i="51"/>
  <c r="S110" i="51"/>
  <c r="S111" i="51"/>
  <c r="S112" i="51"/>
  <c r="S113" i="51"/>
  <c r="S114" i="51"/>
  <c r="S115" i="51"/>
  <c r="S116" i="51"/>
  <c r="S117" i="51"/>
  <c r="S118" i="51"/>
  <c r="S119" i="51"/>
  <c r="S120" i="51"/>
  <c r="S121" i="51"/>
  <c r="S122" i="51"/>
  <c r="S123" i="51"/>
  <c r="S124" i="51"/>
  <c r="S125" i="51"/>
  <c r="S126" i="51"/>
  <c r="S127" i="51"/>
  <c r="S128" i="51"/>
  <c r="S129" i="51"/>
  <c r="S130" i="51"/>
  <c r="S131" i="51"/>
  <c r="S132" i="51"/>
  <c r="S133" i="51"/>
  <c r="S134" i="51"/>
  <c r="S135" i="51"/>
  <c r="S136" i="51"/>
  <c r="S137" i="51"/>
  <c r="S138" i="51"/>
  <c r="S139" i="51"/>
  <c r="S2" i="51"/>
  <c r="L81" i="27" l="1"/>
  <c r="M81" i="27" s="1"/>
  <c r="M80" i="27"/>
  <c r="L17" i="27"/>
  <c r="M16" i="27"/>
  <c r="L182" i="27"/>
  <c r="M182" i="27" s="1"/>
  <c r="M179" i="27"/>
  <c r="M141" i="27"/>
  <c r="L142" i="27"/>
  <c r="M142" i="27" s="1"/>
  <c r="M64" i="27"/>
  <c r="L65" i="27"/>
  <c r="M57" i="27"/>
  <c r="L58" i="27"/>
  <c r="L42" i="27"/>
  <c r="M42" i="27" s="1"/>
  <c r="L149" i="27"/>
  <c r="M149" i="27" s="1"/>
  <c r="L82" i="27"/>
  <c r="M82" i="27" s="1"/>
  <c r="L75" i="27"/>
  <c r="M75" i="27" s="1"/>
  <c r="L115" i="27"/>
  <c r="M115" i="27" s="1"/>
  <c r="L43" i="27"/>
  <c r="M43" i="27" s="1"/>
  <c r="L105" i="27"/>
  <c r="M105" i="27" s="1"/>
  <c r="L112" i="27"/>
  <c r="M112" i="27" s="1"/>
  <c r="L153" i="27"/>
  <c r="M153" i="27" s="1"/>
  <c r="L49" i="27"/>
  <c r="M49" i="27" s="1"/>
  <c r="L124" i="27"/>
  <c r="M124" i="27" s="1"/>
  <c r="L156" i="27"/>
  <c r="M156" i="27" s="1"/>
  <c r="L99" i="27"/>
  <c r="M99" i="27" s="1"/>
  <c r="L5" i="27"/>
  <c r="M5" i="27" s="1"/>
  <c r="B8" i="53"/>
  <c r="K8" i="53" s="1"/>
  <c r="L30" i="27"/>
  <c r="M30" i="27" s="1"/>
  <c r="L23" i="27"/>
  <c r="M23" i="27" s="1"/>
  <c r="L12" i="27"/>
  <c r="M12" i="27" s="1"/>
  <c r="L154" i="27"/>
  <c r="M154" i="27" s="1"/>
  <c r="L6" i="27"/>
  <c r="M6" i="27" s="1"/>
  <c r="L88" i="27"/>
  <c r="M88" i="27" s="1"/>
  <c r="D152" i="43"/>
  <c r="Q152" i="43"/>
  <c r="D140" i="43"/>
  <c r="Q140" i="43"/>
  <c r="D128" i="43"/>
  <c r="Q128" i="43"/>
  <c r="D116" i="43"/>
  <c r="Q116" i="43"/>
  <c r="D104" i="43"/>
  <c r="Q104" i="43"/>
  <c r="D92" i="43"/>
  <c r="Q92" i="43"/>
  <c r="D80" i="43"/>
  <c r="Q80" i="43"/>
  <c r="D68" i="43"/>
  <c r="Q68" i="43"/>
  <c r="D52" i="43"/>
  <c r="Q52" i="43"/>
  <c r="D48" i="43"/>
  <c r="Q48" i="43"/>
  <c r="D32" i="43"/>
  <c r="Q32" i="43"/>
  <c r="D24" i="43"/>
  <c r="Q24" i="43"/>
  <c r="D12" i="43"/>
  <c r="Q12" i="43"/>
  <c r="D8" i="43"/>
  <c r="Q8" i="43"/>
  <c r="D155" i="43"/>
  <c r="Q155" i="43"/>
  <c r="D151" i="43"/>
  <c r="Q151" i="43"/>
  <c r="D147" i="43"/>
  <c r="Q147" i="43"/>
  <c r="D143" i="43"/>
  <c r="Q143" i="43"/>
  <c r="D139" i="43"/>
  <c r="Q139" i="43"/>
  <c r="D135" i="43"/>
  <c r="Q135" i="43"/>
  <c r="D131" i="43"/>
  <c r="Q131" i="43"/>
  <c r="D127" i="43"/>
  <c r="Q127" i="43"/>
  <c r="D123" i="43"/>
  <c r="Q123" i="43"/>
  <c r="D119" i="43"/>
  <c r="Q119" i="43"/>
  <c r="D115" i="43"/>
  <c r="Q115" i="43"/>
  <c r="D111" i="43"/>
  <c r="Q111" i="43"/>
  <c r="D107" i="43"/>
  <c r="Q107" i="43"/>
  <c r="D103" i="43"/>
  <c r="Q103" i="43"/>
  <c r="D99" i="43"/>
  <c r="Q99" i="43"/>
  <c r="D95" i="43"/>
  <c r="Q95" i="43"/>
  <c r="D91" i="43"/>
  <c r="Q91" i="43"/>
  <c r="D87" i="43"/>
  <c r="Q87" i="43"/>
  <c r="D83" i="43"/>
  <c r="Q83" i="43"/>
  <c r="D79" i="43"/>
  <c r="Q79" i="43"/>
  <c r="D75" i="43"/>
  <c r="Q75" i="43"/>
  <c r="D71" i="43"/>
  <c r="Q71" i="43"/>
  <c r="D67" i="43"/>
  <c r="Q67" i="43"/>
  <c r="D63" i="43"/>
  <c r="Q63" i="43"/>
  <c r="D59" i="43"/>
  <c r="Q59" i="43"/>
  <c r="D55" i="43"/>
  <c r="Q55" i="43"/>
  <c r="D51" i="43"/>
  <c r="Q51" i="43"/>
  <c r="D47" i="43"/>
  <c r="Q47" i="43"/>
  <c r="D43" i="43"/>
  <c r="Q43" i="43"/>
  <c r="D39" i="43"/>
  <c r="Q39" i="43"/>
  <c r="D35" i="43"/>
  <c r="Q35" i="43"/>
  <c r="D31" i="43"/>
  <c r="Q31" i="43"/>
  <c r="D27" i="43"/>
  <c r="Q27" i="43"/>
  <c r="D23" i="43"/>
  <c r="Q23" i="43"/>
  <c r="D19" i="43"/>
  <c r="Q19" i="43"/>
  <c r="D15" i="43"/>
  <c r="Q15" i="43"/>
  <c r="D11" i="43"/>
  <c r="Q11" i="43"/>
  <c r="D7" i="43"/>
  <c r="Q7" i="43"/>
  <c r="D3" i="43"/>
  <c r="Q3" i="43"/>
  <c r="D144" i="43"/>
  <c r="Q144" i="43"/>
  <c r="D132" i="43"/>
  <c r="Q132" i="43"/>
  <c r="D120" i="43"/>
  <c r="Q120" i="43"/>
  <c r="D108" i="43"/>
  <c r="Q108" i="43"/>
  <c r="D96" i="43"/>
  <c r="Q96" i="43"/>
  <c r="D84" i="43"/>
  <c r="Q84" i="43"/>
  <c r="D72" i="43"/>
  <c r="Q72" i="43"/>
  <c r="D60" i="43"/>
  <c r="Q60" i="43"/>
  <c r="D40" i="43"/>
  <c r="Q40" i="43"/>
  <c r="D20" i="43"/>
  <c r="Q20" i="43"/>
  <c r="D154" i="43"/>
  <c r="Q154" i="43"/>
  <c r="D150" i="43"/>
  <c r="Q150" i="43"/>
  <c r="D146" i="43"/>
  <c r="Q146" i="43"/>
  <c r="D142" i="43"/>
  <c r="Q142" i="43"/>
  <c r="D138" i="43"/>
  <c r="Q138" i="43"/>
  <c r="D134" i="43"/>
  <c r="Q134" i="43"/>
  <c r="D130" i="43"/>
  <c r="Q130" i="43"/>
  <c r="D126" i="43"/>
  <c r="Q126" i="43"/>
  <c r="D122" i="43"/>
  <c r="Q122" i="43"/>
  <c r="D118" i="43"/>
  <c r="Q118" i="43"/>
  <c r="D114" i="43"/>
  <c r="Q114" i="43"/>
  <c r="D110" i="43"/>
  <c r="Q110" i="43"/>
  <c r="D106" i="43"/>
  <c r="Q106" i="43"/>
  <c r="D102" i="43"/>
  <c r="Q102" i="43"/>
  <c r="D98" i="43"/>
  <c r="Q98" i="43"/>
  <c r="D94" i="43"/>
  <c r="Q94" i="43"/>
  <c r="D90" i="43"/>
  <c r="Q90" i="43"/>
  <c r="D86" i="43"/>
  <c r="Q86" i="43"/>
  <c r="D82" i="43"/>
  <c r="Q82" i="43"/>
  <c r="D78" i="43"/>
  <c r="Q78" i="43"/>
  <c r="D74" i="43"/>
  <c r="Q74" i="43"/>
  <c r="D70" i="43"/>
  <c r="Q70" i="43"/>
  <c r="D66" i="43"/>
  <c r="Q66" i="43"/>
  <c r="D62" i="43"/>
  <c r="Q62" i="43"/>
  <c r="D58" i="43"/>
  <c r="Q58" i="43"/>
  <c r="D54" i="43"/>
  <c r="Q54" i="43"/>
  <c r="D50" i="43"/>
  <c r="Q50" i="43"/>
  <c r="D46" i="43"/>
  <c r="Q46" i="43"/>
  <c r="D42" i="43"/>
  <c r="Q42" i="43"/>
  <c r="D38" i="43"/>
  <c r="Q38" i="43"/>
  <c r="D34" i="43"/>
  <c r="Q34" i="43"/>
  <c r="D30" i="43"/>
  <c r="Q30" i="43"/>
  <c r="D26" i="43"/>
  <c r="Q26" i="43"/>
  <c r="D22" i="43"/>
  <c r="Q22" i="43"/>
  <c r="D18" i="43"/>
  <c r="Q18" i="43"/>
  <c r="D14" i="43"/>
  <c r="Q14" i="43"/>
  <c r="D10" i="43"/>
  <c r="Q10" i="43"/>
  <c r="D6" i="43"/>
  <c r="Q6" i="43"/>
  <c r="D148" i="43"/>
  <c r="Q148" i="43"/>
  <c r="D136" i="43"/>
  <c r="Q136" i="43"/>
  <c r="D124" i="43"/>
  <c r="Q124" i="43"/>
  <c r="D112" i="43"/>
  <c r="Q112" i="43"/>
  <c r="D100" i="43"/>
  <c r="Q100" i="43"/>
  <c r="D88" i="43"/>
  <c r="Q88" i="43"/>
  <c r="D76" i="43"/>
  <c r="Q76" i="43"/>
  <c r="D64" i="43"/>
  <c r="Q64" i="43"/>
  <c r="D56" i="43"/>
  <c r="Q56" i="43"/>
  <c r="D44" i="43"/>
  <c r="Q44" i="43"/>
  <c r="D36" i="43"/>
  <c r="Q36" i="43"/>
  <c r="D28" i="43"/>
  <c r="Q28" i="43"/>
  <c r="D16" i="43"/>
  <c r="Q16" i="43"/>
  <c r="D4" i="43"/>
  <c r="Q4" i="43"/>
  <c r="D153" i="43"/>
  <c r="Q153" i="43"/>
  <c r="D149" i="43"/>
  <c r="Q149" i="43"/>
  <c r="D145" i="43"/>
  <c r="Q145" i="43"/>
  <c r="D141" i="43"/>
  <c r="Q141" i="43"/>
  <c r="D137" i="43"/>
  <c r="Q137" i="43"/>
  <c r="D133" i="43"/>
  <c r="Q133" i="43"/>
  <c r="D129" i="43"/>
  <c r="Q129" i="43"/>
  <c r="D125" i="43"/>
  <c r="Q125" i="43"/>
  <c r="D121" i="43"/>
  <c r="Q121" i="43"/>
  <c r="D117" i="43"/>
  <c r="Q117" i="43"/>
  <c r="D113" i="43"/>
  <c r="Q113" i="43"/>
  <c r="D109" i="43"/>
  <c r="Q109" i="43"/>
  <c r="D105" i="43"/>
  <c r="Q105" i="43"/>
  <c r="D101" i="43"/>
  <c r="Q101" i="43"/>
  <c r="D97" i="43"/>
  <c r="Q97" i="43"/>
  <c r="D93" i="43"/>
  <c r="Q93" i="43"/>
  <c r="D89" i="43"/>
  <c r="Q89" i="43"/>
  <c r="D85" i="43"/>
  <c r="Q85" i="43"/>
  <c r="D81" i="43"/>
  <c r="Q81" i="43"/>
  <c r="D77" i="43"/>
  <c r="Q77" i="43"/>
  <c r="D73" i="43"/>
  <c r="Q73" i="43"/>
  <c r="D69" i="43"/>
  <c r="Q69" i="43"/>
  <c r="D65" i="43"/>
  <c r="Q65" i="43"/>
  <c r="D61" i="43"/>
  <c r="Q61" i="43"/>
  <c r="D57" i="43"/>
  <c r="Q57" i="43"/>
  <c r="D53" i="43"/>
  <c r="Q53" i="43"/>
  <c r="D49" i="43"/>
  <c r="Q49" i="43"/>
  <c r="D45" i="43"/>
  <c r="Q45" i="43"/>
  <c r="D41" i="43"/>
  <c r="Q41" i="43"/>
  <c r="D37" i="43"/>
  <c r="Q37" i="43"/>
  <c r="D33" i="43"/>
  <c r="Q33" i="43"/>
  <c r="D29" i="43"/>
  <c r="Q29" i="43"/>
  <c r="D25" i="43"/>
  <c r="Q25" i="43"/>
  <c r="D21" i="43"/>
  <c r="Q21" i="43"/>
  <c r="D17" i="43"/>
  <c r="Q17" i="43"/>
  <c r="D13" i="43"/>
  <c r="Q13" i="43"/>
  <c r="D9" i="43"/>
  <c r="Q9" i="43"/>
  <c r="D5" i="43"/>
  <c r="Q5" i="43"/>
  <c r="D2" i="43"/>
  <c r="Q2" i="43"/>
  <c r="L151" i="43"/>
  <c r="M151" i="43"/>
  <c r="L131" i="43"/>
  <c r="M131" i="43"/>
  <c r="L126" i="43"/>
  <c r="M126" i="43"/>
  <c r="L109" i="43"/>
  <c r="M109" i="43"/>
  <c r="L105" i="43"/>
  <c r="M105" i="43"/>
  <c r="L99" i="43"/>
  <c r="M99" i="43"/>
  <c r="L96" i="43"/>
  <c r="M96" i="43"/>
  <c r="L92" i="43"/>
  <c r="M92" i="43"/>
  <c r="L87" i="43"/>
  <c r="M87" i="43"/>
  <c r="L61" i="43"/>
  <c r="M61" i="43"/>
  <c r="L50" i="43"/>
  <c r="M50" i="43"/>
  <c r="M46" i="43"/>
  <c r="L46" i="43"/>
  <c r="M42" i="43"/>
  <c r="L42" i="43"/>
  <c r="M40" i="43"/>
  <c r="L40" i="43"/>
  <c r="M34" i="43"/>
  <c r="L34" i="43"/>
  <c r="M30" i="43"/>
  <c r="L30" i="43"/>
  <c r="M26" i="43"/>
  <c r="L26" i="43"/>
  <c r="M22" i="43"/>
  <c r="L22" i="43"/>
  <c r="M18" i="43"/>
  <c r="L18" i="43"/>
  <c r="M14" i="43"/>
  <c r="L14" i="43"/>
  <c r="M10" i="43"/>
  <c r="L10" i="43"/>
  <c r="M6" i="43"/>
  <c r="L6" i="43"/>
  <c r="L78" i="43"/>
  <c r="M78" i="43"/>
  <c r="L67" i="43"/>
  <c r="M67" i="43"/>
  <c r="M56" i="43"/>
  <c r="L56" i="43"/>
  <c r="L52" i="43"/>
  <c r="M52" i="43"/>
  <c r="L2" i="43"/>
  <c r="M2" i="43"/>
  <c r="L155" i="43"/>
  <c r="M155" i="43"/>
  <c r="L153" i="43"/>
  <c r="M153" i="43"/>
  <c r="L149" i="43"/>
  <c r="M149" i="43"/>
  <c r="L147" i="43"/>
  <c r="M147" i="43"/>
  <c r="L144" i="43"/>
  <c r="M144" i="43"/>
  <c r="L139" i="43"/>
  <c r="M139" i="43"/>
  <c r="L135" i="43"/>
  <c r="M135" i="43"/>
  <c r="L133" i="43"/>
  <c r="M133" i="43"/>
  <c r="L128" i="43"/>
  <c r="M128" i="43"/>
  <c r="L125" i="43"/>
  <c r="M125" i="43"/>
  <c r="L120" i="43"/>
  <c r="M120" i="43"/>
  <c r="L118" i="43"/>
  <c r="M118" i="43"/>
  <c r="L114" i="43"/>
  <c r="M114" i="43"/>
  <c r="L112" i="43"/>
  <c r="M112" i="43"/>
  <c r="L108" i="43"/>
  <c r="M108" i="43"/>
  <c r="L107" i="43"/>
  <c r="M107" i="43"/>
  <c r="L104" i="43"/>
  <c r="M104" i="43"/>
  <c r="L101" i="43"/>
  <c r="M101" i="43"/>
  <c r="L98" i="43"/>
  <c r="M98" i="43"/>
  <c r="L93" i="43"/>
  <c r="M93" i="43"/>
  <c r="L89" i="43"/>
  <c r="M89" i="43"/>
  <c r="L82" i="43"/>
  <c r="M82" i="43"/>
  <c r="L73" i="43"/>
  <c r="M73" i="43"/>
  <c r="L71" i="43"/>
  <c r="M71" i="43"/>
  <c r="L70" i="43"/>
  <c r="M70" i="43"/>
  <c r="L68" i="43"/>
  <c r="M68" i="43"/>
  <c r="L54" i="43"/>
  <c r="M54" i="43"/>
  <c r="L45" i="43"/>
  <c r="M45" i="43"/>
  <c r="L43" i="43"/>
  <c r="M43" i="43"/>
  <c r="L39" i="43"/>
  <c r="M39" i="43"/>
  <c r="L37" i="43"/>
  <c r="M37" i="43"/>
  <c r="L36" i="43"/>
  <c r="M36" i="43"/>
  <c r="L33" i="43"/>
  <c r="M33" i="43"/>
  <c r="L29" i="43"/>
  <c r="M29" i="43"/>
  <c r="L25" i="43"/>
  <c r="M25" i="43"/>
  <c r="L21" i="43"/>
  <c r="M21" i="43"/>
  <c r="L17" i="43"/>
  <c r="M17" i="43"/>
  <c r="L13" i="43"/>
  <c r="M13" i="43"/>
  <c r="L9" i="43"/>
  <c r="M9" i="43"/>
  <c r="L5" i="43"/>
  <c r="M5" i="43"/>
  <c r="L152" i="43"/>
  <c r="M152" i="43"/>
  <c r="L150" i="43"/>
  <c r="M150" i="43"/>
  <c r="L148" i="43"/>
  <c r="M148" i="43"/>
  <c r="L146" i="43"/>
  <c r="M146" i="43"/>
  <c r="M143" i="43"/>
  <c r="L143" i="43"/>
  <c r="L140" i="43"/>
  <c r="M140" i="43"/>
  <c r="L138" i="43"/>
  <c r="M138" i="43"/>
  <c r="L132" i="43"/>
  <c r="M132" i="43"/>
  <c r="L127" i="43"/>
  <c r="M127" i="43"/>
  <c r="M124" i="43"/>
  <c r="L124" i="43"/>
  <c r="L122" i="43"/>
  <c r="M122" i="43"/>
  <c r="L117" i="43"/>
  <c r="M117" i="43"/>
  <c r="L113" i="43"/>
  <c r="M113" i="43"/>
  <c r="L111" i="43"/>
  <c r="M111" i="43"/>
  <c r="L110" i="43"/>
  <c r="M110" i="43"/>
  <c r="L106" i="43"/>
  <c r="M106" i="43"/>
  <c r="L103" i="43"/>
  <c r="M103" i="43"/>
  <c r="L100" i="43"/>
  <c r="M100" i="43"/>
  <c r="L97" i="43"/>
  <c r="M97" i="43"/>
  <c r="M91" i="43"/>
  <c r="L91" i="43"/>
  <c r="L88" i="43"/>
  <c r="M88" i="43"/>
  <c r="L86" i="43"/>
  <c r="M86" i="43"/>
  <c r="L83" i="43"/>
  <c r="M83" i="43"/>
  <c r="L81" i="43"/>
  <c r="M81" i="43"/>
  <c r="L79" i="43"/>
  <c r="M79" i="43"/>
  <c r="L77" i="43"/>
  <c r="M77" i="43"/>
  <c r="M75" i="43"/>
  <c r="L75" i="43"/>
  <c r="L72" i="43"/>
  <c r="M72" i="43"/>
  <c r="L69" i="43"/>
  <c r="M69" i="43"/>
  <c r="L66" i="43"/>
  <c r="M66" i="43"/>
  <c r="L64" i="43"/>
  <c r="M64" i="43"/>
  <c r="L60" i="43"/>
  <c r="M60" i="43"/>
  <c r="L58" i="43"/>
  <c r="M58" i="43"/>
  <c r="L51" i="43"/>
  <c r="M51" i="43"/>
  <c r="L49" i="43"/>
  <c r="M49" i="43"/>
  <c r="L44" i="43"/>
  <c r="M44" i="43"/>
  <c r="L41" i="43"/>
  <c r="M41" i="43"/>
  <c r="L32" i="43"/>
  <c r="M32" i="43"/>
  <c r="L28" i="43"/>
  <c r="M28" i="43"/>
  <c r="M24" i="43"/>
  <c r="L24" i="43"/>
  <c r="L20" i="43"/>
  <c r="M20" i="43"/>
  <c r="L16" i="43"/>
  <c r="M16" i="43"/>
  <c r="L12" i="43"/>
  <c r="M12" i="43"/>
  <c r="L8" i="43"/>
  <c r="M8" i="43"/>
  <c r="L4" i="43"/>
  <c r="M4" i="43"/>
  <c r="L145" i="43"/>
  <c r="M145" i="43"/>
  <c r="L141" i="43"/>
  <c r="M141" i="43"/>
  <c r="M136" i="43"/>
  <c r="L136" i="43"/>
  <c r="L129" i="43"/>
  <c r="M129" i="43"/>
  <c r="M121" i="43"/>
  <c r="L121" i="43"/>
  <c r="L115" i="43"/>
  <c r="M115" i="43"/>
  <c r="M102" i="43"/>
  <c r="L102" i="43"/>
  <c r="L94" i="43"/>
  <c r="M94" i="43"/>
  <c r="L90" i="43"/>
  <c r="M90" i="43"/>
  <c r="M84" i="43"/>
  <c r="L84" i="43"/>
  <c r="L76" i="43"/>
  <c r="M76" i="43"/>
  <c r="L154" i="43"/>
  <c r="M154" i="43"/>
  <c r="M142" i="43"/>
  <c r="L142" i="43"/>
  <c r="M137" i="43"/>
  <c r="L137" i="43"/>
  <c r="M134" i="43"/>
  <c r="L134" i="43"/>
  <c r="M130" i="43"/>
  <c r="L130" i="43"/>
  <c r="M123" i="43"/>
  <c r="L123" i="43"/>
  <c r="L119" i="43"/>
  <c r="M119" i="43"/>
  <c r="M116" i="43"/>
  <c r="L116" i="43"/>
  <c r="M95" i="43"/>
  <c r="L95" i="43"/>
  <c r="M85" i="43"/>
  <c r="L85" i="43"/>
  <c r="M80" i="43"/>
  <c r="L80" i="43"/>
  <c r="M74" i="43"/>
  <c r="L74" i="43"/>
  <c r="M65" i="43"/>
  <c r="L65" i="43"/>
  <c r="L63" i="43"/>
  <c r="M63" i="43"/>
  <c r="M62" i="43"/>
  <c r="L62" i="43"/>
  <c r="M59" i="43"/>
  <c r="L59" i="43"/>
  <c r="M57" i="43"/>
  <c r="L57" i="43"/>
  <c r="L55" i="43"/>
  <c r="M55" i="43"/>
  <c r="M53" i="43"/>
  <c r="L53" i="43"/>
  <c r="M48" i="43"/>
  <c r="L48" i="43"/>
  <c r="L47" i="43"/>
  <c r="M47" i="43"/>
  <c r="L38" i="43"/>
  <c r="M38" i="43"/>
  <c r="L35" i="43"/>
  <c r="M35" i="43"/>
  <c r="M31" i="43"/>
  <c r="L31" i="43"/>
  <c r="L27" i="43"/>
  <c r="M27" i="43"/>
  <c r="L23" i="43"/>
  <c r="M23" i="43"/>
  <c r="L19" i="43"/>
  <c r="M19" i="43"/>
  <c r="L15" i="43"/>
  <c r="M15" i="43"/>
  <c r="L11" i="43"/>
  <c r="M11" i="43"/>
  <c r="L7" i="43"/>
  <c r="M7" i="43"/>
  <c r="M3" i="43"/>
  <c r="L3" i="43"/>
  <c r="R21" i="51"/>
  <c r="R22" i="51"/>
  <c r="R23" i="51"/>
  <c r="R24" i="51"/>
  <c r="R25" i="51"/>
  <c r="R26" i="51"/>
  <c r="R27" i="51"/>
  <c r="R28" i="51"/>
  <c r="R29" i="51"/>
  <c r="R30" i="51"/>
  <c r="R31" i="51"/>
  <c r="R32" i="51"/>
  <c r="R33" i="51"/>
  <c r="R34" i="51"/>
  <c r="R35" i="51"/>
  <c r="R36" i="51"/>
  <c r="R37" i="51"/>
  <c r="R38" i="51"/>
  <c r="R39" i="51"/>
  <c r="R40" i="51"/>
  <c r="R41" i="51"/>
  <c r="R42" i="51"/>
  <c r="R43" i="51"/>
  <c r="R44" i="51"/>
  <c r="R45" i="51"/>
  <c r="R46" i="51"/>
  <c r="R47" i="51"/>
  <c r="R48" i="51"/>
  <c r="R49" i="51"/>
  <c r="R50" i="51"/>
  <c r="R51" i="51"/>
  <c r="R52" i="51"/>
  <c r="R53" i="51"/>
  <c r="R54" i="51"/>
  <c r="R55" i="51"/>
  <c r="R56" i="51"/>
  <c r="R57" i="51"/>
  <c r="R58" i="51"/>
  <c r="R59" i="51"/>
  <c r="R60" i="51"/>
  <c r="R61" i="51"/>
  <c r="R62" i="51"/>
  <c r="R63" i="51"/>
  <c r="R64" i="51"/>
  <c r="R65" i="51"/>
  <c r="R66" i="51"/>
  <c r="R67" i="51"/>
  <c r="R68" i="51"/>
  <c r="R69" i="51"/>
  <c r="R70" i="51"/>
  <c r="R71" i="51"/>
  <c r="R72" i="51"/>
  <c r="R73" i="51"/>
  <c r="R74" i="51"/>
  <c r="R75" i="51"/>
  <c r="R76" i="51"/>
  <c r="R77" i="51"/>
  <c r="R78" i="51"/>
  <c r="R79" i="51"/>
  <c r="R80" i="51"/>
  <c r="R81" i="51"/>
  <c r="R82" i="51"/>
  <c r="R83" i="51"/>
  <c r="R84" i="51"/>
  <c r="R85" i="51"/>
  <c r="R86" i="51"/>
  <c r="R87" i="51"/>
  <c r="R88" i="51"/>
  <c r="R89" i="51"/>
  <c r="R90" i="51"/>
  <c r="R91" i="51"/>
  <c r="R92" i="51"/>
  <c r="R93" i="51"/>
  <c r="R94" i="51"/>
  <c r="R95" i="51"/>
  <c r="R96" i="51"/>
  <c r="R97" i="51"/>
  <c r="R98" i="51"/>
  <c r="R99" i="51"/>
  <c r="R100" i="51"/>
  <c r="R101" i="51"/>
  <c r="R102" i="51"/>
  <c r="R103" i="51"/>
  <c r="R104" i="51"/>
  <c r="R105" i="51"/>
  <c r="R106" i="51"/>
  <c r="R107" i="51"/>
  <c r="R108" i="51"/>
  <c r="R109" i="51"/>
  <c r="R110" i="51"/>
  <c r="R111" i="51"/>
  <c r="R112" i="51"/>
  <c r="R113" i="51"/>
  <c r="R114" i="51"/>
  <c r="R115" i="51"/>
  <c r="R116" i="51"/>
  <c r="R117" i="51"/>
  <c r="R118" i="51"/>
  <c r="R119" i="51"/>
  <c r="R120" i="51"/>
  <c r="R121" i="51"/>
  <c r="R122" i="51"/>
  <c r="R123" i="51"/>
  <c r="R124" i="51"/>
  <c r="R125" i="51"/>
  <c r="R126" i="51"/>
  <c r="R127" i="51"/>
  <c r="R128" i="51"/>
  <c r="R129" i="51"/>
  <c r="R130" i="51"/>
  <c r="R131" i="51"/>
  <c r="R132" i="51"/>
  <c r="R133" i="51"/>
  <c r="R134" i="51"/>
  <c r="R135" i="51"/>
  <c r="R136" i="51"/>
  <c r="R137" i="51"/>
  <c r="R138" i="51"/>
  <c r="R139" i="51"/>
  <c r="Q21" i="51"/>
  <c r="Q22" i="51"/>
  <c r="Q23" i="51"/>
  <c r="Q24" i="51"/>
  <c r="Q25" i="51"/>
  <c r="Q26" i="51"/>
  <c r="Q27" i="51"/>
  <c r="Q28" i="51"/>
  <c r="Q29" i="51"/>
  <c r="Q30" i="51"/>
  <c r="Q31" i="51"/>
  <c r="Q32" i="51"/>
  <c r="Q33" i="51"/>
  <c r="Q34" i="51"/>
  <c r="Q35" i="51"/>
  <c r="Q36" i="51"/>
  <c r="Q37" i="51"/>
  <c r="Q38" i="51"/>
  <c r="Q39" i="51"/>
  <c r="Q40" i="51"/>
  <c r="Q41" i="51"/>
  <c r="Q42" i="51"/>
  <c r="Q43" i="51"/>
  <c r="Q44" i="51"/>
  <c r="Q45" i="51"/>
  <c r="Q46" i="51"/>
  <c r="Q47" i="51"/>
  <c r="Q48" i="51"/>
  <c r="Q49" i="51"/>
  <c r="Q50" i="51"/>
  <c r="Q51" i="51"/>
  <c r="Q52" i="51"/>
  <c r="Q53" i="51"/>
  <c r="Q54" i="51"/>
  <c r="Q55" i="51"/>
  <c r="Q56" i="51"/>
  <c r="Q57" i="51"/>
  <c r="Q58" i="51"/>
  <c r="Q59" i="51"/>
  <c r="Q60" i="51"/>
  <c r="Q61" i="51"/>
  <c r="Q62" i="51"/>
  <c r="Q63" i="51"/>
  <c r="Q64" i="51"/>
  <c r="Q65" i="51"/>
  <c r="Q66" i="51"/>
  <c r="Q67" i="51"/>
  <c r="Q68" i="51"/>
  <c r="Q69" i="51"/>
  <c r="Q70" i="51"/>
  <c r="Q71" i="51"/>
  <c r="Q72" i="51"/>
  <c r="Q73" i="51"/>
  <c r="Q74" i="51"/>
  <c r="Q75" i="51"/>
  <c r="Q76" i="51"/>
  <c r="Q77" i="51"/>
  <c r="Q78" i="51"/>
  <c r="Q79" i="51"/>
  <c r="Q80" i="51"/>
  <c r="Q81" i="51"/>
  <c r="Q82" i="51"/>
  <c r="Q83" i="51"/>
  <c r="Q84" i="51"/>
  <c r="Q85" i="51"/>
  <c r="Q86" i="51"/>
  <c r="Q87" i="51"/>
  <c r="Q88" i="51"/>
  <c r="Q89" i="51"/>
  <c r="Q90" i="51"/>
  <c r="Q91" i="51"/>
  <c r="Q92" i="51"/>
  <c r="Q93" i="51"/>
  <c r="Q94" i="51"/>
  <c r="Q95" i="51"/>
  <c r="Q96" i="51"/>
  <c r="Q97" i="51"/>
  <c r="Q98" i="51"/>
  <c r="Q99" i="51"/>
  <c r="Q100" i="51"/>
  <c r="Q101" i="51"/>
  <c r="Q102" i="51"/>
  <c r="Q103" i="51"/>
  <c r="Q104" i="51"/>
  <c r="Q105" i="51"/>
  <c r="Q106" i="51"/>
  <c r="Q107" i="51"/>
  <c r="Q108" i="51"/>
  <c r="Q109" i="51"/>
  <c r="Q110" i="51"/>
  <c r="Q111" i="51"/>
  <c r="Q112" i="51"/>
  <c r="Q113" i="51"/>
  <c r="Q114" i="51"/>
  <c r="Q115" i="51"/>
  <c r="Q116" i="51"/>
  <c r="Q117" i="51"/>
  <c r="Q118" i="51"/>
  <c r="Q119" i="51"/>
  <c r="Q120" i="51"/>
  <c r="Q121" i="51"/>
  <c r="Q122" i="51"/>
  <c r="Q123" i="51"/>
  <c r="Q124" i="51"/>
  <c r="Q125" i="51"/>
  <c r="Q126" i="51"/>
  <c r="Q127" i="51"/>
  <c r="Q128" i="51"/>
  <c r="Q129" i="51"/>
  <c r="Q130" i="51"/>
  <c r="Q131" i="51"/>
  <c r="Q132" i="51"/>
  <c r="Q133" i="51"/>
  <c r="Q134" i="51"/>
  <c r="Q135" i="51"/>
  <c r="Q136" i="51"/>
  <c r="Q137" i="51"/>
  <c r="Q138" i="51"/>
  <c r="Q139" i="51"/>
  <c r="P21" i="51"/>
  <c r="P22" i="51"/>
  <c r="P23" i="51"/>
  <c r="P24" i="51"/>
  <c r="P25" i="51"/>
  <c r="P26" i="51"/>
  <c r="P27" i="51"/>
  <c r="P28" i="51"/>
  <c r="P29" i="51"/>
  <c r="P30" i="51"/>
  <c r="P31" i="51"/>
  <c r="P32" i="51"/>
  <c r="P33" i="51"/>
  <c r="P34" i="51"/>
  <c r="P35" i="51"/>
  <c r="P36" i="51"/>
  <c r="P37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57" i="51"/>
  <c r="P58" i="51"/>
  <c r="P59" i="51"/>
  <c r="P60" i="51"/>
  <c r="P61" i="51"/>
  <c r="P62" i="51"/>
  <c r="P63" i="51"/>
  <c r="P64" i="51"/>
  <c r="P65" i="51"/>
  <c r="P66" i="51"/>
  <c r="P67" i="51"/>
  <c r="P68" i="51"/>
  <c r="P69" i="51"/>
  <c r="P70" i="51"/>
  <c r="P71" i="51"/>
  <c r="P72" i="51"/>
  <c r="P73" i="51"/>
  <c r="P74" i="51"/>
  <c r="P75" i="51"/>
  <c r="P76" i="51"/>
  <c r="P77" i="51"/>
  <c r="P78" i="51"/>
  <c r="P79" i="51"/>
  <c r="P80" i="51"/>
  <c r="P81" i="51"/>
  <c r="P82" i="51"/>
  <c r="P83" i="51"/>
  <c r="P84" i="51"/>
  <c r="P85" i="51"/>
  <c r="P86" i="51"/>
  <c r="P87" i="51"/>
  <c r="P88" i="51"/>
  <c r="P89" i="51"/>
  <c r="P90" i="51"/>
  <c r="P91" i="51"/>
  <c r="P92" i="51"/>
  <c r="P93" i="51"/>
  <c r="P94" i="51"/>
  <c r="P95" i="51"/>
  <c r="P96" i="51"/>
  <c r="P97" i="51"/>
  <c r="P98" i="51"/>
  <c r="P99" i="51"/>
  <c r="P100" i="51"/>
  <c r="P101" i="51"/>
  <c r="P102" i="51"/>
  <c r="P103" i="51"/>
  <c r="P104" i="51"/>
  <c r="P105" i="51"/>
  <c r="P106" i="51"/>
  <c r="P107" i="51"/>
  <c r="P108" i="51"/>
  <c r="P109" i="51"/>
  <c r="P110" i="51"/>
  <c r="P111" i="51"/>
  <c r="P112" i="51"/>
  <c r="P113" i="51"/>
  <c r="P114" i="51"/>
  <c r="P115" i="51"/>
  <c r="P116" i="51"/>
  <c r="P117" i="51"/>
  <c r="P118" i="51"/>
  <c r="P119" i="51"/>
  <c r="P120" i="51"/>
  <c r="P121" i="51"/>
  <c r="P122" i="51"/>
  <c r="P123" i="51"/>
  <c r="P124" i="51"/>
  <c r="P125" i="51"/>
  <c r="P126" i="51"/>
  <c r="P127" i="51"/>
  <c r="P128" i="51"/>
  <c r="P129" i="51"/>
  <c r="P130" i="51"/>
  <c r="P131" i="51"/>
  <c r="P132" i="51"/>
  <c r="P133" i="51"/>
  <c r="P134" i="51"/>
  <c r="P135" i="51"/>
  <c r="P136" i="51"/>
  <c r="P137" i="51"/>
  <c r="P138" i="51"/>
  <c r="P139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105" i="51"/>
  <c r="N106" i="51"/>
  <c r="N107" i="51"/>
  <c r="N108" i="51"/>
  <c r="N109" i="51"/>
  <c r="N110" i="51"/>
  <c r="N111" i="51"/>
  <c r="N112" i="51"/>
  <c r="N113" i="51"/>
  <c r="N114" i="51"/>
  <c r="N115" i="51"/>
  <c r="N116" i="51"/>
  <c r="N117" i="51"/>
  <c r="N118" i="51"/>
  <c r="N119" i="51"/>
  <c r="N120" i="51"/>
  <c r="N121" i="51"/>
  <c r="N122" i="51"/>
  <c r="N123" i="51"/>
  <c r="N124" i="51"/>
  <c r="N125" i="51"/>
  <c r="N126" i="51"/>
  <c r="N127" i="51"/>
  <c r="N128" i="51"/>
  <c r="N129" i="51"/>
  <c r="N130" i="51"/>
  <c r="N131" i="51"/>
  <c r="N132" i="51"/>
  <c r="N133" i="51"/>
  <c r="N134" i="51"/>
  <c r="N135" i="51"/>
  <c r="N136" i="51"/>
  <c r="N137" i="51"/>
  <c r="N138" i="51"/>
  <c r="N139" i="51"/>
  <c r="K21" i="51"/>
  <c r="L21" i="51" s="1"/>
  <c r="K22" i="51"/>
  <c r="L22" i="51" s="1"/>
  <c r="K23" i="51"/>
  <c r="L23" i="51" s="1"/>
  <c r="K24" i="51"/>
  <c r="L24" i="51" s="1"/>
  <c r="K25" i="51"/>
  <c r="L25" i="51" s="1"/>
  <c r="K26" i="51"/>
  <c r="L26" i="51" s="1"/>
  <c r="K27" i="51"/>
  <c r="L27" i="51" s="1"/>
  <c r="K28" i="51"/>
  <c r="L28" i="51" s="1"/>
  <c r="K29" i="51"/>
  <c r="L29" i="51" s="1"/>
  <c r="K30" i="51"/>
  <c r="L30" i="51" s="1"/>
  <c r="K31" i="51"/>
  <c r="L31" i="51" s="1"/>
  <c r="K32" i="51"/>
  <c r="L32" i="51" s="1"/>
  <c r="K33" i="51"/>
  <c r="L33" i="51" s="1"/>
  <c r="K34" i="51"/>
  <c r="L34" i="51" s="1"/>
  <c r="K35" i="51"/>
  <c r="L35" i="51" s="1"/>
  <c r="K36" i="51"/>
  <c r="L36" i="51" s="1"/>
  <c r="K37" i="51"/>
  <c r="L37" i="51" s="1"/>
  <c r="K38" i="51"/>
  <c r="L38" i="51" s="1"/>
  <c r="K39" i="51"/>
  <c r="L39" i="51" s="1"/>
  <c r="K40" i="51"/>
  <c r="L40" i="51" s="1"/>
  <c r="K41" i="51"/>
  <c r="L41" i="51" s="1"/>
  <c r="K42" i="51"/>
  <c r="L42" i="51" s="1"/>
  <c r="K43" i="51"/>
  <c r="L43" i="51" s="1"/>
  <c r="K44" i="51"/>
  <c r="L44" i="51" s="1"/>
  <c r="K45" i="51"/>
  <c r="L45" i="51" s="1"/>
  <c r="K46" i="51"/>
  <c r="L46" i="51" s="1"/>
  <c r="K47" i="51"/>
  <c r="L47" i="51" s="1"/>
  <c r="K48" i="51"/>
  <c r="L48" i="51" s="1"/>
  <c r="K49" i="51"/>
  <c r="L49" i="51" s="1"/>
  <c r="K50" i="51"/>
  <c r="L50" i="51" s="1"/>
  <c r="K51" i="51"/>
  <c r="L51" i="51" s="1"/>
  <c r="K52" i="51"/>
  <c r="L52" i="51" s="1"/>
  <c r="K53" i="51"/>
  <c r="L53" i="51" s="1"/>
  <c r="K54" i="51"/>
  <c r="L54" i="51" s="1"/>
  <c r="K55" i="51"/>
  <c r="L55" i="51" s="1"/>
  <c r="K56" i="51"/>
  <c r="L56" i="51" s="1"/>
  <c r="K57" i="51"/>
  <c r="L57" i="51" s="1"/>
  <c r="K58" i="51"/>
  <c r="L58" i="51" s="1"/>
  <c r="K59" i="51"/>
  <c r="L59" i="51" s="1"/>
  <c r="K60" i="51"/>
  <c r="L60" i="51" s="1"/>
  <c r="K61" i="51"/>
  <c r="L61" i="51" s="1"/>
  <c r="K62" i="51"/>
  <c r="L62" i="51" s="1"/>
  <c r="K63" i="51"/>
  <c r="L63" i="51" s="1"/>
  <c r="K64" i="51"/>
  <c r="L64" i="51" s="1"/>
  <c r="K65" i="51"/>
  <c r="L65" i="51" s="1"/>
  <c r="K66" i="51"/>
  <c r="L66" i="51" s="1"/>
  <c r="K67" i="51"/>
  <c r="L67" i="51" s="1"/>
  <c r="K68" i="51"/>
  <c r="L68" i="51" s="1"/>
  <c r="K69" i="51"/>
  <c r="L69" i="51" s="1"/>
  <c r="K70" i="51"/>
  <c r="L70" i="51" s="1"/>
  <c r="K71" i="51"/>
  <c r="L71" i="51" s="1"/>
  <c r="K72" i="51"/>
  <c r="L72" i="51" s="1"/>
  <c r="K73" i="51"/>
  <c r="L73" i="51" s="1"/>
  <c r="K74" i="51"/>
  <c r="L74" i="51" s="1"/>
  <c r="K75" i="51"/>
  <c r="L75" i="51" s="1"/>
  <c r="K76" i="51"/>
  <c r="L76" i="51" s="1"/>
  <c r="K77" i="51"/>
  <c r="L77" i="51" s="1"/>
  <c r="K78" i="51"/>
  <c r="L78" i="51" s="1"/>
  <c r="K79" i="51"/>
  <c r="L79" i="51" s="1"/>
  <c r="K80" i="51"/>
  <c r="L80" i="51" s="1"/>
  <c r="K81" i="51"/>
  <c r="L81" i="51" s="1"/>
  <c r="K82" i="51"/>
  <c r="L82" i="51" s="1"/>
  <c r="K83" i="51"/>
  <c r="L83" i="51" s="1"/>
  <c r="K84" i="51"/>
  <c r="L84" i="51" s="1"/>
  <c r="K85" i="51"/>
  <c r="L85" i="51" s="1"/>
  <c r="K86" i="51"/>
  <c r="L86" i="51" s="1"/>
  <c r="K87" i="51"/>
  <c r="L87" i="51" s="1"/>
  <c r="K88" i="51"/>
  <c r="L88" i="51" s="1"/>
  <c r="K89" i="51"/>
  <c r="L89" i="51" s="1"/>
  <c r="K90" i="51"/>
  <c r="L90" i="51" s="1"/>
  <c r="K91" i="51"/>
  <c r="L91" i="51" s="1"/>
  <c r="K92" i="51"/>
  <c r="L92" i="51" s="1"/>
  <c r="K93" i="51"/>
  <c r="L93" i="51" s="1"/>
  <c r="K94" i="51"/>
  <c r="L94" i="51" s="1"/>
  <c r="K95" i="51"/>
  <c r="L95" i="51" s="1"/>
  <c r="K96" i="51"/>
  <c r="L96" i="51" s="1"/>
  <c r="K97" i="51"/>
  <c r="L97" i="51" s="1"/>
  <c r="K98" i="51"/>
  <c r="L98" i="51" s="1"/>
  <c r="K99" i="51"/>
  <c r="L99" i="51" s="1"/>
  <c r="K100" i="51"/>
  <c r="L100" i="51" s="1"/>
  <c r="K101" i="51"/>
  <c r="L101" i="51" s="1"/>
  <c r="K102" i="51"/>
  <c r="L102" i="51" s="1"/>
  <c r="K103" i="51"/>
  <c r="L103" i="51" s="1"/>
  <c r="K104" i="51"/>
  <c r="L104" i="51" s="1"/>
  <c r="K105" i="51"/>
  <c r="L105" i="51" s="1"/>
  <c r="K106" i="51"/>
  <c r="L106" i="51" s="1"/>
  <c r="K107" i="51"/>
  <c r="L107" i="51" s="1"/>
  <c r="K108" i="51"/>
  <c r="L108" i="51" s="1"/>
  <c r="K109" i="51"/>
  <c r="L109" i="51" s="1"/>
  <c r="K110" i="51"/>
  <c r="L110" i="51" s="1"/>
  <c r="K111" i="51"/>
  <c r="L111" i="51" s="1"/>
  <c r="K112" i="51"/>
  <c r="L112" i="51" s="1"/>
  <c r="K113" i="51"/>
  <c r="L113" i="51" s="1"/>
  <c r="K114" i="51"/>
  <c r="L114" i="51" s="1"/>
  <c r="K115" i="51"/>
  <c r="L115" i="51" s="1"/>
  <c r="K116" i="51"/>
  <c r="L116" i="51" s="1"/>
  <c r="K117" i="51"/>
  <c r="L117" i="51" s="1"/>
  <c r="K118" i="51"/>
  <c r="L118" i="51" s="1"/>
  <c r="K119" i="51"/>
  <c r="L119" i="51" s="1"/>
  <c r="K120" i="51"/>
  <c r="L120" i="51" s="1"/>
  <c r="K121" i="51"/>
  <c r="L121" i="51" s="1"/>
  <c r="K122" i="51"/>
  <c r="L122" i="51" s="1"/>
  <c r="K123" i="51"/>
  <c r="L123" i="51" s="1"/>
  <c r="K124" i="51"/>
  <c r="L124" i="51" s="1"/>
  <c r="K125" i="51"/>
  <c r="L125" i="51" s="1"/>
  <c r="K126" i="51"/>
  <c r="L126" i="51" s="1"/>
  <c r="K127" i="51"/>
  <c r="L127" i="51" s="1"/>
  <c r="K128" i="51"/>
  <c r="L128" i="51" s="1"/>
  <c r="K129" i="51"/>
  <c r="L129" i="51" s="1"/>
  <c r="K130" i="51"/>
  <c r="L130" i="51" s="1"/>
  <c r="K131" i="51"/>
  <c r="L131" i="51" s="1"/>
  <c r="K132" i="51"/>
  <c r="L132" i="51" s="1"/>
  <c r="K133" i="51"/>
  <c r="L133" i="51" s="1"/>
  <c r="K134" i="51"/>
  <c r="L134" i="51" s="1"/>
  <c r="K135" i="51"/>
  <c r="L135" i="51" s="1"/>
  <c r="K136" i="51"/>
  <c r="L136" i="51" s="1"/>
  <c r="K137" i="51"/>
  <c r="L137" i="51" s="1"/>
  <c r="K138" i="51"/>
  <c r="L138" i="51" s="1"/>
  <c r="K139" i="51"/>
  <c r="L139" i="51" s="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36" i="51"/>
  <c r="J37" i="51"/>
  <c r="J38" i="51"/>
  <c r="J39" i="51"/>
  <c r="J40" i="51"/>
  <c r="J41" i="51"/>
  <c r="J42" i="51"/>
  <c r="J43" i="51"/>
  <c r="J44" i="51"/>
  <c r="J45" i="51"/>
  <c r="J46" i="51"/>
  <c r="J47" i="51"/>
  <c r="J48" i="51"/>
  <c r="J49" i="51"/>
  <c r="J50" i="51"/>
  <c r="J51" i="51"/>
  <c r="J52" i="51"/>
  <c r="J53" i="51"/>
  <c r="J54" i="51"/>
  <c r="J55" i="51"/>
  <c r="J56" i="51"/>
  <c r="J57" i="51"/>
  <c r="J58" i="51"/>
  <c r="J59" i="51"/>
  <c r="J60" i="51"/>
  <c r="J61" i="51"/>
  <c r="J62" i="51"/>
  <c r="J63" i="51"/>
  <c r="J64" i="51"/>
  <c r="J65" i="51"/>
  <c r="J66" i="51"/>
  <c r="J67" i="51"/>
  <c r="J68" i="51"/>
  <c r="J69" i="51"/>
  <c r="J70" i="51"/>
  <c r="J71" i="51"/>
  <c r="J72" i="51"/>
  <c r="J73" i="51"/>
  <c r="J74" i="51"/>
  <c r="J75" i="51"/>
  <c r="J76" i="51"/>
  <c r="J77" i="51"/>
  <c r="J78" i="51"/>
  <c r="J79" i="51"/>
  <c r="J80" i="51"/>
  <c r="J81" i="51"/>
  <c r="J82" i="51"/>
  <c r="J83" i="51"/>
  <c r="J84" i="51"/>
  <c r="J85" i="51"/>
  <c r="J86" i="51"/>
  <c r="J87" i="51"/>
  <c r="J88" i="51"/>
  <c r="J89" i="51"/>
  <c r="J90" i="51"/>
  <c r="J91" i="51"/>
  <c r="J92" i="51"/>
  <c r="J93" i="51"/>
  <c r="J94" i="51"/>
  <c r="J95" i="51"/>
  <c r="J96" i="51"/>
  <c r="J97" i="51"/>
  <c r="J98" i="51"/>
  <c r="J99" i="51"/>
  <c r="J100" i="51"/>
  <c r="J101" i="51"/>
  <c r="J102" i="51"/>
  <c r="J103" i="51"/>
  <c r="J104" i="51"/>
  <c r="J105" i="51"/>
  <c r="J106" i="51"/>
  <c r="J107" i="51"/>
  <c r="J108" i="51"/>
  <c r="J109" i="51"/>
  <c r="J110" i="51"/>
  <c r="J111" i="51"/>
  <c r="J112" i="51"/>
  <c r="J113" i="51"/>
  <c r="J114" i="51"/>
  <c r="J115" i="51"/>
  <c r="J116" i="51"/>
  <c r="J117" i="51"/>
  <c r="J118" i="51"/>
  <c r="J119" i="51"/>
  <c r="J120" i="51"/>
  <c r="J121" i="51"/>
  <c r="J122" i="51"/>
  <c r="J123" i="51"/>
  <c r="J124" i="51"/>
  <c r="J125" i="51"/>
  <c r="J126" i="51"/>
  <c r="J127" i="51"/>
  <c r="J128" i="51"/>
  <c r="J129" i="51"/>
  <c r="J130" i="51"/>
  <c r="J131" i="51"/>
  <c r="J132" i="51"/>
  <c r="J133" i="51"/>
  <c r="J134" i="51"/>
  <c r="J135" i="51"/>
  <c r="J136" i="51"/>
  <c r="J137" i="51"/>
  <c r="J138" i="51"/>
  <c r="J139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97" i="51"/>
  <c r="G98" i="51"/>
  <c r="G99" i="51"/>
  <c r="G100" i="51"/>
  <c r="G101" i="51"/>
  <c r="G102" i="51"/>
  <c r="G103" i="51"/>
  <c r="G104" i="51"/>
  <c r="G105" i="51"/>
  <c r="G106" i="51"/>
  <c r="G107" i="51"/>
  <c r="G108" i="51"/>
  <c r="G109" i="51"/>
  <c r="G110" i="51"/>
  <c r="G111" i="51"/>
  <c r="G112" i="51"/>
  <c r="G113" i="51"/>
  <c r="G114" i="51"/>
  <c r="G115" i="51"/>
  <c r="G116" i="51"/>
  <c r="G117" i="51"/>
  <c r="G118" i="51"/>
  <c r="G119" i="51"/>
  <c r="G120" i="51"/>
  <c r="G121" i="51"/>
  <c r="G122" i="51"/>
  <c r="G123" i="51"/>
  <c r="G124" i="51"/>
  <c r="G125" i="51"/>
  <c r="G126" i="51"/>
  <c r="G127" i="51"/>
  <c r="G128" i="51"/>
  <c r="G129" i="51"/>
  <c r="G130" i="51"/>
  <c r="G131" i="51"/>
  <c r="G132" i="51"/>
  <c r="G133" i="51"/>
  <c r="G134" i="51"/>
  <c r="G135" i="51"/>
  <c r="G136" i="51"/>
  <c r="G137" i="51"/>
  <c r="G138" i="51"/>
  <c r="G139" i="51"/>
  <c r="F21" i="51"/>
  <c r="F22" i="51"/>
  <c r="F23" i="51"/>
  <c r="F24" i="51"/>
  <c r="F25" i="51"/>
  <c r="F26" i="51"/>
  <c r="F27" i="51"/>
  <c r="F28" i="51"/>
  <c r="F29" i="51"/>
  <c r="F30" i="51"/>
  <c r="F31" i="51"/>
  <c r="F32" i="51"/>
  <c r="F33" i="51"/>
  <c r="F34" i="51"/>
  <c r="F35" i="51"/>
  <c r="F36" i="51"/>
  <c r="F37" i="51"/>
  <c r="F38" i="51"/>
  <c r="F39" i="51"/>
  <c r="F40" i="51"/>
  <c r="F41" i="51"/>
  <c r="F42" i="51"/>
  <c r="F43" i="51"/>
  <c r="F44" i="51"/>
  <c r="F45" i="51"/>
  <c r="F46" i="51"/>
  <c r="F47" i="51"/>
  <c r="F48" i="51"/>
  <c r="F49" i="51"/>
  <c r="F50" i="51"/>
  <c r="F51" i="51"/>
  <c r="F52" i="51"/>
  <c r="F53" i="51"/>
  <c r="F54" i="51"/>
  <c r="F55" i="51"/>
  <c r="F56" i="51"/>
  <c r="F57" i="51"/>
  <c r="F58" i="51"/>
  <c r="F59" i="51"/>
  <c r="F60" i="51"/>
  <c r="F61" i="51"/>
  <c r="F62" i="51"/>
  <c r="F63" i="51"/>
  <c r="F64" i="51"/>
  <c r="F65" i="51"/>
  <c r="F66" i="51"/>
  <c r="F67" i="51"/>
  <c r="F68" i="51"/>
  <c r="F69" i="51"/>
  <c r="F70" i="51"/>
  <c r="F71" i="51"/>
  <c r="F72" i="51"/>
  <c r="F73" i="51"/>
  <c r="F74" i="51"/>
  <c r="F75" i="51"/>
  <c r="F76" i="51"/>
  <c r="F77" i="51"/>
  <c r="F78" i="51"/>
  <c r="F79" i="51"/>
  <c r="F80" i="51"/>
  <c r="F81" i="51"/>
  <c r="F82" i="51"/>
  <c r="F83" i="51"/>
  <c r="F84" i="51"/>
  <c r="F85" i="51"/>
  <c r="F86" i="51"/>
  <c r="F87" i="51"/>
  <c r="F88" i="51"/>
  <c r="F89" i="51"/>
  <c r="F90" i="51"/>
  <c r="F91" i="51"/>
  <c r="F92" i="51"/>
  <c r="F93" i="51"/>
  <c r="F94" i="51"/>
  <c r="F95" i="51"/>
  <c r="F96" i="51"/>
  <c r="F97" i="51"/>
  <c r="F98" i="51"/>
  <c r="F99" i="51"/>
  <c r="F100" i="51"/>
  <c r="F101" i="51"/>
  <c r="F102" i="51"/>
  <c r="F103" i="51"/>
  <c r="F104" i="51"/>
  <c r="F105" i="51"/>
  <c r="F106" i="51"/>
  <c r="F107" i="51"/>
  <c r="F108" i="51"/>
  <c r="F109" i="51"/>
  <c r="F110" i="51"/>
  <c r="F111" i="51"/>
  <c r="F112" i="51"/>
  <c r="F113" i="51"/>
  <c r="F114" i="51"/>
  <c r="F115" i="51"/>
  <c r="F116" i="51"/>
  <c r="F117" i="51"/>
  <c r="F118" i="51"/>
  <c r="F119" i="51"/>
  <c r="F120" i="51"/>
  <c r="F121" i="51"/>
  <c r="F122" i="51"/>
  <c r="F123" i="51"/>
  <c r="F124" i="51"/>
  <c r="F125" i="51"/>
  <c r="F126" i="51"/>
  <c r="F127" i="51"/>
  <c r="F128" i="51"/>
  <c r="F129" i="51"/>
  <c r="F130" i="51"/>
  <c r="F131" i="51"/>
  <c r="F132" i="51"/>
  <c r="F133" i="51"/>
  <c r="F134" i="51"/>
  <c r="F135" i="51"/>
  <c r="F136" i="51"/>
  <c r="F137" i="51"/>
  <c r="F138" i="51"/>
  <c r="F139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D2" i="51"/>
  <c r="D3" i="51" s="1"/>
  <c r="D4" i="51" s="1"/>
  <c r="D5" i="51" s="1"/>
  <c r="D6" i="51" s="1"/>
  <c r="D7" i="51" s="1"/>
  <c r="D8" i="51" s="1"/>
  <c r="D9" i="51" s="1"/>
  <c r="D10" i="51" s="1"/>
  <c r="D11" i="51" s="1"/>
  <c r="D12" i="51" s="1"/>
  <c r="D13" i="51" s="1"/>
  <c r="D14" i="51" s="1"/>
  <c r="D15" i="51" s="1"/>
  <c r="D16" i="51" s="1"/>
  <c r="D17" i="51" s="1"/>
  <c r="D18" i="51" s="1"/>
  <c r="D19" i="51" s="1"/>
  <c r="D20" i="51" s="1"/>
  <c r="D21" i="51" s="1"/>
  <c r="D22" i="51" s="1"/>
  <c r="D23" i="51" s="1"/>
  <c r="D24" i="51" s="1"/>
  <c r="D25" i="51" s="1"/>
  <c r="D26" i="51" s="1"/>
  <c r="D27" i="51" s="1"/>
  <c r="D28" i="51" s="1"/>
  <c r="D29" i="51" s="1"/>
  <c r="D30" i="51" s="1"/>
  <c r="D31" i="51" s="1"/>
  <c r="D32" i="51" s="1"/>
  <c r="D33" i="51" s="1"/>
  <c r="D34" i="51" s="1"/>
  <c r="D35" i="51" s="1"/>
  <c r="D36" i="51" s="1"/>
  <c r="D37" i="51" s="1"/>
  <c r="D38" i="51" s="1"/>
  <c r="D39" i="51" s="1"/>
  <c r="D40" i="51" s="1"/>
  <c r="D41" i="51" s="1"/>
  <c r="D42" i="51" s="1"/>
  <c r="D43" i="51" s="1"/>
  <c r="D44" i="51" s="1"/>
  <c r="D45" i="51" s="1"/>
  <c r="D46" i="51" s="1"/>
  <c r="D47" i="51" s="1"/>
  <c r="D48" i="51" s="1"/>
  <c r="D49" i="51" s="1"/>
  <c r="D50" i="51" s="1"/>
  <c r="D51" i="51" s="1"/>
  <c r="D52" i="51" s="1"/>
  <c r="D53" i="51" s="1"/>
  <c r="D54" i="51" s="1"/>
  <c r="D55" i="51" s="1"/>
  <c r="D56" i="51" s="1"/>
  <c r="D57" i="51" s="1"/>
  <c r="D58" i="51" s="1"/>
  <c r="D59" i="51" s="1"/>
  <c r="D60" i="51" s="1"/>
  <c r="D61" i="51" s="1"/>
  <c r="D62" i="51" s="1"/>
  <c r="D63" i="51" s="1"/>
  <c r="D64" i="51" s="1"/>
  <c r="D65" i="51" s="1"/>
  <c r="D66" i="51" s="1"/>
  <c r="D67" i="51" s="1"/>
  <c r="D68" i="51" s="1"/>
  <c r="D69" i="51" s="1"/>
  <c r="D70" i="51" s="1"/>
  <c r="D71" i="51" s="1"/>
  <c r="D72" i="51" s="1"/>
  <c r="D73" i="51" s="1"/>
  <c r="D74" i="51" s="1"/>
  <c r="D75" i="51" s="1"/>
  <c r="D76" i="51" s="1"/>
  <c r="D77" i="51" s="1"/>
  <c r="D78" i="51" s="1"/>
  <c r="D79" i="51" s="1"/>
  <c r="D80" i="51" s="1"/>
  <c r="D81" i="51" s="1"/>
  <c r="D82" i="51" s="1"/>
  <c r="D83" i="51" s="1"/>
  <c r="D84" i="51" s="1"/>
  <c r="D85" i="51" s="1"/>
  <c r="D86" i="51" s="1"/>
  <c r="D87" i="51" s="1"/>
  <c r="D88" i="51" s="1"/>
  <c r="D89" i="51" s="1"/>
  <c r="D90" i="51" s="1"/>
  <c r="D91" i="51" s="1"/>
  <c r="D92" i="51" s="1"/>
  <c r="D93" i="51" s="1"/>
  <c r="D94" i="51" s="1"/>
  <c r="D95" i="51" s="1"/>
  <c r="D96" i="51" s="1"/>
  <c r="D97" i="51" s="1"/>
  <c r="D98" i="51" s="1"/>
  <c r="D99" i="51" s="1"/>
  <c r="D100" i="51" s="1"/>
  <c r="D101" i="51" s="1"/>
  <c r="D102" i="51" s="1"/>
  <c r="D103" i="51" s="1"/>
  <c r="D104" i="51" s="1"/>
  <c r="D105" i="51" s="1"/>
  <c r="D106" i="51" s="1"/>
  <c r="D107" i="51" s="1"/>
  <c r="D108" i="51" s="1"/>
  <c r="D109" i="51" s="1"/>
  <c r="M58" i="27" l="1"/>
  <c r="L59" i="27"/>
  <c r="M17" i="27"/>
  <c r="L18" i="27"/>
  <c r="M65" i="27"/>
  <c r="L66" i="27"/>
  <c r="L89" i="27"/>
  <c r="M89" i="27" s="1"/>
  <c r="L100" i="27"/>
  <c r="M100" i="27" s="1"/>
  <c r="L50" i="27"/>
  <c r="M50" i="27" s="1"/>
  <c r="L90" i="27"/>
  <c r="M90" i="27" s="1"/>
  <c r="L83" i="27"/>
  <c r="M83" i="27" s="1"/>
  <c r="L116" i="27"/>
  <c r="M116" i="27" s="1"/>
  <c r="L157" i="27"/>
  <c r="M157" i="27" s="1"/>
  <c r="L150" i="27"/>
  <c r="M150" i="27" s="1"/>
  <c r="L106" i="27"/>
  <c r="M106" i="27" s="1"/>
  <c r="L44" i="27"/>
  <c r="M44" i="27" s="1"/>
  <c r="L76" i="27"/>
  <c r="M76" i="27" s="1"/>
  <c r="L31" i="27"/>
  <c r="M31" i="27" s="1"/>
  <c r="L24" i="27"/>
  <c r="M24" i="27" s="1"/>
  <c r="L13" i="27"/>
  <c r="M13" i="27" s="1"/>
  <c r="L7" i="27"/>
  <c r="M7" i="27" s="1"/>
  <c r="L158" i="27"/>
  <c r="M158" i="27" s="1"/>
  <c r="D110" i="51"/>
  <c r="E3" i="51"/>
  <c r="F3" i="51"/>
  <c r="G3" i="51"/>
  <c r="J3" i="51"/>
  <c r="K3" i="51"/>
  <c r="L3" i="51" s="1"/>
  <c r="N3" i="51"/>
  <c r="P3" i="51"/>
  <c r="Q3" i="51"/>
  <c r="R3" i="51"/>
  <c r="E4" i="51"/>
  <c r="F4" i="51"/>
  <c r="G4" i="51"/>
  <c r="J4" i="51"/>
  <c r="K4" i="51"/>
  <c r="L4" i="51" s="1"/>
  <c r="N4" i="51"/>
  <c r="P4" i="51"/>
  <c r="Q4" i="51"/>
  <c r="R4" i="51"/>
  <c r="E5" i="51"/>
  <c r="F5" i="51"/>
  <c r="G5" i="51"/>
  <c r="J5" i="51"/>
  <c r="K5" i="51"/>
  <c r="L5" i="51" s="1"/>
  <c r="N5" i="51"/>
  <c r="P5" i="51"/>
  <c r="Q5" i="51"/>
  <c r="R5" i="51"/>
  <c r="E6" i="51"/>
  <c r="F6" i="51"/>
  <c r="G6" i="51"/>
  <c r="J6" i="51"/>
  <c r="K6" i="51"/>
  <c r="L6" i="51" s="1"/>
  <c r="N6" i="51"/>
  <c r="P6" i="51"/>
  <c r="Q6" i="51"/>
  <c r="R6" i="51"/>
  <c r="E7" i="51"/>
  <c r="F7" i="51"/>
  <c r="G7" i="51"/>
  <c r="J7" i="51"/>
  <c r="K7" i="51"/>
  <c r="L7" i="51" s="1"/>
  <c r="N7" i="51"/>
  <c r="P7" i="51"/>
  <c r="Q7" i="51"/>
  <c r="R7" i="51"/>
  <c r="E8" i="51"/>
  <c r="F8" i="51"/>
  <c r="G8" i="51"/>
  <c r="J8" i="51"/>
  <c r="K8" i="51"/>
  <c r="L8" i="51" s="1"/>
  <c r="N8" i="51"/>
  <c r="P8" i="51"/>
  <c r="Q8" i="51"/>
  <c r="R8" i="51"/>
  <c r="E9" i="51"/>
  <c r="F9" i="51"/>
  <c r="G9" i="51"/>
  <c r="J9" i="51"/>
  <c r="K9" i="51"/>
  <c r="L9" i="51" s="1"/>
  <c r="N9" i="51"/>
  <c r="P9" i="51"/>
  <c r="Q9" i="51"/>
  <c r="R9" i="51"/>
  <c r="E10" i="51"/>
  <c r="F10" i="51"/>
  <c r="G10" i="51"/>
  <c r="J10" i="51"/>
  <c r="K10" i="51"/>
  <c r="L10" i="51" s="1"/>
  <c r="N10" i="51"/>
  <c r="P10" i="51"/>
  <c r="Q10" i="51"/>
  <c r="R10" i="51"/>
  <c r="E11" i="51"/>
  <c r="F11" i="51"/>
  <c r="G11" i="51"/>
  <c r="J11" i="51"/>
  <c r="K11" i="51"/>
  <c r="L11" i="51" s="1"/>
  <c r="N11" i="51"/>
  <c r="P11" i="51"/>
  <c r="Q11" i="51"/>
  <c r="R11" i="51"/>
  <c r="E12" i="51"/>
  <c r="F12" i="51"/>
  <c r="G12" i="51"/>
  <c r="J12" i="51"/>
  <c r="K12" i="51"/>
  <c r="L12" i="51" s="1"/>
  <c r="N12" i="51"/>
  <c r="P12" i="51"/>
  <c r="Q12" i="51"/>
  <c r="R12" i="51"/>
  <c r="E13" i="51"/>
  <c r="F13" i="51"/>
  <c r="G13" i="51"/>
  <c r="J13" i="51"/>
  <c r="K13" i="51"/>
  <c r="L13" i="51" s="1"/>
  <c r="N13" i="51"/>
  <c r="P13" i="51"/>
  <c r="Q13" i="51"/>
  <c r="R13" i="51"/>
  <c r="E14" i="51"/>
  <c r="F14" i="51"/>
  <c r="G14" i="51"/>
  <c r="J14" i="51"/>
  <c r="K14" i="51"/>
  <c r="L14" i="51" s="1"/>
  <c r="N14" i="51"/>
  <c r="P14" i="51"/>
  <c r="Q14" i="51"/>
  <c r="R14" i="51"/>
  <c r="E15" i="51"/>
  <c r="F15" i="51"/>
  <c r="G15" i="51"/>
  <c r="J15" i="51"/>
  <c r="K15" i="51"/>
  <c r="L15" i="51" s="1"/>
  <c r="N15" i="51"/>
  <c r="P15" i="51"/>
  <c r="Q15" i="51"/>
  <c r="R15" i="51"/>
  <c r="E16" i="51"/>
  <c r="F16" i="51"/>
  <c r="G16" i="51"/>
  <c r="J16" i="51"/>
  <c r="K16" i="51"/>
  <c r="L16" i="51" s="1"/>
  <c r="N16" i="51"/>
  <c r="P16" i="51"/>
  <c r="Q16" i="51"/>
  <c r="R16" i="51"/>
  <c r="E17" i="51"/>
  <c r="F17" i="51"/>
  <c r="G17" i="51"/>
  <c r="J17" i="51"/>
  <c r="K17" i="51"/>
  <c r="L17" i="51" s="1"/>
  <c r="N17" i="51"/>
  <c r="P17" i="51"/>
  <c r="Q17" i="51"/>
  <c r="R17" i="51"/>
  <c r="E18" i="51"/>
  <c r="F18" i="51"/>
  <c r="G18" i="51"/>
  <c r="J18" i="51"/>
  <c r="K18" i="51"/>
  <c r="L18" i="51" s="1"/>
  <c r="N18" i="51"/>
  <c r="P18" i="51"/>
  <c r="Q18" i="51"/>
  <c r="R18" i="51"/>
  <c r="E19" i="51"/>
  <c r="F19" i="51"/>
  <c r="G19" i="51"/>
  <c r="J19" i="51"/>
  <c r="K19" i="51"/>
  <c r="L19" i="51" s="1"/>
  <c r="N19" i="51"/>
  <c r="P19" i="51"/>
  <c r="Q19" i="51"/>
  <c r="R19" i="51"/>
  <c r="E20" i="51"/>
  <c r="F20" i="51"/>
  <c r="G20" i="51"/>
  <c r="J20" i="51"/>
  <c r="K20" i="51"/>
  <c r="L20" i="51" s="1"/>
  <c r="N20" i="51"/>
  <c r="P20" i="51"/>
  <c r="Q20" i="51"/>
  <c r="R20" i="51"/>
  <c r="R2" i="51"/>
  <c r="Q2" i="51"/>
  <c r="P2" i="51"/>
  <c r="N2" i="51"/>
  <c r="K2" i="51"/>
  <c r="L2" i="51" s="1"/>
  <c r="J2" i="51"/>
  <c r="G2" i="51"/>
  <c r="F2" i="51"/>
  <c r="E2" i="51"/>
  <c r="M18" i="27" l="1"/>
  <c r="L19" i="27"/>
  <c r="M19" i="27" s="1"/>
  <c r="M66" i="27"/>
  <c r="L67" i="27"/>
  <c r="M59" i="27"/>
  <c r="L60" i="27"/>
  <c r="L107" i="27"/>
  <c r="M107" i="27" s="1"/>
  <c r="L91" i="27"/>
  <c r="M91" i="27" s="1"/>
  <c r="L101" i="27"/>
  <c r="M101" i="27" s="1"/>
  <c r="L32" i="27"/>
  <c r="M32" i="27" s="1"/>
  <c r="L45" i="27"/>
  <c r="M45" i="27" s="1"/>
  <c r="L84" i="27"/>
  <c r="M84" i="27" s="1"/>
  <c r="L77" i="27"/>
  <c r="M77" i="27" s="1"/>
  <c r="L51" i="27"/>
  <c r="M51" i="27" s="1"/>
  <c r="L25" i="27"/>
  <c r="M25" i="27" s="1"/>
  <c r="L162" i="27"/>
  <c r="M162" i="27" s="1"/>
  <c r="D111" i="51"/>
  <c r="K2" i="45"/>
  <c r="I3" i="45"/>
  <c r="I4" i="45"/>
  <c r="I5" i="45"/>
  <c r="I6" i="45"/>
  <c r="I7" i="45"/>
  <c r="I8" i="45"/>
  <c r="I9" i="45"/>
  <c r="I10" i="45"/>
  <c r="I11" i="45"/>
  <c r="I12" i="45"/>
  <c r="I13" i="45"/>
  <c r="I14" i="45"/>
  <c r="I15" i="45"/>
  <c r="I16" i="45"/>
  <c r="I17" i="45"/>
  <c r="I18" i="45"/>
  <c r="I19" i="45"/>
  <c r="I20" i="45"/>
  <c r="I21" i="45"/>
  <c r="I22" i="45"/>
  <c r="I23" i="45"/>
  <c r="I24" i="45"/>
  <c r="I25" i="45"/>
  <c r="I26" i="45"/>
  <c r="I27" i="45"/>
  <c r="I28" i="45"/>
  <c r="I29" i="45"/>
  <c r="I30" i="45"/>
  <c r="I31" i="45"/>
  <c r="I32" i="45"/>
  <c r="I33" i="45"/>
  <c r="I34" i="45"/>
  <c r="I35" i="45"/>
  <c r="I36" i="45"/>
  <c r="I37" i="45"/>
  <c r="I38" i="45"/>
  <c r="I39" i="45"/>
  <c r="I40" i="45"/>
  <c r="I41" i="45"/>
  <c r="I42" i="45"/>
  <c r="I43" i="45"/>
  <c r="I44" i="45"/>
  <c r="I45" i="45"/>
  <c r="I46" i="45"/>
  <c r="I47" i="45"/>
  <c r="I48" i="45"/>
  <c r="I49" i="45"/>
  <c r="I50" i="45"/>
  <c r="I51" i="45"/>
  <c r="I52" i="45"/>
  <c r="I53" i="45"/>
  <c r="I54" i="45"/>
  <c r="I55" i="45"/>
  <c r="I56" i="45"/>
  <c r="I57" i="45"/>
  <c r="I58" i="45"/>
  <c r="I59" i="45"/>
  <c r="I60" i="45"/>
  <c r="I61" i="45"/>
  <c r="I62" i="45"/>
  <c r="I63" i="45"/>
  <c r="I64" i="45"/>
  <c r="I65" i="45"/>
  <c r="I66" i="45"/>
  <c r="I67" i="45"/>
  <c r="I68" i="45"/>
  <c r="I69" i="45"/>
  <c r="I70" i="45"/>
  <c r="I71" i="45"/>
  <c r="I72" i="45"/>
  <c r="I73" i="45"/>
  <c r="I74" i="45"/>
  <c r="I75" i="45"/>
  <c r="I76" i="45"/>
  <c r="I77" i="45"/>
  <c r="I78" i="45"/>
  <c r="I79" i="45"/>
  <c r="I80" i="45"/>
  <c r="I81" i="45"/>
  <c r="I82" i="45"/>
  <c r="I83" i="45"/>
  <c r="I84" i="45"/>
  <c r="I85" i="45"/>
  <c r="I86" i="45"/>
  <c r="I87" i="45"/>
  <c r="I88" i="45"/>
  <c r="I89" i="45"/>
  <c r="I90" i="45"/>
  <c r="I91" i="45"/>
  <c r="I92" i="45"/>
  <c r="I93" i="45"/>
  <c r="I94" i="45"/>
  <c r="I95" i="45"/>
  <c r="I96" i="45"/>
  <c r="I97" i="45"/>
  <c r="I98" i="45"/>
  <c r="I99" i="45"/>
  <c r="I100" i="45"/>
  <c r="I101" i="45"/>
  <c r="I102" i="45"/>
  <c r="I103" i="45"/>
  <c r="I104" i="45"/>
  <c r="I105" i="45"/>
  <c r="I106" i="45"/>
  <c r="I107" i="45"/>
  <c r="I108" i="45"/>
  <c r="I109" i="45"/>
  <c r="I110" i="45"/>
  <c r="I111" i="45"/>
  <c r="I112" i="45"/>
  <c r="I113" i="45"/>
  <c r="I114" i="45"/>
  <c r="I115" i="45"/>
  <c r="I116" i="45"/>
  <c r="I117" i="45"/>
  <c r="I118" i="45"/>
  <c r="I119" i="45"/>
  <c r="I120" i="45"/>
  <c r="I121" i="45"/>
  <c r="I122" i="45"/>
  <c r="I123" i="45"/>
  <c r="I124" i="45"/>
  <c r="I125" i="45"/>
  <c r="I126" i="45"/>
  <c r="I127" i="45"/>
  <c r="I128" i="45"/>
  <c r="I129" i="45"/>
  <c r="I130" i="45"/>
  <c r="I131" i="45"/>
  <c r="I132" i="45"/>
  <c r="I133" i="45"/>
  <c r="I134" i="45"/>
  <c r="I135" i="45"/>
  <c r="I136" i="45"/>
  <c r="I137" i="45"/>
  <c r="I138" i="45"/>
  <c r="I139" i="45"/>
  <c r="I140" i="45"/>
  <c r="I141" i="45"/>
  <c r="I142" i="45"/>
  <c r="I143" i="45"/>
  <c r="I144" i="45"/>
  <c r="I145" i="45"/>
  <c r="I146" i="45"/>
  <c r="I147" i="45"/>
  <c r="I148" i="45"/>
  <c r="I149" i="45"/>
  <c r="I150" i="45"/>
  <c r="I151" i="45"/>
  <c r="I152" i="45"/>
  <c r="I153" i="45"/>
  <c r="I154" i="45"/>
  <c r="I155" i="45"/>
  <c r="I156" i="45"/>
  <c r="I157" i="45"/>
  <c r="I158" i="45"/>
  <c r="I159" i="45"/>
  <c r="I160" i="45"/>
  <c r="I161" i="45"/>
  <c r="I162" i="45"/>
  <c r="I163" i="45"/>
  <c r="I164" i="45"/>
  <c r="I165" i="45"/>
  <c r="I166" i="45"/>
  <c r="I167" i="45"/>
  <c r="I168" i="45"/>
  <c r="I169" i="45"/>
  <c r="I170" i="45"/>
  <c r="I171" i="45"/>
  <c r="I172" i="45"/>
  <c r="I173" i="45"/>
  <c r="I174" i="45"/>
  <c r="I175" i="45"/>
  <c r="I176" i="45"/>
  <c r="I177" i="45"/>
  <c r="I178" i="45"/>
  <c r="I179" i="45"/>
  <c r="I180" i="45"/>
  <c r="I181" i="45"/>
  <c r="I182" i="45"/>
  <c r="I183" i="45"/>
  <c r="I184" i="45"/>
  <c r="I185" i="45"/>
  <c r="I186" i="45"/>
  <c r="I187" i="45"/>
  <c r="I188" i="45"/>
  <c r="I189" i="45"/>
  <c r="I190" i="45"/>
  <c r="I191" i="45"/>
  <c r="I192" i="45"/>
  <c r="I193" i="45"/>
  <c r="I194" i="45"/>
  <c r="I195" i="45"/>
  <c r="I196" i="45"/>
  <c r="I197" i="45"/>
  <c r="I198" i="45"/>
  <c r="I199" i="45"/>
  <c r="I200" i="45"/>
  <c r="I201" i="45"/>
  <c r="I202" i="45"/>
  <c r="I203" i="45"/>
  <c r="I204" i="45"/>
  <c r="I205" i="45"/>
  <c r="I206" i="45"/>
  <c r="I207" i="45"/>
  <c r="I208" i="45"/>
  <c r="I209" i="45"/>
  <c r="I210" i="45"/>
  <c r="I211" i="45"/>
  <c r="I212" i="45"/>
  <c r="I213" i="45"/>
  <c r="I214" i="45"/>
  <c r="I215" i="45"/>
  <c r="I216" i="45"/>
  <c r="I217" i="45"/>
  <c r="I218" i="45"/>
  <c r="I219" i="45"/>
  <c r="I220" i="45"/>
  <c r="I221" i="45"/>
  <c r="I222" i="45"/>
  <c r="I223" i="45"/>
  <c r="I224" i="45"/>
  <c r="I225" i="45"/>
  <c r="I226" i="45"/>
  <c r="I227" i="45"/>
  <c r="I228" i="45"/>
  <c r="I229" i="45"/>
  <c r="I230" i="45"/>
  <c r="I231" i="45"/>
  <c r="I232" i="45"/>
  <c r="I233" i="45"/>
  <c r="I234" i="45"/>
  <c r="I235" i="45"/>
  <c r="I236" i="45"/>
  <c r="I237" i="45"/>
  <c r="I238" i="45"/>
  <c r="I239" i="45"/>
  <c r="I240" i="45"/>
  <c r="I241" i="45"/>
  <c r="I242" i="45"/>
  <c r="I243" i="45"/>
  <c r="I244" i="45"/>
  <c r="I245" i="45"/>
  <c r="I246" i="45"/>
  <c r="I247" i="45"/>
  <c r="I248" i="45"/>
  <c r="I249" i="45"/>
  <c r="I250" i="45"/>
  <c r="I251" i="45"/>
  <c r="I252" i="45"/>
  <c r="I253" i="45"/>
  <c r="I254" i="45"/>
  <c r="I255" i="45"/>
  <c r="I256" i="45"/>
  <c r="I257" i="45"/>
  <c r="I258" i="45"/>
  <c r="I259" i="45"/>
  <c r="I260" i="45"/>
  <c r="I261" i="45"/>
  <c r="I262" i="45"/>
  <c r="I263" i="45"/>
  <c r="I264" i="45"/>
  <c r="I265" i="45"/>
  <c r="I266" i="45"/>
  <c r="I267" i="45"/>
  <c r="I268" i="45"/>
  <c r="I269" i="45"/>
  <c r="I270" i="45"/>
  <c r="I271" i="45"/>
  <c r="I272" i="45"/>
  <c r="I273" i="45"/>
  <c r="I274" i="45"/>
  <c r="I275" i="45"/>
  <c r="I276" i="45"/>
  <c r="I277" i="45"/>
  <c r="I278" i="45"/>
  <c r="I279" i="45"/>
  <c r="I280" i="45"/>
  <c r="I281" i="45"/>
  <c r="I282" i="45"/>
  <c r="I283" i="45"/>
  <c r="I284" i="45"/>
  <c r="I285" i="45"/>
  <c r="I286" i="45"/>
  <c r="I287" i="45"/>
  <c r="I288" i="45"/>
  <c r="I289" i="45"/>
  <c r="I290" i="45"/>
  <c r="I291" i="45"/>
  <c r="I292" i="45"/>
  <c r="I293" i="45"/>
  <c r="I294" i="45"/>
  <c r="I295" i="45"/>
  <c r="I296" i="45"/>
  <c r="I297" i="45"/>
  <c r="I298" i="45"/>
  <c r="I299" i="45"/>
  <c r="I300" i="45"/>
  <c r="I301" i="45"/>
  <c r="I302" i="45"/>
  <c r="I303" i="45"/>
  <c r="I304" i="45"/>
  <c r="I305" i="45"/>
  <c r="I306" i="45"/>
  <c r="I307" i="45"/>
  <c r="I308" i="45"/>
  <c r="I309" i="45"/>
  <c r="I310" i="45"/>
  <c r="I311" i="45"/>
  <c r="I312" i="45"/>
  <c r="I313" i="45"/>
  <c r="I314" i="45"/>
  <c r="I315" i="45"/>
  <c r="I316" i="45"/>
  <c r="I317" i="45"/>
  <c r="I318" i="45"/>
  <c r="I319" i="45"/>
  <c r="I320" i="45"/>
  <c r="I321" i="45"/>
  <c r="I322" i="45"/>
  <c r="I323" i="45"/>
  <c r="I324" i="45"/>
  <c r="I325" i="45"/>
  <c r="I2" i="45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9" i="2"/>
  <c r="K70" i="2"/>
  <c r="K71" i="2"/>
  <c r="K72" i="2"/>
  <c r="K73" i="2"/>
  <c r="K75" i="2"/>
  <c r="K76" i="2"/>
  <c r="K79" i="2"/>
  <c r="K82" i="2"/>
  <c r="K84" i="2"/>
  <c r="K85" i="2"/>
  <c r="K86" i="2"/>
  <c r="K87" i="2"/>
  <c r="K88" i="2"/>
  <c r="K89" i="2"/>
  <c r="K90" i="2"/>
  <c r="K91" i="2"/>
  <c r="K92" i="2"/>
  <c r="K94" i="2"/>
  <c r="K96" i="2"/>
  <c r="K97" i="2"/>
  <c r="K98" i="2"/>
  <c r="K99" i="2"/>
  <c r="K100" i="2"/>
  <c r="K101" i="2"/>
  <c r="K102" i="2"/>
  <c r="K103" i="2"/>
  <c r="K108" i="2"/>
  <c r="K109" i="2"/>
  <c r="K2" i="2"/>
  <c r="M67" i="27" l="1"/>
  <c r="L68" i="27"/>
  <c r="M60" i="27"/>
  <c r="L61" i="27"/>
  <c r="L33" i="27"/>
  <c r="M33" i="27" s="1"/>
  <c r="L52" i="27"/>
  <c r="M52" i="27" s="1"/>
  <c r="L108" i="27"/>
  <c r="M108" i="27" s="1"/>
  <c r="L78" i="27"/>
  <c r="M78" i="27" s="1"/>
  <c r="L92" i="27"/>
  <c r="M92" i="27" s="1"/>
  <c r="L85" i="27"/>
  <c r="M85" i="27" s="1"/>
  <c r="L46" i="27"/>
  <c r="M46" i="27" s="1"/>
  <c r="L26" i="27"/>
  <c r="M26" i="27" s="1"/>
  <c r="L165" i="27"/>
  <c r="M165" i="27" s="1"/>
  <c r="D112" i="51"/>
  <c r="K3" i="45"/>
  <c r="K4" i="45"/>
  <c r="K5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25" i="45"/>
  <c r="K26" i="45"/>
  <c r="K27" i="45"/>
  <c r="K28" i="45"/>
  <c r="K29" i="45"/>
  <c r="K30" i="45"/>
  <c r="K31" i="45"/>
  <c r="K32" i="45"/>
  <c r="K33" i="45"/>
  <c r="K34" i="45"/>
  <c r="K35" i="45"/>
  <c r="K36" i="45"/>
  <c r="K37" i="45"/>
  <c r="K38" i="45"/>
  <c r="K39" i="45"/>
  <c r="K40" i="45"/>
  <c r="K41" i="45"/>
  <c r="K42" i="45"/>
  <c r="K43" i="45"/>
  <c r="K44" i="45"/>
  <c r="K45" i="45"/>
  <c r="K46" i="45"/>
  <c r="K47" i="45"/>
  <c r="K48" i="45"/>
  <c r="K49" i="45"/>
  <c r="K50" i="45"/>
  <c r="K51" i="45"/>
  <c r="K52" i="45"/>
  <c r="K53" i="45"/>
  <c r="K54" i="45"/>
  <c r="K55" i="45"/>
  <c r="K56" i="45"/>
  <c r="K57" i="45"/>
  <c r="K58" i="45"/>
  <c r="K59" i="45"/>
  <c r="K60" i="45"/>
  <c r="K61" i="45"/>
  <c r="K62" i="45"/>
  <c r="K63" i="45"/>
  <c r="K64" i="45"/>
  <c r="K65" i="45"/>
  <c r="K66" i="45"/>
  <c r="K67" i="45"/>
  <c r="K68" i="45"/>
  <c r="K69" i="45"/>
  <c r="K70" i="45"/>
  <c r="K71" i="45"/>
  <c r="K72" i="45"/>
  <c r="K73" i="45"/>
  <c r="K74" i="45"/>
  <c r="K75" i="45"/>
  <c r="K76" i="45"/>
  <c r="K77" i="45"/>
  <c r="K78" i="45"/>
  <c r="K79" i="45"/>
  <c r="K80" i="45"/>
  <c r="K81" i="45"/>
  <c r="K82" i="45"/>
  <c r="K83" i="45"/>
  <c r="K84" i="45"/>
  <c r="K85" i="45"/>
  <c r="K86" i="45"/>
  <c r="K87" i="45"/>
  <c r="K88" i="45"/>
  <c r="K89" i="45"/>
  <c r="K90" i="45"/>
  <c r="K91" i="45"/>
  <c r="K92" i="45"/>
  <c r="K93" i="45"/>
  <c r="K94" i="45"/>
  <c r="K95" i="45"/>
  <c r="K96" i="45"/>
  <c r="K97" i="45"/>
  <c r="K98" i="45"/>
  <c r="K99" i="45"/>
  <c r="K100" i="45"/>
  <c r="K101" i="45"/>
  <c r="K102" i="45"/>
  <c r="K103" i="45"/>
  <c r="K104" i="45"/>
  <c r="K105" i="45"/>
  <c r="K106" i="45"/>
  <c r="K107" i="45"/>
  <c r="K108" i="45"/>
  <c r="K109" i="45"/>
  <c r="K110" i="45"/>
  <c r="K111" i="45"/>
  <c r="K112" i="45"/>
  <c r="K113" i="45"/>
  <c r="K114" i="45"/>
  <c r="K115" i="45"/>
  <c r="K116" i="45"/>
  <c r="K117" i="45"/>
  <c r="K118" i="45"/>
  <c r="K119" i="45"/>
  <c r="K120" i="45"/>
  <c r="K121" i="45"/>
  <c r="K122" i="45"/>
  <c r="K123" i="45"/>
  <c r="K124" i="45"/>
  <c r="K125" i="45"/>
  <c r="K126" i="45"/>
  <c r="K127" i="45"/>
  <c r="K128" i="45"/>
  <c r="K129" i="45"/>
  <c r="K130" i="45"/>
  <c r="K131" i="45"/>
  <c r="K132" i="45"/>
  <c r="K133" i="45"/>
  <c r="K134" i="45"/>
  <c r="K135" i="45"/>
  <c r="K136" i="45"/>
  <c r="K137" i="45"/>
  <c r="K138" i="45"/>
  <c r="K139" i="45"/>
  <c r="K140" i="45"/>
  <c r="K141" i="45"/>
  <c r="K142" i="45"/>
  <c r="K143" i="45"/>
  <c r="K144" i="45"/>
  <c r="K145" i="45"/>
  <c r="K146" i="45"/>
  <c r="K147" i="45"/>
  <c r="K148" i="45"/>
  <c r="K149" i="45"/>
  <c r="K150" i="45"/>
  <c r="K151" i="45"/>
  <c r="K152" i="45"/>
  <c r="K153" i="45"/>
  <c r="K154" i="45"/>
  <c r="K155" i="45"/>
  <c r="K156" i="45"/>
  <c r="K157" i="45"/>
  <c r="K158" i="45"/>
  <c r="K159" i="45"/>
  <c r="K160" i="45"/>
  <c r="K161" i="45"/>
  <c r="K162" i="45"/>
  <c r="K163" i="45"/>
  <c r="K164" i="45"/>
  <c r="K165" i="45"/>
  <c r="K166" i="45"/>
  <c r="K167" i="45"/>
  <c r="K168" i="45"/>
  <c r="K169" i="45"/>
  <c r="K170" i="45"/>
  <c r="K171" i="45"/>
  <c r="K172" i="45"/>
  <c r="K173" i="45"/>
  <c r="K174" i="45"/>
  <c r="K175" i="45"/>
  <c r="K176" i="45"/>
  <c r="K177" i="45"/>
  <c r="K178" i="45"/>
  <c r="K179" i="45"/>
  <c r="K180" i="45"/>
  <c r="K181" i="45"/>
  <c r="K182" i="45"/>
  <c r="K183" i="45"/>
  <c r="K184" i="45"/>
  <c r="K185" i="45"/>
  <c r="K186" i="45"/>
  <c r="K187" i="45"/>
  <c r="K188" i="45"/>
  <c r="K189" i="45"/>
  <c r="K190" i="45"/>
  <c r="K191" i="45"/>
  <c r="K192" i="45"/>
  <c r="K193" i="45"/>
  <c r="K194" i="45"/>
  <c r="K195" i="45"/>
  <c r="K196" i="45"/>
  <c r="K197" i="45"/>
  <c r="K198" i="45"/>
  <c r="K199" i="45"/>
  <c r="K200" i="45"/>
  <c r="K201" i="45"/>
  <c r="K202" i="45"/>
  <c r="K203" i="45"/>
  <c r="K204" i="45"/>
  <c r="K205" i="45"/>
  <c r="K206" i="45"/>
  <c r="K207" i="45"/>
  <c r="K208" i="45"/>
  <c r="K209" i="45"/>
  <c r="K210" i="45"/>
  <c r="K211" i="45"/>
  <c r="K212" i="45"/>
  <c r="K213" i="45"/>
  <c r="K214" i="45"/>
  <c r="K215" i="45"/>
  <c r="K216" i="45"/>
  <c r="K217" i="45"/>
  <c r="K218" i="45"/>
  <c r="K219" i="45"/>
  <c r="K220" i="45"/>
  <c r="K221" i="45"/>
  <c r="K222" i="45"/>
  <c r="K223" i="45"/>
  <c r="K224" i="45"/>
  <c r="K225" i="45"/>
  <c r="K226" i="45"/>
  <c r="K227" i="45"/>
  <c r="K228" i="45"/>
  <c r="K229" i="45"/>
  <c r="K230" i="45"/>
  <c r="K231" i="45"/>
  <c r="K232" i="45"/>
  <c r="K233" i="45"/>
  <c r="K234" i="45"/>
  <c r="K235" i="45"/>
  <c r="K236" i="45"/>
  <c r="K237" i="45"/>
  <c r="K238" i="45"/>
  <c r="K239" i="45"/>
  <c r="K240" i="45"/>
  <c r="K241" i="45"/>
  <c r="K242" i="45"/>
  <c r="K243" i="45"/>
  <c r="K244" i="45"/>
  <c r="K245" i="45"/>
  <c r="K246" i="45"/>
  <c r="K247" i="45"/>
  <c r="K248" i="45"/>
  <c r="K249" i="45"/>
  <c r="K250" i="45"/>
  <c r="K251" i="45"/>
  <c r="K252" i="45"/>
  <c r="K253" i="45"/>
  <c r="K254" i="45"/>
  <c r="K255" i="45"/>
  <c r="K256" i="45"/>
  <c r="K257" i="45"/>
  <c r="K258" i="45"/>
  <c r="K259" i="45"/>
  <c r="K260" i="45"/>
  <c r="K261" i="45"/>
  <c r="K262" i="45"/>
  <c r="K263" i="45"/>
  <c r="K264" i="45"/>
  <c r="K265" i="45"/>
  <c r="K266" i="45"/>
  <c r="K267" i="45"/>
  <c r="K268" i="45"/>
  <c r="K269" i="45"/>
  <c r="K270" i="45"/>
  <c r="K271" i="45"/>
  <c r="K272" i="45"/>
  <c r="K273" i="45"/>
  <c r="K274" i="45"/>
  <c r="K275" i="45"/>
  <c r="K276" i="45"/>
  <c r="K277" i="45"/>
  <c r="K278" i="45"/>
  <c r="K279" i="45"/>
  <c r="K280" i="45"/>
  <c r="K281" i="45"/>
  <c r="K282" i="45"/>
  <c r="K283" i="45"/>
  <c r="K284" i="45"/>
  <c r="K285" i="45"/>
  <c r="K286" i="45"/>
  <c r="K287" i="45"/>
  <c r="K288" i="45"/>
  <c r="K289" i="45"/>
  <c r="K290" i="45"/>
  <c r="K291" i="45"/>
  <c r="K292" i="45"/>
  <c r="K293" i="45"/>
  <c r="K294" i="45"/>
  <c r="K295" i="45"/>
  <c r="K296" i="45"/>
  <c r="K297" i="45"/>
  <c r="K298" i="45"/>
  <c r="K299" i="45"/>
  <c r="K300" i="45"/>
  <c r="K301" i="45"/>
  <c r="K302" i="45"/>
  <c r="K303" i="45"/>
  <c r="K304" i="45"/>
  <c r="K305" i="45"/>
  <c r="K306" i="45"/>
  <c r="K307" i="45"/>
  <c r="K308" i="45"/>
  <c r="K309" i="45"/>
  <c r="K310" i="45"/>
  <c r="K311" i="45"/>
  <c r="K312" i="45"/>
  <c r="K313" i="45"/>
  <c r="K314" i="45"/>
  <c r="K315" i="45"/>
  <c r="K316" i="45"/>
  <c r="K317" i="45"/>
  <c r="K318" i="45"/>
  <c r="K319" i="45"/>
  <c r="K320" i="45"/>
  <c r="K321" i="45"/>
  <c r="K322" i="45"/>
  <c r="K323" i="45"/>
  <c r="K324" i="45"/>
  <c r="K325" i="45"/>
  <c r="J3" i="45"/>
  <c r="J4" i="45"/>
  <c r="J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7" i="45"/>
  <c r="J58" i="45"/>
  <c r="J59" i="45"/>
  <c r="J60" i="45"/>
  <c r="J61" i="45"/>
  <c r="J62" i="45"/>
  <c r="J63" i="45"/>
  <c r="J64" i="45"/>
  <c r="J65" i="45"/>
  <c r="J66" i="45"/>
  <c r="J67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83" i="45"/>
  <c r="J84" i="45"/>
  <c r="J85" i="45"/>
  <c r="J86" i="45"/>
  <c r="J87" i="45"/>
  <c r="J88" i="45"/>
  <c r="J89" i="45"/>
  <c r="J90" i="45"/>
  <c r="J91" i="45"/>
  <c r="J92" i="45"/>
  <c r="J93" i="45"/>
  <c r="J94" i="45"/>
  <c r="J95" i="45"/>
  <c r="J96" i="45"/>
  <c r="J97" i="45"/>
  <c r="J98" i="45"/>
  <c r="J99" i="45"/>
  <c r="J100" i="45"/>
  <c r="J101" i="45"/>
  <c r="J102" i="45"/>
  <c r="J103" i="45"/>
  <c r="J104" i="45"/>
  <c r="J105" i="45"/>
  <c r="J106" i="45"/>
  <c r="J107" i="45"/>
  <c r="J108" i="45"/>
  <c r="J109" i="45"/>
  <c r="J110" i="45"/>
  <c r="J111" i="45"/>
  <c r="J112" i="45"/>
  <c r="J113" i="45"/>
  <c r="J114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J133" i="45"/>
  <c r="J134" i="45"/>
  <c r="J135" i="45"/>
  <c r="J136" i="45"/>
  <c r="J137" i="45"/>
  <c r="J138" i="45"/>
  <c r="J139" i="45"/>
  <c r="J140" i="45"/>
  <c r="J141" i="45"/>
  <c r="J142" i="45"/>
  <c r="J143" i="45"/>
  <c r="J144" i="45"/>
  <c r="J145" i="45"/>
  <c r="J146" i="45"/>
  <c r="J147" i="45"/>
  <c r="J148" i="45"/>
  <c r="J149" i="45"/>
  <c r="J150" i="45"/>
  <c r="J151" i="45"/>
  <c r="J152" i="45"/>
  <c r="J153" i="45"/>
  <c r="J154" i="45"/>
  <c r="J155" i="45"/>
  <c r="J156" i="45"/>
  <c r="J157" i="45"/>
  <c r="J158" i="45"/>
  <c r="J159" i="45"/>
  <c r="J160" i="45"/>
  <c r="J161" i="45"/>
  <c r="J162" i="45"/>
  <c r="J163" i="45"/>
  <c r="J164" i="45"/>
  <c r="J165" i="45"/>
  <c r="J166" i="45"/>
  <c r="J167" i="45"/>
  <c r="J168" i="45"/>
  <c r="J169" i="45"/>
  <c r="J170" i="45"/>
  <c r="J171" i="45"/>
  <c r="J172" i="45"/>
  <c r="J173" i="45"/>
  <c r="J174" i="45"/>
  <c r="J175" i="45"/>
  <c r="J176" i="45"/>
  <c r="J177" i="45"/>
  <c r="J178" i="45"/>
  <c r="J179" i="45"/>
  <c r="J180" i="45"/>
  <c r="J181" i="45"/>
  <c r="J182" i="45"/>
  <c r="J183" i="45"/>
  <c r="J184" i="45"/>
  <c r="J185" i="45"/>
  <c r="J186" i="45"/>
  <c r="J187" i="45"/>
  <c r="J188" i="45"/>
  <c r="J189" i="45"/>
  <c r="J190" i="45"/>
  <c r="J191" i="45"/>
  <c r="J192" i="45"/>
  <c r="J193" i="45"/>
  <c r="J194" i="45"/>
  <c r="J195" i="45"/>
  <c r="J196" i="45"/>
  <c r="J197" i="45"/>
  <c r="J198" i="45"/>
  <c r="J199" i="45"/>
  <c r="J200" i="45"/>
  <c r="J201" i="45"/>
  <c r="J202" i="45"/>
  <c r="J203" i="45"/>
  <c r="J204" i="45"/>
  <c r="J205" i="45"/>
  <c r="J206" i="45"/>
  <c r="J207" i="45"/>
  <c r="J208" i="45"/>
  <c r="J209" i="45"/>
  <c r="J210" i="45"/>
  <c r="J211" i="45"/>
  <c r="J212" i="45"/>
  <c r="J213" i="45"/>
  <c r="J214" i="45"/>
  <c r="J215" i="45"/>
  <c r="J216" i="45"/>
  <c r="J217" i="45"/>
  <c r="J218" i="45"/>
  <c r="J219" i="45"/>
  <c r="J220" i="45"/>
  <c r="J221" i="45"/>
  <c r="J222" i="45"/>
  <c r="J223" i="45"/>
  <c r="J224" i="45"/>
  <c r="J225" i="45"/>
  <c r="J226" i="45"/>
  <c r="J227" i="45"/>
  <c r="J228" i="45"/>
  <c r="J229" i="45"/>
  <c r="J230" i="45"/>
  <c r="J231" i="45"/>
  <c r="J232" i="45"/>
  <c r="J233" i="45"/>
  <c r="J234" i="45"/>
  <c r="J235" i="45"/>
  <c r="J236" i="45"/>
  <c r="J237" i="45"/>
  <c r="J238" i="45"/>
  <c r="J239" i="45"/>
  <c r="J240" i="45"/>
  <c r="J241" i="45"/>
  <c r="J242" i="45"/>
  <c r="J243" i="45"/>
  <c r="J244" i="45"/>
  <c r="J245" i="45"/>
  <c r="J246" i="45"/>
  <c r="J247" i="45"/>
  <c r="J248" i="45"/>
  <c r="J249" i="45"/>
  <c r="J250" i="45"/>
  <c r="J251" i="45"/>
  <c r="J252" i="45"/>
  <c r="J253" i="45"/>
  <c r="J254" i="45"/>
  <c r="J255" i="45"/>
  <c r="J256" i="45"/>
  <c r="J257" i="45"/>
  <c r="J258" i="45"/>
  <c r="J259" i="45"/>
  <c r="J260" i="45"/>
  <c r="J261" i="45"/>
  <c r="J262" i="45"/>
  <c r="J263" i="45"/>
  <c r="J264" i="45"/>
  <c r="J265" i="45"/>
  <c r="J266" i="45"/>
  <c r="J267" i="45"/>
  <c r="J268" i="45"/>
  <c r="J269" i="45"/>
  <c r="J270" i="45"/>
  <c r="J271" i="45"/>
  <c r="J272" i="45"/>
  <c r="J273" i="45"/>
  <c r="J274" i="45"/>
  <c r="J275" i="45"/>
  <c r="J276" i="45"/>
  <c r="J277" i="45"/>
  <c r="J278" i="45"/>
  <c r="J279" i="45"/>
  <c r="J280" i="45"/>
  <c r="J281" i="45"/>
  <c r="J282" i="45"/>
  <c r="J283" i="45"/>
  <c r="J284" i="45"/>
  <c r="J285" i="45"/>
  <c r="J286" i="45"/>
  <c r="J287" i="45"/>
  <c r="J288" i="45"/>
  <c r="J289" i="45"/>
  <c r="J290" i="45"/>
  <c r="J291" i="45"/>
  <c r="J292" i="45"/>
  <c r="J293" i="45"/>
  <c r="J294" i="45"/>
  <c r="J295" i="45"/>
  <c r="J296" i="45"/>
  <c r="J297" i="45"/>
  <c r="J298" i="45"/>
  <c r="J299" i="45"/>
  <c r="J300" i="45"/>
  <c r="J301" i="45"/>
  <c r="J302" i="45"/>
  <c r="J303" i="45"/>
  <c r="J304" i="45"/>
  <c r="J305" i="45"/>
  <c r="J306" i="45"/>
  <c r="J307" i="45"/>
  <c r="J308" i="45"/>
  <c r="J309" i="45"/>
  <c r="J310" i="45"/>
  <c r="J311" i="45"/>
  <c r="J312" i="45"/>
  <c r="J313" i="45"/>
  <c r="J314" i="45"/>
  <c r="J315" i="45"/>
  <c r="J316" i="45"/>
  <c r="J317" i="45"/>
  <c r="J318" i="45"/>
  <c r="J319" i="45"/>
  <c r="J320" i="45"/>
  <c r="J321" i="45"/>
  <c r="J322" i="45"/>
  <c r="J323" i="45"/>
  <c r="J324" i="45"/>
  <c r="J325" i="45"/>
  <c r="J2" i="45"/>
  <c r="B2" i="45"/>
  <c r="B3" i="45" s="1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B69" i="45" s="1"/>
  <c r="B70" i="45" s="1"/>
  <c r="B71" i="45" s="1"/>
  <c r="B72" i="45" s="1"/>
  <c r="B73" i="45" s="1"/>
  <c r="B74" i="45" s="1"/>
  <c r="B75" i="45" s="1"/>
  <c r="B76" i="45" s="1"/>
  <c r="B77" i="45" s="1"/>
  <c r="B78" i="45" s="1"/>
  <c r="B79" i="45" s="1"/>
  <c r="B80" i="45" s="1"/>
  <c r="B81" i="45" s="1"/>
  <c r="B82" i="45" s="1"/>
  <c r="B83" i="45" s="1"/>
  <c r="B84" i="45" s="1"/>
  <c r="B85" i="45" s="1"/>
  <c r="B86" i="45" s="1"/>
  <c r="B87" i="45" s="1"/>
  <c r="B88" i="45" s="1"/>
  <c r="B89" i="45" s="1"/>
  <c r="B90" i="45" s="1"/>
  <c r="B91" i="45" s="1"/>
  <c r="B92" i="45" s="1"/>
  <c r="B93" i="45" s="1"/>
  <c r="B94" i="45" s="1"/>
  <c r="B95" i="45" s="1"/>
  <c r="B96" i="45" s="1"/>
  <c r="B97" i="45" s="1"/>
  <c r="B98" i="45" s="1"/>
  <c r="B99" i="45" s="1"/>
  <c r="B100" i="45" s="1"/>
  <c r="B101" i="45" s="1"/>
  <c r="B102" i="45" s="1"/>
  <c r="B103" i="45" s="1"/>
  <c r="B104" i="45" s="1"/>
  <c r="B105" i="45" s="1"/>
  <c r="B106" i="45" s="1"/>
  <c r="B107" i="45" s="1"/>
  <c r="B108" i="45" s="1"/>
  <c r="B109" i="45" s="1"/>
  <c r="B110" i="45" s="1"/>
  <c r="B111" i="45" s="1"/>
  <c r="B112" i="45" s="1"/>
  <c r="B113" i="45" s="1"/>
  <c r="B114" i="45" s="1"/>
  <c r="B115" i="45" s="1"/>
  <c r="B116" i="45" s="1"/>
  <c r="B117" i="45" s="1"/>
  <c r="B118" i="45" s="1"/>
  <c r="B119" i="45" s="1"/>
  <c r="B120" i="45" s="1"/>
  <c r="B121" i="45" s="1"/>
  <c r="B122" i="45" s="1"/>
  <c r="B123" i="45" s="1"/>
  <c r="B124" i="45" s="1"/>
  <c r="B125" i="45" s="1"/>
  <c r="B126" i="45" s="1"/>
  <c r="B127" i="45" s="1"/>
  <c r="B128" i="45" s="1"/>
  <c r="B129" i="45" s="1"/>
  <c r="B130" i="45" s="1"/>
  <c r="B131" i="45" s="1"/>
  <c r="B132" i="45" s="1"/>
  <c r="B133" i="45" s="1"/>
  <c r="B134" i="45" s="1"/>
  <c r="B135" i="45" s="1"/>
  <c r="B136" i="45" s="1"/>
  <c r="B137" i="45" s="1"/>
  <c r="B138" i="45" s="1"/>
  <c r="B139" i="45" s="1"/>
  <c r="B140" i="45" s="1"/>
  <c r="B141" i="45" s="1"/>
  <c r="B142" i="45" s="1"/>
  <c r="B143" i="45" s="1"/>
  <c r="B144" i="45" s="1"/>
  <c r="B145" i="45" s="1"/>
  <c r="B146" i="45" s="1"/>
  <c r="B147" i="45" s="1"/>
  <c r="B148" i="45" s="1"/>
  <c r="B149" i="45" s="1"/>
  <c r="B150" i="45" s="1"/>
  <c r="B151" i="45" s="1"/>
  <c r="B152" i="45" s="1"/>
  <c r="B153" i="45" s="1"/>
  <c r="B154" i="45" s="1"/>
  <c r="B155" i="45" s="1"/>
  <c r="B156" i="45" s="1"/>
  <c r="B157" i="45" s="1"/>
  <c r="B158" i="45" s="1"/>
  <c r="B159" i="45" s="1"/>
  <c r="B160" i="45" s="1"/>
  <c r="B161" i="45" s="1"/>
  <c r="B162" i="45" s="1"/>
  <c r="B163" i="45" s="1"/>
  <c r="B164" i="45" s="1"/>
  <c r="B165" i="45" s="1"/>
  <c r="B166" i="45" s="1"/>
  <c r="B167" i="45" s="1"/>
  <c r="B168" i="45" s="1"/>
  <c r="B169" i="45" s="1"/>
  <c r="B170" i="45" s="1"/>
  <c r="B171" i="45" s="1"/>
  <c r="B172" i="45" s="1"/>
  <c r="B173" i="45" s="1"/>
  <c r="B174" i="45" s="1"/>
  <c r="B175" i="45" s="1"/>
  <c r="B176" i="45" s="1"/>
  <c r="B177" i="45" s="1"/>
  <c r="B178" i="45" s="1"/>
  <c r="B179" i="45" s="1"/>
  <c r="B180" i="45" s="1"/>
  <c r="B181" i="45" s="1"/>
  <c r="B182" i="45" s="1"/>
  <c r="B183" i="45" s="1"/>
  <c r="B184" i="45" s="1"/>
  <c r="B185" i="45" s="1"/>
  <c r="B186" i="45" s="1"/>
  <c r="B187" i="45" s="1"/>
  <c r="B188" i="45" s="1"/>
  <c r="B189" i="45" s="1"/>
  <c r="B190" i="45" s="1"/>
  <c r="B191" i="45" s="1"/>
  <c r="B192" i="45" s="1"/>
  <c r="B193" i="45" s="1"/>
  <c r="B194" i="45" s="1"/>
  <c r="B195" i="45" s="1"/>
  <c r="B196" i="45" s="1"/>
  <c r="B197" i="45" s="1"/>
  <c r="B198" i="45" s="1"/>
  <c r="B199" i="45" s="1"/>
  <c r="B200" i="45" s="1"/>
  <c r="B201" i="45" s="1"/>
  <c r="B202" i="45" s="1"/>
  <c r="B203" i="45" s="1"/>
  <c r="B204" i="45" s="1"/>
  <c r="B205" i="45" s="1"/>
  <c r="B206" i="45" s="1"/>
  <c r="B207" i="45" s="1"/>
  <c r="B208" i="45" s="1"/>
  <c r="B209" i="45" s="1"/>
  <c r="B210" i="45" s="1"/>
  <c r="B211" i="45" s="1"/>
  <c r="B212" i="45" s="1"/>
  <c r="B213" i="45" s="1"/>
  <c r="B214" i="45" s="1"/>
  <c r="B215" i="45" s="1"/>
  <c r="B216" i="45" s="1"/>
  <c r="B217" i="45" s="1"/>
  <c r="B218" i="45" s="1"/>
  <c r="B219" i="45" s="1"/>
  <c r="B220" i="45" s="1"/>
  <c r="B221" i="45" s="1"/>
  <c r="B222" i="45" s="1"/>
  <c r="B223" i="45" s="1"/>
  <c r="B224" i="45" s="1"/>
  <c r="B225" i="45" s="1"/>
  <c r="B226" i="45" s="1"/>
  <c r="B227" i="45" s="1"/>
  <c r="B228" i="45" s="1"/>
  <c r="B229" i="45" s="1"/>
  <c r="B230" i="45" s="1"/>
  <c r="B231" i="45" s="1"/>
  <c r="B232" i="45" s="1"/>
  <c r="B233" i="45" s="1"/>
  <c r="B234" i="45" s="1"/>
  <c r="B235" i="45" s="1"/>
  <c r="B236" i="45" s="1"/>
  <c r="B237" i="45" s="1"/>
  <c r="B238" i="45" s="1"/>
  <c r="B239" i="45" s="1"/>
  <c r="B240" i="45" s="1"/>
  <c r="B241" i="45" s="1"/>
  <c r="B242" i="45" s="1"/>
  <c r="B243" i="45" s="1"/>
  <c r="B244" i="45" s="1"/>
  <c r="B245" i="45" s="1"/>
  <c r="B246" i="45" s="1"/>
  <c r="B247" i="45" s="1"/>
  <c r="B248" i="45" s="1"/>
  <c r="B249" i="45" s="1"/>
  <c r="B250" i="45" s="1"/>
  <c r="B251" i="45" s="1"/>
  <c r="B252" i="45" s="1"/>
  <c r="B253" i="45" s="1"/>
  <c r="B254" i="45" s="1"/>
  <c r="B255" i="45" s="1"/>
  <c r="B256" i="45" s="1"/>
  <c r="B257" i="45" s="1"/>
  <c r="B258" i="45" s="1"/>
  <c r="B259" i="45" s="1"/>
  <c r="B260" i="45" s="1"/>
  <c r="B261" i="45" s="1"/>
  <c r="B262" i="45" s="1"/>
  <c r="B263" i="45" s="1"/>
  <c r="B264" i="45" s="1"/>
  <c r="B265" i="45" s="1"/>
  <c r="B266" i="45" s="1"/>
  <c r="B267" i="45" s="1"/>
  <c r="B268" i="45" s="1"/>
  <c r="B269" i="45" s="1"/>
  <c r="B270" i="45" s="1"/>
  <c r="B271" i="45" s="1"/>
  <c r="B272" i="45" s="1"/>
  <c r="B273" i="45" s="1"/>
  <c r="B274" i="45" s="1"/>
  <c r="B275" i="45" s="1"/>
  <c r="B276" i="45" s="1"/>
  <c r="B277" i="45" s="1"/>
  <c r="B278" i="45" s="1"/>
  <c r="B279" i="45" s="1"/>
  <c r="B280" i="45" s="1"/>
  <c r="B281" i="45" s="1"/>
  <c r="B282" i="45" s="1"/>
  <c r="B283" i="45" s="1"/>
  <c r="B284" i="45" s="1"/>
  <c r="B285" i="45" s="1"/>
  <c r="B286" i="45" s="1"/>
  <c r="B287" i="45" s="1"/>
  <c r="B288" i="45" s="1"/>
  <c r="B289" i="45" s="1"/>
  <c r="B290" i="45" s="1"/>
  <c r="B291" i="45" s="1"/>
  <c r="B292" i="45" s="1"/>
  <c r="B293" i="45" s="1"/>
  <c r="B294" i="45" s="1"/>
  <c r="B295" i="45" s="1"/>
  <c r="B296" i="45" s="1"/>
  <c r="B297" i="45" s="1"/>
  <c r="B298" i="45" s="1"/>
  <c r="B299" i="45" s="1"/>
  <c r="B300" i="45" s="1"/>
  <c r="B301" i="45" s="1"/>
  <c r="B302" i="45" s="1"/>
  <c r="B303" i="45" s="1"/>
  <c r="B304" i="45" s="1"/>
  <c r="B305" i="45" s="1"/>
  <c r="B306" i="45" s="1"/>
  <c r="B307" i="45" s="1"/>
  <c r="B308" i="45" s="1"/>
  <c r="B309" i="45" s="1"/>
  <c r="B310" i="45" s="1"/>
  <c r="B311" i="45" s="1"/>
  <c r="B312" i="45" s="1"/>
  <c r="B313" i="45" s="1"/>
  <c r="B314" i="45" s="1"/>
  <c r="B315" i="45" s="1"/>
  <c r="B316" i="45" s="1"/>
  <c r="B317" i="45" s="1"/>
  <c r="B318" i="45" s="1"/>
  <c r="B319" i="45" s="1"/>
  <c r="B320" i="45" s="1"/>
  <c r="B321" i="45" s="1"/>
  <c r="B322" i="45" s="1"/>
  <c r="B323" i="45" s="1"/>
  <c r="B324" i="45" s="1"/>
  <c r="B325" i="45" s="1"/>
  <c r="R3" i="46"/>
  <c r="R4" i="46"/>
  <c r="R5" i="46"/>
  <c r="R6" i="46"/>
  <c r="R7" i="46"/>
  <c r="R8" i="46"/>
  <c r="R9" i="46"/>
  <c r="R10" i="46"/>
  <c r="R11" i="46"/>
  <c r="R12" i="46"/>
  <c r="R13" i="46"/>
  <c r="R14" i="46"/>
  <c r="R15" i="46"/>
  <c r="R16" i="46"/>
  <c r="R17" i="46"/>
  <c r="R18" i="46"/>
  <c r="R19" i="46"/>
  <c r="R20" i="46"/>
  <c r="R21" i="46"/>
  <c r="R22" i="46"/>
  <c r="R2" i="46"/>
  <c r="L34" i="27" l="1"/>
  <c r="M34" i="27" s="1"/>
  <c r="M61" i="27"/>
  <c r="L62" i="27"/>
  <c r="M62" i="27" s="1"/>
  <c r="M68" i="27"/>
  <c r="L69" i="27"/>
  <c r="L93" i="27"/>
  <c r="M93" i="27" s="1"/>
  <c r="L53" i="27"/>
  <c r="M53" i="27" s="1"/>
  <c r="L86" i="27"/>
  <c r="M86" i="27" s="1"/>
  <c r="L35" i="27"/>
  <c r="M35" i="27" s="1"/>
  <c r="L168" i="27"/>
  <c r="M168" i="27" s="1"/>
  <c r="E2" i="45"/>
  <c r="E295" i="45"/>
  <c r="E287" i="45"/>
  <c r="E267" i="45"/>
  <c r="E255" i="45"/>
  <c r="E243" i="45"/>
  <c r="E302" i="45"/>
  <c r="E294" i="45"/>
  <c r="E290" i="45"/>
  <c r="E282" i="45"/>
  <c r="E278" i="45"/>
  <c r="E274" i="45"/>
  <c r="E270" i="45"/>
  <c r="E266" i="45"/>
  <c r="E262" i="45"/>
  <c r="E254" i="45"/>
  <c r="E246" i="45"/>
  <c r="E234" i="45"/>
  <c r="E230" i="45"/>
  <c r="E226" i="45"/>
  <c r="E218" i="45"/>
  <c r="E259" i="45"/>
  <c r="E214" i="45"/>
  <c r="E210" i="45"/>
  <c r="E184" i="45"/>
  <c r="E176" i="45"/>
  <c r="E164" i="45"/>
  <c r="E160" i="45"/>
  <c r="E281" i="45"/>
  <c r="E148" i="45"/>
  <c r="E140" i="45"/>
  <c r="E136" i="45"/>
  <c r="E272" i="45"/>
  <c r="E132" i="45"/>
  <c r="E128" i="45"/>
  <c r="E124" i="45"/>
  <c r="E120" i="45"/>
  <c r="E143" i="45"/>
  <c r="E112" i="45"/>
  <c r="E108" i="45"/>
  <c r="E104" i="45"/>
  <c r="E299" i="45"/>
  <c r="E172" i="45"/>
  <c r="E92" i="45"/>
  <c r="E228" i="45"/>
  <c r="E88" i="45"/>
  <c r="E224" i="45"/>
  <c r="E84" i="45"/>
  <c r="E276" i="45"/>
  <c r="E76" i="45"/>
  <c r="E156" i="45"/>
  <c r="E72" i="45"/>
  <c r="E68" i="45"/>
  <c r="E85" i="45"/>
  <c r="E64" i="45"/>
  <c r="E325" i="45"/>
  <c r="E60" i="45"/>
  <c r="E321" i="45"/>
  <c r="E127" i="45"/>
  <c r="E56" i="45"/>
  <c r="E317" i="45"/>
  <c r="E52" i="45"/>
  <c r="E188" i="45"/>
  <c r="E313" i="45"/>
  <c r="E48" i="45"/>
  <c r="E309" i="45"/>
  <c r="E44" i="45"/>
  <c r="E300" i="45"/>
  <c r="E40" i="45"/>
  <c r="E292" i="45"/>
  <c r="E174" i="45"/>
  <c r="E178" i="45"/>
  <c r="E250" i="45"/>
  <c r="E36" i="45"/>
  <c r="E150" i="45"/>
  <c r="E32" i="45"/>
  <c r="E28" i="45"/>
  <c r="E24" i="45"/>
  <c r="E20" i="45"/>
  <c r="E16" i="45"/>
  <c r="E12" i="45"/>
  <c r="E8" i="45"/>
  <c r="E4" i="45"/>
  <c r="E297" i="45"/>
  <c r="E293" i="45"/>
  <c r="E285" i="45"/>
  <c r="E269" i="45"/>
  <c r="E265" i="45"/>
  <c r="E257" i="45"/>
  <c r="E253" i="45"/>
  <c r="E237" i="45"/>
  <c r="E229" i="45"/>
  <c r="E217" i="45"/>
  <c r="E277" i="45"/>
  <c r="E213" i="45"/>
  <c r="E207" i="45"/>
  <c r="E209" i="45"/>
  <c r="E203" i="45"/>
  <c r="E195" i="45"/>
  <c r="E179" i="45"/>
  <c r="E175" i="45"/>
  <c r="E159" i="45"/>
  <c r="E155" i="45"/>
  <c r="E151" i="45"/>
  <c r="E147" i="45"/>
  <c r="E139" i="45"/>
  <c r="E131" i="45"/>
  <c r="E227" i="45"/>
  <c r="E123" i="45"/>
  <c r="E115" i="45"/>
  <c r="E247" i="45"/>
  <c r="E301" i="45"/>
  <c r="E107" i="45"/>
  <c r="E99" i="45"/>
  <c r="E95" i="45"/>
  <c r="E91" i="45"/>
  <c r="E171" i="45"/>
  <c r="E87" i="45"/>
  <c r="E83" i="45"/>
  <c r="E75" i="45"/>
  <c r="E67" i="45"/>
  <c r="E63" i="45"/>
  <c r="E103" i="45"/>
  <c r="E324" i="45"/>
  <c r="E59" i="45"/>
  <c r="E320" i="45"/>
  <c r="E55" i="45"/>
  <c r="E316" i="45"/>
  <c r="E173" i="45"/>
  <c r="E51" i="45"/>
  <c r="E312" i="45"/>
  <c r="E47" i="45"/>
  <c r="E308" i="45"/>
  <c r="E137" i="45"/>
  <c r="E43" i="45"/>
  <c r="E304" i="45"/>
  <c r="E39" i="45"/>
  <c r="E110" i="45"/>
  <c r="E35" i="45"/>
  <c r="E31" i="45"/>
  <c r="E27" i="45"/>
  <c r="E215" i="45"/>
  <c r="E263" i="45"/>
  <c r="E180" i="45"/>
  <c r="E23" i="45"/>
  <c r="E19" i="45"/>
  <c r="E15" i="45"/>
  <c r="E11" i="45"/>
  <c r="E223" i="45"/>
  <c r="E311" i="45"/>
  <c r="E50" i="45"/>
  <c r="E7" i="45"/>
  <c r="E3" i="45"/>
  <c r="E273" i="45"/>
  <c r="E296" i="45"/>
  <c r="E280" i="45"/>
  <c r="E264" i="45"/>
  <c r="E260" i="45"/>
  <c r="E256" i="45"/>
  <c r="E248" i="45"/>
  <c r="E244" i="45"/>
  <c r="E240" i="45"/>
  <c r="E236" i="45"/>
  <c r="E232" i="45"/>
  <c r="E216" i="45"/>
  <c r="E212" i="45"/>
  <c r="E208" i="45"/>
  <c r="E206" i="45"/>
  <c r="E202" i="45"/>
  <c r="E198" i="45"/>
  <c r="E194" i="45"/>
  <c r="E190" i="45"/>
  <c r="E186" i="45"/>
  <c r="E182" i="45"/>
  <c r="E170" i="45"/>
  <c r="E286" i="45"/>
  <c r="E166" i="45"/>
  <c r="E158" i="45"/>
  <c r="E222" i="45"/>
  <c r="E154" i="45"/>
  <c r="E225" i="45"/>
  <c r="E146" i="45"/>
  <c r="E199" i="45"/>
  <c r="E142" i="45"/>
  <c r="E191" i="45"/>
  <c r="E197" i="45"/>
  <c r="E138" i="45"/>
  <c r="E167" i="45"/>
  <c r="E134" i="45"/>
  <c r="E130" i="45"/>
  <c r="E126" i="45"/>
  <c r="E118" i="45"/>
  <c r="E122" i="45"/>
  <c r="E152" i="45"/>
  <c r="E268" i="45"/>
  <c r="E106" i="45"/>
  <c r="E114" i="45"/>
  <c r="E288" i="45"/>
  <c r="E102" i="45"/>
  <c r="E238" i="45"/>
  <c r="E98" i="45"/>
  <c r="E94" i="45"/>
  <c r="E90" i="45"/>
  <c r="E86" i="45"/>
  <c r="E82" i="45"/>
  <c r="E284" i="45"/>
  <c r="E205" i="45"/>
  <c r="E78" i="45"/>
  <c r="E74" i="45"/>
  <c r="E258" i="45"/>
  <c r="E135" i="45"/>
  <c r="E271" i="45"/>
  <c r="E204" i="45"/>
  <c r="E97" i="45"/>
  <c r="E233" i="45"/>
  <c r="E70" i="45"/>
  <c r="E79" i="45"/>
  <c r="E96" i="45"/>
  <c r="E192" i="45"/>
  <c r="E200" i="45"/>
  <c r="E66" i="45"/>
  <c r="E323" i="45"/>
  <c r="E116" i="45"/>
  <c r="E62" i="45"/>
  <c r="E319" i="45"/>
  <c r="E58" i="45"/>
  <c r="E315" i="45"/>
  <c r="E54" i="45"/>
  <c r="E307" i="45"/>
  <c r="E46" i="45"/>
  <c r="E303" i="45"/>
  <c r="E220" i="45"/>
  <c r="E42" i="45"/>
  <c r="E249" i="45"/>
  <c r="E38" i="45"/>
  <c r="E111" i="45"/>
  <c r="E187" i="45"/>
  <c r="E34" i="45"/>
  <c r="E30" i="45"/>
  <c r="E26" i="45"/>
  <c r="E22" i="45"/>
  <c r="E18" i="45"/>
  <c r="E242" i="45"/>
  <c r="E196" i="45"/>
  <c r="E252" i="45"/>
  <c r="E14" i="45"/>
  <c r="E10" i="45"/>
  <c r="E6" i="45"/>
  <c r="E291" i="45"/>
  <c r="E283" i="45"/>
  <c r="E275" i="45"/>
  <c r="E239" i="45"/>
  <c r="E289" i="45"/>
  <c r="E235" i="45"/>
  <c r="E231" i="45"/>
  <c r="E219" i="45"/>
  <c r="E211" i="45"/>
  <c r="E193" i="45"/>
  <c r="E221" i="45"/>
  <c r="E189" i="45"/>
  <c r="E185" i="45"/>
  <c r="E181" i="45"/>
  <c r="E177" i="45"/>
  <c r="E169" i="45"/>
  <c r="E165" i="45"/>
  <c r="E157" i="45"/>
  <c r="E153" i="45"/>
  <c r="E149" i="45"/>
  <c r="E145" i="45"/>
  <c r="E141" i="45"/>
  <c r="E129" i="45"/>
  <c r="E133" i="45"/>
  <c r="E162" i="45"/>
  <c r="E251" i="45"/>
  <c r="E125" i="45"/>
  <c r="E121" i="45"/>
  <c r="E279" i="45"/>
  <c r="E117" i="45"/>
  <c r="E113" i="45"/>
  <c r="E109" i="45"/>
  <c r="E245" i="45"/>
  <c r="E105" i="45"/>
  <c r="E241" i="45"/>
  <c r="E101" i="45"/>
  <c r="E93" i="45"/>
  <c r="E201" i="45"/>
  <c r="E89" i="45"/>
  <c r="E81" i="45"/>
  <c r="E77" i="45"/>
  <c r="E73" i="45"/>
  <c r="E69" i="45"/>
  <c r="E65" i="45"/>
  <c r="E119" i="45"/>
  <c r="E61" i="45"/>
  <c r="E322" i="45"/>
  <c r="E57" i="45"/>
  <c r="E318" i="45"/>
  <c r="E168" i="45"/>
  <c r="E53" i="45"/>
  <c r="E261" i="45"/>
  <c r="E314" i="45"/>
  <c r="E183" i="45"/>
  <c r="E49" i="45"/>
  <c r="E310" i="45"/>
  <c r="E45" i="45"/>
  <c r="E306" i="45"/>
  <c r="E41" i="45"/>
  <c r="E37" i="45"/>
  <c r="E33" i="45"/>
  <c r="E71" i="45"/>
  <c r="E163" i="45"/>
  <c r="E29" i="45"/>
  <c r="E25" i="45"/>
  <c r="E21" i="45"/>
  <c r="E17" i="45"/>
  <c r="E13" i="45"/>
  <c r="E9" i="45"/>
  <c r="E5" i="45"/>
  <c r="E161" i="45"/>
  <c r="D113" i="51"/>
  <c r="E298" i="45"/>
  <c r="E305" i="45"/>
  <c r="E144" i="45"/>
  <c r="E100" i="45"/>
  <c r="E80" i="45"/>
  <c r="L322" i="45"/>
  <c r="L318" i="45"/>
  <c r="L314" i="45"/>
  <c r="L310" i="45"/>
  <c r="L306" i="45"/>
  <c r="L302" i="45"/>
  <c r="L298" i="45"/>
  <c r="L294" i="45"/>
  <c r="L290" i="45"/>
  <c r="L286" i="45"/>
  <c r="L282" i="45"/>
  <c r="L278" i="45"/>
  <c r="L274" i="45"/>
  <c r="L270" i="45"/>
  <c r="L266" i="45"/>
  <c r="L262" i="45"/>
  <c r="L258" i="45"/>
  <c r="L254" i="45"/>
  <c r="L250" i="45"/>
  <c r="L246" i="45"/>
  <c r="L242" i="45"/>
  <c r="L238" i="45"/>
  <c r="L234" i="45"/>
  <c r="L230" i="45"/>
  <c r="L226" i="45"/>
  <c r="L222" i="45"/>
  <c r="L218" i="45"/>
  <c r="L214" i="45"/>
  <c r="L210" i="45"/>
  <c r="L206" i="45"/>
  <c r="L202" i="45"/>
  <c r="L198" i="45"/>
  <c r="L194" i="45"/>
  <c r="L190" i="45"/>
  <c r="L186" i="45"/>
  <c r="L182" i="45"/>
  <c r="L178" i="45"/>
  <c r="L174" i="45"/>
  <c r="L170" i="45"/>
  <c r="L166" i="45"/>
  <c r="L162" i="45"/>
  <c r="L158" i="45"/>
  <c r="L154" i="45"/>
  <c r="L150" i="45"/>
  <c r="L146" i="45"/>
  <c r="L142" i="45"/>
  <c r="L138" i="45"/>
  <c r="L134" i="45"/>
  <c r="L130" i="45"/>
  <c r="L126" i="45"/>
  <c r="L122" i="45"/>
  <c r="L118" i="45"/>
  <c r="L114" i="45"/>
  <c r="L110" i="45"/>
  <c r="L106" i="45"/>
  <c r="L102" i="45"/>
  <c r="L98" i="45"/>
  <c r="L94" i="45"/>
  <c r="L90" i="45"/>
  <c r="L86" i="45"/>
  <c r="L82" i="45"/>
  <c r="L78" i="45"/>
  <c r="L74" i="45"/>
  <c r="L70" i="45"/>
  <c r="L66" i="45"/>
  <c r="L62" i="45"/>
  <c r="L58" i="45"/>
  <c r="L54" i="45"/>
  <c r="L50" i="45"/>
  <c r="L46" i="45"/>
  <c r="L42" i="45"/>
  <c r="L38" i="45"/>
  <c r="L34" i="45"/>
  <c r="L30" i="45"/>
  <c r="L26" i="45"/>
  <c r="L22" i="45"/>
  <c r="L18" i="45"/>
  <c r="L14" i="45"/>
  <c r="L10" i="45"/>
  <c r="L6" i="45"/>
  <c r="L201" i="45"/>
  <c r="L73" i="45"/>
  <c r="L325" i="45"/>
  <c r="L321" i="45"/>
  <c r="L317" i="45"/>
  <c r="L313" i="45"/>
  <c r="L309" i="45"/>
  <c r="L305" i="45"/>
  <c r="L301" i="45"/>
  <c r="L297" i="45"/>
  <c r="L293" i="45"/>
  <c r="L289" i="45"/>
  <c r="L285" i="45"/>
  <c r="L281" i="45"/>
  <c r="L277" i="45"/>
  <c r="L273" i="45"/>
  <c r="L269" i="45"/>
  <c r="L265" i="45"/>
  <c r="L261" i="45"/>
  <c r="L257" i="45"/>
  <c r="L253" i="45"/>
  <c r="L249" i="45"/>
  <c r="L245" i="45"/>
  <c r="L241" i="45"/>
  <c r="L237" i="45"/>
  <c r="L233" i="45"/>
  <c r="L229" i="45"/>
  <c r="L225" i="45"/>
  <c r="L221" i="45"/>
  <c r="L217" i="45"/>
  <c r="L213" i="45"/>
  <c r="L209" i="45"/>
  <c r="L205" i="45"/>
  <c r="L197" i="45"/>
  <c r="L193" i="45"/>
  <c r="L189" i="45"/>
  <c r="L185" i="45"/>
  <c r="L181" i="45"/>
  <c r="L177" i="45"/>
  <c r="L173" i="45"/>
  <c r="L169" i="45"/>
  <c r="L165" i="45"/>
  <c r="L161" i="45"/>
  <c r="L157" i="45"/>
  <c r="L153" i="45"/>
  <c r="L149" i="45"/>
  <c r="L145" i="45"/>
  <c r="L141" i="45"/>
  <c r="L137" i="45"/>
  <c r="L133" i="45"/>
  <c r="L129" i="45"/>
  <c r="L125" i="45"/>
  <c r="L121" i="45"/>
  <c r="L117" i="45"/>
  <c r="L113" i="45"/>
  <c r="L109" i="45"/>
  <c r="L105" i="45"/>
  <c r="L101" i="45"/>
  <c r="L97" i="45"/>
  <c r="L93" i="45"/>
  <c r="L89" i="45"/>
  <c r="L85" i="45"/>
  <c r="L81" i="45"/>
  <c r="L77" i="45"/>
  <c r="L69" i="45"/>
  <c r="L65" i="45"/>
  <c r="L61" i="45"/>
  <c r="L57" i="45"/>
  <c r="L53" i="45"/>
  <c r="L49" i="45"/>
  <c r="L45" i="45"/>
  <c r="L41" i="45"/>
  <c r="L37" i="45"/>
  <c r="L33" i="45"/>
  <c r="L29" i="45"/>
  <c r="L25" i="45"/>
  <c r="L21" i="45"/>
  <c r="L17" i="45"/>
  <c r="L13" i="45"/>
  <c r="L9" i="45"/>
  <c r="L5" i="45"/>
  <c r="L324" i="45"/>
  <c r="L320" i="45"/>
  <c r="L316" i="45"/>
  <c r="L312" i="45"/>
  <c r="L308" i="45"/>
  <c r="L304" i="45"/>
  <c r="L300" i="45"/>
  <c r="L296" i="45"/>
  <c r="L292" i="45"/>
  <c r="L288" i="45"/>
  <c r="L284" i="45"/>
  <c r="L280" i="45"/>
  <c r="L276" i="45"/>
  <c r="L272" i="45"/>
  <c r="L268" i="45"/>
  <c r="L264" i="45"/>
  <c r="L260" i="45"/>
  <c r="L256" i="45"/>
  <c r="L252" i="45"/>
  <c r="L248" i="45"/>
  <c r="L244" i="45"/>
  <c r="L240" i="45"/>
  <c r="L236" i="45"/>
  <c r="L232" i="45"/>
  <c r="L228" i="45"/>
  <c r="L224" i="45"/>
  <c r="L220" i="45"/>
  <c r="L216" i="45"/>
  <c r="L212" i="45"/>
  <c r="L208" i="45"/>
  <c r="L204" i="45"/>
  <c r="L200" i="45"/>
  <c r="L196" i="45"/>
  <c r="L192" i="45"/>
  <c r="L188" i="45"/>
  <c r="L184" i="45"/>
  <c r="L180" i="45"/>
  <c r="L176" i="45"/>
  <c r="L172" i="45"/>
  <c r="L168" i="45"/>
  <c r="L164" i="45"/>
  <c r="L160" i="45"/>
  <c r="L156" i="45"/>
  <c r="L152" i="45"/>
  <c r="L148" i="45"/>
  <c r="L144" i="45"/>
  <c r="L140" i="45"/>
  <c r="L136" i="45"/>
  <c r="L132" i="45"/>
  <c r="L128" i="45"/>
  <c r="L124" i="45"/>
  <c r="L120" i="45"/>
  <c r="L116" i="45"/>
  <c r="L112" i="45"/>
  <c r="L108" i="45"/>
  <c r="L104" i="45"/>
  <c r="L100" i="45"/>
  <c r="L96" i="45"/>
  <c r="L92" i="45"/>
  <c r="L88" i="45"/>
  <c r="L84" i="45"/>
  <c r="L80" i="45"/>
  <c r="L76" i="45"/>
  <c r="L72" i="45"/>
  <c r="L68" i="45"/>
  <c r="L64" i="45"/>
  <c r="L60" i="45"/>
  <c r="L56" i="45"/>
  <c r="L52" i="45"/>
  <c r="L48" i="45"/>
  <c r="L44" i="45"/>
  <c r="L40" i="45"/>
  <c r="L36" i="45"/>
  <c r="L32" i="45"/>
  <c r="L28" i="45"/>
  <c r="L24" i="45"/>
  <c r="L20" i="45"/>
  <c r="L16" i="45"/>
  <c r="L12" i="45"/>
  <c r="L8" i="45"/>
  <c r="L4" i="45"/>
  <c r="L323" i="45"/>
  <c r="L319" i="45"/>
  <c r="L315" i="45"/>
  <c r="L311" i="45"/>
  <c r="L307" i="45"/>
  <c r="L303" i="45"/>
  <c r="L299" i="45"/>
  <c r="L295" i="45"/>
  <c r="L291" i="45"/>
  <c r="L287" i="45"/>
  <c r="L283" i="45"/>
  <c r="L279" i="45"/>
  <c r="L275" i="45"/>
  <c r="L271" i="45"/>
  <c r="L267" i="45"/>
  <c r="L263" i="45"/>
  <c r="L259" i="45"/>
  <c r="L255" i="45"/>
  <c r="L251" i="45"/>
  <c r="L247" i="45"/>
  <c r="L243" i="45"/>
  <c r="L239" i="45"/>
  <c r="L235" i="45"/>
  <c r="L231" i="45"/>
  <c r="L227" i="45"/>
  <c r="L223" i="45"/>
  <c r="L219" i="45"/>
  <c r="L215" i="45"/>
  <c r="L211" i="45"/>
  <c r="L207" i="45"/>
  <c r="L203" i="45"/>
  <c r="L199" i="45"/>
  <c r="L195" i="45"/>
  <c r="L191" i="45"/>
  <c r="L187" i="45"/>
  <c r="L183" i="45"/>
  <c r="L179" i="45"/>
  <c r="L175" i="45"/>
  <c r="L171" i="45"/>
  <c r="L167" i="45"/>
  <c r="L163" i="45"/>
  <c r="L159" i="45"/>
  <c r="L155" i="45"/>
  <c r="L151" i="45"/>
  <c r="L147" i="45"/>
  <c r="L143" i="45"/>
  <c r="L139" i="45"/>
  <c r="L135" i="45"/>
  <c r="L131" i="45"/>
  <c r="L127" i="45"/>
  <c r="L123" i="45"/>
  <c r="L119" i="45"/>
  <c r="L115" i="45"/>
  <c r="L111" i="45"/>
  <c r="L107" i="45"/>
  <c r="L103" i="45"/>
  <c r="L99" i="45"/>
  <c r="L95" i="45"/>
  <c r="L91" i="45"/>
  <c r="L87" i="45"/>
  <c r="L83" i="45"/>
  <c r="L79" i="45"/>
  <c r="L75" i="45"/>
  <c r="L71" i="45"/>
  <c r="L67" i="45"/>
  <c r="L63" i="45"/>
  <c r="L59" i="45"/>
  <c r="L55" i="45"/>
  <c r="L51" i="45"/>
  <c r="L47" i="45"/>
  <c r="L43" i="45"/>
  <c r="L39" i="45"/>
  <c r="L35" i="45"/>
  <c r="L31" i="45"/>
  <c r="L27" i="45"/>
  <c r="L23" i="45"/>
  <c r="L19" i="45"/>
  <c r="L15" i="45"/>
  <c r="L11" i="45"/>
  <c r="L7" i="45"/>
  <c r="L3" i="45"/>
  <c r="L2" i="45"/>
  <c r="M69" i="27" l="1"/>
  <c r="L70" i="27"/>
  <c r="M70" i="27" s="1"/>
  <c r="L36" i="27"/>
  <c r="M36" i="27" s="1"/>
  <c r="L54" i="27"/>
  <c r="M54" i="27" s="1"/>
  <c r="L94" i="27"/>
  <c r="M94" i="27" s="1"/>
  <c r="L171" i="27"/>
  <c r="M171" i="27" s="1"/>
  <c r="D114" i="51"/>
  <c r="Q2" i="2"/>
  <c r="L37" i="27" l="1"/>
  <c r="M37" i="27" s="1"/>
  <c r="L174" i="27"/>
  <c r="M174" i="27" s="1"/>
  <c r="D115" i="51"/>
  <c r="L38" i="27" l="1"/>
  <c r="M38" i="27" s="1"/>
  <c r="L177" i="27"/>
  <c r="M177" i="27" s="1"/>
  <c r="D116" i="51"/>
  <c r="L180" i="27" l="1"/>
  <c r="M180" i="27" s="1"/>
  <c r="D117" i="51"/>
  <c r="L183" i="27" l="1"/>
  <c r="M183" i="27" s="1"/>
  <c r="D118" i="51"/>
  <c r="L186" i="27" l="1"/>
  <c r="M186" i="27" s="1"/>
  <c r="D119" i="51"/>
  <c r="H2" i="43"/>
  <c r="H3" i="43" s="1"/>
  <c r="H4" i="43" s="1"/>
  <c r="H5" i="43" s="1"/>
  <c r="H6" i="43" s="1"/>
  <c r="H7" i="43" s="1"/>
  <c r="H8" i="43" s="1"/>
  <c r="H9" i="43" s="1"/>
  <c r="H10" i="43" s="1"/>
  <c r="H11" i="43" s="1"/>
  <c r="H12" i="43" s="1"/>
  <c r="H13" i="43" s="1"/>
  <c r="H14" i="43" s="1"/>
  <c r="H15" i="43" s="1"/>
  <c r="H16" i="43" s="1"/>
  <c r="H17" i="43" s="1"/>
  <c r="H18" i="43" s="1"/>
  <c r="H19" i="43" s="1"/>
  <c r="H20" i="43" s="1"/>
  <c r="H21" i="43" s="1"/>
  <c r="H22" i="43" s="1"/>
  <c r="H23" i="43" s="1"/>
  <c r="H24" i="43" s="1"/>
  <c r="H25" i="43" s="1"/>
  <c r="H26" i="43" s="1"/>
  <c r="H27" i="43" s="1"/>
  <c r="H28" i="43" s="1"/>
  <c r="H29" i="43" s="1"/>
  <c r="H30" i="43" s="1"/>
  <c r="H31" i="43" s="1"/>
  <c r="H32" i="43" s="1"/>
  <c r="H33" i="43" s="1"/>
  <c r="H34" i="43" s="1"/>
  <c r="H35" i="43" s="1"/>
  <c r="H36" i="43" s="1"/>
  <c r="H37" i="43" s="1"/>
  <c r="H38" i="43" s="1"/>
  <c r="H39" i="43" s="1"/>
  <c r="H40" i="43" s="1"/>
  <c r="H41" i="43" s="1"/>
  <c r="H42" i="43" s="1"/>
  <c r="H43" i="43" s="1"/>
  <c r="H44" i="43" s="1"/>
  <c r="H45" i="43" s="1"/>
  <c r="H46" i="43" s="1"/>
  <c r="H47" i="43" s="1"/>
  <c r="H48" i="43" s="1"/>
  <c r="H49" i="43" s="1"/>
  <c r="H50" i="43" s="1"/>
  <c r="H51" i="43" s="1"/>
  <c r="H52" i="43" s="1"/>
  <c r="H53" i="43" s="1"/>
  <c r="H54" i="43" s="1"/>
  <c r="H55" i="43" s="1"/>
  <c r="H56" i="43" s="1"/>
  <c r="H57" i="43" s="1"/>
  <c r="H58" i="43" s="1"/>
  <c r="H59" i="43" s="1"/>
  <c r="H60" i="43" s="1"/>
  <c r="H61" i="43" s="1"/>
  <c r="H62" i="43" s="1"/>
  <c r="H63" i="43" s="1"/>
  <c r="H64" i="43" s="1"/>
  <c r="H65" i="43" s="1"/>
  <c r="H66" i="43" s="1"/>
  <c r="H67" i="43" s="1"/>
  <c r="H68" i="43" s="1"/>
  <c r="H69" i="43" s="1"/>
  <c r="H70" i="43" s="1"/>
  <c r="H71" i="43" s="1"/>
  <c r="H72" i="43" s="1"/>
  <c r="H73" i="43" s="1"/>
  <c r="H74" i="43" s="1"/>
  <c r="H75" i="43" s="1"/>
  <c r="H76" i="43" s="1"/>
  <c r="H77" i="43" s="1"/>
  <c r="H78" i="43" s="1"/>
  <c r="H79" i="43" s="1"/>
  <c r="H80" i="43" s="1"/>
  <c r="H81" i="43" s="1"/>
  <c r="H82" i="43" s="1"/>
  <c r="H83" i="43" s="1"/>
  <c r="H84" i="43" s="1"/>
  <c r="H85" i="43" s="1"/>
  <c r="H86" i="43" s="1"/>
  <c r="H87" i="43" s="1"/>
  <c r="H88" i="43" s="1"/>
  <c r="H89" i="43" s="1"/>
  <c r="H90" i="43" s="1"/>
  <c r="H91" i="43" s="1"/>
  <c r="H92" i="43" s="1"/>
  <c r="H93" i="43" s="1"/>
  <c r="H94" i="43" s="1"/>
  <c r="H95" i="43" s="1"/>
  <c r="H96" i="43" s="1"/>
  <c r="H97" i="43" s="1"/>
  <c r="H98" i="43" s="1"/>
  <c r="H99" i="43" s="1"/>
  <c r="H100" i="43" s="1"/>
  <c r="H101" i="43" s="1"/>
  <c r="H102" i="43" s="1"/>
  <c r="H103" i="43" s="1"/>
  <c r="H104" i="43" s="1"/>
  <c r="H105" i="43" s="1"/>
  <c r="H106" i="43" s="1"/>
  <c r="H107" i="43" s="1"/>
  <c r="H108" i="43" s="1"/>
  <c r="H109" i="43" s="1"/>
  <c r="H110" i="43" s="1"/>
  <c r="H111" i="43" s="1"/>
  <c r="H112" i="43" s="1"/>
  <c r="H113" i="43" s="1"/>
  <c r="H114" i="43" s="1"/>
  <c r="H115" i="43" s="1"/>
  <c r="H116" i="43" s="1"/>
  <c r="H117" i="43" s="1"/>
  <c r="H118" i="43" s="1"/>
  <c r="H119" i="43" s="1"/>
  <c r="H120" i="43" s="1"/>
  <c r="H121" i="43" s="1"/>
  <c r="H122" i="43" s="1"/>
  <c r="H123" i="43" s="1"/>
  <c r="H124" i="43" s="1"/>
  <c r="H125" i="43" s="1"/>
  <c r="H126" i="43" s="1"/>
  <c r="H127" i="43" s="1"/>
  <c r="H128" i="43" s="1"/>
  <c r="H129" i="43" s="1"/>
  <c r="H130" i="43" s="1"/>
  <c r="H131" i="43" s="1"/>
  <c r="H132" i="43" s="1"/>
  <c r="H133" i="43" s="1"/>
  <c r="H134" i="43" s="1"/>
  <c r="H135" i="43" s="1"/>
  <c r="H136" i="43" s="1"/>
  <c r="H137" i="43" s="1"/>
  <c r="H138" i="43" s="1"/>
  <c r="H139" i="43" s="1"/>
  <c r="H140" i="43" s="1"/>
  <c r="H141" i="43" s="1"/>
  <c r="H142" i="43" s="1"/>
  <c r="H143" i="43" s="1"/>
  <c r="H144" i="43" s="1"/>
  <c r="H145" i="43" s="1"/>
  <c r="H146" i="43" s="1"/>
  <c r="H147" i="43" s="1"/>
  <c r="H148" i="43" s="1"/>
  <c r="H149" i="43" s="1"/>
  <c r="H150" i="43" s="1"/>
  <c r="H151" i="43" s="1"/>
  <c r="H152" i="43" s="1"/>
  <c r="H153" i="43" s="1"/>
  <c r="H154" i="43" s="1"/>
  <c r="H155" i="43" s="1"/>
  <c r="E155" i="43"/>
  <c r="E130" i="43"/>
  <c r="E88" i="43"/>
  <c r="E89" i="43"/>
  <c r="E90" i="43"/>
  <c r="E91" i="43"/>
  <c r="E92" i="43"/>
  <c r="E93" i="43"/>
  <c r="E94" i="43"/>
  <c r="E95" i="43"/>
  <c r="E96" i="43"/>
  <c r="E97" i="43"/>
  <c r="E98" i="43"/>
  <c r="E99" i="43"/>
  <c r="E100" i="43"/>
  <c r="E101" i="43"/>
  <c r="E102" i="43"/>
  <c r="E103" i="43"/>
  <c r="E104" i="43"/>
  <c r="E105" i="43"/>
  <c r="E106" i="43"/>
  <c r="E107" i="43"/>
  <c r="E108" i="43"/>
  <c r="E109" i="43"/>
  <c r="E110" i="43"/>
  <c r="E111" i="43"/>
  <c r="E112" i="43"/>
  <c r="E113" i="43"/>
  <c r="E114" i="43"/>
  <c r="E115" i="43"/>
  <c r="E116" i="43"/>
  <c r="E117" i="43"/>
  <c r="E118" i="43"/>
  <c r="E119" i="43"/>
  <c r="E120" i="43"/>
  <c r="E121" i="43"/>
  <c r="E122" i="43"/>
  <c r="E123" i="43"/>
  <c r="E124" i="43"/>
  <c r="E125" i="43"/>
  <c r="E126" i="43"/>
  <c r="E127" i="43"/>
  <c r="E128" i="43"/>
  <c r="E129" i="43"/>
  <c r="E131" i="43"/>
  <c r="E132" i="43"/>
  <c r="E133" i="43"/>
  <c r="E134" i="43"/>
  <c r="E135" i="43"/>
  <c r="E136" i="43"/>
  <c r="E137" i="43"/>
  <c r="E138" i="43"/>
  <c r="E139" i="43"/>
  <c r="E140" i="43"/>
  <c r="E141" i="43"/>
  <c r="E142" i="43"/>
  <c r="E143" i="43"/>
  <c r="E144" i="43"/>
  <c r="E145" i="43"/>
  <c r="E146" i="43"/>
  <c r="E147" i="43"/>
  <c r="E148" i="43"/>
  <c r="E149" i="43"/>
  <c r="E150" i="43"/>
  <c r="E151" i="43"/>
  <c r="E152" i="43"/>
  <c r="E153" i="43"/>
  <c r="E154" i="43"/>
  <c r="E87" i="43"/>
  <c r="E17" i="43"/>
  <c r="E3" i="43"/>
  <c r="E4" i="43"/>
  <c r="E5" i="43"/>
  <c r="E6" i="43"/>
  <c r="E7" i="43"/>
  <c r="E8" i="43"/>
  <c r="E9" i="43"/>
  <c r="E10" i="43"/>
  <c r="E11" i="43"/>
  <c r="E12" i="43"/>
  <c r="E13" i="43"/>
  <c r="E14" i="43"/>
  <c r="E15" i="43"/>
  <c r="E16" i="43"/>
  <c r="E18" i="43"/>
  <c r="E19" i="43"/>
  <c r="E20" i="43"/>
  <c r="E21" i="43"/>
  <c r="E22" i="43"/>
  <c r="E23" i="43"/>
  <c r="E24" i="43"/>
  <c r="E25" i="43"/>
  <c r="E26" i="43"/>
  <c r="E27" i="43"/>
  <c r="E28" i="43"/>
  <c r="E29" i="43"/>
  <c r="E30" i="43"/>
  <c r="E31" i="43"/>
  <c r="E32" i="43"/>
  <c r="E33" i="43"/>
  <c r="E34" i="43"/>
  <c r="E35" i="43"/>
  <c r="E36" i="43"/>
  <c r="E37" i="43"/>
  <c r="E38" i="43"/>
  <c r="E39" i="43"/>
  <c r="E40" i="43"/>
  <c r="E41" i="43"/>
  <c r="E42" i="43"/>
  <c r="E43" i="43"/>
  <c r="E44" i="43"/>
  <c r="E45" i="43"/>
  <c r="E46" i="43"/>
  <c r="E47" i="43"/>
  <c r="E48" i="43"/>
  <c r="E49" i="43"/>
  <c r="E50" i="43"/>
  <c r="E51" i="43"/>
  <c r="E52" i="43"/>
  <c r="E53" i="43"/>
  <c r="E54" i="43"/>
  <c r="E55" i="43"/>
  <c r="E56" i="43"/>
  <c r="E57" i="43"/>
  <c r="E58" i="43"/>
  <c r="E59" i="43"/>
  <c r="E60" i="43"/>
  <c r="E61" i="43"/>
  <c r="E62" i="43"/>
  <c r="E63" i="43"/>
  <c r="E64" i="43"/>
  <c r="E65" i="43"/>
  <c r="E66" i="43"/>
  <c r="E67" i="43"/>
  <c r="E68" i="43"/>
  <c r="E69" i="43"/>
  <c r="E70" i="43"/>
  <c r="E71" i="43"/>
  <c r="E72" i="43"/>
  <c r="E73" i="43"/>
  <c r="E74" i="43"/>
  <c r="E75" i="43"/>
  <c r="E76" i="43"/>
  <c r="E77" i="43"/>
  <c r="E78" i="43"/>
  <c r="E79" i="43"/>
  <c r="E80" i="43"/>
  <c r="E81" i="43"/>
  <c r="E82" i="43"/>
  <c r="E83" i="43"/>
  <c r="E84" i="43"/>
  <c r="E85" i="43"/>
  <c r="E86" i="43"/>
  <c r="E2" i="43"/>
  <c r="AL2" i="28"/>
  <c r="AL3" i="28"/>
  <c r="AL4" i="28"/>
  <c r="AL5" i="28"/>
  <c r="AL6" i="28"/>
  <c r="AL7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L39" i="28"/>
  <c r="AL40" i="28"/>
  <c r="AL41" i="28"/>
  <c r="AL42" i="28"/>
  <c r="AL43" i="28"/>
  <c r="AL44" i="28"/>
  <c r="AL45" i="28"/>
  <c r="AL46" i="28"/>
  <c r="AL47" i="28"/>
  <c r="AL48" i="28"/>
  <c r="AL49" i="28"/>
  <c r="AL50" i="28"/>
  <c r="AL51" i="28"/>
  <c r="AL52" i="28"/>
  <c r="AL53" i="28"/>
  <c r="AL54" i="28"/>
  <c r="AL55" i="28"/>
  <c r="AL56" i="28"/>
  <c r="AL57" i="28"/>
  <c r="AL58" i="28"/>
  <c r="AL59" i="28"/>
  <c r="AL60" i="28"/>
  <c r="AL61" i="28"/>
  <c r="AL62" i="28"/>
  <c r="AL63" i="28"/>
  <c r="AL64" i="28"/>
  <c r="AL65" i="28"/>
  <c r="AL66" i="28"/>
  <c r="AL67" i="28"/>
  <c r="AL68" i="28"/>
  <c r="AL69" i="28"/>
  <c r="AL70" i="28"/>
  <c r="AL71" i="28"/>
  <c r="AL72" i="28"/>
  <c r="AL73" i="28"/>
  <c r="AL74" i="28"/>
  <c r="AL75" i="28"/>
  <c r="AL76" i="28"/>
  <c r="AL77" i="28"/>
  <c r="AL78" i="28"/>
  <c r="AL79" i="28"/>
  <c r="AL80" i="28"/>
  <c r="AL81" i="28"/>
  <c r="AL82" i="28"/>
  <c r="AL83" i="28"/>
  <c r="AL84" i="28"/>
  <c r="AL85" i="28"/>
  <c r="AL86" i="28"/>
  <c r="AL87" i="28"/>
  <c r="AL88" i="28"/>
  <c r="AL89" i="28"/>
  <c r="AL90" i="28"/>
  <c r="AL91" i="28"/>
  <c r="AL92" i="28"/>
  <c r="AL93" i="28"/>
  <c r="AL94" i="28"/>
  <c r="AL95" i="28"/>
  <c r="AL96" i="28"/>
  <c r="AL97" i="28"/>
  <c r="AL98" i="28"/>
  <c r="AL99" i="28"/>
  <c r="AL100" i="28"/>
  <c r="AL101" i="28"/>
  <c r="AL102" i="28"/>
  <c r="AL103" i="28"/>
  <c r="AL104" i="28"/>
  <c r="AL105" i="28"/>
  <c r="AL106" i="28"/>
  <c r="AL107" i="28"/>
  <c r="AL108" i="28"/>
  <c r="AL109" i="28"/>
  <c r="AL110" i="28"/>
  <c r="AL111" i="28"/>
  <c r="AL112" i="28"/>
  <c r="AL113" i="28"/>
  <c r="AL114" i="28"/>
  <c r="AL115" i="28"/>
  <c r="AL116" i="28"/>
  <c r="AL117" i="28"/>
  <c r="AL118" i="28"/>
  <c r="AL119" i="28"/>
  <c r="AL120" i="28"/>
  <c r="AL121" i="28"/>
  <c r="AL122" i="28"/>
  <c r="AL123" i="28"/>
  <c r="AL124" i="28"/>
  <c r="AL125" i="28"/>
  <c r="AL126" i="28"/>
  <c r="AL127" i="28"/>
  <c r="AL128" i="28"/>
  <c r="AL129" i="28"/>
  <c r="AL130" i="28"/>
  <c r="AL131" i="28"/>
  <c r="AL132" i="28"/>
  <c r="AL133" i="28"/>
  <c r="AL134" i="28"/>
  <c r="AL135" i="28"/>
  <c r="AL136" i="28"/>
  <c r="AL137" i="28"/>
  <c r="AL138" i="28"/>
  <c r="AL139" i="28"/>
  <c r="AL140" i="28"/>
  <c r="AL141" i="28"/>
  <c r="AL142" i="28"/>
  <c r="AL143" i="28"/>
  <c r="AL144" i="28"/>
  <c r="AL145" i="28"/>
  <c r="AL146" i="28"/>
  <c r="AL147" i="28"/>
  <c r="AL148" i="28"/>
  <c r="AL149" i="28"/>
  <c r="AL150" i="28"/>
  <c r="C2" i="2"/>
  <c r="V87" i="2"/>
  <c r="V85" i="2"/>
  <c r="V76" i="2"/>
  <c r="V65" i="2"/>
  <c r="V13" i="2"/>
  <c r="R13" i="2"/>
  <c r="R3" i="2"/>
  <c r="R4" i="2"/>
  <c r="R5" i="2"/>
  <c r="R6" i="2"/>
  <c r="R7" i="2"/>
  <c r="R8" i="2"/>
  <c r="R9" i="2"/>
  <c r="R10" i="2"/>
  <c r="R11" i="2"/>
  <c r="R12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2" i="2"/>
  <c r="AD105" i="50"/>
  <c r="AD99" i="50"/>
  <c r="AD51" i="50"/>
  <c r="AD88" i="50"/>
  <c r="AD159" i="50"/>
  <c r="AD177" i="50"/>
  <c r="AD171" i="50"/>
  <c r="AD162" i="50"/>
  <c r="AD158" i="50"/>
  <c r="AD157" i="50"/>
  <c r="AD150" i="50"/>
  <c r="AD130" i="50"/>
  <c r="AD129" i="50"/>
  <c r="AD128" i="50"/>
  <c r="AD126" i="50"/>
  <c r="AD122" i="50"/>
  <c r="AD120" i="50"/>
  <c r="AD119" i="50"/>
  <c r="AD118" i="50"/>
  <c r="AD113" i="50"/>
  <c r="AD108" i="50"/>
  <c r="AD107" i="50"/>
  <c r="AD87" i="50"/>
  <c r="AD86" i="50"/>
  <c r="AD85" i="50"/>
  <c r="AD80" i="50"/>
  <c r="AD79" i="50"/>
  <c r="AD78" i="50"/>
  <c r="AD93" i="50"/>
  <c r="AD73" i="50"/>
  <c r="AD72" i="50"/>
  <c r="AD71" i="50"/>
  <c r="AD69" i="50"/>
  <c r="AD75" i="50"/>
  <c r="AD76" i="50"/>
  <c r="AD77" i="50"/>
  <c r="AD67" i="50"/>
  <c r="AD66" i="50"/>
  <c r="AD65" i="50"/>
  <c r="AD64" i="50"/>
  <c r="AD63" i="50"/>
  <c r="AD62" i="50"/>
  <c r="AD59" i="50"/>
  <c r="AD57" i="50"/>
  <c r="AD56" i="50"/>
  <c r="AD55" i="50"/>
  <c r="AD54" i="50"/>
  <c r="AD53" i="50"/>
  <c r="AD52" i="50"/>
  <c r="AD47" i="50"/>
  <c r="AD48" i="50"/>
  <c r="AD49" i="50"/>
  <c r="AD50" i="50"/>
  <c r="AD14" i="50"/>
  <c r="AD6" i="50"/>
  <c r="AD197" i="50"/>
  <c r="AD195" i="50"/>
  <c r="AD191" i="50"/>
  <c r="AD187" i="50"/>
  <c r="AD188" i="50"/>
  <c r="AD184" i="50"/>
  <c r="AD183" i="50"/>
  <c r="AD182" i="50"/>
  <c r="AD181" i="50"/>
  <c r="AD180" i="50"/>
  <c r="AD179" i="50"/>
  <c r="AD178" i="50"/>
  <c r="AD174" i="50"/>
  <c r="AD172" i="50"/>
  <c r="AD169" i="50"/>
  <c r="AD168" i="50"/>
  <c r="AD167" i="50"/>
  <c r="AD166" i="50"/>
  <c r="AD164" i="50"/>
  <c r="AD163" i="50"/>
  <c r="AD161" i="50"/>
  <c r="AD160" i="50"/>
  <c r="AD156" i="50"/>
  <c r="AD155" i="50"/>
  <c r="AD154" i="50"/>
  <c r="AD153" i="50"/>
  <c r="AD152" i="50"/>
  <c r="AD151" i="50"/>
  <c r="AD149" i="50"/>
  <c r="AD148" i="50"/>
  <c r="AD147" i="50"/>
  <c r="AD146" i="50"/>
  <c r="AD145" i="50"/>
  <c r="AD144" i="50"/>
  <c r="AD143" i="50"/>
  <c r="AD142" i="50"/>
  <c r="AD141" i="50"/>
  <c r="AD140" i="50"/>
  <c r="AD139" i="50"/>
  <c r="AD138" i="50"/>
  <c r="AD137" i="50"/>
  <c r="AD136" i="50"/>
  <c r="AD135" i="50"/>
  <c r="AD134" i="50"/>
  <c r="AD133" i="50"/>
  <c r="AD132" i="50"/>
  <c r="AD131" i="50"/>
  <c r="AD124" i="50"/>
  <c r="AD123" i="50"/>
  <c r="AD121" i="50"/>
  <c r="AD117" i="50"/>
  <c r="AD116" i="50"/>
  <c r="AD115" i="50"/>
  <c r="AD114" i="50"/>
  <c r="AD112" i="50"/>
  <c r="AD111" i="50"/>
  <c r="AD110" i="50"/>
  <c r="AD109" i="50"/>
  <c r="AD106" i="50"/>
  <c r="AD104" i="50"/>
  <c r="AD103" i="50"/>
  <c r="AD102" i="50"/>
  <c r="AD101" i="50"/>
  <c r="AD100" i="50"/>
  <c r="AD98" i="50"/>
  <c r="AD97" i="50"/>
  <c r="AD95" i="50"/>
  <c r="AD96" i="50"/>
  <c r="AD94" i="50"/>
  <c r="AD92" i="50"/>
  <c r="AD91" i="50"/>
  <c r="AD90" i="50"/>
  <c r="AD89" i="50"/>
  <c r="AD84" i="50"/>
  <c r="AD83" i="50"/>
  <c r="AD82" i="50"/>
  <c r="AD81" i="50"/>
  <c r="AD74" i="50"/>
  <c r="AD70" i="50"/>
  <c r="AD68" i="50"/>
  <c r="AD61" i="50"/>
  <c r="AD60" i="50"/>
  <c r="AD58" i="50"/>
  <c r="AD46" i="50"/>
  <c r="AD45" i="50"/>
  <c r="AD44" i="50"/>
  <c r="AD42" i="50"/>
  <c r="AD37" i="50"/>
  <c r="AD17" i="50"/>
  <c r="AD16" i="50"/>
  <c r="AD13" i="50"/>
  <c r="AD12" i="50"/>
  <c r="AD11" i="50"/>
  <c r="AD10" i="50"/>
  <c r="AD9" i="50"/>
  <c r="AD8" i="50"/>
  <c r="AD7" i="50"/>
  <c r="AD5" i="50"/>
  <c r="AD4" i="50"/>
  <c r="AD3" i="50"/>
  <c r="AD2" i="50"/>
  <c r="AD15" i="50"/>
  <c r="AD18" i="50"/>
  <c r="AD19" i="50"/>
  <c r="AD20" i="50"/>
  <c r="AD21" i="50"/>
  <c r="AD22" i="50"/>
  <c r="AD23" i="50"/>
  <c r="AD24" i="50"/>
  <c r="AD25" i="50"/>
  <c r="AD26" i="50"/>
  <c r="AD27" i="50"/>
  <c r="AD28" i="50"/>
  <c r="AD29" i="50"/>
  <c r="AD30" i="50"/>
  <c r="AD31" i="50"/>
  <c r="AD32" i="50"/>
  <c r="AD33" i="50"/>
  <c r="AD34" i="50"/>
  <c r="AD35" i="50"/>
  <c r="AD36" i="50"/>
  <c r="AD38" i="50"/>
  <c r="AD39" i="50"/>
  <c r="AD40" i="50"/>
  <c r="AD41" i="50"/>
  <c r="AD43" i="50"/>
  <c r="AD125" i="50"/>
  <c r="AD127" i="50"/>
  <c r="AD165" i="50"/>
  <c r="AD170" i="50"/>
  <c r="AD173" i="50"/>
  <c r="AD175" i="50"/>
  <c r="AD176" i="50"/>
  <c r="AD185" i="50"/>
  <c r="AD186" i="50"/>
  <c r="AD189" i="50"/>
  <c r="AD190" i="50"/>
  <c r="AD192" i="50"/>
  <c r="AD193" i="50"/>
  <c r="AD194" i="50"/>
  <c r="AD196" i="50"/>
  <c r="AD198" i="50"/>
  <c r="AD199" i="50"/>
  <c r="L189" i="27" l="1"/>
  <c r="M189" i="27" s="1"/>
  <c r="D120" i="51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21" i="51" l="1"/>
  <c r="J23" i="2"/>
  <c r="J17" i="2"/>
  <c r="J103" i="2"/>
  <c r="J26" i="2"/>
  <c r="J75" i="2"/>
  <c r="J99" i="2"/>
  <c r="J95" i="2"/>
  <c r="J91" i="2"/>
  <c r="J87" i="2"/>
  <c r="J83" i="2"/>
  <c r="J79" i="2"/>
  <c r="J71" i="2"/>
  <c r="J63" i="2"/>
  <c r="J55" i="2"/>
  <c r="J47" i="2"/>
  <c r="J39" i="2"/>
  <c r="J35" i="2"/>
  <c r="J27" i="2"/>
  <c r="J19" i="2"/>
  <c r="J106" i="2"/>
  <c r="J98" i="2"/>
  <c r="J90" i="2"/>
  <c r="J82" i="2"/>
  <c r="J74" i="2"/>
  <c r="J70" i="2"/>
  <c r="J62" i="2"/>
  <c r="J50" i="2"/>
  <c r="J42" i="2"/>
  <c r="J38" i="2"/>
  <c r="J34" i="2"/>
  <c r="J30" i="2"/>
  <c r="J22" i="2"/>
  <c r="J108" i="2"/>
  <c r="J104" i="2"/>
  <c r="J100" i="2"/>
  <c r="J96" i="2"/>
  <c r="J92" i="2"/>
  <c r="J88" i="2"/>
  <c r="J84" i="2"/>
  <c r="J80" i="2"/>
  <c r="J76" i="2"/>
  <c r="J72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8" i="2"/>
  <c r="J2" i="2"/>
  <c r="J107" i="2"/>
  <c r="J67" i="2"/>
  <c r="J59" i="2"/>
  <c r="J51" i="2"/>
  <c r="J43" i="2"/>
  <c r="J31" i="2"/>
  <c r="J102" i="2"/>
  <c r="J94" i="2"/>
  <c r="J86" i="2"/>
  <c r="J78" i="2"/>
  <c r="J66" i="2"/>
  <c r="J58" i="2"/>
  <c r="J54" i="2"/>
  <c r="J46" i="2"/>
  <c r="J109" i="2"/>
  <c r="J105" i="2"/>
  <c r="J101" i="2"/>
  <c r="J97" i="2"/>
  <c r="J93" i="2"/>
  <c r="J89" i="2"/>
  <c r="J85" i="2"/>
  <c r="J81" i="2"/>
  <c r="J77" i="2"/>
  <c r="J73" i="2"/>
  <c r="J69" i="2"/>
  <c r="J65" i="2"/>
  <c r="J61" i="2"/>
  <c r="J57" i="2"/>
  <c r="J53" i="2"/>
  <c r="J49" i="2"/>
  <c r="J45" i="2"/>
  <c r="J41" i="2"/>
  <c r="J37" i="2"/>
  <c r="J33" i="2"/>
  <c r="J29" i="2"/>
  <c r="J25" i="2"/>
  <c r="J21" i="2"/>
  <c r="A3" i="42"/>
  <c r="A4" i="42"/>
  <c r="A2" i="42"/>
  <c r="D122" i="51" l="1"/>
  <c r="D123" i="51" l="1"/>
  <c r="D2" i="48"/>
  <c r="D3" i="48" l="1"/>
  <c r="D4" i="48"/>
  <c r="D124" i="51"/>
  <c r="L11" i="46"/>
  <c r="L10" i="46"/>
  <c r="L9" i="46"/>
  <c r="L8" i="46"/>
  <c r="L7" i="46"/>
  <c r="L6" i="46"/>
  <c r="L5" i="46"/>
  <c r="L4" i="46"/>
  <c r="L3" i="46"/>
  <c r="L2" i="46"/>
  <c r="E3" i="42"/>
  <c r="E2" i="42"/>
  <c r="E4" i="42"/>
  <c r="E1" i="42"/>
  <c r="E5" i="42"/>
  <c r="D5" i="48" l="1"/>
  <c r="D125" i="51"/>
  <c r="G3" i="48"/>
  <c r="D6" i="48" l="1"/>
  <c r="D126" i="51"/>
  <c r="G2" i="48"/>
  <c r="G4" i="48"/>
  <c r="G7" i="48" l="1"/>
  <c r="G5" i="48"/>
  <c r="G6" i="48"/>
  <c r="D7" i="48"/>
  <c r="D127" i="51"/>
  <c r="D8" i="48" l="1"/>
  <c r="D128" i="51"/>
  <c r="D9" i="48" l="1"/>
  <c r="G8" i="48"/>
  <c r="D129" i="51"/>
  <c r="J16" i="2"/>
  <c r="J15" i="2"/>
  <c r="J12" i="2"/>
  <c r="J11" i="2"/>
  <c r="J8" i="2"/>
  <c r="J7" i="2"/>
  <c r="J4" i="2"/>
  <c r="J3" i="2"/>
  <c r="C3" i="2"/>
  <c r="D10" i="48" l="1"/>
  <c r="G9" i="48"/>
  <c r="D130" i="51"/>
  <c r="C4" i="2"/>
  <c r="J5" i="2"/>
  <c r="J9" i="2"/>
  <c r="J13" i="2"/>
  <c r="J6" i="2"/>
  <c r="J10" i="2"/>
  <c r="J14" i="2"/>
  <c r="D11" i="48" l="1"/>
  <c r="G10" i="48"/>
  <c r="D131" i="51"/>
  <c r="C5" i="2"/>
  <c r="D12" i="48" l="1"/>
  <c r="G11" i="48"/>
  <c r="D132" i="51"/>
  <c r="C6" i="2"/>
  <c r="D13" i="48" l="1"/>
  <c r="G12" i="48"/>
  <c r="D133" i="51"/>
  <c r="C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G13" i="48" l="1"/>
  <c r="D14" i="48"/>
  <c r="D134" i="51"/>
  <c r="C8" i="2"/>
  <c r="A3" i="9"/>
  <c r="D15" i="48" l="1"/>
  <c r="G14" i="48"/>
  <c r="D135" i="51"/>
  <c r="C9" i="2"/>
  <c r="A4" i="9"/>
  <c r="A5" i="9" s="1"/>
  <c r="G15" i="48" l="1"/>
  <c r="D16" i="48"/>
  <c r="D136" i="51"/>
  <c r="C10" i="2"/>
  <c r="A6" i="9"/>
  <c r="D17" i="48" l="1"/>
  <c r="G16" i="48"/>
  <c r="D137" i="51"/>
  <c r="C11" i="2"/>
  <c r="A7" i="9"/>
  <c r="D18" i="48" l="1"/>
  <c r="G17" i="48"/>
  <c r="D138" i="51"/>
  <c r="C12" i="2"/>
  <c r="A8" i="9"/>
  <c r="D19" i="48" l="1"/>
  <c r="G18" i="48"/>
  <c r="D139" i="51"/>
  <c r="C13" i="2"/>
  <c r="A9" i="9"/>
  <c r="G19" i="48" l="1"/>
  <c r="D20" i="48"/>
  <c r="C14" i="2"/>
  <c r="A10" i="9"/>
  <c r="G20" i="48" l="1"/>
  <c r="D21" i="48"/>
  <c r="C15" i="2"/>
  <c r="A11" i="9"/>
  <c r="D22" i="48" l="1"/>
  <c r="G21" i="48"/>
  <c r="C16" i="2"/>
  <c r="A12" i="9"/>
  <c r="G22" i="48" l="1"/>
  <c r="D23" i="48"/>
  <c r="C17" i="2"/>
  <c r="A13" i="9"/>
  <c r="H11" i="9"/>
  <c r="H10" i="9"/>
  <c r="H9" i="9"/>
  <c r="H8" i="9"/>
  <c r="H7" i="9"/>
  <c r="H6" i="9"/>
  <c r="H5" i="9"/>
  <c r="H4" i="9"/>
  <c r="H3" i="9"/>
  <c r="H2" i="9"/>
  <c r="G23" i="48" l="1"/>
  <c r="D24" i="48"/>
  <c r="C18" i="2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D25" i="48" l="1"/>
  <c r="G24" i="48"/>
  <c r="C19" i="2"/>
  <c r="G25" i="48" l="1"/>
  <c r="D26" i="48"/>
  <c r="C20" i="2"/>
  <c r="D27" i="48" l="1"/>
  <c r="G26" i="48"/>
  <c r="C21" i="2"/>
  <c r="G27" i="48" l="1"/>
  <c r="D28" i="48"/>
  <c r="C22" i="2"/>
  <c r="D29" i="48" l="1"/>
  <c r="G28" i="48"/>
  <c r="C23" i="2"/>
  <c r="G29" i="48" l="1"/>
  <c r="D30" i="48"/>
  <c r="C24" i="2"/>
  <c r="G30" i="48" l="1"/>
  <c r="D31" i="48"/>
  <c r="C25" i="2"/>
  <c r="G31" i="48" l="1"/>
  <c r="D32" i="48"/>
  <c r="C26" i="2"/>
  <c r="D33" i="48" l="1"/>
  <c r="G32" i="48"/>
  <c r="C27" i="2"/>
  <c r="D34" i="48" l="1"/>
  <c r="G33" i="48"/>
  <c r="C28" i="2"/>
  <c r="G34" i="48" l="1"/>
  <c r="D35" i="48"/>
  <c r="C29" i="2"/>
  <c r="D36" i="48" l="1"/>
  <c r="G35" i="48"/>
  <c r="C30" i="2"/>
  <c r="D37" i="48" l="1"/>
  <c r="G36" i="48"/>
  <c r="C31" i="2"/>
  <c r="G37" i="48" l="1"/>
  <c r="D38" i="48"/>
  <c r="C32" i="2"/>
  <c r="G38" i="48" l="1"/>
  <c r="D39" i="48"/>
  <c r="C33" i="2"/>
  <c r="G39" i="48" l="1"/>
  <c r="D40" i="48"/>
  <c r="C34" i="2"/>
  <c r="G40" i="48" l="1"/>
  <c r="D41" i="48"/>
  <c r="C35" i="2"/>
  <c r="D42" i="48" l="1"/>
  <c r="G41" i="48"/>
  <c r="C36" i="2"/>
  <c r="D43" i="48" l="1"/>
  <c r="G42" i="48"/>
  <c r="C37" i="2"/>
  <c r="G43" i="48" l="1"/>
  <c r="D44" i="48"/>
  <c r="C38" i="2"/>
  <c r="G44" i="48" l="1"/>
  <c r="D45" i="48"/>
  <c r="C39" i="2"/>
  <c r="D46" i="48" l="1"/>
  <c r="G45" i="48"/>
  <c r="C40" i="2"/>
  <c r="D47" i="48" l="1"/>
  <c r="G46" i="48"/>
  <c r="C41" i="2"/>
  <c r="G47" i="48" l="1"/>
  <c r="D48" i="48"/>
  <c r="C42" i="2"/>
  <c r="D49" i="48" l="1"/>
  <c r="G48" i="48"/>
  <c r="C43" i="2"/>
  <c r="G49" i="48" l="1"/>
  <c r="D50" i="48"/>
  <c r="C44" i="2"/>
  <c r="D51" i="48" l="1"/>
  <c r="G50" i="48"/>
  <c r="C45" i="2"/>
  <c r="G51" i="48" l="1"/>
  <c r="D52" i="48"/>
  <c r="C46" i="2"/>
  <c r="G52" i="48" l="1"/>
  <c r="D53" i="48"/>
  <c r="C47" i="2"/>
  <c r="G53" i="48" l="1"/>
  <c r="D54" i="48"/>
  <c r="C48" i="2"/>
  <c r="D55" i="48" l="1"/>
  <c r="G54" i="48"/>
  <c r="C49" i="2"/>
  <c r="D56" i="48" l="1"/>
  <c r="G55" i="48"/>
  <c r="C50" i="2"/>
  <c r="G56" i="48" l="1"/>
  <c r="D57" i="48"/>
  <c r="C51" i="2"/>
  <c r="G57" i="48" l="1"/>
  <c r="D58" i="48"/>
  <c r="C52" i="2"/>
  <c r="D59" i="48" l="1"/>
  <c r="G58" i="48"/>
  <c r="C53" i="2"/>
  <c r="D60" i="48" l="1"/>
  <c r="G59" i="48"/>
  <c r="C54" i="2"/>
  <c r="G60" i="48" l="1"/>
  <c r="D61" i="48"/>
  <c r="C55" i="2"/>
  <c r="D62" i="48" l="1"/>
  <c r="G61" i="48"/>
  <c r="C56" i="2"/>
  <c r="D63" i="48" l="1"/>
  <c r="G62" i="48"/>
  <c r="C57" i="2"/>
  <c r="D64" i="48" l="1"/>
  <c r="G63" i="48"/>
  <c r="C58" i="2"/>
  <c r="G64" i="48" l="1"/>
  <c r="D65" i="48"/>
  <c r="C59" i="2"/>
  <c r="G65" i="48" l="1"/>
  <c r="D66" i="48"/>
  <c r="C60" i="2"/>
  <c r="G66" i="48" l="1"/>
  <c r="D67" i="48"/>
  <c r="C61" i="2"/>
  <c r="D68" i="48" l="1"/>
  <c r="G67" i="48"/>
  <c r="C62" i="2"/>
  <c r="G68" i="48" l="1"/>
  <c r="D69" i="48"/>
  <c r="C63" i="2"/>
  <c r="D70" i="48" l="1"/>
  <c r="G69" i="48"/>
  <c r="C64" i="2"/>
  <c r="G70" i="48" l="1"/>
  <c r="D71" i="48"/>
  <c r="C65" i="2"/>
  <c r="D72" i="48" l="1"/>
  <c r="G71" i="48"/>
  <c r="C66" i="2"/>
  <c r="G72" i="48" l="1"/>
  <c r="D73" i="48"/>
  <c r="C67" i="2"/>
  <c r="G73" i="48" l="1"/>
  <c r="D74" i="48"/>
  <c r="C68" i="2"/>
  <c r="D75" i="48" l="1"/>
  <c r="G74" i="48"/>
  <c r="C69" i="2"/>
  <c r="D76" i="48" l="1"/>
  <c r="G75" i="48"/>
  <c r="C70" i="2"/>
  <c r="G76" i="48" l="1"/>
  <c r="D77" i="48"/>
  <c r="C71" i="2"/>
  <c r="D78" i="48" l="1"/>
  <c r="G77" i="48"/>
  <c r="C72" i="2"/>
  <c r="K23" i="27" l="1"/>
  <c r="K8" i="27"/>
  <c r="K2" i="27"/>
  <c r="K20" i="27"/>
  <c r="K14" i="27"/>
  <c r="K24" i="27"/>
  <c r="K22" i="27"/>
  <c r="K29" i="27"/>
  <c r="K15" i="27"/>
  <c r="K16" i="27"/>
  <c r="K4" i="27"/>
  <c r="K25" i="27"/>
  <c r="K21" i="27"/>
  <c r="K10" i="27"/>
  <c r="K3" i="27"/>
  <c r="K108" i="27"/>
  <c r="K19" i="27"/>
  <c r="K5" i="27"/>
  <c r="K26" i="27"/>
  <c r="K13" i="27"/>
  <c r="K17" i="27"/>
  <c r="K7" i="27"/>
  <c r="K12" i="27"/>
  <c r="K11" i="27"/>
  <c r="K18" i="27"/>
  <c r="K6" i="27"/>
  <c r="K27" i="27"/>
  <c r="K30" i="27"/>
  <c r="K28" i="27"/>
  <c r="K45" i="27"/>
  <c r="K9" i="27"/>
  <c r="K124" i="27"/>
  <c r="K70" i="27"/>
  <c r="K101" i="27"/>
  <c r="K86" i="27"/>
  <c r="K46" i="27"/>
  <c r="K85" i="27"/>
  <c r="K112" i="27"/>
  <c r="K116" i="27"/>
  <c r="K78" i="27"/>
  <c r="K94" i="27"/>
  <c r="K120" i="27"/>
  <c r="K62" i="27"/>
  <c r="K38" i="27"/>
  <c r="K54" i="27"/>
  <c r="K128" i="27"/>
  <c r="K42" i="27"/>
  <c r="K119" i="27"/>
  <c r="K123" i="27"/>
  <c r="K93" i="27"/>
  <c r="K77" i="27"/>
  <c r="K53" i="27"/>
  <c r="K37" i="27"/>
  <c r="K69" i="27"/>
  <c r="K100" i="27"/>
  <c r="K127" i="27"/>
  <c r="K115" i="27"/>
  <c r="K61" i="27"/>
  <c r="K111" i="27"/>
  <c r="K89" i="27"/>
  <c r="K107" i="27"/>
  <c r="K65" i="27"/>
  <c r="K50" i="27"/>
  <c r="K104" i="27"/>
  <c r="K33" i="27"/>
  <c r="K113" i="27"/>
  <c r="K158" i="27"/>
  <c r="K174" i="27"/>
  <c r="K199" i="27"/>
  <c r="K83" i="27"/>
  <c r="K90" i="27"/>
  <c r="K160" i="27"/>
  <c r="K131" i="27"/>
  <c r="K172" i="27"/>
  <c r="K137" i="27"/>
  <c r="K182" i="27"/>
  <c r="K166" i="27"/>
  <c r="K97" i="27"/>
  <c r="K139" i="27"/>
  <c r="K55" i="27"/>
  <c r="K118" i="27"/>
  <c r="K58" i="27"/>
  <c r="K187" i="27"/>
  <c r="K64" i="27"/>
  <c r="K130" i="27"/>
  <c r="K41" i="27"/>
  <c r="K73" i="27"/>
  <c r="K48" i="27"/>
  <c r="K103" i="27"/>
  <c r="K185" i="27"/>
  <c r="K191" i="27"/>
  <c r="K148" i="27"/>
  <c r="K163" i="27"/>
  <c r="K143" i="27"/>
  <c r="K138" i="27"/>
  <c r="K52" i="27"/>
  <c r="K99" i="27"/>
  <c r="K141" i="27"/>
  <c r="K56" i="27"/>
  <c r="K152" i="27"/>
  <c r="K72" i="27"/>
  <c r="K98" i="27"/>
  <c r="K155" i="27"/>
  <c r="K79" i="27"/>
  <c r="K167" i="27"/>
  <c r="K102" i="27"/>
  <c r="K193" i="27"/>
  <c r="K96" i="27"/>
  <c r="K184" i="27"/>
  <c r="K121" i="27"/>
  <c r="K157" i="27"/>
  <c r="K134" i="27"/>
  <c r="K82" i="27"/>
  <c r="K196" i="27"/>
  <c r="K32" i="27"/>
  <c r="K40" i="27"/>
  <c r="K170" i="27"/>
  <c r="K59" i="27"/>
  <c r="K153" i="27"/>
  <c r="K136" i="27"/>
  <c r="K47" i="27"/>
  <c r="K75" i="27"/>
  <c r="K36" i="27"/>
  <c r="K67" i="27"/>
  <c r="K57" i="27"/>
  <c r="K175" i="27"/>
  <c r="K74" i="27"/>
  <c r="K44" i="27"/>
  <c r="K34" i="27"/>
  <c r="K49" i="27"/>
  <c r="K129" i="27"/>
  <c r="K147" i="27"/>
  <c r="K71" i="27"/>
  <c r="K35" i="27"/>
  <c r="K81" i="27"/>
  <c r="K60" i="27"/>
  <c r="K133" i="27"/>
  <c r="K66" i="27"/>
  <c r="K176" i="27"/>
  <c r="K68" i="27"/>
  <c r="K179" i="27"/>
  <c r="K88" i="27"/>
  <c r="K114" i="27"/>
  <c r="K132" i="27"/>
  <c r="K164" i="27"/>
  <c r="K106" i="27"/>
  <c r="K159" i="27"/>
  <c r="K192" i="27"/>
  <c r="K190" i="27"/>
  <c r="K150" i="27"/>
  <c r="K156" i="27"/>
  <c r="K197" i="27"/>
  <c r="K180" i="27"/>
  <c r="K110" i="27"/>
  <c r="K80" i="27"/>
  <c r="K76" i="27"/>
  <c r="K31" i="27"/>
  <c r="K105" i="27"/>
  <c r="K162" i="27"/>
  <c r="K171" i="27"/>
  <c r="K165" i="27"/>
  <c r="K142" i="27"/>
  <c r="K87" i="27"/>
  <c r="K161" i="27"/>
  <c r="K92" i="27"/>
  <c r="K181" i="27"/>
  <c r="K126" i="27"/>
  <c r="K84" i="27"/>
  <c r="K140" i="27"/>
  <c r="K198" i="27"/>
  <c r="K168" i="27"/>
  <c r="K186" i="27"/>
  <c r="K200" i="27"/>
  <c r="K177" i="27"/>
  <c r="K204" i="27"/>
  <c r="K154" i="27"/>
  <c r="K95" i="27"/>
  <c r="K151" i="27"/>
  <c r="K203" i="27"/>
  <c r="K109" i="27"/>
  <c r="K122" i="27"/>
  <c r="K146" i="27"/>
  <c r="K135" i="27"/>
  <c r="K117" i="27"/>
  <c r="K202" i="27"/>
  <c r="K178" i="27"/>
  <c r="K91" i="27"/>
  <c r="K149" i="27"/>
  <c r="K145" i="27"/>
  <c r="K39" i="27"/>
  <c r="K173" i="27"/>
  <c r="K144" i="27"/>
  <c r="K125" i="27"/>
  <c r="K189" i="27"/>
  <c r="K201" i="27"/>
  <c r="K63" i="27"/>
  <c r="K51" i="27"/>
  <c r="K169" i="27"/>
  <c r="K183" i="27"/>
  <c r="K188" i="27"/>
  <c r="K43" i="27"/>
  <c r="K194" i="27"/>
  <c r="K195" i="27"/>
  <c r="G315" i="45"/>
  <c r="H315" i="45" s="1"/>
  <c r="G118" i="45"/>
  <c r="H118" i="45" s="1"/>
  <c r="G321" i="45"/>
  <c r="H321" i="45" s="1"/>
  <c r="G125" i="45"/>
  <c r="H125" i="45" s="1"/>
  <c r="G300" i="45"/>
  <c r="H300" i="45" s="1"/>
  <c r="G209" i="45"/>
  <c r="H209" i="45" s="1"/>
  <c r="G143" i="45"/>
  <c r="H143" i="45" s="1"/>
  <c r="G84" i="45"/>
  <c r="H84" i="45" s="1"/>
  <c r="G94" i="45"/>
  <c r="H94" i="45" s="1"/>
  <c r="G151" i="45"/>
  <c r="H151" i="45" s="1"/>
  <c r="G48" i="45"/>
  <c r="H48" i="45" s="1"/>
  <c r="G208" i="45"/>
  <c r="H208" i="45" s="1"/>
  <c r="G150" i="45"/>
  <c r="H150" i="45" s="1"/>
  <c r="G301" i="45"/>
  <c r="H301" i="45" s="1"/>
  <c r="G101" i="45"/>
  <c r="H101" i="45" s="1"/>
  <c r="G36" i="45"/>
  <c r="H36" i="45" s="1"/>
  <c r="G65" i="45"/>
  <c r="H65" i="45" s="1"/>
  <c r="G199" i="45"/>
  <c r="H199" i="45" s="1"/>
  <c r="G294" i="45"/>
  <c r="H294" i="45" s="1"/>
  <c r="G41" i="45"/>
  <c r="H41" i="45" s="1"/>
  <c r="G265" i="45"/>
  <c r="H265" i="45" s="1"/>
  <c r="G120" i="45"/>
  <c r="H120" i="45" s="1"/>
  <c r="G188" i="45"/>
  <c r="H188" i="45" s="1"/>
  <c r="G149" i="45"/>
  <c r="H149" i="45" s="1"/>
  <c r="G176" i="45"/>
  <c r="H176" i="45" s="1"/>
  <c r="G164" i="45"/>
  <c r="H164" i="45" s="1"/>
  <c r="G23" i="45"/>
  <c r="H23" i="45" s="1"/>
  <c r="G273" i="45"/>
  <c r="H273" i="45" s="1"/>
  <c r="G60" i="45"/>
  <c r="H60" i="45" s="1"/>
  <c r="G240" i="45"/>
  <c r="H240" i="45" s="1"/>
  <c r="G200" i="45"/>
  <c r="H200" i="45" s="1"/>
  <c r="G63" i="45"/>
  <c r="H63" i="45" s="1"/>
  <c r="G50" i="45"/>
  <c r="H50" i="45" s="1"/>
  <c r="G86" i="45"/>
  <c r="H86" i="45" s="1"/>
  <c r="G91" i="45"/>
  <c r="H91" i="45" s="1"/>
  <c r="G214" i="45"/>
  <c r="H214" i="45" s="1"/>
  <c r="G160" i="45"/>
  <c r="H160" i="45" s="1"/>
  <c r="G74" i="45"/>
  <c r="H74" i="45" s="1"/>
  <c r="G263" i="45"/>
  <c r="H263" i="45" s="1"/>
  <c r="G269" i="45"/>
  <c r="H269" i="45" s="1"/>
  <c r="G238" i="45"/>
  <c r="H238" i="45" s="1"/>
  <c r="G212" i="45"/>
  <c r="H212" i="45" s="1"/>
  <c r="G16" i="45"/>
  <c r="H16" i="45" s="1"/>
  <c r="G166" i="45"/>
  <c r="H166" i="45" s="1"/>
  <c r="G111" i="45"/>
  <c r="H111" i="45" s="1"/>
  <c r="G305" i="45"/>
  <c r="H305" i="45" s="1"/>
  <c r="G96" i="45"/>
  <c r="H96" i="45" s="1"/>
  <c r="G82" i="45"/>
  <c r="H82" i="45" s="1"/>
  <c r="G290" i="45"/>
  <c r="H290" i="45" s="1"/>
  <c r="G11" i="45"/>
  <c r="H11" i="45" s="1"/>
  <c r="G112" i="45"/>
  <c r="H112" i="45" s="1"/>
  <c r="G244" i="45"/>
  <c r="H244" i="45" s="1"/>
  <c r="G7" i="45"/>
  <c r="H7" i="45" s="1"/>
  <c r="G210" i="45"/>
  <c r="H210" i="45" s="1"/>
  <c r="G266" i="45"/>
  <c r="H266" i="45" s="1"/>
  <c r="G275" i="45"/>
  <c r="H275" i="45" s="1"/>
  <c r="G97" i="45"/>
  <c r="H97" i="45" s="1"/>
  <c r="G126" i="45"/>
  <c r="H126" i="45" s="1"/>
  <c r="G59" i="45"/>
  <c r="H59" i="45" s="1"/>
  <c r="G102" i="45"/>
  <c r="H102" i="45" s="1"/>
  <c r="G98" i="45"/>
  <c r="H98" i="45" s="1"/>
  <c r="G288" i="45"/>
  <c r="H288" i="45" s="1"/>
  <c r="G133" i="45"/>
  <c r="H133" i="45" s="1"/>
  <c r="G156" i="45"/>
  <c r="H156" i="45" s="1"/>
  <c r="G197" i="45"/>
  <c r="H197" i="45" s="1"/>
  <c r="G62" i="45"/>
  <c r="H62" i="45" s="1"/>
  <c r="G19" i="45"/>
  <c r="H19" i="45" s="1"/>
  <c r="G165" i="45"/>
  <c r="H165" i="45" s="1"/>
  <c r="G193" i="45"/>
  <c r="H193" i="45" s="1"/>
  <c r="G137" i="45"/>
  <c r="H137" i="45" s="1"/>
  <c r="G172" i="45"/>
  <c r="H172" i="45" s="1"/>
  <c r="G46" i="45"/>
  <c r="H46" i="45" s="1"/>
  <c r="G257" i="45"/>
  <c r="H257" i="45" s="1"/>
  <c r="G182" i="45"/>
  <c r="H182" i="45" s="1"/>
  <c r="G70" i="45"/>
  <c r="H70" i="45" s="1"/>
  <c r="G85" i="45"/>
  <c r="H85" i="45" s="1"/>
  <c r="G27" i="45"/>
  <c r="H27" i="45" s="1"/>
  <c r="G77" i="45"/>
  <c r="H77" i="45" s="1"/>
  <c r="G67" i="45"/>
  <c r="H67" i="45" s="1"/>
  <c r="G270" i="45"/>
  <c r="H270" i="45" s="1"/>
  <c r="G103" i="45"/>
  <c r="H103" i="45" s="1"/>
  <c r="G249" i="45"/>
  <c r="H249" i="45" s="1"/>
  <c r="G153" i="45"/>
  <c r="H153" i="45" s="1"/>
  <c r="G114" i="45"/>
  <c r="H114" i="45" s="1"/>
  <c r="G303" i="45"/>
  <c r="H303" i="45" s="1"/>
  <c r="G13" i="45"/>
  <c r="H13" i="45" s="1"/>
  <c r="G158" i="45"/>
  <c r="H158" i="45" s="1"/>
  <c r="G187" i="45"/>
  <c r="H187" i="45" s="1"/>
  <c r="G298" i="45"/>
  <c r="H298" i="45" s="1"/>
  <c r="G171" i="45"/>
  <c r="H171" i="45" s="1"/>
  <c r="G246" i="45"/>
  <c r="H246" i="45" s="1"/>
  <c r="G207" i="45"/>
  <c r="H207" i="45" s="1"/>
  <c r="G306" i="45"/>
  <c r="H306" i="45" s="1"/>
  <c r="G42" i="45"/>
  <c r="H42" i="45" s="1"/>
  <c r="G229" i="45"/>
  <c r="H229" i="45" s="1"/>
  <c r="G247" i="45"/>
  <c r="H247" i="45" s="1"/>
  <c r="G138" i="45"/>
  <c r="H138" i="45" s="1"/>
  <c r="G296" i="45"/>
  <c r="H296" i="45" s="1"/>
  <c r="G6" i="45"/>
  <c r="H6" i="45" s="1"/>
  <c r="G4" i="45"/>
  <c r="H4" i="45" s="1"/>
  <c r="G304" i="45"/>
  <c r="H304" i="45" s="1"/>
  <c r="G235" i="45"/>
  <c r="H235" i="45" s="1"/>
  <c r="G52" i="45"/>
  <c r="H52" i="45" s="1"/>
  <c r="G115" i="45"/>
  <c r="H115" i="45" s="1"/>
  <c r="G154" i="45"/>
  <c r="H154" i="45" s="1"/>
  <c r="G3" i="45"/>
  <c r="H3" i="45" s="1"/>
  <c r="G106" i="45"/>
  <c r="H106" i="45" s="1"/>
  <c r="G309" i="45"/>
  <c r="H309" i="45" s="1"/>
  <c r="G280" i="45"/>
  <c r="H280" i="45" s="1"/>
  <c r="G205" i="45"/>
  <c r="H205" i="45" s="1"/>
  <c r="G179" i="45"/>
  <c r="H179" i="45" s="1"/>
  <c r="G252" i="45"/>
  <c r="H252" i="45" s="1"/>
  <c r="G141" i="45"/>
  <c r="H141" i="45" s="1"/>
  <c r="G314" i="45"/>
  <c r="H314" i="45" s="1"/>
  <c r="G18" i="45"/>
  <c r="H18" i="45" s="1"/>
  <c r="G204" i="45"/>
  <c r="H204" i="45" s="1"/>
  <c r="G139" i="45"/>
  <c r="H139" i="45" s="1"/>
  <c r="G157" i="45"/>
  <c r="H157" i="45" s="1"/>
  <c r="G259" i="45"/>
  <c r="H259" i="45" s="1"/>
  <c r="G147" i="45"/>
  <c r="H147" i="45" s="1"/>
  <c r="G78" i="45"/>
  <c r="H78" i="45" s="1"/>
  <c r="G55" i="45"/>
  <c r="H55" i="45" s="1"/>
  <c r="G276" i="45"/>
  <c r="H276" i="45" s="1"/>
  <c r="G17" i="45"/>
  <c r="H17" i="45" s="1"/>
  <c r="G178" i="45"/>
  <c r="H178" i="45" s="1"/>
  <c r="G317" i="45"/>
  <c r="H317" i="45" s="1"/>
  <c r="G203" i="45"/>
  <c r="H203" i="45" s="1"/>
  <c r="G88" i="45"/>
  <c r="H88" i="45" s="1"/>
  <c r="G113" i="45"/>
  <c r="H113" i="45" s="1"/>
  <c r="G116" i="45"/>
  <c r="H116" i="45" s="1"/>
  <c r="G216" i="45"/>
  <c r="H216" i="45" s="1"/>
  <c r="G196" i="45"/>
  <c r="H196" i="45" s="1"/>
  <c r="G318" i="45"/>
  <c r="H318" i="45" s="1"/>
  <c r="G30" i="45"/>
  <c r="H30" i="45" s="1"/>
  <c r="G220" i="45"/>
  <c r="H220" i="45" s="1"/>
  <c r="G283" i="45"/>
  <c r="H283" i="45" s="1"/>
  <c r="G243" i="45"/>
  <c r="H243" i="45" s="1"/>
  <c r="G56" i="45"/>
  <c r="H56" i="45" s="1"/>
  <c r="G213" i="45"/>
  <c r="H213" i="45" s="1"/>
  <c r="G10" i="45"/>
  <c r="H10" i="45" s="1"/>
  <c r="G121" i="45"/>
  <c r="H121" i="45" s="1"/>
  <c r="G230" i="45"/>
  <c r="H230" i="45" s="1"/>
  <c r="G264" i="45"/>
  <c r="H264" i="45" s="1"/>
  <c r="G299" i="45"/>
  <c r="H299" i="45" s="1"/>
  <c r="G100" i="45"/>
  <c r="H100" i="45" s="1"/>
  <c r="G130" i="45"/>
  <c r="H130" i="45" s="1"/>
  <c r="G221" i="45"/>
  <c r="H221" i="45" s="1"/>
  <c r="G177" i="45"/>
  <c r="H177" i="45" s="1"/>
  <c r="G2" i="45"/>
  <c r="H2" i="45" s="1"/>
  <c r="G219" i="45"/>
  <c r="H219" i="45" s="1"/>
  <c r="G202" i="45"/>
  <c r="H202" i="45" s="1"/>
  <c r="G128" i="45"/>
  <c r="H128" i="45" s="1"/>
  <c r="G289" i="45"/>
  <c r="H289" i="45" s="1"/>
  <c r="G12" i="45"/>
  <c r="H12" i="45" s="1"/>
  <c r="G32" i="45"/>
  <c r="H32" i="45" s="1"/>
  <c r="G140" i="45"/>
  <c r="H140" i="45" s="1"/>
  <c r="G14" i="45"/>
  <c r="H14" i="45" s="1"/>
  <c r="G291" i="45"/>
  <c r="H291" i="45" s="1"/>
  <c r="G123" i="45"/>
  <c r="H123" i="45" s="1"/>
  <c r="G136" i="45"/>
  <c r="H136" i="45" s="1"/>
  <c r="G181" i="45"/>
  <c r="H181" i="45" s="1"/>
  <c r="G286" i="45"/>
  <c r="H286" i="45" s="1"/>
  <c r="G15" i="45"/>
  <c r="H15" i="45" s="1"/>
  <c r="G58" i="45"/>
  <c r="H58" i="45" s="1"/>
  <c r="G134" i="45"/>
  <c r="H134" i="45" s="1"/>
  <c r="G320" i="45"/>
  <c r="H320" i="45" s="1"/>
  <c r="G28" i="45"/>
  <c r="H28" i="45" s="1"/>
  <c r="G285" i="45"/>
  <c r="H285" i="45" s="1"/>
  <c r="G173" i="45"/>
  <c r="H173" i="45" s="1"/>
  <c r="G35" i="45"/>
  <c r="H35" i="45" s="1"/>
  <c r="G69" i="45"/>
  <c r="H69" i="45" s="1"/>
  <c r="G25" i="45"/>
  <c r="H25" i="45" s="1"/>
  <c r="G302" i="45"/>
  <c r="H302" i="45" s="1"/>
  <c r="G45" i="45"/>
  <c r="H45" i="45" s="1"/>
  <c r="G155" i="45"/>
  <c r="H155" i="45" s="1"/>
  <c r="G168" i="45"/>
  <c r="H168" i="45" s="1"/>
  <c r="G312" i="45"/>
  <c r="H312" i="45" s="1"/>
  <c r="G191" i="45"/>
  <c r="H191" i="45" s="1"/>
  <c r="G279" i="45"/>
  <c r="H279" i="45" s="1"/>
  <c r="G75" i="45"/>
  <c r="H75" i="45" s="1"/>
  <c r="G194" i="45"/>
  <c r="H194" i="45" s="1"/>
  <c r="G297" i="45"/>
  <c r="H297" i="45" s="1"/>
  <c r="G316" i="45"/>
  <c r="H316" i="45" s="1"/>
  <c r="G260" i="45"/>
  <c r="H260" i="45" s="1"/>
  <c r="G22" i="45"/>
  <c r="H22" i="45" s="1"/>
  <c r="G26" i="45"/>
  <c r="H26" i="45" s="1"/>
  <c r="G95" i="45"/>
  <c r="H95" i="45" s="1"/>
  <c r="G255" i="45"/>
  <c r="H255" i="45" s="1"/>
  <c r="G20" i="45"/>
  <c r="H20" i="45" s="1"/>
  <c r="G190" i="45"/>
  <c r="H190" i="45" s="1"/>
  <c r="G144" i="45"/>
  <c r="H144" i="45" s="1"/>
  <c r="G142" i="45"/>
  <c r="H142" i="45" s="1"/>
  <c r="G322" i="45"/>
  <c r="H322" i="45" s="1"/>
  <c r="G135" i="45"/>
  <c r="H135" i="45" s="1"/>
  <c r="G57" i="45"/>
  <c r="H57" i="45" s="1"/>
  <c r="G324" i="45"/>
  <c r="H324" i="45" s="1"/>
  <c r="G206" i="45"/>
  <c r="H206" i="45" s="1"/>
  <c r="G71" i="45"/>
  <c r="H71" i="45" s="1"/>
  <c r="G186" i="45"/>
  <c r="H186" i="45" s="1"/>
  <c r="G8" i="45"/>
  <c r="H8" i="45" s="1"/>
  <c r="G31" i="45"/>
  <c r="H31" i="45" s="1"/>
  <c r="G258" i="45"/>
  <c r="H258" i="45" s="1"/>
  <c r="G180" i="45"/>
  <c r="H180" i="45" s="1"/>
  <c r="G79" i="45"/>
  <c r="H79" i="45" s="1"/>
  <c r="G295" i="45"/>
  <c r="H295" i="45" s="1"/>
  <c r="G53" i="45"/>
  <c r="H53" i="45" s="1"/>
  <c r="G117" i="45"/>
  <c r="H117" i="45" s="1"/>
  <c r="G183" i="45"/>
  <c r="H183" i="45" s="1"/>
  <c r="G131" i="45"/>
  <c r="H131" i="45" s="1"/>
  <c r="G239" i="45"/>
  <c r="H239" i="45" s="1"/>
  <c r="G189" i="45"/>
  <c r="H189" i="45" s="1"/>
  <c r="G24" i="45"/>
  <c r="H24" i="45" s="1"/>
  <c r="G236" i="45"/>
  <c r="H236" i="45" s="1"/>
  <c r="G104" i="45"/>
  <c r="H104" i="45" s="1"/>
  <c r="G89" i="45"/>
  <c r="H89" i="45" s="1"/>
  <c r="G307" i="45"/>
  <c r="H307" i="45" s="1"/>
  <c r="G170" i="45"/>
  <c r="H170" i="45" s="1"/>
  <c r="G225" i="45"/>
  <c r="H225" i="45" s="1"/>
  <c r="G105" i="45"/>
  <c r="H105" i="45" s="1"/>
  <c r="G99" i="45"/>
  <c r="H99" i="45" s="1"/>
  <c r="G245" i="45"/>
  <c r="H245" i="45" s="1"/>
  <c r="G217" i="45"/>
  <c r="H217" i="45" s="1"/>
  <c r="G33" i="45"/>
  <c r="H33" i="45" s="1"/>
  <c r="G90" i="45"/>
  <c r="H90" i="45" s="1"/>
  <c r="G129" i="45"/>
  <c r="H129" i="45" s="1"/>
  <c r="G29" i="45"/>
  <c r="H29" i="45" s="1"/>
  <c r="G66" i="45"/>
  <c r="H66" i="45" s="1"/>
  <c r="G319" i="45"/>
  <c r="H319" i="45" s="1"/>
  <c r="G185" i="45"/>
  <c r="H185" i="45" s="1"/>
  <c r="G323" i="45"/>
  <c r="H323" i="45" s="1"/>
  <c r="G222" i="45"/>
  <c r="H222" i="45" s="1"/>
  <c r="G282" i="45"/>
  <c r="H282" i="45" s="1"/>
  <c r="G292" i="45"/>
  <c r="H292" i="45" s="1"/>
  <c r="G195" i="45"/>
  <c r="H195" i="45" s="1"/>
  <c r="G132" i="45"/>
  <c r="H132" i="45" s="1"/>
  <c r="G49" i="45"/>
  <c r="H49" i="45" s="1"/>
  <c r="G54" i="45"/>
  <c r="H54" i="45" s="1"/>
  <c r="G64" i="45"/>
  <c r="H64" i="45" s="1"/>
  <c r="G223" i="45"/>
  <c r="H223" i="45" s="1"/>
  <c r="G163" i="45"/>
  <c r="H163" i="45" s="1"/>
  <c r="G174" i="45"/>
  <c r="H174" i="45" s="1"/>
  <c r="G234" i="45"/>
  <c r="H234" i="45" s="1"/>
  <c r="G287" i="45"/>
  <c r="H287" i="45" s="1"/>
  <c r="G215" i="45"/>
  <c r="H215" i="45" s="1"/>
  <c r="G272" i="45"/>
  <c r="H272" i="45" s="1"/>
  <c r="G61" i="45"/>
  <c r="H61" i="45" s="1"/>
  <c r="G51" i="45"/>
  <c r="H51" i="45" s="1"/>
  <c r="G201" i="45"/>
  <c r="H201" i="45" s="1"/>
  <c r="G278" i="45"/>
  <c r="H278" i="45" s="1"/>
  <c r="G37" i="45"/>
  <c r="H37" i="45" s="1"/>
  <c r="G108" i="45"/>
  <c r="H108" i="45" s="1"/>
  <c r="G232" i="45"/>
  <c r="H232" i="45" s="1"/>
  <c r="G237" i="45"/>
  <c r="H237" i="45" s="1"/>
  <c r="G122" i="45"/>
  <c r="H122" i="45" s="1"/>
  <c r="G87" i="45"/>
  <c r="H87" i="45" s="1"/>
  <c r="G311" i="45"/>
  <c r="H311" i="45" s="1"/>
  <c r="G277" i="45"/>
  <c r="H277" i="45" s="1"/>
  <c r="G83" i="45"/>
  <c r="H83" i="45" s="1"/>
  <c r="G293" i="45"/>
  <c r="H293" i="45" s="1"/>
  <c r="G76" i="45"/>
  <c r="H76" i="45" s="1"/>
  <c r="G43" i="45"/>
  <c r="H43" i="45" s="1"/>
  <c r="G227" i="45"/>
  <c r="H227" i="45" s="1"/>
  <c r="G231" i="45"/>
  <c r="H231" i="45" s="1"/>
  <c r="G248" i="45"/>
  <c r="H248" i="45" s="1"/>
  <c r="G81" i="45"/>
  <c r="H81" i="45" s="1"/>
  <c r="G5" i="45"/>
  <c r="H5" i="45" s="1"/>
  <c r="G72" i="45"/>
  <c r="H72" i="45" s="1"/>
  <c r="G162" i="45"/>
  <c r="H162" i="45" s="1"/>
  <c r="G261" i="45"/>
  <c r="H261" i="45" s="1"/>
  <c r="G152" i="45"/>
  <c r="H152" i="45" s="1"/>
  <c r="G241" i="45"/>
  <c r="H241" i="45" s="1"/>
  <c r="G21" i="45"/>
  <c r="H21" i="45" s="1"/>
  <c r="G145" i="45"/>
  <c r="H145" i="45" s="1"/>
  <c r="G262" i="45"/>
  <c r="H262" i="45" s="1"/>
  <c r="G254" i="45"/>
  <c r="H254" i="45" s="1"/>
  <c r="G68" i="45"/>
  <c r="H68" i="45" s="1"/>
  <c r="G148" i="45"/>
  <c r="H148" i="45" s="1"/>
  <c r="G184" i="45"/>
  <c r="H184" i="45" s="1"/>
  <c r="G80" i="45"/>
  <c r="H80" i="45" s="1"/>
  <c r="G218" i="45"/>
  <c r="H218" i="45" s="1"/>
  <c r="G325" i="45"/>
  <c r="H325" i="45" s="1"/>
  <c r="G242" i="45"/>
  <c r="H242" i="45" s="1"/>
  <c r="G110" i="45"/>
  <c r="H110" i="45" s="1"/>
  <c r="G224" i="45"/>
  <c r="H224" i="45" s="1"/>
  <c r="G233" i="45"/>
  <c r="H233" i="45" s="1"/>
  <c r="G107" i="45"/>
  <c r="H107" i="45" s="1"/>
  <c r="G274" i="45"/>
  <c r="H274" i="45" s="1"/>
  <c r="G211" i="45"/>
  <c r="H211" i="45" s="1"/>
  <c r="G124" i="45"/>
  <c r="H124" i="45" s="1"/>
  <c r="G198" i="45"/>
  <c r="H198" i="45" s="1"/>
  <c r="G251" i="45"/>
  <c r="H251" i="45" s="1"/>
  <c r="G39" i="45"/>
  <c r="H39" i="45" s="1"/>
  <c r="G253" i="45"/>
  <c r="H253" i="45" s="1"/>
  <c r="G250" i="45"/>
  <c r="H250" i="45" s="1"/>
  <c r="G127" i="45"/>
  <c r="H127" i="45" s="1"/>
  <c r="G38" i="45"/>
  <c r="H38" i="45" s="1"/>
  <c r="G226" i="45"/>
  <c r="H226" i="45" s="1"/>
  <c r="G175" i="45"/>
  <c r="H175" i="45" s="1"/>
  <c r="G228" i="45"/>
  <c r="H228" i="45" s="1"/>
  <c r="G92" i="45"/>
  <c r="H92" i="45" s="1"/>
  <c r="G40" i="45"/>
  <c r="H40" i="45" s="1"/>
  <c r="G73" i="45"/>
  <c r="H73" i="45" s="1"/>
  <c r="G47" i="45"/>
  <c r="H47" i="45" s="1"/>
  <c r="G9" i="45"/>
  <c r="H9" i="45" s="1"/>
  <c r="G256" i="45"/>
  <c r="H256" i="45" s="1"/>
  <c r="G310" i="45"/>
  <c r="H310" i="45" s="1"/>
  <c r="G271" i="45"/>
  <c r="H271" i="45" s="1"/>
  <c r="G159" i="45"/>
  <c r="H159" i="45" s="1"/>
  <c r="G167" i="45"/>
  <c r="H167" i="45" s="1"/>
  <c r="G109" i="45"/>
  <c r="H109" i="45" s="1"/>
  <c r="G281" i="45"/>
  <c r="H281" i="45" s="1"/>
  <c r="G146" i="45"/>
  <c r="H146" i="45" s="1"/>
  <c r="G119" i="45"/>
  <c r="H119" i="45" s="1"/>
  <c r="G192" i="45"/>
  <c r="H192" i="45" s="1"/>
  <c r="G308" i="45"/>
  <c r="H308" i="45" s="1"/>
  <c r="G313" i="45"/>
  <c r="H313" i="45" s="1"/>
  <c r="G169" i="45"/>
  <c r="H169" i="45" s="1"/>
  <c r="G93" i="45"/>
  <c r="H93" i="45" s="1"/>
  <c r="G44" i="45"/>
  <c r="H44" i="45" s="1"/>
  <c r="G284" i="45"/>
  <c r="H284" i="45" s="1"/>
  <c r="G267" i="45"/>
  <c r="H267" i="45" s="1"/>
  <c r="G268" i="45"/>
  <c r="H268" i="45" s="1"/>
  <c r="G34" i="45"/>
  <c r="H34" i="45" s="1"/>
  <c r="G161" i="45"/>
  <c r="H161" i="45" s="1"/>
  <c r="G78" i="48"/>
  <c r="C73" i="2"/>
  <c r="C74" i="2" l="1"/>
  <c r="C75" i="2" l="1"/>
  <c r="C76" i="2" l="1"/>
  <c r="C77" i="2" l="1"/>
  <c r="C78" i="2" l="1"/>
  <c r="C79" i="2" l="1"/>
  <c r="C80" i="2" l="1"/>
  <c r="C81" i="2" l="1"/>
  <c r="C82" i="2" l="1"/>
  <c r="C83" i="2" l="1"/>
  <c r="C84" i="2" l="1"/>
  <c r="C85" i="2" l="1"/>
  <c r="C86" i="2" l="1"/>
  <c r="C87" i="2" l="1"/>
  <c r="C88" i="2" l="1"/>
  <c r="C89" i="2" l="1"/>
  <c r="C90" i="2" l="1"/>
  <c r="C91" i="2" l="1"/>
  <c r="C92" i="2" l="1"/>
  <c r="C93" i="2" l="1"/>
  <c r="C94" i="2" l="1"/>
  <c r="C95" i="2" l="1"/>
  <c r="C96" i="2" l="1"/>
  <c r="C97" i="2" l="1"/>
  <c r="C98" i="2" l="1"/>
  <c r="C99" i="2" l="1"/>
  <c r="C100" i="2" l="1"/>
  <c r="C101" i="2" l="1"/>
  <c r="C102" i="2" l="1"/>
  <c r="C103" i="2" l="1"/>
  <c r="C104" i="2" l="1"/>
  <c r="C105" i="2" l="1"/>
  <c r="C106" i="2" l="1"/>
  <c r="C107" i="2" l="1"/>
  <c r="C108" i="2" l="1"/>
  <c r="C109" i="2" l="1"/>
  <c r="B2" i="27" l="1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B78" i="27" s="1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95" i="27" s="1"/>
  <c r="B96" i="27" s="1"/>
  <c r="B97" i="27" s="1"/>
  <c r="B98" i="27" s="1"/>
  <c r="B99" i="27" s="1"/>
  <c r="B100" i="27" s="1"/>
  <c r="B101" i="27" s="1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119" i="27" s="1"/>
  <c r="B120" i="27" s="1"/>
  <c r="B121" i="27" s="1"/>
  <c r="B122" i="27" s="1"/>
  <c r="B123" i="27" s="1"/>
  <c r="B124" i="27" s="1"/>
  <c r="B125" i="27" s="1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43" i="27" s="1"/>
  <c r="B144" i="27" s="1"/>
  <c r="B145" i="27" s="1"/>
  <c r="B146" i="27" s="1"/>
  <c r="B147" i="27" s="1"/>
  <c r="B148" i="27" s="1"/>
  <c r="B149" i="27" s="1"/>
  <c r="B150" i="27" s="1"/>
  <c r="B151" i="27" s="1"/>
  <c r="B152" i="27" s="1"/>
  <c r="B153" i="27" s="1"/>
  <c r="B154" i="27" s="1"/>
  <c r="B155" i="27" s="1"/>
  <c r="B156" i="27" s="1"/>
  <c r="B157" i="27" s="1"/>
  <c r="B158" i="27" s="1"/>
  <c r="B159" i="27" s="1"/>
  <c r="B160" i="27" s="1"/>
  <c r="B161" i="27" s="1"/>
  <c r="B162" i="27" s="1"/>
  <c r="B163" i="27" s="1"/>
  <c r="B164" i="27" s="1"/>
  <c r="B165" i="27" s="1"/>
  <c r="B166" i="27" s="1"/>
  <c r="B167" i="27" s="1"/>
  <c r="B168" i="27" s="1"/>
  <c r="B169" i="27" s="1"/>
  <c r="B170" i="27" s="1"/>
  <c r="B171" i="27" s="1"/>
  <c r="B172" i="27" s="1"/>
  <c r="B173" i="27" s="1"/>
  <c r="B174" i="27" s="1"/>
  <c r="B175" i="27" s="1"/>
  <c r="B176" i="27" s="1"/>
  <c r="B177" i="27" s="1"/>
  <c r="B178" i="27" s="1"/>
  <c r="B179" i="27" s="1"/>
  <c r="B180" i="27" s="1"/>
  <c r="B181" i="27" s="1"/>
  <c r="B182" i="27" s="1"/>
  <c r="B183" i="27" s="1"/>
  <c r="B184" i="27" s="1"/>
  <c r="B185" i="27" s="1"/>
  <c r="B186" i="27" s="1"/>
  <c r="B187" i="27" s="1"/>
  <c r="B188" i="27" s="1"/>
  <c r="B189" i="27" s="1"/>
  <c r="B190" i="27" s="1"/>
  <c r="B191" i="27" s="1"/>
  <c r="B192" i="27" s="1"/>
  <c r="B193" i="27" s="1"/>
  <c r="B194" i="27" s="1"/>
  <c r="B195" i="27" s="1"/>
  <c r="B196" i="27" s="1"/>
  <c r="B197" i="27" s="1"/>
  <c r="B198" i="27" s="1"/>
  <c r="B199" i="27" s="1"/>
  <c r="B200" i="27" s="1"/>
  <c r="B201" i="27" s="1"/>
  <c r="B202" i="27" s="1"/>
  <c r="B203" i="27" s="1"/>
  <c r="B204" i="27" s="1"/>
</calcChain>
</file>

<file path=xl/comments1.xml><?xml version="1.0" encoding="utf-8"?>
<comments xmlns="http://schemas.openxmlformats.org/spreadsheetml/2006/main">
  <authors>
    <author>Jay, Cara TRAN:EX</author>
  </authors>
  <commentList>
    <comment ref="K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#N/A these owners/Company Name from the HETS Data tab don't have equipment</t>
        </r>
      </text>
    </comment>
    <comment ref="T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HETSSwagger file: TO BE REVIEWED WITH THE BUSINESS - IS THIS NEEDED -A coded reason for why an owner record has been moved to Archived.</t>
        </r>
      </text>
    </comment>
  </commentList>
</comments>
</file>

<file path=xl/comments2.xml><?xml version="1.0" encoding="utf-8"?>
<comments xmlns="http://schemas.openxmlformats.org/spreadsheetml/2006/main">
  <authors>
    <author>Jay, Cara TRAN:EX</author>
  </authors>
  <commentList>
    <comment ref="X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Y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Z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B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Needs to be calculated from the database rules?
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From swagger file: TO BE REVIEWED - A reason code indicating why a piece of equipment has been archived.</t>
        </r>
      </text>
    </comment>
  </commentList>
</comments>
</file>

<file path=xl/comments3.xml><?xml version="1.0" encoding="utf-8"?>
<comments xmlns="http://schemas.openxmlformats.org/spreadsheetml/2006/main">
  <authors>
    <author>Jay, Cara TRAN:EX</author>
  </authors>
  <commentList>
    <comment ref="H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TO BE REVIEWED WITH THE BUSINESS - The Provincial charge code for the equipment hiring related to this project. This will be the same across multiple service areas that </t>
        </r>
      </text>
    </comment>
  </commentList>
</comments>
</file>

<file path=xl/sharedStrings.xml><?xml version="1.0" encoding="utf-8"?>
<sst xmlns="http://schemas.openxmlformats.org/spreadsheetml/2006/main" count="21237" uniqueCount="7892">
  <si>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</si>
  <si>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</si>
  <si>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</si>
  <si>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</si>
  <si>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</si>
  <si>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</si>
  <si>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</si>
  <si>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</si>
  <si>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</si>
  <si>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</si>
  <si>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</si>
  <si>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</si>
  <si>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</si>
  <si>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</si>
  <si>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</si>
  <si>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</si>
  <si>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</si>
  <si>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</si>
  <si>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</si>
  <si>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</si>
  <si>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</si>
  <si>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</si>
  <si>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</si>
  <si>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</si>
  <si>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</si>
  <si>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</si>
  <si>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</si>
  <si>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</si>
  <si>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</si>
  <si>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</si>
  <si>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</si>
  <si>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</si>
  <si>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</si>
  <si>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</si>
  <si>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</si>
  <si>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</si>
  <si>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</si>
  <si>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</si>
  <si>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</si>
  <si>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</si>
  <si>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</si>
  <si>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</si>
  <si>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</si>
  <si>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</si>
  <si>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</si>
  <si>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</si>
  <si>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</si>
  <si>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</si>
  <si>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</si>
  <si>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</si>
  <si>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</si>
  <si>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</si>
  <si>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</si>
  <si>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</si>
  <si>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</si>
  <si>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</si>
  <si>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</si>
  <si>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</si>
  <si>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</si>
  <si>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</si>
  <si>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</si>
  <si>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</si>
  <si>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</si>
  <si>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</si>
  <si>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</si>
  <si>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</si>
  <si>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</si>
  <si>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</si>
  <si>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File</t>
  </si>
  <si>
    <t>Region</t>
  </si>
  <si>
    <t>startDate</t>
  </si>
  <si>
    <t>endDate</t>
  </si>
  <si>
    <t>District</t>
  </si>
  <si>
    <t>name</t>
  </si>
  <si>
    <t>ServiceArea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</si>
  <si>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</si>
  <si>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</si>
  <si>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</si>
  <si>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</si>
  <si>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</si>
  <si>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</si>
  <si>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</si>
  <si>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</si>
  <si>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</si>
  <si>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</si>
  <si>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</si>
  <si>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</si>
  <si>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</si>
  <si>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</si>
  <si>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</si>
  <si>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</si>
  <si>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</si>
  <si>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</si>
  <si>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</si>
  <si>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</si>
  <si>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</si>
  <si>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</si>
  <si>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</si>
  <si>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</si>
  <si>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</si>
  <si>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</si>
  <si>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</si>
  <si>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</si>
  <si>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</si>
  <si>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</si>
  <si>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</si>
  <si>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</si>
  <si>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</si>
  <si>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</si>
  <si>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</si>
  <si>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</si>
  <si>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</si>
  <si>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</si>
  <si>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</si>
  <si>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</si>
  <si>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</si>
  <si>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</si>
  <si>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</si>
  <si>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</si>
  <si>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</si>
  <si>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</si>
  <si>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</si>
  <si>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</si>
  <si>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</si>
  <si>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</si>
  <si>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</si>
  <si>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</si>
  <si>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</si>
  <si>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</si>
  <si>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</si>
  <si>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</si>
  <si>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</si>
  <si>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</si>
  <si>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</si>
  <si>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</si>
  <si>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</si>
  <si>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</si>
  <si>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</si>
  <si>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</si>
  <si>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</si>
  <si>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</si>
  <si>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</si>
  <si>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</si>
  <si>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</si>
  <si>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</si>
  <si>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</si>
  <si>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</si>
  <si>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</si>
  <si>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</si>
  <si>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</si>
  <si>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</si>
  <si>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</si>
  <si>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</si>
  <si>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</si>
  <si>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</si>
  <si>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</si>
  <si>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</si>
  <si>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</si>
  <si>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</si>
  <si>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</si>
  <si>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</si>
  <si>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</si>
  <si>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</si>
  <si>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</si>
  <si>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</si>
  <si>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</si>
  <si>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</si>
  <si>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</si>
  <si>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</si>
  <si>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</si>
  <si>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</si>
  <si>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</si>
  <si>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</si>
  <si>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</si>
  <si>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</si>
  <si>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</si>
  <si>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</si>
  <si>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</si>
  <si>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</si>
  <si>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</si>
  <si>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</si>
  <si>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</si>
  <si>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</si>
  <si>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</si>
  <si>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</si>
  <si>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</si>
  <si>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</si>
  <si>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</si>
  <si>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</si>
  <si>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</si>
  <si>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</si>
  <si>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</si>
  <si>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</si>
  <si>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</si>
  <si>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</si>
  <si>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</si>
  <si>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</si>
  <si>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</si>
  <si>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</si>
  <si>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</si>
  <si>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</si>
  <si>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</si>
  <si>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</si>
  <si>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</si>
  <si>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</si>
  <si>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</si>
  <si>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</si>
  <si>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</si>
  <si>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</si>
  <si>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</si>
  <si>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</si>
  <si>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</si>
  <si>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</si>
  <si>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</si>
  <si>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</si>
  <si>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</si>
  <si>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</si>
  <si>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</si>
  <si>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</si>
  <si>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</si>
  <si>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</si>
  <si>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</si>
  <si>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</si>
  <si>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</si>
  <si>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</si>
  <si>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</si>
  <si>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</si>
  <si>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</si>
  <si>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</si>
  <si>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</si>
  <si>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</si>
  <si>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</si>
  <si>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</si>
  <si>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</si>
  <si>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</si>
  <si>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</si>
  <si>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</si>
  <si>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</si>
  <si>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</si>
  <si>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</si>
  <si>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</si>
  <si>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</si>
  <si>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</si>
  <si>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</si>
  <si>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</si>
  <si>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</si>
  <si>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</si>
  <si>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</si>
  <si>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</si>
  <si>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</si>
  <si>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</si>
  <si>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</si>
  <si>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</si>
  <si>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</si>
  <si>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</si>
  <si>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</si>
  <si>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</si>
  <si>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</si>
  <si>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</si>
  <si>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</si>
  <si>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</si>
  <si>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</si>
  <si>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</si>
  <si>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</si>
  <si>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</si>
  <si>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</si>
  <si>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</si>
  <si>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</si>
  <si>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</si>
  <si>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</si>
  <si>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</si>
  <si>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</si>
  <si>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</si>
  <si>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</si>
  <si>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</si>
  <si>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</si>
  <si>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</si>
  <si>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</si>
  <si>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</si>
  <si>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</si>
  <si>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</si>
  <si>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</si>
  <si>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</si>
  <si>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</si>
  <si>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</si>
  <si>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</si>
  <si>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</si>
  <si>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</si>
  <si>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</si>
  <si>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</si>
  <si>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</si>
  <si>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</si>
  <si>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</si>
  <si>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</si>
  <si>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</si>
  <si>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</si>
  <si>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</si>
  <si>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</si>
  <si>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</si>
  <si>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</si>
  <si>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</si>
  <si>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</si>
  <si>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</si>
  <si>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</si>
  <si>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</si>
  <si>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</si>
  <si>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</si>
  <si>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</si>
  <si>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</si>
  <si>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</si>
  <si>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</si>
  <si>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</si>
  <si>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</si>
  <si>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</si>
  <si>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</si>
  <si>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</si>
  <si>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</si>
  <si>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</si>
  <si>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</si>
  <si>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</si>
  <si>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</si>
  <si>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</si>
  <si>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</si>
  <si>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</si>
  <si>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</si>
  <si>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</si>
  <si>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</si>
  <si>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</si>
  <si>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</si>
  <si>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</si>
  <si>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</si>
  <si>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</si>
  <si>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</si>
  <si>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</si>
  <si>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</si>
  <si>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</si>
  <si>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</si>
  <si>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</si>
  <si>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</si>
  <si>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</si>
  <si>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</si>
  <si>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</si>
  <si>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</si>
  <si>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</si>
  <si>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</si>
  <si>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</si>
  <si>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</si>
  <si>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</si>
  <si>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</si>
  <si>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</si>
  <si>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</si>
  <si>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</si>
  <si>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</si>
  <si>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</si>
  <si>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</si>
  <si>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</si>
  <si>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</si>
  <si>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</si>
  <si>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</si>
  <si>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</si>
  <si>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</si>
  <si>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</si>
  <si>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</si>
  <si>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</si>
  <si>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</si>
  <si>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</si>
  <si>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</si>
  <si>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</si>
  <si>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</si>
  <si>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</si>
  <si>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</si>
  <si>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</si>
  <si>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</si>
  <si>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</si>
  <si>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</si>
  <si>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</si>
  <si>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</si>
  <si>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</si>
  <si>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</si>
  <si>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</si>
  <si>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</si>
  <si>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</si>
  <si>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</si>
  <si>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</si>
  <si>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</si>
  <si>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</si>
  <si>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</si>
  <si>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</si>
  <si>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</si>
  <si>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</si>
  <si>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</si>
  <si>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</si>
  <si>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</si>
  <si>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</si>
  <si>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</si>
  <si>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</si>
  <si>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</si>
  <si>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</si>
  <si>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</si>
  <si>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</si>
  <si>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</si>
  <si>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</si>
  <si>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</si>
  <si>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</si>
  <si>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</si>
  <si>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</si>
  <si>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</si>
  <si>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</si>
  <si>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</si>
  <si>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</si>
  <si>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</si>
  <si>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</si>
  <si>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</si>
  <si>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</si>
  <si>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</si>
  <si>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</si>
  <si>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</si>
  <si>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</si>
  <si>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</si>
  <si>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</si>
  <si>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</si>
  <si>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</si>
  <si>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</si>
  <si>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</si>
  <si>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</si>
  <si>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</si>
  <si>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</si>
  <si>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</si>
  <si>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</si>
  <si>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</si>
  <si>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</si>
  <si>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</si>
  <si>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</si>
  <si>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</si>
  <si>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</si>
  <si>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</si>
  <si>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</si>
  <si>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</si>
  <si>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</si>
  <si>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</si>
  <si>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</si>
  <si>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</si>
  <si>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</si>
  <si>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</si>
  <si>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</si>
  <si>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</si>
  <si>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</si>
  <si>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</si>
  <si>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</si>
  <si>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</si>
  <si>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</si>
  <si>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</si>
  <si>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</si>
  <si>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</si>
  <si>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</si>
  <si>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</si>
  <si>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</si>
  <si>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</si>
  <si>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</si>
  <si>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</si>
  <si>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</si>
  <si>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</si>
  <si>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</si>
  <si>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</si>
  <si>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</si>
  <si>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</si>
  <si>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</si>
  <si>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</si>
  <si>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</si>
  <si>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</si>
  <si>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</si>
  <si>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</si>
  <si>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</si>
  <si>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</si>
  <si>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</si>
  <si>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</si>
  <si>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</si>
  <si>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</si>
  <si>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</si>
  <si>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</si>
  <si>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</si>
  <si>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</si>
  <si>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</si>
  <si>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</si>
  <si>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</si>
  <si>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</si>
  <si>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</si>
  <si>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</si>
  <si>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</si>
  <si>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</si>
  <si>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</si>
  <si>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</si>
  <si>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</si>
  <si>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</si>
  <si>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</si>
  <si>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</si>
  <si>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</si>
  <si>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</si>
  <si>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</si>
  <si>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</si>
  <si>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</si>
  <si>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</si>
  <si>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</si>
  <si>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</si>
  <si>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</si>
  <si>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</si>
  <si>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</si>
  <si>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</si>
  <si>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</si>
  <si>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</si>
  <si>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</si>
  <si>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</si>
  <si>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</si>
  <si>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</si>
  <si>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</si>
  <si>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</si>
  <si>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</si>
  <si>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</si>
  <si>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</si>
  <si>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</si>
  <si>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</si>
  <si>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</si>
  <si>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</si>
  <si>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</si>
  <si>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</si>
  <si>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</si>
  <si>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</si>
  <si>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</si>
  <si>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</si>
  <si>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</si>
  <si>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</si>
  <si>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</si>
  <si>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</si>
  <si>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</si>
  <si>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</si>
  <si>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</si>
  <si>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</si>
  <si>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</si>
  <si>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</si>
  <si>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</si>
  <si>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</si>
  <si>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</si>
  <si>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</si>
  <si>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</si>
  <si>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</si>
  <si>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</si>
  <si>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</si>
  <si>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</si>
  <si>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</si>
  <si>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</si>
  <si>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</si>
  <si>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</si>
  <si>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</si>
  <si>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</si>
  <si>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</si>
  <si>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</si>
  <si>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</si>
  <si>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</si>
  <si>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</si>
  <si>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</si>
  <si>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</si>
  <si>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</si>
  <si>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</si>
  <si>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</si>
  <si>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</si>
  <si>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</si>
  <si>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</si>
  <si>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</si>
  <si>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</si>
  <si>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</si>
  <si>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</si>
  <si>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</si>
  <si>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</si>
  <si>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</si>
  <si>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</si>
  <si>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</si>
  <si>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</si>
  <si>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</si>
  <si>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</si>
  <si>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</si>
  <si>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</si>
  <si>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</si>
  <si>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</si>
  <si>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</si>
  <si>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</si>
  <si>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</si>
  <si>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</si>
  <si>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</si>
  <si>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</si>
  <si>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</si>
  <si>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</si>
  <si>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</si>
  <si>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</si>
  <si>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</si>
  <si>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</si>
  <si>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</si>
  <si>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</si>
  <si>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</si>
  <si>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</si>
  <si>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</si>
  <si>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</si>
  <si>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</si>
  <si>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</si>
  <si>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</si>
  <si>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</si>
  <si>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</si>
  <si>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</si>
  <si>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</si>
  <si>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</si>
  <si>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</si>
  <si>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</si>
  <si>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</si>
  <si>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</si>
  <si>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</si>
  <si>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</si>
  <si>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</si>
  <si>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</si>
  <si>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</si>
  <si>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</si>
  <si>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</si>
  <si>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</si>
  <si>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</si>
  <si>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</si>
  <si>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</si>
  <si>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</si>
  <si>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</si>
  <si>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</si>
  <si>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</si>
  <si>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</si>
  <si>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</si>
  <si>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</si>
  <si>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</si>
  <si>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</si>
  <si>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</si>
  <si>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</si>
  <si>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</si>
  <si>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</si>
  <si>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</si>
  <si>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</si>
  <si>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</si>
  <si>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</si>
  <si>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</si>
  <si>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</si>
  <si>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</si>
  <si>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</si>
  <si>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</si>
  <si>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</si>
  <si>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</si>
  <si>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</si>
  <si>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</si>
  <si>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</si>
  <si>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</si>
  <si>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</si>
  <si>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</si>
  <si>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</si>
  <si>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</si>
  <si>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</si>
  <si>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</si>
  <si>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</si>
  <si>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</si>
  <si>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</si>
  <si>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</si>
  <si>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</si>
  <si>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</si>
  <si>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</si>
  <si>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</si>
  <si>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</si>
  <si>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</si>
  <si>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</si>
  <si>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</si>
  <si>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</si>
  <si>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</si>
  <si>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</si>
  <si>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</si>
  <si>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</si>
  <si>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</si>
  <si>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</si>
  <si>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</si>
  <si>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</si>
  <si>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</si>
  <si>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</si>
  <si>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</si>
  <si>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</si>
  <si>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</si>
  <si>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</si>
  <si>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</si>
  <si>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</si>
  <si>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</si>
  <si>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</si>
  <si>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</si>
  <si>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</si>
  <si>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</si>
  <si>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</si>
  <si>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</si>
  <si>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</si>
  <si>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</si>
  <si>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</si>
  <si>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</si>
  <si>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</si>
  <si>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</si>
  <si>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</si>
  <si>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</si>
  <si>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</si>
  <si>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</si>
  <si>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</si>
  <si>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</si>
  <si>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</si>
  <si>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</si>
  <si>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</si>
  <si>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</si>
  <si>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</si>
  <si>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</si>
  <si>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</si>
  <si>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</si>
  <si>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</si>
  <si>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</si>
  <si>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</si>
  <si>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</si>
  <si>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</si>
  <si>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</si>
  <si>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</si>
  <si>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</si>
  <si>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</si>
  <si>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</si>
  <si>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</si>
  <si>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</si>
  <si>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</si>
  <si>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</si>
  <si>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</si>
  <si>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</si>
  <si>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</si>
  <si>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</si>
  <si>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</si>
  <si>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</si>
  <si>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</si>
  <si>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</si>
  <si>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</si>
  <si>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</si>
  <si>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</si>
  <si>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</si>
  <si>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</si>
  <si>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</si>
  <si>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</si>
  <si>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</si>
  <si>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</si>
  <si>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</si>
  <si>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</si>
  <si>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</si>
  <si>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</si>
  <si>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</si>
  <si>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</si>
  <si>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</si>
  <si>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</si>
  <si>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</si>
  <si>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</si>
  <si>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</si>
  <si>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</si>
  <si>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</si>
  <si>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</si>
  <si>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</si>
  <si>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</si>
  <si>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</si>
  <si>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</si>
  <si>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</si>
  <si>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</si>
  <si>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</si>
  <si>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</si>
  <si>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</si>
  <si>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</si>
  <si>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</si>
  <si>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</si>
  <si>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</si>
  <si>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</si>
  <si>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</si>
  <si>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</si>
  <si>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</si>
  <si>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</si>
  <si>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</si>
  <si>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</si>
  <si>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</si>
  <si>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</si>
  <si>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</si>
  <si>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</si>
  <si>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</si>
  <si>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</si>
  <si>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</si>
  <si>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</si>
  <si>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</si>
  <si>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</si>
  <si>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</si>
  <si>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</si>
  <si>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</si>
  <si>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</si>
  <si>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</si>
  <si>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</si>
  <si>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</si>
  <si>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</si>
  <si>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</si>
  <si>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</si>
  <si>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</si>
  <si>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</si>
  <si>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</si>
  <si>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</si>
  <si>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</si>
  <si>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</si>
  <si>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</si>
  <si>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</si>
  <si>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</si>
  <si>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</si>
  <si>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</si>
  <si>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</si>
  <si>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</si>
  <si>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</si>
  <si>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</si>
  <si>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</si>
  <si>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</si>
  <si>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</si>
  <si>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</si>
  <si>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</si>
  <si>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</si>
  <si>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</si>
  <si>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</si>
  <si>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</si>
  <si>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</si>
  <si>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</si>
  <si>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</si>
  <si>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</si>
  <si>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</si>
  <si>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</si>
  <si>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</si>
  <si>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</si>
  <si>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</si>
  <si>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</si>
  <si>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</si>
  <si>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</si>
  <si>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</si>
  <si>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</si>
  <si>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</si>
  <si>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</si>
  <si>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</si>
  <si>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</si>
  <si>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</si>
  <si>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</si>
  <si>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</si>
  <si>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</si>
  <si>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</si>
  <si>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</si>
  <si>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</si>
  <si>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</si>
  <si>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</si>
  <si>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</si>
  <si>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</si>
  <si>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</si>
  <si>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</si>
  <si>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</si>
  <si>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</si>
  <si>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</si>
  <si>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</si>
  <si>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</si>
  <si>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</si>
  <si>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</si>
  <si>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</si>
  <si>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</si>
  <si>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</si>
  <si>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</si>
  <si>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</si>
  <si>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</si>
  <si>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</si>
  <si>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</si>
  <si>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</si>
  <si>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</si>
  <si>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</si>
  <si>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</si>
  <si>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</si>
  <si>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</si>
  <si>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</si>
  <si>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</si>
  <si>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</si>
  <si>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</si>
  <si>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</si>
  <si>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</si>
  <si>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</si>
  <si>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</si>
  <si>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</si>
  <si>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</si>
  <si>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</si>
  <si>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</si>
  <si>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</si>
  <si>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</si>
  <si>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</si>
  <si>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</si>
  <si>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</si>
  <si>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</si>
  <si>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</si>
  <si>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</si>
  <si>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</si>
  <si>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</si>
  <si>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</si>
  <si>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</si>
  <si>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</si>
  <si>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</si>
  <si>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</si>
  <si>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</si>
  <si>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</si>
  <si>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</si>
  <si>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</si>
  <si>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</si>
  <si>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</si>
  <si>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</si>
  <si>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</si>
  <si>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</si>
  <si>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</si>
  <si>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</si>
  <si>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</si>
  <si>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</si>
  <si>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</si>
  <si>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</si>
  <si>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</si>
  <si>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</si>
  <si>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</si>
  <si>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</si>
  <si>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</si>
  <si>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</si>
  <si>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</si>
  <si>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</si>
  <si>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</si>
  <si>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</si>
  <si>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</si>
  <si>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</si>
  <si>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</si>
  <si>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</si>
  <si>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</si>
  <si>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</si>
  <si>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</si>
  <si>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</si>
  <si>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</si>
  <si>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</si>
  <si>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</si>
  <si>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</si>
  <si>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</si>
  <si>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</si>
  <si>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</si>
  <si>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</si>
  <si>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</si>
  <si>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</si>
  <si>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</si>
  <si>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</si>
  <si>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</si>
  <si>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</si>
  <si>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</si>
  <si>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</si>
  <si>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</si>
  <si>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</si>
  <si>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</si>
  <si>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</si>
  <si>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</si>
  <si>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</si>
  <si>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</si>
  <si>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</si>
  <si>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</si>
  <si>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</si>
  <si>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</si>
  <si>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</si>
  <si>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</si>
  <si>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</si>
  <si>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</si>
  <si>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</si>
  <si>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</si>
  <si>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</si>
  <si>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</si>
  <si>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</si>
  <si>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</si>
  <si>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</si>
  <si>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</si>
  <si>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</si>
  <si>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</si>
  <si>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</si>
  <si>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</si>
  <si>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</si>
  <si>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</si>
  <si>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</si>
  <si>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</si>
  <si>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</si>
  <si>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</si>
  <si>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</si>
  <si>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</si>
  <si>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</si>
  <si>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</si>
  <si>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</si>
  <si>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</si>
  <si>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</si>
  <si>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</si>
  <si>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</si>
  <si>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</si>
  <si>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</si>
  <si>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</si>
  <si>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</si>
  <si>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</si>
  <si>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</si>
  <si>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</si>
  <si>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</si>
  <si>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</si>
  <si>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</si>
  <si>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</si>
  <si>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</si>
  <si>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</si>
  <si>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</si>
  <si>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</si>
  <si>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</si>
  <si>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</si>
  <si>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</si>
  <si>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</si>
  <si>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</si>
  <si>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</si>
  <si>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</si>
  <si>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</si>
  <si>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</si>
  <si>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</si>
  <si>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</si>
  <si>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</si>
  <si>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</si>
  <si>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</si>
  <si>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</si>
  <si>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</si>
  <si>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</si>
  <si>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</si>
  <si>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</si>
  <si>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</si>
  <si>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</si>
  <si>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</si>
  <si>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</si>
  <si>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</si>
  <si>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</si>
  <si>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</si>
  <si>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</si>
  <si>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</si>
  <si>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</si>
  <si>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</si>
  <si>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</si>
  <si>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</si>
  <si>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</si>
  <si>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</si>
  <si>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</si>
  <si>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</si>
  <si>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</si>
  <si>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</si>
  <si>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</si>
  <si>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</si>
  <si>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</si>
  <si>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</si>
  <si>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</si>
  <si>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</si>
  <si>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</si>
  <si>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</si>
  <si>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</si>
  <si>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</si>
  <si>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</si>
  <si>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</si>
  <si>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</si>
  <si>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</si>
  <si>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</si>
  <si>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</si>
  <si>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</si>
  <si>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</si>
  <si>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</si>
  <si>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</si>
  <si>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</si>
  <si>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</si>
  <si>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</si>
  <si>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</si>
  <si>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</si>
  <si>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</si>
  <si>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</si>
  <si>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</si>
  <si>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</si>
  <si>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</si>
  <si>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</si>
  <si>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</si>
  <si>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</si>
  <si>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</si>
  <si>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</si>
  <si>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</si>
  <si>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</si>
  <si>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</si>
  <si>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</si>
  <si>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</si>
  <si>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</si>
  <si>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</si>
  <si>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</si>
  <si>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</si>
  <si>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</si>
  <si>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</si>
  <si>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</si>
  <si>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</si>
  <si>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</si>
  <si>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</si>
  <si>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</si>
  <si>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</si>
  <si>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</si>
  <si>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</si>
  <si>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</si>
  <si>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</si>
  <si>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</si>
  <si>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</si>
  <si>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</si>
  <si>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</si>
  <si>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</si>
  <si>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</si>
  <si>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</si>
  <si>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</si>
  <si>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</si>
  <si>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</si>
  <si>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</si>
  <si>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</si>
  <si>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</si>
  <si>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</si>
  <si>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</si>
  <si>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</si>
  <si>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</si>
  <si>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</si>
  <si>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</si>
  <si>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</si>
  <si>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</si>
  <si>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</si>
  <si>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</si>
  <si>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</si>
  <si>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</si>
  <si>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</si>
  <si>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</si>
  <si>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</si>
  <si>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</si>
  <si>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</si>
  <si>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</si>
  <si>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</si>
  <si>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</si>
  <si>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</si>
  <si>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</si>
  <si>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</si>
  <si>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</si>
  <si>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</si>
  <si>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</si>
  <si>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</si>
  <si>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</si>
  <si>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</si>
  <si>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</si>
  <si>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</si>
  <si>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</si>
  <si>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</si>
  <si>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</si>
  <si>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</si>
  <si>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</si>
  <si>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</si>
  <si>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</si>
  <si>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</si>
  <si>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</si>
  <si>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</si>
  <si>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</si>
  <si>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</si>
  <si>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</si>
  <si>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</si>
  <si>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</si>
  <si>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</si>
  <si>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</si>
  <si>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</si>
  <si>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</si>
  <si>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</si>
  <si>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</si>
  <si>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</si>
  <si>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</si>
  <si>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</si>
  <si>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</si>
  <si>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</si>
  <si>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</si>
  <si>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</si>
  <si>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</si>
  <si>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</si>
  <si>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</si>
  <si>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</si>
  <si>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</si>
  <si>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</si>
  <si>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</si>
  <si>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</si>
  <si>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</si>
  <si>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</si>
  <si>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</si>
  <si>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</si>
  <si>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</si>
  <si>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</si>
  <si>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</si>
  <si>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</si>
  <si>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</si>
  <si>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</si>
  <si>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</si>
  <si>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</si>
  <si>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</si>
  <si>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</si>
  <si>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</si>
  <si>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</si>
  <si>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</si>
  <si>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</si>
  <si>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</si>
  <si>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</si>
  <si>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</si>
  <si>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</si>
  <si>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</si>
  <si>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</si>
  <si>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</si>
  <si>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</si>
  <si>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</si>
  <si>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</si>
  <si>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</si>
  <si>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</si>
  <si>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</si>
  <si>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</si>
  <si>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</si>
  <si>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</si>
  <si>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</si>
  <si>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</si>
  <si>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</si>
  <si>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</si>
  <si>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</si>
  <si>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</si>
  <si>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</si>
  <si>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</si>
  <si>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</si>
  <si>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</si>
  <si>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</si>
  <si>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</si>
  <si>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</si>
  <si>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</si>
  <si>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</si>
  <si>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</si>
  <si>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</si>
  <si>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</si>
  <si>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</si>
  <si>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</si>
  <si>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</si>
  <si>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</si>
  <si>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</si>
  <si>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</si>
  <si>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</si>
  <si>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</si>
  <si>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</si>
  <si>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</si>
  <si>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</si>
  <si>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</si>
  <si>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</si>
  <si>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</si>
  <si>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</si>
  <si>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</si>
  <si>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</si>
  <si>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</si>
  <si>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</si>
  <si>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</si>
  <si>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</si>
  <si>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</si>
  <si>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</si>
  <si>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</si>
  <si>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</si>
  <si>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</si>
  <si>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</si>
  <si>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</si>
  <si>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</si>
  <si>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</si>
  <si>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</si>
  <si>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</si>
  <si>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</si>
  <si>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</si>
  <si>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</si>
  <si>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</si>
  <si>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</si>
  <si>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</si>
  <si>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</si>
  <si>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</si>
  <si>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</si>
  <si>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</si>
  <si>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</si>
  <si>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</si>
  <si>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</si>
  <si>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</si>
  <si>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</si>
  <si>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</si>
  <si>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</si>
  <si>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</si>
  <si>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</si>
  <si>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</si>
  <si>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</si>
  <si>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</si>
  <si>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</si>
  <si>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</si>
  <si>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</si>
  <si>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</si>
  <si>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</si>
  <si>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</si>
  <si>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</si>
  <si>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</si>
  <si>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</si>
  <si>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</si>
  <si>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</si>
  <si>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</si>
  <si>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</si>
  <si>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</si>
  <si>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</si>
  <si>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</si>
  <si>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</si>
  <si>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</si>
  <si>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</si>
  <si>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</si>
  <si>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</si>
  <si>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</si>
  <si>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</si>
  <si>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</si>
  <si>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</si>
  <si>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</si>
  <si>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</si>
  <si>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</si>
  <si>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</si>
  <si>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</si>
  <si>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</si>
  <si>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</si>
  <si>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</si>
  <si>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</si>
  <si>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</si>
  <si>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</si>
  <si>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</si>
  <si>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</si>
  <si>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</si>
  <si>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</si>
  <si>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</si>
  <si>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</si>
  <si>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</si>
  <si>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</si>
  <si>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</si>
  <si>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</si>
  <si>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</si>
  <si>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</si>
  <si>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</si>
  <si>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</si>
  <si>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</si>
  <si>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</si>
  <si>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</si>
  <si>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</si>
  <si>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</si>
  <si>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</si>
  <si>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</si>
  <si>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</si>
  <si>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</si>
  <si>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</si>
  <si>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</si>
  <si>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</si>
  <si>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</si>
  <si>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</si>
  <si>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</si>
  <si>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</si>
  <si>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</si>
  <si>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</si>
  <si>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</si>
  <si>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</si>
  <si>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</si>
  <si>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</si>
  <si>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</si>
  <si>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</si>
  <si>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</si>
  <si>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</si>
  <si>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</si>
  <si>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</si>
  <si>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</si>
  <si>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</si>
  <si>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</si>
  <si>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</si>
  <si>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</si>
  <si>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</si>
  <si>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</si>
  <si>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</si>
  <si>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</si>
  <si>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</si>
  <si>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</si>
  <si>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</si>
  <si>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</si>
  <si>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</si>
  <si>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</si>
  <si>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</si>
  <si>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</si>
  <si>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</si>
  <si>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</si>
  <si>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</si>
  <si>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</si>
  <si>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</si>
  <si>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</si>
  <si>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</si>
  <si>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</si>
  <si>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</si>
  <si>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</si>
  <si>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</si>
  <si>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</si>
  <si>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</si>
  <si>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</si>
  <si>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</si>
  <si>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</si>
  <si>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</si>
  <si>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</si>
  <si>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</si>
  <si>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</si>
  <si>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</si>
  <si>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</si>
  <si>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</si>
  <si>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</si>
  <si>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</si>
  <si>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</si>
  <si>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</si>
  <si>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</si>
  <si>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</si>
  <si>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</si>
  <si>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</si>
  <si>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</si>
  <si>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</si>
  <si>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</si>
  <si>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</si>
  <si>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</si>
  <si>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</si>
  <si>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</si>
  <si>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</si>
  <si>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</si>
  <si>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</si>
  <si>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</si>
  <si>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</si>
  <si>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</si>
  <si>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</si>
  <si>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</si>
  <si>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</si>
  <si>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</si>
  <si>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</si>
  <si>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</si>
  <si>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</si>
  <si>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</si>
  <si>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</si>
  <si>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</si>
  <si>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</si>
  <si>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</si>
  <si>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</si>
  <si>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</si>
  <si>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</si>
  <si>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</si>
  <si>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</si>
  <si>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</si>
  <si>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</si>
  <si>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</si>
  <si>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</si>
  <si>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</si>
  <si>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</si>
  <si>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</si>
  <si>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</si>
  <si>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</si>
  <si>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</si>
  <si>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</si>
  <si>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</si>
  <si>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</si>
  <si>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</si>
  <si>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</si>
  <si>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</si>
  <si>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</si>
  <si>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</si>
  <si>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</si>
  <si>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</si>
  <si>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</si>
  <si>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</si>
  <si>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</si>
  <si>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</si>
  <si>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</si>
  <si>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</si>
  <si>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</si>
  <si>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</si>
  <si>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</si>
  <si>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</si>
  <si>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</si>
  <si>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</si>
  <si>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</si>
  <si>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</si>
  <si>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</si>
  <si>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</si>
  <si>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</si>
  <si>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</si>
  <si>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</si>
  <si>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</si>
  <si>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</si>
  <si>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</si>
  <si>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</si>
  <si>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</si>
  <si>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</si>
  <si>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</si>
  <si>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</si>
  <si>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</si>
  <si>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</si>
  <si>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</si>
  <si>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</si>
  <si>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</si>
  <si>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</si>
  <si>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</si>
  <si>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</si>
  <si>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</si>
  <si>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</si>
  <si>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</si>
  <si>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</si>
  <si>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</si>
  <si>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</si>
  <si>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</si>
  <si>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</si>
  <si>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</si>
  <si>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</si>
  <si>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</si>
  <si>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</si>
  <si>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</si>
  <si>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</si>
  <si>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</si>
  <si>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</si>
  <si>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</si>
  <si>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</si>
  <si>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</si>
  <si>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</si>
  <si>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</si>
  <si>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</si>
  <si>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</si>
  <si>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</si>
  <si>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</si>
  <si>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</si>
  <si>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</si>
  <si>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</si>
  <si>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</si>
  <si>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</si>
  <si>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</si>
  <si>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</si>
  <si>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</si>
  <si>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</si>
  <si>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</si>
  <si>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</si>
  <si>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</si>
  <si>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</si>
  <si>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</si>
  <si>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</si>
  <si>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</si>
  <si>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</si>
  <si>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</si>
  <si>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</si>
  <si>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</si>
  <si>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</si>
  <si>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</si>
  <si>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</si>
  <si>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</si>
  <si>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</si>
  <si>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</si>
  <si>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</si>
  <si>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</si>
  <si>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</si>
  <si>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</si>
  <si>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</si>
  <si>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</si>
  <si>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</si>
  <si>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</si>
  <si>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</si>
  <si>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</si>
  <si>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</si>
  <si>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</si>
  <si>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</si>
  <si>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</si>
  <si>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</si>
  <si>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</si>
  <si>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</si>
  <si>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</si>
  <si>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</si>
  <si>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</si>
  <si>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</si>
  <si>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</si>
  <si>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</si>
  <si>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</si>
  <si>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</si>
  <si>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</si>
  <si>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</si>
  <si>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</si>
  <si>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</si>
  <si>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</si>
  <si>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</si>
  <si>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</si>
  <si>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</si>
  <si>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</si>
  <si>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</si>
  <si>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</si>
  <si>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</si>
  <si>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</si>
  <si>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</si>
  <si>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</si>
  <si>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</si>
  <si>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</si>
  <si>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</si>
  <si>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</si>
  <si>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</si>
  <si>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</si>
  <si>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</si>
  <si>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</si>
  <si>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</si>
  <si>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</si>
  <si>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</si>
  <si>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</si>
  <si>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</si>
  <si>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</si>
  <si>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</si>
  <si>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</si>
  <si>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</si>
  <si>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</si>
  <si>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</si>
  <si>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</si>
  <si>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</si>
  <si>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</si>
  <si>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</si>
  <si>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</si>
  <si>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</si>
  <si>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</si>
  <si>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</si>
  <si>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</si>
  <si>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</si>
  <si>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</si>
  <si>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</si>
  <si>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</si>
  <si>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</si>
  <si>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</si>
  <si>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</si>
  <si>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</si>
  <si>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</si>
  <si>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</si>
  <si>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</si>
  <si>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</si>
  <si>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</si>
  <si>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</si>
  <si>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</si>
  <si>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</si>
  <si>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</si>
  <si>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</si>
  <si>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</si>
  <si>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</si>
  <si>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</si>
  <si>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</si>
  <si>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</si>
  <si>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</si>
  <si>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</si>
  <si>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</si>
  <si>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</si>
  <si>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</si>
  <si>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</si>
  <si>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</si>
  <si>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</si>
  <si>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</si>
  <si>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</si>
  <si>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</si>
  <si>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</si>
  <si>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</si>
  <si>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</si>
  <si>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</si>
  <si>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</si>
  <si>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</si>
  <si>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</si>
  <si>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</si>
  <si>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</si>
  <si>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</si>
  <si>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</si>
  <si>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</si>
  <si>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</si>
  <si>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</si>
  <si>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</si>
  <si>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</si>
  <si>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</si>
  <si>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</si>
  <si>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</si>
  <si>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</si>
  <si>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</si>
  <si>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</si>
  <si>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</si>
  <si>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</si>
  <si>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</si>
  <si>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</si>
  <si>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</si>
  <si>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</si>
  <si>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</si>
  <si>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</si>
  <si>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</si>
  <si>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</si>
  <si>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</si>
  <si>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</si>
  <si>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</si>
  <si>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</si>
  <si>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</si>
  <si>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</si>
  <si>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</si>
  <si>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</si>
  <si>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</si>
  <si>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</si>
  <si>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</si>
  <si>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</si>
  <si>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</si>
  <si>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</si>
  <si>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</si>
  <si>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</si>
  <si>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</si>
  <si>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</si>
  <si>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</si>
  <si>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</si>
  <si>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</si>
  <si>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</si>
  <si>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</si>
  <si>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</si>
  <si>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</si>
  <si>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</si>
  <si>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</si>
  <si>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</si>
  <si>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</si>
  <si>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</si>
  <si>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</si>
  <si>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</si>
  <si>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</si>
  <si>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</si>
  <si>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</si>
  <si>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</si>
  <si>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</si>
  <si>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</si>
  <si>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</si>
  <si>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</si>
  <si>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</si>
  <si>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</si>
  <si>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</si>
  <si>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</si>
  <si>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</si>
  <si>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</si>
  <si>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</si>
  <si>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</si>
  <si>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</si>
  <si>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</si>
  <si>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</si>
  <si>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</si>
  <si>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</si>
  <si>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</si>
  <si>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</si>
  <si>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</si>
  <si>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</si>
  <si>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</si>
  <si>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</si>
  <si>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</si>
  <si>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</si>
  <si>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</si>
  <si>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</si>
  <si>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</si>
  <si>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</si>
  <si>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</si>
  <si>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</si>
  <si>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</si>
  <si>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</si>
  <si>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</si>
  <si>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</si>
  <si>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</si>
  <si>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</si>
  <si>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</si>
  <si>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</si>
  <si>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</si>
  <si>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</si>
  <si>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</si>
  <si>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</si>
  <si>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</si>
  <si>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</si>
  <si>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</si>
  <si>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</si>
  <si>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</si>
  <si>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</si>
  <si>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</si>
  <si>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</si>
  <si>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</si>
  <si>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</si>
  <si>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</si>
  <si>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</si>
  <si>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</si>
  <si>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</si>
  <si>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</si>
  <si>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</si>
  <si>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</si>
  <si>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</si>
  <si>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</si>
  <si>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</si>
  <si>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</si>
  <si>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</si>
  <si>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</si>
  <si>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</si>
  <si>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</si>
  <si>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</si>
  <si>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</si>
  <si>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</si>
  <si>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</si>
  <si>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</si>
  <si>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</si>
  <si>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</si>
  <si>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</si>
  <si>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</si>
  <si>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</si>
  <si>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</si>
  <si>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</si>
  <si>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</si>
  <si>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</si>
  <si>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</si>
  <si>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</si>
  <si>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</si>
  <si>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</si>
  <si>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</si>
  <si>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</si>
  <si>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</si>
  <si>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</si>
  <si>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</si>
  <si>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</si>
  <si>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</si>
  <si>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</si>
  <si>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</si>
  <si>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</si>
  <si>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</si>
  <si>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</si>
  <si>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</si>
  <si>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</si>
  <si>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</si>
  <si>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</si>
  <si>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</si>
  <si>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</si>
  <si>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</si>
  <si>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</si>
  <si>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</si>
  <si>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</si>
  <si>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</si>
  <si>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</si>
  <si>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</si>
  <si>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</si>
  <si>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</si>
  <si>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</si>
  <si>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</si>
  <si>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</si>
  <si>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</si>
  <si>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</si>
  <si>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</si>
  <si>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</si>
  <si>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</si>
  <si>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</si>
  <si>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</si>
  <si>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</si>
  <si>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</si>
  <si>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</si>
  <si>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</si>
  <si>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</si>
  <si>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</si>
  <si>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</si>
  <si>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</si>
  <si>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</si>
  <si>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</si>
  <si>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</si>
  <si>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</si>
  <si>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</si>
  <si>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</si>
  <si>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</si>
  <si>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</si>
  <si>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</si>
  <si>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</si>
  <si>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</si>
  <si>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</si>
  <si>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</si>
  <si>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</si>
  <si>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</si>
  <si>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</si>
  <si>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</si>
  <si>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</si>
  <si>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</si>
  <si>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</si>
  <si>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</si>
  <si>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</si>
  <si>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</si>
  <si>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</si>
  <si>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</si>
  <si>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</si>
  <si>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</si>
  <si>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</si>
  <si>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</si>
  <si>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</si>
  <si>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</si>
  <si>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</si>
  <si>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</si>
  <si>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</si>
  <si>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</si>
  <si>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</si>
  <si>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</si>
  <si>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</si>
  <si>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</si>
  <si>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</si>
  <si>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</si>
  <si>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</si>
  <si>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</si>
  <si>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</si>
  <si>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</si>
  <si>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</si>
  <si>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</si>
  <si>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</si>
  <si>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</si>
  <si>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</si>
  <si>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</si>
  <si>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</si>
  <si>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</si>
  <si>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</si>
  <si>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</si>
  <si>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</si>
  <si>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</si>
  <si>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</si>
  <si>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</si>
  <si>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</si>
  <si>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</si>
  <si>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</si>
  <si>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</si>
  <si>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</si>
  <si>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</si>
  <si>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</si>
  <si>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</si>
  <si>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</si>
  <si>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</si>
  <si>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</si>
  <si>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</si>
  <si>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</si>
  <si>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</si>
  <si>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</si>
  <si>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</si>
  <si>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</si>
  <si>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</si>
  <si>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</si>
  <si>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</si>
  <si>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</si>
  <si>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</si>
  <si>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</si>
  <si>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</si>
  <si>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</si>
  <si>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</si>
  <si>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</si>
  <si>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</si>
  <si>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</si>
  <si>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</si>
  <si>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</si>
  <si>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</si>
  <si>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</si>
  <si>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</si>
  <si>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</si>
  <si>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</si>
  <si>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</si>
  <si>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</si>
  <si>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</si>
  <si>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</si>
  <si>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</si>
  <si>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</si>
  <si>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</si>
  <si>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</si>
  <si>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</si>
  <si>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</si>
  <si>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</si>
  <si>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</si>
  <si>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</si>
  <si>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</si>
  <si>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</si>
  <si>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</si>
  <si>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</si>
  <si>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</si>
  <si>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</si>
  <si>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</si>
  <si>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</si>
  <si>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</si>
  <si>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</si>
  <si>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</si>
  <si>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</si>
  <si>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</si>
  <si>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</si>
  <si>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</si>
  <si>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</si>
  <si>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</si>
  <si>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</si>
  <si>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</si>
  <si>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</si>
  <si>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</si>
  <si>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</si>
  <si>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</si>
  <si>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</si>
  <si>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</si>
  <si>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</si>
  <si>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</si>
  <si>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</si>
  <si>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</si>
  <si>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</si>
  <si>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</si>
  <si>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</si>
  <si>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</si>
  <si>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</si>
  <si>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</si>
  <si>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</si>
  <si>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</si>
  <si>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</si>
  <si>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</si>
  <si>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</si>
  <si>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</si>
  <si>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</si>
  <si>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</si>
  <si>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</si>
  <si>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</si>
  <si>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</si>
  <si>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</si>
  <si>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</si>
  <si>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</si>
  <si>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</si>
  <si>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</si>
  <si>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</si>
  <si>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</si>
  <si>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</si>
  <si>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</si>
  <si>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</si>
  <si>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</si>
  <si>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</si>
  <si>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</si>
  <si>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</si>
  <si>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</si>
  <si>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</si>
  <si>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</si>
  <si>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</si>
  <si>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</si>
  <si>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</si>
  <si>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</si>
  <si>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</si>
  <si>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</si>
  <si>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</si>
  <si>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</si>
  <si>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</si>
  <si>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</si>
  <si>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</si>
  <si>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</si>
  <si>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</si>
  <si>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</si>
  <si>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</si>
  <si>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</si>
  <si>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</si>
  <si>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</si>
  <si>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</si>
  <si>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</si>
  <si>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</si>
  <si>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</si>
  <si>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</si>
  <si>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</si>
  <si>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</si>
  <si>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</si>
  <si>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</si>
  <si>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</si>
  <si>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</si>
  <si>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</si>
  <si>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</si>
  <si>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</si>
  <si>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</si>
  <si>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</si>
  <si>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</si>
  <si>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</si>
  <si>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</si>
  <si>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</si>
  <si>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</si>
  <si>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</si>
  <si>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</si>
  <si>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</si>
  <si>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</si>
  <si>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</si>
  <si>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</si>
  <si>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</si>
  <si>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</si>
  <si>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</si>
  <si>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</si>
  <si>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</si>
  <si>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</si>
  <si>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</si>
  <si>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</si>
  <si>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</si>
  <si>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</si>
  <si>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</si>
  <si>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</si>
  <si>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</si>
  <si>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</si>
  <si>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</si>
  <si>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</si>
  <si>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</si>
  <si>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</si>
  <si>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</si>
  <si>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</si>
  <si>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</si>
  <si>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</si>
  <si>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</si>
  <si>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</si>
  <si>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</si>
  <si>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</si>
  <si>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</si>
  <si>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</si>
  <si>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</si>
  <si>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</si>
  <si>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</si>
  <si>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</si>
  <si>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</si>
  <si>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</si>
  <si>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</si>
  <si>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</si>
  <si>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</si>
  <si>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</si>
  <si>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</si>
  <si>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</si>
  <si>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</si>
  <si>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</si>
  <si>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</si>
  <si>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</si>
  <si>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</si>
  <si>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</si>
  <si>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</si>
  <si>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</si>
  <si>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</si>
  <si>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</si>
  <si>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</si>
  <si>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</si>
  <si>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</si>
  <si>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</si>
  <si>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</si>
  <si>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</si>
  <si>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</si>
  <si>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</si>
  <si>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</si>
  <si>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</si>
  <si>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</si>
  <si>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</si>
  <si>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</si>
  <si>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</si>
  <si>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</si>
  <si>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</si>
  <si>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</si>
  <si>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</si>
  <si>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</si>
  <si>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</si>
  <si>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</si>
  <si>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</si>
  <si>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</si>
  <si>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</si>
  <si>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</si>
  <si>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</si>
  <si>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</si>
  <si>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</si>
  <si>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</si>
  <si>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</si>
  <si>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</si>
  <si>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</si>
  <si>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</si>
  <si>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</si>
  <si>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</si>
  <si>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</si>
  <si>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</si>
  <si>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</si>
  <si>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</si>
  <si>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</si>
  <si>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</si>
  <si>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</si>
  <si>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</si>
  <si>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</si>
  <si>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</si>
  <si>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</si>
  <si>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</si>
  <si>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</si>
  <si>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</si>
  <si>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</si>
  <si>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</si>
  <si>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</si>
  <si>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</si>
  <si>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</si>
  <si>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</si>
  <si>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</si>
  <si>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</si>
  <si>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</si>
  <si>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</si>
  <si>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</si>
  <si>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</si>
  <si>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</si>
  <si>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</si>
  <si>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</si>
  <si>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</si>
  <si>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</si>
  <si>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</si>
  <si>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</si>
  <si>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</si>
  <si>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</si>
  <si>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</si>
  <si>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</si>
  <si>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</si>
  <si>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</si>
  <si>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</si>
  <si>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</si>
  <si>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</si>
  <si>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</si>
  <si>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</si>
  <si>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</si>
  <si>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</si>
  <si>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</si>
  <si>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</si>
  <si>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</si>
  <si>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</si>
  <si>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</si>
  <si>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</si>
  <si>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</si>
  <si>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</si>
  <si>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</si>
  <si>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</si>
  <si>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</si>
  <si>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</si>
  <si>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</si>
  <si>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</si>
  <si>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</si>
  <si>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</si>
  <si>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</si>
  <si>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</si>
  <si>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</si>
  <si>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</si>
  <si>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</si>
  <si>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</si>
  <si>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</si>
  <si>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</si>
  <si>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</si>
  <si>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</si>
  <si>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</si>
  <si>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</si>
  <si>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</si>
  <si>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</si>
  <si>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</si>
  <si>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</si>
  <si>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</si>
  <si>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</si>
  <si>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</si>
  <si>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</si>
  <si>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</si>
  <si>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</si>
  <si>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</si>
  <si>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</si>
  <si>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</si>
  <si>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</si>
  <si>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</si>
  <si>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</si>
  <si>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</si>
  <si>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</si>
  <si>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</si>
  <si>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</si>
  <si>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</si>
  <si>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</si>
  <si>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</si>
  <si>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</si>
  <si>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</si>
  <si>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</si>
  <si>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</si>
  <si>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</si>
  <si>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</si>
  <si>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</si>
  <si>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</si>
  <si>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</si>
  <si>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</si>
  <si>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</si>
  <si>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</si>
  <si>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</si>
  <si>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</si>
  <si>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</si>
  <si>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</si>
  <si>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</si>
  <si>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</si>
  <si>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</si>
  <si>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</si>
  <si>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</si>
  <si>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</si>
  <si>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</si>
  <si>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</si>
  <si>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</si>
  <si>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</si>
  <si>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</si>
  <si>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</si>
  <si>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</si>
  <si>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</si>
  <si>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</si>
  <si>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</si>
  <si>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</si>
  <si>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</si>
  <si>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</si>
  <si>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</si>
  <si>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</si>
  <si>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</si>
  <si>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</si>
  <si>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</si>
  <si>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</si>
  <si>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</si>
  <si>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</si>
  <si>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</si>
  <si>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</si>
  <si>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</si>
  <si>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</si>
  <si>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</si>
  <si>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</si>
  <si>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</si>
  <si>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</si>
  <si>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</si>
  <si>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</si>
  <si>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</si>
  <si>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</si>
  <si>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</si>
  <si>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</si>
  <si>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</si>
  <si>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</si>
  <si>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</si>
  <si>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</si>
  <si>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</si>
  <si>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</si>
  <si>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</si>
  <si>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</si>
  <si>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</si>
  <si>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</si>
  <si>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</si>
  <si>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</si>
  <si>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</si>
  <si>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</si>
  <si>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</si>
  <si>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</si>
  <si>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</si>
  <si>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</si>
  <si>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</si>
  <si>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</si>
  <si>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</si>
  <si>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</si>
  <si>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</si>
  <si>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</si>
  <si>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</si>
  <si>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</si>
  <si>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</si>
  <si>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</si>
  <si>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</si>
  <si>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</si>
  <si>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</si>
  <si>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</si>
  <si>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</si>
  <si>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</si>
  <si>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</si>
  <si>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</si>
  <si>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</si>
  <si>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</si>
  <si>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</si>
  <si>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</si>
  <si>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</si>
  <si>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</si>
  <si>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</si>
  <si>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</si>
  <si>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</si>
  <si>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</si>
  <si>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</si>
  <si>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</si>
  <si>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</si>
  <si>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</si>
  <si>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</si>
  <si>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</si>
  <si>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</si>
  <si>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</si>
  <si>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</si>
  <si>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</si>
  <si>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</si>
  <si>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</si>
  <si>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</si>
  <si>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</si>
  <si>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</si>
  <si>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</si>
  <si>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</si>
  <si>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</si>
  <si>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</si>
  <si>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</si>
  <si>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</si>
  <si>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</si>
  <si>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</si>
  <si>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</si>
  <si>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</si>
  <si>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</si>
  <si>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</si>
  <si>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</si>
  <si>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</si>
  <si>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</si>
  <si>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</si>
  <si>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</si>
  <si>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</si>
  <si>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</si>
  <si>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</si>
  <si>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</si>
  <si>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</si>
  <si>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</si>
  <si>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</si>
  <si>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</si>
  <si>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</si>
  <si>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</si>
  <si>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</si>
  <si>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</si>
  <si>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</si>
  <si>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</si>
  <si>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</si>
  <si>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</si>
  <si>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</si>
  <si>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</si>
  <si>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</si>
  <si>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</si>
  <si>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</si>
  <si>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</si>
  <si>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</si>
  <si>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</si>
  <si>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</si>
  <si>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</si>
  <si>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</si>
  <si>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</si>
  <si>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</si>
  <si>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</si>
  <si>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</si>
  <si>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</si>
  <si>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</si>
  <si>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</si>
  <si>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</si>
  <si>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</si>
  <si>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</si>
  <si>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</si>
  <si>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</si>
  <si>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</si>
  <si>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</si>
  <si>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</si>
  <si>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</si>
  <si>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</si>
  <si>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</si>
  <si>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</si>
  <si>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</si>
  <si>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</si>
  <si>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</si>
  <si>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</si>
  <si>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</si>
  <si>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</si>
  <si>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</si>
  <si>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</si>
  <si>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</si>
  <si>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</si>
  <si>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</si>
  <si>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</si>
  <si>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</si>
  <si>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</si>
  <si>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</si>
  <si>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</si>
  <si>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</si>
  <si>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</si>
  <si>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</si>
  <si>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</si>
  <si>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</si>
  <si>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</si>
  <si>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</si>
  <si>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</si>
  <si>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</si>
  <si>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</si>
  <si>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</si>
  <si>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</si>
  <si>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</si>
  <si>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</si>
  <si>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</si>
  <si>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</si>
  <si>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</si>
  <si>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</si>
  <si>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</si>
  <si>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</si>
  <si>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</si>
  <si>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</si>
  <si>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</si>
  <si>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</si>
  <si>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</si>
  <si>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</si>
  <si>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</si>
  <si>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</si>
  <si>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</si>
  <si>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</si>
  <si>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</si>
  <si>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</si>
  <si>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</si>
  <si>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</si>
  <si>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</si>
  <si>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</si>
  <si>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</si>
  <si>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</si>
  <si>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</si>
  <si>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</si>
  <si>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</si>
  <si>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</si>
  <si>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</si>
  <si>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</si>
  <si>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</si>
  <si>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</si>
  <si>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</si>
  <si>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</si>
  <si>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</si>
  <si>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</si>
  <si>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</si>
  <si>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</si>
  <si>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</si>
  <si>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</si>
  <si>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</si>
  <si>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</si>
  <si>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</si>
  <si>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</si>
  <si>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</si>
  <si>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</si>
  <si>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</si>
  <si>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</si>
  <si>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</si>
  <si>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</si>
  <si>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</si>
  <si>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</si>
  <si>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</si>
  <si>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</si>
  <si>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</si>
  <si>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</si>
  <si>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</si>
  <si>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</si>
  <si>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</si>
  <si>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</si>
  <si>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</si>
  <si>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</si>
  <si>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</si>
  <si>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</si>
  <si>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</si>
  <si>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</si>
  <si>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</si>
  <si>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</si>
  <si>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</si>
  <si>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</si>
  <si>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</si>
  <si>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</si>
  <si>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</si>
  <si>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</si>
  <si>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</si>
  <si>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</si>
  <si>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</si>
  <si>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</si>
  <si>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</si>
  <si>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</si>
  <si>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</si>
  <si>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</si>
  <si>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</si>
  <si>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</si>
  <si>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</si>
  <si>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</si>
  <si>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</si>
  <si>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</si>
  <si>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</si>
  <si>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</si>
  <si>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</si>
  <si>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</si>
  <si>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</si>
  <si>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</si>
  <si>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</si>
  <si>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</si>
  <si>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</si>
  <si>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</si>
  <si>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</si>
  <si>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</si>
  <si>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</si>
  <si>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</si>
  <si>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</si>
  <si>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</si>
  <si>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</si>
  <si>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</si>
  <si>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</si>
  <si>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</si>
  <si>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</si>
  <si>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</si>
  <si>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</si>
  <si>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</si>
  <si>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</si>
  <si>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</si>
  <si>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</si>
  <si>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</si>
  <si>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</si>
  <si>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</si>
  <si>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</si>
  <si>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</si>
  <si>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</si>
  <si>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</si>
  <si>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</si>
  <si>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</si>
  <si>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</si>
  <si>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</si>
  <si>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</si>
  <si>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</si>
  <si>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</si>
  <si>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</si>
  <si>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</si>
  <si>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</si>
  <si>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</si>
  <si>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</si>
  <si>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</si>
  <si>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</si>
  <si>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</si>
  <si>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</si>
  <si>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</si>
  <si>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</si>
  <si>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</si>
  <si>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</si>
  <si>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</si>
  <si>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</si>
  <si>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</si>
  <si>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</si>
  <si>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</si>
  <si>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</si>
  <si>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</si>
  <si>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</si>
  <si>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</si>
  <si>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</si>
  <si>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</si>
  <si>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</si>
  <si>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</si>
  <si>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</si>
  <si>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</si>
  <si>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</si>
  <si>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</si>
  <si>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</si>
  <si>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</si>
  <si>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</si>
  <si>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</si>
  <si>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</si>
  <si>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</si>
  <si>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</si>
  <si>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</si>
  <si>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</si>
  <si>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</si>
  <si>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</si>
  <si>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</si>
  <si>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</si>
  <si>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</si>
  <si>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</si>
  <si>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</si>
  <si>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</si>
  <si>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</si>
  <si>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</si>
  <si>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</si>
  <si>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</si>
  <si>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</si>
  <si>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</si>
  <si>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</si>
  <si>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</si>
  <si>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</si>
  <si>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</si>
  <si>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</si>
  <si>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</si>
  <si>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</si>
  <si>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</si>
  <si>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</si>
  <si>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</si>
  <si>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</si>
  <si>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</si>
  <si>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</si>
  <si>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</si>
  <si>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</si>
  <si>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</si>
  <si>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</si>
  <si>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</si>
  <si>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</si>
  <si>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</si>
  <si>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</si>
  <si>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</si>
  <si>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</si>
  <si>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</si>
  <si>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</si>
  <si>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</si>
  <si>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</si>
  <si>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</si>
  <si>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</si>
  <si>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</si>
  <si>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</si>
  <si>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</si>
  <si>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</si>
  <si>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</si>
  <si>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</si>
  <si>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</si>
  <si>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</si>
  <si>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</si>
  <si>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</si>
  <si>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</si>
  <si>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</si>
  <si>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</si>
  <si>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</si>
  <si>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</si>
  <si>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</si>
  <si>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</si>
  <si>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</si>
  <si>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</si>
  <si>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</si>
  <si>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</si>
  <si>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</si>
  <si>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</si>
  <si>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</si>
  <si>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</si>
  <si>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</si>
  <si>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</si>
  <si>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</si>
  <si>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</si>
  <si>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</si>
  <si>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</si>
  <si>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</si>
  <si>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</si>
  <si>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</si>
  <si>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</si>
  <si>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</si>
  <si>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</si>
  <si>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</si>
  <si>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</si>
  <si>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</si>
  <si>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</si>
  <si>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</si>
  <si>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</si>
  <si>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</si>
  <si>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</si>
  <si>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</si>
  <si>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</si>
  <si>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</si>
  <si>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</si>
  <si>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</si>
  <si>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</si>
  <si>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</si>
  <si>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</si>
  <si>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</si>
  <si>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</si>
  <si>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</si>
  <si>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</si>
  <si>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</si>
  <si>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</si>
  <si>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</si>
  <si>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</si>
  <si>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</si>
  <si>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</si>
  <si>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</si>
  <si>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</si>
  <si>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</si>
  <si>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</si>
  <si>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</si>
  <si>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</si>
  <si>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</si>
  <si>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</si>
  <si>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</si>
  <si>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</si>
  <si>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</si>
  <si>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</si>
  <si>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</si>
  <si>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</si>
  <si>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</si>
  <si>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</si>
  <si>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</si>
  <si>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</si>
  <si>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</si>
  <si>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</si>
  <si>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</si>
  <si>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</si>
  <si>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</si>
  <si>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</si>
  <si>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</si>
  <si>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</si>
  <si>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</si>
  <si>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</si>
  <si>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</si>
  <si>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</si>
  <si>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</si>
  <si>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</si>
  <si>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</si>
  <si>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</si>
  <si>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</si>
  <si>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</si>
  <si>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</si>
  <si>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</si>
  <si>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</si>
  <si>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</si>
  <si>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</si>
  <si>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</si>
  <si>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</si>
  <si>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</si>
  <si>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</si>
  <si>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</si>
  <si>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</si>
  <si>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</si>
  <si>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</si>
  <si>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</si>
  <si>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</si>
  <si>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</si>
  <si>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</si>
  <si>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</si>
  <si>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</si>
  <si>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</si>
  <si>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</si>
  <si>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</si>
  <si>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</si>
  <si>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</si>
  <si>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</si>
  <si>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</si>
  <si>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</si>
  <si>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</si>
  <si>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</si>
  <si>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</si>
  <si>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</si>
  <si>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</si>
  <si>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</si>
  <si>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</si>
  <si>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</si>
  <si>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</si>
  <si>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</si>
  <si>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</si>
  <si>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</si>
  <si>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</si>
  <si>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</si>
  <si>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</si>
  <si>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</si>
  <si>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</si>
  <si>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</si>
  <si>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</si>
  <si>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</si>
  <si>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</si>
  <si>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</si>
  <si>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</si>
  <si>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</si>
  <si>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</si>
  <si>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</si>
  <si>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</si>
  <si>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</si>
  <si>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</si>
  <si>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</si>
  <si>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</si>
  <si>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</si>
  <si>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</si>
  <si>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</si>
  <si>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</si>
  <si>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</si>
  <si>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</si>
  <si>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</si>
  <si>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</si>
  <si>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</si>
  <si>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</si>
  <si>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</si>
  <si>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</si>
  <si>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</si>
  <si>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</si>
  <si>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</si>
  <si>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</si>
  <si>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</si>
  <si>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</si>
  <si>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</si>
  <si>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</si>
  <si>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</si>
  <si>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</si>
  <si>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</si>
  <si>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</si>
  <si>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</si>
  <si>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</si>
  <si>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</si>
  <si>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</si>
  <si>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</si>
  <si>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</si>
  <si>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</si>
  <si>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</si>
  <si>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</si>
  <si>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</si>
  <si>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</si>
  <si>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</si>
  <si>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</si>
  <si>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</si>
  <si>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</si>
  <si>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</si>
  <si>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</si>
  <si>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</si>
  <si>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</si>
  <si>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</si>
  <si>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</si>
  <si>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</si>
  <si>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</si>
  <si>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</si>
  <si>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</si>
  <si>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</si>
  <si>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</si>
  <si>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</si>
  <si>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</si>
  <si>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</si>
  <si>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</si>
  <si>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</si>
  <si>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</si>
  <si>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</si>
  <si>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</si>
  <si>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</si>
  <si>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</si>
  <si>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</si>
  <si>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</si>
  <si>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</si>
  <si>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</si>
  <si>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</si>
  <si>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</si>
  <si>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</si>
  <si>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</si>
  <si>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</si>
  <si>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</si>
  <si>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</si>
  <si>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</si>
  <si>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</si>
  <si>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</si>
  <si>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</si>
  <si>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</si>
  <si>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</si>
  <si>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</si>
  <si>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</si>
  <si>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</si>
  <si>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</si>
  <si>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</si>
  <si>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</si>
  <si>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</si>
  <si>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</si>
  <si>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</si>
  <si>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</si>
  <si>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</si>
  <si>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</si>
  <si>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</si>
  <si>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</si>
  <si>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</si>
  <si>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</si>
  <si>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</si>
  <si>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</si>
  <si>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</si>
  <si>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</si>
  <si>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</si>
  <si>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</si>
  <si>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</si>
  <si>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</si>
  <si>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</si>
  <si>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</si>
  <si>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</si>
  <si>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</si>
  <si>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</si>
  <si>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</si>
  <si>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</si>
  <si>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</si>
  <si>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</si>
  <si>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</si>
  <si>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</si>
  <si>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</si>
  <si>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</si>
  <si>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</si>
  <si>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</si>
  <si>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</si>
  <si>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</si>
  <si>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</si>
  <si>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</si>
  <si>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</si>
  <si>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</si>
  <si>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</si>
  <si>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</si>
  <si>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</si>
  <si>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</si>
  <si>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</si>
  <si>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</si>
  <si>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</si>
  <si>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</si>
  <si>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</si>
  <si>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</si>
  <si>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</si>
  <si>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</si>
  <si>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</si>
  <si>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</si>
  <si>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</si>
  <si>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</si>
  <si>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</si>
  <si>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</si>
  <si>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</si>
  <si>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</si>
  <si>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</si>
  <si>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</si>
  <si>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</si>
  <si>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</si>
  <si>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</si>
  <si>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</si>
  <si>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</si>
  <si>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</si>
  <si>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</si>
  <si>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</si>
  <si>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</si>
  <si>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</si>
  <si>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</si>
  <si>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</si>
  <si>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</si>
  <si>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</si>
  <si>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</si>
  <si>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</si>
  <si>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</si>
  <si>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</si>
  <si>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</si>
  <si>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</si>
  <si>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</si>
  <si>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</si>
  <si>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</si>
  <si>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</si>
  <si>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</si>
  <si>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</si>
  <si>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</si>
  <si>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</si>
  <si>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</si>
  <si>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</si>
  <si>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</si>
  <si>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</si>
  <si>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</si>
  <si>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</si>
  <si>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</si>
  <si>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</si>
  <si>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</si>
  <si>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</si>
  <si>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</si>
  <si>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</si>
  <si>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</si>
  <si>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</si>
  <si>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</si>
  <si>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</si>
  <si>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</si>
  <si>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</si>
  <si>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</si>
  <si>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</si>
  <si>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</si>
  <si>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</si>
  <si>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</si>
  <si>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</si>
  <si>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</si>
  <si>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</si>
  <si>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</si>
  <si>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</si>
  <si>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</si>
  <si>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</si>
  <si>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</si>
  <si>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</si>
  <si>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</si>
  <si>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</si>
  <si>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</si>
  <si>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</si>
  <si>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</si>
  <si>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</si>
  <si>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</si>
  <si>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</si>
  <si>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</si>
  <si>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</si>
  <si>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</si>
  <si>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</si>
  <si>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</si>
  <si>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</si>
  <si>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</si>
  <si>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</si>
  <si>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</si>
  <si>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</si>
  <si>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</si>
  <si>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</si>
  <si>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</si>
  <si>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</si>
  <si>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</si>
  <si>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</si>
  <si>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</si>
  <si>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</si>
  <si>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</si>
  <si>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</si>
  <si>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</si>
  <si>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</si>
  <si>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</si>
  <si>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</si>
  <si>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</si>
  <si>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</si>
  <si>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</si>
  <si>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</si>
  <si>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</si>
  <si>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</si>
  <si>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</si>
  <si>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</si>
  <si>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</si>
  <si>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</si>
  <si>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</si>
  <si>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</si>
  <si>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</si>
  <si>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</si>
  <si>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</si>
  <si>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</si>
  <si>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</si>
  <si>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</si>
  <si>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</si>
  <si>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</si>
  <si>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</si>
  <si>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</si>
  <si>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</si>
  <si>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</si>
  <si>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</si>
  <si>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</si>
  <si>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</si>
  <si>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</si>
  <si>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</si>
  <si>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</si>
  <si>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</si>
  <si>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</si>
  <si>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</si>
  <si>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</si>
  <si>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</si>
  <si>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</si>
  <si>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</si>
  <si>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</si>
  <si>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</si>
  <si>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</si>
  <si>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</si>
  <si>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</si>
  <si>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</si>
  <si>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</si>
  <si>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</si>
  <si>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</si>
  <si>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</si>
  <si>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</si>
  <si>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</si>
  <si>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</si>
  <si>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</si>
  <si>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</si>
  <si>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</si>
  <si>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</si>
  <si>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</si>
  <si>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</si>
  <si>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</si>
  <si>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</si>
  <si>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</si>
  <si>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</si>
  <si>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</si>
  <si>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</si>
  <si>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</si>
  <si>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</si>
  <si>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</si>
  <si>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</si>
  <si>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</si>
  <si>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</si>
  <si>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</si>
  <si>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</si>
  <si>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</si>
  <si>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</si>
  <si>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</si>
  <si>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</si>
  <si>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</si>
  <si>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</si>
  <si>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</si>
  <si>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</si>
  <si>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</si>
  <si>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</si>
  <si>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</si>
  <si>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</si>
  <si>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</si>
  <si>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</si>
  <si>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</si>
  <si>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</si>
  <si>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</si>
  <si>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</si>
  <si>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</si>
  <si>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</si>
  <si>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</si>
  <si>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</si>
  <si>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</si>
  <si>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</si>
  <si>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</si>
  <si>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</si>
  <si>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</si>
  <si>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</si>
  <si>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</si>
  <si>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</si>
  <si>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</si>
  <si>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</si>
  <si>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</si>
  <si>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</si>
  <si>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</si>
  <si>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</si>
  <si>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</si>
  <si>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</si>
  <si>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</si>
  <si>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</si>
  <si>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</si>
  <si>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</si>
  <si>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</si>
  <si>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</si>
  <si>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</si>
  <si>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</si>
  <si>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</si>
  <si>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</si>
  <si>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</si>
  <si>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</si>
  <si>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</si>
  <si>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</si>
  <si>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</si>
  <si>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</si>
  <si>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</si>
  <si>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</si>
  <si>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</si>
  <si>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</si>
  <si>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</si>
  <si>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</si>
  <si>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</si>
  <si>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</si>
  <si>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</si>
  <si>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</si>
  <si>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</si>
  <si>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</si>
  <si>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</si>
  <si>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</si>
  <si>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</si>
  <si>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</si>
  <si>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</si>
  <si>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</si>
  <si>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</si>
  <si>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</si>
  <si>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</si>
  <si>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</si>
  <si>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</si>
  <si>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</si>
  <si>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</si>
  <si>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</si>
  <si>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</si>
  <si>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</si>
  <si>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</si>
  <si>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</si>
  <si>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</si>
  <si>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</si>
  <si>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</si>
  <si>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</si>
  <si>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</si>
  <si>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</si>
  <si>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</si>
  <si>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</si>
  <si>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</si>
  <si>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</si>
  <si>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</si>
  <si>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</si>
  <si>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</si>
  <si>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</si>
  <si>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</si>
  <si>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</si>
  <si>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</si>
  <si>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</si>
  <si>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</si>
  <si>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</si>
  <si>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</si>
  <si>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</si>
  <si>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</si>
  <si>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</si>
  <si>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</si>
  <si>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</si>
  <si>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</si>
  <si>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</si>
  <si>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</si>
  <si>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</si>
  <si>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</si>
  <si>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</si>
  <si>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</si>
  <si>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</si>
  <si>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</si>
  <si>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</si>
  <si>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</si>
  <si>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</si>
  <si>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</si>
  <si>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</si>
  <si>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</si>
  <si>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</si>
  <si>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</si>
  <si>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</si>
  <si>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</si>
  <si>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</si>
  <si>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</si>
  <si>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</si>
  <si>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</si>
  <si>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</si>
  <si>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</si>
  <si>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</si>
  <si>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</si>
  <si>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</si>
  <si>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</si>
  <si>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</si>
  <si>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</si>
  <si>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</si>
  <si>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</si>
  <si>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</si>
  <si>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</si>
  <si>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</si>
  <si>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</si>
  <si>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</si>
  <si>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</si>
  <si>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</si>
  <si>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</si>
  <si>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</si>
  <si>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</si>
  <si>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</si>
  <si>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</si>
  <si>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</si>
  <si>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</si>
  <si>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</si>
  <si>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</si>
  <si>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</si>
  <si>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</si>
  <si>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</si>
  <si>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</si>
  <si>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</si>
  <si>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</si>
  <si>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</si>
  <si>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</si>
  <si>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</si>
  <si>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</si>
  <si>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</si>
  <si>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</si>
  <si>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</si>
  <si>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</si>
  <si>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</si>
  <si>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</si>
  <si>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</si>
  <si>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</si>
  <si>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</si>
  <si>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</si>
  <si>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</si>
  <si>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</si>
  <si>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</si>
  <si>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</si>
  <si>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</si>
  <si>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</si>
  <si>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</si>
  <si>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</si>
  <si>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</si>
  <si>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</si>
  <si>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</si>
  <si>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</si>
  <si>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</si>
  <si>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</si>
  <si>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</si>
  <si>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</si>
  <si>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</si>
  <si>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</si>
  <si>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</si>
  <si>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</si>
  <si>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</si>
  <si>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</si>
  <si>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</si>
  <si>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</si>
  <si>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</si>
  <si>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</si>
  <si>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</si>
  <si>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</si>
  <si>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</si>
  <si>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</si>
  <si>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</si>
  <si>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</si>
  <si>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</si>
  <si>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</si>
  <si>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</si>
  <si>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</si>
  <si>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</si>
  <si>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</si>
  <si>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</si>
  <si>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</si>
  <si>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</si>
  <si>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</si>
  <si>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</si>
  <si>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</si>
  <si>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</si>
  <si>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</si>
  <si>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</si>
  <si>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</si>
  <si>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</si>
  <si>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</si>
  <si>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</si>
  <si>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</si>
  <si>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</si>
  <si>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</si>
  <si>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</si>
  <si>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</si>
  <si>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</si>
  <si>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</si>
  <si>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</si>
  <si>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</si>
  <si>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</si>
  <si>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</si>
  <si>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</si>
  <si>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</si>
  <si>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</si>
  <si>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</si>
  <si>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</si>
  <si>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</si>
  <si>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</si>
  <si>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</si>
  <si>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</si>
  <si>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</si>
  <si>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</si>
  <si>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</si>
  <si>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</si>
  <si>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</si>
  <si>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</si>
  <si>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</si>
  <si>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</si>
  <si>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</si>
  <si>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</si>
  <si>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</si>
  <si>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</si>
  <si>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</si>
  <si>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</si>
  <si>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</si>
  <si>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</si>
  <si>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</si>
  <si>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</si>
  <si>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</si>
  <si>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</si>
  <si>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</si>
  <si>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</si>
  <si>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</si>
  <si>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</si>
  <si>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</si>
  <si>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</si>
  <si>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</si>
  <si>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</si>
  <si>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</si>
  <si>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</si>
  <si>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</si>
  <si>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</si>
  <si>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</si>
  <si>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</si>
  <si>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</si>
  <si>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</si>
  <si>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</si>
  <si>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</si>
  <si>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</si>
  <si>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</si>
  <si>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</si>
  <si>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</si>
  <si>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</si>
  <si>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</si>
  <si>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</si>
  <si>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</si>
  <si>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</si>
  <si>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</si>
  <si>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</si>
  <si>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</si>
  <si>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</si>
  <si>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</si>
  <si>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</si>
  <si>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</si>
  <si>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</si>
  <si>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</si>
  <si>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</si>
  <si>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</si>
  <si>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</si>
  <si>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</si>
  <si>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</si>
  <si>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</si>
  <si>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</si>
  <si>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</si>
  <si>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</si>
  <si>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</si>
  <si>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</si>
  <si>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</si>
  <si>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</si>
  <si>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</si>
  <si>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</si>
  <si>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</si>
  <si>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</si>
  <si>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</si>
  <si>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</si>
  <si>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</si>
  <si>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</si>
  <si>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</si>
  <si>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</si>
  <si>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</si>
  <si>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</si>
  <si>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</si>
  <si>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</si>
  <si>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</si>
  <si>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</si>
  <si>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</si>
  <si>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</si>
  <si>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</si>
  <si>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</si>
  <si>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</si>
  <si>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</si>
  <si>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</si>
  <si>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</si>
  <si>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</si>
  <si>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</si>
  <si>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</si>
  <si>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</si>
  <si>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</si>
  <si>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</si>
  <si>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</si>
  <si>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</si>
  <si>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</si>
  <si>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</si>
  <si>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</si>
  <si>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</si>
  <si>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</si>
  <si>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</si>
  <si>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</si>
  <si>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</si>
  <si>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</si>
  <si>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</si>
  <si>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</si>
  <si>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</si>
  <si>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</si>
  <si>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</si>
  <si>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</si>
  <si>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</si>
  <si>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</si>
  <si>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</si>
  <si>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</si>
  <si>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</si>
  <si>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</si>
  <si>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</si>
  <si>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</si>
  <si>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</si>
  <si>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</si>
  <si>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</si>
  <si>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</si>
  <si>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</si>
  <si>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</si>
  <si>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</si>
  <si>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</si>
  <si>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</si>
  <si>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</si>
  <si>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</si>
  <si>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</si>
  <si>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</si>
  <si>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</si>
  <si>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</si>
  <si>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</si>
  <si>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</si>
  <si>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</si>
  <si>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</si>
  <si>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</si>
  <si>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</si>
  <si>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</si>
  <si>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</si>
  <si>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</si>
  <si>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</si>
  <si>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</si>
  <si>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</si>
  <si>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</si>
  <si>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</si>
  <si>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</si>
  <si>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</si>
  <si>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</si>
  <si>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</si>
  <si>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</si>
  <si>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</si>
  <si>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</si>
  <si>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</si>
  <si>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</si>
  <si>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</si>
  <si>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</si>
  <si>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</si>
  <si>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</si>
  <si>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</si>
  <si>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</si>
  <si>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</si>
  <si>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</si>
  <si>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</si>
  <si>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</si>
  <si>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</si>
  <si>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</si>
  <si>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</si>
  <si>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</si>
  <si>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</si>
  <si>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</si>
  <si>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</si>
  <si>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</si>
  <si>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</si>
  <si>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</si>
  <si>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</si>
  <si>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</si>
  <si>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</si>
  <si>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</si>
  <si>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</si>
  <si>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</si>
  <si>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</si>
  <si>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</si>
  <si>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</si>
  <si>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</si>
  <si>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</si>
  <si>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</si>
  <si>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</si>
  <si>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</si>
  <si>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</si>
  <si>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</si>
  <si>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</si>
  <si>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</si>
  <si>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</si>
  <si>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</si>
  <si>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</si>
  <si>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</si>
  <si>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</si>
  <si>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</si>
  <si>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</si>
  <si>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</si>
  <si>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</si>
  <si>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</si>
  <si>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</si>
  <si>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</si>
  <si>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</si>
  <si>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</si>
  <si>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</si>
  <si>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</si>
  <si>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</si>
  <si>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</si>
  <si>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</si>
  <si>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</si>
  <si>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</si>
  <si>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</si>
  <si>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</si>
  <si>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</si>
  <si>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</si>
  <si>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</si>
  <si>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</si>
  <si>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</si>
  <si>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</si>
  <si>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</si>
  <si>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</si>
  <si>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</si>
  <si>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</si>
  <si>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</si>
  <si>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</si>
  <si>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</si>
  <si>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</si>
  <si>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</si>
  <si>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</si>
  <si>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</si>
  <si>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</si>
  <si>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</si>
  <si>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</si>
  <si>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</si>
  <si>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</si>
  <si>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</si>
  <si>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</si>
  <si>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</si>
  <si>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</si>
  <si>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</si>
  <si>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</si>
  <si>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</si>
  <si>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</si>
  <si>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</si>
  <si>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</si>
  <si>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</si>
  <si>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</si>
  <si>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</si>
  <si>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</si>
  <si>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</si>
  <si>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</si>
  <si>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</si>
  <si>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</si>
  <si>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</si>
  <si>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</si>
  <si>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</si>
  <si>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</si>
  <si>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</si>
  <si>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</si>
  <si>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</si>
  <si>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</si>
  <si>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</si>
  <si>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</si>
  <si>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</si>
  <si>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</si>
  <si>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</si>
  <si>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</si>
  <si>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</si>
  <si>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</si>
  <si>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</si>
  <si>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</si>
  <si>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</si>
  <si>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</si>
  <si>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</si>
  <si>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</si>
  <si>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</si>
  <si>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</si>
  <si>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</si>
  <si>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</si>
  <si>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</si>
  <si>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</si>
  <si>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</si>
  <si>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</si>
  <si>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</si>
  <si>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</si>
  <si>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</si>
  <si>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</si>
  <si>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</si>
  <si>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</si>
  <si>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</si>
  <si>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</si>
  <si>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</si>
  <si>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</si>
  <si>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</si>
  <si>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</si>
  <si>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</si>
  <si>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</si>
  <si>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</si>
  <si>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</si>
  <si>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</si>
  <si>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</si>
  <si>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</si>
  <si>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</si>
  <si>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</si>
  <si>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</si>
  <si>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</si>
  <si>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</si>
  <si>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</si>
  <si>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</si>
  <si>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</si>
  <si>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</si>
  <si>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</si>
  <si>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</si>
  <si>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</si>
  <si>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</si>
  <si>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</si>
  <si>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</si>
  <si>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</si>
  <si>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</si>
  <si>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</si>
  <si>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</si>
  <si>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</si>
  <si>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</si>
  <si>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</si>
  <si>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</si>
  <si>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</si>
  <si>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</si>
  <si>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</si>
  <si>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</si>
  <si>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</si>
  <si>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</si>
  <si>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</si>
  <si>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</si>
  <si>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</si>
  <si>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</si>
  <si>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</si>
  <si>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</si>
  <si>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</si>
  <si>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</si>
  <si>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</si>
  <si>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</si>
  <si>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</si>
  <si>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</si>
  <si>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</si>
  <si>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</si>
  <si>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</si>
  <si>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</si>
  <si>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</si>
  <si>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</si>
  <si>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</si>
  <si>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</si>
  <si>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</si>
  <si>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</si>
  <si>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</si>
  <si>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</si>
  <si>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</si>
  <si>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</si>
  <si>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</si>
  <si>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</si>
  <si>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</si>
  <si>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</si>
  <si>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</si>
  <si>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</si>
  <si>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</si>
  <si>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</si>
  <si>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</si>
  <si>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</si>
  <si>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</si>
  <si>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</si>
  <si>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</si>
  <si>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</si>
  <si>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</si>
  <si>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</si>
  <si>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</si>
  <si>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</si>
  <si>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</si>
  <si>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</si>
  <si>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</si>
  <si>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</si>
  <si>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</si>
  <si>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</si>
  <si>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</si>
  <si>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</si>
  <si>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</si>
  <si>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</si>
  <si>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</si>
  <si>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</si>
  <si>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</si>
  <si>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</si>
  <si>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</si>
  <si>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</si>
  <si>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</si>
  <si>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</si>
  <si>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</si>
  <si>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</si>
  <si>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</si>
  <si>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</si>
  <si>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</si>
  <si>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</si>
  <si>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</si>
  <si>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</si>
  <si>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</si>
  <si>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</si>
  <si>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</si>
  <si>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</si>
  <si>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</si>
  <si>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</si>
  <si>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</si>
  <si>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</si>
  <si>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</si>
  <si>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</si>
  <si>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</si>
  <si>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</si>
  <si>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</si>
  <si>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</si>
  <si>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</si>
  <si>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</si>
  <si>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</si>
  <si>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</si>
  <si>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</si>
  <si>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</si>
  <si>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</si>
  <si>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</si>
  <si>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</si>
  <si>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</si>
  <si>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</si>
  <si>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</si>
  <si>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</si>
  <si>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</si>
  <si>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</si>
  <si>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</si>
  <si>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</si>
  <si>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</si>
  <si>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</si>
  <si>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</si>
  <si>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</si>
  <si>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</si>
  <si>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</si>
  <si>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</si>
  <si>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</si>
  <si>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</si>
  <si>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</si>
  <si>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</si>
  <si>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</si>
  <si>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</si>
  <si>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</si>
  <si>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</si>
  <si>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</si>
  <si>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</si>
  <si>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</si>
  <si>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</si>
  <si>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</si>
  <si>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</si>
  <si>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</si>
  <si>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</si>
  <si>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</si>
  <si>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</si>
  <si>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</si>
  <si>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</si>
  <si>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</si>
  <si>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</si>
  <si>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</si>
  <si>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</si>
  <si>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</si>
  <si>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</si>
  <si>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</si>
  <si>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</si>
  <si>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</si>
  <si>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</si>
  <si>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</si>
  <si>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</si>
  <si>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</si>
  <si>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</si>
  <si>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</si>
  <si>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</si>
  <si>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</si>
  <si>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</si>
  <si>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</si>
  <si>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</si>
  <si>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</si>
  <si>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</si>
  <si>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</si>
  <si>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</si>
  <si>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</si>
  <si>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</si>
  <si>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</si>
  <si>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</si>
  <si>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</si>
  <si>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</si>
  <si>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</si>
  <si>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</si>
  <si>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</si>
  <si>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</si>
  <si>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</si>
  <si>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</si>
  <si>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</si>
  <si>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</si>
  <si>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</si>
  <si>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</si>
  <si>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</si>
  <si>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</si>
  <si>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</si>
  <si>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</si>
  <si>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</si>
  <si>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</si>
  <si>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</si>
  <si>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</si>
  <si>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</si>
  <si>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</si>
  <si>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</si>
  <si>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</si>
  <si>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</si>
  <si>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</si>
  <si>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</si>
  <si>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</si>
  <si>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</si>
  <si>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</si>
  <si>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</si>
  <si>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</si>
  <si>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</si>
  <si>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</si>
  <si>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</si>
  <si>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</si>
  <si>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</si>
  <si>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</si>
  <si>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</si>
  <si>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</si>
  <si>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</si>
  <si>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</si>
  <si>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</si>
  <si>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</si>
  <si>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</si>
  <si>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</si>
  <si>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</si>
  <si>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</si>
  <si>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</si>
  <si>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</si>
  <si>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</si>
  <si>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</si>
  <si>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</si>
  <si>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</si>
  <si>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</si>
  <si>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</si>
  <si>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</si>
  <si>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</si>
  <si>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</si>
  <si>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</si>
  <si>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</si>
  <si>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</si>
  <si>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</si>
  <si>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</si>
  <si>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</si>
  <si>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</si>
  <si>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</si>
  <si>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</si>
  <si>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</si>
  <si>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</si>
  <si>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</si>
  <si>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</si>
  <si>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</si>
  <si>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</si>
  <si>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</si>
  <si>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</si>
  <si>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</si>
  <si>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</si>
  <si>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</si>
  <si>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</si>
  <si>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</si>
  <si>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</si>
  <si>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</si>
  <si>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</si>
  <si>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</si>
  <si>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</si>
  <si>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</si>
  <si>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</si>
  <si>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</si>
  <si>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</si>
  <si>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</si>
  <si>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</si>
  <si>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</si>
  <si>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</si>
  <si>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</si>
  <si>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</si>
  <si>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</si>
  <si>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</si>
  <si>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</si>
  <si>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</si>
  <si>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</si>
  <si>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</si>
  <si>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</si>
  <si>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</si>
  <si>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</si>
  <si>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</si>
  <si>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</si>
  <si>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</si>
  <si>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</si>
  <si>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</si>
  <si>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</si>
  <si>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</si>
  <si>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</si>
  <si>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</si>
  <si>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</si>
  <si>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</si>
  <si>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</si>
  <si>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</si>
  <si>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</si>
  <si>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</si>
  <si>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</si>
  <si>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</si>
  <si>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</si>
  <si>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</si>
  <si>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</si>
  <si>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</si>
  <si>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</si>
  <si>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</si>
  <si>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</si>
  <si>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</si>
  <si>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</si>
  <si>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</si>
  <si>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</si>
  <si>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</si>
  <si>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</si>
  <si>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</si>
  <si>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</si>
  <si>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</si>
  <si>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</si>
  <si>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</si>
  <si>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</si>
  <si>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</si>
  <si>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</si>
  <si>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</si>
  <si>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</si>
  <si>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</si>
  <si>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</si>
  <si>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</si>
  <si>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</si>
  <si>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</si>
  <si>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</si>
  <si>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</si>
  <si>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</si>
  <si>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</si>
  <si>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</si>
  <si>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</si>
  <si>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</si>
  <si>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</si>
  <si>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</si>
  <si>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</si>
  <si>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</si>
  <si>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</si>
  <si>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</si>
  <si>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</si>
  <si>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</si>
  <si>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</si>
  <si>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</si>
  <si>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</si>
  <si>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</si>
  <si>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</si>
  <si>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</si>
  <si>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</si>
  <si>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</si>
  <si>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</si>
  <si>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</si>
  <si>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</si>
  <si>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</si>
  <si>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</si>
  <si>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</si>
  <si>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</si>
  <si>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</si>
  <si>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</si>
  <si>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</si>
  <si>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</si>
  <si>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</si>
  <si>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</si>
  <si>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</si>
  <si>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</si>
  <si>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</si>
  <si>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</si>
  <si>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</si>
  <si>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</si>
  <si>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</si>
  <si>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</si>
  <si>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</si>
  <si>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</si>
  <si>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</si>
  <si>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</si>
  <si>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</si>
  <si>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</si>
  <si>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</si>
  <si>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</si>
  <si>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</si>
  <si>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</si>
  <si>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</si>
  <si>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</si>
  <si>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</si>
  <si>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</si>
  <si>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</si>
  <si>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</si>
  <si>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</si>
  <si>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</si>
  <si>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</si>
  <si>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</si>
  <si>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</si>
  <si>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</si>
  <si>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</si>
  <si>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</si>
  <si>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</si>
  <si>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</si>
  <si>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</si>
  <si>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</si>
  <si>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</si>
  <si>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</si>
  <si>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</si>
  <si>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</si>
  <si>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</si>
  <si>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</si>
  <si>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</si>
  <si>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</si>
  <si>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</si>
  <si>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</si>
  <si>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</si>
  <si>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</si>
  <si>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</si>
  <si>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</si>
  <si>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</si>
  <si>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</si>
  <si>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</si>
  <si>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</si>
  <si>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</si>
  <si>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</si>
  <si>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</si>
  <si>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</si>
  <si>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</si>
  <si>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</si>
  <si>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</si>
  <si>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</si>
  <si>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</si>
  <si>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</si>
  <si>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</si>
  <si>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</si>
  <si>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</si>
  <si>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</si>
  <si>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</si>
  <si>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</si>
  <si>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</si>
  <si>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</si>
  <si>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</si>
  <si>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</si>
  <si>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</si>
  <si>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</si>
  <si>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</si>
  <si>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</si>
  <si>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</si>
  <si>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</si>
  <si>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</si>
  <si>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</si>
  <si>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</si>
  <si>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</si>
  <si>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</si>
  <si>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</si>
  <si>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</si>
  <si>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</si>
  <si>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</si>
  <si>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</si>
  <si>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</si>
  <si>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</si>
  <si>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</si>
  <si>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</si>
  <si>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</si>
  <si>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</si>
  <si>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</si>
  <si>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</si>
  <si>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</si>
  <si>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</si>
  <si>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</si>
  <si>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</si>
  <si>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</si>
  <si>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</si>
  <si>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</si>
  <si>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</si>
  <si>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</si>
  <si>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</si>
  <si>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</si>
  <si>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</si>
  <si>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</si>
  <si>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</si>
  <si>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</si>
  <si>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</si>
  <si>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</si>
  <si>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</si>
  <si>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</si>
  <si>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</si>
  <si>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</si>
  <si>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</si>
  <si>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</si>
  <si>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</si>
  <si>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</si>
  <si>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</si>
  <si>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</si>
  <si>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</si>
  <si>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</si>
  <si>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</si>
  <si>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</si>
  <si>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</si>
  <si>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</si>
  <si>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</si>
  <si>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</si>
  <si>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</si>
  <si>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</si>
  <si>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</si>
  <si>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</si>
  <si>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</si>
  <si>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</si>
  <si>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</si>
  <si>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</si>
  <si>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</si>
  <si>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</si>
  <si>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</si>
  <si>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</si>
  <si>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</si>
  <si>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</si>
  <si>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</si>
  <si>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</si>
  <si>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</si>
  <si>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</si>
  <si>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</si>
  <si>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</si>
  <si>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</si>
  <si>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</si>
  <si>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</si>
  <si>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</si>
  <si>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</si>
  <si>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</si>
  <si>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</si>
  <si>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</si>
  <si>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</si>
  <si>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</si>
  <si>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</si>
  <si>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</si>
  <si>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</si>
  <si>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</si>
  <si>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</si>
  <si>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</si>
  <si>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</si>
  <si>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</si>
  <si>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</si>
  <si>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</si>
  <si>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</si>
  <si>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</si>
  <si>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</si>
  <si>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</si>
  <si>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</si>
  <si>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</si>
  <si>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</si>
  <si>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</si>
  <si>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</si>
  <si>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</si>
  <si>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</si>
  <si>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</si>
  <si>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</si>
  <si>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</si>
  <si>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</si>
  <si>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</si>
  <si>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</si>
  <si>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</si>
  <si>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</si>
  <si>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</si>
  <si>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</si>
  <si>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</si>
  <si>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</si>
  <si>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</si>
  <si>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</si>
  <si>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</si>
  <si>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</si>
  <si>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</si>
  <si>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</si>
  <si>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</si>
  <si>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</si>
  <si>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</si>
  <si>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</si>
  <si>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</si>
  <si>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</si>
  <si>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</si>
  <si>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</si>
  <si>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</si>
  <si>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</si>
  <si>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</si>
  <si>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</si>
  <si>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</si>
  <si>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</si>
  <si>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</si>
  <si>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</si>
  <si>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</si>
  <si>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</si>
  <si>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</si>
  <si>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</si>
  <si>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</si>
  <si>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</si>
  <si>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</si>
  <si>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</si>
  <si>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</si>
  <si>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</si>
  <si>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</si>
  <si>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</si>
  <si>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</si>
  <si>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</si>
  <si>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</si>
  <si>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</si>
  <si>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</si>
  <si>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</si>
  <si>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</si>
  <si>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</si>
  <si>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</si>
  <si>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</si>
  <si>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</si>
  <si>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</si>
  <si>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</si>
  <si>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</si>
  <si>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</si>
  <si>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</si>
  <si>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</si>
  <si>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</si>
  <si>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</si>
  <si>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</si>
  <si>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</si>
  <si>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</si>
  <si>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</si>
  <si>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</si>
  <si>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</si>
  <si>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</si>
  <si>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</si>
  <si>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</si>
  <si>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</si>
  <si>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</si>
  <si>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</si>
  <si>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</si>
  <si>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</si>
  <si>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</si>
  <si>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</si>
  <si>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</si>
  <si>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</si>
  <si>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</si>
  <si>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</si>
  <si>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</si>
  <si>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</si>
  <si>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</si>
  <si>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</si>
  <si>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</si>
  <si>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</si>
  <si>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</si>
  <si>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</si>
  <si>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</si>
  <si>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</si>
  <si>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</si>
  <si>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</si>
  <si>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</si>
  <si>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</si>
  <si>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</si>
  <si>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</si>
  <si>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</si>
  <si>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</si>
  <si>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</si>
  <si>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</si>
  <si>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</si>
  <si>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</si>
  <si>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</si>
  <si>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</si>
  <si>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</si>
  <si>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</si>
  <si>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</si>
  <si>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</si>
  <si>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</si>
  <si>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</si>
  <si>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</si>
  <si>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</si>
  <si>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</si>
  <si>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</si>
  <si>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</si>
  <si>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</si>
  <si>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</si>
  <si>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</si>
  <si>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</si>
  <si>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</si>
  <si>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</si>
  <si>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</si>
  <si>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</si>
  <si>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</si>
  <si>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</si>
  <si>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</si>
  <si>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</si>
  <si>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</si>
  <si>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</si>
  <si>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</si>
  <si>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</si>
  <si>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</si>
  <si>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</si>
  <si>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</si>
  <si>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</si>
  <si>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</si>
  <si>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</si>
  <si>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</si>
  <si>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</si>
  <si>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</si>
  <si>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</si>
  <si>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</si>
  <si>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</si>
  <si>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</si>
  <si>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</si>
  <si>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</si>
  <si>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</si>
  <si>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</si>
  <si>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</si>
  <si>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</si>
  <si>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</si>
  <si>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</si>
  <si>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</si>
  <si>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</si>
  <si>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</si>
  <si>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</si>
  <si>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</si>
  <si>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</si>
  <si>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</si>
  <si>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</si>
  <si>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</si>
  <si>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</si>
  <si>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</si>
  <si>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</si>
  <si>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</si>
  <si>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</si>
  <si>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</si>
  <si>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</si>
  <si>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</si>
  <si>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</si>
  <si>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</si>
  <si>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</si>
  <si>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</si>
  <si>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</si>
  <si>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</si>
  <si>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</si>
  <si>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</si>
  <si>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</si>
  <si>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</si>
  <si>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</si>
  <si>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</si>
  <si>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</si>
  <si>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</si>
  <si>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</si>
  <si>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</si>
  <si>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</si>
  <si>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</si>
  <si>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</si>
  <si>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</si>
  <si>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</si>
  <si>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</si>
  <si>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</si>
  <si>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</si>
  <si>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</si>
  <si>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</si>
  <si>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</si>
  <si>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</si>
  <si>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</si>
  <si>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</si>
  <si>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</si>
  <si>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</si>
  <si>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</si>
  <si>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</si>
  <si>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</si>
  <si>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</si>
  <si>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</si>
  <si>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</si>
  <si>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</si>
  <si>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</si>
  <si>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</si>
  <si>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</si>
  <si>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</si>
  <si>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</si>
  <si>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</si>
  <si>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</si>
  <si>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</si>
  <si>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</si>
  <si>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</si>
  <si>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</si>
  <si>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</si>
  <si>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</si>
  <si>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</si>
  <si>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</si>
  <si>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</si>
  <si>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</si>
  <si>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</si>
  <si>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</si>
  <si>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</si>
  <si>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</si>
  <si>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</si>
  <si>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</si>
  <si>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</si>
  <si>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</si>
  <si>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</si>
  <si>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</si>
  <si>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</si>
  <si>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</si>
  <si>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</si>
  <si>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</si>
  <si>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</si>
  <si>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</si>
  <si>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</si>
  <si>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</si>
  <si>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</si>
  <si>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</si>
  <si>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</si>
  <si>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</si>
  <si>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</si>
  <si>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</si>
  <si>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</si>
  <si>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</si>
  <si>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</si>
  <si>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</si>
  <si>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</si>
  <si>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</si>
  <si>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</si>
  <si>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</si>
  <si>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</si>
  <si>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</si>
  <si>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</si>
  <si>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</si>
  <si>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</si>
  <si>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</si>
  <si>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</si>
  <si>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</si>
  <si>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</si>
  <si>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</si>
  <si>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</si>
  <si>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</si>
  <si>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</si>
  <si>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</si>
  <si>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</si>
  <si>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</si>
  <si>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</si>
  <si>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</si>
  <si>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</si>
  <si>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</si>
  <si>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</si>
  <si>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</si>
  <si>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</si>
  <si>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</si>
  <si>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</si>
  <si>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</si>
  <si>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</si>
  <si>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</si>
  <si>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</si>
  <si>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</si>
  <si>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</si>
  <si>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</si>
  <si>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</si>
  <si>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</si>
  <si>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</si>
  <si>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</si>
  <si>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</si>
  <si>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</si>
  <si>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</si>
  <si>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</si>
  <si>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</si>
  <si>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</si>
  <si>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</si>
  <si>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</si>
  <si>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</si>
  <si>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</si>
  <si>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</si>
  <si>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</si>
  <si>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</si>
  <si>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</si>
  <si>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</si>
  <si>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</si>
  <si>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</si>
  <si>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</si>
  <si>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</si>
  <si>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</si>
  <si>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</si>
  <si>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</si>
  <si>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</si>
  <si>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</si>
  <si>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</si>
  <si>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</si>
  <si>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</si>
  <si>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</si>
  <si>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</si>
  <si>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</si>
  <si>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</si>
  <si>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</si>
  <si>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</si>
  <si>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</si>
  <si>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</si>
  <si>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</si>
  <si>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</si>
  <si>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</si>
  <si>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</si>
  <si>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</si>
  <si>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</si>
  <si>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</si>
  <si>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</si>
  <si>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</si>
  <si>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</si>
  <si>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</si>
  <si>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</si>
  <si>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</si>
  <si>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</si>
  <si>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</si>
  <si>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</si>
  <si>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</si>
  <si>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</si>
  <si>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</si>
  <si>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</si>
  <si>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</si>
  <si>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</si>
  <si>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</si>
  <si>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</si>
  <si>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</si>
  <si>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</si>
  <si>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</si>
  <si>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</si>
  <si>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</si>
  <si>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</si>
  <si>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</si>
  <si>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</si>
  <si>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</si>
  <si>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</si>
  <si>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</si>
  <si>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</si>
  <si>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</si>
  <si>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</si>
  <si>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</si>
  <si>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</si>
  <si>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</si>
  <si>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</si>
  <si>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</si>
  <si>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</si>
  <si>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</si>
  <si>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</si>
  <si>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</si>
  <si>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</si>
  <si>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</si>
  <si>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</si>
  <si>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</si>
  <si>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</si>
  <si>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</si>
  <si>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</si>
  <si>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</si>
  <si>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</si>
  <si>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</si>
  <si>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</si>
  <si>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</si>
  <si>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</si>
  <si>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</si>
  <si>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</si>
  <si>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</si>
  <si>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</si>
  <si>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</si>
  <si>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</si>
  <si>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</si>
  <si>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</si>
  <si>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</si>
  <si>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</si>
  <si>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</si>
  <si>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</si>
  <si>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</si>
  <si>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</si>
  <si>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</si>
  <si>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</si>
  <si>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</si>
  <si>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</si>
  <si>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</si>
  <si>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</si>
  <si>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</si>
  <si>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</si>
  <si>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</si>
  <si>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</si>
  <si>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</si>
  <si>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</si>
  <si>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</si>
  <si>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</si>
  <si>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</si>
  <si>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</si>
  <si>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</si>
  <si>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</si>
  <si>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</si>
  <si>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</si>
  <si>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</si>
  <si>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</si>
  <si>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</si>
  <si>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</si>
  <si>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</si>
  <si>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</si>
  <si>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</si>
  <si>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</si>
  <si>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</si>
  <si>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</si>
  <si>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</si>
  <si>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</si>
  <si>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</si>
  <si>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</si>
  <si>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</si>
  <si>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</si>
  <si>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</si>
  <si>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</si>
  <si>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</si>
  <si>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</si>
  <si>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</si>
  <si>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</si>
  <si>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</si>
  <si>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</si>
  <si>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</si>
  <si>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</si>
  <si>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</si>
  <si>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</si>
  <si>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</si>
  <si>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</si>
  <si>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</si>
  <si>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</si>
  <si>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</si>
  <si>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</si>
  <si>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</si>
  <si>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</si>
  <si>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</si>
  <si>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</si>
  <si>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</si>
  <si>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</si>
  <si>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</si>
  <si>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</si>
  <si>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</si>
  <si>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</si>
  <si>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</si>
  <si>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</si>
  <si>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</si>
  <si>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</si>
  <si>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</si>
  <si>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</si>
  <si>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</si>
  <si>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</si>
  <si>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</si>
  <si>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</si>
  <si>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</si>
  <si>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</si>
  <si>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</si>
  <si>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</si>
  <si>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</si>
  <si>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</si>
  <si>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</si>
  <si>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</si>
  <si>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</si>
  <si>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</si>
  <si>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</si>
  <si>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</si>
  <si>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</si>
  <si>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</si>
  <si>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</si>
  <si>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</si>
  <si>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</si>
  <si>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</si>
  <si>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</si>
  <si>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</si>
  <si>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</si>
  <si>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</si>
  <si>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</si>
  <si>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</si>
  <si>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</si>
  <si>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</si>
  <si>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</si>
  <si>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</si>
  <si>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</si>
  <si>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</si>
  <si>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</si>
  <si>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</si>
  <si>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</si>
  <si>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</si>
  <si>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</si>
  <si>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</si>
  <si>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</si>
  <si>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</si>
  <si>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</si>
  <si>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</si>
  <si>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</si>
  <si>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</si>
  <si>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</si>
  <si>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</si>
  <si>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</si>
  <si>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</si>
  <si>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</si>
  <si>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</si>
  <si>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</si>
  <si>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</si>
  <si>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</si>
  <si>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</si>
  <si>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</si>
  <si>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</si>
  <si>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</si>
  <si>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</si>
  <si>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</si>
  <si>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</si>
  <si>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</si>
  <si>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</si>
  <si>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</si>
  <si>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</si>
  <si>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</si>
  <si>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</si>
  <si>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</si>
  <si>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</si>
  <si>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</si>
  <si>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</si>
  <si>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</si>
  <si>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</si>
  <si>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</si>
  <si>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</si>
  <si>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</si>
  <si>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</si>
  <si>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</si>
  <si>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</si>
  <si>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</si>
  <si>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</si>
  <si>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</si>
  <si>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</si>
  <si>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</si>
  <si>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</si>
  <si>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</si>
  <si>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</si>
  <si>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</si>
  <si>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</si>
  <si>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</si>
  <si>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</si>
  <si>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</si>
  <si>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</si>
  <si>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</si>
  <si>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</si>
  <si>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</si>
  <si>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</si>
  <si>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</si>
  <si>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</si>
  <si>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</si>
  <si>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</si>
  <si>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</si>
  <si>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</si>
  <si>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</si>
  <si>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</si>
  <si>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</si>
  <si>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</si>
  <si>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</si>
  <si>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</si>
  <si>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</si>
  <si>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</si>
  <si>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</si>
  <si>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</si>
  <si>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</si>
  <si>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</si>
  <si>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</si>
  <si>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</si>
  <si>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</si>
  <si>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</si>
  <si>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</si>
  <si>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</si>
  <si>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</si>
  <si>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</si>
  <si>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</si>
  <si>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</si>
  <si>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</si>
  <si>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</si>
  <si>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</si>
  <si>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</si>
  <si>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</si>
  <si>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</si>
  <si>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</si>
  <si>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</si>
  <si>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</si>
  <si>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</si>
  <si>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</si>
  <si>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</si>
  <si>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</si>
  <si>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</si>
  <si>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</si>
  <si>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</si>
  <si>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</si>
  <si>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</si>
  <si>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</si>
  <si>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</si>
  <si>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</si>
  <si>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</si>
  <si>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</si>
  <si>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</si>
  <si>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</si>
  <si>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</si>
  <si>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</si>
  <si>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</si>
  <si>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</si>
  <si>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</si>
  <si>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</si>
  <si>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</si>
  <si>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</si>
  <si>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</si>
  <si>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</si>
  <si>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</si>
  <si>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</si>
  <si>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</si>
  <si>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</si>
  <si>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</si>
  <si>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</si>
  <si>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</si>
  <si>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</si>
  <si>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</si>
  <si>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</si>
  <si>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</si>
  <si>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</si>
  <si>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</si>
  <si>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</si>
  <si>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</si>
  <si>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</si>
  <si>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</si>
  <si>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</si>
  <si>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</si>
  <si>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</si>
  <si>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</si>
  <si>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</si>
  <si>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</si>
  <si>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</si>
  <si>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</si>
  <si>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</si>
  <si>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</si>
  <si>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</si>
  <si>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</si>
  <si>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</si>
  <si>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</si>
  <si>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</si>
  <si>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</si>
  <si>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</si>
  <si>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</si>
  <si>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</si>
  <si>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</si>
  <si>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</si>
  <si>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</si>
  <si>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</si>
  <si>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</si>
  <si>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</si>
  <si>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</si>
  <si>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</si>
  <si>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</si>
  <si>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</si>
  <si>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</si>
  <si>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</si>
  <si>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</si>
  <si>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</si>
  <si>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</si>
  <si>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</si>
  <si>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</si>
  <si>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</si>
  <si>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</si>
  <si>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</si>
  <si>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</si>
  <si>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</si>
  <si>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</si>
  <si>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</si>
  <si>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</si>
  <si>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</si>
  <si>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</si>
  <si>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</si>
  <si>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</si>
  <si>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</si>
  <si>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</si>
  <si>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</si>
  <si>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</si>
  <si>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</si>
  <si>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</si>
  <si>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</si>
  <si>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</si>
  <si>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</si>
  <si>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</si>
  <si>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</si>
  <si>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</si>
  <si>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</si>
  <si>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</si>
  <si>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</si>
  <si>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</si>
  <si>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</si>
  <si>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</si>
  <si>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</si>
  <si>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</si>
  <si>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</si>
  <si>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</si>
  <si>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</si>
  <si>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</si>
  <si>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</si>
  <si>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</si>
  <si>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</si>
  <si>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</si>
  <si>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</si>
  <si>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</si>
  <si>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</si>
  <si>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</si>
  <si>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</si>
  <si>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</si>
  <si>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</si>
  <si>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</si>
  <si>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</si>
  <si>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</si>
  <si>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</si>
  <si>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</si>
  <si>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</si>
  <si>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</si>
  <si>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</si>
  <si>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</si>
  <si>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</si>
  <si>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</si>
  <si>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</si>
  <si>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</si>
  <si>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</si>
  <si>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</si>
  <si>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</si>
  <si>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</si>
  <si>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</si>
  <si>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</si>
  <si>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</si>
  <si>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</si>
  <si>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</si>
  <si>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</si>
  <si>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</si>
  <si>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</si>
  <si>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</si>
  <si>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</si>
  <si>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</si>
  <si>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</si>
  <si>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</si>
  <si>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</si>
  <si>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</si>
  <si>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</si>
  <si>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</si>
  <si>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</si>
  <si>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</si>
  <si>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</si>
  <si>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</si>
  <si>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</si>
  <si>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</si>
  <si>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</si>
  <si>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</si>
  <si>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</si>
  <si>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</si>
  <si>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</si>
  <si>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</si>
  <si>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</si>
  <si>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</si>
  <si>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</si>
  <si>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</si>
  <si>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</si>
  <si>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</si>
  <si>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</si>
  <si>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</si>
  <si>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</si>
  <si>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</si>
  <si>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</si>
  <si>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</si>
  <si>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</si>
  <si>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</si>
  <si>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</si>
  <si>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</si>
  <si>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</si>
  <si>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</si>
  <si>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</si>
  <si>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</si>
  <si>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</si>
  <si>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</si>
  <si>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</si>
  <si>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</si>
  <si>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</si>
  <si>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</si>
  <si>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</si>
  <si>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</si>
  <si>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</si>
  <si>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</si>
  <si>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</si>
  <si>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</si>
  <si>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</si>
  <si>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</si>
  <si>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</si>
  <si>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</si>
  <si>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</si>
  <si>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</si>
  <si>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</si>
  <si>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</si>
  <si>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</si>
  <si>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</si>
  <si>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</si>
  <si>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</si>
  <si>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</si>
  <si>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</si>
  <si>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</si>
  <si>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</si>
  <si>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</si>
  <si>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</si>
  <si>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</si>
  <si>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</si>
  <si>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</si>
  <si>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</si>
  <si>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</si>
  <si>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</si>
  <si>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</si>
  <si>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</si>
  <si>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</si>
  <si>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</si>
  <si>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</si>
  <si>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</si>
  <si>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</si>
  <si>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</si>
  <si>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</si>
  <si>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</si>
  <si>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</si>
  <si>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</si>
  <si>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</si>
  <si>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</si>
  <si>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</si>
  <si>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</si>
  <si>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</si>
  <si>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</si>
  <si>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</si>
  <si>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</si>
  <si>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</si>
  <si>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</si>
  <si>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</si>
  <si>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</si>
  <si>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</si>
  <si>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</si>
  <si>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</si>
  <si>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</si>
  <si>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</si>
  <si>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</si>
  <si>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</si>
  <si>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</si>
  <si>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</si>
  <si>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</si>
  <si>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</si>
  <si>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</si>
  <si>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</si>
  <si>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</si>
  <si>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</si>
  <si>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</si>
  <si>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</si>
  <si>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</si>
  <si>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</si>
  <si>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</si>
  <si>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</si>
  <si>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</si>
  <si>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</si>
  <si>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</si>
  <si>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</si>
  <si>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</si>
  <si>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</si>
  <si>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</si>
  <si>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</si>
  <si>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</si>
  <si>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</si>
  <si>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</si>
  <si>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</si>
  <si>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</si>
  <si>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</si>
  <si>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</si>
  <si>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</si>
  <si>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</si>
  <si>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</si>
  <si>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</si>
  <si>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</si>
  <si>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</si>
  <si>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</si>
  <si>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</si>
  <si>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</si>
  <si>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</si>
  <si>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</si>
  <si>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</si>
  <si>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</si>
  <si>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</si>
  <si>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</si>
  <si>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</si>
  <si>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</si>
  <si>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</si>
  <si>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</si>
  <si>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</si>
  <si>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</si>
  <si>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</si>
  <si>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</si>
  <si>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</si>
  <si>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</si>
  <si>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</si>
  <si>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</si>
  <si>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</si>
  <si>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</si>
  <si>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</si>
  <si>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</si>
  <si>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</si>
  <si>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</si>
  <si>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</si>
  <si>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</si>
  <si>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</si>
  <si>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</si>
  <si>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</si>
  <si>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</si>
  <si>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</si>
  <si>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</si>
  <si>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</si>
  <si>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</si>
  <si>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</si>
  <si>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</si>
  <si>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</si>
  <si>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</si>
  <si>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</si>
  <si>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</si>
  <si>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</si>
  <si>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</si>
  <si>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</si>
  <si>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</si>
  <si>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</si>
  <si>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</si>
  <si>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</si>
  <si>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</si>
  <si>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</si>
  <si>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</si>
  <si>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</si>
  <si>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</si>
  <si>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</si>
  <si>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</si>
  <si>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</si>
  <si>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</si>
  <si>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</si>
  <si>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</si>
  <si>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</si>
  <si>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</si>
  <si>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</si>
  <si>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</si>
  <si>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</si>
  <si>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</si>
  <si>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</si>
  <si>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</si>
  <si>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</si>
  <si>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</si>
  <si>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</si>
  <si>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</si>
  <si>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</si>
  <si>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</si>
  <si>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</si>
  <si>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</si>
  <si>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</si>
  <si>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</si>
  <si>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</si>
  <si>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</si>
  <si>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</si>
  <si>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</si>
  <si>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</si>
  <si>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</si>
  <si>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</si>
  <si>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</si>
  <si>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</si>
  <si>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</si>
  <si>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</si>
  <si>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</si>
  <si>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</si>
  <si>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</si>
  <si>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</si>
  <si>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</si>
  <si>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</si>
  <si>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</si>
  <si>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</si>
  <si>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</si>
  <si>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</si>
  <si>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</si>
  <si>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</si>
  <si>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</si>
  <si>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</si>
  <si>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</si>
  <si>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</si>
  <si>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</si>
  <si>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</si>
  <si>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</si>
  <si>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</si>
  <si>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</si>
  <si>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</si>
  <si>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</si>
  <si>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</si>
  <si>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</si>
  <si>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</si>
  <si>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</si>
  <si>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</si>
  <si>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</si>
  <si>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</si>
  <si>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</si>
  <si>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</si>
  <si>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</si>
  <si>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</si>
  <si>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</si>
  <si>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</si>
  <si>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</si>
  <si>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</si>
  <si>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</si>
  <si>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</si>
  <si>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</si>
  <si>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</si>
  <si>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</si>
  <si>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</si>
  <si>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</si>
  <si>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</si>
  <si>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</si>
  <si>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</si>
  <si>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</si>
  <si>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</si>
  <si>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</si>
  <si>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</si>
  <si>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</si>
  <si>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</si>
  <si>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</si>
  <si>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</si>
  <si>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</si>
  <si>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</si>
  <si>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</si>
  <si>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</si>
  <si>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</si>
  <si>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</si>
  <si>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</si>
  <si>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</si>
  <si>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</si>
  <si>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</si>
  <si>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</si>
  <si>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</si>
  <si>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</si>
  <si>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</si>
  <si>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</si>
  <si>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</si>
  <si>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</si>
  <si>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</si>
  <si>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User</t>
  </si>
  <si>
    <t>Group</t>
  </si>
  <si>
    <t>Other</t>
  </si>
  <si>
    <t>id</t>
  </si>
  <si>
    <t>!District</t>
  </si>
  <si>
    <t>notes</t>
  </si>
  <si>
    <t>Work</t>
  </si>
  <si>
    <t>type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</si>
  <si>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</si>
  <si>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</si>
  <si>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</si>
  <si>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</si>
  <si>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</si>
  <si>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</si>
  <si>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</si>
  <si>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</si>
  <si>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</si>
  <si>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</si>
  <si>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</si>
  <si>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Barriere</t>
  </si>
  <si>
    <t>Bridge Lake</t>
  </si>
  <si>
    <t>Campbell River</t>
  </si>
  <si>
    <t>Clayhurst</t>
  </si>
  <si>
    <t>Cobble Hill</t>
  </si>
  <si>
    <t>Creston</t>
  </si>
  <si>
    <t>Dease Lake</t>
  </si>
  <si>
    <t>Enderby</t>
  </si>
  <si>
    <t>Falkland</t>
  </si>
  <si>
    <t>Fort St. John</t>
  </si>
  <si>
    <t>Gabriola Island</t>
  </si>
  <si>
    <t>Gold River</t>
  </si>
  <si>
    <t>Kitimat</t>
  </si>
  <si>
    <t>Lake Cowichan</t>
  </si>
  <si>
    <t>Merritt</t>
  </si>
  <si>
    <t>Powell River</t>
  </si>
  <si>
    <t>Prespatou</t>
  </si>
  <si>
    <t>Prince Rupert</t>
  </si>
  <si>
    <t>Revelstoke</t>
  </si>
  <si>
    <t>Telegraph Creek</t>
  </si>
  <si>
    <t>Tumbler Ridge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</si>
  <si>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</si>
  <si>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</si>
  <si>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</si>
  <si>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</si>
  <si>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</si>
  <si>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</si>
  <si>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</si>
  <si>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</si>
  <si>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</si>
  <si>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</si>
  <si>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primaryContact</t>
  </si>
  <si>
    <t>contacts</t>
  </si>
  <si>
    <t>attachments</t>
  </si>
  <si>
    <t>history</t>
  </si>
  <si>
    <t>LocalArea</t>
  </si>
  <si>
    <t>!ServiceArea</t>
  </si>
  <si>
    <t>servicearea</t>
  </si>
  <si>
    <t>Seniority</t>
  </si>
  <si>
    <t>Size</t>
  </si>
  <si>
    <t>{0</t>
  </si>
  <si>
    <t>0C</t>
  </si>
  <si>
    <t>[Edit]</t>
  </si>
  <si>
    <t>[Del]</t>
  </si>
  <si>
    <t>0C}</t>
  </si>
  <si>
    <t>Project</t>
  </si>
  <si>
    <t>Project Manager</t>
  </si>
  <si>
    <t>Saanich Peninsula</t>
  </si>
  <si>
    <t>TBD</t>
  </si>
  <si>
    <t>Equipment ID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</si>
  <si>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</si>
  <si>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</si>
  <si>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</si>
  <si>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</si>
  <si>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</si>
  <si>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</si>
  <si>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</si>
  <si>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</si>
  <si>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</si>
  <si>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</si>
  <si>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</si>
  <si>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</si>
  <si>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</si>
  <si>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</si>
  <si>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</si>
  <si>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</si>
  <si>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</si>
  <si>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</si>
  <si>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</si>
  <si>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</si>
  <si>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</si>
  <si>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</si>
  <si>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</si>
  <si>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</si>
  <si>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</si>
  <si>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</si>
  <si>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</si>
  <si>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</si>
  <si>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</si>
  <si>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</si>
  <si>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</si>
  <si>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</si>
  <si>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</si>
  <si>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</si>
  <si>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</si>
  <si>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</si>
  <si>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</si>
  <si>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</si>
  <si>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</si>
  <si>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</si>
  <si>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</si>
  <si>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</si>
  <si>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</si>
  <si>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</si>
  <si>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</si>
  <si>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</si>
  <si>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</si>
  <si>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</si>
  <si>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</si>
  <si>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</si>
  <si>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</si>
  <si>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</si>
  <si>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</si>
  <si>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</si>
  <si>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</si>
  <si>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</si>
  <si>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</si>
  <si>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</si>
  <si>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</si>
  <si>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</si>
  <si>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</si>
  <si>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</si>
  <si>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</si>
  <si>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</si>
  <si>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</si>
  <si>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</si>
  <si>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</si>
  <si>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</si>
  <si>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</si>
  <si>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</si>
  <si>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</si>
  <si>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</si>
  <si>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</si>
  <si>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</si>
  <si>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</si>
  <si>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</si>
  <si>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</si>
  <si>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</si>
  <si>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</si>
  <si>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</si>
  <si>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</si>
  <si>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</si>
  <si>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</si>
  <si>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</si>
  <si>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</si>
  <si>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</si>
  <si>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</si>
  <si>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</si>
  <si>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</si>
  <si>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</si>
  <si>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</si>
  <si>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</si>
  <si>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</si>
  <si>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</si>
  <si>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</si>
  <si>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</si>
  <si>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</si>
  <si>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</si>
  <si>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</si>
  <si>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</si>
  <si>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</si>
  <si>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</si>
  <si>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</si>
  <si>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</si>
  <si>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</si>
  <si>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</si>
  <si>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</si>
  <si>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</si>
  <si>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</si>
  <si>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</si>
  <si>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</si>
  <si>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</si>
  <si>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</si>
  <si>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</si>
  <si>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</si>
  <si>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</si>
  <si>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</si>
  <si>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</si>
  <si>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</si>
  <si>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</si>
  <si>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</si>
  <si>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</si>
  <si>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</si>
  <si>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</si>
  <si>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</si>
  <si>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</si>
  <si>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</si>
  <si>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</si>
  <si>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</si>
  <si>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</si>
  <si>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</si>
  <si>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</si>
  <si>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</si>
  <si>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</si>
  <si>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</si>
  <si>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</si>
  <si>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</si>
  <si>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</si>
  <si>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</si>
  <si>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</si>
  <si>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</si>
  <si>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</si>
  <si>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</si>
  <si>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</si>
  <si>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</si>
  <si>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</si>
  <si>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</si>
  <si>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</si>
  <si>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</si>
  <si>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</si>
  <si>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</si>
  <si>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</si>
  <si>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</si>
  <si>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</si>
  <si>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</si>
  <si>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</si>
  <si>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</si>
  <si>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</si>
  <si>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</si>
  <si>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</si>
  <si>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</si>
  <si>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</si>
  <si>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</si>
  <si>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</si>
  <si>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</si>
  <si>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</si>
  <si>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</si>
  <si>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</si>
  <si>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</si>
  <si>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</si>
  <si>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</si>
  <si>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</si>
  <si>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</si>
  <si>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</si>
  <si>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</si>
  <si>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</si>
  <si>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</si>
  <si>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</si>
  <si>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</si>
  <si>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</si>
  <si>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</si>
  <si>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</si>
  <si>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</si>
  <si>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</si>
  <si>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</si>
  <si>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</si>
  <si>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</si>
  <si>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</si>
  <si>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</si>
  <si>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</si>
  <si>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</si>
  <si>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</si>
  <si>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</si>
  <si>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</si>
  <si>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</si>
  <si>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</si>
  <si>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</si>
  <si>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</si>
  <si>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</si>
  <si>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</si>
  <si>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</si>
  <si>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</si>
  <si>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</si>
  <si>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</si>
  <si>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</si>
  <si>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</si>
  <si>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</si>
  <si>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</si>
  <si>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</si>
  <si>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</si>
  <si>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</si>
  <si>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</si>
  <si>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</si>
  <si>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</si>
  <si>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</si>
  <si>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</si>
  <si>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</si>
  <si>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</si>
  <si>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</si>
  <si>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</si>
  <si>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</si>
  <si>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</si>
  <si>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</si>
  <si>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</si>
  <si>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</si>
  <si>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</si>
  <si>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</si>
  <si>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</si>
  <si>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</si>
  <si>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</si>
  <si>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</si>
  <si>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</si>
  <si>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</si>
  <si>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</si>
  <si>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</si>
  <si>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</si>
  <si>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</si>
  <si>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</si>
  <si>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</si>
  <si>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Equipment</t>
  </si>
  <si>
    <t>ContactAddress</t>
  </si>
  <si>
    <t>owner</t>
  </si>
  <si>
    <t>!localArea</t>
  </si>
  <si>
    <t>localArea</t>
  </si>
  <si>
    <t>lastVerifiedDate</t>
  </si>
  <si>
    <t>EquipmentType</t>
  </si>
  <si>
    <t>Grader</t>
  </si>
  <si>
    <t>extendHours</t>
  </si>
  <si>
    <t>maxHoursSub</t>
  </si>
  <si>
    <t>Bulldozer</t>
  </si>
  <si>
    <t>Cement Truck</t>
  </si>
  <si>
    <t>Flat Deck</t>
  </si>
  <si>
    <t>Logging Truck</t>
  </si>
  <si>
    <t>equipmentType</t>
  </si>
  <si>
    <t>!equipmentType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</si>
  <si>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</si>
  <si>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</si>
  <si>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</si>
  <si>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</si>
  <si>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</si>
  <si>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</si>
  <si>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</si>
  <si>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</si>
  <si>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</si>
  <si>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</si>
  <si>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</si>
  <si>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</si>
  <si>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</si>
  <si>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</si>
  <si>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</si>
  <si>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</si>
  <si>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</si>
  <si>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</si>
  <si>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</si>
  <si>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</si>
  <si>
    <t>ministryServiceAreaID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</si>
  <si>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</si>
  <si>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</si>
  <si>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</si>
  <si>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</si>
  <si>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</si>
  <si>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</si>
  <si>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</si>
  <si>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</si>
  <si>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</si>
  <si>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</si>
  <si>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</si>
  <si>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</si>
  <si>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</si>
  <si>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</si>
  <si>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</si>
  <si>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</si>
  <si>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</si>
  <si>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</si>
  <si>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</si>
  <si>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</si>
  <si>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</si>
  <si>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</si>
  <si>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</si>
  <si>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</si>
  <si>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</si>
  <si>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</si>
  <si>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</si>
  <si>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</si>
  <si>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</si>
  <si>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</si>
  <si>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</si>
  <si>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</si>
  <si>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</si>
  <si>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</si>
  <si>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</si>
  <si>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</si>
  <si>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</si>
  <si>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</si>
  <si>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</si>
  <si>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</si>
  <si>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</si>
  <si>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</si>
  <si>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</si>
  <si>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</si>
  <si>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</si>
  <si>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</si>
  <si>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</si>
  <si>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</si>
  <si>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</si>
  <si>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</si>
  <si>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</si>
  <si>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</si>
  <si>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</si>
  <si>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</si>
  <si>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</si>
  <si>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</si>
  <si>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</si>
  <si>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</si>
  <si>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</si>
  <si>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</si>
  <si>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</si>
  <si>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</si>
  <si>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</si>
  <si>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</si>
  <si>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</si>
  <si>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</si>
  <si>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</si>
  <si>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</si>
  <si>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</si>
  <si>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</si>
  <si>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</si>
  <si>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</si>
  <si>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</si>
  <si>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</si>
  <si>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</si>
  <si>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</si>
  <si>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</si>
  <si>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</si>
  <si>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</si>
  <si>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</si>
  <si>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</si>
  <si>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</si>
  <si>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</si>
  <si>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</si>
  <si>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</si>
  <si>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</si>
  <si>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</si>
  <si>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</si>
  <si>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</si>
  <si>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</si>
  <si>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>Fort St James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</si>
  <si>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</si>
  <si>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</si>
  <si>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</si>
  <si>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</si>
  <si>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</si>
  <si>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</si>
  <si>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</si>
  <si>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</si>
  <si>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</si>
  <si>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</si>
  <si>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</si>
  <si>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</si>
  <si>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</si>
  <si>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</si>
  <si>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</si>
  <si>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</si>
  <si>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</si>
  <si>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</si>
  <si>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</si>
  <si>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</si>
  <si>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</si>
  <si>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</si>
  <si>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</si>
  <si>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</si>
  <si>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</si>
  <si>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</si>
  <si>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</si>
  <si>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</si>
  <si>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</si>
  <si>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</si>
  <si>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</si>
  <si>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</si>
  <si>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</si>
  <si>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</si>
  <si>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</si>
  <si>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</si>
  <si>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</si>
  <si>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</si>
  <si>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</si>
  <si>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</si>
  <si>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</si>
  <si>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</si>
  <si>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</si>
  <si>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</si>
  <si>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</si>
  <si>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</si>
  <si>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</si>
  <si>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</si>
  <si>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</si>
  <si>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</si>
  <si>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</si>
  <si>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</si>
  <si>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</si>
  <si>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</si>
  <si>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</si>
  <si>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</si>
  <si>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</si>
  <si>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</si>
  <si>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</si>
  <si>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</si>
  <si>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</si>
  <si>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</si>
  <si>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</si>
  <si>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</si>
  <si>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</si>
  <si>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</si>
  <si>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</si>
  <si>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</si>
  <si>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</si>
  <si>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</si>
  <si>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</si>
  <si>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</si>
  <si>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</si>
  <si>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</si>
  <si>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</si>
  <si>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</si>
  <si>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</si>
  <si>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</si>
  <si>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</si>
  <si>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</si>
  <si>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</si>
  <si>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</si>
  <si>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</si>
  <si>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</si>
  <si>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</si>
  <si>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</si>
  <si>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</si>
  <si>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</si>
  <si>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</si>
  <si>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</si>
  <si>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</si>
  <si>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</si>
  <si>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</si>
  <si>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</si>
  <si>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</si>
  <si>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</si>
  <si>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</si>
  <si>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</si>
  <si>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</si>
  <si>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</si>
  <si>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</si>
  <si>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</si>
  <si>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</si>
  <si>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</si>
  <si>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</si>
  <si>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</si>
  <si>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</si>
  <si>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</si>
  <si>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</si>
  <si>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</si>
  <si>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</si>
  <si>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</si>
  <si>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</si>
  <si>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</si>
  <si>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</si>
  <si>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</si>
  <si>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</si>
  <si>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</si>
  <si>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</si>
  <si>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</si>
  <si>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</si>
  <si>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</si>
  <si>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</si>
  <si>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</si>
  <si>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</si>
  <si>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</si>
  <si>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</si>
  <si>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</si>
  <si>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</si>
  <si>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</si>
  <si>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</si>
  <si>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</si>
  <si>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</si>
  <si>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</si>
  <si>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</si>
  <si>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</si>
  <si>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</si>
  <si>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</si>
  <si>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</si>
  <si>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</si>
  <si>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</si>
  <si>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</si>
  <si>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</si>
  <si>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</si>
  <si>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</si>
  <si>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</si>
  <si>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</si>
  <si>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</si>
  <si>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</si>
  <si>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</si>
  <si>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</si>
  <si>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</si>
  <si>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</si>
  <si>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</si>
  <si>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</si>
  <si>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</si>
  <si>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</si>
  <si>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</si>
  <si>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</si>
  <si>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</si>
  <si>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</si>
  <si>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</si>
  <si>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</si>
  <si>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</si>
  <si>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</si>
  <si>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</si>
  <si>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</si>
  <si>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</si>
  <si>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</si>
  <si>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</si>
  <si>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</si>
  <si>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</si>
  <si>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</si>
  <si>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</si>
  <si>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</si>
  <si>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</si>
  <si>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</si>
  <si>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</si>
  <si>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</si>
  <si>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</si>
  <si>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</si>
  <si>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</si>
  <si>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</si>
  <si>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</si>
  <si>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</si>
  <si>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</si>
  <si>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</si>
  <si>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</si>
  <si>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</si>
  <si>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</si>
  <si>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</si>
  <si>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</si>
  <si>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</si>
  <si>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</si>
  <si>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</si>
  <si>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</si>
  <si>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</si>
  <si>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</si>
  <si>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</si>
  <si>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</si>
  <si>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</si>
  <si>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</si>
  <si>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</si>
  <si>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</si>
  <si>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</si>
  <si>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</si>
  <si>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</si>
  <si>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</si>
  <si>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</si>
  <si>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</si>
  <si>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</si>
  <si>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</si>
  <si>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</si>
  <si>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</si>
  <si>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</si>
  <si>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</si>
  <si>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</si>
  <si>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</si>
  <si>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</si>
  <si>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</si>
  <si>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</si>
  <si>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</si>
  <si>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</si>
  <si>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</si>
  <si>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</si>
  <si>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</si>
  <si>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</si>
  <si>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</si>
  <si>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</si>
  <si>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</si>
  <si>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</si>
  <si>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</si>
  <si>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</si>
  <si>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</si>
  <si>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</si>
  <si>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</si>
  <si>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</si>
  <si>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</si>
  <si>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</si>
  <si>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</si>
  <si>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</si>
  <si>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</si>
  <si>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</si>
  <si>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</si>
  <si>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</si>
  <si>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</si>
  <si>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</si>
  <si>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</si>
  <si>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</si>
  <si>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</si>
  <si>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</si>
  <si>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</si>
  <si>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</si>
  <si>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</si>
  <si>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</si>
  <si>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</si>
  <si>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</si>
  <si>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</si>
  <si>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</si>
  <si>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</si>
  <si>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</si>
  <si>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</si>
  <si>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</si>
  <si>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</si>
  <si>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</si>
  <si>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</si>
  <si>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</si>
  <si>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</si>
  <si>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</si>
  <si>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</si>
  <si>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</si>
  <si>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</si>
  <si>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</si>
  <si>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</si>
  <si>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</si>
  <si>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</si>
  <si>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</si>
  <si>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</si>
  <si>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</si>
  <si>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</si>
  <si>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</si>
  <si>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</si>
  <si>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</si>
  <si>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</si>
  <si>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</si>
  <si>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</si>
  <si>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</si>
  <si>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</si>
  <si>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</si>
  <si>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</si>
  <si>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</si>
  <si>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</si>
  <si>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</si>
  <si>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</si>
  <si>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</si>
  <si>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</si>
  <si>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</si>
  <si>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</si>
  <si>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</si>
  <si>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</si>
  <si>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</si>
  <si>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</si>
  <si>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</si>
  <si>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</si>
  <si>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</si>
  <si>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</si>
  <si>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</si>
  <si>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</si>
  <si>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</si>
  <si>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</si>
  <si>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</si>
  <si>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</si>
  <si>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</si>
  <si>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</si>
  <si>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</si>
  <si>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</si>
  <si>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</si>
  <si>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</si>
  <si>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</si>
  <si>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</si>
  <si>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</si>
  <si>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</si>
  <si>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</si>
  <si>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</si>
  <si>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</si>
  <si>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</si>
  <si>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</si>
  <si>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</si>
  <si>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</si>
  <si>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</si>
  <si>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</si>
  <si>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</si>
  <si>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</si>
  <si>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</si>
  <si>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</si>
  <si>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</si>
  <si>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</si>
  <si>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</si>
  <si>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</si>
  <si>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</si>
  <si>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</si>
  <si>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</si>
  <si>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</si>
  <si>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</si>
  <si>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</si>
  <si>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</si>
  <si>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</si>
  <si>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</si>
  <si>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</si>
  <si>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</si>
  <si>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</si>
  <si>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</si>
  <si>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</si>
  <si>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</si>
  <si>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</si>
  <si>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</si>
  <si>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</si>
  <si>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</si>
  <si>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</si>
  <si>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</si>
  <si>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</si>
  <si>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</si>
  <si>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</si>
  <si>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</si>
  <si>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</si>
  <si>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</si>
  <si>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</si>
  <si>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</si>
  <si>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</si>
  <si>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</si>
  <si>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</si>
  <si>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</si>
  <si>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</si>
  <si>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</si>
  <si>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</si>
  <si>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</si>
  <si>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</si>
  <si>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</si>
  <si>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</si>
  <si>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</si>
  <si>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</si>
  <si>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</si>
  <si>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</si>
  <si>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</si>
  <si>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</si>
  <si>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</si>
  <si>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</si>
  <si>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</si>
  <si>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</si>
  <si>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</si>
  <si>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</si>
  <si>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</si>
  <si>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</si>
  <si>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</si>
  <si>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</si>
  <si>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</si>
  <si>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</si>
  <si>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</si>
  <si>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</si>
  <si>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</si>
  <si>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</si>
  <si>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</si>
  <si>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</si>
  <si>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</si>
  <si>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</si>
  <si>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</si>
  <si>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</si>
  <si>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</si>
  <si>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</si>
  <si>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</si>
  <si>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</si>
  <si>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</si>
  <si>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</si>
  <si>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</si>
  <si>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</si>
  <si>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</si>
  <si>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</si>
  <si>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</si>
  <si>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</si>
  <si>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</si>
  <si>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</si>
  <si>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</si>
  <si>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</si>
  <si>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</si>
  <si>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</si>
  <si>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</si>
  <si>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</si>
  <si>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</si>
  <si>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</si>
  <si>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</si>
  <si>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</si>
  <si>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</si>
  <si>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</si>
  <si>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</si>
  <si>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</si>
  <si>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</si>
  <si>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</si>
  <si>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</si>
  <si>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</si>
  <si>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</si>
  <si>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</si>
  <si>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</si>
  <si>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</si>
  <si>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</si>
  <si>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</si>
  <si>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</si>
  <si>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</si>
  <si>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</si>
  <si>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</si>
  <si>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</si>
  <si>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</si>
  <si>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</si>
  <si>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</si>
  <si>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</si>
  <si>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</si>
  <si>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</si>
  <si>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</si>
  <si>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</si>
  <si>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</si>
  <si>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</si>
  <si>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</si>
  <si>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</si>
  <si>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</si>
  <si>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</si>
  <si>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</si>
  <si>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</si>
  <si>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</si>
  <si>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</si>
  <si>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</si>
  <si>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</si>
  <si>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</si>
  <si>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</si>
  <si>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</si>
  <si>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</si>
  <si>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</si>
  <si>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</si>
  <si>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</si>
  <si>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</si>
  <si>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</si>
  <si>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</si>
  <si>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</si>
  <si>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</si>
  <si>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</si>
  <si>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</si>
  <si>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</si>
  <si>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</si>
  <si>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</si>
  <si>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</si>
  <si>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</si>
  <si>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</si>
  <si>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</si>
  <si>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</si>
  <si>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</si>
  <si>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</si>
  <si>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</si>
  <si>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</si>
  <si>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</si>
  <si>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</si>
  <si>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</si>
  <si>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</si>
  <si>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</si>
  <si>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</si>
  <si>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</si>
  <si>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</si>
  <si>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</si>
  <si>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</si>
  <si>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</si>
  <si>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</si>
  <si>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</si>
  <si>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</si>
  <si>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</si>
  <si>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</si>
  <si>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</si>
  <si>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</si>
  <si>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</si>
  <si>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</si>
  <si>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</si>
  <si>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</si>
  <si>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</si>
  <si>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</si>
  <si>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</si>
  <si>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</si>
  <si>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</si>
  <si>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</si>
  <si>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</si>
  <si>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</si>
  <si>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</si>
  <si>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</si>
  <si>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</si>
  <si>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</si>
  <si>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</si>
  <si>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</si>
  <si>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</si>
  <si>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</si>
  <si>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</si>
  <si>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</si>
  <si>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</si>
  <si>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</si>
  <si>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</si>
  <si>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</si>
  <si>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</si>
  <si>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</si>
  <si>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</si>
  <si>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</si>
  <si>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</si>
  <si>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</si>
  <si>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</si>
  <si>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</si>
  <si>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</si>
  <si>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</si>
  <si>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</si>
  <si>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</si>
  <si>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</si>
  <si>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</si>
  <si>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</si>
  <si>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</si>
  <si>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</si>
  <si>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</si>
  <si>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</si>
  <si>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</si>
  <si>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</si>
  <si>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</si>
  <si>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</si>
  <si>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</si>
  <si>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</si>
  <si>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</si>
  <si>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</si>
  <si>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</si>
  <si>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</si>
  <si>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</si>
  <si>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</si>
  <si>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</si>
  <si>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</si>
  <si>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</si>
  <si>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</si>
  <si>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</si>
  <si>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</si>
  <si>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</si>
  <si>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</si>
  <si>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</si>
  <si>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</si>
  <si>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</si>
  <si>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</si>
  <si>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</si>
  <si>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</si>
  <si>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</si>
  <si>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</si>
  <si>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</si>
  <si>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</si>
  <si>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</si>
  <si>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</si>
  <si>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</si>
  <si>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</si>
  <si>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</si>
  <si>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</si>
  <si>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</si>
  <si>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</si>
  <si>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</si>
  <si>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</si>
  <si>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</si>
  <si>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</si>
  <si>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</si>
  <si>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</si>
  <si>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</si>
  <si>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</si>
  <si>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</si>
  <si>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</si>
  <si>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</si>
  <si>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</si>
  <si>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</si>
  <si>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</si>
  <si>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</si>
  <si>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</si>
  <si>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</si>
  <si>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</si>
  <si>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</si>
  <si>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</si>
  <si>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</si>
  <si>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</si>
  <si>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</si>
  <si>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</si>
  <si>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</si>
  <si>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</si>
  <si>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</si>
  <si>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</si>
  <si>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</si>
  <si>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</si>
  <si>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</si>
  <si>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</si>
  <si>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</si>
  <si>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</si>
  <si>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</si>
  <si>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</si>
  <si>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</si>
  <si>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</si>
  <si>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</si>
  <si>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</si>
  <si>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</si>
  <si>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</si>
  <si>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</si>
  <si>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</si>
  <si>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</si>
  <si>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</si>
  <si>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</si>
  <si>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</si>
  <si>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</si>
  <si>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</si>
  <si>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</si>
  <si>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</si>
  <si>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</si>
  <si>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</si>
  <si>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</si>
  <si>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</si>
  <si>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</si>
  <si>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</si>
  <si>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</si>
  <si>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</si>
  <si>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</si>
  <si>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</si>
  <si>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</si>
  <si>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</si>
  <si>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</si>
  <si>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</si>
  <si>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</si>
  <si>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</si>
  <si>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</si>
  <si>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</si>
  <si>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</si>
  <si>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</si>
  <si>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</si>
  <si>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</si>
  <si>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</si>
  <si>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</si>
  <si>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</si>
  <si>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</si>
  <si>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</si>
  <si>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</si>
  <si>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</si>
  <si>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</si>
  <si>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</si>
  <si>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</si>
  <si>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</si>
  <si>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</si>
  <si>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</si>
  <si>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</si>
  <si>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</si>
  <si>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</si>
  <si>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</si>
  <si>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</si>
  <si>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</si>
  <si>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</si>
  <si>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</si>
  <si>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</si>
  <si>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</si>
  <si>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</si>
  <si>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</si>
  <si>
    <t>Smithers/Telkwa</t>
  </si>
  <si>
    <t>Hazelton/Kitwanga</t>
  </si>
  <si>
    <t>Stewart/Meziadin</t>
  </si>
  <si>
    <t>Chilcotin</t>
  </si>
  <si>
    <t>Nanaimo/Ladysmith/Lantzville</t>
  </si>
  <si>
    <t>Parksville/Qualicum</t>
  </si>
  <si>
    <t>Ucluelet/Tofino</t>
  </si>
  <si>
    <t>Central Koot., New Denver</t>
  </si>
  <si>
    <t>Central Koot., Nakusp</t>
  </si>
  <si>
    <t>Central Kootenay Nelson</t>
  </si>
  <si>
    <t>Out Of District</t>
  </si>
  <si>
    <t>Central Kootenay Salmo</t>
  </si>
  <si>
    <t>Fernie/Sparwood</t>
  </si>
  <si>
    <t>Chilliwack/Rosedale</t>
  </si>
  <si>
    <t>Hope/Allison Pass</t>
  </si>
  <si>
    <t>Castlegar And Area</t>
  </si>
  <si>
    <t>Grand Forks And Area</t>
  </si>
  <si>
    <t>Rock Creek And Area</t>
  </si>
  <si>
    <t>Rossland And Area</t>
  </si>
  <si>
    <t>Lower Mainland-Surrey/Langley</t>
  </si>
  <si>
    <t>Lower Mainland-Coquitlam/Burnaby/Van</t>
  </si>
  <si>
    <t>Lower Mainland-Delta/Richmond</t>
  </si>
  <si>
    <t>North Cariboo District</t>
  </si>
  <si>
    <t>Queen Charlotte Islands</t>
  </si>
  <si>
    <t>Chase/Celista</t>
  </si>
  <si>
    <t>Lumby/Cherryville</t>
  </si>
  <si>
    <t>Crescent Spur To Horsey Creek</t>
  </si>
  <si>
    <t>Horsey Ck-Border S To Albreda</t>
  </si>
  <si>
    <t>Albreda To Mcmurphy</t>
  </si>
  <si>
    <t>100 Mile-Clinton</t>
  </si>
  <si>
    <t>Lillooet-Goldbridge</t>
  </si>
  <si>
    <t>20 Mile-Spences Bridge</t>
  </si>
  <si>
    <t>Western Communities</t>
  </si>
  <si>
    <t>Penticton Rd. Management Area</t>
  </si>
  <si>
    <t>Kelowna Road Management Area</t>
  </si>
  <si>
    <t>Princeton Road Management Area</t>
  </si>
  <si>
    <t>Oliver/Osoyoos Rd. Mgmt. Area</t>
  </si>
  <si>
    <t>Peachland/Westbank Rd.Mgt.Area</t>
  </si>
  <si>
    <t>Iskut &amp; Bob Quinn</t>
  </si>
  <si>
    <t>Kamloops &amp; Savona</t>
  </si>
  <si>
    <t>!localarea</t>
  </si>
  <si>
    <t>localarea</t>
  </si>
  <si>
    <t>!localAreaName</t>
  </si>
  <si>
    <t>ownerEquipmentCodePrefix</t>
  </si>
  <si>
    <t>organizationName</t>
  </si>
  <si>
    <t>doingBusinessAs</t>
  </si>
  <si>
    <t>registeredCompanyNumber</t>
  </si>
  <si>
    <t>meetsResidency</t>
  </si>
  <si>
    <t>isMaintenanceContractor</t>
  </si>
  <si>
    <t>workSafeBCPolicyNumber</t>
  </si>
  <si>
    <t>workSafeBCExpiryDate</t>
  </si>
  <si>
    <t>CGLEndDate</t>
  </si>
  <si>
    <t>archiveCode</t>
  </si>
  <si>
    <t>archiveReason</t>
  </si>
  <si>
    <t>archiveDate</t>
  </si>
  <si>
    <t>equipmentList</t>
  </si>
  <si>
    <t>rg:[]</t>
  </si>
  <si>
    <t>rg:{ 'id': '200024'}</t>
  </si>
  <si>
    <t>2009-01-01</t>
  </si>
  <si>
    <t>rg:{ 'id': '200016'}</t>
  </si>
  <si>
    <t>rg:{ 'id': '200001'}</t>
  </si>
  <si>
    <t>rg:{ 'id': '200009'}</t>
  </si>
  <si>
    <t>rg:{ 'id': '200010'}</t>
  </si>
  <si>
    <t>rg:{ 'id': '200018'}</t>
  </si>
  <si>
    <t>rg:{ 'id': '200006'}</t>
  </si>
  <si>
    <t>rg:{ 'id': '200008'}</t>
  </si>
  <si>
    <t>rg:{ 'id': '200023'}</t>
  </si>
  <si>
    <t>rg:{ 'id': '200005'}</t>
  </si>
  <si>
    <t>rg:{ 'id': '200022'}</t>
  </si>
  <si>
    <t>rg:{ 'id': '200013'}</t>
  </si>
  <si>
    <t>rg:{ 'id': '200017'}</t>
  </si>
  <si>
    <t>rg:{ 'id': '200026'}</t>
  </si>
  <si>
    <t>rg:{ 'id': '200002'}</t>
  </si>
  <si>
    <t>rg:{ 'id': '200021'}</t>
  </si>
  <si>
    <t>rg:{ 'id': '200012'}</t>
  </si>
  <si>
    <t>rg:{ 'id': '200019'}</t>
  </si>
  <si>
    <t>rg:{ 'id': '200011'}</t>
  </si>
  <si>
    <t>rg:{ 'id': '200025'}</t>
  </si>
  <si>
    <t>rg:{ 'id': '200015'}</t>
  </si>
  <si>
    <t>rg:{ 'id': '200000'}</t>
  </si>
  <si>
    <t>rg:{ 'id': '200007'}</t>
  </si>
  <si>
    <t>rg:{ 'id': '200020'}</t>
  </si>
  <si>
    <t>rg:{ 'id': '200027'}</t>
  </si>
  <si>
    <t>rg:{ 'id': '200004'}</t>
  </si>
  <si>
    <t>rg:{ 'id': '200014'}</t>
  </si>
  <si>
    <t>rg:{ 'id': '200028'}</t>
  </si>
  <si>
    <t>rg:{ 'id': '200029'}</t>
  </si>
  <si>
    <t>rg:{ 'id': '200003'}</t>
  </si>
  <si>
    <t>SUPE</t>
  </si>
  <si>
    <t>GTEX</t>
  </si>
  <si>
    <t>MOTH</t>
  </si>
  <si>
    <t>KATO</t>
  </si>
  <si>
    <t>WINT</t>
  </si>
  <si>
    <t>SICK</t>
  </si>
  <si>
    <t>child</t>
  </si>
  <si>
    <t>MCGR</t>
  </si>
  <si>
    <t>MANN</t>
  </si>
  <si>
    <t>AGGRE</t>
  </si>
  <si>
    <t>SOOK</t>
  </si>
  <si>
    <t>RGEX</t>
  </si>
  <si>
    <t>BERT</t>
  </si>
  <si>
    <t>HIGH</t>
  </si>
  <si>
    <t>HUBC</t>
  </si>
  <si>
    <t>KENS</t>
  </si>
  <si>
    <t>PEFF</t>
  </si>
  <si>
    <t>GYON</t>
  </si>
  <si>
    <t>COPC</t>
  </si>
  <si>
    <t>ASPL</t>
  </si>
  <si>
    <t>TBCH</t>
  </si>
  <si>
    <t>ACKE</t>
  </si>
  <si>
    <t>ARNE</t>
  </si>
  <si>
    <t>CDTR</t>
  </si>
  <si>
    <t>HAYL</t>
  </si>
  <si>
    <t>ALBE</t>
  </si>
  <si>
    <t>BROW</t>
  </si>
  <si>
    <t>CISA</t>
  </si>
  <si>
    <t>DOLA</t>
  </si>
  <si>
    <t>GIBS</t>
  </si>
  <si>
    <t>DJL</t>
  </si>
  <si>
    <t>GIEL</t>
  </si>
  <si>
    <t>DIG</t>
  </si>
  <si>
    <t>EDG</t>
  </si>
  <si>
    <t>LEI</t>
  </si>
  <si>
    <t>TAY</t>
  </si>
  <si>
    <t>LAND</t>
  </si>
  <si>
    <t>WAC</t>
  </si>
  <si>
    <t>GRD</t>
  </si>
  <si>
    <t>SEA</t>
  </si>
  <si>
    <t>POR</t>
  </si>
  <si>
    <t>LRSC</t>
  </si>
  <si>
    <t>GLOS</t>
  </si>
  <si>
    <t>ECO</t>
  </si>
  <si>
    <t>BBCO</t>
  </si>
  <si>
    <t>SONN</t>
  </si>
  <si>
    <t>CLEM</t>
  </si>
  <si>
    <t>PSC</t>
  </si>
  <si>
    <t>SEMI</t>
  </si>
  <si>
    <t>PERK</t>
  </si>
  <si>
    <t>IRON</t>
  </si>
  <si>
    <t>RICO</t>
  </si>
  <si>
    <t>SOUT</t>
  </si>
  <si>
    <t>SVAB</t>
  </si>
  <si>
    <t>MCDO</t>
  </si>
  <si>
    <t>AGS</t>
  </si>
  <si>
    <t>TYBO</t>
  </si>
  <si>
    <t>BDEL</t>
  </si>
  <si>
    <t>SPEC</t>
  </si>
  <si>
    <t>BADE</t>
  </si>
  <si>
    <t>BATR</t>
  </si>
  <si>
    <t>BMTL</t>
  </si>
  <si>
    <t>DMG</t>
  </si>
  <si>
    <t>DTL</t>
  </si>
  <si>
    <t>GARY</t>
  </si>
  <si>
    <t>GST</t>
  </si>
  <si>
    <t>HGT</t>
  </si>
  <si>
    <t>HMT</t>
  </si>
  <si>
    <t>JBST</t>
  </si>
  <si>
    <t>KAIN</t>
  </si>
  <si>
    <t>KEAT</t>
  </si>
  <si>
    <t>KLMC</t>
  </si>
  <si>
    <t>PBT</t>
  </si>
  <si>
    <t>RG</t>
  </si>
  <si>
    <t>SEK</t>
  </si>
  <si>
    <t>STEP</t>
  </si>
  <si>
    <t>TERR</t>
  </si>
  <si>
    <t>ZAPP</t>
  </si>
  <si>
    <t>ZGRA</t>
  </si>
  <si>
    <t>EDEN</t>
  </si>
  <si>
    <t>ASSER</t>
  </si>
  <si>
    <t>PSTS</t>
  </si>
  <si>
    <t>JT</t>
  </si>
  <si>
    <t>SCS</t>
  </si>
  <si>
    <t>VERT</t>
  </si>
  <si>
    <t>PHO</t>
  </si>
  <si>
    <t>ATLA</t>
  </si>
  <si>
    <t>HANK</t>
  </si>
  <si>
    <t>Eagl</t>
  </si>
  <si>
    <t>DABL</t>
  </si>
  <si>
    <t>TCT</t>
  </si>
  <si>
    <t>DELT</t>
  </si>
  <si>
    <t>MCRE</t>
  </si>
  <si>
    <t>GBBO</t>
  </si>
  <si>
    <t>STRO</t>
  </si>
  <si>
    <t>RILI</t>
  </si>
  <si>
    <t>EPPS</t>
  </si>
  <si>
    <t>H&amp;ME</t>
  </si>
  <si>
    <t>GRIZZ</t>
  </si>
  <si>
    <t>INCL</t>
  </si>
  <si>
    <t>KNGT</t>
  </si>
  <si>
    <t>LHTR</t>
  </si>
  <si>
    <t>MCCO</t>
  </si>
  <si>
    <t>PETE</t>
  </si>
  <si>
    <t>RITA</t>
  </si>
  <si>
    <t>CANT</t>
  </si>
  <si>
    <t>KMAR</t>
  </si>
  <si>
    <t>DMEXC</t>
  </si>
  <si>
    <t>ACTR</t>
  </si>
  <si>
    <t>DAVE</t>
  </si>
  <si>
    <t>KAST</t>
  </si>
  <si>
    <t>SSDS</t>
  </si>
  <si>
    <t>GRAS</t>
  </si>
  <si>
    <t>HJOR</t>
  </si>
  <si>
    <t>SPRG</t>
  </si>
  <si>
    <t>EXSA</t>
  </si>
  <si>
    <t>SRWA</t>
  </si>
  <si>
    <t>TTCL</t>
  </si>
  <si>
    <t>preownerEquipmentCodePrefix</t>
  </si>
  <si>
    <t>Equipment Owner</t>
  </si>
  <si>
    <t>Heavy Equipment</t>
  </si>
  <si>
    <t>Approved</t>
  </si>
  <si>
    <t>Archived</t>
  </si>
  <si>
    <t>Pending</t>
  </si>
  <si>
    <t>BBB complaint</t>
  </si>
  <si>
    <t>Haven't verified equipment</t>
  </si>
  <si>
    <t>Random archive text note</t>
  </si>
  <si>
    <t>Deceased</t>
  </si>
  <si>
    <t>provincialProjectNumber</t>
  </si>
  <si>
    <t>information</t>
  </si>
  <si>
    <t>rentalRequests</t>
  </si>
  <si>
    <t>Full_Name</t>
  </si>
  <si>
    <t>Project_Ext_Names</t>
  </si>
  <si>
    <t>Terminal</t>
  </si>
  <si>
    <t>Expressway</t>
  </si>
  <si>
    <t>Overpass</t>
  </si>
  <si>
    <t>Cloverleaf</t>
  </si>
  <si>
    <t>Building</t>
  </si>
  <si>
    <t>Bridge</t>
  </si>
  <si>
    <t>Bridge Replacement</t>
  </si>
  <si>
    <t>Upgrade</t>
  </si>
  <si>
    <t>Express Lane</t>
  </si>
  <si>
    <t>Bypass</t>
  </si>
  <si>
    <t>Extension</t>
  </si>
  <si>
    <t>HOV Lane</t>
  </si>
  <si>
    <t>Some more info</t>
  </si>
  <si>
    <t>!ownerId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</si>
  <si>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</si>
  <si>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</si>
  <si>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</si>
  <si>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</si>
  <si>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</si>
  <si>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</si>
  <si>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</si>
  <si>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</si>
  <si>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</si>
  <si>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</si>
  <si>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D611</t>
  </si>
  <si>
    <t>D612</t>
  </si>
  <si>
    <t>D613</t>
  </si>
  <si>
    <t>D614</t>
  </si>
  <si>
    <t>D615</t>
  </si>
  <si>
    <t>D616</t>
  </si>
  <si>
    <t>D617</t>
  </si>
  <si>
    <t>D618</t>
  </si>
  <si>
    <t>D619</t>
  </si>
  <si>
    <t>D620</t>
  </si>
  <si>
    <t>D621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</si>
  <si>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</si>
  <si>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</si>
  <si>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</si>
  <si>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</si>
  <si>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</si>
  <si>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</si>
  <si>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</si>
  <si>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</si>
  <si>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</si>
  <si>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</si>
  <si>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</si>
  <si>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D633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</si>
  <si>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</si>
  <si>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</si>
  <si>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</si>
  <si>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</si>
  <si>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</si>
  <si>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</si>
  <si>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</si>
  <si>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</si>
  <si>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</si>
  <si>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</si>
  <si>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</si>
  <si>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</si>
  <si>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</si>
  <si>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</si>
  <si>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</si>
  <si>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</si>
  <si>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</si>
  <si>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D651</t>
  </si>
  <si>
    <t>D652</t>
  </si>
  <si>
    <t>D653</t>
  </si>
  <si>
    <t>D654</t>
  </si>
  <si>
    <t>D655</t>
  </si>
  <si>
    <t>D656</t>
  </si>
  <si>
    <t>D657</t>
  </si>
  <si>
    <t>D658</t>
  </si>
  <si>
    <t>D659</t>
  </si>
  <si>
    <t>D660</t>
  </si>
  <si>
    <t>D661</t>
  </si>
  <si>
    <t>D662</t>
  </si>
  <si>
    <t>D663</t>
  </si>
  <si>
    <t>D664</t>
  </si>
  <si>
    <t>D665</t>
  </si>
  <si>
    <t>D666</t>
  </si>
  <si>
    <t>D667</t>
  </si>
  <si>
    <t>D668</t>
  </si>
  <si>
    <t>D669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</si>
  <si>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</si>
  <si>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</si>
  <si>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</si>
  <si>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</si>
  <si>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</si>
  <si>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</si>
  <si>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</si>
  <si>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</si>
  <si>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</si>
  <si>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</si>
  <si>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</si>
  <si>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</si>
  <si>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</si>
  <si>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</si>
  <si>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D684</t>
  </si>
  <si>
    <t>D685</t>
  </si>
  <si>
    <t>D686</t>
  </si>
  <si>
    <t>D687</t>
  </si>
  <si>
    <t>D688</t>
  </si>
  <si>
    <t>D689</t>
  </si>
  <si>
    <t>D690</t>
  </si>
  <si>
    <t>D691</t>
  </si>
  <si>
    <t>D692</t>
  </si>
  <si>
    <t>D693</t>
  </si>
  <si>
    <t>D694</t>
  </si>
  <si>
    <t>D695</t>
  </si>
  <si>
    <t>D696</t>
  </si>
  <si>
    <t>D697</t>
  </si>
  <si>
    <t>D698</t>
  </si>
  <si>
    <t>D699</t>
  </si>
  <si>
    <t>D700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</si>
  <si>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</si>
  <si>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</si>
  <si>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</si>
  <si>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</si>
  <si>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</si>
  <si>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</si>
  <si>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</si>
  <si>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</si>
  <si>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</si>
  <si>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</si>
  <si>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</si>
  <si>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</si>
  <si>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>D713</t>
  </si>
  <si>
    <t>D714</t>
  </si>
  <si>
    <t>D715</t>
  </si>
  <si>
    <t>D716</t>
  </si>
  <si>
    <t>D717</t>
  </si>
  <si>
    <t>D718</t>
  </si>
  <si>
    <t>D719</t>
  </si>
  <si>
    <t>D720</t>
  </si>
  <si>
    <t>D721</t>
  </si>
  <si>
    <t>D722</t>
  </si>
  <si>
    <t>D723</t>
  </si>
  <si>
    <t>D724</t>
  </si>
  <si>
    <t>D725</t>
  </si>
  <si>
    <t>D726</t>
  </si>
  <si>
    <t>D727</t>
  </si>
  <si>
    <t>D728</t>
  </si>
  <si>
    <t>D729</t>
  </si>
  <si>
    <t>D730</t>
  </si>
  <si>
    <t>D731</t>
  </si>
  <si>
    <t>D732</t>
  </si>
  <si>
    <t>D733</t>
  </si>
  <si>
    <t>D734</t>
  </si>
  <si>
    <t>D735</t>
  </si>
  <si>
    <t>D736</t>
  </si>
  <si>
    <t>D737</t>
  </si>
  <si>
    <t>D738</t>
  </si>
  <si>
    <t>D739</t>
  </si>
  <si>
    <t>D740</t>
  </si>
  <si>
    <t>D741</t>
  </si>
  <si>
    <t>D742</t>
  </si>
  <si>
    <t>D743</t>
  </si>
  <si>
    <t>D744</t>
  </si>
  <si>
    <t>D745</t>
  </si>
  <si>
    <t>D746</t>
  </si>
  <si>
    <t>D747</t>
  </si>
  <si>
    <t>D748</t>
  </si>
  <si>
    <t>D749</t>
  </si>
  <si>
    <t>D750</t>
  </si>
  <si>
    <t>D751</t>
  </si>
  <si>
    <t>D752</t>
  </si>
  <si>
    <t>D753</t>
  </si>
  <si>
    <t>D754</t>
  </si>
  <si>
    <t>D755</t>
  </si>
  <si>
    <t>D756</t>
  </si>
  <si>
    <t>D757</t>
  </si>
  <si>
    <t>D758</t>
  </si>
  <si>
    <t>D759</t>
  </si>
  <si>
    <t>D760</t>
  </si>
  <si>
    <t>D761</t>
  </si>
  <si>
    <t>D762</t>
  </si>
  <si>
    <t>D763</t>
  </si>
  <si>
    <t>D764</t>
  </si>
  <si>
    <t>D765</t>
  </si>
  <si>
    <t>D766</t>
  </si>
  <si>
    <t>D767</t>
  </si>
  <si>
    <t>D768</t>
  </si>
  <si>
    <t>equipmentCode</t>
  </si>
  <si>
    <t>receivedDate</t>
  </si>
  <si>
    <t>approvedDate</t>
  </si>
  <si>
    <t>isInformationUpdateNeeded</t>
  </si>
  <si>
    <t>informationUpdateNeededReason</t>
  </si>
  <si>
    <t>licencePlate</t>
  </si>
  <si>
    <t>operator</t>
  </si>
  <si>
    <t>payRate</t>
  </si>
  <si>
    <t>refuseRate</t>
  </si>
  <si>
    <t>serialNumber</t>
  </si>
  <si>
    <t>toDate</t>
  </si>
  <si>
    <t>numberInBlock</t>
  </si>
  <si>
    <t>isSeniorityOverridden</t>
  </si>
  <si>
    <t>seniorityOverrideReason</t>
  </si>
  <si>
    <t>seniorityEffectiveDate</t>
  </si>
  <si>
    <t>yearsOfService</t>
  </si>
  <si>
    <t>serviceHoursLastYear</t>
  </si>
  <si>
    <t>serviceHoursTwoYearsAgo</t>
  </si>
  <si>
    <t>serviceHoursThreeYearsAgo</t>
  </si>
  <si>
    <t>dumpTruck</t>
  </si>
  <si>
    <t>equipmentAttachments</t>
  </si>
  <si>
    <t>Seniority Effective Date</t>
  </si>
  <si>
    <t>Block</t>
  </si>
  <si>
    <t>EquipType</t>
  </si>
  <si>
    <t>blockequiplookup</t>
  </si>
  <si>
    <t>Broken</t>
  </si>
  <si>
    <t>Sold</t>
  </si>
  <si>
    <t>Lost</t>
  </si>
  <si>
    <t>Stolen</t>
  </si>
  <si>
    <t>project</t>
  </si>
  <si>
    <t>equipmentCount</t>
  </si>
  <si>
    <t>expectedHours</t>
  </si>
  <si>
    <t>expectedStartDate</t>
  </si>
  <si>
    <t>expectedEndDate</t>
  </si>
  <si>
    <t>Jade St Upgrade</t>
  </si>
  <si>
    <t>Glover Road Cloverleaf</t>
  </si>
  <si>
    <t>Findlay Creek Road HOV Lane</t>
  </si>
  <si>
    <t>Roger Street Overpass</t>
  </si>
  <si>
    <t>Glover Road Bridge Replacement</t>
  </si>
  <si>
    <t>Stum Lake Road Upgrade</t>
  </si>
  <si>
    <t>Roger Street Building</t>
  </si>
  <si>
    <t>Wellington Ave Express Lane</t>
  </si>
  <si>
    <t>Burdett Avenue Bypass</t>
  </si>
  <si>
    <t>Blanshard Bypass</t>
  </si>
  <si>
    <t>Roger Street Upgrade</t>
  </si>
  <si>
    <t>102nd Avenue Overpass</t>
  </si>
  <si>
    <t>Wellington Ave Overpass</t>
  </si>
  <si>
    <t>Burdett Avenue Cloverleaf</t>
  </si>
  <si>
    <t>King George Hwy Upgrade</t>
  </si>
  <si>
    <t>Blind Bay Road Overpass</t>
  </si>
  <si>
    <t>Findlay Creek Road Bypass</t>
  </si>
  <si>
    <t>Blanshard Bridge</t>
  </si>
  <si>
    <t>Essendene Avenue Bypass</t>
  </si>
  <si>
    <t>Lake City Way Cloverleaf</t>
  </si>
  <si>
    <t>Burdett Avenue Expressway</t>
  </si>
  <si>
    <t>Nootka Street Extension</t>
  </si>
  <si>
    <t>Alaska Hwy Cloverleaf</t>
  </si>
  <si>
    <t>Stum Lake Road Expressway</t>
  </si>
  <si>
    <t>Robson St Bypass</t>
  </si>
  <si>
    <t>Roger Street Expressway</t>
  </si>
  <si>
    <t>Hastings Street Extension</t>
  </si>
  <si>
    <t>Wallace Street Expressway</t>
  </si>
  <si>
    <t>Brew Creek Rd Extension</t>
  </si>
  <si>
    <t>Hardy Street HOV Lane</t>
  </si>
  <si>
    <t>Robson St Cloverleaf</t>
  </si>
  <si>
    <t>Keith Road Expressway</t>
  </si>
  <si>
    <t>Coldstream Avenue Expressway</t>
  </si>
  <si>
    <t>Blanshard Bridge Replacement</t>
  </si>
  <si>
    <t>Shaughnessy St Bridge</t>
  </si>
  <si>
    <t>Glover Road Expressway</t>
  </si>
  <si>
    <t>Findlay Creek Road Building</t>
  </si>
  <si>
    <t>Burdett Avenue Bridge Replacement</t>
  </si>
  <si>
    <t>Jade St Expressway</t>
  </si>
  <si>
    <t>Hardy Street Building</t>
  </si>
  <si>
    <t>Brew Creek Rd Bridge</t>
  </si>
  <si>
    <t>Haaglund Rd HOV Lane</t>
  </si>
  <si>
    <t>James Street HOV Lane</t>
  </si>
  <si>
    <t>Findlay Creek Road Overpass</t>
  </si>
  <si>
    <t>!name</t>
  </si>
  <si>
    <t>Burdett Avenue Building</t>
  </si>
  <si>
    <t>Mesa Vista Drive HOV Lane</t>
  </si>
  <si>
    <t>Burdett Avenue HOV Lane</t>
  </si>
  <si>
    <t>Noble Rd Upgrade</t>
  </si>
  <si>
    <t>Essendene Avenue Bridge</t>
  </si>
  <si>
    <t>Cordova Street Overpass</t>
  </si>
  <si>
    <t>Robson St Expressway</t>
  </si>
  <si>
    <t>Old Spallumcheen Rd Expressway</t>
  </si>
  <si>
    <t>Noble Rd Overpass</t>
  </si>
  <si>
    <t>Jade St Building</t>
  </si>
  <si>
    <t>Wallace Street Express Lane</t>
  </si>
  <si>
    <t>Holdom Avenue Cloverleaf</t>
  </si>
  <si>
    <t>Scotts Lane Bypass</t>
  </si>
  <si>
    <t>Sixth Street Bypass</t>
  </si>
  <si>
    <t>King George Hwy HOV Lane</t>
  </si>
  <si>
    <t>Wallace Street Bridge</t>
  </si>
  <si>
    <t>Yoho Valley Road Bypass</t>
  </si>
  <si>
    <t>Cordova Street Building</t>
  </si>
  <si>
    <t>Scotts Lane Upgrade</t>
  </si>
  <si>
    <t>Nootka Street Upgrade</t>
  </si>
  <si>
    <t>Nootka Street Cloverleaf</t>
  </si>
  <si>
    <t>Kinchant St Cloverleaf</t>
  </si>
  <si>
    <t>Queens Bay Bypass</t>
  </si>
  <si>
    <t>Cardero St Express Lane</t>
  </si>
  <si>
    <t>Old Spallumcheen Rd Bypass</t>
  </si>
  <si>
    <t>Keith Road Upgrade</t>
  </si>
  <si>
    <t>Hastings Street Upgrade</t>
  </si>
  <si>
    <t>Burdett Avenue Upgrade</t>
  </si>
  <si>
    <t>James Street Expressway</t>
  </si>
  <si>
    <t>Tolmie St Cloverleaf</t>
  </si>
  <si>
    <t>Sixth Street HOV Lane</t>
  </si>
  <si>
    <t>Stum Lake Road Extension</t>
  </si>
  <si>
    <t>Tolmie St Extension</t>
  </si>
  <si>
    <t>Coldstream Avenue Cloverleaf</t>
  </si>
  <si>
    <t>Wallace Street Upgrade</t>
  </si>
  <si>
    <t>Shaughnessy St Expressway</t>
  </si>
  <si>
    <t>Tchesinkut Lake Rd Overpass</t>
  </si>
  <si>
    <t>Blind Bay Road Bypass</t>
  </si>
  <si>
    <t>Glover Road Building</t>
  </si>
  <si>
    <t>Wellington Ave Bypass</t>
  </si>
  <si>
    <t>Hastings Street Express Lane</t>
  </si>
  <si>
    <t>Tchesinkut Lake Rd Bridge Replacement</t>
  </si>
  <si>
    <t>Yoho Valley Road Extension</t>
  </si>
  <si>
    <t>Keith Road HOV Lane</t>
  </si>
  <si>
    <t>Quayside Dr Overpass</t>
  </si>
  <si>
    <t>Jade St Express Lane</t>
  </si>
  <si>
    <t>Carlson Road Building</t>
  </si>
  <si>
    <t>McGill Road Bridge Replacement</t>
  </si>
  <si>
    <t>Russell Avenue Upgrade</t>
  </si>
  <si>
    <t>Haaglund Rd Overpass</t>
  </si>
  <si>
    <t>Tchesinkut Lake Rd Upgrade</t>
  </si>
  <si>
    <t>Glover Road Express Lane</t>
  </si>
  <si>
    <t>Stum Lake Road Building</t>
  </si>
  <si>
    <t>Shaughnessy St Upgrade</t>
  </si>
  <si>
    <t>Shaughnessy St Building</t>
  </si>
  <si>
    <t>Mesa Vista Drive Bridge Replacement</t>
  </si>
  <si>
    <t>Blind Bay Road Bridge Replacement</t>
  </si>
  <si>
    <t>Shaughnessy St Bridge Replacement</t>
  </si>
  <si>
    <t>Yoho Valley Road Upgrade</t>
  </si>
  <si>
    <t>Old Spallumcheen Rd HOV Lane</t>
  </si>
  <si>
    <t>Coldstream Avenue Building</t>
  </si>
  <si>
    <t>Holdom Avenue Bridge</t>
  </si>
  <si>
    <t>Scotts Lane Overpass</t>
  </si>
  <si>
    <t>Sixth Street Bridge Replacement</t>
  </si>
  <si>
    <t>King George Hwy Bridge</t>
  </si>
  <si>
    <t>Wallace Street HOV Lane</t>
  </si>
  <si>
    <t>Scotts Lane Building</t>
  </si>
  <si>
    <t>Nootka Street HOV Lane</t>
  </si>
  <si>
    <t>102nd Avenue HOV Lane</t>
  </si>
  <si>
    <t>Cardero St Cloverleaf</t>
  </si>
  <si>
    <t>Blind Bay Road Upgrade</t>
  </si>
  <si>
    <t>Old Spallumcheen Rd Cloverleaf</t>
  </si>
  <si>
    <t>Keith Road Bridge Replacement</t>
  </si>
  <si>
    <t>Coldstream Avenue HOV Lane</t>
  </si>
  <si>
    <t>Hardy Street Overpass</t>
  </si>
  <si>
    <t>Hastings Street Bypass</t>
  </si>
  <si>
    <t>Tolmie St Upgrade</t>
  </si>
  <si>
    <t>Quayside Dr Building</t>
  </si>
  <si>
    <t>Sixth Street Building</t>
  </si>
  <si>
    <t>James Street Overpass</t>
  </si>
  <si>
    <t>Tolmie St Bypass</t>
  </si>
  <si>
    <t>Coldstream Avenue Bypass</t>
  </si>
  <si>
    <t>Lake City Way Upgrade</t>
  </si>
  <si>
    <t>Essendene Avenue Bridge Replacement</t>
  </si>
  <si>
    <t>Burdett Avenue Extension</t>
  </si>
  <si>
    <t>Tchesinkut Lake Rd Extension</t>
  </si>
  <si>
    <t>Tchesinkut Lake Rd Expressway</t>
  </si>
  <si>
    <t>Stum Lake Road HOV Lane</t>
  </si>
  <si>
    <t>Yoho Valley Road Building</t>
  </si>
  <si>
    <t>Burdett Avenue Express Lane</t>
  </si>
  <si>
    <t>Quayside Dr Bridge</t>
  </si>
  <si>
    <t>Robson St Express Lane</t>
  </si>
  <si>
    <t>Robson St Bridge Replacement</t>
  </si>
  <si>
    <t>Carlson Road Express Lane</t>
  </si>
  <si>
    <t>McGill Road Express Lane</t>
  </si>
  <si>
    <t>Russell Avenue HOV Lane</t>
  </si>
  <si>
    <t>Findlay Creek Road Upgrade</t>
  </si>
  <si>
    <t>Brew Creek Rd HOV Lane</t>
  </si>
  <si>
    <t>Quayside Dr Expressway</t>
  </si>
  <si>
    <t>Tchesinkut Lake Rd Cloverleaf</t>
  </si>
  <si>
    <t>Stum Lake Road Bridge Replacement</t>
  </si>
  <si>
    <t>Shaughnessy St Bypass</t>
  </si>
  <si>
    <t>Cordova Street HOV Lane</t>
  </si>
  <si>
    <t>Mesa Vista Drive Upgrade</t>
  </si>
  <si>
    <t>Blanshard Express Lane</t>
  </si>
  <si>
    <t>Cordova Street Cloverleaf</t>
  </si>
  <si>
    <t>Kinchant St Bypass</t>
  </si>
  <si>
    <t>Alaska Hwy Bridge</t>
  </si>
  <si>
    <t>King George Hwy Building</t>
  </si>
  <si>
    <t>Old Spallumcheen Rd Building</t>
  </si>
  <si>
    <t>Coldstream Avenue Extension</t>
  </si>
  <si>
    <t>Robson St Overpass</t>
  </si>
  <si>
    <t>Carlson Road Cloverleaf</t>
  </si>
  <si>
    <t>102nd Avenue Cloverleaf</t>
  </si>
  <si>
    <t>McGill Road HOV Lane</t>
  </si>
  <si>
    <t>Russell Avenue Extension</t>
  </si>
  <si>
    <t>Cardero St Upgrade</t>
  </si>
  <si>
    <t>Queens Bay Expressway</t>
  </si>
  <si>
    <t>In progress</t>
  </si>
  <si>
    <t>Completed</t>
  </si>
  <si>
    <t>Cancelled</t>
  </si>
  <si>
    <t>4777 JS</t>
  </si>
  <si>
    <t>HH 7446</t>
  </si>
  <si>
    <t>AY 3745</t>
  </si>
  <si>
    <t>5656 TT</t>
  </si>
  <si>
    <t>3575 EC</t>
  </si>
  <si>
    <t>BR 3146</t>
  </si>
  <si>
    <t>5760 AD</t>
  </si>
  <si>
    <t>ER 6921</t>
  </si>
  <si>
    <t>581 YN</t>
  </si>
  <si>
    <t>CH 8458</t>
  </si>
  <si>
    <t>9731 AH</t>
  </si>
  <si>
    <t>HA 606</t>
  </si>
  <si>
    <t>HE 5364</t>
  </si>
  <si>
    <t>CH 226</t>
  </si>
  <si>
    <t>IA 6633</t>
  </si>
  <si>
    <t>LI 7344</t>
  </si>
  <si>
    <t>9358 LY</t>
  </si>
  <si>
    <t>1899 SH</t>
  </si>
  <si>
    <t>1579 IC</t>
  </si>
  <si>
    <t>ER 517</t>
  </si>
  <si>
    <t>LM 9850</t>
  </si>
  <si>
    <t>HA 89</t>
  </si>
  <si>
    <t>RT 6997</t>
  </si>
  <si>
    <t>AV 7533</t>
  </si>
  <si>
    <t>OR 7483</t>
  </si>
  <si>
    <t>8176 AR</t>
  </si>
  <si>
    <t>TU 4388</t>
  </si>
  <si>
    <t>2878 YF</t>
  </si>
  <si>
    <t>9679 CH</t>
  </si>
  <si>
    <t>YF 6243</t>
  </si>
  <si>
    <t>DO 4469</t>
  </si>
  <si>
    <t>BR 9963</t>
  </si>
  <si>
    <t>LM 9925</t>
  </si>
  <si>
    <t>RO 5003</t>
  </si>
  <si>
    <t>TE 7883</t>
  </si>
  <si>
    <t>AC 7961</t>
  </si>
  <si>
    <t>EL 4369</t>
  </si>
  <si>
    <t>RA 8789</t>
  </si>
  <si>
    <t>GA 8703</t>
  </si>
  <si>
    <t>IA 6399</t>
  </si>
  <si>
    <t>4466 KE</t>
  </si>
  <si>
    <t>NT 6449</t>
  </si>
  <si>
    <t>DD 4168</t>
  </si>
  <si>
    <t>GG 4258</t>
  </si>
  <si>
    <t>1795 EB</t>
  </si>
  <si>
    <t>UC 3806</t>
  </si>
  <si>
    <t>1447 RM</t>
  </si>
  <si>
    <t>LA 9489</t>
  </si>
  <si>
    <t>AR 3215</t>
  </si>
  <si>
    <t>8607 TH</t>
  </si>
  <si>
    <t>RA 3781</t>
  </si>
  <si>
    <t>PA 7076</t>
  </si>
  <si>
    <t>RT 3952</t>
  </si>
  <si>
    <t>HN 4894</t>
  </si>
  <si>
    <t>1608 AR</t>
  </si>
  <si>
    <t>OT 7910</t>
  </si>
  <si>
    <t>SP 6160</t>
  </si>
  <si>
    <t>CE 679</t>
  </si>
  <si>
    <t>MA 2362</t>
  </si>
  <si>
    <t>IT 473</t>
  </si>
  <si>
    <t>GA 6174</t>
  </si>
  <si>
    <t>UR 5944</t>
  </si>
  <si>
    <t>GA 2663</t>
  </si>
  <si>
    <t>RO 895</t>
  </si>
  <si>
    <t>EP 4260</t>
  </si>
  <si>
    <t>5181 MI</t>
  </si>
  <si>
    <t>2837 AR</t>
  </si>
  <si>
    <t>DA 8758</t>
  </si>
  <si>
    <t>AT 2809</t>
  </si>
  <si>
    <t>1856 RO</t>
  </si>
  <si>
    <t>AN 943</t>
  </si>
  <si>
    <t>YK 6330</t>
  </si>
  <si>
    <t>EN 2657</t>
  </si>
  <si>
    <t>AR 9548</t>
  </si>
  <si>
    <t>RI 2004</t>
  </si>
  <si>
    <t>EM 8040</t>
  </si>
  <si>
    <t>CA 6759</t>
  </si>
  <si>
    <t>PH 2627</t>
  </si>
  <si>
    <t>TR 2357</t>
  </si>
  <si>
    <t>RR 9063</t>
  </si>
  <si>
    <t>IE 7565</t>
  </si>
  <si>
    <t>BI 1286</t>
  </si>
  <si>
    <t>RI 5456</t>
  </si>
  <si>
    <t>9863 ES</t>
  </si>
  <si>
    <t>HO 652</t>
  </si>
  <si>
    <t>SH 5698</t>
  </si>
  <si>
    <t>TA 9920</t>
  </si>
  <si>
    <t>DA 5790</t>
  </si>
  <si>
    <t>EN 4469</t>
  </si>
  <si>
    <t>IS 8510</t>
  </si>
  <si>
    <t>9498 AR</t>
  </si>
  <si>
    <t>NO 2793</t>
  </si>
  <si>
    <t>SI 9874</t>
  </si>
  <si>
    <t>OA 5192</t>
  </si>
  <si>
    <t>1617 DI</t>
  </si>
  <si>
    <t>YT 2618</t>
  </si>
  <si>
    <t>DR 6540</t>
  </si>
  <si>
    <t>ET 4607</t>
  </si>
  <si>
    <t>LY 4237</t>
  </si>
  <si>
    <t>5545 FR</t>
  </si>
  <si>
    <t>OM 8004</t>
  </si>
  <si>
    <t>MA 3943</t>
  </si>
  <si>
    <t>MA 6500</t>
  </si>
  <si>
    <t>3627 AD</t>
  </si>
  <si>
    <t>RY 5458</t>
  </si>
  <si>
    <t>NN 2367</t>
  </si>
  <si>
    <t>LY 5661</t>
  </si>
  <si>
    <t>DI 629</t>
  </si>
  <si>
    <t>JE 2009</t>
  </si>
  <si>
    <t>NE 5837</t>
  </si>
  <si>
    <t>2677 UP</t>
  </si>
  <si>
    <t>HO 6893</t>
  </si>
  <si>
    <t>LL 6367</t>
  </si>
  <si>
    <t>621 IC</t>
  </si>
  <si>
    <t>AF 6566</t>
  </si>
  <si>
    <t>YJ 1095</t>
  </si>
  <si>
    <t>BE 2345</t>
  </si>
  <si>
    <t>2900 LP</t>
  </si>
  <si>
    <t>EN 523</t>
  </si>
  <si>
    <t>YK 2011</t>
  </si>
  <si>
    <t>AR 9995</t>
  </si>
  <si>
    <t>WA 3849</t>
  </si>
  <si>
    <t>TE 2948</t>
  </si>
  <si>
    <t>NC 9949</t>
  </si>
  <si>
    <t>EV 9085</t>
  </si>
  <si>
    <t>MM 4584</t>
  </si>
  <si>
    <t>VI 7607</t>
  </si>
  <si>
    <t>UE 2279</t>
  </si>
  <si>
    <t>OB 3717</t>
  </si>
  <si>
    <t>IN 446</t>
  </si>
  <si>
    <t>HA 240</t>
  </si>
  <si>
    <t>IC 6083</t>
  </si>
  <si>
    <t>OB 7885</t>
  </si>
  <si>
    <t>8830 AN</t>
  </si>
  <si>
    <t>TA 7142</t>
  </si>
  <si>
    <t>IN 4864</t>
  </si>
  <si>
    <t>6969 CY</t>
  </si>
  <si>
    <t>NT 2393</t>
  </si>
  <si>
    <t>RD 3357</t>
  </si>
  <si>
    <t>RI 4256</t>
  </si>
  <si>
    <t>AD 8843</t>
  </si>
  <si>
    <t>HN 7479</t>
  </si>
  <si>
    <t>LU 9010</t>
  </si>
  <si>
    <t>TA 4291</t>
  </si>
  <si>
    <t>EN 868</t>
  </si>
  <si>
    <t>IA 8448</t>
  </si>
  <si>
    <t>MA 4236</t>
  </si>
  <si>
    <t>7202 KE</t>
  </si>
  <si>
    <t>8498 RR</t>
  </si>
  <si>
    <t>AI 7625</t>
  </si>
  <si>
    <t>JS 3647</t>
  </si>
  <si>
    <t>JU 7316</t>
  </si>
  <si>
    <t>TO 4826</t>
  </si>
  <si>
    <t>TT 2964</t>
  </si>
  <si>
    <t>AY 6423</t>
  </si>
  <si>
    <t>IA 8713</t>
  </si>
  <si>
    <t>DM 4835</t>
  </si>
  <si>
    <t>RT 8174</t>
  </si>
  <si>
    <t>HI 9204</t>
  </si>
  <si>
    <t>AE 6908</t>
  </si>
  <si>
    <t>AR 5679</t>
  </si>
  <si>
    <t>RR 4865</t>
  </si>
  <si>
    <t>RY 578</t>
  </si>
  <si>
    <t>AE 2796</t>
  </si>
  <si>
    <t>4407 IA</t>
  </si>
  <si>
    <t>7562 IA</t>
  </si>
  <si>
    <t>AR 6306</t>
  </si>
  <si>
    <t>HU 4970</t>
  </si>
  <si>
    <t>3769 AT</t>
  </si>
  <si>
    <t>VE 7621</t>
  </si>
  <si>
    <t>LM 6610</t>
  </si>
  <si>
    <t>RL 3504</t>
  </si>
  <si>
    <t>2454 RT</t>
  </si>
  <si>
    <t>DA 3933</t>
  </si>
  <si>
    <t>1573 MO</t>
  </si>
  <si>
    <t>6664 CH</t>
  </si>
  <si>
    <t>CL 5521</t>
  </si>
  <si>
    <t>NA 8558</t>
  </si>
  <si>
    <t>CH 8817</t>
  </si>
  <si>
    <t>RI 5165</t>
  </si>
  <si>
    <t>TH 8754</t>
  </si>
  <si>
    <t>UC 4045</t>
  </si>
  <si>
    <t>AT 2174</t>
  </si>
  <si>
    <t>BE 7680</t>
  </si>
  <si>
    <t>HA 2800</t>
  </si>
  <si>
    <t>9082 LM</t>
  </si>
  <si>
    <t>LI 4306</t>
  </si>
  <si>
    <t>RA 5828</t>
  </si>
  <si>
    <t>RG 2368</t>
  </si>
  <si>
    <t>8774 IL</t>
  </si>
  <si>
    <t>4009 EL</t>
  </si>
  <si>
    <t>6203 NT</t>
  </si>
  <si>
    <t>1160 SD</t>
  </si>
  <si>
    <t>MA 8028</t>
  </si>
  <si>
    <t>ES 1894</t>
  </si>
  <si>
    <t>2287 RU</t>
  </si>
  <si>
    <t>MA 6235</t>
  </si>
  <si>
    <t>AR 5311</t>
  </si>
  <si>
    <t>2017-03-29</t>
  </si>
  <si>
    <t>2017-05-11</t>
  </si>
  <si>
    <t>2017-03-02</t>
  </si>
  <si>
    <t>2018-02-05</t>
  </si>
  <si>
    <t>2018-01-28</t>
  </si>
  <si>
    <t>2017-12-29</t>
  </si>
  <si>
    <t>2017-12-06</t>
  </si>
  <si>
    <t>2018-01-08</t>
  </si>
  <si>
    <t>2017-05-21</t>
  </si>
  <si>
    <t>2018-02-04</t>
  </si>
  <si>
    <t>2017-02-28</t>
  </si>
  <si>
    <t>2017-10-11</t>
  </si>
  <si>
    <t>2017-09-18</t>
  </si>
  <si>
    <t>2017-09-01</t>
  </si>
  <si>
    <t>2017-02-21</t>
  </si>
  <si>
    <t>2017-04-22</t>
  </si>
  <si>
    <t>2017-02-20</t>
  </si>
  <si>
    <t>2017-08-15</t>
  </si>
  <si>
    <t>2018-01-04</t>
  </si>
  <si>
    <t>2017-05-19</t>
  </si>
  <si>
    <t>2017-12-12</t>
  </si>
  <si>
    <t>2017-04-26</t>
  </si>
  <si>
    <t>2017-10-17</t>
  </si>
  <si>
    <t>2017-04-12</t>
  </si>
  <si>
    <t>2017-06-08</t>
  </si>
  <si>
    <t>2017-07-16</t>
  </si>
  <si>
    <t>2017-06-20</t>
  </si>
  <si>
    <t>2017-04-14</t>
  </si>
  <si>
    <t>2017-04-20</t>
  </si>
  <si>
    <t>2017-09-02</t>
  </si>
  <si>
    <t>2017-07-22</t>
  </si>
  <si>
    <t>2018-02-07</t>
  </si>
  <si>
    <t>2017-09-08</t>
  </si>
  <si>
    <t>2017-05-18</t>
  </si>
  <si>
    <t>2017-03-25</t>
  </si>
  <si>
    <t>2017-06-15</t>
  </si>
  <si>
    <t>2017-11-16</t>
  </si>
  <si>
    <t>2017-10-12</t>
  </si>
  <si>
    <t>2017-05-23</t>
  </si>
  <si>
    <t>2017-10-14</t>
  </si>
  <si>
    <t>2017-08-25</t>
  </si>
  <si>
    <t>2017-11-21</t>
  </si>
  <si>
    <t>2017-03-20</t>
  </si>
  <si>
    <t>2017-12-16</t>
  </si>
  <si>
    <t>2017-09-20</t>
  </si>
  <si>
    <t>2018-01-03</t>
  </si>
  <si>
    <t>2017-08-09</t>
  </si>
  <si>
    <t>2017-08-26</t>
  </si>
  <si>
    <t>2017-08-08</t>
  </si>
  <si>
    <t>2017-06-17</t>
  </si>
  <si>
    <t>2017-07-20</t>
  </si>
  <si>
    <t>2017-07-02</t>
  </si>
  <si>
    <t>2017-04-30</t>
  </si>
  <si>
    <t>2017-08-27</t>
  </si>
  <si>
    <t>2018-01-24</t>
  </si>
  <si>
    <t>2017-04-18</t>
  </si>
  <si>
    <t>2017-11-05</t>
  </si>
  <si>
    <t>2017-06-02</t>
  </si>
  <si>
    <t>2017-12-15</t>
  </si>
  <si>
    <t>2017-11-04</t>
  </si>
  <si>
    <t>2017-03-28</t>
  </si>
  <si>
    <t>2017-07-27</t>
  </si>
  <si>
    <t>2018-02-09</t>
  </si>
  <si>
    <t>2017-08-30</t>
  </si>
  <si>
    <t>2018-01-02</t>
  </si>
  <si>
    <t>2017-07-10</t>
  </si>
  <si>
    <t>2017-07-24</t>
  </si>
  <si>
    <t>2017-10-13</t>
  </si>
  <si>
    <t>2017-08-14</t>
  </si>
  <si>
    <t>2017-07-19</t>
  </si>
  <si>
    <t>2017-09-22</t>
  </si>
  <si>
    <t>2018-01-05</t>
  </si>
  <si>
    <t>2017-07-29</t>
  </si>
  <si>
    <t>2017-09-11</t>
  </si>
  <si>
    <t>2017-10-04</t>
  </si>
  <si>
    <t>2017-05-31</t>
  </si>
  <si>
    <t>2017-10-29</t>
  </si>
  <si>
    <t>2017-11-03</t>
  </si>
  <si>
    <t>2018-02-12</t>
  </si>
  <si>
    <t>2017-09-23</t>
  </si>
  <si>
    <t>2017-06-29</t>
  </si>
  <si>
    <t>2017-04-17</t>
  </si>
  <si>
    <t>2017-05-03</t>
  </si>
  <si>
    <t>2017-05-25</t>
  </si>
  <si>
    <t>2017-05-28</t>
  </si>
  <si>
    <t>2017-12-25</t>
  </si>
  <si>
    <t>2017-09-16</t>
  </si>
  <si>
    <t>2018-01-17</t>
  </si>
  <si>
    <t>2017-05-07</t>
  </si>
  <si>
    <t>2017-08-24</t>
  </si>
  <si>
    <t>2017-07-15</t>
  </si>
  <si>
    <t>2017-08-19</t>
  </si>
  <si>
    <t>2017-02-18</t>
  </si>
  <si>
    <t>2017-12-22</t>
  </si>
  <si>
    <t>2017-09-24</t>
  </si>
  <si>
    <t>2017-12-19</t>
  </si>
  <si>
    <t>2017-09-14</t>
  </si>
  <si>
    <t>2017-12-14</t>
  </si>
  <si>
    <t>2017-10-03</t>
  </si>
  <si>
    <t>2017-05-27</t>
  </si>
  <si>
    <t>2017-03-21</t>
  </si>
  <si>
    <t>2017-03-19</t>
  </si>
  <si>
    <t>2017-12-20</t>
  </si>
  <si>
    <t>2017-06-01</t>
  </si>
  <si>
    <t>2017-08-07</t>
  </si>
  <si>
    <t>2017-05-17</t>
  </si>
  <si>
    <t>2017-04-07</t>
  </si>
  <si>
    <t>2018-01-18</t>
  </si>
  <si>
    <t>2017-02-19</t>
  </si>
  <si>
    <t>2017-03-26</t>
  </si>
  <si>
    <t>2018-01-20</t>
  </si>
  <si>
    <t>2017-10-28</t>
  </si>
  <si>
    <t>2017-03-24</t>
  </si>
  <si>
    <t>2017-04-13</t>
  </si>
  <si>
    <t>2017-07-05</t>
  </si>
  <si>
    <t>2017-05-04</t>
  </si>
  <si>
    <t>2017-12-05</t>
  </si>
  <si>
    <t>2018-01-12</t>
  </si>
  <si>
    <t>2017-11-18</t>
  </si>
  <si>
    <t>2017-10-22</t>
  </si>
  <si>
    <t>2017-05-01</t>
  </si>
  <si>
    <t>2017-04-21</t>
  </si>
  <si>
    <t>2017-05-02</t>
  </si>
  <si>
    <t>2017-08-12</t>
  </si>
  <si>
    <t>2017-04-19</t>
  </si>
  <si>
    <t>2017-06-12</t>
  </si>
  <si>
    <t>2018-02-03</t>
  </si>
  <si>
    <t>2017-10-30</t>
  </si>
  <si>
    <t>2017-08-29</t>
  </si>
  <si>
    <t>2017-10-18</t>
  </si>
  <si>
    <t>2017-12-24</t>
  </si>
  <si>
    <t>2017-11-22</t>
  </si>
  <si>
    <t>2017-09-19</t>
  </si>
  <si>
    <t>2017-12-02</t>
  </si>
  <si>
    <t>2017-05-15</t>
  </si>
  <si>
    <t>2017-04-27</t>
  </si>
  <si>
    <t>2017-06-18</t>
  </si>
  <si>
    <t>2017-11-01</t>
  </si>
  <si>
    <t>2018-01-21</t>
  </si>
  <si>
    <t>2017-08-10</t>
  </si>
  <si>
    <t>2017-10-23</t>
  </si>
  <si>
    <t>2017-08-28</t>
  </si>
  <si>
    <t>2018-02-01</t>
  </si>
  <si>
    <t>2017-03-22</t>
  </si>
  <si>
    <t>2018-02-02</t>
  </si>
  <si>
    <t>2017-08-11</t>
  </si>
  <si>
    <t>2017-04-04</t>
  </si>
  <si>
    <t>2017-11-30</t>
  </si>
  <si>
    <t>2017-04-25</t>
  </si>
  <si>
    <t>EC140A302.47</t>
  </si>
  <si>
    <t>315 B427.15</t>
  </si>
  <si>
    <t>TANDEM1984.5</t>
  </si>
  <si>
    <t>450SSL129.463</t>
  </si>
  <si>
    <t>595D1085.333</t>
  </si>
  <si>
    <t>290-LC7218.47</t>
  </si>
  <si>
    <t>250-LC7126.757</t>
  </si>
  <si>
    <t>540A212.46</t>
  </si>
  <si>
    <t>KX161-3244.31</t>
  </si>
  <si>
    <t>1150D488.54</t>
  </si>
  <si>
    <t>Western188.47</t>
  </si>
  <si>
    <t>Western St186.97</t>
  </si>
  <si>
    <t>D4C233.98</t>
  </si>
  <si>
    <t>320 CL364</t>
  </si>
  <si>
    <t>308USLC-3431.007</t>
  </si>
  <si>
    <t>TRACTOR308.167</t>
  </si>
  <si>
    <t>Multiple902.667</t>
  </si>
  <si>
    <t>Cat CS583(842.667</t>
  </si>
  <si>
    <t>Case 580M812.667</t>
  </si>
  <si>
    <t>Case 580M782.667</t>
  </si>
  <si>
    <t>T800/pup1442.667</t>
  </si>
  <si>
    <t>KWorth1583.417</t>
  </si>
  <si>
    <t>CAT PM200489.793</t>
  </si>
  <si>
    <t>JD 135RTS804</t>
  </si>
  <si>
    <t>JD 225RTS1005.83</t>
  </si>
  <si>
    <t>Cat 140H457.203</t>
  </si>
  <si>
    <t>Vermeer389.48</t>
  </si>
  <si>
    <t>Cat 420EIT706.08</t>
  </si>
  <si>
    <t>Tandem/Pup1878.333</t>
  </si>
  <si>
    <t>Tandem/Pup2142</t>
  </si>
  <si>
    <t>Freightlin1686.833</t>
  </si>
  <si>
    <t>T8001690.417</t>
  </si>
  <si>
    <t>315CL580.53</t>
  </si>
  <si>
    <t>PC 158USLC404.57</t>
  </si>
  <si>
    <t>ZX200LC608.2</t>
  </si>
  <si>
    <t>EX270LC-5253.42</t>
  </si>
  <si>
    <t>Tandem/pup2010.333</t>
  </si>
  <si>
    <t>Dump &amp; Pup1509.17</t>
  </si>
  <si>
    <t>Tandem/Pup1718</t>
  </si>
  <si>
    <t>VHD2045.667</t>
  </si>
  <si>
    <t>M316C287.12</t>
  </si>
  <si>
    <t>Tandem/Pup1382.5</t>
  </si>
  <si>
    <t>Dump110.1</t>
  </si>
  <si>
    <t>T800171.833</t>
  </si>
  <si>
    <t>ZX200 LC89.67</t>
  </si>
  <si>
    <t>225CLC480.81</t>
  </si>
  <si>
    <t>JD225D1024.833</t>
  </si>
  <si>
    <t>JD 135C910.917</t>
  </si>
  <si>
    <t>135C325.703</t>
  </si>
  <si>
    <t>ZX160570</t>
  </si>
  <si>
    <t>335124.2</t>
  </si>
  <si>
    <t>AC110112.537</t>
  </si>
  <si>
    <t>DUMP2340</t>
  </si>
  <si>
    <t>GU8131392.5</t>
  </si>
  <si>
    <t>GU8132400</t>
  </si>
  <si>
    <t>7500933.83</t>
  </si>
  <si>
    <t>200CLC67.583</t>
  </si>
  <si>
    <t>SK200LC934.333</t>
  </si>
  <si>
    <t>4864F86.58</t>
  </si>
  <si>
    <t>500093.833</t>
  </si>
  <si>
    <t>TANDEM913.433</t>
  </si>
  <si>
    <t>CAT 322BL462.81</t>
  </si>
  <si>
    <t>336EL94.86</t>
  </si>
  <si>
    <t>329E63.21</t>
  </si>
  <si>
    <t>730 CAT476.52</t>
  </si>
  <si>
    <t>725392.4</t>
  </si>
  <si>
    <t>PC200LC-87.14</t>
  </si>
  <si>
    <t>ZX160960</t>
  </si>
  <si>
    <t>Pickup66.6</t>
  </si>
  <si>
    <t>Backhoe990</t>
  </si>
  <si>
    <t>D155AX-5425</t>
  </si>
  <si>
    <t>D6M869</t>
  </si>
  <si>
    <t>P41-6E343.933</t>
  </si>
  <si>
    <t>D5N713.333</t>
  </si>
  <si>
    <t>550G888.167</t>
  </si>
  <si>
    <t>EX75M128.75</t>
  </si>
  <si>
    <t>550G612.75</t>
  </si>
  <si>
    <t>992DLC712</t>
  </si>
  <si>
    <t>360 LX522.167</t>
  </si>
  <si>
    <t>308319.567</t>
  </si>
  <si>
    <t>320 CLU314.663</t>
  </si>
  <si>
    <t>PC200LC-6475.873</t>
  </si>
  <si>
    <t>ZX200LC260.797</t>
  </si>
  <si>
    <t>240LX567.5</t>
  </si>
  <si>
    <t>250 X3533.333</t>
  </si>
  <si>
    <t>ZX210LC-5768.167</t>
  </si>
  <si>
    <t>ZX200LC231.3</t>
  </si>
  <si>
    <t>228USLC465.9</t>
  </si>
  <si>
    <t>228USLC309.567</t>
  </si>
  <si>
    <t>PC308 Exca320.117</t>
  </si>
  <si>
    <t>EX225 CLC142.473</t>
  </si>
  <si>
    <t>140748.333</t>
  </si>
  <si>
    <t>PC 138187.667</t>
  </si>
  <si>
    <t>G720290.19</t>
  </si>
  <si>
    <t>Portable122.813</t>
  </si>
  <si>
    <t>n/a130.183</t>
  </si>
  <si>
    <t>CS 573E286</t>
  </si>
  <si>
    <t>unknown440.833</t>
  </si>
  <si>
    <t>SD122DX818.467</t>
  </si>
  <si>
    <t>BW145D-3152.037</t>
  </si>
  <si>
    <t>Sweeper215.21</t>
  </si>
  <si>
    <t>AC 110380</t>
  </si>
  <si>
    <t>3307231</t>
  </si>
  <si>
    <t>N/A113.03</t>
  </si>
  <si>
    <t>HM400-2310.42</t>
  </si>
  <si>
    <t>Dump1545.5</t>
  </si>
  <si>
    <t>PONY TRAIL1438</t>
  </si>
  <si>
    <t>LT9513541.033</t>
  </si>
  <si>
    <t>TANDEM1518.667</t>
  </si>
  <si>
    <t>DUMP723.8</t>
  </si>
  <si>
    <t>Sterling537.42</t>
  </si>
  <si>
    <t>4 AXLE TRA1696.5</t>
  </si>
  <si>
    <t>TANDEM629.427</t>
  </si>
  <si>
    <t>LT9000646.01</t>
  </si>
  <si>
    <t>Dump655.767</t>
  </si>
  <si>
    <t>367461.487</t>
  </si>
  <si>
    <t>Sterling1299.667</t>
  </si>
  <si>
    <t>T800 HHood1405.5</t>
  </si>
  <si>
    <t>CL7331544.667</t>
  </si>
  <si>
    <t>Dump769.713</t>
  </si>
  <si>
    <t>T 8001558</t>
  </si>
  <si>
    <t>FORD612.76</t>
  </si>
  <si>
    <t>Dump327.387</t>
  </si>
  <si>
    <t>Dump927.667</t>
  </si>
  <si>
    <t>TRIPLE GAT1021.833</t>
  </si>
  <si>
    <t>PUP/Trans829.417</t>
  </si>
  <si>
    <t>HIGH LIFT1283.25</t>
  </si>
  <si>
    <t>PUP/TRANSF1821.5</t>
  </si>
  <si>
    <t>PONY/TRANS1228.333</t>
  </si>
  <si>
    <t>PONY/TRANS1225.333</t>
  </si>
  <si>
    <t>Flusher131.663</t>
  </si>
  <si>
    <t>Hiab216.687</t>
  </si>
  <si>
    <t>n/a229.81</t>
  </si>
  <si>
    <t>DUMP256.613</t>
  </si>
  <si>
    <t>Dump259.78</t>
  </si>
  <si>
    <t>Dump257.113</t>
  </si>
  <si>
    <t>Water617.527</t>
  </si>
  <si>
    <t>330574.65</t>
  </si>
  <si>
    <t>HM300-1318.42</t>
  </si>
  <si>
    <t>HM300-1284.087</t>
  </si>
  <si>
    <t>A25D160.967</t>
  </si>
  <si>
    <t>430 E306.667</t>
  </si>
  <si>
    <t>WA500-6530.42</t>
  </si>
  <si>
    <t>WA 500303.653</t>
  </si>
  <si>
    <t>773K438.293</t>
  </si>
  <si>
    <t>Hiab 800166.363</t>
  </si>
  <si>
    <t>43 Ton151.667</t>
  </si>
  <si>
    <t>Sweep223.46</t>
  </si>
  <si>
    <t>CV7131500</t>
  </si>
  <si>
    <t>CRB remove273.887</t>
  </si>
  <si>
    <t>Dump254.53</t>
  </si>
  <si>
    <t>Dump257.697</t>
  </si>
  <si>
    <t>Dump256.03</t>
  </si>
  <si>
    <t>dump258.447</t>
  </si>
  <si>
    <t>Dump259.863</t>
  </si>
  <si>
    <t>700J708.667</t>
  </si>
  <si>
    <t>D8N702</t>
  </si>
  <si>
    <t>D6R XL482.333</t>
  </si>
  <si>
    <t>N/A80.53</t>
  </si>
  <si>
    <t>Vaccum166.783</t>
  </si>
  <si>
    <t>S130390</t>
  </si>
  <si>
    <t>PC308USLC129.923</t>
  </si>
  <si>
    <t>225RTS286.133</t>
  </si>
  <si>
    <t>320CL1085.333</t>
  </si>
  <si>
    <t>MT36356.277</t>
  </si>
  <si>
    <t>DUMP431.287</t>
  </si>
  <si>
    <t>CV713695.313</t>
  </si>
  <si>
    <t>DUMP318.36</t>
  </si>
  <si>
    <t>MACK RD6002386.833</t>
  </si>
  <si>
    <t>T800766.667</t>
  </si>
  <si>
    <t>DUMP330.873</t>
  </si>
  <si>
    <t>FORD1213.33</t>
  </si>
  <si>
    <t>TANDEM673.367</t>
  </si>
  <si>
    <t>DUMP2131.33</t>
  </si>
  <si>
    <t>TANDEM1171.167</t>
  </si>
  <si>
    <t>PC03424.333</t>
  </si>
  <si>
    <t>EX75178.68</t>
  </si>
  <si>
    <t>ZX200204.81</t>
  </si>
  <si>
    <t>EX225342.85</t>
  </si>
  <si>
    <t>325BL242.01</t>
  </si>
  <si>
    <t>2X270320.44</t>
  </si>
  <si>
    <t>R290LC-7225.64</t>
  </si>
  <si>
    <t>2X330OLC340.777</t>
  </si>
  <si>
    <t>CA25D1157</t>
  </si>
  <si>
    <t>550G391.167</t>
  </si>
  <si>
    <t>CD110R20.97</t>
  </si>
  <si>
    <t>HTC 840107.367</t>
  </si>
  <si>
    <t>HL18T85693.167</t>
  </si>
  <si>
    <t>WEST. STAR992</t>
  </si>
  <si>
    <t>B-53677.86</t>
  </si>
  <si>
    <t>LT90001324.167</t>
  </si>
  <si>
    <t>T800B1624.833</t>
  </si>
  <si>
    <t>5596SV1444.667</t>
  </si>
  <si>
    <t>EXCURSION59.15</t>
  </si>
  <si>
    <t>EX55 UR-3540</t>
  </si>
  <si>
    <t>ZX135USK252.403</t>
  </si>
  <si>
    <t>ZX225US361.5</t>
  </si>
  <si>
    <t>EX220-3666.667</t>
  </si>
  <si>
    <t>UDP</t>
  </si>
  <si>
    <t>UREA</t>
  </si>
  <si>
    <t>WAPO</t>
  </si>
  <si>
    <t>WAHO</t>
  </si>
  <si>
    <t>SBOD</t>
  </si>
  <si>
    <t>STCO</t>
  </si>
  <si>
    <t>RFOX</t>
  </si>
  <si>
    <t>REWO</t>
  </si>
  <si>
    <t>REBA</t>
  </si>
  <si>
    <t>PREL</t>
  </si>
  <si>
    <t>PRSA</t>
  </si>
  <si>
    <t>PAFO</t>
  </si>
  <si>
    <t>NASH</t>
  </si>
  <si>
    <t>CHBA</t>
  </si>
  <si>
    <t>givenName</t>
  </si>
  <si>
    <t>surname</t>
  </si>
  <si>
    <t>role</t>
  </si>
  <si>
    <t>emailAddress</t>
  </si>
  <si>
    <t>workPhoneNumber</t>
  </si>
  <si>
    <t>mobilePhoneNumber</t>
  </si>
  <si>
    <t>faxPhoneNumber</t>
  </si>
  <si>
    <t>address1</t>
  </si>
  <si>
    <t>address2</t>
  </si>
  <si>
    <t>city</t>
  </si>
  <si>
    <t>province</t>
  </si>
  <si>
    <t>postalCode</t>
  </si>
  <si>
    <t>!Type</t>
  </si>
  <si>
    <t>Chief Poobah</t>
  </si>
  <si>
    <t>!contactID</t>
  </si>
  <si>
    <t>x167</t>
  </si>
  <si>
    <t>XX 4132</t>
  </si>
  <si>
    <t>TV 1234</t>
  </si>
  <si>
    <t>28XYZ123</t>
  </si>
  <si>
    <t>For</t>
  </si>
  <si>
    <t>x29</t>
  </si>
  <si>
    <t>SO50</t>
  </si>
  <si>
    <t>VP 2931</t>
  </si>
  <si>
    <t>6921 ER</t>
  </si>
  <si>
    <t>ER 2931</t>
  </si>
  <si>
    <t>21AW5678</t>
  </si>
  <si>
    <t>123.456.789</t>
  </si>
  <si>
    <t>2017-02-26</t>
  </si>
  <si>
    <t>2017-02-09</t>
  </si>
  <si>
    <t>2017-02-06</t>
  </si>
  <si>
    <t>2016-10-13</t>
  </si>
  <si>
    <t>2016-11-21</t>
  </si>
  <si>
    <t>2017-02-08</t>
  </si>
  <si>
    <t>2016-09-03</t>
  </si>
  <si>
    <t>2016-11-29</t>
  </si>
  <si>
    <t>2016-09-10</t>
  </si>
  <si>
    <t>2016-11-14</t>
  </si>
  <si>
    <t>2017-01-07</t>
  </si>
  <si>
    <t>2016-11-03</t>
  </si>
  <si>
    <t>2017-01-23</t>
  </si>
  <si>
    <t>2016-10-02</t>
  </si>
  <si>
    <t>2017-01-02</t>
  </si>
  <si>
    <t>2016-11-26</t>
  </si>
  <si>
    <t>2017-02-22</t>
  </si>
  <si>
    <t>2016-11-23</t>
  </si>
  <si>
    <t>2016-12-10</t>
  </si>
  <si>
    <t>2017-01-03</t>
  </si>
  <si>
    <t>2016-10-11</t>
  </si>
  <si>
    <t>2017-02-13</t>
  </si>
  <si>
    <t>2016-11-22</t>
  </si>
  <si>
    <t>2017-02-04</t>
  </si>
  <si>
    <t>2017-01-14</t>
  </si>
  <si>
    <t>2016-12-17</t>
  </si>
  <si>
    <t>2017-02-10</t>
  </si>
  <si>
    <t>2016-12-21</t>
  </si>
  <si>
    <t>2016-12-29</t>
  </si>
  <si>
    <t>2016-12-27</t>
  </si>
  <si>
    <t>2017-02-01</t>
  </si>
  <si>
    <t>2016-09-21</t>
  </si>
  <si>
    <t>2016-11-05</t>
  </si>
  <si>
    <t>2016-12-18</t>
  </si>
  <si>
    <t>2016-11-10</t>
  </si>
  <si>
    <t>2016-12-26</t>
  </si>
  <si>
    <t>2017-01-05</t>
  </si>
  <si>
    <t>2016-09-20</t>
  </si>
  <si>
    <t>2016-12-03</t>
  </si>
  <si>
    <t>2017-01-31</t>
  </si>
  <si>
    <t>2017-01-09</t>
  </si>
  <si>
    <t>2016-09-28</t>
  </si>
  <si>
    <t>2017-01-24</t>
  </si>
  <si>
    <t>2017-03-01</t>
  </si>
  <si>
    <t>2016-10-21</t>
  </si>
  <si>
    <t>2016-11-28</t>
  </si>
  <si>
    <t>2016-09-15</t>
  </si>
  <si>
    <t>2017-01-21</t>
  </si>
  <si>
    <t>2017-01-12</t>
  </si>
  <si>
    <t>2016-10-05</t>
  </si>
  <si>
    <t>2016-11-13</t>
  </si>
  <si>
    <t>2016-10-27</t>
  </si>
  <si>
    <t>2016-09-09</t>
  </si>
  <si>
    <t>2016-12-09</t>
  </si>
  <si>
    <t>2017-02-03</t>
  </si>
  <si>
    <t>2016-12-15</t>
  </si>
  <si>
    <t>2016-09-02</t>
  </si>
  <si>
    <t>2017-01-08</t>
  </si>
  <si>
    <t>2017-01-30</t>
  </si>
  <si>
    <t>2016-10-18</t>
  </si>
  <si>
    <t>2016-12-14</t>
  </si>
  <si>
    <t>2016-09-04</t>
  </si>
  <si>
    <t>2016-09-06</t>
  </si>
  <si>
    <t>2016-09-22</t>
  </si>
  <si>
    <t>2016-11-02</t>
  </si>
  <si>
    <t>2016-09-23</t>
  </si>
  <si>
    <t>2016-10-31</t>
  </si>
  <si>
    <t>2016-12-24</t>
  </si>
  <si>
    <t>2016-10-07</t>
  </si>
  <si>
    <t>2016-09-08</t>
  </si>
  <si>
    <t>2016-09-18</t>
  </si>
  <si>
    <t>2016-12-16</t>
  </si>
  <si>
    <t>2016-12-06</t>
  </si>
  <si>
    <t>2016-09-30</t>
  </si>
  <si>
    <t>2016-10-24</t>
  </si>
  <si>
    <t>2017-01-10</t>
  </si>
  <si>
    <t>2017-01-06</t>
  </si>
  <si>
    <t>2016-11-11</t>
  </si>
  <si>
    <t>2017-01-16</t>
  </si>
  <si>
    <t>2016-10-12</t>
  </si>
  <si>
    <t>2017-03-03</t>
  </si>
  <si>
    <t>2016-09-13</t>
  </si>
  <si>
    <t>2016-08-29</t>
  </si>
  <si>
    <t>2016-12-12</t>
  </si>
  <si>
    <t>2017-01-27</t>
  </si>
  <si>
    <t>2016-10-25</t>
  </si>
  <si>
    <t>2016-09-12</t>
  </si>
  <si>
    <t>2016-12-13</t>
  </si>
  <si>
    <t>2016-10-01</t>
  </si>
  <si>
    <t>2016-09-27</t>
  </si>
  <si>
    <t>2017-02-11</t>
  </si>
  <si>
    <t>2017-02-17</t>
  </si>
  <si>
    <t>2017-01-17</t>
  </si>
  <si>
    <t>2016-12-28</t>
  </si>
  <si>
    <t>2016-10-04</t>
  </si>
  <si>
    <t>2017-01-15</t>
  </si>
  <si>
    <t>2016-09-26</t>
  </si>
  <si>
    <t>2016-09-25</t>
  </si>
  <si>
    <t>2016-12-07</t>
  </si>
  <si>
    <t>2017-01-26</t>
  </si>
  <si>
    <t>2016-09-24</t>
  </si>
  <si>
    <t>2017-01-20</t>
  </si>
  <si>
    <t>2016-10-10</t>
  </si>
  <si>
    <t>2017-02-05</t>
  </si>
  <si>
    <t>2016-10-16</t>
  </si>
  <si>
    <t>2016-10-23</t>
  </si>
  <si>
    <t>2017-02-25</t>
  </si>
  <si>
    <t>2017-01-11</t>
  </si>
  <si>
    <t>2017-01-22</t>
  </si>
  <si>
    <t>2017-01-01</t>
  </si>
  <si>
    <t>2017-02-02</t>
  </si>
  <si>
    <t>2016-10-22</t>
  </si>
  <si>
    <t>2016-10-26</t>
  </si>
  <si>
    <t>2016-10-29</t>
  </si>
  <si>
    <t>2016-09-01</t>
  </si>
  <si>
    <t>2016-12-11</t>
  </si>
  <si>
    <t>2017-02-12</t>
  </si>
  <si>
    <t>2016-08-30</t>
  </si>
  <si>
    <t>2016-12-30</t>
  </si>
  <si>
    <t>2017-02-24</t>
  </si>
  <si>
    <t>2016-11-25</t>
  </si>
  <si>
    <t>2016-11-06</t>
  </si>
  <si>
    <t>ownerID</t>
  </si>
  <si>
    <t>projectID</t>
  </si>
  <si>
    <t>!contact</t>
  </si>
  <si>
    <t>!id</t>
  </si>
  <si>
    <t>!equipCount</t>
  </si>
  <si>
    <t>isDefault</t>
  </si>
  <si>
    <t>displaySortOrder</t>
  </si>
  <si>
    <t>codeName</t>
  </si>
  <si>
    <t>value</t>
  </si>
  <si>
    <t>!Notes</t>
  </si>
  <si>
    <t>OwnerStatus</t>
  </si>
  <si>
    <t>rg:True</t>
  </si>
  <si>
    <t>Appr</t>
  </si>
  <si>
    <t>Arch</t>
  </si>
  <si>
    <t>Pend</t>
  </si>
  <si>
    <t>EquipmentStatus</t>
  </si>
  <si>
    <t>RentalRequestStatus</t>
  </si>
  <si>
    <t>InProg</t>
  </si>
  <si>
    <t>In Progress</t>
  </si>
  <si>
    <t>Comp</t>
  </si>
  <si>
    <t>Canc</t>
  </si>
  <si>
    <t>AttachmentType</t>
  </si>
  <si>
    <t>Proof</t>
  </si>
  <si>
    <t>Proof of Insurance Document</t>
  </si>
  <si>
    <t>Document</t>
  </si>
  <si>
    <t>RentalRequestRotationListOfferResponse</t>
  </si>
  <si>
    <t>Asked</t>
  </si>
  <si>
    <t>See HETS-119</t>
  </si>
  <si>
    <t>Yes</t>
  </si>
  <si>
    <t>No</t>
  </si>
  <si>
    <t>ForceHire</t>
  </si>
  <si>
    <t>Force Hire</t>
  </si>
  <si>
    <t>CurrentHire</t>
  </si>
  <si>
    <t>Currently Hired</t>
  </si>
  <si>
    <t>NEMaxHours</t>
  </si>
  <si>
    <t>Not Eligible: Max Hours</t>
  </si>
  <si>
    <t>RentalRequestRotationListOfferRefusalReason</t>
  </si>
  <si>
    <t>NotAvailable</t>
  </si>
  <si>
    <t>Equipment Not Available</t>
  </si>
  <si>
    <t>NoReply</t>
  </si>
  <si>
    <t>No Reply</t>
  </si>
  <si>
    <t>Other - see comment</t>
  </si>
  <si>
    <t>RentalAgreementStatus</t>
  </si>
  <si>
    <t>ProjectStatus</t>
  </si>
  <si>
    <t>Active</t>
  </si>
  <si>
    <t>RentalAgreementConditions</t>
  </si>
  <si>
    <t>Plus</t>
  </si>
  <si>
    <t>Plus Fuel Adjustment</t>
  </si>
  <si>
    <t>Trav</t>
  </si>
  <si>
    <t>Travel as Per Time Card if Applicable</t>
  </si>
  <si>
    <t>Nonstd</t>
  </si>
  <si>
    <t>Non-Standard Conditions</t>
  </si>
  <si>
    <t>Base</t>
  </si>
  <si>
    <t>Base Rate</t>
  </si>
  <si>
    <t>Rest</t>
  </si>
  <si>
    <t>Rest Break Rate</t>
  </si>
  <si>
    <t>Standby</t>
  </si>
  <si>
    <t>Stand-By Rate</t>
  </si>
  <si>
    <t>OT8</t>
  </si>
  <si>
    <t>OT after 8 hours</t>
  </si>
  <si>
    <t>OT12</t>
  </si>
  <si>
    <t>OT after 12 hours</t>
  </si>
  <si>
    <t>ExcavatorAttachment</t>
  </si>
  <si>
    <t>Thumb</t>
  </si>
  <si>
    <t>Hydraulic Thumb</t>
  </si>
  <si>
    <t>BrshGrd</t>
  </si>
  <si>
    <t>Brush Guard</t>
  </si>
  <si>
    <t>Wrist</t>
  </si>
  <si>
    <t>Wrist-o-Twist</t>
  </si>
  <si>
    <t>Long</t>
  </si>
  <si>
    <t>Long Reach</t>
  </si>
  <si>
    <t>SixBld</t>
  </si>
  <si>
    <t>Six Way Blade</t>
  </si>
  <si>
    <t>ForPro</t>
  </si>
  <si>
    <t>Forestry Processor</t>
  </si>
  <si>
    <t>Plate Tamper</t>
  </si>
  <si>
    <t>Ham</t>
  </si>
  <si>
    <t>Hydraulic Hammer</t>
  </si>
  <si>
    <t>GraderAttachment</t>
  </si>
  <si>
    <t>AWD</t>
  </si>
  <si>
    <t>Snow</t>
  </si>
  <si>
    <t>Snow Wing</t>
  </si>
  <si>
    <t>Rip</t>
  </si>
  <si>
    <t>Ripper</t>
  </si>
  <si>
    <t>DozBld</t>
  </si>
  <si>
    <t>Dozer Blade</t>
  </si>
  <si>
    <t>LoaderAttachment</t>
  </si>
  <si>
    <t>RollerAttachment</t>
  </si>
  <si>
    <t>Padft</t>
  </si>
  <si>
    <t>Padfoot</t>
  </si>
  <si>
    <t>Drum100</t>
  </si>
  <si>
    <t>100" Drum</t>
  </si>
  <si>
    <t>DozerAttachment</t>
  </si>
  <si>
    <t>LGP</t>
  </si>
  <si>
    <t>BackhoeAttachment</t>
  </si>
  <si>
    <t>Buck</t>
  </si>
  <si>
    <t>Loader Bucket</t>
  </si>
  <si>
    <t>Backhoe</t>
  </si>
  <si>
    <t>isDumpTruck</t>
  </si>
  <si>
    <t>blueBookSection</t>
  </si>
  <si>
    <t>blueBookRateNumber</t>
  </si>
  <si>
    <t>numberOfBlocks</t>
  </si>
  <si>
    <t>maximumHours</t>
  </si>
  <si>
    <t>rg:False</t>
  </si>
  <si>
    <t>!idAgain</t>
  </si>
  <si>
    <t>!district</t>
  </si>
  <si>
    <t>districtEquipmentName</t>
  </si>
  <si>
    <t>DistrictEquipmentType</t>
  </si>
  <si>
    <t>!districtName</t>
  </si>
  <si>
    <t>!districtID</t>
  </si>
  <si>
    <t>!size</t>
  </si>
  <si>
    <t>Large-</t>
  </si>
  <si>
    <t>Small-</t>
  </si>
  <si>
    <t>!districtEquipmentType</t>
  </si>
  <si>
    <t>!serviceAreaName</t>
  </si>
  <si>
    <t>!name-District</t>
  </si>
  <si>
    <t>districtEquipmentType</t>
  </si>
  <si>
    <t>LookupLists</t>
  </si>
  <si>
    <t>contextName</t>
  </si>
  <si>
    <t>Hour Limit Reached</t>
  </si>
  <si>
    <t>HourLimitReached</t>
  </si>
  <si>
    <t>!districtId</t>
  </si>
  <si>
    <t>districtID</t>
  </si>
  <si>
    <t>!districtAgain</t>
  </si>
  <si>
    <t>!districtID1</t>
  </si>
  <si>
    <t>!serviceAreaID</t>
  </si>
  <si>
    <t>localAreaNumber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</si>
</sst>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/>
    <xf numFmtId="0" fontId="2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0" fontId="2" fillId="0" borderId="0" xfId="2" applyFont="1" applyAlignment="1">
      <alignment vertical="top"/>
    </xf>
    <xf numFmtId="0" fontId="2" fillId="0" borderId="0" xfId="2" applyFont="1" applyFill="1" applyAlignment="1">
      <alignment vertical="top"/>
    </xf>
    <xf numFmtId="0" fontId="2" fillId="0" borderId="1" xfId="2" applyNumberFormat="1" applyFont="1" applyBorder="1" applyAlignment="1">
      <alignment vertical="top"/>
    </xf>
    <xf numFmtId="0" fontId="0" fillId="0" borderId="1" xfId="2" applyNumberFormat="1" applyFont="1" applyBorder="1" applyAlignment="1">
      <alignment vertical="top"/>
    </xf>
    <xf numFmtId="0" fontId="0" fillId="0" borderId="0" xfId="2" applyFont="1" applyFill="1" applyAlignment="1">
      <alignment vertical="top"/>
    </xf>
    <xf numFmtId="0" fontId="0" fillId="0" borderId="0" xfId="2" applyFont="1" applyAlignment="1">
      <alignment vertical="top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9"/>
  <sheetViews>
    <sheetView workbookViewId="0">
      <pane ySplit="1" topLeftCell="A2" activePane="bottomLeft" state="frozen"/>
      <selection pane="bottomLeft" activeCell="H2" sqref="H2"/>
    </sheetView>
  </sheetViews>
  <sheetFormatPr defaultRowHeight="14.4" x14ac:dyDescent="0.3"/>
  <cols>
    <col min="1" max="1" width="6.44140625" bestFit="1" customWidth="1"/>
    <col min="2" max="2" width="27.88671875" bestFit="1" customWidth="1"/>
    <col min="3" max="3" width="7" bestFit="1" customWidth="1"/>
    <col min="4" max="4" width="11.109375" bestFit="1" customWidth="1"/>
    <col min="5" max="5" width="11.109375" customWidth="1"/>
    <col min="6" max="6" width="14.33203125" bestFit="1" customWidth="1"/>
    <col min="7" max="7" width="16.33203125" style="4" bestFit="1" customWidth="1"/>
    <col min="8" max="8" width="9.33203125" customWidth="1"/>
    <col min="9" max="9" width="41.88671875" bestFit="1" customWidth="1"/>
    <col min="10" max="10" width="14.33203125" customWidth="1"/>
    <col min="11" max="11" width="24.109375" bestFit="1" customWidth="1"/>
    <col min="12" max="12" width="14.33203125" bestFit="1" customWidth="1"/>
    <col min="13" max="13" width="23.6640625" bestFit="1" customWidth="1"/>
    <col min="14" max="14" width="14.33203125" bestFit="1" customWidth="1"/>
    <col min="15" max="15" width="22.109375" bestFit="1" customWidth="1"/>
    <col min="16" max="16" width="22.5546875" bestFit="1" customWidth="1"/>
    <col min="17" max="17" width="19.88671875" bestFit="1" customWidth="1"/>
    <col min="18" max="18" width="11.109375" bestFit="1" customWidth="1"/>
    <col min="19" max="19" width="8.77734375" bestFit="1" customWidth="1"/>
    <col min="20" max="20" width="11.109375" bestFit="1" customWidth="1"/>
    <col min="21" max="21" width="12.88671875" bestFit="1" customWidth="1"/>
    <col min="22" max="22" width="10.6640625" bestFit="1" customWidth="1"/>
    <col min="23" max="23" width="5.5546875" bestFit="1" customWidth="1"/>
    <col min="24" max="24" width="11.33203125" bestFit="1" customWidth="1"/>
    <col min="25" max="25" width="6.5546875" bestFit="1" customWidth="1"/>
  </cols>
  <sheetData>
    <row r="1" spans="1:26" x14ac:dyDescent="0.3">
      <c r="A1" t="s">
        <v>68</v>
      </c>
      <c r="B1" t="s">
        <v>6498</v>
      </c>
      <c r="C1" t="s">
        <v>5325</v>
      </c>
      <c r="D1" t="s">
        <v>2922</v>
      </c>
      <c r="E1" t="s">
        <v>7767</v>
      </c>
      <c r="F1" t="s">
        <v>5372</v>
      </c>
      <c r="G1" s="4" t="s">
        <v>5373</v>
      </c>
      <c r="H1" t="s">
        <v>6494</v>
      </c>
      <c r="I1" t="s">
        <v>6496</v>
      </c>
      <c r="J1" t="s">
        <v>6495</v>
      </c>
      <c r="K1" t="s">
        <v>6497</v>
      </c>
      <c r="L1" t="s">
        <v>6499</v>
      </c>
      <c r="M1" t="s">
        <v>6500</v>
      </c>
      <c r="N1" t="s">
        <v>6501</v>
      </c>
      <c r="O1" t="s">
        <v>6502</v>
      </c>
      <c r="P1" t="s">
        <v>6503</v>
      </c>
      <c r="Q1" t="s">
        <v>6504</v>
      </c>
      <c r="R1" t="s">
        <v>6505</v>
      </c>
      <c r="S1" t="s">
        <v>333</v>
      </c>
      <c r="T1" t="s">
        <v>6506</v>
      </c>
      <c r="U1" t="s">
        <v>6507</v>
      </c>
      <c r="V1" t="s">
        <v>6508</v>
      </c>
      <c r="W1" t="s">
        <v>5327</v>
      </c>
      <c r="X1" t="s">
        <v>5374</v>
      </c>
      <c r="Y1" t="s">
        <v>5375</v>
      </c>
      <c r="Z1" t="s">
        <v>6509</v>
      </c>
    </row>
    <row r="2" spans="1:26" x14ac:dyDescent="0.3">
      <c r="A2" t="s">
        <v>7</v>
      </c>
      <c r="B2" t="s">
        <v>4837</v>
      </c>
      <c r="C2">
        <f>IF(ISNUMBER(C1),C1+1,200000)</f>
        <v>200000</v>
      </c>
      <c r="D2" t="str">
        <f t="shared" ref="D2:D65" ca="1" si="0">TEXT(TODAY()-RANDBETWEEN(200,5000),"YYYY-MM-DD")</f>
        <v>2004-07-08</v>
      </c>
      <c r="E2">
        <f>IFERROR(VLOOKUP(B2,Contacts.csv!C:D,2,FALSE),"")</f>
        <v>200000</v>
      </c>
      <c r="F2" t="str">
        <f>IF(ISNUMBER(E2),"rg:{'id':'" &amp; E2 &amp; "'}","rg:None")</f>
        <v>rg:{'id':'200000'}</v>
      </c>
      <c r="G2" s="4" t="str">
        <f>IF(ISNUMBER(E2),"rg:[{'id':'" &amp; E2 &amp; "'}]","rg:[]")</f>
        <v>rg:[{'id':'200000'}]</v>
      </c>
      <c r="H2">
        <f>IF(ISNUMBER(H1),IF(MOD(ROW(),20)=0,H1+1,H1),200000)</f>
        <v>200000</v>
      </c>
      <c r="I2" s="1" t="str">
        <f>VLOOKUP(H2,LocalAreas.csv!I:J,2,FALSE)</f>
        <v>Smithers/Telkwa</v>
      </c>
      <c r="J2" t="str">
        <f t="shared" ref="J2:J33" si="1" xml:space="preserve"> "rg:{'id':'" &amp; H2 &amp; "'}"</f>
        <v>rg:{'id':'200000'}</v>
      </c>
      <c r="K2" t="str">
        <f t="shared" ref="K2:K18" si="2">UPPER(LEFT(SUBSTITUTE(SUBSTITUTE(SUBSTITUTE(B2,"The","")," ",""),".",""),4))</f>
        <v>ACCO</v>
      </c>
      <c r="M2">
        <f ca="1">RANDBETWEEN(10000,20000)</f>
        <v>13156</v>
      </c>
      <c r="N2" t="str">
        <f ca="1">IF(RANDBETWEEN(1,20)&gt;1,"rg:True","rg:True")</f>
        <v>rg:True</v>
      </c>
      <c r="O2" t="str">
        <f ca="1">IF(RANDBETWEEN(1,20)&gt;1,"rg:False","rg:True")</f>
        <v>rg:False</v>
      </c>
      <c r="P2">
        <f ca="1">RANDBETWEEN(732000,732200)</f>
        <v>732181</v>
      </c>
      <c r="Q2" t="str">
        <f ca="1">TEXT(TODAY()+RANDBETWEEN(-10,350),"YYYY-MM-DD")</f>
        <v>2018-02-14</v>
      </c>
      <c r="R2" t="str">
        <f ca="1">TEXT(TODAY()+RANDBETWEEN(-10,350),"YYYY-MM-DD")</f>
        <v>2018-03-11</v>
      </c>
      <c r="S2" t="s">
        <v>6665</v>
      </c>
      <c r="T2" t="s">
        <v>76</v>
      </c>
      <c r="U2" t="s">
        <v>76</v>
      </c>
      <c r="V2" t="s">
        <v>76</v>
      </c>
      <c r="W2" t="s">
        <v>6510</v>
      </c>
      <c r="X2" t="s">
        <v>6510</v>
      </c>
      <c r="Y2" t="s">
        <v>6510</v>
      </c>
      <c r="Z2" t="s">
        <v>6510</v>
      </c>
    </row>
    <row r="3" spans="1:26" x14ac:dyDescent="0.3">
      <c r="A3" t="s">
        <v>7</v>
      </c>
      <c r="B3" t="s">
        <v>4809</v>
      </c>
      <c r="C3">
        <f t="shared" ref="C3:C66" si="3">IF(ISNUMBER(C2),C2+1,101)</f>
        <v>200001</v>
      </c>
      <c r="D3" t="str">
        <f t="shared" ca="1" si="0"/>
        <v>2011-12-26</v>
      </c>
      <c r="E3">
        <f>IFERROR(VLOOKUP(B3,Contacts.csv!C:D,2,FALSE),"")</f>
        <v>200001</v>
      </c>
      <c r="F3" t="str">
        <f t="shared" ref="F3:F66" si="4">IF(ISNUMBER(E3),"rg:{'id':'" &amp; E3 &amp; "'}","rg:None")</f>
        <v>rg:{'id':'200001'}</v>
      </c>
      <c r="G3" s="4" t="str">
        <f t="shared" ref="G3:G66" si="5">IF(ISNUMBER(E3),"rg:[{'id':'" &amp; E3 &amp; "'}]","rg:[]")</f>
        <v>rg:[{'id':'200001'}]</v>
      </c>
      <c r="H3">
        <f t="shared" ref="H3:H66" si="6">IF(ISNUMBER(H2),IF(MOD(ROW(),20)=0,H2+1,H2),200000)</f>
        <v>200000</v>
      </c>
      <c r="I3" s="1" t="str">
        <f>VLOOKUP(H3,LocalAreas.csv!I:J,2,FALSE)</f>
        <v>Smithers/Telkwa</v>
      </c>
      <c r="J3" t="str">
        <f t="shared" si="1"/>
        <v>rg:{'id':'200000'}</v>
      </c>
      <c r="K3" t="str">
        <f t="shared" si="2"/>
        <v>ALER</v>
      </c>
      <c r="M3">
        <f t="shared" ref="M3:M66" ca="1" si="7">RANDBETWEEN(10000,20000)</f>
        <v>19009</v>
      </c>
      <c r="N3" t="str">
        <f t="shared" ref="N3:N66" ca="1" si="8">IF(RANDBETWEEN(1,20)&gt;1,"rg:True","rg:True")</f>
        <v>rg:True</v>
      </c>
      <c r="O3" t="str">
        <f t="shared" ref="O3:O66" ca="1" si="9">IF(RANDBETWEEN(1,20)&gt;1,"rg:False","rg:True")</f>
        <v>rg:False</v>
      </c>
      <c r="P3">
        <f t="shared" ref="P3:P66" ca="1" si="10">RANDBETWEEN(732000,732200)</f>
        <v>732062</v>
      </c>
      <c r="Q3" t="str">
        <f t="shared" ref="Q3:R66" ca="1" si="11">TEXT(TODAY()+RANDBETWEEN(-10,350),"YYYY-MM-DD")</f>
        <v>2017-11-27</v>
      </c>
      <c r="R3" t="str">
        <f t="shared" ca="1" si="11"/>
        <v>2017-07-08</v>
      </c>
      <c r="S3" t="s">
        <v>6663</v>
      </c>
      <c r="T3" t="s">
        <v>76</v>
      </c>
      <c r="U3" t="s">
        <v>76</v>
      </c>
      <c r="V3" t="s">
        <v>76</v>
      </c>
      <c r="W3" t="s">
        <v>6510</v>
      </c>
      <c r="X3" t="s">
        <v>6510</v>
      </c>
      <c r="Y3" t="s">
        <v>6510</v>
      </c>
      <c r="Z3" t="s">
        <v>6510</v>
      </c>
    </row>
    <row r="4" spans="1:26" x14ac:dyDescent="0.3">
      <c r="A4" t="s">
        <v>7</v>
      </c>
      <c r="B4" t="s">
        <v>4245</v>
      </c>
      <c r="C4">
        <f t="shared" si="3"/>
        <v>200002</v>
      </c>
      <c r="D4" t="str">
        <f t="shared" ca="1" si="0"/>
        <v>2005-01-03</v>
      </c>
      <c r="E4">
        <f>IFERROR(VLOOKUP(B4,Contacts.csv!C:D,2,FALSE),"")</f>
        <v>200002</v>
      </c>
      <c r="F4" t="str">
        <f t="shared" si="4"/>
        <v>rg:{'id':'200002'}</v>
      </c>
      <c r="G4" s="4" t="str">
        <f t="shared" si="5"/>
        <v>rg:[{'id':'200002'}]</v>
      </c>
      <c r="H4">
        <f t="shared" si="6"/>
        <v>200000</v>
      </c>
      <c r="I4" s="1" t="str">
        <f>VLOOKUP(H4,LocalAreas.csv!I:J,2,FALSE)</f>
        <v>Smithers/Telkwa</v>
      </c>
      <c r="J4" t="str">
        <f t="shared" si="1"/>
        <v>rg:{'id':'200000'}</v>
      </c>
      <c r="K4" t="str">
        <f t="shared" si="2"/>
        <v>ALLI</v>
      </c>
      <c r="M4">
        <f t="shared" ca="1" si="7"/>
        <v>16278</v>
      </c>
      <c r="N4" t="str">
        <f t="shared" ca="1" si="8"/>
        <v>rg:True</v>
      </c>
      <c r="O4" t="str">
        <f t="shared" ca="1" si="9"/>
        <v>rg:False</v>
      </c>
      <c r="P4">
        <f t="shared" ca="1" si="10"/>
        <v>732180</v>
      </c>
      <c r="Q4" t="str">
        <f t="shared" ca="1" si="11"/>
        <v>2017-04-15</v>
      </c>
      <c r="R4" t="str">
        <f t="shared" ca="1" si="11"/>
        <v>2017-10-26</v>
      </c>
      <c r="S4" t="s">
        <v>6663</v>
      </c>
      <c r="T4" t="s">
        <v>76</v>
      </c>
      <c r="U4" t="s">
        <v>76</v>
      </c>
      <c r="V4" t="s">
        <v>76</v>
      </c>
      <c r="W4" t="s">
        <v>6510</v>
      </c>
      <c r="X4" t="s">
        <v>6510</v>
      </c>
      <c r="Y4" t="s">
        <v>6510</v>
      </c>
      <c r="Z4" t="s">
        <v>6510</v>
      </c>
    </row>
    <row r="5" spans="1:26" x14ac:dyDescent="0.3">
      <c r="A5" t="s">
        <v>7</v>
      </c>
      <c r="B5" t="s">
        <v>4510</v>
      </c>
      <c r="C5">
        <f t="shared" si="3"/>
        <v>200003</v>
      </c>
      <c r="D5" t="str">
        <f t="shared" ca="1" si="0"/>
        <v>2009-08-07</v>
      </c>
      <c r="E5">
        <f>IFERROR(VLOOKUP(B5,Contacts.csv!C:D,2,FALSE),"")</f>
        <v>200003</v>
      </c>
      <c r="F5" t="str">
        <f t="shared" si="4"/>
        <v>rg:{'id':'200003'}</v>
      </c>
      <c r="G5" s="4" t="str">
        <f t="shared" si="5"/>
        <v>rg:[{'id':'200003'}]</v>
      </c>
      <c r="H5">
        <f t="shared" si="6"/>
        <v>200000</v>
      </c>
      <c r="I5" s="1" t="str">
        <f>VLOOKUP(H5,LocalAreas.csv!I:J,2,FALSE)</f>
        <v>Smithers/Telkwa</v>
      </c>
      <c r="J5" t="str">
        <f t="shared" si="1"/>
        <v>rg:{'id':'200000'}</v>
      </c>
      <c r="K5" t="str">
        <f t="shared" si="2"/>
        <v>AMER</v>
      </c>
      <c r="L5" t="s">
        <v>6661</v>
      </c>
      <c r="M5">
        <f t="shared" ca="1" si="7"/>
        <v>17471</v>
      </c>
      <c r="N5" t="str">
        <f t="shared" ca="1" si="8"/>
        <v>rg:True</v>
      </c>
      <c r="O5" t="str">
        <f t="shared" ca="1" si="9"/>
        <v>rg:False</v>
      </c>
      <c r="P5">
        <f t="shared" ca="1" si="10"/>
        <v>732031</v>
      </c>
      <c r="Q5" t="str">
        <f t="shared" ca="1" si="11"/>
        <v>2017-04-23</v>
      </c>
      <c r="R5" t="str">
        <f t="shared" ca="1" si="11"/>
        <v>2017-10-16</v>
      </c>
      <c r="S5" t="s">
        <v>6663</v>
      </c>
      <c r="T5" t="s">
        <v>76</v>
      </c>
      <c r="U5" t="s">
        <v>76</v>
      </c>
      <c r="V5" t="s">
        <v>76</v>
      </c>
      <c r="W5" t="s">
        <v>6510</v>
      </c>
      <c r="X5" t="s">
        <v>6510</v>
      </c>
      <c r="Y5" t="s">
        <v>6510</v>
      </c>
      <c r="Z5" t="s">
        <v>6510</v>
      </c>
    </row>
    <row r="6" spans="1:26" x14ac:dyDescent="0.3">
      <c r="A6" t="s">
        <v>7</v>
      </c>
      <c r="B6" t="s">
        <v>3037</v>
      </c>
      <c r="C6">
        <f t="shared" si="3"/>
        <v>200004</v>
      </c>
      <c r="D6" t="str">
        <f t="shared" ca="1" si="0"/>
        <v>2008-12-22</v>
      </c>
      <c r="E6">
        <f>IFERROR(VLOOKUP(B6,Contacts.csv!C:D,2,FALSE),"")</f>
        <v>200004</v>
      </c>
      <c r="F6" t="str">
        <f t="shared" si="4"/>
        <v>rg:{'id':'200004'}</v>
      </c>
      <c r="G6" s="4" t="str">
        <f t="shared" si="5"/>
        <v>rg:[{'id':'200004'}]</v>
      </c>
      <c r="H6">
        <f t="shared" si="6"/>
        <v>200000</v>
      </c>
      <c r="I6" s="1" t="str">
        <f>VLOOKUP(H6,LocalAreas.csv!I:J,2,FALSE)</f>
        <v>Smithers/Telkwa</v>
      </c>
      <c r="J6" t="str">
        <f t="shared" si="1"/>
        <v>rg:{'id':'200000'}</v>
      </c>
      <c r="K6" t="str">
        <f t="shared" si="2"/>
        <v>ASIA</v>
      </c>
      <c r="L6" t="s">
        <v>6662</v>
      </c>
      <c r="M6">
        <f t="shared" ca="1" si="7"/>
        <v>14412</v>
      </c>
      <c r="N6" t="str">
        <f t="shared" ca="1" si="8"/>
        <v>rg:True</v>
      </c>
      <c r="O6" t="str">
        <f t="shared" ca="1" si="9"/>
        <v>rg:False</v>
      </c>
      <c r="P6">
        <f t="shared" ca="1" si="10"/>
        <v>732158</v>
      </c>
      <c r="Q6" t="str">
        <f t="shared" ca="1" si="11"/>
        <v>2017-10-25</v>
      </c>
      <c r="R6" t="str">
        <f t="shared" ca="1" si="11"/>
        <v>2018-01-29</v>
      </c>
      <c r="S6" t="s">
        <v>6663</v>
      </c>
      <c r="T6" t="s">
        <v>76</v>
      </c>
      <c r="U6" t="s">
        <v>76</v>
      </c>
      <c r="V6" t="s">
        <v>76</v>
      </c>
      <c r="W6" t="s">
        <v>6510</v>
      </c>
      <c r="X6" t="s">
        <v>6510</v>
      </c>
      <c r="Y6" t="s">
        <v>6510</v>
      </c>
      <c r="Z6" t="s">
        <v>6510</v>
      </c>
    </row>
    <row r="7" spans="1:26" x14ac:dyDescent="0.3">
      <c r="A7" t="s">
        <v>7</v>
      </c>
      <c r="B7" t="s">
        <v>4039</v>
      </c>
      <c r="C7">
        <f t="shared" si="3"/>
        <v>200005</v>
      </c>
      <c r="D7" t="str">
        <f t="shared" ca="1" si="0"/>
        <v>2006-03-09</v>
      </c>
      <c r="E7">
        <f>IFERROR(VLOOKUP(B7,Contacts.csv!C:D,2,FALSE),"")</f>
        <v>200005</v>
      </c>
      <c r="F7" t="str">
        <f t="shared" si="4"/>
        <v>rg:{'id':'200005'}</v>
      </c>
      <c r="G7" s="4" t="str">
        <f t="shared" si="5"/>
        <v>rg:[{'id':'200005'}]</v>
      </c>
      <c r="H7">
        <f t="shared" si="6"/>
        <v>200000</v>
      </c>
      <c r="I7" s="1" t="str">
        <f>VLOOKUP(H7,LocalAreas.csv!I:J,2,FALSE)</f>
        <v>Smithers/Telkwa</v>
      </c>
      <c r="J7" t="str">
        <f t="shared" si="1"/>
        <v>rg:{'id':'200000'}</v>
      </c>
      <c r="K7" t="str">
        <f t="shared" si="2"/>
        <v>AUTO</v>
      </c>
      <c r="M7">
        <f t="shared" ca="1" si="7"/>
        <v>11759</v>
      </c>
      <c r="N7" t="str">
        <f t="shared" ca="1" si="8"/>
        <v>rg:True</v>
      </c>
      <c r="O7" t="str">
        <f t="shared" ca="1" si="9"/>
        <v>rg:False</v>
      </c>
      <c r="P7">
        <f t="shared" ca="1" si="10"/>
        <v>732086</v>
      </c>
      <c r="Q7" t="str">
        <f t="shared" ca="1" si="11"/>
        <v>2017-11-04</v>
      </c>
      <c r="R7" t="str">
        <f t="shared" ca="1" si="11"/>
        <v>2017-10-11</v>
      </c>
      <c r="S7" t="s">
        <v>6663</v>
      </c>
      <c r="T7" t="s">
        <v>76</v>
      </c>
      <c r="U7" t="s">
        <v>76</v>
      </c>
      <c r="V7" t="s">
        <v>76</v>
      </c>
      <c r="W7" t="s">
        <v>6510</v>
      </c>
      <c r="X7" t="s">
        <v>6510</v>
      </c>
      <c r="Y7" t="s">
        <v>6510</v>
      </c>
      <c r="Z7" t="s">
        <v>6510</v>
      </c>
    </row>
    <row r="8" spans="1:26" x14ac:dyDescent="0.3">
      <c r="A8" t="s">
        <v>7</v>
      </c>
      <c r="B8" t="s">
        <v>3699</v>
      </c>
      <c r="C8">
        <f t="shared" si="3"/>
        <v>200006</v>
      </c>
      <c r="D8" t="str">
        <f t="shared" ca="1" si="0"/>
        <v>2015-01-11</v>
      </c>
      <c r="E8">
        <f>IFERROR(VLOOKUP(B8,Contacts.csv!C:D,2,FALSE),"")</f>
        <v>200006</v>
      </c>
      <c r="F8" t="str">
        <f t="shared" si="4"/>
        <v>rg:{'id':'200006'}</v>
      </c>
      <c r="G8" s="4" t="str">
        <f t="shared" si="5"/>
        <v>rg:[{'id':'200006'}]</v>
      </c>
      <c r="H8">
        <f t="shared" si="6"/>
        <v>200000</v>
      </c>
      <c r="I8" s="1" t="str">
        <f>VLOOKUP(H8,LocalAreas.csv!I:J,2,FALSE)</f>
        <v>Smithers/Telkwa</v>
      </c>
      <c r="J8" t="str">
        <f t="shared" si="1"/>
        <v>rg:{'id':'200000'}</v>
      </c>
      <c r="K8" t="str">
        <f t="shared" si="2"/>
        <v>BEST</v>
      </c>
      <c r="M8">
        <f t="shared" ca="1" si="7"/>
        <v>17962</v>
      </c>
      <c r="N8" t="str">
        <f t="shared" ca="1" si="8"/>
        <v>rg:True</v>
      </c>
      <c r="O8" t="str">
        <f t="shared" ca="1" si="9"/>
        <v>rg:False</v>
      </c>
      <c r="P8">
        <f t="shared" ca="1" si="10"/>
        <v>732038</v>
      </c>
      <c r="Q8" t="str">
        <f t="shared" ca="1" si="11"/>
        <v>2018-01-23</v>
      </c>
      <c r="R8" t="str">
        <f t="shared" ca="1" si="11"/>
        <v>2017-10-31</v>
      </c>
      <c r="S8" t="s">
        <v>6663</v>
      </c>
      <c r="T8" t="s">
        <v>76</v>
      </c>
      <c r="U8" t="s">
        <v>76</v>
      </c>
      <c r="V8" t="s">
        <v>76</v>
      </c>
      <c r="W8" t="s">
        <v>6510</v>
      </c>
      <c r="X8" t="s">
        <v>6510</v>
      </c>
      <c r="Y8" t="s">
        <v>6510</v>
      </c>
      <c r="Z8" t="s">
        <v>6510</v>
      </c>
    </row>
    <row r="9" spans="1:26" x14ac:dyDescent="0.3">
      <c r="A9" t="s">
        <v>7</v>
      </c>
      <c r="B9" t="s">
        <v>3076</v>
      </c>
      <c r="C9">
        <f t="shared" si="3"/>
        <v>200007</v>
      </c>
      <c r="D9" t="str">
        <f t="shared" ca="1" si="0"/>
        <v>2016-06-13</v>
      </c>
      <c r="E9">
        <f>IFERROR(VLOOKUP(B9,Contacts.csv!C:D,2,FALSE),"")</f>
        <v>200007</v>
      </c>
      <c r="F9" t="str">
        <f t="shared" si="4"/>
        <v>rg:{'id':'200007'}</v>
      </c>
      <c r="G9" s="4" t="str">
        <f t="shared" si="5"/>
        <v>rg:[{'id':'200007'}]</v>
      </c>
      <c r="H9">
        <f t="shared" si="6"/>
        <v>200000</v>
      </c>
      <c r="I9" s="1" t="str">
        <f>VLOOKUP(H9,LocalAreas.csv!I:J,2,FALSE)</f>
        <v>Smithers/Telkwa</v>
      </c>
      <c r="J9" t="str">
        <f t="shared" si="1"/>
        <v>rg:{'id':'200000'}</v>
      </c>
      <c r="K9" t="str">
        <f t="shared" si="2"/>
        <v>BEST</v>
      </c>
      <c r="M9">
        <f t="shared" ca="1" si="7"/>
        <v>11237</v>
      </c>
      <c r="N9" t="str">
        <f t="shared" ca="1" si="8"/>
        <v>rg:True</v>
      </c>
      <c r="O9" t="str">
        <f t="shared" ca="1" si="9"/>
        <v>rg:False</v>
      </c>
      <c r="P9">
        <f t="shared" ca="1" si="10"/>
        <v>732081</v>
      </c>
      <c r="Q9" t="str">
        <f t="shared" ca="1" si="11"/>
        <v>2017-04-08</v>
      </c>
      <c r="R9" t="str">
        <f t="shared" ca="1" si="11"/>
        <v>2017-08-10</v>
      </c>
      <c r="S9" t="s">
        <v>6665</v>
      </c>
      <c r="T9" t="s">
        <v>76</v>
      </c>
      <c r="U9" t="s">
        <v>76</v>
      </c>
      <c r="V9" t="s">
        <v>76</v>
      </c>
      <c r="W9" t="s">
        <v>6510</v>
      </c>
      <c r="X9" t="s">
        <v>6510</v>
      </c>
      <c r="Y9" t="s">
        <v>6510</v>
      </c>
      <c r="Z9" t="s">
        <v>6510</v>
      </c>
    </row>
    <row r="10" spans="1:26" x14ac:dyDescent="0.3">
      <c r="A10" t="s">
        <v>7</v>
      </c>
      <c r="B10" t="s">
        <v>3186</v>
      </c>
      <c r="C10">
        <f t="shared" si="3"/>
        <v>200008</v>
      </c>
      <c r="D10" t="str">
        <f t="shared" ca="1" si="0"/>
        <v>2009-01-26</v>
      </c>
      <c r="E10">
        <f>IFERROR(VLOOKUP(B10,Contacts.csv!C:D,2,FALSE),"")</f>
        <v>200008</v>
      </c>
      <c r="F10" t="str">
        <f t="shared" si="4"/>
        <v>rg:{'id':'200008'}</v>
      </c>
      <c r="G10" s="4" t="str">
        <f t="shared" si="5"/>
        <v>rg:[{'id':'200008'}]</v>
      </c>
      <c r="H10">
        <f t="shared" si="6"/>
        <v>200000</v>
      </c>
      <c r="I10" s="1" t="str">
        <f>VLOOKUP(H10,LocalAreas.csv!I:J,2,FALSE)</f>
        <v>Smithers/Telkwa</v>
      </c>
      <c r="J10" t="str">
        <f t="shared" si="1"/>
        <v>rg:{'id':'200000'}</v>
      </c>
      <c r="K10" t="str">
        <f t="shared" si="2"/>
        <v>BODY</v>
      </c>
      <c r="M10">
        <f t="shared" ca="1" si="7"/>
        <v>19840</v>
      </c>
      <c r="N10" t="str">
        <f t="shared" ca="1" si="8"/>
        <v>rg:True</v>
      </c>
      <c r="O10" t="str">
        <f t="shared" ca="1" si="9"/>
        <v>rg:False</v>
      </c>
      <c r="P10">
        <f t="shared" ca="1" si="10"/>
        <v>732045</v>
      </c>
      <c r="Q10" t="str">
        <f t="shared" ca="1" si="11"/>
        <v>2017-06-21</v>
      </c>
      <c r="R10" t="str">
        <f t="shared" ca="1" si="11"/>
        <v>2018-01-04</v>
      </c>
      <c r="S10" t="s">
        <v>6663</v>
      </c>
      <c r="T10" t="s">
        <v>76</v>
      </c>
      <c r="U10" t="s">
        <v>76</v>
      </c>
      <c r="V10" t="s">
        <v>76</v>
      </c>
      <c r="W10" t="s">
        <v>6510</v>
      </c>
      <c r="X10" t="s">
        <v>6510</v>
      </c>
      <c r="Y10" t="s">
        <v>6510</v>
      </c>
      <c r="Z10" t="s">
        <v>6510</v>
      </c>
    </row>
    <row r="11" spans="1:26" x14ac:dyDescent="0.3">
      <c r="A11" t="s">
        <v>7</v>
      </c>
      <c r="B11" t="s">
        <v>3223</v>
      </c>
      <c r="C11">
        <f t="shared" si="3"/>
        <v>200009</v>
      </c>
      <c r="D11" t="str">
        <f t="shared" ca="1" si="0"/>
        <v>2004-06-25</v>
      </c>
      <c r="E11">
        <f>IFERROR(VLOOKUP(B11,Contacts.csv!C:D,2,FALSE),"")</f>
        <v>200009</v>
      </c>
      <c r="F11" t="str">
        <f t="shared" si="4"/>
        <v>rg:{'id':'200009'}</v>
      </c>
      <c r="G11" s="4" t="str">
        <f t="shared" si="5"/>
        <v>rg:[{'id':'200009'}]</v>
      </c>
      <c r="H11">
        <f t="shared" si="6"/>
        <v>200000</v>
      </c>
      <c r="I11" s="1" t="str">
        <f>VLOOKUP(H11,LocalAreas.csv!I:J,2,FALSE)</f>
        <v>Smithers/Telkwa</v>
      </c>
      <c r="J11" t="str">
        <f t="shared" si="1"/>
        <v>rg:{'id':'200000'}</v>
      </c>
      <c r="K11" t="str">
        <f t="shared" si="2"/>
        <v>BREN</v>
      </c>
      <c r="M11">
        <f t="shared" ca="1" si="7"/>
        <v>19057</v>
      </c>
      <c r="N11" t="str">
        <f t="shared" ca="1" si="8"/>
        <v>rg:True</v>
      </c>
      <c r="O11" t="str">
        <f t="shared" ca="1" si="9"/>
        <v>rg:False</v>
      </c>
      <c r="P11">
        <f t="shared" ca="1" si="10"/>
        <v>732192</v>
      </c>
      <c r="Q11" t="str">
        <f t="shared" ca="1" si="11"/>
        <v>2018-03-02</v>
      </c>
      <c r="R11" t="str">
        <f t="shared" ca="1" si="11"/>
        <v>2018-03-14</v>
      </c>
      <c r="S11" t="s">
        <v>6663</v>
      </c>
      <c r="T11" t="s">
        <v>76</v>
      </c>
      <c r="U11" t="s">
        <v>76</v>
      </c>
      <c r="V11" t="s">
        <v>76</v>
      </c>
      <c r="W11" t="s">
        <v>6510</v>
      </c>
      <c r="X11" t="s">
        <v>6510</v>
      </c>
      <c r="Y11" t="s">
        <v>6510</v>
      </c>
      <c r="Z11" t="s">
        <v>6510</v>
      </c>
    </row>
    <row r="12" spans="1:26" x14ac:dyDescent="0.3">
      <c r="A12" t="s">
        <v>7</v>
      </c>
      <c r="B12" t="s">
        <v>3239</v>
      </c>
      <c r="C12">
        <f t="shared" si="3"/>
        <v>200010</v>
      </c>
      <c r="D12" t="str">
        <f t="shared" ca="1" si="0"/>
        <v>2003-09-12</v>
      </c>
      <c r="E12">
        <f>IFERROR(VLOOKUP(B12,Contacts.csv!C:D,2,FALSE),"")</f>
        <v>200010</v>
      </c>
      <c r="F12" t="str">
        <f t="shared" si="4"/>
        <v>rg:{'id':'200010'}</v>
      </c>
      <c r="G12" s="4" t="str">
        <f t="shared" si="5"/>
        <v>rg:[{'id':'200010'}]</v>
      </c>
      <c r="H12">
        <f t="shared" si="6"/>
        <v>200000</v>
      </c>
      <c r="I12" s="1" t="str">
        <f>VLOOKUP(H12,LocalAreas.csv!I:J,2,FALSE)</f>
        <v>Smithers/Telkwa</v>
      </c>
      <c r="J12" t="str">
        <f t="shared" si="1"/>
        <v>rg:{'id':'200000'}</v>
      </c>
      <c r="K12" t="str">
        <f t="shared" si="2"/>
        <v>BRIT</v>
      </c>
      <c r="M12">
        <f t="shared" ca="1" si="7"/>
        <v>11318</v>
      </c>
      <c r="N12" t="str">
        <f t="shared" ca="1" si="8"/>
        <v>rg:True</v>
      </c>
      <c r="O12" t="str">
        <f t="shared" ca="1" si="9"/>
        <v>rg:False</v>
      </c>
      <c r="P12">
        <f t="shared" ca="1" si="10"/>
        <v>732013</v>
      </c>
      <c r="Q12" t="str">
        <f t="shared" ca="1" si="11"/>
        <v>2017-07-03</v>
      </c>
      <c r="R12" t="str">
        <f t="shared" ca="1" si="11"/>
        <v>2017-11-29</v>
      </c>
      <c r="S12" t="s">
        <v>6663</v>
      </c>
      <c r="T12" t="s">
        <v>76</v>
      </c>
      <c r="U12" t="s">
        <v>76</v>
      </c>
      <c r="V12" t="s">
        <v>76</v>
      </c>
      <c r="W12" t="s">
        <v>6510</v>
      </c>
      <c r="X12" t="s">
        <v>6510</v>
      </c>
      <c r="Y12" t="s">
        <v>6510</v>
      </c>
      <c r="Z12" t="s">
        <v>6510</v>
      </c>
    </row>
    <row r="13" spans="1:26" x14ac:dyDescent="0.3">
      <c r="A13" t="s">
        <v>7</v>
      </c>
      <c r="B13" t="s">
        <v>4054</v>
      </c>
      <c r="C13">
        <f t="shared" si="3"/>
        <v>200011</v>
      </c>
      <c r="D13" t="str">
        <f t="shared" ca="1" si="0"/>
        <v>2015-05-19</v>
      </c>
      <c r="E13">
        <f>IFERROR(VLOOKUP(B13,Contacts.csv!C:D,2,FALSE),"")</f>
        <v>200011</v>
      </c>
      <c r="F13" t="str">
        <f t="shared" si="4"/>
        <v>rg:{'id':'200011'}</v>
      </c>
      <c r="G13" s="4" t="str">
        <f t="shared" si="5"/>
        <v>rg:[{'id':'200011'}]</v>
      </c>
      <c r="H13">
        <f t="shared" si="6"/>
        <v>200000</v>
      </c>
      <c r="I13" s="1" t="str">
        <f>VLOOKUP(H13,LocalAreas.csv!I:J,2,FALSE)</f>
        <v>Smithers/Telkwa</v>
      </c>
      <c r="J13" t="str">
        <f t="shared" si="1"/>
        <v>rg:{'id':'200000'}</v>
      </c>
      <c r="K13" t="str">
        <f t="shared" si="2"/>
        <v>BUIL</v>
      </c>
      <c r="M13">
        <f t="shared" ca="1" si="7"/>
        <v>13924</v>
      </c>
      <c r="N13" t="str">
        <f t="shared" ca="1" si="8"/>
        <v>rg:True</v>
      </c>
      <c r="O13" t="str">
        <f t="shared" ca="1" si="9"/>
        <v>rg:False</v>
      </c>
      <c r="P13">
        <f t="shared" ca="1" si="10"/>
        <v>732076</v>
      </c>
      <c r="Q13" t="str">
        <f t="shared" ca="1" si="11"/>
        <v>2017-10-17</v>
      </c>
      <c r="R13" t="str">
        <f ca="1">TEXT(TODAY()+RANDBETWEEN(-10,350),"YYYY-MM-DD")</f>
        <v>2017-12-29</v>
      </c>
      <c r="S13" t="s">
        <v>6664</v>
      </c>
      <c r="T13" t="s">
        <v>5389</v>
      </c>
      <c r="U13" t="s">
        <v>6666</v>
      </c>
      <c r="V13" t="str">
        <f ca="1">TEXT(TODAY()-RANDBETWEEN(10,350),"YYYY-MM-DD")</f>
        <v>2016-05-21</v>
      </c>
      <c r="W13" t="s">
        <v>6510</v>
      </c>
      <c r="X13" t="s">
        <v>6510</v>
      </c>
      <c r="Y13" t="s">
        <v>6510</v>
      </c>
      <c r="Z13" t="s">
        <v>6510</v>
      </c>
    </row>
    <row r="14" spans="1:26" x14ac:dyDescent="0.3">
      <c r="A14" t="s">
        <v>7</v>
      </c>
      <c r="B14" t="s">
        <v>3871</v>
      </c>
      <c r="C14">
        <f t="shared" si="3"/>
        <v>200012</v>
      </c>
      <c r="D14" t="str">
        <f t="shared" ca="1" si="0"/>
        <v>2013-07-16</v>
      </c>
      <c r="E14">
        <f>IFERROR(VLOOKUP(B14,Contacts.csv!C:D,2,FALSE),"")</f>
        <v>200012</v>
      </c>
      <c r="F14" t="str">
        <f t="shared" si="4"/>
        <v>rg:{'id':'200012'}</v>
      </c>
      <c r="G14" s="4" t="str">
        <f t="shared" si="5"/>
        <v>rg:[{'id':'200012'}]</v>
      </c>
      <c r="H14">
        <f t="shared" si="6"/>
        <v>200000</v>
      </c>
      <c r="I14" s="1" t="str">
        <f>VLOOKUP(H14,LocalAreas.csv!I:J,2,FALSE)</f>
        <v>Smithers/Telkwa</v>
      </c>
      <c r="J14" t="str">
        <f t="shared" si="1"/>
        <v>rg:{'id':'200000'}</v>
      </c>
      <c r="K14" t="str">
        <f t="shared" si="2"/>
        <v>CARD</v>
      </c>
      <c r="M14">
        <f t="shared" ca="1" si="7"/>
        <v>10028</v>
      </c>
      <c r="N14" t="str">
        <f t="shared" ca="1" si="8"/>
        <v>rg:True</v>
      </c>
      <c r="O14" t="str">
        <f t="shared" ca="1" si="9"/>
        <v>rg:False</v>
      </c>
      <c r="P14">
        <f t="shared" ca="1" si="10"/>
        <v>732130</v>
      </c>
      <c r="Q14" t="str">
        <f t="shared" ca="1" si="11"/>
        <v>2018-01-04</v>
      </c>
      <c r="R14" t="str">
        <f t="shared" ca="1" si="11"/>
        <v>2017-07-22</v>
      </c>
      <c r="S14" t="s">
        <v>6663</v>
      </c>
      <c r="T14" t="s">
        <v>76</v>
      </c>
      <c r="U14" t="s">
        <v>76</v>
      </c>
      <c r="V14" t="s">
        <v>76</v>
      </c>
      <c r="W14" t="s">
        <v>6510</v>
      </c>
      <c r="X14" t="s">
        <v>6510</v>
      </c>
      <c r="Y14" t="s">
        <v>6510</v>
      </c>
      <c r="Z14" t="s">
        <v>6510</v>
      </c>
    </row>
    <row r="15" spans="1:26" x14ac:dyDescent="0.3">
      <c r="A15" t="s">
        <v>7</v>
      </c>
      <c r="B15" t="s">
        <v>4432</v>
      </c>
      <c r="C15">
        <f t="shared" si="3"/>
        <v>200013</v>
      </c>
      <c r="D15" t="str">
        <f t="shared" ca="1" si="0"/>
        <v>2003-12-25</v>
      </c>
      <c r="E15">
        <f>IFERROR(VLOOKUP(B15,Contacts.csv!C:D,2,FALSE),"")</f>
        <v>200013</v>
      </c>
      <c r="F15" t="str">
        <f t="shared" si="4"/>
        <v>rg:{'id':'200013'}</v>
      </c>
      <c r="G15" s="4" t="str">
        <f t="shared" si="5"/>
        <v>rg:[{'id':'200013'}]</v>
      </c>
      <c r="H15">
        <f t="shared" si="6"/>
        <v>200000</v>
      </c>
      <c r="I15" s="1" t="str">
        <f>VLOOKUP(H15,LocalAreas.csv!I:J,2,FALSE)</f>
        <v>Smithers/Telkwa</v>
      </c>
      <c r="J15" t="str">
        <f t="shared" si="1"/>
        <v>rg:{'id':'200000'}</v>
      </c>
      <c r="K15" t="str">
        <f t="shared" si="2"/>
        <v>CAST</v>
      </c>
      <c r="M15">
        <f t="shared" ca="1" si="7"/>
        <v>17362</v>
      </c>
      <c r="N15" t="str">
        <f t="shared" ca="1" si="8"/>
        <v>rg:True</v>
      </c>
      <c r="O15" t="str">
        <f t="shared" ca="1" si="9"/>
        <v>rg:True</v>
      </c>
      <c r="P15">
        <f t="shared" ca="1" si="10"/>
        <v>732144</v>
      </c>
      <c r="Q15" t="str">
        <f t="shared" ca="1" si="11"/>
        <v>2018-02-09</v>
      </c>
      <c r="R15" t="str">
        <f t="shared" ca="1" si="11"/>
        <v>2017-05-22</v>
      </c>
      <c r="S15" t="s">
        <v>6663</v>
      </c>
      <c r="T15" t="s">
        <v>76</v>
      </c>
      <c r="U15" t="s">
        <v>76</v>
      </c>
      <c r="V15" t="s">
        <v>76</v>
      </c>
      <c r="W15" t="s">
        <v>6510</v>
      </c>
      <c r="X15" t="s">
        <v>6510</v>
      </c>
      <c r="Y15" t="s">
        <v>6510</v>
      </c>
      <c r="Z15" t="s">
        <v>6510</v>
      </c>
    </row>
    <row r="16" spans="1:26" x14ac:dyDescent="0.3">
      <c r="A16" t="s">
        <v>7</v>
      </c>
      <c r="B16" t="s">
        <v>3667</v>
      </c>
      <c r="C16">
        <f t="shared" si="3"/>
        <v>200014</v>
      </c>
      <c r="D16" t="str">
        <f t="shared" ca="1" si="0"/>
        <v>2014-05-03</v>
      </c>
      <c r="E16">
        <f>IFERROR(VLOOKUP(B16,Contacts.csv!C:D,2,FALSE),"")</f>
        <v>200014</v>
      </c>
      <c r="F16" t="str">
        <f t="shared" si="4"/>
        <v>rg:{'id':'200014'}</v>
      </c>
      <c r="G16" s="4" t="str">
        <f t="shared" si="5"/>
        <v>rg:[{'id':'200014'}]</v>
      </c>
      <c r="H16">
        <f t="shared" si="6"/>
        <v>200000</v>
      </c>
      <c r="I16" s="1" t="str">
        <f>VLOOKUP(H16,LocalAreas.csv!I:J,2,FALSE)</f>
        <v>Smithers/Telkwa</v>
      </c>
      <c r="J16" t="str">
        <f t="shared" si="1"/>
        <v>rg:{'id':'200000'}</v>
      </c>
      <c r="K16" t="str">
        <f t="shared" si="2"/>
        <v>CASU</v>
      </c>
      <c r="M16">
        <f t="shared" ca="1" si="7"/>
        <v>11448</v>
      </c>
      <c r="N16" t="str">
        <f t="shared" ca="1" si="8"/>
        <v>rg:True</v>
      </c>
      <c r="O16" t="str">
        <f t="shared" ca="1" si="9"/>
        <v>rg:False</v>
      </c>
      <c r="P16">
        <f t="shared" ca="1" si="10"/>
        <v>732059</v>
      </c>
      <c r="Q16" t="str">
        <f t="shared" ca="1" si="11"/>
        <v>2017-07-09</v>
      </c>
      <c r="R16" t="str">
        <f t="shared" ca="1" si="11"/>
        <v>2017-07-15</v>
      </c>
      <c r="S16" t="s">
        <v>6663</v>
      </c>
      <c r="T16" t="s">
        <v>76</v>
      </c>
      <c r="U16" t="s">
        <v>76</v>
      </c>
      <c r="V16" t="s">
        <v>76</v>
      </c>
      <c r="W16" t="s">
        <v>6510</v>
      </c>
      <c r="X16" t="s">
        <v>6510</v>
      </c>
      <c r="Y16" t="s">
        <v>6510</v>
      </c>
      <c r="Z16" t="s">
        <v>6510</v>
      </c>
    </row>
    <row r="17" spans="1:26" x14ac:dyDescent="0.3">
      <c r="A17" t="s">
        <v>7</v>
      </c>
      <c r="B17" t="s">
        <v>4158</v>
      </c>
      <c r="C17">
        <f t="shared" si="3"/>
        <v>200015</v>
      </c>
      <c r="D17" t="str">
        <f t="shared" ca="1" si="0"/>
        <v>2012-08-05</v>
      </c>
      <c r="E17">
        <f>IFERROR(VLOOKUP(B17,Contacts.csv!C:D,2,FALSE),"")</f>
        <v>200015</v>
      </c>
      <c r="F17" t="str">
        <f t="shared" si="4"/>
        <v>rg:{'id':'200015'}</v>
      </c>
      <c r="G17" s="4" t="str">
        <f t="shared" si="5"/>
        <v>rg:[{'id':'200015'}]</v>
      </c>
      <c r="H17">
        <f t="shared" si="6"/>
        <v>200000</v>
      </c>
      <c r="I17" s="1" t="str">
        <f>VLOOKUP(H17,LocalAreas.csv!I:J,2,FALSE)</f>
        <v>Smithers/Telkwa</v>
      </c>
      <c r="J17" t="str">
        <f t="shared" si="1"/>
        <v>rg:{'id':'200000'}</v>
      </c>
      <c r="K17" t="str">
        <f t="shared" si="2"/>
        <v>CHAS</v>
      </c>
      <c r="L17" t="s">
        <v>6662</v>
      </c>
      <c r="M17">
        <f t="shared" ca="1" si="7"/>
        <v>15739</v>
      </c>
      <c r="N17" t="str">
        <f t="shared" ca="1" si="8"/>
        <v>rg:True</v>
      </c>
      <c r="O17" t="str">
        <f t="shared" ca="1" si="9"/>
        <v>rg:False</v>
      </c>
      <c r="P17">
        <f t="shared" ca="1" si="10"/>
        <v>732121</v>
      </c>
      <c r="Q17" t="str">
        <f t="shared" ca="1" si="11"/>
        <v>2017-08-30</v>
      </c>
      <c r="R17" t="str">
        <f t="shared" ca="1" si="11"/>
        <v>2017-07-26</v>
      </c>
      <c r="S17" t="s">
        <v>6663</v>
      </c>
      <c r="T17" t="s">
        <v>76</v>
      </c>
      <c r="U17" t="s">
        <v>76</v>
      </c>
      <c r="V17" t="s">
        <v>76</v>
      </c>
      <c r="W17" t="s">
        <v>6510</v>
      </c>
      <c r="X17" t="s">
        <v>6510</v>
      </c>
      <c r="Y17" t="s">
        <v>6510</v>
      </c>
      <c r="Z17" t="s">
        <v>6510</v>
      </c>
    </row>
    <row r="18" spans="1:26" x14ac:dyDescent="0.3">
      <c r="A18" t="s">
        <v>7</v>
      </c>
      <c r="B18" t="s">
        <v>4880</v>
      </c>
      <c r="C18">
        <f t="shared" si="3"/>
        <v>200016</v>
      </c>
      <c r="D18" t="str">
        <f t="shared" ca="1" si="0"/>
        <v>2007-01-06</v>
      </c>
      <c r="E18">
        <f>IFERROR(VLOOKUP(B18,Contacts.csv!C:D,2,FALSE),"")</f>
        <v>200016</v>
      </c>
      <c r="F18" t="str">
        <f t="shared" si="4"/>
        <v>rg:{'id':'200016'}</v>
      </c>
      <c r="G18" s="4" t="str">
        <f t="shared" si="5"/>
        <v>rg:[{'id':'200016'}]</v>
      </c>
      <c r="H18">
        <f t="shared" si="6"/>
        <v>200000</v>
      </c>
      <c r="I18" s="1" t="str">
        <f>VLOOKUP(H18,LocalAreas.csv!I:J,2,FALSE)</f>
        <v>Smithers/Telkwa</v>
      </c>
      <c r="J18" t="str">
        <f t="shared" si="1"/>
        <v>rg:{'id':'200000'}</v>
      </c>
      <c r="K18" t="str">
        <f t="shared" si="2"/>
        <v>CHIL</v>
      </c>
      <c r="L18" t="s">
        <v>6661</v>
      </c>
      <c r="M18">
        <f t="shared" ca="1" si="7"/>
        <v>18856</v>
      </c>
      <c r="N18" t="str">
        <f t="shared" ca="1" si="8"/>
        <v>rg:True</v>
      </c>
      <c r="O18" t="str">
        <f t="shared" ca="1" si="9"/>
        <v>rg:False</v>
      </c>
      <c r="P18">
        <f t="shared" ca="1" si="10"/>
        <v>732060</v>
      </c>
      <c r="Q18" t="str">
        <f t="shared" ca="1" si="11"/>
        <v>2017-12-05</v>
      </c>
      <c r="R18" t="str">
        <f t="shared" ca="1" si="11"/>
        <v>2017-07-14</v>
      </c>
      <c r="S18" t="s">
        <v>6665</v>
      </c>
      <c r="T18" t="s">
        <v>76</v>
      </c>
      <c r="U18" t="s">
        <v>76</v>
      </c>
      <c r="V18" t="s">
        <v>76</v>
      </c>
      <c r="W18" t="s">
        <v>6510</v>
      </c>
      <c r="X18" t="s">
        <v>6510</v>
      </c>
      <c r="Y18" t="s">
        <v>6510</v>
      </c>
      <c r="Z18" t="s">
        <v>6510</v>
      </c>
    </row>
    <row r="19" spans="1:26" x14ac:dyDescent="0.3">
      <c r="A19" t="s">
        <v>7</v>
      </c>
      <c r="B19" t="s">
        <v>4734</v>
      </c>
      <c r="C19">
        <f t="shared" si="3"/>
        <v>200017</v>
      </c>
      <c r="D19" t="str">
        <f t="shared" ca="1" si="0"/>
        <v>2012-10-18</v>
      </c>
      <c r="E19">
        <f>IFERROR(VLOOKUP(B19,Contacts.csv!C:D,2,FALSE),"")</f>
        <v>200017</v>
      </c>
      <c r="F19" t="str">
        <f t="shared" si="4"/>
        <v>rg:{'id':'200017'}</v>
      </c>
      <c r="G19" s="4" t="str">
        <f t="shared" si="5"/>
        <v>rg:[{'id':'200017'}]</v>
      </c>
      <c r="H19">
        <f t="shared" si="6"/>
        <v>200000</v>
      </c>
      <c r="I19" s="1" t="str">
        <f>VLOOKUP(H19,LocalAreas.csv!I:J,2,FALSE)</f>
        <v>Smithers/Telkwa</v>
      </c>
      <c r="J19" t="str">
        <f t="shared" si="1"/>
        <v>rg:{'id':'200000'}</v>
      </c>
      <c r="K19" t="s">
        <v>7615</v>
      </c>
      <c r="M19">
        <f t="shared" ca="1" si="7"/>
        <v>13927</v>
      </c>
      <c r="N19" t="str">
        <f t="shared" ca="1" si="8"/>
        <v>rg:True</v>
      </c>
      <c r="O19" t="str">
        <f t="shared" ca="1" si="9"/>
        <v>rg:True</v>
      </c>
      <c r="P19">
        <f t="shared" ca="1" si="10"/>
        <v>732108</v>
      </c>
      <c r="Q19" t="str">
        <f t="shared" ca="1" si="11"/>
        <v>2017-04-04</v>
      </c>
      <c r="R19" t="str">
        <f t="shared" ca="1" si="11"/>
        <v>2017-08-09</v>
      </c>
      <c r="S19" t="s">
        <v>6663</v>
      </c>
      <c r="T19" t="s">
        <v>76</v>
      </c>
      <c r="U19" t="s">
        <v>76</v>
      </c>
      <c r="V19" t="s">
        <v>76</v>
      </c>
      <c r="W19" t="s">
        <v>6510</v>
      </c>
      <c r="X19" t="s">
        <v>6510</v>
      </c>
      <c r="Y19" t="s">
        <v>6510</v>
      </c>
      <c r="Z19" t="s">
        <v>6510</v>
      </c>
    </row>
    <row r="20" spans="1:26" x14ac:dyDescent="0.3">
      <c r="A20" t="s">
        <v>7</v>
      </c>
      <c r="B20" t="s">
        <v>3979</v>
      </c>
      <c r="C20">
        <f t="shared" si="3"/>
        <v>200018</v>
      </c>
      <c r="D20" t="str">
        <f t="shared" ca="1" si="0"/>
        <v>2007-08-19</v>
      </c>
      <c r="E20">
        <f>IFERROR(VLOOKUP(B20,Contacts.csv!C:D,2,FALSE),"")</f>
        <v>200018</v>
      </c>
      <c r="F20" t="str">
        <f t="shared" si="4"/>
        <v>rg:{'id':'200018'}</v>
      </c>
      <c r="G20" s="4" t="str">
        <f t="shared" si="5"/>
        <v>rg:[{'id':'200018'}]</v>
      </c>
      <c r="H20">
        <f t="shared" si="6"/>
        <v>200001</v>
      </c>
      <c r="I20" s="1" t="str">
        <f>VLOOKUP(H20,LocalAreas.csv!I:J,2,FALSE)</f>
        <v>Hazelton/Kitwanga</v>
      </c>
      <c r="J20" t="str">
        <f t="shared" si="1"/>
        <v>rg:{'id':'200001'}</v>
      </c>
      <c r="K20" t="str">
        <f t="shared" ref="K20:K66" si="12">UPPER(LEFT(SUBSTITUTE(SUBSTITUTE(SUBSTITUTE(B20,"The","")," ",""),".",""),4))</f>
        <v>CIRC</v>
      </c>
      <c r="M20">
        <f t="shared" ca="1" si="7"/>
        <v>17713</v>
      </c>
      <c r="N20" t="str">
        <f t="shared" ca="1" si="8"/>
        <v>rg:True</v>
      </c>
      <c r="O20" t="str">
        <f t="shared" ca="1" si="9"/>
        <v>rg:False</v>
      </c>
      <c r="P20">
        <f t="shared" ca="1" si="10"/>
        <v>732028</v>
      </c>
      <c r="Q20" t="str">
        <f t="shared" ca="1" si="11"/>
        <v>2017-09-27</v>
      </c>
      <c r="R20" t="str">
        <f t="shared" ca="1" si="11"/>
        <v>2017-09-05</v>
      </c>
      <c r="S20" t="s">
        <v>6663</v>
      </c>
      <c r="T20" t="s">
        <v>76</v>
      </c>
      <c r="U20" t="s">
        <v>76</v>
      </c>
      <c r="V20" t="s">
        <v>76</v>
      </c>
      <c r="W20" t="s">
        <v>6510</v>
      </c>
      <c r="X20" t="s">
        <v>6510</v>
      </c>
      <c r="Y20" t="s">
        <v>6510</v>
      </c>
      <c r="Z20" t="s">
        <v>6510</v>
      </c>
    </row>
    <row r="21" spans="1:26" x14ac:dyDescent="0.3">
      <c r="A21" t="s">
        <v>7</v>
      </c>
      <c r="B21" t="s">
        <v>3884</v>
      </c>
      <c r="C21">
        <f t="shared" si="3"/>
        <v>200019</v>
      </c>
      <c r="D21" t="str">
        <f t="shared" ca="1" si="0"/>
        <v>2005-07-27</v>
      </c>
      <c r="E21">
        <f>IFERROR(VLOOKUP(B21,Contacts.csv!C:D,2,FALSE),"")</f>
        <v>200019</v>
      </c>
      <c r="F21" t="str">
        <f t="shared" si="4"/>
        <v>rg:{'id':'200019'}</v>
      </c>
      <c r="G21" s="4" t="str">
        <f t="shared" si="5"/>
        <v>rg:[{'id':'200019'}]</v>
      </c>
      <c r="H21">
        <f t="shared" si="6"/>
        <v>200001</v>
      </c>
      <c r="I21" s="1" t="str">
        <f>VLOOKUP(H21,LocalAreas.csv!I:J,2,FALSE)</f>
        <v>Hazelton/Kitwanga</v>
      </c>
      <c r="J21" t="str">
        <f t="shared" si="1"/>
        <v>rg:{'id':'200001'}</v>
      </c>
      <c r="K21" t="str">
        <f t="shared" si="12"/>
        <v>COCO</v>
      </c>
      <c r="M21">
        <f t="shared" ca="1" si="7"/>
        <v>10539</v>
      </c>
      <c r="N21" t="str">
        <f t="shared" ca="1" si="8"/>
        <v>rg:True</v>
      </c>
      <c r="O21" t="str">
        <f t="shared" ca="1" si="9"/>
        <v>rg:False</v>
      </c>
      <c r="P21">
        <f t="shared" ca="1" si="10"/>
        <v>732102</v>
      </c>
      <c r="Q21" t="str">
        <f t="shared" ca="1" si="11"/>
        <v>2017-07-25</v>
      </c>
      <c r="R21" t="str">
        <f t="shared" ca="1" si="11"/>
        <v>2017-07-05</v>
      </c>
      <c r="S21" t="s">
        <v>6663</v>
      </c>
      <c r="T21" t="s">
        <v>76</v>
      </c>
      <c r="U21" t="s">
        <v>76</v>
      </c>
      <c r="V21" t="s">
        <v>76</v>
      </c>
      <c r="W21" t="s">
        <v>6510</v>
      </c>
      <c r="X21" t="s">
        <v>6510</v>
      </c>
      <c r="Y21" t="s">
        <v>6510</v>
      </c>
      <c r="Z21" t="s">
        <v>6510</v>
      </c>
    </row>
    <row r="22" spans="1:26" x14ac:dyDescent="0.3">
      <c r="A22" t="s">
        <v>7</v>
      </c>
      <c r="B22" t="s">
        <v>4538</v>
      </c>
      <c r="C22">
        <f t="shared" si="3"/>
        <v>200020</v>
      </c>
      <c r="D22" t="str">
        <f t="shared" ca="1" si="0"/>
        <v>2007-09-19</v>
      </c>
      <c r="E22">
        <f>IFERROR(VLOOKUP(B22,Contacts.csv!C:D,2,FALSE),"")</f>
        <v>200020</v>
      </c>
      <c r="F22" t="str">
        <f t="shared" si="4"/>
        <v>rg:{'id':'200020'}</v>
      </c>
      <c r="G22" s="4" t="str">
        <f t="shared" si="5"/>
        <v>rg:[{'id':'200020'}]</v>
      </c>
      <c r="H22">
        <f t="shared" si="6"/>
        <v>200001</v>
      </c>
      <c r="I22" s="1" t="str">
        <f>VLOOKUP(H22,LocalAreas.csv!I:J,2,FALSE)</f>
        <v>Hazelton/Kitwanga</v>
      </c>
      <c r="J22" t="str">
        <f t="shared" si="1"/>
        <v>rg:{'id':'200001'}</v>
      </c>
      <c r="K22" t="str">
        <f t="shared" si="12"/>
        <v>DAVE</v>
      </c>
      <c r="M22">
        <f t="shared" ca="1" si="7"/>
        <v>14500</v>
      </c>
      <c r="N22" t="str">
        <f t="shared" ca="1" si="8"/>
        <v>rg:True</v>
      </c>
      <c r="O22" t="str">
        <f t="shared" ca="1" si="9"/>
        <v>rg:False</v>
      </c>
      <c r="P22">
        <f t="shared" ca="1" si="10"/>
        <v>732119</v>
      </c>
      <c r="Q22" t="str">
        <f t="shared" ca="1" si="11"/>
        <v>2017-04-26</v>
      </c>
      <c r="R22" t="str">
        <f t="shared" ca="1" si="11"/>
        <v>2017-05-22</v>
      </c>
      <c r="S22" t="s">
        <v>6663</v>
      </c>
      <c r="T22" t="s">
        <v>76</v>
      </c>
      <c r="U22" t="s">
        <v>76</v>
      </c>
      <c r="V22" t="s">
        <v>76</v>
      </c>
      <c r="W22" t="s">
        <v>6510</v>
      </c>
      <c r="X22" t="s">
        <v>6510</v>
      </c>
      <c r="Y22" t="s">
        <v>6510</v>
      </c>
      <c r="Z22" t="s">
        <v>6510</v>
      </c>
    </row>
    <row r="23" spans="1:26" x14ac:dyDescent="0.3">
      <c r="A23" t="s">
        <v>7</v>
      </c>
      <c r="B23" t="s">
        <v>4401</v>
      </c>
      <c r="C23">
        <f t="shared" si="3"/>
        <v>200021</v>
      </c>
      <c r="D23" t="str">
        <f t="shared" ca="1" si="0"/>
        <v>2009-08-27</v>
      </c>
      <c r="E23">
        <f>IFERROR(VLOOKUP(B23,Contacts.csv!C:D,2,FALSE),"")</f>
        <v>200021</v>
      </c>
      <c r="F23" t="str">
        <f t="shared" si="4"/>
        <v>rg:{'id':'200021'}</v>
      </c>
      <c r="G23" s="4" t="str">
        <f t="shared" si="5"/>
        <v>rg:[{'id':'200021'}]</v>
      </c>
      <c r="H23">
        <f t="shared" si="6"/>
        <v>200001</v>
      </c>
      <c r="I23" s="1" t="str">
        <f>VLOOKUP(H23,LocalAreas.csv!I:J,2,FALSE)</f>
        <v>Hazelton/Kitwanga</v>
      </c>
      <c r="J23" t="str">
        <f t="shared" si="1"/>
        <v>rg:{'id':'200001'}</v>
      </c>
      <c r="K23" t="str">
        <f t="shared" si="12"/>
        <v>DESM</v>
      </c>
      <c r="M23">
        <f t="shared" ca="1" si="7"/>
        <v>11203</v>
      </c>
      <c r="N23" t="str">
        <f t="shared" ca="1" si="8"/>
        <v>rg:True</v>
      </c>
      <c r="O23" t="str">
        <f t="shared" ca="1" si="9"/>
        <v>rg:False</v>
      </c>
      <c r="P23">
        <f t="shared" ca="1" si="10"/>
        <v>732188</v>
      </c>
      <c r="Q23" t="str">
        <f t="shared" ca="1" si="11"/>
        <v>2017-08-04</v>
      </c>
      <c r="R23" t="str">
        <f t="shared" ca="1" si="11"/>
        <v>2017-10-30</v>
      </c>
      <c r="S23" t="s">
        <v>6663</v>
      </c>
      <c r="T23" t="s">
        <v>76</v>
      </c>
      <c r="U23" t="s">
        <v>76</v>
      </c>
      <c r="V23" t="s">
        <v>76</v>
      </c>
      <c r="W23" t="s">
        <v>6510</v>
      </c>
      <c r="X23" t="s">
        <v>6510</v>
      </c>
      <c r="Y23" t="s">
        <v>6510</v>
      </c>
      <c r="Z23" t="s">
        <v>6510</v>
      </c>
    </row>
    <row r="24" spans="1:26" x14ac:dyDescent="0.3">
      <c r="A24" t="s">
        <v>7</v>
      </c>
      <c r="B24" t="s">
        <v>3650</v>
      </c>
      <c r="C24">
        <f t="shared" si="3"/>
        <v>200022</v>
      </c>
      <c r="D24" t="str">
        <f t="shared" ca="1" si="0"/>
        <v>2012-01-26</v>
      </c>
      <c r="E24">
        <f>IFERROR(VLOOKUP(B24,Contacts.csv!C:D,2,FALSE),"")</f>
        <v>200022</v>
      </c>
      <c r="F24" t="str">
        <f t="shared" si="4"/>
        <v>rg:{'id':'200022'}</v>
      </c>
      <c r="G24" s="4" t="str">
        <f t="shared" si="5"/>
        <v>rg:[{'id':'200022'}]</v>
      </c>
      <c r="H24">
        <f t="shared" si="6"/>
        <v>200001</v>
      </c>
      <c r="I24" s="1" t="str">
        <f>VLOOKUP(H24,LocalAreas.csv!I:J,2,FALSE)</f>
        <v>Hazelton/Kitwanga</v>
      </c>
      <c r="J24" t="str">
        <f t="shared" si="1"/>
        <v>rg:{'id':'200001'}</v>
      </c>
      <c r="K24" t="str">
        <f t="shared" si="12"/>
        <v>DEST</v>
      </c>
      <c r="M24">
        <f t="shared" ca="1" si="7"/>
        <v>18537</v>
      </c>
      <c r="N24" t="str">
        <f t="shared" ca="1" si="8"/>
        <v>rg:True</v>
      </c>
      <c r="O24" t="str">
        <f t="shared" ca="1" si="9"/>
        <v>rg:False</v>
      </c>
      <c r="P24">
        <f t="shared" ca="1" si="10"/>
        <v>732154</v>
      </c>
      <c r="Q24" t="str">
        <f t="shared" ca="1" si="11"/>
        <v>2017-06-02</v>
      </c>
      <c r="R24" t="str">
        <f t="shared" ca="1" si="11"/>
        <v>2017-07-10</v>
      </c>
      <c r="S24" t="s">
        <v>6663</v>
      </c>
      <c r="T24" t="s">
        <v>76</v>
      </c>
      <c r="U24" t="s">
        <v>76</v>
      </c>
      <c r="V24" t="s">
        <v>76</v>
      </c>
      <c r="W24" t="s">
        <v>6510</v>
      </c>
      <c r="X24" t="s">
        <v>6510</v>
      </c>
      <c r="Y24" t="s">
        <v>6510</v>
      </c>
      <c r="Z24" t="s">
        <v>6510</v>
      </c>
    </row>
    <row r="25" spans="1:26" x14ac:dyDescent="0.3">
      <c r="A25" t="s">
        <v>7</v>
      </c>
      <c r="B25" t="s">
        <v>3409</v>
      </c>
      <c r="C25">
        <f t="shared" si="3"/>
        <v>200023</v>
      </c>
      <c r="D25" t="str">
        <f t="shared" ca="1" si="0"/>
        <v>2011-10-12</v>
      </c>
      <c r="E25">
        <f>IFERROR(VLOOKUP(B25,Contacts.csv!C:D,2,FALSE),"")</f>
        <v>200023</v>
      </c>
      <c r="F25" t="str">
        <f t="shared" si="4"/>
        <v>rg:{'id':'200023'}</v>
      </c>
      <c r="G25" s="4" t="str">
        <f t="shared" si="5"/>
        <v>rg:[{'id':'200023'}]</v>
      </c>
      <c r="H25">
        <f t="shared" si="6"/>
        <v>200001</v>
      </c>
      <c r="I25" s="1" t="str">
        <f>VLOOKUP(H25,LocalAreas.csv!I:J,2,FALSE)</f>
        <v>Hazelton/Kitwanga</v>
      </c>
      <c r="J25" t="str">
        <f t="shared" si="1"/>
        <v>rg:{'id':'200001'}</v>
      </c>
      <c r="K25" t="str">
        <f t="shared" si="12"/>
        <v>EART</v>
      </c>
      <c r="M25">
        <f t="shared" ca="1" si="7"/>
        <v>16692</v>
      </c>
      <c r="N25" t="str">
        <f t="shared" ca="1" si="8"/>
        <v>rg:True</v>
      </c>
      <c r="O25" t="str">
        <f t="shared" ca="1" si="9"/>
        <v>rg:False</v>
      </c>
      <c r="P25">
        <f t="shared" ca="1" si="10"/>
        <v>732183</v>
      </c>
      <c r="Q25" t="str">
        <f t="shared" ca="1" si="11"/>
        <v>2017-03-23</v>
      </c>
      <c r="R25" t="str">
        <f t="shared" ca="1" si="11"/>
        <v>2017-10-25</v>
      </c>
      <c r="S25" t="s">
        <v>6665</v>
      </c>
      <c r="T25" t="s">
        <v>76</v>
      </c>
      <c r="U25" t="s">
        <v>76</v>
      </c>
      <c r="V25" t="s">
        <v>76</v>
      </c>
      <c r="W25" t="s">
        <v>6510</v>
      </c>
      <c r="X25" t="s">
        <v>6510</v>
      </c>
      <c r="Y25" t="s">
        <v>6510</v>
      </c>
      <c r="Z25" t="s">
        <v>6510</v>
      </c>
    </row>
    <row r="26" spans="1:26" x14ac:dyDescent="0.3">
      <c r="A26" t="s">
        <v>7</v>
      </c>
      <c r="B26" t="s">
        <v>3307</v>
      </c>
      <c r="C26">
        <f t="shared" si="3"/>
        <v>200024</v>
      </c>
      <c r="D26" t="str">
        <f t="shared" ca="1" si="0"/>
        <v>2014-03-04</v>
      </c>
      <c r="E26">
        <f>IFERROR(VLOOKUP(B26,Contacts.csv!C:D,2,FALSE),"")</f>
        <v>200024</v>
      </c>
      <c r="F26" t="str">
        <f t="shared" si="4"/>
        <v>rg:{'id':'200024'}</v>
      </c>
      <c r="G26" s="4" t="str">
        <f t="shared" si="5"/>
        <v>rg:[{'id':'200024'}]</v>
      </c>
      <c r="H26">
        <f t="shared" si="6"/>
        <v>200001</v>
      </c>
      <c r="I26" s="1" t="str">
        <f>VLOOKUP(H26,LocalAreas.csv!I:J,2,FALSE)</f>
        <v>Hazelton/Kitwanga</v>
      </c>
      <c r="J26" t="str">
        <f t="shared" si="1"/>
        <v>rg:{'id':'200001'}</v>
      </c>
      <c r="K26" t="str">
        <f t="shared" si="12"/>
        <v>EDWA</v>
      </c>
      <c r="L26" t="s">
        <v>6661</v>
      </c>
      <c r="M26">
        <f t="shared" ca="1" si="7"/>
        <v>14689</v>
      </c>
      <c r="N26" t="str">
        <f t="shared" ca="1" si="8"/>
        <v>rg:True</v>
      </c>
      <c r="O26" t="str">
        <f t="shared" ca="1" si="9"/>
        <v>rg:False</v>
      </c>
      <c r="P26">
        <f t="shared" ca="1" si="10"/>
        <v>732004</v>
      </c>
      <c r="Q26" t="str">
        <f t="shared" ca="1" si="11"/>
        <v>2017-11-27</v>
      </c>
      <c r="R26" t="str">
        <f t="shared" ca="1" si="11"/>
        <v>2017-11-02</v>
      </c>
      <c r="S26" t="s">
        <v>6663</v>
      </c>
      <c r="T26" t="s">
        <v>76</v>
      </c>
      <c r="U26" t="s">
        <v>76</v>
      </c>
      <c r="V26" t="s">
        <v>76</v>
      </c>
      <c r="W26" t="s">
        <v>6510</v>
      </c>
      <c r="X26" t="s">
        <v>6510</v>
      </c>
      <c r="Y26" t="s">
        <v>6510</v>
      </c>
      <c r="Z26" t="s">
        <v>6510</v>
      </c>
    </row>
    <row r="27" spans="1:26" x14ac:dyDescent="0.3">
      <c r="A27" t="s">
        <v>7</v>
      </c>
      <c r="B27" t="s">
        <v>4702</v>
      </c>
      <c r="C27">
        <f t="shared" si="3"/>
        <v>200025</v>
      </c>
      <c r="D27" t="str">
        <f t="shared" ca="1" si="0"/>
        <v>2015-06-17</v>
      </c>
      <c r="E27">
        <f>IFERROR(VLOOKUP(B27,Contacts.csv!C:D,2,FALSE),"")</f>
        <v>200025</v>
      </c>
      <c r="F27" t="str">
        <f t="shared" si="4"/>
        <v>rg:{'id':'200025'}</v>
      </c>
      <c r="G27" s="4" t="str">
        <f t="shared" si="5"/>
        <v>rg:[{'id':'200025'}]</v>
      </c>
      <c r="H27">
        <f t="shared" si="6"/>
        <v>200001</v>
      </c>
      <c r="I27" s="1" t="str">
        <f>VLOOKUP(H27,LocalAreas.csv!I:J,2,FALSE)</f>
        <v>Hazelton/Kitwanga</v>
      </c>
      <c r="J27" t="str">
        <f t="shared" si="1"/>
        <v>rg:{'id':'200001'}</v>
      </c>
      <c r="K27" t="str">
        <f t="shared" si="12"/>
        <v>ENVI</v>
      </c>
      <c r="L27" t="s">
        <v>6662</v>
      </c>
      <c r="M27">
        <f t="shared" ca="1" si="7"/>
        <v>19571</v>
      </c>
      <c r="N27" t="str">
        <f t="shared" ca="1" si="8"/>
        <v>rg:True</v>
      </c>
      <c r="O27" t="str">
        <f t="shared" ca="1" si="9"/>
        <v>rg:False</v>
      </c>
      <c r="P27">
        <f t="shared" ca="1" si="10"/>
        <v>732016</v>
      </c>
      <c r="Q27" t="str">
        <f t="shared" ca="1" si="11"/>
        <v>2018-03-09</v>
      </c>
      <c r="R27" t="str">
        <f t="shared" ca="1" si="11"/>
        <v>2017-10-02</v>
      </c>
      <c r="S27" t="s">
        <v>6663</v>
      </c>
      <c r="T27" t="s">
        <v>76</v>
      </c>
      <c r="U27" t="s">
        <v>76</v>
      </c>
      <c r="V27" t="s">
        <v>76</v>
      </c>
      <c r="W27" t="s">
        <v>6510</v>
      </c>
      <c r="X27" t="s">
        <v>6510</v>
      </c>
      <c r="Y27" t="s">
        <v>6510</v>
      </c>
      <c r="Z27" t="s">
        <v>6510</v>
      </c>
    </row>
    <row r="28" spans="1:26" x14ac:dyDescent="0.3">
      <c r="A28" t="s">
        <v>7</v>
      </c>
      <c r="B28" t="s">
        <v>3917</v>
      </c>
      <c r="C28">
        <f t="shared" si="3"/>
        <v>200026</v>
      </c>
      <c r="D28" t="str">
        <f t="shared" ca="1" si="0"/>
        <v>2005-02-10</v>
      </c>
      <c r="E28">
        <f>IFERROR(VLOOKUP(B28,Contacts.csv!C:D,2,FALSE),"")</f>
        <v>200026</v>
      </c>
      <c r="F28" t="str">
        <f t="shared" si="4"/>
        <v>rg:{'id':'200026'}</v>
      </c>
      <c r="G28" s="4" t="str">
        <f t="shared" si="5"/>
        <v>rg:[{'id':'200026'}]</v>
      </c>
      <c r="H28">
        <f t="shared" si="6"/>
        <v>200001</v>
      </c>
      <c r="I28" s="1" t="str">
        <f>VLOOKUP(H28,LocalAreas.csv!I:J,2,FALSE)</f>
        <v>Hazelton/Kitwanga</v>
      </c>
      <c r="J28" t="str">
        <f t="shared" si="1"/>
        <v>rg:{'id':'200001'}</v>
      </c>
      <c r="K28" t="str">
        <f t="shared" si="12"/>
        <v>FAMI</v>
      </c>
      <c r="M28">
        <f t="shared" ca="1" si="7"/>
        <v>19236</v>
      </c>
      <c r="N28" t="str">
        <f t="shared" ca="1" si="8"/>
        <v>rg:True</v>
      </c>
      <c r="O28" t="str">
        <f t="shared" ca="1" si="9"/>
        <v>rg:False</v>
      </c>
      <c r="P28">
        <f t="shared" ca="1" si="10"/>
        <v>732085</v>
      </c>
      <c r="Q28" t="str">
        <f t="shared" ca="1" si="11"/>
        <v>2017-06-04</v>
      </c>
      <c r="R28" t="str">
        <f t="shared" ca="1" si="11"/>
        <v>2017-06-18</v>
      </c>
      <c r="S28" t="s">
        <v>6663</v>
      </c>
      <c r="T28" t="s">
        <v>76</v>
      </c>
      <c r="U28" t="s">
        <v>76</v>
      </c>
      <c r="V28" t="s">
        <v>76</v>
      </c>
      <c r="W28" t="s">
        <v>6510</v>
      </c>
      <c r="X28" t="s">
        <v>6510</v>
      </c>
      <c r="Y28" t="s">
        <v>6510</v>
      </c>
      <c r="Z28" t="s">
        <v>6510</v>
      </c>
    </row>
    <row r="29" spans="1:26" x14ac:dyDescent="0.3">
      <c r="A29" t="s">
        <v>7</v>
      </c>
      <c r="B29" t="s">
        <v>4342</v>
      </c>
      <c r="C29">
        <f t="shared" si="3"/>
        <v>200027</v>
      </c>
      <c r="D29" t="str">
        <f t="shared" ca="1" si="0"/>
        <v>2010-02-04</v>
      </c>
      <c r="E29">
        <f>IFERROR(VLOOKUP(B29,Contacts.csv!C:D,2,FALSE),"")</f>
        <v>200027</v>
      </c>
      <c r="F29" t="str">
        <f t="shared" si="4"/>
        <v>rg:{'id':'200027'}</v>
      </c>
      <c r="G29" s="4" t="str">
        <f t="shared" si="5"/>
        <v>rg:[{'id':'200027'}]</v>
      </c>
      <c r="H29">
        <f t="shared" si="6"/>
        <v>200001</v>
      </c>
      <c r="I29" s="1" t="str">
        <f>VLOOKUP(H29,LocalAreas.csv!I:J,2,FALSE)</f>
        <v>Hazelton/Kitwanga</v>
      </c>
      <c r="J29" t="str">
        <f t="shared" si="1"/>
        <v>rg:{'id':'200001'}</v>
      </c>
      <c r="K29" t="str">
        <f t="shared" si="12"/>
        <v>FIRS</v>
      </c>
      <c r="M29">
        <f t="shared" ca="1" si="7"/>
        <v>18192</v>
      </c>
      <c r="N29" t="str">
        <f t="shared" ca="1" si="8"/>
        <v>rg:True</v>
      </c>
      <c r="O29" t="str">
        <f t="shared" ca="1" si="9"/>
        <v>rg:False</v>
      </c>
      <c r="P29">
        <f t="shared" ca="1" si="10"/>
        <v>732058</v>
      </c>
      <c r="Q29" t="str">
        <f t="shared" ca="1" si="11"/>
        <v>2017-12-18</v>
      </c>
      <c r="R29" t="str">
        <f t="shared" ca="1" si="11"/>
        <v>2017-04-17</v>
      </c>
      <c r="S29" t="s">
        <v>6663</v>
      </c>
      <c r="T29" t="s">
        <v>76</v>
      </c>
      <c r="U29" t="s">
        <v>76</v>
      </c>
      <c r="V29" t="s">
        <v>76</v>
      </c>
      <c r="W29" t="s">
        <v>6510</v>
      </c>
      <c r="X29" t="s">
        <v>6510</v>
      </c>
      <c r="Y29" t="s">
        <v>6510</v>
      </c>
      <c r="Z29" t="s">
        <v>6510</v>
      </c>
    </row>
    <row r="30" spans="1:26" x14ac:dyDescent="0.3">
      <c r="A30" t="s">
        <v>7</v>
      </c>
      <c r="B30" t="s">
        <v>4480</v>
      </c>
      <c r="C30">
        <f t="shared" si="3"/>
        <v>200028</v>
      </c>
      <c r="D30" t="str">
        <f t="shared" ca="1" si="0"/>
        <v>2004-10-09</v>
      </c>
      <c r="E30">
        <f>IFERROR(VLOOKUP(B30,Contacts.csv!C:D,2,FALSE),"")</f>
        <v>200028</v>
      </c>
      <c r="F30" t="str">
        <f t="shared" si="4"/>
        <v>rg:{'id':'200028'}</v>
      </c>
      <c r="G30" s="4" t="str">
        <f t="shared" si="5"/>
        <v>rg:[{'id':'200028'}]</v>
      </c>
      <c r="H30">
        <f t="shared" si="6"/>
        <v>200001</v>
      </c>
      <c r="I30" s="1" t="str">
        <f>VLOOKUP(H30,LocalAreas.csv!I:J,2,FALSE)</f>
        <v>Hazelton/Kitwanga</v>
      </c>
      <c r="J30" t="str">
        <f t="shared" si="1"/>
        <v>rg:{'id':'200001'}</v>
      </c>
      <c r="K30" t="str">
        <f t="shared" si="12"/>
        <v>FISH</v>
      </c>
      <c r="M30">
        <f t="shared" ca="1" si="7"/>
        <v>17851</v>
      </c>
      <c r="N30" t="str">
        <f t="shared" ca="1" si="8"/>
        <v>rg:True</v>
      </c>
      <c r="O30" t="str">
        <f t="shared" ca="1" si="9"/>
        <v>rg:False</v>
      </c>
      <c r="P30">
        <f t="shared" ca="1" si="10"/>
        <v>732085</v>
      </c>
      <c r="Q30" t="str">
        <f t="shared" ca="1" si="11"/>
        <v>2017-11-25</v>
      </c>
      <c r="R30" t="str">
        <f t="shared" ca="1" si="11"/>
        <v>2018-02-26</v>
      </c>
      <c r="S30" t="s">
        <v>6663</v>
      </c>
      <c r="T30" t="s">
        <v>76</v>
      </c>
      <c r="U30" t="s">
        <v>76</v>
      </c>
      <c r="V30" t="s">
        <v>76</v>
      </c>
      <c r="W30" t="s">
        <v>6510</v>
      </c>
      <c r="X30" t="s">
        <v>6510</v>
      </c>
      <c r="Y30" t="s">
        <v>6510</v>
      </c>
      <c r="Z30" t="s">
        <v>6510</v>
      </c>
    </row>
    <row r="31" spans="1:26" x14ac:dyDescent="0.3">
      <c r="A31" t="s">
        <v>7</v>
      </c>
      <c r="B31" t="s">
        <v>3854</v>
      </c>
      <c r="C31">
        <f t="shared" si="3"/>
        <v>200029</v>
      </c>
      <c r="D31" t="str">
        <f t="shared" ca="1" si="0"/>
        <v>2004-01-11</v>
      </c>
      <c r="E31">
        <f>IFERROR(VLOOKUP(B31,Contacts.csv!C:D,2,FALSE),"")</f>
        <v>200029</v>
      </c>
      <c r="F31" t="str">
        <f t="shared" si="4"/>
        <v>rg:{'id':'200029'}</v>
      </c>
      <c r="G31" s="4" t="str">
        <f t="shared" si="5"/>
        <v>rg:[{'id':'200029'}]</v>
      </c>
      <c r="H31">
        <f t="shared" si="6"/>
        <v>200001</v>
      </c>
      <c r="I31" s="1" t="str">
        <f>VLOOKUP(H31,LocalAreas.csv!I:J,2,FALSE)</f>
        <v>Hazelton/Kitwanga</v>
      </c>
      <c r="J31" t="str">
        <f t="shared" si="1"/>
        <v>rg:{'id':'200001'}</v>
      </c>
      <c r="K31" t="str">
        <f t="shared" si="12"/>
        <v>FOOT</v>
      </c>
      <c r="M31">
        <f t="shared" ca="1" si="7"/>
        <v>13070</v>
      </c>
      <c r="N31" t="str">
        <f t="shared" ca="1" si="8"/>
        <v>rg:True</v>
      </c>
      <c r="O31" t="str">
        <f t="shared" ca="1" si="9"/>
        <v>rg:False</v>
      </c>
      <c r="P31">
        <f t="shared" ca="1" si="10"/>
        <v>732129</v>
      </c>
      <c r="Q31" t="str">
        <f t="shared" ca="1" si="11"/>
        <v>2017-09-25</v>
      </c>
      <c r="R31" t="str">
        <f t="shared" ca="1" si="11"/>
        <v>2017-11-28</v>
      </c>
      <c r="S31" t="s">
        <v>6663</v>
      </c>
      <c r="T31" t="s">
        <v>76</v>
      </c>
      <c r="U31" t="s">
        <v>76</v>
      </c>
      <c r="V31" t="s">
        <v>76</v>
      </c>
      <c r="W31" t="s">
        <v>6510</v>
      </c>
      <c r="X31" t="s">
        <v>6510</v>
      </c>
      <c r="Y31" t="s">
        <v>6510</v>
      </c>
      <c r="Z31" t="s">
        <v>6510</v>
      </c>
    </row>
    <row r="32" spans="1:26" x14ac:dyDescent="0.3">
      <c r="A32" t="s">
        <v>7</v>
      </c>
      <c r="B32" t="s">
        <v>3424</v>
      </c>
      <c r="C32">
        <f t="shared" si="3"/>
        <v>200030</v>
      </c>
      <c r="D32" t="str">
        <f t="shared" ca="1" si="0"/>
        <v>2004-05-05</v>
      </c>
      <c r="E32">
        <f>IFERROR(VLOOKUP(B32,Contacts.csv!C:D,2,FALSE),"")</f>
        <v>200030</v>
      </c>
      <c r="F32" t="str">
        <f t="shared" si="4"/>
        <v>rg:{'id':'200030'}</v>
      </c>
      <c r="G32" s="4" t="str">
        <f t="shared" si="5"/>
        <v>rg:[{'id':'200030'}]</v>
      </c>
      <c r="H32">
        <f t="shared" si="6"/>
        <v>200001</v>
      </c>
      <c r="I32" s="1" t="str">
        <f>VLOOKUP(H32,LocalAreas.csv!I:J,2,FALSE)</f>
        <v>Hazelton/Kitwanga</v>
      </c>
      <c r="J32" t="str">
        <f t="shared" si="1"/>
        <v>rg:{'id':'200001'}</v>
      </c>
      <c r="K32" t="str">
        <f t="shared" si="12"/>
        <v>GAMM</v>
      </c>
      <c r="M32">
        <f t="shared" ca="1" si="7"/>
        <v>13870</v>
      </c>
      <c r="N32" t="str">
        <f t="shared" ca="1" si="8"/>
        <v>rg:True</v>
      </c>
      <c r="O32" t="str">
        <f t="shared" ca="1" si="9"/>
        <v>rg:False</v>
      </c>
      <c r="P32">
        <f t="shared" ca="1" si="10"/>
        <v>732040</v>
      </c>
      <c r="Q32" t="str">
        <f t="shared" ca="1" si="11"/>
        <v>2017-10-29</v>
      </c>
      <c r="R32" t="str">
        <f t="shared" ca="1" si="11"/>
        <v>2017-04-19</v>
      </c>
      <c r="S32" t="s">
        <v>6663</v>
      </c>
      <c r="T32" t="s">
        <v>76</v>
      </c>
      <c r="U32" t="s">
        <v>76</v>
      </c>
      <c r="V32" t="s">
        <v>76</v>
      </c>
      <c r="W32" t="s">
        <v>6510</v>
      </c>
      <c r="X32" t="s">
        <v>6510</v>
      </c>
      <c r="Y32" t="s">
        <v>6510</v>
      </c>
      <c r="Z32" t="s">
        <v>6510</v>
      </c>
    </row>
    <row r="33" spans="1:26" x14ac:dyDescent="0.3">
      <c r="A33" t="s">
        <v>7</v>
      </c>
      <c r="B33" t="s">
        <v>4292</v>
      </c>
      <c r="C33">
        <f t="shared" si="3"/>
        <v>200031</v>
      </c>
      <c r="D33" t="str">
        <f t="shared" ca="1" si="0"/>
        <v>2009-02-10</v>
      </c>
      <c r="E33">
        <f>IFERROR(VLOOKUP(B33,Contacts.csv!C:D,2,FALSE),"")</f>
        <v>200031</v>
      </c>
      <c r="F33" t="str">
        <f t="shared" si="4"/>
        <v>rg:{'id':'200031'}</v>
      </c>
      <c r="G33" s="4" t="str">
        <f t="shared" si="5"/>
        <v>rg:[{'id':'200031'}]</v>
      </c>
      <c r="H33">
        <f t="shared" si="6"/>
        <v>200001</v>
      </c>
      <c r="I33" s="1" t="str">
        <f>VLOOKUP(H33,LocalAreas.csv!I:J,2,FALSE)</f>
        <v>Hazelton/Kitwanga</v>
      </c>
      <c r="J33" t="str">
        <f t="shared" si="1"/>
        <v>rg:{'id':'200001'}</v>
      </c>
      <c r="K33" t="str">
        <f t="shared" si="12"/>
        <v>GARD</v>
      </c>
      <c r="M33">
        <f t="shared" ca="1" si="7"/>
        <v>17303</v>
      </c>
      <c r="N33" t="str">
        <f t="shared" ca="1" si="8"/>
        <v>rg:True</v>
      </c>
      <c r="O33" t="str">
        <f t="shared" ca="1" si="9"/>
        <v>rg:False</v>
      </c>
      <c r="P33">
        <f t="shared" ca="1" si="10"/>
        <v>732071</v>
      </c>
      <c r="Q33" t="str">
        <f t="shared" ca="1" si="11"/>
        <v>2018-01-27</v>
      </c>
      <c r="R33" t="str">
        <f t="shared" ca="1" si="11"/>
        <v>2017-11-21</v>
      </c>
      <c r="S33" t="s">
        <v>6663</v>
      </c>
      <c r="T33" t="s">
        <v>76</v>
      </c>
      <c r="U33" t="s">
        <v>76</v>
      </c>
      <c r="V33" t="s">
        <v>76</v>
      </c>
      <c r="W33" t="s">
        <v>6510</v>
      </c>
      <c r="X33" t="s">
        <v>6510</v>
      </c>
      <c r="Y33" t="s">
        <v>6510</v>
      </c>
      <c r="Z33" t="s">
        <v>6510</v>
      </c>
    </row>
    <row r="34" spans="1:26" x14ac:dyDescent="0.3">
      <c r="A34" t="s">
        <v>7</v>
      </c>
      <c r="B34" t="s">
        <v>3456</v>
      </c>
      <c r="C34">
        <f t="shared" si="3"/>
        <v>200032</v>
      </c>
      <c r="D34" t="str">
        <f t="shared" ca="1" si="0"/>
        <v>2011-01-23</v>
      </c>
      <c r="E34">
        <f>IFERROR(VLOOKUP(B34,Contacts.csv!C:D,2,FALSE),"")</f>
        <v>200032</v>
      </c>
      <c r="F34" t="str">
        <f t="shared" si="4"/>
        <v>rg:{'id':'200032'}</v>
      </c>
      <c r="G34" s="4" t="str">
        <f t="shared" si="5"/>
        <v>rg:[{'id':'200032'}]</v>
      </c>
      <c r="H34">
        <f t="shared" si="6"/>
        <v>200001</v>
      </c>
      <c r="I34" s="1" t="str">
        <f>VLOOKUP(H34,LocalAreas.csv!I:J,2,FALSE)</f>
        <v>Hazelton/Kitwanga</v>
      </c>
      <c r="J34" t="str">
        <f t="shared" ref="J34:J65" si="13" xml:space="preserve"> "rg:{'id':'" &amp; H34 &amp; "'}"</f>
        <v>rg:{'id':'200001'}</v>
      </c>
      <c r="K34" t="str">
        <f t="shared" si="12"/>
        <v>GASD</v>
      </c>
      <c r="M34">
        <f t="shared" ca="1" si="7"/>
        <v>16817</v>
      </c>
      <c r="N34" t="str">
        <f t="shared" ca="1" si="8"/>
        <v>rg:True</v>
      </c>
      <c r="O34" t="str">
        <f t="shared" ca="1" si="9"/>
        <v>rg:False</v>
      </c>
      <c r="P34">
        <f t="shared" ca="1" si="10"/>
        <v>732063</v>
      </c>
      <c r="Q34" t="str">
        <f t="shared" ca="1" si="11"/>
        <v>2017-06-25</v>
      </c>
      <c r="R34" t="str">
        <f t="shared" ca="1" si="11"/>
        <v>2018-02-01</v>
      </c>
      <c r="S34" t="s">
        <v>6663</v>
      </c>
      <c r="T34" t="s">
        <v>76</v>
      </c>
      <c r="U34" t="s">
        <v>76</v>
      </c>
      <c r="V34" t="s">
        <v>76</v>
      </c>
      <c r="W34" t="s">
        <v>6510</v>
      </c>
      <c r="X34" t="s">
        <v>6510</v>
      </c>
      <c r="Y34" t="s">
        <v>6510</v>
      </c>
      <c r="Z34" t="s">
        <v>6510</v>
      </c>
    </row>
    <row r="35" spans="1:26" x14ac:dyDescent="0.3">
      <c r="A35" t="s">
        <v>7</v>
      </c>
      <c r="B35" t="s">
        <v>4009</v>
      </c>
      <c r="C35">
        <f t="shared" si="3"/>
        <v>200033</v>
      </c>
      <c r="D35" t="str">
        <f t="shared" ca="1" si="0"/>
        <v>2012-06-09</v>
      </c>
      <c r="E35">
        <f>IFERROR(VLOOKUP(B35,Contacts.csv!C:D,2,FALSE),"")</f>
        <v>200033</v>
      </c>
      <c r="F35" t="str">
        <f t="shared" si="4"/>
        <v>rg:{'id':'200033'}</v>
      </c>
      <c r="G35" s="4" t="str">
        <f t="shared" si="5"/>
        <v>rg:[{'id':'200033'}]</v>
      </c>
      <c r="H35">
        <f t="shared" si="6"/>
        <v>200001</v>
      </c>
      <c r="I35" s="1" t="str">
        <f>VLOOKUP(H35,LocalAreas.csv!I:J,2,FALSE)</f>
        <v>Hazelton/Kitwanga</v>
      </c>
      <c r="J35" t="str">
        <f t="shared" si="13"/>
        <v>rg:{'id':'200001'}</v>
      </c>
      <c r="K35" t="str">
        <f t="shared" si="12"/>
        <v>GERI</v>
      </c>
      <c r="M35">
        <f t="shared" ca="1" si="7"/>
        <v>12275</v>
      </c>
      <c r="N35" t="str">
        <f t="shared" ca="1" si="8"/>
        <v>rg:True</v>
      </c>
      <c r="O35" t="str">
        <f t="shared" ca="1" si="9"/>
        <v>rg:False</v>
      </c>
      <c r="P35">
        <f t="shared" ca="1" si="10"/>
        <v>732009</v>
      </c>
      <c r="Q35" t="str">
        <f t="shared" ca="1" si="11"/>
        <v>2017-11-20</v>
      </c>
      <c r="R35" t="str">
        <f t="shared" ca="1" si="11"/>
        <v>2017-08-29</v>
      </c>
      <c r="S35" t="s">
        <v>6663</v>
      </c>
      <c r="T35" t="s">
        <v>76</v>
      </c>
      <c r="U35" t="s">
        <v>76</v>
      </c>
      <c r="V35" t="s">
        <v>76</v>
      </c>
      <c r="W35" t="s">
        <v>6510</v>
      </c>
      <c r="X35" t="s">
        <v>6510</v>
      </c>
      <c r="Y35" t="s">
        <v>6510</v>
      </c>
      <c r="Z35" t="s">
        <v>6510</v>
      </c>
    </row>
    <row r="36" spans="1:26" x14ac:dyDescent="0.3">
      <c r="A36" t="s">
        <v>7</v>
      </c>
      <c r="B36" t="s">
        <v>3325</v>
      </c>
      <c r="C36">
        <f t="shared" si="3"/>
        <v>200034</v>
      </c>
      <c r="D36" t="str">
        <f t="shared" ca="1" si="0"/>
        <v>2012-06-21</v>
      </c>
      <c r="E36">
        <f>IFERROR(VLOOKUP(B36,Contacts.csv!C:D,2,FALSE),"")</f>
        <v>200034</v>
      </c>
      <c r="F36" t="str">
        <f t="shared" si="4"/>
        <v>rg:{'id':'200034'}</v>
      </c>
      <c r="G36" s="4" t="str">
        <f t="shared" si="5"/>
        <v>rg:[{'id':'200034'}]</v>
      </c>
      <c r="H36">
        <f t="shared" si="6"/>
        <v>200001</v>
      </c>
      <c r="I36" s="1" t="str">
        <f>VLOOKUP(H36,LocalAreas.csv!I:J,2,FALSE)</f>
        <v>Hazelton/Kitwanga</v>
      </c>
      <c r="J36" t="str">
        <f t="shared" si="13"/>
        <v>rg:{'id':'200001'}</v>
      </c>
      <c r="K36" t="str">
        <f t="shared" si="12"/>
        <v>GRAS</v>
      </c>
      <c r="M36">
        <f t="shared" ca="1" si="7"/>
        <v>11193</v>
      </c>
      <c r="N36" t="str">
        <f t="shared" ca="1" si="8"/>
        <v>rg:True</v>
      </c>
      <c r="O36" t="str">
        <f t="shared" ca="1" si="9"/>
        <v>rg:False</v>
      </c>
      <c r="P36">
        <f t="shared" ca="1" si="10"/>
        <v>732026</v>
      </c>
      <c r="Q36" t="str">
        <f t="shared" ca="1" si="11"/>
        <v>2017-05-23</v>
      </c>
      <c r="R36" t="str">
        <f t="shared" ca="1" si="11"/>
        <v>2017-12-17</v>
      </c>
      <c r="S36" t="s">
        <v>6663</v>
      </c>
      <c r="T36" t="s">
        <v>76</v>
      </c>
      <c r="U36" t="s">
        <v>76</v>
      </c>
      <c r="V36" t="s">
        <v>76</v>
      </c>
      <c r="W36" t="s">
        <v>6510</v>
      </c>
      <c r="X36" t="s">
        <v>6510</v>
      </c>
      <c r="Y36" t="s">
        <v>6510</v>
      </c>
      <c r="Z36" t="s">
        <v>6510</v>
      </c>
    </row>
    <row r="37" spans="1:26" x14ac:dyDescent="0.3">
      <c r="A37" t="s">
        <v>7</v>
      </c>
      <c r="B37" t="s">
        <v>4069</v>
      </c>
      <c r="C37">
        <f t="shared" si="3"/>
        <v>200035</v>
      </c>
      <c r="D37" t="str">
        <f t="shared" ca="1" si="0"/>
        <v>2013-12-22</v>
      </c>
      <c r="E37">
        <f>IFERROR(VLOOKUP(B37,Contacts.csv!C:D,2,FALSE),"")</f>
        <v>200035</v>
      </c>
      <c r="F37" t="str">
        <f t="shared" si="4"/>
        <v>rg:{'id':'200035'}</v>
      </c>
      <c r="G37" s="4" t="str">
        <f t="shared" si="5"/>
        <v>rg:[{'id':'200035'}]</v>
      </c>
      <c r="H37">
        <f t="shared" si="6"/>
        <v>200001</v>
      </c>
      <c r="I37" s="1" t="str">
        <f>VLOOKUP(H37,LocalAreas.csv!I:J,2,FALSE)</f>
        <v>Hazelton/Kitwanga</v>
      </c>
      <c r="J37" t="str">
        <f t="shared" si="13"/>
        <v>rg:{'id':'200001'}</v>
      </c>
      <c r="K37" t="str">
        <f t="shared" si="12"/>
        <v>GREA</v>
      </c>
      <c r="M37">
        <f t="shared" ca="1" si="7"/>
        <v>12555</v>
      </c>
      <c r="N37" t="str">
        <f t="shared" ca="1" si="8"/>
        <v>rg:True</v>
      </c>
      <c r="O37" t="str">
        <f t="shared" ca="1" si="9"/>
        <v>rg:False</v>
      </c>
      <c r="P37">
        <f t="shared" ca="1" si="10"/>
        <v>732019</v>
      </c>
      <c r="Q37" t="str">
        <f t="shared" ca="1" si="11"/>
        <v>2017-11-03</v>
      </c>
      <c r="R37" t="str">
        <f t="shared" ca="1" si="11"/>
        <v>2017-09-15</v>
      </c>
      <c r="S37" t="s">
        <v>6663</v>
      </c>
      <c r="T37" t="s">
        <v>76</v>
      </c>
      <c r="U37" t="s">
        <v>76</v>
      </c>
      <c r="V37" t="s">
        <v>76</v>
      </c>
      <c r="W37" t="s">
        <v>6510</v>
      </c>
      <c r="X37" t="s">
        <v>6510</v>
      </c>
      <c r="Y37" t="s">
        <v>6510</v>
      </c>
      <c r="Z37" t="s">
        <v>6510</v>
      </c>
    </row>
    <row r="38" spans="1:26" x14ac:dyDescent="0.3">
      <c r="A38" t="s">
        <v>7</v>
      </c>
      <c r="B38" t="s">
        <v>3554</v>
      </c>
      <c r="C38">
        <f t="shared" si="3"/>
        <v>200036</v>
      </c>
      <c r="D38" t="str">
        <f t="shared" ca="1" si="0"/>
        <v>2013-03-02</v>
      </c>
      <c r="E38">
        <f>IFERROR(VLOOKUP(B38,Contacts.csv!C:D,2,FALSE),"")</f>
        <v>200036</v>
      </c>
      <c r="F38" t="str">
        <f t="shared" si="4"/>
        <v>rg:{'id':'200036'}</v>
      </c>
      <c r="G38" s="4" t="str">
        <f t="shared" si="5"/>
        <v>rg:[{'id':'200036'}]</v>
      </c>
      <c r="H38">
        <f t="shared" si="6"/>
        <v>200001</v>
      </c>
      <c r="I38" s="1" t="str">
        <f>VLOOKUP(H38,LocalAreas.csv!I:J,2,FALSE)</f>
        <v>Hazelton/Kitwanga</v>
      </c>
      <c r="J38" t="str">
        <f t="shared" si="13"/>
        <v>rg:{'id':'200001'}</v>
      </c>
      <c r="K38" t="str">
        <f t="shared" si="12"/>
        <v>HAPP</v>
      </c>
      <c r="M38">
        <f t="shared" ca="1" si="7"/>
        <v>16891</v>
      </c>
      <c r="N38" t="str">
        <f t="shared" ca="1" si="8"/>
        <v>rg:True</v>
      </c>
      <c r="O38" t="str">
        <f t="shared" ca="1" si="9"/>
        <v>rg:False</v>
      </c>
      <c r="P38">
        <f t="shared" ca="1" si="10"/>
        <v>732033</v>
      </c>
      <c r="Q38" t="str">
        <f t="shared" ca="1" si="11"/>
        <v>2017-11-04</v>
      </c>
      <c r="R38" t="str">
        <f t="shared" ca="1" si="11"/>
        <v>2018-01-22</v>
      </c>
      <c r="S38" t="s">
        <v>6663</v>
      </c>
      <c r="T38" t="s">
        <v>76</v>
      </c>
      <c r="U38" t="s">
        <v>76</v>
      </c>
      <c r="V38" t="s">
        <v>76</v>
      </c>
      <c r="W38" t="s">
        <v>6510</v>
      </c>
      <c r="X38" t="s">
        <v>6510</v>
      </c>
      <c r="Y38" t="s">
        <v>6510</v>
      </c>
      <c r="Z38" t="s">
        <v>6510</v>
      </c>
    </row>
    <row r="39" spans="1:26" x14ac:dyDescent="0.3">
      <c r="A39" t="s">
        <v>7</v>
      </c>
      <c r="B39" t="s">
        <v>3255</v>
      </c>
      <c r="C39">
        <f t="shared" si="3"/>
        <v>200037</v>
      </c>
      <c r="D39" t="str">
        <f t="shared" ca="1" si="0"/>
        <v>2014-11-03</v>
      </c>
      <c r="E39">
        <f>IFERROR(VLOOKUP(B39,Contacts.csv!C:D,2,FALSE),"")</f>
        <v>200037</v>
      </c>
      <c r="F39" t="str">
        <f t="shared" si="4"/>
        <v>rg:{'id':'200037'}</v>
      </c>
      <c r="G39" s="4" t="str">
        <f t="shared" si="5"/>
        <v>rg:[{'id':'200037'}]</v>
      </c>
      <c r="H39">
        <f t="shared" si="6"/>
        <v>200001</v>
      </c>
      <c r="I39" s="1" t="str">
        <f>VLOOKUP(H39,LocalAreas.csv!I:J,2,FALSE)</f>
        <v>Hazelton/Kitwanga</v>
      </c>
      <c r="J39" t="str">
        <f t="shared" si="13"/>
        <v>rg:{'id':'200001'}</v>
      </c>
      <c r="K39" t="str">
        <f t="shared" si="12"/>
        <v>HARO</v>
      </c>
      <c r="M39">
        <f t="shared" ca="1" si="7"/>
        <v>10609</v>
      </c>
      <c r="N39" t="str">
        <f t="shared" ca="1" si="8"/>
        <v>rg:True</v>
      </c>
      <c r="O39" t="str">
        <f t="shared" ca="1" si="9"/>
        <v>rg:False</v>
      </c>
      <c r="P39">
        <f t="shared" ca="1" si="10"/>
        <v>732122</v>
      </c>
      <c r="Q39" t="str">
        <f t="shared" ca="1" si="11"/>
        <v>2018-02-01</v>
      </c>
      <c r="R39" t="str">
        <f t="shared" ca="1" si="11"/>
        <v>2017-06-26</v>
      </c>
      <c r="S39" t="s">
        <v>6663</v>
      </c>
      <c r="T39" t="s">
        <v>76</v>
      </c>
      <c r="U39" t="s">
        <v>76</v>
      </c>
      <c r="V39" t="s">
        <v>76</v>
      </c>
      <c r="W39" t="s">
        <v>6510</v>
      </c>
      <c r="X39" t="s">
        <v>6510</v>
      </c>
      <c r="Y39" t="s">
        <v>6510</v>
      </c>
      <c r="Z39" t="s">
        <v>6510</v>
      </c>
    </row>
    <row r="40" spans="1:26" x14ac:dyDescent="0.3">
      <c r="A40" t="s">
        <v>7</v>
      </c>
      <c r="B40" t="s">
        <v>3168</v>
      </c>
      <c r="C40">
        <f t="shared" si="3"/>
        <v>200038</v>
      </c>
      <c r="D40" t="str">
        <f t="shared" ca="1" si="0"/>
        <v>2005-01-22</v>
      </c>
      <c r="E40">
        <f>IFERROR(VLOOKUP(B40,Contacts.csv!C:D,2,FALSE),"")</f>
        <v>200038</v>
      </c>
      <c r="F40" t="str">
        <f t="shared" si="4"/>
        <v>rg:{'id':'200038'}</v>
      </c>
      <c r="G40" s="4" t="str">
        <f t="shared" si="5"/>
        <v>rg:[{'id':'200038'}]</v>
      </c>
      <c r="H40">
        <f t="shared" si="6"/>
        <v>200002</v>
      </c>
      <c r="I40" s="1" t="str">
        <f>VLOOKUP(H40,LocalAreas.csv!I:J,2,FALSE)</f>
        <v>Stewart/Meziadin</v>
      </c>
      <c r="J40" t="str">
        <f t="shared" si="13"/>
        <v>rg:{'id':'200002'}</v>
      </c>
      <c r="K40" t="str">
        <f t="shared" si="12"/>
        <v>HENR</v>
      </c>
      <c r="M40">
        <f t="shared" ca="1" si="7"/>
        <v>18574</v>
      </c>
      <c r="N40" t="str">
        <f t="shared" ca="1" si="8"/>
        <v>rg:True</v>
      </c>
      <c r="O40" t="str">
        <f t="shared" ca="1" si="9"/>
        <v>rg:False</v>
      </c>
      <c r="P40">
        <f t="shared" ca="1" si="10"/>
        <v>732101</v>
      </c>
      <c r="Q40" t="str">
        <f t="shared" ca="1" si="11"/>
        <v>2017-06-18</v>
      </c>
      <c r="R40" t="str">
        <f t="shared" ca="1" si="11"/>
        <v>2017-04-24</v>
      </c>
      <c r="S40" t="s">
        <v>6663</v>
      </c>
      <c r="T40" t="s">
        <v>76</v>
      </c>
      <c r="U40" t="s">
        <v>76</v>
      </c>
      <c r="V40" t="s">
        <v>76</v>
      </c>
      <c r="W40" t="s">
        <v>6510</v>
      </c>
      <c r="X40" t="s">
        <v>6510</v>
      </c>
      <c r="Y40" t="s">
        <v>6510</v>
      </c>
      <c r="Z40" t="s">
        <v>6510</v>
      </c>
    </row>
    <row r="41" spans="1:26" x14ac:dyDescent="0.3">
      <c r="A41" t="s">
        <v>7</v>
      </c>
      <c r="B41" t="s">
        <v>4552</v>
      </c>
      <c r="C41">
        <f t="shared" si="3"/>
        <v>200039</v>
      </c>
      <c r="D41" t="str">
        <f t="shared" ca="1" si="0"/>
        <v>2013-12-18</v>
      </c>
      <c r="E41">
        <f>IFERROR(VLOOKUP(B41,Contacts.csv!C:D,2,FALSE),"")</f>
        <v>200039</v>
      </c>
      <c r="F41" t="str">
        <f t="shared" si="4"/>
        <v>rg:{'id':'200039'}</v>
      </c>
      <c r="G41" s="4" t="str">
        <f t="shared" si="5"/>
        <v>rg:[{'id':'200039'}]</v>
      </c>
      <c r="H41">
        <f t="shared" si="6"/>
        <v>200002</v>
      </c>
      <c r="I41" s="1" t="str">
        <f>VLOOKUP(H41,LocalAreas.csv!I:J,2,FALSE)</f>
        <v>Stewart/Meziadin</v>
      </c>
      <c r="J41" t="str">
        <f t="shared" si="13"/>
        <v>rg:{'id':'200002'}</v>
      </c>
      <c r="K41" t="str">
        <f t="shared" si="12"/>
        <v>HIGH</v>
      </c>
      <c r="M41">
        <f t="shared" ca="1" si="7"/>
        <v>17985</v>
      </c>
      <c r="N41" t="str">
        <f t="shared" ca="1" si="8"/>
        <v>rg:True</v>
      </c>
      <c r="O41" t="str">
        <f t="shared" ca="1" si="9"/>
        <v>rg:False</v>
      </c>
      <c r="P41">
        <f t="shared" ca="1" si="10"/>
        <v>732197</v>
      </c>
      <c r="Q41" t="str">
        <f t="shared" ca="1" si="11"/>
        <v>2017-09-06</v>
      </c>
      <c r="R41" t="str">
        <f t="shared" ca="1" si="11"/>
        <v>2017-05-03</v>
      </c>
      <c r="S41" t="s">
        <v>6663</v>
      </c>
      <c r="T41" t="s">
        <v>76</v>
      </c>
      <c r="U41" t="s">
        <v>76</v>
      </c>
      <c r="V41" t="s">
        <v>76</v>
      </c>
      <c r="W41" t="s">
        <v>6510</v>
      </c>
      <c r="X41" t="s">
        <v>6510</v>
      </c>
      <c r="Y41" t="s">
        <v>6510</v>
      </c>
      <c r="Z41" t="s">
        <v>6510</v>
      </c>
    </row>
    <row r="42" spans="1:26" x14ac:dyDescent="0.3">
      <c r="A42" t="s">
        <v>7</v>
      </c>
      <c r="B42" t="s">
        <v>4213</v>
      </c>
      <c r="C42">
        <f t="shared" si="3"/>
        <v>200040</v>
      </c>
      <c r="D42" t="str">
        <f t="shared" ca="1" si="0"/>
        <v>2004-12-29</v>
      </c>
      <c r="E42">
        <f>IFERROR(VLOOKUP(B42,Contacts.csv!C:D,2,FALSE),"")</f>
        <v>200040</v>
      </c>
      <c r="F42" t="str">
        <f t="shared" si="4"/>
        <v>rg:{'id':'200040'}</v>
      </c>
      <c r="G42" s="4" t="str">
        <f t="shared" si="5"/>
        <v>rg:[{'id':'200040'}]</v>
      </c>
      <c r="H42">
        <f t="shared" si="6"/>
        <v>200002</v>
      </c>
      <c r="I42" s="1" t="str">
        <f>VLOOKUP(H42,LocalAreas.csv!I:J,2,FALSE)</f>
        <v>Stewart/Meziadin</v>
      </c>
      <c r="J42" t="str">
        <f t="shared" si="13"/>
        <v>rg:{'id':'200002'}</v>
      </c>
      <c r="K42" t="str">
        <f t="shared" si="12"/>
        <v>HUGH</v>
      </c>
      <c r="M42">
        <f t="shared" ca="1" si="7"/>
        <v>13381</v>
      </c>
      <c r="N42" t="str">
        <f t="shared" ca="1" si="8"/>
        <v>rg:True</v>
      </c>
      <c r="O42" t="str">
        <f t="shared" ca="1" si="9"/>
        <v>rg:False</v>
      </c>
      <c r="P42">
        <f t="shared" ca="1" si="10"/>
        <v>732094</v>
      </c>
      <c r="Q42" t="str">
        <f t="shared" ca="1" si="11"/>
        <v>2018-02-04</v>
      </c>
      <c r="R42" t="str">
        <f t="shared" ca="1" si="11"/>
        <v>2017-09-12</v>
      </c>
      <c r="S42" t="s">
        <v>6663</v>
      </c>
      <c r="T42" t="s">
        <v>76</v>
      </c>
      <c r="U42" t="s">
        <v>76</v>
      </c>
      <c r="V42" t="s">
        <v>76</v>
      </c>
      <c r="W42" t="s">
        <v>6510</v>
      </c>
      <c r="X42" t="s">
        <v>6510</v>
      </c>
      <c r="Y42" t="s">
        <v>6510</v>
      </c>
      <c r="Z42" t="s">
        <v>6510</v>
      </c>
    </row>
    <row r="43" spans="1:26" x14ac:dyDescent="0.3">
      <c r="A43" t="s">
        <v>7</v>
      </c>
      <c r="B43" t="s">
        <v>4864</v>
      </c>
      <c r="C43">
        <f t="shared" si="3"/>
        <v>200041</v>
      </c>
      <c r="D43" t="str">
        <f t="shared" ca="1" si="0"/>
        <v>2004-06-16</v>
      </c>
      <c r="E43">
        <f>IFERROR(VLOOKUP(B43,Contacts.csv!C:D,2,FALSE),"")</f>
        <v>200041</v>
      </c>
      <c r="F43" t="str">
        <f t="shared" si="4"/>
        <v>rg:{'id':'200041'}</v>
      </c>
      <c r="G43" s="4" t="str">
        <f t="shared" si="5"/>
        <v>rg:[{'id':'200041'}]</v>
      </c>
      <c r="H43">
        <f t="shared" si="6"/>
        <v>200002</v>
      </c>
      <c r="I43" s="1" t="str">
        <f>VLOOKUP(H43,LocalAreas.csv!I:J,2,FALSE)</f>
        <v>Stewart/Meziadin</v>
      </c>
      <c r="J43" t="str">
        <f t="shared" si="13"/>
        <v>rg:{'id':'200002'}</v>
      </c>
      <c r="K43" t="str">
        <f t="shared" si="12"/>
        <v>HUGH</v>
      </c>
      <c r="M43">
        <f t="shared" ca="1" si="7"/>
        <v>15314</v>
      </c>
      <c r="N43" t="str">
        <f t="shared" ca="1" si="8"/>
        <v>rg:True</v>
      </c>
      <c r="O43" t="str">
        <f t="shared" ca="1" si="9"/>
        <v>rg:False</v>
      </c>
      <c r="P43">
        <f t="shared" ca="1" si="10"/>
        <v>732157</v>
      </c>
      <c r="Q43" t="str">
        <f t="shared" ca="1" si="11"/>
        <v>2017-06-15</v>
      </c>
      <c r="R43" t="str">
        <f t="shared" ca="1" si="11"/>
        <v>2018-02-21</v>
      </c>
      <c r="S43" t="s">
        <v>6663</v>
      </c>
      <c r="T43" t="s">
        <v>76</v>
      </c>
      <c r="U43" t="s">
        <v>76</v>
      </c>
      <c r="V43" t="s">
        <v>76</v>
      </c>
      <c r="W43" t="s">
        <v>6510</v>
      </c>
      <c r="X43" t="s">
        <v>6510</v>
      </c>
      <c r="Y43" t="s">
        <v>6510</v>
      </c>
      <c r="Z43" t="s">
        <v>6510</v>
      </c>
    </row>
    <row r="44" spans="1:26" x14ac:dyDescent="0.3">
      <c r="A44" t="s">
        <v>7</v>
      </c>
      <c r="B44" t="s">
        <v>3619</v>
      </c>
      <c r="C44">
        <f t="shared" si="3"/>
        <v>200042</v>
      </c>
      <c r="D44" t="str">
        <f t="shared" ca="1" si="0"/>
        <v>2008-03-15</v>
      </c>
      <c r="E44">
        <f>IFERROR(VLOOKUP(B44,Contacts.csv!C:D,2,FALSE),"")</f>
        <v>200042</v>
      </c>
      <c r="F44" t="str">
        <f t="shared" si="4"/>
        <v>rg:{'id':'200042'}</v>
      </c>
      <c r="G44" s="4" t="str">
        <f t="shared" si="5"/>
        <v>rg:[{'id':'200042'}]</v>
      </c>
      <c r="H44">
        <f t="shared" si="6"/>
        <v>200002</v>
      </c>
      <c r="I44" s="1" t="str">
        <f>VLOOKUP(H44,LocalAreas.csv!I:J,2,FALSE)</f>
        <v>Stewart/Meziadin</v>
      </c>
      <c r="J44" t="str">
        <f t="shared" si="13"/>
        <v>rg:{'id':'200002'}</v>
      </c>
      <c r="K44" t="str">
        <f t="shared" si="12"/>
        <v>INDI</v>
      </c>
      <c r="M44">
        <f t="shared" ca="1" si="7"/>
        <v>10631</v>
      </c>
      <c r="N44" t="str">
        <f t="shared" ca="1" si="8"/>
        <v>rg:True</v>
      </c>
      <c r="O44" t="str">
        <f t="shared" ca="1" si="9"/>
        <v>rg:False</v>
      </c>
      <c r="P44">
        <f t="shared" ca="1" si="10"/>
        <v>732142</v>
      </c>
      <c r="Q44" t="str">
        <f t="shared" ca="1" si="11"/>
        <v>2017-11-02</v>
      </c>
      <c r="R44" t="str">
        <f t="shared" ca="1" si="11"/>
        <v>2017-03-31</v>
      </c>
      <c r="S44" t="s">
        <v>6663</v>
      </c>
      <c r="T44" t="s">
        <v>76</v>
      </c>
      <c r="U44" t="s">
        <v>76</v>
      </c>
      <c r="V44" t="s">
        <v>76</v>
      </c>
      <c r="W44" t="s">
        <v>6510</v>
      </c>
      <c r="X44" t="s">
        <v>6510</v>
      </c>
      <c r="Y44" t="s">
        <v>6510</v>
      </c>
      <c r="Z44" t="s">
        <v>6510</v>
      </c>
    </row>
    <row r="45" spans="1:26" x14ac:dyDescent="0.3">
      <c r="A45" t="s">
        <v>7</v>
      </c>
      <c r="B45" t="s">
        <v>3537</v>
      </c>
      <c r="C45">
        <f t="shared" si="3"/>
        <v>200043</v>
      </c>
      <c r="D45" t="str">
        <f t="shared" ca="1" si="0"/>
        <v>2010-11-10</v>
      </c>
      <c r="E45">
        <f>IFERROR(VLOOKUP(B45,Contacts.csv!C:D,2,FALSE),"")</f>
        <v>200043</v>
      </c>
      <c r="F45" t="str">
        <f t="shared" si="4"/>
        <v>rg:{'id':'200043'}</v>
      </c>
      <c r="G45" s="4" t="str">
        <f t="shared" si="5"/>
        <v>rg:[{'id':'200043'}]</v>
      </c>
      <c r="H45">
        <f t="shared" si="6"/>
        <v>200002</v>
      </c>
      <c r="I45" s="1" t="str">
        <f>VLOOKUP(H45,LocalAreas.csv!I:J,2,FALSE)</f>
        <v>Stewart/Meziadin</v>
      </c>
      <c r="J45" t="str">
        <f t="shared" si="13"/>
        <v>rg:{'id':'200002'}</v>
      </c>
      <c r="K45" t="str">
        <f t="shared" si="12"/>
        <v>JBRA</v>
      </c>
      <c r="M45">
        <f t="shared" ca="1" si="7"/>
        <v>10936</v>
      </c>
      <c r="N45" t="str">
        <f t="shared" ca="1" si="8"/>
        <v>rg:True</v>
      </c>
      <c r="O45" t="str">
        <f t="shared" ca="1" si="9"/>
        <v>rg:True</v>
      </c>
      <c r="P45">
        <f t="shared" ca="1" si="10"/>
        <v>732200</v>
      </c>
      <c r="Q45" t="str">
        <f t="shared" ca="1" si="11"/>
        <v>2017-05-30</v>
      </c>
      <c r="R45" t="str">
        <f t="shared" ca="1" si="11"/>
        <v>2018-02-25</v>
      </c>
      <c r="S45" t="s">
        <v>6663</v>
      </c>
      <c r="T45" t="s">
        <v>76</v>
      </c>
      <c r="U45" t="s">
        <v>76</v>
      </c>
      <c r="V45" t="s">
        <v>76</v>
      </c>
      <c r="W45" t="s">
        <v>6510</v>
      </c>
      <c r="X45" t="s">
        <v>6510</v>
      </c>
      <c r="Y45" t="s">
        <v>6510</v>
      </c>
      <c r="Z45" t="s">
        <v>6510</v>
      </c>
    </row>
    <row r="46" spans="1:26" x14ac:dyDescent="0.3">
      <c r="A46" t="s">
        <v>7</v>
      </c>
      <c r="B46" t="s">
        <v>3130</v>
      </c>
      <c r="C46">
        <f t="shared" si="3"/>
        <v>200044</v>
      </c>
      <c r="D46" t="str">
        <f t="shared" ca="1" si="0"/>
        <v>2014-07-23</v>
      </c>
      <c r="E46">
        <f>IFERROR(VLOOKUP(B46,Contacts.csv!C:D,2,FALSE),"")</f>
        <v>200044</v>
      </c>
      <c r="F46" t="str">
        <f t="shared" si="4"/>
        <v>rg:{'id':'200044'}</v>
      </c>
      <c r="G46" s="4" t="str">
        <f t="shared" si="5"/>
        <v>rg:[{'id':'200044'}]</v>
      </c>
      <c r="H46">
        <f t="shared" si="6"/>
        <v>200002</v>
      </c>
      <c r="I46" s="1" t="str">
        <f>VLOOKUP(H46,LocalAreas.csv!I:J,2,FALSE)</f>
        <v>Stewart/Meziadin</v>
      </c>
      <c r="J46" t="str">
        <f t="shared" si="13"/>
        <v>rg:{'id':'200002'}</v>
      </c>
      <c r="K46" t="str">
        <f t="shared" si="12"/>
        <v>JEAN</v>
      </c>
      <c r="M46">
        <f t="shared" ca="1" si="7"/>
        <v>19579</v>
      </c>
      <c r="N46" t="str">
        <f t="shared" ca="1" si="8"/>
        <v>rg:True</v>
      </c>
      <c r="O46" t="str">
        <f t="shared" ca="1" si="9"/>
        <v>rg:False</v>
      </c>
      <c r="P46">
        <f t="shared" ca="1" si="10"/>
        <v>732114</v>
      </c>
      <c r="Q46" t="str">
        <f t="shared" ca="1" si="11"/>
        <v>2017-07-11</v>
      </c>
      <c r="R46" t="str">
        <f t="shared" ca="1" si="11"/>
        <v>2018-01-21</v>
      </c>
      <c r="S46" t="s">
        <v>6663</v>
      </c>
      <c r="T46" t="s">
        <v>76</v>
      </c>
      <c r="U46" t="s">
        <v>76</v>
      </c>
      <c r="V46" t="s">
        <v>76</v>
      </c>
      <c r="W46" t="s">
        <v>6510</v>
      </c>
      <c r="X46" t="s">
        <v>6510</v>
      </c>
      <c r="Y46" t="s">
        <v>6510</v>
      </c>
      <c r="Z46" t="s">
        <v>6510</v>
      </c>
    </row>
    <row r="47" spans="1:26" x14ac:dyDescent="0.3">
      <c r="A47" t="s">
        <v>7</v>
      </c>
      <c r="B47" t="s">
        <v>4896</v>
      </c>
      <c r="C47">
        <f t="shared" si="3"/>
        <v>200045</v>
      </c>
      <c r="D47" t="str">
        <f t="shared" ca="1" si="0"/>
        <v>2009-04-13</v>
      </c>
      <c r="E47">
        <f>IFERROR(VLOOKUP(B47,Contacts.csv!C:D,2,FALSE),"")</f>
        <v>200045</v>
      </c>
      <c r="F47" t="str">
        <f t="shared" si="4"/>
        <v>rg:{'id':'200045'}</v>
      </c>
      <c r="G47" s="4" t="str">
        <f t="shared" si="5"/>
        <v>rg:[{'id':'200045'}]</v>
      </c>
      <c r="H47">
        <f t="shared" si="6"/>
        <v>200002</v>
      </c>
      <c r="I47" s="1" t="str">
        <f>VLOOKUP(H47,LocalAreas.csv!I:J,2,FALSE)</f>
        <v>Stewart/Meziadin</v>
      </c>
      <c r="J47" t="str">
        <f t="shared" si="13"/>
        <v>rg:{'id':'200002'}</v>
      </c>
      <c r="K47" t="str">
        <f t="shared" si="12"/>
        <v>KBTO</v>
      </c>
      <c r="M47">
        <f t="shared" ca="1" si="7"/>
        <v>16432</v>
      </c>
      <c r="N47" t="str">
        <f t="shared" ca="1" si="8"/>
        <v>rg:True</v>
      </c>
      <c r="O47" t="str">
        <f t="shared" ca="1" si="9"/>
        <v>rg:False</v>
      </c>
      <c r="P47">
        <f t="shared" ca="1" si="10"/>
        <v>732143</v>
      </c>
      <c r="Q47" t="str">
        <f t="shared" ca="1" si="11"/>
        <v>2017-08-01</v>
      </c>
      <c r="R47" t="str">
        <f t="shared" ca="1" si="11"/>
        <v>2017-07-26</v>
      </c>
      <c r="S47" t="s">
        <v>6663</v>
      </c>
      <c r="T47" t="s">
        <v>76</v>
      </c>
      <c r="U47" t="s">
        <v>76</v>
      </c>
      <c r="V47" t="s">
        <v>76</v>
      </c>
      <c r="W47" t="s">
        <v>6510</v>
      </c>
      <c r="X47" t="s">
        <v>6510</v>
      </c>
      <c r="Y47" t="s">
        <v>6510</v>
      </c>
      <c r="Z47" t="s">
        <v>6510</v>
      </c>
    </row>
    <row r="48" spans="1:26" x14ac:dyDescent="0.3">
      <c r="A48" t="s">
        <v>7</v>
      </c>
      <c r="B48" t="s">
        <v>4101</v>
      </c>
      <c r="C48">
        <f t="shared" si="3"/>
        <v>200046</v>
      </c>
      <c r="D48" t="str">
        <f t="shared" ca="1" si="0"/>
        <v>2016-03-01</v>
      </c>
      <c r="E48">
        <f>IFERROR(VLOOKUP(B48,Contacts.csv!C:D,2,FALSE),"")</f>
        <v>200046</v>
      </c>
      <c r="F48" t="str">
        <f t="shared" si="4"/>
        <v>rg:{'id':'200046'}</v>
      </c>
      <c r="G48" s="4" t="str">
        <f t="shared" si="5"/>
        <v>rg:[{'id':'200046'}]</v>
      </c>
      <c r="H48">
        <f t="shared" si="6"/>
        <v>200002</v>
      </c>
      <c r="I48" s="1" t="str">
        <f>VLOOKUP(H48,LocalAreas.csv!I:J,2,FALSE)</f>
        <v>Stewart/Meziadin</v>
      </c>
      <c r="J48" t="str">
        <f t="shared" si="13"/>
        <v>rg:{'id':'200002'}</v>
      </c>
      <c r="K48" t="str">
        <f t="shared" si="12"/>
        <v>KIDS</v>
      </c>
      <c r="M48">
        <f t="shared" ca="1" si="7"/>
        <v>17608</v>
      </c>
      <c r="N48" t="str">
        <f t="shared" ca="1" si="8"/>
        <v>rg:True</v>
      </c>
      <c r="O48" t="str">
        <f t="shared" ca="1" si="9"/>
        <v>rg:False</v>
      </c>
      <c r="P48">
        <f t="shared" ca="1" si="10"/>
        <v>732054</v>
      </c>
      <c r="Q48" t="str">
        <f t="shared" ca="1" si="11"/>
        <v>2018-01-14</v>
      </c>
      <c r="R48" t="str">
        <f t="shared" ca="1" si="11"/>
        <v>2017-08-16</v>
      </c>
      <c r="S48" t="s">
        <v>6663</v>
      </c>
      <c r="T48" t="s">
        <v>76</v>
      </c>
      <c r="U48" t="s">
        <v>76</v>
      </c>
      <c r="V48" t="s">
        <v>76</v>
      </c>
      <c r="W48" t="s">
        <v>6510</v>
      </c>
      <c r="X48" t="s">
        <v>6510</v>
      </c>
      <c r="Y48" t="s">
        <v>6510</v>
      </c>
      <c r="Z48" t="s">
        <v>6510</v>
      </c>
    </row>
    <row r="49" spans="1:26" x14ac:dyDescent="0.3">
      <c r="A49" t="s">
        <v>7</v>
      </c>
      <c r="B49" t="s">
        <v>4626</v>
      </c>
      <c r="C49">
        <f t="shared" si="3"/>
        <v>200047</v>
      </c>
      <c r="D49" t="str">
        <f t="shared" ca="1" si="0"/>
        <v>2008-02-03</v>
      </c>
      <c r="E49">
        <f>IFERROR(VLOOKUP(B49,Contacts.csv!C:D,2,FALSE),"")</f>
        <v>200047</v>
      </c>
      <c r="F49" t="str">
        <f t="shared" si="4"/>
        <v>rg:{'id':'200047'}</v>
      </c>
      <c r="G49" s="4" t="str">
        <f t="shared" si="5"/>
        <v>rg:[{'id':'200047'}]</v>
      </c>
      <c r="H49">
        <f t="shared" si="6"/>
        <v>200002</v>
      </c>
      <c r="I49" s="1" t="str">
        <f>VLOOKUP(H49,LocalAreas.csv!I:J,2,FALSE)</f>
        <v>Stewart/Meziadin</v>
      </c>
      <c r="J49" t="str">
        <f t="shared" si="13"/>
        <v>rg:{'id':'200002'}</v>
      </c>
      <c r="K49" t="str">
        <f t="shared" si="12"/>
        <v>KINN</v>
      </c>
      <c r="M49">
        <f t="shared" ca="1" si="7"/>
        <v>13297</v>
      </c>
      <c r="N49" t="str">
        <f t="shared" ca="1" si="8"/>
        <v>rg:True</v>
      </c>
      <c r="O49" t="str">
        <f t="shared" ca="1" si="9"/>
        <v>rg:False</v>
      </c>
      <c r="P49">
        <f t="shared" ca="1" si="10"/>
        <v>732077</v>
      </c>
      <c r="Q49" t="str">
        <f t="shared" ca="1" si="11"/>
        <v>2018-03-04</v>
      </c>
      <c r="R49" t="str">
        <f t="shared" ca="1" si="11"/>
        <v>2017-11-23</v>
      </c>
      <c r="S49" t="s">
        <v>6663</v>
      </c>
      <c r="T49" t="s">
        <v>76</v>
      </c>
      <c r="U49" t="s">
        <v>76</v>
      </c>
      <c r="V49" t="s">
        <v>76</v>
      </c>
      <c r="W49" t="s">
        <v>6510</v>
      </c>
      <c r="X49" t="s">
        <v>6510</v>
      </c>
      <c r="Y49" t="s">
        <v>6510</v>
      </c>
      <c r="Z49" t="s">
        <v>6510</v>
      </c>
    </row>
    <row r="50" spans="1:26" x14ac:dyDescent="0.3">
      <c r="A50" t="s">
        <v>7</v>
      </c>
      <c r="B50" t="s">
        <v>4309</v>
      </c>
      <c r="C50">
        <f t="shared" si="3"/>
        <v>200048</v>
      </c>
      <c r="D50" t="str">
        <f t="shared" ca="1" si="0"/>
        <v>2008-04-24</v>
      </c>
      <c r="E50">
        <f>IFERROR(VLOOKUP(B50,Contacts.csv!C:D,2,FALSE),"")</f>
        <v>200048</v>
      </c>
      <c r="F50" t="str">
        <f t="shared" si="4"/>
        <v>rg:{'id':'200048'}</v>
      </c>
      <c r="G50" s="4" t="str">
        <f t="shared" si="5"/>
        <v>rg:[{'id':'200048'}]</v>
      </c>
      <c r="H50">
        <f t="shared" si="6"/>
        <v>200002</v>
      </c>
      <c r="I50" s="1" t="str">
        <f>VLOOKUP(H50,LocalAreas.csv!I:J,2,FALSE)</f>
        <v>Stewart/Meziadin</v>
      </c>
      <c r="J50" t="str">
        <f t="shared" si="13"/>
        <v>rg:{'id':'200002'}</v>
      </c>
      <c r="K50" t="str">
        <f t="shared" si="12"/>
        <v>KNOX</v>
      </c>
      <c r="M50">
        <f t="shared" ca="1" si="7"/>
        <v>18067</v>
      </c>
      <c r="N50" t="str">
        <f t="shared" ca="1" si="8"/>
        <v>rg:True</v>
      </c>
      <c r="O50" t="str">
        <f t="shared" ca="1" si="9"/>
        <v>rg:False</v>
      </c>
      <c r="P50">
        <f t="shared" ca="1" si="10"/>
        <v>732009</v>
      </c>
      <c r="Q50" t="str">
        <f t="shared" ca="1" si="11"/>
        <v>2018-01-13</v>
      </c>
      <c r="R50" t="str">
        <f t="shared" ca="1" si="11"/>
        <v>2018-01-28</v>
      </c>
      <c r="S50" t="s">
        <v>6663</v>
      </c>
      <c r="T50" t="s">
        <v>76</v>
      </c>
      <c r="U50" t="s">
        <v>76</v>
      </c>
      <c r="V50" t="s">
        <v>76</v>
      </c>
      <c r="W50" t="s">
        <v>6510</v>
      </c>
      <c r="X50" t="s">
        <v>6510</v>
      </c>
      <c r="Y50" t="s">
        <v>6510</v>
      </c>
      <c r="Z50" t="s">
        <v>6510</v>
      </c>
    </row>
    <row r="51" spans="1:26" x14ac:dyDescent="0.3">
      <c r="A51" t="s">
        <v>7</v>
      </c>
      <c r="B51" t="s">
        <v>4371</v>
      </c>
      <c r="C51">
        <f t="shared" si="3"/>
        <v>200049</v>
      </c>
      <c r="D51" t="str">
        <f t="shared" ca="1" si="0"/>
        <v>2016-07-23</v>
      </c>
      <c r="E51">
        <f>IFERROR(VLOOKUP(B51,Contacts.csv!C:D,2,FALSE),"")</f>
        <v>200049</v>
      </c>
      <c r="F51" t="str">
        <f t="shared" si="4"/>
        <v>rg:{'id':'200049'}</v>
      </c>
      <c r="G51" s="4" t="str">
        <f t="shared" si="5"/>
        <v>rg:[{'id':'200049'}]</v>
      </c>
      <c r="H51">
        <f t="shared" si="6"/>
        <v>200002</v>
      </c>
      <c r="I51" s="1" t="str">
        <f>VLOOKUP(H51,LocalAreas.csv!I:J,2,FALSE)</f>
        <v>Stewart/Meziadin</v>
      </c>
      <c r="J51" t="str">
        <f t="shared" si="13"/>
        <v>rg:{'id':'200002'}</v>
      </c>
      <c r="K51" t="str">
        <f t="shared" si="12"/>
        <v>LAWN</v>
      </c>
      <c r="M51">
        <f t="shared" ca="1" si="7"/>
        <v>15145</v>
      </c>
      <c r="N51" t="str">
        <f t="shared" ca="1" si="8"/>
        <v>rg:True</v>
      </c>
      <c r="O51" t="str">
        <f t="shared" ca="1" si="9"/>
        <v>rg:False</v>
      </c>
      <c r="P51">
        <f t="shared" ca="1" si="10"/>
        <v>732189</v>
      </c>
      <c r="Q51" t="str">
        <f t="shared" ca="1" si="11"/>
        <v>2017-10-11</v>
      </c>
      <c r="R51" t="str">
        <f t="shared" ca="1" si="11"/>
        <v>2017-12-08</v>
      </c>
      <c r="S51" t="s">
        <v>6663</v>
      </c>
      <c r="T51" t="s">
        <v>76</v>
      </c>
      <c r="U51" t="s">
        <v>76</v>
      </c>
      <c r="V51" t="s">
        <v>76</v>
      </c>
      <c r="W51" t="s">
        <v>6510</v>
      </c>
      <c r="X51" t="s">
        <v>6510</v>
      </c>
      <c r="Y51" t="s">
        <v>6510</v>
      </c>
      <c r="Z51" t="s">
        <v>6510</v>
      </c>
    </row>
    <row r="52" spans="1:26" x14ac:dyDescent="0.3">
      <c r="A52" t="s">
        <v>7</v>
      </c>
      <c r="B52" t="s">
        <v>3949</v>
      </c>
      <c r="C52">
        <f t="shared" si="3"/>
        <v>200050</v>
      </c>
      <c r="D52" t="str">
        <f t="shared" ca="1" si="0"/>
        <v>2008-08-04</v>
      </c>
      <c r="E52">
        <f>IFERROR(VLOOKUP(B52,Contacts.csv!C:D,2,FALSE),"")</f>
        <v>200050</v>
      </c>
      <c r="F52" t="str">
        <f t="shared" si="4"/>
        <v>rg:{'id':'200050'}</v>
      </c>
      <c r="G52" s="4" t="str">
        <f t="shared" si="5"/>
        <v>rg:[{'id':'200050'}]</v>
      </c>
      <c r="H52">
        <f t="shared" si="6"/>
        <v>200002</v>
      </c>
      <c r="I52" s="1" t="str">
        <f>VLOOKUP(H52,LocalAreas.csv!I:J,2,FALSE)</f>
        <v>Stewart/Meziadin</v>
      </c>
      <c r="J52" t="str">
        <f t="shared" si="13"/>
        <v>rg:{'id':'200002'}</v>
      </c>
      <c r="K52" t="str">
        <f t="shared" si="12"/>
        <v>LIND</v>
      </c>
      <c r="M52">
        <f t="shared" ca="1" si="7"/>
        <v>15087</v>
      </c>
      <c r="N52" t="str">
        <f t="shared" ca="1" si="8"/>
        <v>rg:True</v>
      </c>
      <c r="O52" t="str">
        <f t="shared" ca="1" si="9"/>
        <v>rg:False</v>
      </c>
      <c r="P52">
        <f t="shared" ca="1" si="10"/>
        <v>732102</v>
      </c>
      <c r="Q52" t="str">
        <f t="shared" ca="1" si="11"/>
        <v>2017-03-26</v>
      </c>
      <c r="R52" t="str">
        <f t="shared" ca="1" si="11"/>
        <v>2017-08-11</v>
      </c>
      <c r="S52" t="s">
        <v>6663</v>
      </c>
      <c r="T52" t="s">
        <v>76</v>
      </c>
      <c r="U52" t="s">
        <v>76</v>
      </c>
      <c r="V52" t="s">
        <v>76</v>
      </c>
      <c r="W52" t="s">
        <v>6510</v>
      </c>
      <c r="X52" t="s">
        <v>6510</v>
      </c>
      <c r="Y52" t="s">
        <v>6510</v>
      </c>
      <c r="Z52" t="s">
        <v>6510</v>
      </c>
    </row>
    <row r="53" spans="1:26" x14ac:dyDescent="0.3">
      <c r="A53" t="s">
        <v>7</v>
      </c>
      <c r="B53" t="s">
        <v>3488</v>
      </c>
      <c r="C53">
        <f t="shared" si="3"/>
        <v>200051</v>
      </c>
      <c r="D53" t="str">
        <f t="shared" ca="1" si="0"/>
        <v>2004-09-19</v>
      </c>
      <c r="E53">
        <f>IFERROR(VLOOKUP(B53,Contacts.csv!C:D,2,FALSE),"")</f>
        <v>200051</v>
      </c>
      <c r="F53" t="str">
        <f t="shared" si="4"/>
        <v>rg:{'id':'200051'}</v>
      </c>
      <c r="G53" s="4" t="str">
        <f t="shared" si="5"/>
        <v>rg:[{'id':'200051'}]</v>
      </c>
      <c r="H53">
        <f t="shared" si="6"/>
        <v>200002</v>
      </c>
      <c r="I53" s="1" t="str">
        <f>VLOOKUP(H53,LocalAreas.csv!I:J,2,FALSE)</f>
        <v>Stewart/Meziadin</v>
      </c>
      <c r="J53" t="str">
        <f t="shared" si="13"/>
        <v>rg:{'id':'200002'}</v>
      </c>
      <c r="K53" t="str">
        <f t="shared" si="12"/>
        <v>LION</v>
      </c>
      <c r="M53">
        <f t="shared" ca="1" si="7"/>
        <v>10701</v>
      </c>
      <c r="N53" t="str">
        <f t="shared" ca="1" si="8"/>
        <v>rg:True</v>
      </c>
      <c r="O53" t="str">
        <f t="shared" ca="1" si="9"/>
        <v>rg:False</v>
      </c>
      <c r="P53">
        <f t="shared" ca="1" si="10"/>
        <v>732159</v>
      </c>
      <c r="Q53" t="str">
        <f t="shared" ca="1" si="11"/>
        <v>2017-07-23</v>
      </c>
      <c r="R53" t="str">
        <f t="shared" ca="1" si="11"/>
        <v>2017-03-21</v>
      </c>
      <c r="S53" t="s">
        <v>6665</v>
      </c>
      <c r="T53" t="s">
        <v>76</v>
      </c>
      <c r="U53" t="s">
        <v>76</v>
      </c>
      <c r="V53" t="s">
        <v>76</v>
      </c>
      <c r="W53" t="s">
        <v>6510</v>
      </c>
      <c r="X53" t="s">
        <v>6510</v>
      </c>
      <c r="Y53" t="s">
        <v>6510</v>
      </c>
      <c r="Z53" t="s">
        <v>6510</v>
      </c>
    </row>
    <row r="54" spans="1:26" x14ac:dyDescent="0.3">
      <c r="A54" t="s">
        <v>7</v>
      </c>
      <c r="B54" t="s">
        <v>4385</v>
      </c>
      <c r="C54">
        <f t="shared" si="3"/>
        <v>200052</v>
      </c>
      <c r="D54" t="str">
        <f t="shared" ca="1" si="0"/>
        <v>2014-11-06</v>
      </c>
      <c r="E54">
        <f>IFERROR(VLOOKUP(B54,Contacts.csv!C:D,2,FALSE),"")</f>
        <v>200052</v>
      </c>
      <c r="F54" t="str">
        <f t="shared" si="4"/>
        <v>rg:{'id':'200052'}</v>
      </c>
      <c r="G54" s="4" t="str">
        <f t="shared" si="5"/>
        <v>rg:[{'id':'200052'}]</v>
      </c>
      <c r="H54">
        <f t="shared" si="6"/>
        <v>200002</v>
      </c>
      <c r="I54" s="1" t="str">
        <f>VLOOKUP(H54,LocalAreas.csv!I:J,2,FALSE)</f>
        <v>Stewart/Meziadin</v>
      </c>
      <c r="J54" t="str">
        <f t="shared" si="13"/>
        <v>rg:{'id':'200002'}</v>
      </c>
      <c r="K54" t="str">
        <f t="shared" si="12"/>
        <v>LITT</v>
      </c>
      <c r="M54">
        <f t="shared" ca="1" si="7"/>
        <v>18247</v>
      </c>
      <c r="N54" t="str">
        <f t="shared" ca="1" si="8"/>
        <v>rg:True</v>
      </c>
      <c r="O54" t="str">
        <f t="shared" ca="1" si="9"/>
        <v>rg:False</v>
      </c>
      <c r="P54">
        <f t="shared" ca="1" si="10"/>
        <v>732040</v>
      </c>
      <c r="Q54" t="str">
        <f t="shared" ca="1" si="11"/>
        <v>2017-05-17</v>
      </c>
      <c r="R54" t="str">
        <f t="shared" ca="1" si="11"/>
        <v>2017-11-09</v>
      </c>
      <c r="S54" t="s">
        <v>6665</v>
      </c>
      <c r="T54" t="s">
        <v>76</v>
      </c>
      <c r="U54" t="s">
        <v>76</v>
      </c>
      <c r="V54" t="s">
        <v>76</v>
      </c>
      <c r="W54" t="s">
        <v>6510</v>
      </c>
      <c r="X54" t="s">
        <v>6510</v>
      </c>
      <c r="Y54" t="s">
        <v>6510</v>
      </c>
      <c r="Z54" t="s">
        <v>6510</v>
      </c>
    </row>
    <row r="55" spans="1:26" x14ac:dyDescent="0.3">
      <c r="A55" t="s">
        <v>7</v>
      </c>
      <c r="B55" t="s">
        <v>3359</v>
      </c>
      <c r="C55">
        <f t="shared" si="3"/>
        <v>200053</v>
      </c>
      <c r="D55" t="str">
        <f t="shared" ca="1" si="0"/>
        <v>2012-07-20</v>
      </c>
      <c r="E55">
        <f>IFERROR(VLOOKUP(B55,Contacts.csv!C:D,2,FALSE),"")</f>
        <v>200053</v>
      </c>
      <c r="F55" t="str">
        <f t="shared" si="4"/>
        <v>rg:{'id':'200053'}</v>
      </c>
      <c r="G55" s="4" t="str">
        <f t="shared" si="5"/>
        <v>rg:[{'id':'200053'}]</v>
      </c>
      <c r="H55">
        <f t="shared" si="6"/>
        <v>200002</v>
      </c>
      <c r="I55" s="1" t="str">
        <f>VLOOKUP(H55,LocalAreas.csv!I:J,2,FALSE)</f>
        <v>Stewart/Meziadin</v>
      </c>
      <c r="J55" t="str">
        <f t="shared" si="13"/>
        <v>rg:{'id':'200002'}</v>
      </c>
      <c r="K55" t="str">
        <f t="shared" si="12"/>
        <v>MAGI</v>
      </c>
      <c r="M55">
        <f t="shared" ca="1" si="7"/>
        <v>11244</v>
      </c>
      <c r="N55" t="str">
        <f t="shared" ca="1" si="8"/>
        <v>rg:True</v>
      </c>
      <c r="O55" t="str">
        <f t="shared" ca="1" si="9"/>
        <v>rg:False</v>
      </c>
      <c r="P55">
        <f t="shared" ca="1" si="10"/>
        <v>732097</v>
      </c>
      <c r="Q55" t="str">
        <f t="shared" ca="1" si="11"/>
        <v>2017-12-05</v>
      </c>
      <c r="R55" t="str">
        <f t="shared" ca="1" si="11"/>
        <v>2017-06-13</v>
      </c>
      <c r="S55" t="s">
        <v>6663</v>
      </c>
      <c r="T55" t="s">
        <v>76</v>
      </c>
      <c r="U55" t="s">
        <v>76</v>
      </c>
      <c r="V55" t="s">
        <v>76</v>
      </c>
      <c r="W55" t="s">
        <v>6510</v>
      </c>
      <c r="X55" t="s">
        <v>6510</v>
      </c>
      <c r="Y55" t="s">
        <v>6510</v>
      </c>
      <c r="Z55" t="s">
        <v>6510</v>
      </c>
    </row>
    <row r="56" spans="1:26" x14ac:dyDescent="0.3">
      <c r="A56" t="s">
        <v>7</v>
      </c>
      <c r="B56" t="s">
        <v>3731</v>
      </c>
      <c r="C56">
        <f t="shared" si="3"/>
        <v>200054</v>
      </c>
      <c r="D56" t="str">
        <f t="shared" ca="1" si="0"/>
        <v>2009-08-02</v>
      </c>
      <c r="E56">
        <f>IFERROR(VLOOKUP(B56,Contacts.csv!C:D,2,FALSE),"")</f>
        <v>200054</v>
      </c>
      <c r="F56" t="str">
        <f t="shared" si="4"/>
        <v>rg:{'id':'200054'}</v>
      </c>
      <c r="G56" s="4" t="str">
        <f t="shared" si="5"/>
        <v>rg:[{'id':'200054'}]</v>
      </c>
      <c r="H56">
        <f t="shared" si="6"/>
        <v>200002</v>
      </c>
      <c r="I56" s="1" t="str">
        <f>VLOOKUP(H56,LocalAreas.csv!I:J,2,FALSE)</f>
        <v>Stewart/Meziadin</v>
      </c>
      <c r="J56" t="str">
        <f t="shared" si="13"/>
        <v>rg:{'id':'200002'}</v>
      </c>
      <c r="K56" t="str">
        <f t="shared" si="12"/>
        <v>MANC</v>
      </c>
      <c r="M56">
        <f t="shared" ca="1" si="7"/>
        <v>11339</v>
      </c>
      <c r="N56" t="str">
        <f t="shared" ca="1" si="8"/>
        <v>rg:True</v>
      </c>
      <c r="O56" t="str">
        <f t="shared" ca="1" si="9"/>
        <v>rg:False</v>
      </c>
      <c r="P56">
        <f t="shared" ca="1" si="10"/>
        <v>732189</v>
      </c>
      <c r="Q56" t="str">
        <f t="shared" ca="1" si="11"/>
        <v>2017-05-01</v>
      </c>
      <c r="R56" t="str">
        <f t="shared" ca="1" si="11"/>
        <v>2017-09-08</v>
      </c>
      <c r="S56" t="s">
        <v>6663</v>
      </c>
      <c r="T56" t="s">
        <v>76</v>
      </c>
      <c r="U56" t="s">
        <v>76</v>
      </c>
      <c r="V56" t="s">
        <v>76</v>
      </c>
      <c r="W56" t="s">
        <v>6510</v>
      </c>
      <c r="X56" t="s">
        <v>6510</v>
      </c>
      <c r="Y56" t="s">
        <v>6510</v>
      </c>
      <c r="Z56" t="s">
        <v>6510</v>
      </c>
    </row>
    <row r="57" spans="1:26" x14ac:dyDescent="0.3">
      <c r="A57" t="s">
        <v>7</v>
      </c>
      <c r="B57" t="s">
        <v>3094</v>
      </c>
      <c r="C57">
        <f t="shared" si="3"/>
        <v>200055</v>
      </c>
      <c r="D57" t="str">
        <f t="shared" ca="1" si="0"/>
        <v>2004-02-18</v>
      </c>
      <c r="E57">
        <f>IFERROR(VLOOKUP(B57,Contacts.csv!C:D,2,FALSE),"")</f>
        <v>200055</v>
      </c>
      <c r="F57" t="str">
        <f t="shared" si="4"/>
        <v>rg:{'id':'200055'}</v>
      </c>
      <c r="G57" s="4" t="str">
        <f t="shared" si="5"/>
        <v>rg:[{'id':'200055'}]</v>
      </c>
      <c r="H57">
        <f t="shared" si="6"/>
        <v>200002</v>
      </c>
      <c r="I57" s="1" t="str">
        <f>VLOOKUP(H57,LocalAreas.csv!I:J,2,FALSE)</f>
        <v>Stewart/Meziadin</v>
      </c>
      <c r="J57" t="str">
        <f t="shared" si="13"/>
        <v>rg:{'id':'200002'}</v>
      </c>
      <c r="K57" t="str">
        <f t="shared" si="12"/>
        <v>MCDU</v>
      </c>
      <c r="M57">
        <f t="shared" ca="1" si="7"/>
        <v>15609</v>
      </c>
      <c r="N57" t="str">
        <f t="shared" ca="1" si="8"/>
        <v>rg:True</v>
      </c>
      <c r="O57" t="str">
        <f t="shared" ca="1" si="9"/>
        <v>rg:False</v>
      </c>
      <c r="P57">
        <f t="shared" ca="1" si="10"/>
        <v>732068</v>
      </c>
      <c r="Q57" t="str">
        <f t="shared" ca="1" si="11"/>
        <v>2017-11-03</v>
      </c>
      <c r="R57" t="str">
        <f t="shared" ca="1" si="11"/>
        <v>2017-06-12</v>
      </c>
      <c r="S57" t="s">
        <v>6663</v>
      </c>
      <c r="T57" t="s">
        <v>76</v>
      </c>
      <c r="U57" t="s">
        <v>76</v>
      </c>
      <c r="V57" t="s">
        <v>76</v>
      </c>
      <c r="W57" t="s">
        <v>6510</v>
      </c>
      <c r="X57" t="s">
        <v>6510</v>
      </c>
      <c r="Y57" t="s">
        <v>6510</v>
      </c>
      <c r="Z57" t="s">
        <v>6510</v>
      </c>
    </row>
    <row r="58" spans="1:26" x14ac:dyDescent="0.3">
      <c r="A58" t="s">
        <v>7</v>
      </c>
      <c r="B58" t="s">
        <v>4173</v>
      </c>
      <c r="C58">
        <f t="shared" si="3"/>
        <v>200056</v>
      </c>
      <c r="D58" t="str">
        <f t="shared" ca="1" si="0"/>
        <v>2008-05-27</v>
      </c>
      <c r="E58">
        <f>IFERROR(VLOOKUP(B58,Contacts.csv!C:D,2,FALSE),"")</f>
        <v>200056</v>
      </c>
      <c r="F58" t="str">
        <f t="shared" si="4"/>
        <v>rg:{'id':'200056'}</v>
      </c>
      <c r="G58" s="4" t="str">
        <f t="shared" si="5"/>
        <v>rg:[{'id':'200056'}]</v>
      </c>
      <c r="H58">
        <f t="shared" si="6"/>
        <v>200002</v>
      </c>
      <c r="I58" s="1" t="str">
        <f>VLOOKUP(H58,LocalAreas.csv!I:J,2,FALSE)</f>
        <v>Stewart/Meziadin</v>
      </c>
      <c r="J58" t="str">
        <f t="shared" si="13"/>
        <v>rg:{'id':'200002'}</v>
      </c>
      <c r="K58" t="str">
        <f t="shared" si="12"/>
        <v>MEGA</v>
      </c>
      <c r="M58">
        <f t="shared" ca="1" si="7"/>
        <v>10286</v>
      </c>
      <c r="N58" t="str">
        <f t="shared" ca="1" si="8"/>
        <v>rg:True</v>
      </c>
      <c r="O58" t="str">
        <f t="shared" ca="1" si="9"/>
        <v>rg:False</v>
      </c>
      <c r="P58">
        <f t="shared" ca="1" si="10"/>
        <v>732043</v>
      </c>
      <c r="Q58" t="str">
        <f t="shared" ca="1" si="11"/>
        <v>2018-02-18</v>
      </c>
      <c r="R58" t="str">
        <f t="shared" ca="1" si="11"/>
        <v>2017-09-07</v>
      </c>
      <c r="S58" t="s">
        <v>6663</v>
      </c>
      <c r="T58" t="s">
        <v>76</v>
      </c>
      <c r="U58" t="s">
        <v>76</v>
      </c>
      <c r="V58" t="s">
        <v>76</v>
      </c>
      <c r="W58" t="s">
        <v>6510</v>
      </c>
      <c r="X58" t="s">
        <v>6510</v>
      </c>
      <c r="Y58" t="s">
        <v>6510</v>
      </c>
      <c r="Z58" t="s">
        <v>6510</v>
      </c>
    </row>
    <row r="59" spans="1:26" x14ac:dyDescent="0.3">
      <c r="A59" t="s">
        <v>7</v>
      </c>
      <c r="B59" t="s">
        <v>3838</v>
      </c>
      <c r="C59">
        <f t="shared" si="3"/>
        <v>200057</v>
      </c>
      <c r="D59" t="str">
        <f t="shared" ca="1" si="0"/>
        <v>2014-03-07</v>
      </c>
      <c r="E59">
        <f>IFERROR(VLOOKUP(B59,Contacts.csv!C:D,2,FALSE),"")</f>
        <v>200057</v>
      </c>
      <c r="F59" t="str">
        <f t="shared" si="4"/>
        <v>rg:{'id':'200057'}</v>
      </c>
      <c r="G59" s="4" t="str">
        <f t="shared" si="5"/>
        <v>rg:[{'id':'200057'}]</v>
      </c>
      <c r="H59">
        <f t="shared" si="6"/>
        <v>200002</v>
      </c>
      <c r="I59" s="1" t="str">
        <f>VLOOKUP(H59,LocalAreas.csv!I:J,2,FALSE)</f>
        <v>Stewart/Meziadin</v>
      </c>
      <c r="J59" t="str">
        <f t="shared" si="13"/>
        <v>rg:{'id':'200002'}</v>
      </c>
      <c r="K59" t="str">
        <f t="shared" si="12"/>
        <v>MERV</v>
      </c>
      <c r="M59">
        <f t="shared" ca="1" si="7"/>
        <v>18691</v>
      </c>
      <c r="N59" t="str">
        <f t="shared" ca="1" si="8"/>
        <v>rg:True</v>
      </c>
      <c r="O59" t="str">
        <f t="shared" ca="1" si="9"/>
        <v>rg:False</v>
      </c>
      <c r="P59">
        <f t="shared" ca="1" si="10"/>
        <v>732027</v>
      </c>
      <c r="Q59" t="str">
        <f t="shared" ca="1" si="11"/>
        <v>2017-11-26</v>
      </c>
      <c r="R59" t="str">
        <f t="shared" ca="1" si="11"/>
        <v>2018-01-14</v>
      </c>
      <c r="S59" t="s">
        <v>6663</v>
      </c>
      <c r="T59" t="s">
        <v>76</v>
      </c>
      <c r="U59" t="s">
        <v>76</v>
      </c>
      <c r="V59" t="s">
        <v>76</v>
      </c>
      <c r="W59" t="s">
        <v>6510</v>
      </c>
      <c r="X59" t="s">
        <v>6510</v>
      </c>
      <c r="Y59" t="s">
        <v>6510</v>
      </c>
      <c r="Z59" t="s">
        <v>6510</v>
      </c>
    </row>
    <row r="60" spans="1:26" x14ac:dyDescent="0.3">
      <c r="A60" t="s">
        <v>7</v>
      </c>
      <c r="B60" t="s">
        <v>3748</v>
      </c>
      <c r="C60">
        <f t="shared" si="3"/>
        <v>200058</v>
      </c>
      <c r="D60" t="str">
        <f t="shared" ca="1" si="0"/>
        <v>2006-05-17</v>
      </c>
      <c r="E60">
        <f>IFERROR(VLOOKUP(B60,Contacts.csv!C:D,2,FALSE),"")</f>
        <v>200058</v>
      </c>
      <c r="F60" t="str">
        <f t="shared" si="4"/>
        <v>rg:{'id':'200058'}</v>
      </c>
      <c r="G60" s="4" t="str">
        <f t="shared" si="5"/>
        <v>rg:[{'id':'200058'}]</v>
      </c>
      <c r="H60">
        <f t="shared" si="6"/>
        <v>200003</v>
      </c>
      <c r="I60" s="1" t="str">
        <f>VLOOKUP(H60,LocalAreas.csv!I:J,2,FALSE)</f>
        <v>Cariboo</v>
      </c>
      <c r="J60" t="str">
        <f t="shared" si="13"/>
        <v>rg:{'id':'200003'}</v>
      </c>
      <c r="K60" t="str">
        <f t="shared" si="12"/>
        <v>MONK</v>
      </c>
      <c r="M60">
        <f t="shared" ca="1" si="7"/>
        <v>15375</v>
      </c>
      <c r="N60" t="str">
        <f t="shared" ca="1" si="8"/>
        <v>rg:True</v>
      </c>
      <c r="O60" t="str">
        <f t="shared" ca="1" si="9"/>
        <v>rg:True</v>
      </c>
      <c r="P60">
        <f t="shared" ca="1" si="10"/>
        <v>732128</v>
      </c>
      <c r="Q60" t="str">
        <f t="shared" ca="1" si="11"/>
        <v>2018-01-13</v>
      </c>
      <c r="R60" t="str">
        <f t="shared" ca="1" si="11"/>
        <v>2017-09-20</v>
      </c>
      <c r="S60" t="s">
        <v>6663</v>
      </c>
      <c r="T60" t="s">
        <v>76</v>
      </c>
      <c r="U60" t="s">
        <v>76</v>
      </c>
      <c r="V60" t="s">
        <v>76</v>
      </c>
      <c r="W60" t="s">
        <v>6510</v>
      </c>
      <c r="X60" t="s">
        <v>6510</v>
      </c>
      <c r="Y60" t="s">
        <v>6510</v>
      </c>
      <c r="Z60" t="s">
        <v>6510</v>
      </c>
    </row>
    <row r="61" spans="1:26" x14ac:dyDescent="0.3">
      <c r="A61" t="s">
        <v>7</v>
      </c>
      <c r="B61" t="s">
        <v>4583</v>
      </c>
      <c r="C61">
        <f t="shared" si="3"/>
        <v>200059</v>
      </c>
      <c r="D61" t="str">
        <f t="shared" ca="1" si="0"/>
        <v>2012-10-10</v>
      </c>
      <c r="E61">
        <f>IFERROR(VLOOKUP(B61,Contacts.csv!C:D,2,FALSE),"")</f>
        <v>200059</v>
      </c>
      <c r="F61" t="str">
        <f t="shared" si="4"/>
        <v>rg:{'id':'200059'}</v>
      </c>
      <c r="G61" s="4" t="str">
        <f t="shared" si="5"/>
        <v>rg:[{'id':'200059'}]</v>
      </c>
      <c r="H61">
        <f t="shared" si="6"/>
        <v>200003</v>
      </c>
      <c r="I61" s="1" t="str">
        <f>VLOOKUP(H61,LocalAreas.csv!I:J,2,FALSE)</f>
        <v>Cariboo</v>
      </c>
      <c r="J61" t="str">
        <f t="shared" si="13"/>
        <v>rg:{'id':'200003'}</v>
      </c>
      <c r="K61" t="str">
        <f t="shared" si="12"/>
        <v>MONS</v>
      </c>
      <c r="M61">
        <f t="shared" ca="1" si="7"/>
        <v>11988</v>
      </c>
      <c r="N61" t="str">
        <f t="shared" ca="1" si="8"/>
        <v>rg:True</v>
      </c>
      <c r="O61" t="str">
        <f t="shared" ca="1" si="9"/>
        <v>rg:False</v>
      </c>
      <c r="P61">
        <f t="shared" ca="1" si="10"/>
        <v>732057</v>
      </c>
      <c r="Q61" t="str">
        <f t="shared" ca="1" si="11"/>
        <v>2017-07-14</v>
      </c>
      <c r="R61" t="str">
        <f t="shared" ca="1" si="11"/>
        <v>2018-01-23</v>
      </c>
      <c r="S61" t="s">
        <v>6663</v>
      </c>
      <c r="T61" t="s">
        <v>76</v>
      </c>
      <c r="U61" t="s">
        <v>76</v>
      </c>
      <c r="V61" t="s">
        <v>76</v>
      </c>
      <c r="W61" t="s">
        <v>6510</v>
      </c>
      <c r="X61" t="s">
        <v>6510</v>
      </c>
      <c r="Y61" t="s">
        <v>6510</v>
      </c>
      <c r="Z61" t="s">
        <v>6510</v>
      </c>
    </row>
    <row r="62" spans="1:26" x14ac:dyDescent="0.3">
      <c r="A62" t="s">
        <v>7</v>
      </c>
      <c r="B62" t="s">
        <v>4463</v>
      </c>
      <c r="C62">
        <f t="shared" si="3"/>
        <v>200060</v>
      </c>
      <c r="D62" t="str">
        <f t="shared" ca="1" si="0"/>
        <v>2004-03-06</v>
      </c>
      <c r="E62">
        <f>IFERROR(VLOOKUP(B62,Contacts.csv!C:D,2,FALSE),"")</f>
        <v>200060</v>
      </c>
      <c r="F62" t="str">
        <f t="shared" si="4"/>
        <v>rg:{'id':'200060'}</v>
      </c>
      <c r="G62" s="4" t="str">
        <f t="shared" si="5"/>
        <v>rg:[{'id':'200060'}]</v>
      </c>
      <c r="H62">
        <f t="shared" si="6"/>
        <v>200003</v>
      </c>
      <c r="I62" s="1" t="str">
        <f>VLOOKUP(H62,LocalAreas.csv!I:J,2,FALSE)</f>
        <v>Cariboo</v>
      </c>
      <c r="J62" t="str">
        <f t="shared" si="13"/>
        <v>rg:{'id':'200003'}</v>
      </c>
      <c r="K62" t="str">
        <f t="shared" si="12"/>
        <v>MORR</v>
      </c>
      <c r="M62">
        <f t="shared" ca="1" si="7"/>
        <v>17400</v>
      </c>
      <c r="N62" t="str">
        <f t="shared" ca="1" si="8"/>
        <v>rg:True</v>
      </c>
      <c r="O62" t="str">
        <f t="shared" ca="1" si="9"/>
        <v>rg:False</v>
      </c>
      <c r="P62">
        <f t="shared" ca="1" si="10"/>
        <v>732117</v>
      </c>
      <c r="Q62" t="str">
        <f t="shared" ca="1" si="11"/>
        <v>2017-12-27</v>
      </c>
      <c r="R62" t="str">
        <f t="shared" ca="1" si="11"/>
        <v>2017-04-01</v>
      </c>
      <c r="S62" t="s">
        <v>6665</v>
      </c>
      <c r="T62" t="s">
        <v>76</v>
      </c>
      <c r="U62" t="s">
        <v>76</v>
      </c>
      <c r="V62" t="s">
        <v>76</v>
      </c>
      <c r="W62" t="s">
        <v>6510</v>
      </c>
      <c r="X62" t="s">
        <v>6510</v>
      </c>
      <c r="Y62" t="s">
        <v>6510</v>
      </c>
      <c r="Z62" t="s">
        <v>6510</v>
      </c>
    </row>
    <row r="63" spans="1:26" x14ac:dyDescent="0.3">
      <c r="A63" t="s">
        <v>7</v>
      </c>
      <c r="B63" t="s">
        <v>4275</v>
      </c>
      <c r="C63">
        <f t="shared" si="3"/>
        <v>200061</v>
      </c>
      <c r="D63" t="str">
        <f t="shared" ca="1" si="0"/>
        <v>2005-06-21</v>
      </c>
      <c r="E63">
        <f>IFERROR(VLOOKUP(B63,Contacts.csv!C:D,2,FALSE),"")</f>
        <v>200061</v>
      </c>
      <c r="F63" t="str">
        <f t="shared" si="4"/>
        <v>rg:{'id':'200061'}</v>
      </c>
      <c r="G63" s="4" t="str">
        <f t="shared" si="5"/>
        <v>rg:[{'id':'200061'}]</v>
      </c>
      <c r="H63">
        <f t="shared" si="6"/>
        <v>200003</v>
      </c>
      <c r="I63" s="1" t="str">
        <f>VLOOKUP(H63,LocalAreas.csv!I:J,2,FALSE)</f>
        <v>Cariboo</v>
      </c>
      <c r="J63" t="str">
        <f t="shared" si="13"/>
        <v>rg:{'id':'200003'}</v>
      </c>
      <c r="K63" t="str">
        <f t="shared" si="12"/>
        <v>MRAG</v>
      </c>
      <c r="M63">
        <f t="shared" ca="1" si="7"/>
        <v>11430</v>
      </c>
      <c r="N63" t="str">
        <f t="shared" ca="1" si="8"/>
        <v>rg:True</v>
      </c>
      <c r="O63" t="str">
        <f t="shared" ca="1" si="9"/>
        <v>rg:False</v>
      </c>
      <c r="P63">
        <f t="shared" ca="1" si="10"/>
        <v>732098</v>
      </c>
      <c r="Q63" t="str">
        <f t="shared" ca="1" si="11"/>
        <v>2017-11-25</v>
      </c>
      <c r="R63" t="str">
        <f t="shared" ca="1" si="11"/>
        <v>2018-03-13</v>
      </c>
      <c r="S63" t="s">
        <v>6663</v>
      </c>
      <c r="T63" t="s">
        <v>76</v>
      </c>
      <c r="U63" t="s">
        <v>76</v>
      </c>
      <c r="V63" t="s">
        <v>76</v>
      </c>
      <c r="W63" t="s">
        <v>6510</v>
      </c>
      <c r="X63" t="s">
        <v>6510</v>
      </c>
      <c r="Y63" t="s">
        <v>6510</v>
      </c>
      <c r="Z63" t="s">
        <v>6510</v>
      </c>
    </row>
    <row r="64" spans="1:26" x14ac:dyDescent="0.3">
      <c r="A64" t="s">
        <v>7</v>
      </c>
      <c r="B64" t="s">
        <v>3114</v>
      </c>
      <c r="C64">
        <f t="shared" si="3"/>
        <v>200062</v>
      </c>
      <c r="D64" t="str">
        <f t="shared" ca="1" si="0"/>
        <v>2010-02-16</v>
      </c>
      <c r="E64">
        <f>IFERROR(VLOOKUP(B64,Contacts.csv!C:D,2,FALSE),"")</f>
        <v>200062</v>
      </c>
      <c r="F64" t="str">
        <f t="shared" si="4"/>
        <v>rg:{'id':'200062'}</v>
      </c>
      <c r="G64" s="4" t="str">
        <f t="shared" si="5"/>
        <v>rg:[{'id':'200062'}]</v>
      </c>
      <c r="H64">
        <f t="shared" si="6"/>
        <v>200003</v>
      </c>
      <c r="I64" s="1" t="str">
        <f>VLOOKUP(H64,LocalAreas.csv!I:J,2,FALSE)</f>
        <v>Cariboo</v>
      </c>
      <c r="J64" t="str">
        <f t="shared" si="13"/>
        <v>rg:{'id':'200003'}</v>
      </c>
      <c r="K64" t="str">
        <f t="shared" si="12"/>
        <v>MUIR</v>
      </c>
      <c r="M64">
        <f t="shared" ca="1" si="7"/>
        <v>10967</v>
      </c>
      <c r="N64" t="str">
        <f t="shared" ca="1" si="8"/>
        <v>rg:True</v>
      </c>
      <c r="O64" t="str">
        <f t="shared" ca="1" si="9"/>
        <v>rg:False</v>
      </c>
      <c r="P64">
        <f t="shared" ca="1" si="10"/>
        <v>732064</v>
      </c>
      <c r="Q64" t="str">
        <f t="shared" ca="1" si="11"/>
        <v>2018-03-14</v>
      </c>
      <c r="R64" t="str">
        <f t="shared" ca="1" si="11"/>
        <v>2017-10-22</v>
      </c>
      <c r="S64" t="s">
        <v>6663</v>
      </c>
      <c r="T64" t="s">
        <v>76</v>
      </c>
      <c r="U64" t="s">
        <v>76</v>
      </c>
      <c r="V64" t="s">
        <v>76</v>
      </c>
      <c r="W64" t="s">
        <v>6510</v>
      </c>
      <c r="X64" t="s">
        <v>6510</v>
      </c>
      <c r="Y64" t="s">
        <v>6510</v>
      </c>
      <c r="Z64" t="s">
        <v>6510</v>
      </c>
    </row>
    <row r="65" spans="1:26" x14ac:dyDescent="0.3">
      <c r="A65" t="s">
        <v>7</v>
      </c>
      <c r="B65" t="s">
        <v>3150</v>
      </c>
      <c r="C65">
        <f t="shared" si="3"/>
        <v>200063</v>
      </c>
      <c r="D65" t="str">
        <f t="shared" ca="1" si="0"/>
        <v>2014-08-07</v>
      </c>
      <c r="E65">
        <f>IFERROR(VLOOKUP(B65,Contacts.csv!C:D,2,FALSE),"")</f>
        <v>200063</v>
      </c>
      <c r="F65" t="str">
        <f t="shared" si="4"/>
        <v>rg:{'id':'200063'}</v>
      </c>
      <c r="G65" s="4" t="str">
        <f t="shared" si="5"/>
        <v>rg:[{'id':'200063'}]</v>
      </c>
      <c r="H65">
        <f t="shared" si="6"/>
        <v>200003</v>
      </c>
      <c r="I65" s="1" t="str">
        <f>VLOOKUP(H65,LocalAreas.csv!I:J,2,FALSE)</f>
        <v>Cariboo</v>
      </c>
      <c r="J65" t="str">
        <f t="shared" si="13"/>
        <v>rg:{'id':'200003'}</v>
      </c>
      <c r="K65" t="str">
        <f t="shared" si="12"/>
        <v>MUSE</v>
      </c>
      <c r="M65">
        <f t="shared" ca="1" si="7"/>
        <v>17392</v>
      </c>
      <c r="N65" t="str">
        <f t="shared" ca="1" si="8"/>
        <v>rg:True</v>
      </c>
      <c r="O65" t="str">
        <f t="shared" ca="1" si="9"/>
        <v>rg:False</v>
      </c>
      <c r="P65">
        <f t="shared" ca="1" si="10"/>
        <v>732110</v>
      </c>
      <c r="Q65" t="str">
        <f t="shared" ca="1" si="11"/>
        <v>2017-06-01</v>
      </c>
      <c r="R65" t="str">
        <f t="shared" ca="1" si="11"/>
        <v>2017-12-03</v>
      </c>
      <c r="S65" t="s">
        <v>6664</v>
      </c>
      <c r="T65" t="s">
        <v>5389</v>
      </c>
      <c r="U65" t="s">
        <v>6667</v>
      </c>
      <c r="V65" t="str">
        <f ca="1">TEXT(TODAY()-RANDBETWEEN(10,350),"YYYY-MM-DD")</f>
        <v>2016-10-01</v>
      </c>
      <c r="W65" t="s">
        <v>6510</v>
      </c>
      <c r="X65" t="s">
        <v>6510</v>
      </c>
      <c r="Y65" t="s">
        <v>6510</v>
      </c>
      <c r="Z65" t="s">
        <v>6510</v>
      </c>
    </row>
    <row r="66" spans="1:26" x14ac:dyDescent="0.3">
      <c r="A66" t="s">
        <v>7</v>
      </c>
      <c r="B66" t="s">
        <v>4611</v>
      </c>
      <c r="C66">
        <f t="shared" si="3"/>
        <v>200064</v>
      </c>
      <c r="D66" t="str">
        <f t="shared" ref="D66:D109" ca="1" si="14">TEXT(TODAY()-RANDBETWEEN(200,5000),"YYYY-MM-DD")</f>
        <v>2013-03-27</v>
      </c>
      <c r="E66">
        <f>IFERROR(VLOOKUP(B66,Contacts.csv!C:D,2,FALSE),"")</f>
        <v>200064</v>
      </c>
      <c r="F66" t="str">
        <f t="shared" si="4"/>
        <v>rg:{'id':'200064'}</v>
      </c>
      <c r="G66" s="4" t="str">
        <f t="shared" si="5"/>
        <v>rg:[{'id':'200064'}]</v>
      </c>
      <c r="H66">
        <f t="shared" si="6"/>
        <v>200003</v>
      </c>
      <c r="I66" s="1" t="str">
        <f>VLOOKUP(H66,LocalAreas.csv!I:J,2,FALSE)</f>
        <v>Cariboo</v>
      </c>
      <c r="J66" t="str">
        <f t="shared" ref="J66:J97" si="15" xml:space="preserve"> "rg:{'id':'" &amp; H66 &amp; "'}"</f>
        <v>rg:{'id':'200003'}</v>
      </c>
      <c r="K66" t="str">
        <f t="shared" si="12"/>
        <v>MUSI</v>
      </c>
      <c r="M66">
        <f t="shared" ca="1" si="7"/>
        <v>10150</v>
      </c>
      <c r="N66" t="str">
        <f t="shared" ca="1" si="8"/>
        <v>rg:True</v>
      </c>
      <c r="O66" t="str">
        <f t="shared" ca="1" si="9"/>
        <v>rg:False</v>
      </c>
      <c r="P66">
        <f t="shared" ca="1" si="10"/>
        <v>732022</v>
      </c>
      <c r="Q66" t="str">
        <f t="shared" ca="1" si="11"/>
        <v>2018-02-01</v>
      </c>
      <c r="R66" t="str">
        <f t="shared" ca="1" si="11"/>
        <v>2017-06-09</v>
      </c>
      <c r="S66" t="s">
        <v>6663</v>
      </c>
      <c r="T66" t="s">
        <v>76</v>
      </c>
      <c r="U66" t="s">
        <v>76</v>
      </c>
      <c r="V66" t="s">
        <v>76</v>
      </c>
      <c r="W66" t="s">
        <v>6510</v>
      </c>
      <c r="X66" t="s">
        <v>6510</v>
      </c>
      <c r="Y66" t="s">
        <v>6510</v>
      </c>
      <c r="Z66" t="s">
        <v>6510</v>
      </c>
    </row>
    <row r="67" spans="1:26" x14ac:dyDescent="0.3">
      <c r="A67" t="s">
        <v>7</v>
      </c>
      <c r="B67" t="s">
        <v>4023</v>
      </c>
      <c r="C67">
        <f t="shared" ref="C67:C109" si="16">IF(ISNUMBER(C66),C66+1,101)</f>
        <v>200065</v>
      </c>
      <c r="D67" t="str">
        <f t="shared" ca="1" si="14"/>
        <v>2015-11-18</v>
      </c>
      <c r="E67">
        <f>IFERROR(VLOOKUP(B67,Contacts.csv!C:D,2,FALSE),"")</f>
        <v>200065</v>
      </c>
      <c r="F67" t="str">
        <f t="shared" ref="F67:F109" si="17">IF(ISNUMBER(E67),"rg:{'id':'" &amp; E67 &amp; "'}","rg:None")</f>
        <v>rg:{'id':'200065'}</v>
      </c>
      <c r="G67" s="4" t="str">
        <f t="shared" ref="G67:G109" si="18">IF(ISNUMBER(E67),"rg:[{'id':'" &amp; E67 &amp; "'}]","rg:[]")</f>
        <v>rg:[{'id':'200065'}]</v>
      </c>
      <c r="H67">
        <f t="shared" ref="H67:H109" si="19">IF(ISNUMBER(H66),IF(MOD(ROW(),20)=0,H66+1,H66),200000)</f>
        <v>200003</v>
      </c>
      <c r="I67" s="1" t="str">
        <f>VLOOKUP(H67,LocalAreas.csv!I:J,2,FALSE)</f>
        <v>Cariboo</v>
      </c>
      <c r="J67" t="str">
        <f t="shared" si="15"/>
        <v>rg:{'id':'200003'}</v>
      </c>
      <c r="K67" t="str">
        <f t="shared" ref="K67:K109" si="20">UPPER(LEFT(SUBSTITUTE(SUBSTITUTE(SUBSTITUTE(B67,"The","")," ",""),".",""),4))</f>
        <v>NATI</v>
      </c>
      <c r="M67">
        <f t="shared" ref="M67:M109" ca="1" si="21">RANDBETWEEN(10000,20000)</f>
        <v>19798</v>
      </c>
      <c r="N67" t="str">
        <f t="shared" ref="N67:N109" ca="1" si="22">IF(RANDBETWEEN(1,20)&gt;1,"rg:True","rg:True")</f>
        <v>rg:True</v>
      </c>
      <c r="O67" t="str">
        <f t="shared" ref="O67:O109" ca="1" si="23">IF(RANDBETWEEN(1,20)&gt;1,"rg:False","rg:True")</f>
        <v>rg:False</v>
      </c>
      <c r="P67">
        <f t="shared" ref="P67:P109" ca="1" si="24">RANDBETWEEN(732000,732200)</f>
        <v>732094</v>
      </c>
      <c r="Q67" t="str">
        <f t="shared" ref="Q67:R109" ca="1" si="25">TEXT(TODAY()+RANDBETWEEN(-10,350),"YYYY-MM-DD")</f>
        <v>2017-12-23</v>
      </c>
      <c r="R67" t="str">
        <f t="shared" ca="1" si="25"/>
        <v>2018-02-17</v>
      </c>
      <c r="S67" t="s">
        <v>6663</v>
      </c>
      <c r="T67" t="s">
        <v>76</v>
      </c>
      <c r="U67" t="s">
        <v>76</v>
      </c>
      <c r="V67" t="s">
        <v>76</v>
      </c>
      <c r="W67" t="s">
        <v>6510</v>
      </c>
      <c r="X67" t="s">
        <v>6510</v>
      </c>
      <c r="Y67" t="s">
        <v>6510</v>
      </c>
      <c r="Z67" t="s">
        <v>6510</v>
      </c>
    </row>
    <row r="68" spans="1:26" x14ac:dyDescent="0.3">
      <c r="A68" t="s">
        <v>7</v>
      </c>
      <c r="B68" t="s">
        <v>3933</v>
      </c>
      <c r="C68">
        <f t="shared" si="16"/>
        <v>200066</v>
      </c>
      <c r="D68" t="str">
        <f t="shared" ca="1" si="14"/>
        <v>2005-08-10</v>
      </c>
      <c r="E68">
        <f>IFERROR(VLOOKUP(B68,Contacts.csv!C:D,2,FALSE),"")</f>
        <v>200066</v>
      </c>
      <c r="F68" t="str">
        <f t="shared" si="17"/>
        <v>rg:{'id':'200066'}</v>
      </c>
      <c r="G68" s="4" t="str">
        <f t="shared" si="18"/>
        <v>rg:[{'id':'200066'}]</v>
      </c>
      <c r="H68">
        <f t="shared" si="19"/>
        <v>200003</v>
      </c>
      <c r="I68" s="1" t="str">
        <f>VLOOKUP(H68,LocalAreas.csv!I:J,2,FALSE)</f>
        <v>Cariboo</v>
      </c>
      <c r="J68" t="str">
        <f t="shared" si="15"/>
        <v>rg:{'id':'200003'}</v>
      </c>
      <c r="K68" t="s">
        <v>7614</v>
      </c>
      <c r="M68">
        <f t="shared" ca="1" si="21"/>
        <v>10673</v>
      </c>
      <c r="N68" t="str">
        <f t="shared" ca="1" si="22"/>
        <v>rg:True</v>
      </c>
      <c r="O68" t="str">
        <f t="shared" ca="1" si="23"/>
        <v>rg:False</v>
      </c>
      <c r="P68">
        <f t="shared" ca="1" si="24"/>
        <v>732125</v>
      </c>
      <c r="Q68" t="str">
        <f t="shared" ca="1" si="25"/>
        <v>2018-01-14</v>
      </c>
      <c r="R68" t="str">
        <f t="shared" ca="1" si="25"/>
        <v>2017-05-03</v>
      </c>
      <c r="S68" t="s">
        <v>6663</v>
      </c>
      <c r="T68" t="s">
        <v>76</v>
      </c>
      <c r="U68" t="s">
        <v>76</v>
      </c>
      <c r="V68" t="s">
        <v>76</v>
      </c>
      <c r="W68" t="s">
        <v>6510</v>
      </c>
      <c r="X68" t="s">
        <v>6510</v>
      </c>
      <c r="Y68" t="s">
        <v>6510</v>
      </c>
      <c r="Z68" t="s">
        <v>6510</v>
      </c>
    </row>
    <row r="69" spans="1:26" x14ac:dyDescent="0.3">
      <c r="A69" t="s">
        <v>7</v>
      </c>
      <c r="B69" t="s">
        <v>4447</v>
      </c>
      <c r="C69">
        <f t="shared" si="16"/>
        <v>200067</v>
      </c>
      <c r="D69" t="str">
        <f t="shared" ca="1" si="14"/>
        <v>2007-02-12</v>
      </c>
      <c r="E69">
        <f>IFERROR(VLOOKUP(B69,Contacts.csv!C:D,2,FALSE),"")</f>
        <v>200067</v>
      </c>
      <c r="F69" t="str">
        <f t="shared" si="17"/>
        <v>rg:{'id':'200067'}</v>
      </c>
      <c r="G69" s="4" t="str">
        <f t="shared" si="18"/>
        <v>rg:[{'id':'200067'}]</v>
      </c>
      <c r="H69">
        <f t="shared" si="19"/>
        <v>200003</v>
      </c>
      <c r="I69" s="1" t="str">
        <f>VLOOKUP(H69,LocalAreas.csv!I:J,2,FALSE)</f>
        <v>Cariboo</v>
      </c>
      <c r="J69" t="str">
        <f t="shared" si="15"/>
        <v>rg:{'id':'200003'}</v>
      </c>
      <c r="K69" t="str">
        <f t="shared" si="20"/>
        <v>NEWM</v>
      </c>
      <c r="M69">
        <f t="shared" ca="1" si="21"/>
        <v>17506</v>
      </c>
      <c r="N69" t="str">
        <f t="shared" ca="1" si="22"/>
        <v>rg:True</v>
      </c>
      <c r="O69" t="str">
        <f t="shared" ca="1" si="23"/>
        <v>rg:False</v>
      </c>
      <c r="P69">
        <f t="shared" ca="1" si="24"/>
        <v>732159</v>
      </c>
      <c r="Q69" t="str">
        <f t="shared" ca="1" si="25"/>
        <v>2017-06-25</v>
      </c>
      <c r="R69" t="str">
        <f t="shared" ca="1" si="25"/>
        <v>2017-10-18</v>
      </c>
      <c r="S69" t="s">
        <v>6663</v>
      </c>
      <c r="T69" t="s">
        <v>76</v>
      </c>
      <c r="U69" t="s">
        <v>76</v>
      </c>
      <c r="V69" t="s">
        <v>76</v>
      </c>
      <c r="W69" t="s">
        <v>6510</v>
      </c>
      <c r="X69" t="s">
        <v>6510</v>
      </c>
      <c r="Y69" t="s">
        <v>6510</v>
      </c>
      <c r="Z69" t="s">
        <v>6510</v>
      </c>
    </row>
    <row r="70" spans="1:26" x14ac:dyDescent="0.3">
      <c r="A70" t="s">
        <v>7</v>
      </c>
      <c r="B70" t="s">
        <v>4569</v>
      </c>
      <c r="C70">
        <f t="shared" si="16"/>
        <v>200068</v>
      </c>
      <c r="D70" t="str">
        <f t="shared" ca="1" si="14"/>
        <v>2014-06-29</v>
      </c>
      <c r="E70">
        <f>IFERROR(VLOOKUP(B70,Contacts.csv!C:D,2,FALSE),"")</f>
        <v>200068</v>
      </c>
      <c r="F70" t="str">
        <f t="shared" si="17"/>
        <v>rg:{'id':'200068'}</v>
      </c>
      <c r="G70" s="4" t="str">
        <f t="shared" si="18"/>
        <v>rg:[{'id':'200068'}]</v>
      </c>
      <c r="H70">
        <f t="shared" si="19"/>
        <v>200003</v>
      </c>
      <c r="I70" s="1" t="str">
        <f>VLOOKUP(H70,LocalAreas.csv!I:J,2,FALSE)</f>
        <v>Cariboo</v>
      </c>
      <c r="J70" t="str">
        <f t="shared" si="15"/>
        <v>rg:{'id':'200003'}</v>
      </c>
      <c r="K70" t="str">
        <f t="shared" si="20"/>
        <v>OLDA</v>
      </c>
      <c r="M70">
        <f t="shared" ca="1" si="21"/>
        <v>19017</v>
      </c>
      <c r="N70" t="str">
        <f t="shared" ca="1" si="22"/>
        <v>rg:True</v>
      </c>
      <c r="O70" t="str">
        <f t="shared" ca="1" si="23"/>
        <v>rg:False</v>
      </c>
      <c r="P70">
        <f t="shared" ca="1" si="24"/>
        <v>732118</v>
      </c>
      <c r="Q70" t="str">
        <f t="shared" ca="1" si="25"/>
        <v>2017-11-26</v>
      </c>
      <c r="R70" t="str">
        <f t="shared" ca="1" si="25"/>
        <v>2017-11-30</v>
      </c>
      <c r="S70" t="s">
        <v>6663</v>
      </c>
      <c r="T70" t="s">
        <v>76</v>
      </c>
      <c r="U70" t="s">
        <v>76</v>
      </c>
      <c r="V70" t="s">
        <v>76</v>
      </c>
      <c r="W70" t="s">
        <v>6510</v>
      </c>
      <c r="X70" t="s">
        <v>6510</v>
      </c>
      <c r="Y70" t="s">
        <v>6510</v>
      </c>
      <c r="Z70" t="s">
        <v>6510</v>
      </c>
    </row>
    <row r="71" spans="1:26" x14ac:dyDescent="0.3">
      <c r="A71" t="s">
        <v>7</v>
      </c>
      <c r="B71" t="s">
        <v>3795</v>
      </c>
      <c r="C71">
        <f t="shared" si="16"/>
        <v>200069</v>
      </c>
      <c r="D71" t="str">
        <f t="shared" ca="1" si="14"/>
        <v>2015-07-16</v>
      </c>
      <c r="E71">
        <f>IFERROR(VLOOKUP(B71,Contacts.csv!C:D,2,FALSE),"")</f>
        <v>200069</v>
      </c>
      <c r="F71" t="str">
        <f t="shared" si="17"/>
        <v>rg:{'id':'200069'}</v>
      </c>
      <c r="G71" s="4" t="str">
        <f t="shared" si="18"/>
        <v>rg:[{'id':'200069'}]</v>
      </c>
      <c r="H71">
        <f t="shared" si="19"/>
        <v>200003</v>
      </c>
      <c r="I71" s="1" t="str">
        <f>VLOOKUP(H71,LocalAreas.csv!I:J,2,FALSE)</f>
        <v>Cariboo</v>
      </c>
      <c r="J71" t="str">
        <f t="shared" si="15"/>
        <v>rg:{'id':'200003'}</v>
      </c>
      <c r="K71" t="str">
        <f t="shared" si="20"/>
        <v>ORAN</v>
      </c>
      <c r="M71">
        <f t="shared" ca="1" si="21"/>
        <v>19314</v>
      </c>
      <c r="N71" t="str">
        <f t="shared" ca="1" si="22"/>
        <v>rg:True</v>
      </c>
      <c r="O71" t="str">
        <f t="shared" ca="1" si="23"/>
        <v>rg:True</v>
      </c>
      <c r="P71">
        <f t="shared" ca="1" si="24"/>
        <v>732198</v>
      </c>
      <c r="Q71" t="str">
        <f t="shared" ca="1" si="25"/>
        <v>2017-11-22</v>
      </c>
      <c r="R71" t="str">
        <f t="shared" ca="1" si="25"/>
        <v>2018-01-29</v>
      </c>
      <c r="S71" t="s">
        <v>6663</v>
      </c>
      <c r="T71" t="s">
        <v>76</v>
      </c>
      <c r="U71" t="s">
        <v>76</v>
      </c>
      <c r="V71" t="s">
        <v>76</v>
      </c>
      <c r="W71" t="s">
        <v>6510</v>
      </c>
      <c r="X71" t="s">
        <v>6510</v>
      </c>
      <c r="Y71" t="s">
        <v>6510</v>
      </c>
      <c r="Z71" t="s">
        <v>6510</v>
      </c>
    </row>
    <row r="72" spans="1:26" x14ac:dyDescent="0.3">
      <c r="A72" t="s">
        <v>7</v>
      </c>
      <c r="B72" t="s">
        <v>4415</v>
      </c>
      <c r="C72">
        <f t="shared" si="16"/>
        <v>200070</v>
      </c>
      <c r="D72" t="str">
        <f t="shared" ca="1" si="14"/>
        <v>2010-12-21</v>
      </c>
      <c r="E72">
        <f>IFERROR(VLOOKUP(B72,Contacts.csv!C:D,2,FALSE),"")</f>
        <v>200070</v>
      </c>
      <c r="F72" t="str">
        <f t="shared" si="17"/>
        <v>rg:{'id':'200070'}</v>
      </c>
      <c r="G72" s="4" t="str">
        <f t="shared" si="18"/>
        <v>rg:[{'id':'200070'}]</v>
      </c>
      <c r="H72">
        <f t="shared" si="19"/>
        <v>200003</v>
      </c>
      <c r="I72" s="1" t="str">
        <f>VLOOKUP(H72,LocalAreas.csv!I:J,2,FALSE)</f>
        <v>Cariboo</v>
      </c>
      <c r="J72" t="str">
        <f t="shared" si="15"/>
        <v>rg:{'id':'200003'}</v>
      </c>
      <c r="K72" t="str">
        <f t="shared" si="20"/>
        <v>PSAM</v>
      </c>
      <c r="M72">
        <f t="shared" ca="1" si="21"/>
        <v>15437</v>
      </c>
      <c r="N72" t="str">
        <f t="shared" ca="1" si="22"/>
        <v>rg:True</v>
      </c>
      <c r="O72" t="str">
        <f t="shared" ca="1" si="23"/>
        <v>rg:False</v>
      </c>
      <c r="P72">
        <f t="shared" ca="1" si="24"/>
        <v>732156</v>
      </c>
      <c r="Q72" t="str">
        <f t="shared" ca="1" si="25"/>
        <v>2017-03-28</v>
      </c>
      <c r="R72" t="str">
        <f t="shared" ca="1" si="25"/>
        <v>2017-10-31</v>
      </c>
      <c r="S72" t="s">
        <v>6663</v>
      </c>
      <c r="T72" t="s">
        <v>76</v>
      </c>
      <c r="U72" t="s">
        <v>76</v>
      </c>
      <c r="V72" t="s">
        <v>76</v>
      </c>
      <c r="W72" t="s">
        <v>6510</v>
      </c>
      <c r="X72" t="s">
        <v>6510</v>
      </c>
      <c r="Y72" t="s">
        <v>6510</v>
      </c>
      <c r="Z72" t="s">
        <v>6510</v>
      </c>
    </row>
    <row r="73" spans="1:26" x14ac:dyDescent="0.3">
      <c r="A73" t="s">
        <v>7</v>
      </c>
      <c r="B73" t="s">
        <v>3342</v>
      </c>
      <c r="C73">
        <f t="shared" si="16"/>
        <v>200071</v>
      </c>
      <c r="D73" t="str">
        <f t="shared" ca="1" si="14"/>
        <v>2010-06-18</v>
      </c>
      <c r="E73">
        <f>IFERROR(VLOOKUP(B73,Contacts.csv!C:D,2,FALSE),"")</f>
        <v>200071</v>
      </c>
      <c r="F73" t="str">
        <f t="shared" si="17"/>
        <v>rg:{'id':'200071'}</v>
      </c>
      <c r="G73" s="4" t="str">
        <f t="shared" si="18"/>
        <v>rg:[{'id':'200071'}]</v>
      </c>
      <c r="H73">
        <f t="shared" si="19"/>
        <v>200003</v>
      </c>
      <c r="I73" s="1" t="str">
        <f>VLOOKUP(H73,LocalAreas.csv!I:J,2,FALSE)</f>
        <v>Cariboo</v>
      </c>
      <c r="J73" t="str">
        <f t="shared" si="15"/>
        <v>rg:{'id':'200003'}</v>
      </c>
      <c r="K73" t="str">
        <f t="shared" si="20"/>
        <v>PANT</v>
      </c>
      <c r="M73">
        <f t="shared" ca="1" si="21"/>
        <v>12053</v>
      </c>
      <c r="N73" t="str">
        <f t="shared" ca="1" si="22"/>
        <v>rg:True</v>
      </c>
      <c r="O73" t="str">
        <f t="shared" ca="1" si="23"/>
        <v>rg:False</v>
      </c>
      <c r="P73">
        <f t="shared" ca="1" si="24"/>
        <v>732122</v>
      </c>
      <c r="Q73" t="str">
        <f t="shared" ca="1" si="25"/>
        <v>2017-12-17</v>
      </c>
      <c r="R73" t="str">
        <f t="shared" ca="1" si="25"/>
        <v>2017-12-03</v>
      </c>
      <c r="S73" t="s">
        <v>6665</v>
      </c>
      <c r="T73" t="s">
        <v>76</v>
      </c>
      <c r="U73" t="s">
        <v>76</v>
      </c>
      <c r="V73" t="s">
        <v>76</v>
      </c>
      <c r="W73" t="s">
        <v>6510</v>
      </c>
      <c r="X73" t="s">
        <v>6510</v>
      </c>
      <c r="Y73" t="s">
        <v>6510</v>
      </c>
      <c r="Z73" t="s">
        <v>6510</v>
      </c>
    </row>
    <row r="74" spans="1:26" x14ac:dyDescent="0.3">
      <c r="A74" t="s">
        <v>7</v>
      </c>
      <c r="B74" t="s">
        <v>3376</v>
      </c>
      <c r="C74">
        <f t="shared" si="16"/>
        <v>200072</v>
      </c>
      <c r="D74" t="str">
        <f t="shared" ca="1" si="14"/>
        <v>2004-07-14</v>
      </c>
      <c r="E74">
        <f>IFERROR(VLOOKUP(B74,Contacts.csv!C:D,2,FALSE),"")</f>
        <v>200072</v>
      </c>
      <c r="F74" t="str">
        <f t="shared" si="17"/>
        <v>rg:{'id':'200072'}</v>
      </c>
      <c r="G74" s="4" t="str">
        <f t="shared" si="18"/>
        <v>rg:[{'id':'200072'}]</v>
      </c>
      <c r="H74">
        <f t="shared" si="19"/>
        <v>200003</v>
      </c>
      <c r="I74" s="1" t="str">
        <f>VLOOKUP(H74,LocalAreas.csv!I:J,2,FALSE)</f>
        <v>Cariboo</v>
      </c>
      <c r="J74" t="str">
        <f t="shared" si="15"/>
        <v>rg:{'id':'200003'}</v>
      </c>
      <c r="K74" t="s">
        <v>7613</v>
      </c>
      <c r="M74">
        <f t="shared" ca="1" si="21"/>
        <v>18152</v>
      </c>
      <c r="N74" t="str">
        <f t="shared" ca="1" si="22"/>
        <v>rg:True</v>
      </c>
      <c r="O74" t="str">
        <f t="shared" ca="1" si="23"/>
        <v>rg:False</v>
      </c>
      <c r="P74">
        <f t="shared" ca="1" si="24"/>
        <v>732110</v>
      </c>
      <c r="Q74" t="str">
        <f t="shared" ca="1" si="25"/>
        <v>2018-02-04</v>
      </c>
      <c r="R74" t="str">
        <f t="shared" ca="1" si="25"/>
        <v>2018-02-22</v>
      </c>
      <c r="S74" t="s">
        <v>6663</v>
      </c>
      <c r="T74" t="s">
        <v>76</v>
      </c>
      <c r="U74" t="s">
        <v>76</v>
      </c>
      <c r="V74" t="s">
        <v>76</v>
      </c>
      <c r="W74" t="s">
        <v>6510</v>
      </c>
      <c r="X74" t="s">
        <v>6510</v>
      </c>
      <c r="Y74" t="s">
        <v>6510</v>
      </c>
      <c r="Z74" t="s">
        <v>6510</v>
      </c>
    </row>
    <row r="75" spans="1:26" x14ac:dyDescent="0.3">
      <c r="A75" t="s">
        <v>7</v>
      </c>
      <c r="B75" t="s">
        <v>3683</v>
      </c>
      <c r="C75">
        <f t="shared" si="16"/>
        <v>200073</v>
      </c>
      <c r="D75" t="str">
        <f t="shared" ca="1" si="14"/>
        <v>2006-09-23</v>
      </c>
      <c r="E75">
        <f>IFERROR(VLOOKUP(B75,Contacts.csv!C:D,2,FALSE),"")</f>
        <v>200073</v>
      </c>
      <c r="F75" t="str">
        <f t="shared" si="17"/>
        <v>rg:{'id':'200073'}</v>
      </c>
      <c r="G75" s="4" t="str">
        <f t="shared" si="18"/>
        <v>rg:[{'id':'200073'}]</v>
      </c>
      <c r="H75">
        <f t="shared" si="19"/>
        <v>200003</v>
      </c>
      <c r="I75" s="1" t="str">
        <f>VLOOKUP(H75,LocalAreas.csv!I:J,2,FALSE)</f>
        <v>Cariboo</v>
      </c>
      <c r="J75" t="str">
        <f t="shared" si="15"/>
        <v>rg:{'id':'200003'}</v>
      </c>
      <c r="K75" t="str">
        <f t="shared" si="20"/>
        <v>PART</v>
      </c>
      <c r="M75">
        <f t="shared" ca="1" si="21"/>
        <v>11086</v>
      </c>
      <c r="N75" t="str">
        <f t="shared" ca="1" si="22"/>
        <v>rg:True</v>
      </c>
      <c r="O75" t="str">
        <f t="shared" ca="1" si="23"/>
        <v>rg:False</v>
      </c>
      <c r="P75">
        <f t="shared" ca="1" si="24"/>
        <v>732138</v>
      </c>
      <c r="Q75" t="str">
        <f t="shared" ca="1" si="25"/>
        <v>2017-07-11</v>
      </c>
      <c r="R75" t="str">
        <f t="shared" ca="1" si="25"/>
        <v>2017-06-18</v>
      </c>
      <c r="S75" t="s">
        <v>6663</v>
      </c>
      <c r="T75" t="s">
        <v>76</v>
      </c>
      <c r="U75" t="s">
        <v>76</v>
      </c>
      <c r="V75" t="s">
        <v>76</v>
      </c>
      <c r="W75" t="s">
        <v>6510</v>
      </c>
      <c r="X75" t="s">
        <v>6510</v>
      </c>
      <c r="Y75" t="s">
        <v>6510</v>
      </c>
      <c r="Z75" t="s">
        <v>6510</v>
      </c>
    </row>
    <row r="76" spans="1:26" x14ac:dyDescent="0.3">
      <c r="A76" t="s">
        <v>7</v>
      </c>
      <c r="B76" t="s">
        <v>4326</v>
      </c>
      <c r="C76">
        <f t="shared" si="16"/>
        <v>200074</v>
      </c>
      <c r="D76" t="str">
        <f t="shared" ca="1" si="14"/>
        <v>2006-01-30</v>
      </c>
      <c r="E76">
        <f>IFERROR(VLOOKUP(B76,Contacts.csv!C:D,2,FALSE),"")</f>
        <v>200074</v>
      </c>
      <c r="F76" t="str">
        <f t="shared" si="17"/>
        <v>rg:{'id':'200074'}</v>
      </c>
      <c r="G76" s="4" t="str">
        <f t="shared" si="18"/>
        <v>rg:[{'id':'200074'}]</v>
      </c>
      <c r="H76">
        <f t="shared" si="19"/>
        <v>200003</v>
      </c>
      <c r="I76" s="1" t="str">
        <f>VLOOKUP(H76,LocalAreas.csv!I:J,2,FALSE)</f>
        <v>Cariboo</v>
      </c>
      <c r="J76" t="str">
        <f t="shared" si="15"/>
        <v>rg:{'id':'200003'}</v>
      </c>
      <c r="K76" t="str">
        <f t="shared" si="20"/>
        <v>PICC</v>
      </c>
      <c r="M76">
        <f t="shared" ca="1" si="21"/>
        <v>10555</v>
      </c>
      <c r="N76" t="str">
        <f t="shared" ca="1" si="22"/>
        <v>rg:True</v>
      </c>
      <c r="O76" t="str">
        <f t="shared" ca="1" si="23"/>
        <v>rg:False</v>
      </c>
      <c r="P76">
        <f t="shared" ca="1" si="24"/>
        <v>732112</v>
      </c>
      <c r="Q76" t="str">
        <f t="shared" ca="1" si="25"/>
        <v>2018-01-11</v>
      </c>
      <c r="R76" t="str">
        <f t="shared" ca="1" si="25"/>
        <v>2017-12-31</v>
      </c>
      <c r="S76" t="s">
        <v>6664</v>
      </c>
      <c r="T76" t="s">
        <v>5389</v>
      </c>
      <c r="U76" t="s">
        <v>6668</v>
      </c>
      <c r="V76" t="str">
        <f ca="1">TEXT(TODAY()-RANDBETWEEN(10,350),"YYYY-MM-DD")</f>
        <v>2016-11-12</v>
      </c>
      <c r="W76" t="s">
        <v>6510</v>
      </c>
      <c r="X76" t="s">
        <v>6510</v>
      </c>
      <c r="Y76" t="s">
        <v>6510</v>
      </c>
      <c r="Z76" t="s">
        <v>6510</v>
      </c>
    </row>
    <row r="77" spans="1:26" x14ac:dyDescent="0.3">
      <c r="A77" t="s">
        <v>7</v>
      </c>
      <c r="B77" t="s">
        <v>3056</v>
      </c>
      <c r="C77">
        <f t="shared" si="16"/>
        <v>200075</v>
      </c>
      <c r="D77" t="str">
        <f t="shared" ca="1" si="14"/>
        <v>2012-08-03</v>
      </c>
      <c r="E77">
        <f>IFERROR(VLOOKUP(B77,Contacts.csv!C:D,2,FALSE),"")</f>
        <v>200075</v>
      </c>
      <c r="F77" t="str">
        <f t="shared" si="17"/>
        <v>rg:{'id':'200075'}</v>
      </c>
      <c r="G77" s="4" t="str">
        <f t="shared" si="18"/>
        <v>rg:[{'id':'200075'}]</v>
      </c>
      <c r="H77">
        <f t="shared" si="19"/>
        <v>200003</v>
      </c>
      <c r="I77" s="1" t="str">
        <f>VLOOKUP(H77,LocalAreas.csv!I:J,2,FALSE)</f>
        <v>Cariboo</v>
      </c>
      <c r="J77" t="str">
        <f t="shared" si="15"/>
        <v>rg:{'id':'200003'}</v>
      </c>
      <c r="K77" t="s">
        <v>7612</v>
      </c>
      <c r="M77">
        <f t="shared" ca="1" si="21"/>
        <v>10460</v>
      </c>
      <c r="N77" t="str">
        <f t="shared" ca="1" si="22"/>
        <v>rg:True</v>
      </c>
      <c r="O77" t="str">
        <f t="shared" ca="1" si="23"/>
        <v>rg:False</v>
      </c>
      <c r="P77">
        <f t="shared" ca="1" si="24"/>
        <v>732199</v>
      </c>
      <c r="Q77" t="str">
        <f t="shared" ca="1" si="25"/>
        <v>2017-05-08</v>
      </c>
      <c r="R77" t="str">
        <f t="shared" ca="1" si="25"/>
        <v>2018-01-25</v>
      </c>
      <c r="S77" t="s">
        <v>6663</v>
      </c>
      <c r="T77" t="s">
        <v>76</v>
      </c>
      <c r="U77" t="s">
        <v>76</v>
      </c>
      <c r="V77" t="s">
        <v>76</v>
      </c>
      <c r="W77" t="s">
        <v>6510</v>
      </c>
      <c r="X77" t="s">
        <v>6510</v>
      </c>
      <c r="Y77" t="s">
        <v>6510</v>
      </c>
      <c r="Z77" t="s">
        <v>6510</v>
      </c>
    </row>
    <row r="78" spans="1:26" x14ac:dyDescent="0.3">
      <c r="A78" t="s">
        <v>7</v>
      </c>
      <c r="B78" t="s">
        <v>4793</v>
      </c>
      <c r="C78">
        <f t="shared" si="16"/>
        <v>200076</v>
      </c>
      <c r="D78" t="str">
        <f t="shared" ca="1" si="14"/>
        <v>2009-06-08</v>
      </c>
      <c r="E78">
        <f>IFERROR(VLOOKUP(B78,Contacts.csv!C:D,2,FALSE),"")</f>
        <v>200076</v>
      </c>
      <c r="F78" t="str">
        <f t="shared" si="17"/>
        <v>rg:{'id':'200076'}</v>
      </c>
      <c r="G78" s="4" t="str">
        <f t="shared" si="18"/>
        <v>rg:[{'id':'200076'}]</v>
      </c>
      <c r="H78">
        <f t="shared" si="19"/>
        <v>200003</v>
      </c>
      <c r="I78" s="1" t="str">
        <f>VLOOKUP(H78,LocalAreas.csv!I:J,2,FALSE)</f>
        <v>Cariboo</v>
      </c>
      <c r="J78" t="str">
        <f t="shared" si="15"/>
        <v>rg:{'id':'200003'}</v>
      </c>
      <c r="K78" t="s">
        <v>7611</v>
      </c>
      <c r="M78">
        <f t="shared" ca="1" si="21"/>
        <v>12010</v>
      </c>
      <c r="N78" t="str">
        <f t="shared" ca="1" si="22"/>
        <v>rg:True</v>
      </c>
      <c r="O78" t="str">
        <f t="shared" ca="1" si="23"/>
        <v>rg:False</v>
      </c>
      <c r="P78">
        <f t="shared" ca="1" si="24"/>
        <v>732101</v>
      </c>
      <c r="Q78" t="str">
        <f t="shared" ca="1" si="25"/>
        <v>2017-09-12</v>
      </c>
      <c r="R78" t="str">
        <f t="shared" ca="1" si="25"/>
        <v>2017-07-15</v>
      </c>
      <c r="S78" t="s">
        <v>6663</v>
      </c>
      <c r="T78" t="s">
        <v>76</v>
      </c>
      <c r="U78" t="s">
        <v>76</v>
      </c>
      <c r="V78" t="s">
        <v>76</v>
      </c>
      <c r="W78" t="s">
        <v>6510</v>
      </c>
      <c r="X78" t="s">
        <v>6510</v>
      </c>
      <c r="Y78" t="s">
        <v>6510</v>
      </c>
      <c r="Z78" t="s">
        <v>6510</v>
      </c>
    </row>
    <row r="79" spans="1:26" x14ac:dyDescent="0.3">
      <c r="A79" t="s">
        <v>7</v>
      </c>
      <c r="B79" t="s">
        <v>4687</v>
      </c>
      <c r="C79">
        <f t="shared" si="16"/>
        <v>200077</v>
      </c>
      <c r="D79" t="str">
        <f t="shared" ca="1" si="14"/>
        <v>2010-11-24</v>
      </c>
      <c r="E79">
        <f>IFERROR(VLOOKUP(B79,Contacts.csv!C:D,2,FALSE),"")</f>
        <v>200077</v>
      </c>
      <c r="F79" t="str">
        <f t="shared" si="17"/>
        <v>rg:{'id':'200077'}</v>
      </c>
      <c r="G79" s="4" t="str">
        <f t="shared" si="18"/>
        <v>rg:[{'id':'200077'}]</v>
      </c>
      <c r="H79">
        <f t="shared" si="19"/>
        <v>200003</v>
      </c>
      <c r="I79" s="1" t="str">
        <f>VLOOKUP(H79,LocalAreas.csv!I:J,2,FALSE)</f>
        <v>Cariboo</v>
      </c>
      <c r="J79" t="str">
        <f t="shared" si="15"/>
        <v>rg:{'id':'200003'}</v>
      </c>
      <c r="K79" t="str">
        <f t="shared" si="20"/>
        <v>PROY</v>
      </c>
      <c r="M79">
        <f t="shared" ca="1" si="21"/>
        <v>18352</v>
      </c>
      <c r="N79" t="str">
        <f t="shared" ca="1" si="22"/>
        <v>rg:True</v>
      </c>
      <c r="O79" t="str">
        <f t="shared" ca="1" si="23"/>
        <v>rg:False</v>
      </c>
      <c r="P79">
        <f t="shared" ca="1" si="24"/>
        <v>732073</v>
      </c>
      <c r="Q79" t="str">
        <f t="shared" ca="1" si="25"/>
        <v>2018-02-28</v>
      </c>
      <c r="R79" t="str">
        <f t="shared" ca="1" si="25"/>
        <v>2017-09-21</v>
      </c>
      <c r="S79" t="s">
        <v>6663</v>
      </c>
      <c r="T79" t="s">
        <v>76</v>
      </c>
      <c r="U79" t="s">
        <v>76</v>
      </c>
      <c r="V79" t="s">
        <v>76</v>
      </c>
      <c r="W79" t="s">
        <v>6510</v>
      </c>
      <c r="X79" t="s">
        <v>6510</v>
      </c>
      <c r="Y79" t="s">
        <v>6510</v>
      </c>
      <c r="Z79" t="s">
        <v>6510</v>
      </c>
    </row>
    <row r="80" spans="1:26" x14ac:dyDescent="0.3">
      <c r="A80" t="s">
        <v>7</v>
      </c>
      <c r="B80" t="s">
        <v>3963</v>
      </c>
      <c r="C80">
        <f t="shared" si="16"/>
        <v>200078</v>
      </c>
      <c r="D80" t="str">
        <f t="shared" ca="1" si="14"/>
        <v>2008-05-07</v>
      </c>
      <c r="E80">
        <f>IFERROR(VLOOKUP(B80,Contacts.csv!C:D,2,FALSE),"")</f>
        <v>200078</v>
      </c>
      <c r="F80" t="str">
        <f t="shared" si="17"/>
        <v>rg:{'id':'200078'}</v>
      </c>
      <c r="G80" s="4" t="str">
        <f t="shared" si="18"/>
        <v>rg:[{'id':'200078'}]</v>
      </c>
      <c r="H80">
        <f t="shared" si="19"/>
        <v>200004</v>
      </c>
      <c r="I80" s="1" t="str">
        <f>VLOOKUP(H80,LocalAreas.csv!I:J,2,FALSE)</f>
        <v>Chilcotin</v>
      </c>
      <c r="J80" t="str">
        <f t="shared" si="15"/>
        <v>rg:{'id':'200004'}</v>
      </c>
      <c r="K80" t="s">
        <v>7610</v>
      </c>
      <c r="M80">
        <f t="shared" ca="1" si="21"/>
        <v>16898</v>
      </c>
      <c r="N80" t="str">
        <f t="shared" ca="1" si="22"/>
        <v>rg:True</v>
      </c>
      <c r="O80" t="str">
        <f t="shared" ca="1" si="23"/>
        <v>rg:False</v>
      </c>
      <c r="P80">
        <f t="shared" ca="1" si="24"/>
        <v>732171</v>
      </c>
      <c r="Q80" t="str">
        <f t="shared" ca="1" si="25"/>
        <v>2017-09-14</v>
      </c>
      <c r="R80" t="str">
        <f t="shared" ca="1" si="25"/>
        <v>2017-06-13</v>
      </c>
      <c r="S80" t="s">
        <v>6663</v>
      </c>
      <c r="T80" t="s">
        <v>76</v>
      </c>
      <c r="U80" t="s">
        <v>76</v>
      </c>
      <c r="V80" t="s">
        <v>76</v>
      </c>
      <c r="W80" t="s">
        <v>6510</v>
      </c>
      <c r="X80" t="s">
        <v>6510</v>
      </c>
      <c r="Y80" t="s">
        <v>6510</v>
      </c>
      <c r="Z80" t="s">
        <v>6510</v>
      </c>
    </row>
    <row r="81" spans="1:26" x14ac:dyDescent="0.3">
      <c r="A81" t="s">
        <v>7</v>
      </c>
      <c r="B81" t="s">
        <v>3273</v>
      </c>
      <c r="C81">
        <f t="shared" si="16"/>
        <v>200079</v>
      </c>
      <c r="D81" t="str">
        <f t="shared" ca="1" si="14"/>
        <v>2013-12-18</v>
      </c>
      <c r="E81">
        <f>IFERROR(VLOOKUP(B81,Contacts.csv!C:D,2,FALSE),"")</f>
        <v>200079</v>
      </c>
      <c r="F81" t="str">
        <f t="shared" si="17"/>
        <v>rg:{'id':'200079'}</v>
      </c>
      <c r="G81" s="4" t="str">
        <f t="shared" si="18"/>
        <v>rg:[{'id':'200079'}]</v>
      </c>
      <c r="H81">
        <f t="shared" si="19"/>
        <v>200004</v>
      </c>
      <c r="I81" s="1" t="str">
        <f>VLOOKUP(H81,LocalAreas.csv!I:J,2,FALSE)</f>
        <v>Chilcotin</v>
      </c>
      <c r="J81" t="str">
        <f t="shared" si="15"/>
        <v>rg:{'id':'200004'}</v>
      </c>
      <c r="K81" t="s">
        <v>7609</v>
      </c>
      <c r="L81" t="s">
        <v>6662</v>
      </c>
      <c r="M81">
        <f t="shared" ca="1" si="21"/>
        <v>17012</v>
      </c>
      <c r="N81" t="str">
        <f t="shared" ca="1" si="22"/>
        <v>rg:True</v>
      </c>
      <c r="O81" t="str">
        <f t="shared" ca="1" si="23"/>
        <v>rg:False</v>
      </c>
      <c r="P81">
        <f t="shared" ca="1" si="24"/>
        <v>732046</v>
      </c>
      <c r="Q81" t="str">
        <f t="shared" ca="1" si="25"/>
        <v>2018-03-13</v>
      </c>
      <c r="R81" t="str">
        <f t="shared" ca="1" si="25"/>
        <v>2017-12-14</v>
      </c>
      <c r="S81" t="s">
        <v>6663</v>
      </c>
      <c r="T81" t="s">
        <v>76</v>
      </c>
      <c r="U81" t="s">
        <v>76</v>
      </c>
      <c r="V81" t="s">
        <v>76</v>
      </c>
      <c r="W81" t="s">
        <v>6510</v>
      </c>
      <c r="X81" t="s">
        <v>6510</v>
      </c>
      <c r="Y81" t="s">
        <v>6510</v>
      </c>
      <c r="Z81" t="s">
        <v>6510</v>
      </c>
    </row>
    <row r="82" spans="1:26" x14ac:dyDescent="0.3">
      <c r="A82" t="s">
        <v>7</v>
      </c>
      <c r="B82" t="s">
        <v>4357</v>
      </c>
      <c r="C82">
        <f t="shared" si="16"/>
        <v>200080</v>
      </c>
      <c r="D82" t="str">
        <f t="shared" ca="1" si="14"/>
        <v>2004-03-23</v>
      </c>
      <c r="E82">
        <f>IFERROR(VLOOKUP(B82,Contacts.csv!C:D,2,FALSE),"")</f>
        <v>200080</v>
      </c>
      <c r="F82" t="str">
        <f t="shared" si="17"/>
        <v>rg:{'id':'200080'}</v>
      </c>
      <c r="G82" s="4" t="str">
        <f t="shared" si="18"/>
        <v>rg:[{'id':'200080'}]</v>
      </c>
      <c r="H82">
        <f t="shared" si="19"/>
        <v>200004</v>
      </c>
      <c r="I82" s="1" t="str">
        <f>VLOOKUP(H82,LocalAreas.csv!I:J,2,FALSE)</f>
        <v>Chilcotin</v>
      </c>
      <c r="J82" t="str">
        <f t="shared" si="15"/>
        <v>rg:{'id':'200004'}</v>
      </c>
      <c r="K82" t="str">
        <f t="shared" si="20"/>
        <v>REDF</v>
      </c>
      <c r="M82">
        <f t="shared" ca="1" si="21"/>
        <v>11420</v>
      </c>
      <c r="N82" t="str">
        <f t="shared" ca="1" si="22"/>
        <v>rg:True</v>
      </c>
      <c r="O82" t="str">
        <f t="shared" ca="1" si="23"/>
        <v>rg:False</v>
      </c>
      <c r="P82">
        <f t="shared" ca="1" si="24"/>
        <v>732181</v>
      </c>
      <c r="Q82" t="str">
        <f t="shared" ca="1" si="25"/>
        <v>2017-08-25</v>
      </c>
      <c r="R82" t="str">
        <f t="shared" ca="1" si="25"/>
        <v>2017-03-28</v>
      </c>
      <c r="S82" t="s">
        <v>6663</v>
      </c>
      <c r="T82" t="s">
        <v>76</v>
      </c>
      <c r="U82" t="s">
        <v>76</v>
      </c>
      <c r="V82" t="s">
        <v>76</v>
      </c>
      <c r="W82" t="s">
        <v>6510</v>
      </c>
      <c r="X82" t="s">
        <v>6510</v>
      </c>
      <c r="Y82" t="s">
        <v>6510</v>
      </c>
      <c r="Z82" t="s">
        <v>6510</v>
      </c>
    </row>
    <row r="83" spans="1:26" x14ac:dyDescent="0.3">
      <c r="A83" t="s">
        <v>7</v>
      </c>
      <c r="B83" t="s">
        <v>4115</v>
      </c>
      <c r="C83">
        <f t="shared" si="16"/>
        <v>200081</v>
      </c>
      <c r="D83" t="str">
        <f t="shared" ca="1" si="14"/>
        <v>2013-02-20</v>
      </c>
      <c r="E83">
        <f>IFERROR(VLOOKUP(B83,Contacts.csv!C:D,2,FALSE),"")</f>
        <v>200081</v>
      </c>
      <c r="F83" t="str">
        <f t="shared" si="17"/>
        <v>rg:{'id':'200081'}</v>
      </c>
      <c r="G83" s="4" t="str">
        <f t="shared" si="18"/>
        <v>rg:[{'id':'200081'}]</v>
      </c>
      <c r="H83">
        <f t="shared" si="19"/>
        <v>200004</v>
      </c>
      <c r="I83" s="1" t="str">
        <f>VLOOKUP(H83,LocalAreas.csv!I:J,2,FALSE)</f>
        <v>Chilcotin</v>
      </c>
      <c r="J83" t="str">
        <f t="shared" si="15"/>
        <v>rg:{'id':'200004'}</v>
      </c>
      <c r="K83" t="s">
        <v>7608</v>
      </c>
      <c r="M83">
        <f t="shared" ca="1" si="21"/>
        <v>14184</v>
      </c>
      <c r="N83" t="str">
        <f t="shared" ca="1" si="22"/>
        <v>rg:True</v>
      </c>
      <c r="O83" t="str">
        <f t="shared" ca="1" si="23"/>
        <v>rg:False</v>
      </c>
      <c r="P83">
        <f t="shared" ca="1" si="24"/>
        <v>732188</v>
      </c>
      <c r="Q83" t="str">
        <f t="shared" ca="1" si="25"/>
        <v>2018-03-03</v>
      </c>
      <c r="R83" t="str">
        <f t="shared" ca="1" si="25"/>
        <v>2017-12-26</v>
      </c>
      <c r="S83" t="s">
        <v>6663</v>
      </c>
      <c r="T83" t="s">
        <v>76</v>
      </c>
      <c r="U83" t="s">
        <v>76</v>
      </c>
      <c r="V83" t="s">
        <v>76</v>
      </c>
      <c r="W83" t="s">
        <v>6510</v>
      </c>
      <c r="X83" t="s">
        <v>6510</v>
      </c>
      <c r="Y83" t="s">
        <v>6510</v>
      </c>
      <c r="Z83" t="s">
        <v>6510</v>
      </c>
    </row>
    <row r="84" spans="1:26" x14ac:dyDescent="0.3">
      <c r="A84" t="s">
        <v>7</v>
      </c>
      <c r="B84" t="s">
        <v>4128</v>
      </c>
      <c r="C84">
        <f t="shared" si="16"/>
        <v>200082</v>
      </c>
      <c r="D84" t="str">
        <f t="shared" ca="1" si="14"/>
        <v>2006-01-27</v>
      </c>
      <c r="E84">
        <f>IFERROR(VLOOKUP(B84,Contacts.csv!C:D,2,FALSE),"")</f>
        <v>200082</v>
      </c>
      <c r="F84" t="str">
        <f t="shared" si="17"/>
        <v>rg:{'id':'200082'}</v>
      </c>
      <c r="G84" s="4" t="str">
        <f t="shared" si="18"/>
        <v>rg:[{'id':'200082'}]</v>
      </c>
      <c r="H84">
        <f t="shared" si="19"/>
        <v>200004</v>
      </c>
      <c r="I84" s="1" t="str">
        <f>VLOOKUP(H84,LocalAreas.csv!I:J,2,FALSE)</f>
        <v>Chilcotin</v>
      </c>
      <c r="J84" t="str">
        <f t="shared" si="15"/>
        <v>rg:{'id':'200004'}</v>
      </c>
      <c r="K84" t="str">
        <f t="shared" si="20"/>
        <v>REDO</v>
      </c>
      <c r="M84">
        <f t="shared" ca="1" si="21"/>
        <v>19736</v>
      </c>
      <c r="N84" t="str">
        <f t="shared" ca="1" si="22"/>
        <v>rg:True</v>
      </c>
      <c r="O84" t="str">
        <f t="shared" ca="1" si="23"/>
        <v>rg:False</v>
      </c>
      <c r="P84">
        <f t="shared" ca="1" si="24"/>
        <v>732099</v>
      </c>
      <c r="Q84" t="str">
        <f t="shared" ca="1" si="25"/>
        <v>2017-11-26</v>
      </c>
      <c r="R84" t="str">
        <f t="shared" ca="1" si="25"/>
        <v>2017-05-18</v>
      </c>
      <c r="S84" t="s">
        <v>6663</v>
      </c>
      <c r="T84" t="s">
        <v>76</v>
      </c>
      <c r="U84" t="s">
        <v>76</v>
      </c>
      <c r="V84" t="s">
        <v>76</v>
      </c>
      <c r="W84" t="s">
        <v>6510</v>
      </c>
      <c r="X84" t="s">
        <v>6510</v>
      </c>
      <c r="Y84" t="s">
        <v>6510</v>
      </c>
      <c r="Z84" t="s">
        <v>6510</v>
      </c>
    </row>
    <row r="85" spans="1:26" x14ac:dyDescent="0.3">
      <c r="A85" t="s">
        <v>7</v>
      </c>
      <c r="B85" t="s">
        <v>3572</v>
      </c>
      <c r="C85">
        <f t="shared" si="16"/>
        <v>200083</v>
      </c>
      <c r="D85" t="str">
        <f t="shared" ca="1" si="14"/>
        <v>2007-12-02</v>
      </c>
      <c r="E85">
        <f>IFERROR(VLOOKUP(B85,Contacts.csv!C:D,2,FALSE),"")</f>
        <v>200083</v>
      </c>
      <c r="F85" t="str">
        <f t="shared" si="17"/>
        <v>rg:{'id':'200083'}</v>
      </c>
      <c r="G85" s="4" t="str">
        <f t="shared" si="18"/>
        <v>rg:[{'id':'200083'}]</v>
      </c>
      <c r="H85">
        <f t="shared" si="19"/>
        <v>200004</v>
      </c>
      <c r="I85" s="1" t="str">
        <f>VLOOKUP(H85,LocalAreas.csv!I:J,2,FALSE)</f>
        <v>Chilcotin</v>
      </c>
      <c r="J85" t="str">
        <f t="shared" si="15"/>
        <v>rg:{'id':'200004'}</v>
      </c>
      <c r="K85" t="str">
        <f t="shared" si="20"/>
        <v>RELI</v>
      </c>
      <c r="M85">
        <f t="shared" ca="1" si="21"/>
        <v>11128</v>
      </c>
      <c r="N85" t="str">
        <f t="shared" ca="1" si="22"/>
        <v>rg:True</v>
      </c>
      <c r="O85" t="str">
        <f t="shared" ca="1" si="23"/>
        <v>rg:False</v>
      </c>
      <c r="P85">
        <f t="shared" ca="1" si="24"/>
        <v>732072</v>
      </c>
      <c r="Q85" t="str">
        <f t="shared" ca="1" si="25"/>
        <v>2017-12-05</v>
      </c>
      <c r="R85" t="str">
        <f t="shared" ca="1" si="25"/>
        <v>2017-09-10</v>
      </c>
      <c r="S85" t="s">
        <v>6664</v>
      </c>
      <c r="T85" t="s">
        <v>5389</v>
      </c>
      <c r="U85" t="s">
        <v>6669</v>
      </c>
      <c r="V85" t="str">
        <f ca="1">TEXT(TODAY()-RANDBETWEEN(10,350),"YYYY-MM-DD")</f>
        <v>2016-05-03</v>
      </c>
      <c r="W85" t="s">
        <v>6510</v>
      </c>
      <c r="X85" t="s">
        <v>6510</v>
      </c>
      <c r="Y85" t="s">
        <v>6510</v>
      </c>
      <c r="Z85" t="s">
        <v>6510</v>
      </c>
    </row>
    <row r="86" spans="1:26" x14ac:dyDescent="0.3">
      <c r="A86" t="s">
        <v>7</v>
      </c>
      <c r="B86" t="s">
        <v>4261</v>
      </c>
      <c r="C86">
        <f t="shared" si="16"/>
        <v>200084</v>
      </c>
      <c r="D86" t="str">
        <f t="shared" ca="1" si="14"/>
        <v>2003-12-15</v>
      </c>
      <c r="E86">
        <f>IFERROR(VLOOKUP(B86,Contacts.csv!C:D,2,FALSE),"")</f>
        <v>200084</v>
      </c>
      <c r="F86" t="str">
        <f t="shared" si="17"/>
        <v>rg:{'id':'200084'}</v>
      </c>
      <c r="G86" s="4" t="str">
        <f t="shared" si="18"/>
        <v>rg:[{'id':'200084'}]</v>
      </c>
      <c r="H86">
        <f t="shared" si="19"/>
        <v>200004</v>
      </c>
      <c r="I86" s="1" t="str">
        <f>VLOOKUP(H86,LocalAreas.csv!I:J,2,FALSE)</f>
        <v>Chilcotin</v>
      </c>
      <c r="J86" t="str">
        <f t="shared" si="15"/>
        <v>rg:{'id':'200004'}</v>
      </c>
      <c r="K86" t="str">
        <f t="shared" si="20"/>
        <v>ROAD</v>
      </c>
      <c r="M86">
        <f t="shared" ca="1" si="21"/>
        <v>13536</v>
      </c>
      <c r="N86" t="str">
        <f t="shared" ca="1" si="22"/>
        <v>rg:True</v>
      </c>
      <c r="O86" t="str">
        <f t="shared" ca="1" si="23"/>
        <v>rg:False</v>
      </c>
      <c r="P86">
        <f t="shared" ca="1" si="24"/>
        <v>732059</v>
      </c>
      <c r="Q86" t="str">
        <f t="shared" ca="1" si="25"/>
        <v>2017-05-13</v>
      </c>
      <c r="R86" t="str">
        <f t="shared" ca="1" si="25"/>
        <v>2018-01-05</v>
      </c>
      <c r="S86" t="s">
        <v>6663</v>
      </c>
      <c r="T86" t="s">
        <v>76</v>
      </c>
      <c r="U86" t="s">
        <v>76</v>
      </c>
      <c r="V86" t="s">
        <v>76</v>
      </c>
      <c r="W86" t="s">
        <v>6510</v>
      </c>
      <c r="X86" t="s">
        <v>6510</v>
      </c>
      <c r="Y86" t="s">
        <v>6510</v>
      </c>
      <c r="Z86" t="s">
        <v>6510</v>
      </c>
    </row>
    <row r="87" spans="1:26" x14ac:dyDescent="0.3">
      <c r="A87" t="s">
        <v>7</v>
      </c>
      <c r="B87" t="s">
        <v>3779</v>
      </c>
      <c r="C87">
        <f t="shared" si="16"/>
        <v>200085</v>
      </c>
      <c r="D87" t="str">
        <f t="shared" ca="1" si="14"/>
        <v>2009-08-29</v>
      </c>
      <c r="E87">
        <f>IFERROR(VLOOKUP(B87,Contacts.csv!C:D,2,FALSE),"")</f>
        <v>200085</v>
      </c>
      <c r="F87" t="str">
        <f t="shared" si="17"/>
        <v>rg:{'id':'200085'}</v>
      </c>
      <c r="G87" s="4" t="str">
        <f t="shared" si="18"/>
        <v>rg:[{'id':'200085'}]</v>
      </c>
      <c r="H87">
        <f t="shared" si="19"/>
        <v>200004</v>
      </c>
      <c r="I87" s="1" t="str">
        <f>VLOOKUP(H87,LocalAreas.csv!I:J,2,FALSE)</f>
        <v>Chilcotin</v>
      </c>
      <c r="J87" t="str">
        <f t="shared" si="15"/>
        <v>rg:{'id':'200004'}</v>
      </c>
      <c r="K87" t="str">
        <f t="shared" si="20"/>
        <v>ROSS</v>
      </c>
      <c r="L87" t="s">
        <v>6661</v>
      </c>
      <c r="M87">
        <f t="shared" ca="1" si="21"/>
        <v>18524</v>
      </c>
      <c r="N87" t="str">
        <f t="shared" ca="1" si="22"/>
        <v>rg:True</v>
      </c>
      <c r="O87" t="str">
        <f t="shared" ca="1" si="23"/>
        <v>rg:False</v>
      </c>
      <c r="P87">
        <f t="shared" ca="1" si="24"/>
        <v>732198</v>
      </c>
      <c r="Q87" t="str">
        <f t="shared" ca="1" si="25"/>
        <v>2017-10-25</v>
      </c>
      <c r="R87" t="str">
        <f t="shared" ca="1" si="25"/>
        <v>2017-09-28</v>
      </c>
      <c r="S87" t="s">
        <v>6664</v>
      </c>
      <c r="T87" t="s">
        <v>5389</v>
      </c>
      <c r="U87" t="s">
        <v>6668</v>
      </c>
      <c r="V87" t="str">
        <f ca="1">TEXT(TODAY()-RANDBETWEEN(10,350),"YYYY-MM-DD")</f>
        <v>2016-10-17</v>
      </c>
      <c r="W87" t="s">
        <v>6510</v>
      </c>
      <c r="X87" t="s">
        <v>6510</v>
      </c>
      <c r="Y87" t="s">
        <v>6510</v>
      </c>
      <c r="Z87" t="s">
        <v>6510</v>
      </c>
    </row>
    <row r="88" spans="1:26" x14ac:dyDescent="0.3">
      <c r="A88" t="s">
        <v>7</v>
      </c>
      <c r="B88" t="s">
        <v>3392</v>
      </c>
      <c r="C88">
        <f t="shared" si="16"/>
        <v>200086</v>
      </c>
      <c r="D88" t="str">
        <f t="shared" ca="1" si="14"/>
        <v>2014-11-20</v>
      </c>
      <c r="E88">
        <f>IFERROR(VLOOKUP(B88,Contacts.csv!C:D,2,FALSE),"")</f>
        <v>200086</v>
      </c>
      <c r="F88" t="str">
        <f t="shared" si="17"/>
        <v>rg:{'id':'200086'}</v>
      </c>
      <c r="G88" s="4" t="str">
        <f t="shared" si="18"/>
        <v>rg:[{'id':'200086'}]</v>
      </c>
      <c r="H88">
        <f t="shared" si="19"/>
        <v>200004</v>
      </c>
      <c r="I88" s="1" t="str">
        <f>VLOOKUP(H88,LocalAreas.csv!I:J,2,FALSE)</f>
        <v>Chilcotin</v>
      </c>
      <c r="J88" t="str">
        <f t="shared" si="15"/>
        <v>rg:{'id':'200004'}</v>
      </c>
      <c r="K88" t="str">
        <f t="shared" si="20"/>
        <v>SAND</v>
      </c>
      <c r="L88" t="s">
        <v>6662</v>
      </c>
      <c r="M88">
        <f t="shared" ca="1" si="21"/>
        <v>17455</v>
      </c>
      <c r="N88" t="str">
        <f t="shared" ca="1" si="22"/>
        <v>rg:True</v>
      </c>
      <c r="O88" t="str">
        <f t="shared" ca="1" si="23"/>
        <v>rg:False</v>
      </c>
      <c r="P88">
        <f t="shared" ca="1" si="24"/>
        <v>732025</v>
      </c>
      <c r="Q88" t="str">
        <f t="shared" ca="1" si="25"/>
        <v>2017-08-19</v>
      </c>
      <c r="R88" t="str">
        <f t="shared" ca="1" si="25"/>
        <v>2017-12-22</v>
      </c>
      <c r="S88" t="s">
        <v>6663</v>
      </c>
      <c r="T88" t="s">
        <v>76</v>
      </c>
      <c r="U88" t="s">
        <v>76</v>
      </c>
      <c r="V88" t="s">
        <v>76</v>
      </c>
      <c r="W88" t="s">
        <v>6510</v>
      </c>
      <c r="X88" t="s">
        <v>6510</v>
      </c>
      <c r="Y88" t="s">
        <v>6510</v>
      </c>
      <c r="Z88" t="s">
        <v>6510</v>
      </c>
    </row>
    <row r="89" spans="1:26" x14ac:dyDescent="0.3">
      <c r="A89" t="s">
        <v>7</v>
      </c>
      <c r="B89" t="s">
        <v>3471</v>
      </c>
      <c r="C89">
        <f t="shared" si="16"/>
        <v>200087</v>
      </c>
      <c r="D89" t="str">
        <f t="shared" ca="1" si="14"/>
        <v>2015-05-27</v>
      </c>
      <c r="E89">
        <f>IFERROR(VLOOKUP(B89,Contacts.csv!C:D,2,FALSE),"")</f>
        <v>200087</v>
      </c>
      <c r="F89" t="str">
        <f t="shared" si="17"/>
        <v>rg:{'id':'200087'}</v>
      </c>
      <c r="G89" s="4" t="str">
        <f t="shared" si="18"/>
        <v>rg:[{'id':'200087'}]</v>
      </c>
      <c r="H89">
        <f t="shared" si="19"/>
        <v>200004</v>
      </c>
      <c r="I89" s="1" t="str">
        <f>VLOOKUP(H89,LocalAreas.csv!I:J,2,FALSE)</f>
        <v>Chilcotin</v>
      </c>
      <c r="J89" t="str">
        <f t="shared" si="15"/>
        <v>rg:{'id':'200004'}</v>
      </c>
      <c r="K89" t="str">
        <f t="shared" si="20"/>
        <v>SERV</v>
      </c>
      <c r="M89">
        <f t="shared" ca="1" si="21"/>
        <v>15554</v>
      </c>
      <c r="N89" t="str">
        <f t="shared" ca="1" si="22"/>
        <v>rg:True</v>
      </c>
      <c r="O89" t="str">
        <f t="shared" ca="1" si="23"/>
        <v>rg:False</v>
      </c>
      <c r="P89">
        <f t="shared" ca="1" si="24"/>
        <v>732007</v>
      </c>
      <c r="Q89" t="str">
        <f t="shared" ca="1" si="25"/>
        <v>2017-08-20</v>
      </c>
      <c r="R89" t="str">
        <f t="shared" ca="1" si="25"/>
        <v>2017-07-07</v>
      </c>
      <c r="S89" t="s">
        <v>6663</v>
      </c>
      <c r="T89" t="s">
        <v>76</v>
      </c>
      <c r="U89" t="s">
        <v>76</v>
      </c>
      <c r="V89" t="s">
        <v>76</v>
      </c>
      <c r="W89" t="s">
        <v>6510</v>
      </c>
      <c r="X89" t="s">
        <v>6510</v>
      </c>
      <c r="Y89" t="s">
        <v>6510</v>
      </c>
      <c r="Z89" t="s">
        <v>6510</v>
      </c>
    </row>
    <row r="90" spans="1:26" x14ac:dyDescent="0.3">
      <c r="A90" t="s">
        <v>7</v>
      </c>
      <c r="B90" t="s">
        <v>4228</v>
      </c>
      <c r="C90">
        <f t="shared" si="16"/>
        <v>200088</v>
      </c>
      <c r="D90" t="str">
        <f t="shared" ca="1" si="14"/>
        <v>2004-01-16</v>
      </c>
      <c r="E90">
        <f>IFERROR(VLOOKUP(B90,Contacts.csv!C:D,2,FALSE),"")</f>
        <v>200088</v>
      </c>
      <c r="F90" t="str">
        <f t="shared" si="17"/>
        <v>rg:{'id':'200088'}</v>
      </c>
      <c r="G90" s="4" t="str">
        <f t="shared" si="18"/>
        <v>rg:[{'id':'200088'}]</v>
      </c>
      <c r="H90">
        <f t="shared" si="19"/>
        <v>200004</v>
      </c>
      <c r="I90" s="1" t="str">
        <f>VLOOKUP(H90,LocalAreas.csv!I:J,2,FALSE)</f>
        <v>Chilcotin</v>
      </c>
      <c r="J90" t="str">
        <f t="shared" si="15"/>
        <v>rg:{'id':'200004'}</v>
      </c>
      <c r="K90" t="str">
        <f t="shared" si="20"/>
        <v>SHOW</v>
      </c>
      <c r="M90">
        <f t="shared" ca="1" si="21"/>
        <v>10346</v>
      </c>
      <c r="N90" t="str">
        <f t="shared" ca="1" si="22"/>
        <v>rg:True</v>
      </c>
      <c r="O90" t="str">
        <f t="shared" ca="1" si="23"/>
        <v>rg:False</v>
      </c>
      <c r="P90">
        <f t="shared" ca="1" si="24"/>
        <v>732163</v>
      </c>
      <c r="Q90" t="str">
        <f t="shared" ca="1" si="25"/>
        <v>2017-07-20</v>
      </c>
      <c r="R90" t="str">
        <f t="shared" ca="1" si="25"/>
        <v>2017-08-07</v>
      </c>
      <c r="S90" t="s">
        <v>6663</v>
      </c>
      <c r="T90" t="s">
        <v>76</v>
      </c>
      <c r="U90" t="s">
        <v>76</v>
      </c>
      <c r="V90" t="s">
        <v>76</v>
      </c>
      <c r="W90" t="s">
        <v>6510</v>
      </c>
      <c r="X90" t="s">
        <v>6510</v>
      </c>
      <c r="Y90" t="s">
        <v>6510</v>
      </c>
      <c r="Z90" t="s">
        <v>6510</v>
      </c>
    </row>
    <row r="91" spans="1:26" x14ac:dyDescent="0.3">
      <c r="A91" t="s">
        <v>7</v>
      </c>
      <c r="B91" t="s">
        <v>3901</v>
      </c>
      <c r="C91">
        <f t="shared" si="16"/>
        <v>200089</v>
      </c>
      <c r="D91" t="str">
        <f t="shared" ca="1" si="14"/>
        <v>2008-02-08</v>
      </c>
      <c r="E91">
        <f>IFERROR(VLOOKUP(B91,Contacts.csv!C:D,2,FALSE),"")</f>
        <v>200089</v>
      </c>
      <c r="F91" t="str">
        <f t="shared" si="17"/>
        <v>rg:{'id':'200089'}</v>
      </c>
      <c r="G91" s="4" t="str">
        <f t="shared" si="18"/>
        <v>rg:[{'id':'200089'}]</v>
      </c>
      <c r="H91">
        <f t="shared" si="19"/>
        <v>200004</v>
      </c>
      <c r="I91" s="1" t="str">
        <f>VLOOKUP(H91,LocalAreas.csv!I:J,2,FALSE)</f>
        <v>Chilcotin</v>
      </c>
      <c r="J91" t="str">
        <f t="shared" si="15"/>
        <v>rg:{'id':'200004'}</v>
      </c>
      <c r="K91" t="str">
        <f t="shared" si="20"/>
        <v>SPEC</v>
      </c>
      <c r="M91">
        <f t="shared" ca="1" si="21"/>
        <v>10386</v>
      </c>
      <c r="N91" t="str">
        <f t="shared" ca="1" si="22"/>
        <v>rg:True</v>
      </c>
      <c r="O91" t="str">
        <f t="shared" ca="1" si="23"/>
        <v>rg:False</v>
      </c>
      <c r="P91">
        <f t="shared" ca="1" si="24"/>
        <v>732107</v>
      </c>
      <c r="Q91" t="str">
        <f t="shared" ca="1" si="25"/>
        <v>2017-10-22</v>
      </c>
      <c r="R91" t="str">
        <f t="shared" ca="1" si="25"/>
        <v>2017-11-21</v>
      </c>
      <c r="S91" t="s">
        <v>6663</v>
      </c>
      <c r="T91" t="s">
        <v>76</v>
      </c>
      <c r="U91" t="s">
        <v>76</v>
      </c>
      <c r="V91" t="s">
        <v>76</v>
      </c>
      <c r="W91" t="s">
        <v>6510</v>
      </c>
      <c r="X91" t="s">
        <v>6510</v>
      </c>
      <c r="Y91" t="s">
        <v>6510</v>
      </c>
      <c r="Z91" t="s">
        <v>6510</v>
      </c>
    </row>
    <row r="92" spans="1:26" x14ac:dyDescent="0.3">
      <c r="A92" t="s">
        <v>7</v>
      </c>
      <c r="B92" t="s">
        <v>3522</v>
      </c>
      <c r="C92">
        <f t="shared" si="16"/>
        <v>200090</v>
      </c>
      <c r="D92" t="str">
        <f t="shared" ca="1" si="14"/>
        <v>2008-05-12</v>
      </c>
      <c r="E92">
        <f>IFERROR(VLOOKUP(B92,Contacts.csv!C:D,2,FALSE),"")</f>
        <v>200090</v>
      </c>
      <c r="F92" t="str">
        <f t="shared" si="17"/>
        <v>rg:{'id':'200090'}</v>
      </c>
      <c r="G92" s="4" t="str">
        <f t="shared" si="18"/>
        <v>rg:[{'id':'200090'}]</v>
      </c>
      <c r="H92">
        <f t="shared" si="19"/>
        <v>200004</v>
      </c>
      <c r="I92" s="1" t="str">
        <f>VLOOKUP(H92,LocalAreas.csv!I:J,2,FALSE)</f>
        <v>Chilcotin</v>
      </c>
      <c r="J92" t="str">
        <f t="shared" si="15"/>
        <v>rg:{'id':'200004'}</v>
      </c>
      <c r="K92" t="str">
        <f t="shared" si="20"/>
        <v>STRA</v>
      </c>
      <c r="M92">
        <f t="shared" ca="1" si="21"/>
        <v>14758</v>
      </c>
      <c r="N92" t="str">
        <f t="shared" ca="1" si="22"/>
        <v>rg:True</v>
      </c>
      <c r="O92" t="str">
        <f t="shared" ca="1" si="23"/>
        <v>rg:False</v>
      </c>
      <c r="P92">
        <f t="shared" ca="1" si="24"/>
        <v>732075</v>
      </c>
      <c r="Q92" t="str">
        <f t="shared" ca="1" si="25"/>
        <v>2018-02-25</v>
      </c>
      <c r="R92" t="str">
        <f t="shared" ca="1" si="25"/>
        <v>2018-02-15</v>
      </c>
      <c r="S92" t="s">
        <v>6663</v>
      </c>
      <c r="T92" t="s">
        <v>76</v>
      </c>
      <c r="U92" t="s">
        <v>76</v>
      </c>
      <c r="V92" t="s">
        <v>76</v>
      </c>
      <c r="W92" t="s">
        <v>6510</v>
      </c>
      <c r="X92" t="s">
        <v>6510</v>
      </c>
      <c r="Y92" t="s">
        <v>6510</v>
      </c>
      <c r="Z92" t="s">
        <v>6510</v>
      </c>
    </row>
    <row r="93" spans="1:26" x14ac:dyDescent="0.3">
      <c r="A93" t="s">
        <v>7</v>
      </c>
      <c r="B93" t="s">
        <v>4823</v>
      </c>
      <c r="C93">
        <f t="shared" si="16"/>
        <v>200091</v>
      </c>
      <c r="D93" t="str">
        <f t="shared" ca="1" si="14"/>
        <v>2009-03-12</v>
      </c>
      <c r="E93">
        <f>IFERROR(VLOOKUP(B93,Contacts.csv!C:D,2,FALSE),"")</f>
        <v>200091</v>
      </c>
      <c r="F93" t="str">
        <f t="shared" si="17"/>
        <v>rg:{'id':'200091'}</v>
      </c>
      <c r="G93" s="4" t="str">
        <f t="shared" si="18"/>
        <v>rg:[{'id':'200091'}]</v>
      </c>
      <c r="H93">
        <f t="shared" si="19"/>
        <v>200004</v>
      </c>
      <c r="I93" s="1" t="str">
        <f>VLOOKUP(H93,LocalAreas.csv!I:J,2,FALSE)</f>
        <v>Chilcotin</v>
      </c>
      <c r="J93" t="str">
        <f t="shared" si="15"/>
        <v>rg:{'id':'200004'}</v>
      </c>
      <c r="K93" t="s">
        <v>7607</v>
      </c>
      <c r="M93">
        <f t="shared" ca="1" si="21"/>
        <v>17086</v>
      </c>
      <c r="N93" t="str">
        <f t="shared" ca="1" si="22"/>
        <v>rg:True</v>
      </c>
      <c r="O93" t="str">
        <f t="shared" ca="1" si="23"/>
        <v>rg:False</v>
      </c>
      <c r="P93">
        <f t="shared" ca="1" si="24"/>
        <v>732011</v>
      </c>
      <c r="Q93" t="str">
        <f t="shared" ca="1" si="25"/>
        <v>2017-09-24</v>
      </c>
      <c r="R93" t="str">
        <f t="shared" ca="1" si="25"/>
        <v>2017-12-17</v>
      </c>
      <c r="S93" t="s">
        <v>6663</v>
      </c>
      <c r="T93" t="s">
        <v>76</v>
      </c>
      <c r="U93" t="s">
        <v>76</v>
      </c>
      <c r="V93" t="s">
        <v>76</v>
      </c>
      <c r="W93" t="s">
        <v>6510</v>
      </c>
      <c r="X93" t="s">
        <v>6510</v>
      </c>
      <c r="Y93" t="s">
        <v>6510</v>
      </c>
      <c r="Z93" t="s">
        <v>6510</v>
      </c>
    </row>
    <row r="94" spans="1:26" x14ac:dyDescent="0.3">
      <c r="A94" t="s">
        <v>7</v>
      </c>
      <c r="B94" t="s">
        <v>4717</v>
      </c>
      <c r="C94">
        <f t="shared" si="16"/>
        <v>200092</v>
      </c>
      <c r="D94" t="str">
        <f t="shared" ca="1" si="14"/>
        <v>2011-09-06</v>
      </c>
      <c r="E94">
        <f>IFERROR(VLOOKUP(B94,Contacts.csv!C:D,2,FALSE),"")</f>
        <v>200092</v>
      </c>
      <c r="F94" t="str">
        <f t="shared" si="17"/>
        <v>rg:{'id':'200092'}</v>
      </c>
      <c r="G94" s="4" t="str">
        <f t="shared" si="18"/>
        <v>rg:[{'id':'200092'}]</v>
      </c>
      <c r="H94">
        <f t="shared" si="19"/>
        <v>200004</v>
      </c>
      <c r="I94" s="1" t="str">
        <f>VLOOKUP(H94,LocalAreas.csv!I:J,2,FALSE)</f>
        <v>Chilcotin</v>
      </c>
      <c r="J94" t="str">
        <f t="shared" si="15"/>
        <v>rg:{'id':'200004'}</v>
      </c>
      <c r="K94" t="str">
        <f t="shared" si="20"/>
        <v>STRO</v>
      </c>
      <c r="M94">
        <f t="shared" ca="1" si="21"/>
        <v>18188</v>
      </c>
      <c r="N94" t="str">
        <f t="shared" ca="1" si="22"/>
        <v>rg:True</v>
      </c>
      <c r="O94" t="str">
        <f t="shared" ca="1" si="23"/>
        <v>rg:False</v>
      </c>
      <c r="P94">
        <f t="shared" ca="1" si="24"/>
        <v>732035</v>
      </c>
      <c r="Q94" t="str">
        <f t="shared" ca="1" si="25"/>
        <v>2017-12-27</v>
      </c>
      <c r="R94" t="str">
        <f t="shared" ca="1" si="25"/>
        <v>2017-11-11</v>
      </c>
      <c r="S94" t="s">
        <v>6663</v>
      </c>
      <c r="T94" t="s">
        <v>76</v>
      </c>
      <c r="U94" t="s">
        <v>76</v>
      </c>
      <c r="V94" t="s">
        <v>76</v>
      </c>
      <c r="W94" t="s">
        <v>6510</v>
      </c>
      <c r="X94" t="s">
        <v>6510</v>
      </c>
      <c r="Y94" t="s">
        <v>6510</v>
      </c>
      <c r="Z94" t="s">
        <v>6510</v>
      </c>
    </row>
    <row r="95" spans="1:26" x14ac:dyDescent="0.3">
      <c r="A95" t="s">
        <v>7</v>
      </c>
      <c r="B95" t="s">
        <v>3809</v>
      </c>
      <c r="C95">
        <f t="shared" si="16"/>
        <v>200093</v>
      </c>
      <c r="D95" t="str">
        <f t="shared" ca="1" si="14"/>
        <v>2014-03-18</v>
      </c>
      <c r="E95">
        <f>IFERROR(VLOOKUP(B95,Contacts.csv!C:D,2,FALSE),"")</f>
        <v>200093</v>
      </c>
      <c r="F95" t="str">
        <f t="shared" si="17"/>
        <v>rg:{'id':'200093'}</v>
      </c>
      <c r="G95" s="4" t="str">
        <f t="shared" si="18"/>
        <v>rg:[{'id':'200093'}]</v>
      </c>
      <c r="H95">
        <f t="shared" si="19"/>
        <v>200004</v>
      </c>
      <c r="I95" s="1" t="str">
        <f>VLOOKUP(H95,LocalAreas.csv!I:J,2,FALSE)</f>
        <v>Chilcotin</v>
      </c>
      <c r="J95" t="str">
        <f t="shared" si="15"/>
        <v>rg:{'id':'200004'}</v>
      </c>
      <c r="K95" t="s">
        <v>7606</v>
      </c>
      <c r="M95">
        <f t="shared" ca="1" si="21"/>
        <v>13588</v>
      </c>
      <c r="N95" t="str">
        <f t="shared" ca="1" si="22"/>
        <v>rg:True</v>
      </c>
      <c r="O95" t="str">
        <f t="shared" ca="1" si="23"/>
        <v>rg:False</v>
      </c>
      <c r="P95">
        <f t="shared" ca="1" si="24"/>
        <v>732112</v>
      </c>
      <c r="Q95" t="str">
        <f t="shared" ca="1" si="25"/>
        <v>2017-06-13</v>
      </c>
      <c r="R95" t="str">
        <f t="shared" ca="1" si="25"/>
        <v>2017-08-10</v>
      </c>
      <c r="S95" t="s">
        <v>6665</v>
      </c>
      <c r="T95" t="s">
        <v>76</v>
      </c>
      <c r="U95" t="s">
        <v>76</v>
      </c>
      <c r="V95" t="s">
        <v>76</v>
      </c>
      <c r="W95" t="s">
        <v>6510</v>
      </c>
      <c r="X95" t="s">
        <v>6510</v>
      </c>
      <c r="Y95" t="s">
        <v>6510</v>
      </c>
      <c r="Z95" t="s">
        <v>6510</v>
      </c>
    </row>
    <row r="96" spans="1:26" x14ac:dyDescent="0.3">
      <c r="A96" t="s">
        <v>7</v>
      </c>
      <c r="B96" t="s">
        <v>4852</v>
      </c>
      <c r="C96">
        <f t="shared" si="16"/>
        <v>200094</v>
      </c>
      <c r="D96" t="str">
        <f t="shared" ca="1" si="14"/>
        <v>2008-06-23</v>
      </c>
      <c r="E96">
        <f>IFERROR(VLOOKUP(B96,Contacts.csv!C:D,2,FALSE),"")</f>
        <v>200094</v>
      </c>
      <c r="F96" t="str">
        <f t="shared" si="17"/>
        <v>rg:{'id':'200094'}</v>
      </c>
      <c r="G96" s="4" t="str">
        <f t="shared" si="18"/>
        <v>rg:[{'id':'200094'}]</v>
      </c>
      <c r="H96">
        <f t="shared" si="19"/>
        <v>200004</v>
      </c>
      <c r="I96" s="1" t="str">
        <f>VLOOKUP(H96,LocalAreas.csv!I:J,2,FALSE)</f>
        <v>Chilcotin</v>
      </c>
      <c r="J96" t="str">
        <f t="shared" si="15"/>
        <v>rg:{'id':'200004'}</v>
      </c>
      <c r="K96" t="str">
        <f t="shared" si="20"/>
        <v>SUAD</v>
      </c>
      <c r="M96">
        <f t="shared" ca="1" si="21"/>
        <v>18729</v>
      </c>
      <c r="N96" t="str">
        <f t="shared" ca="1" si="22"/>
        <v>rg:True</v>
      </c>
      <c r="O96" t="str">
        <f t="shared" ca="1" si="23"/>
        <v>rg:False</v>
      </c>
      <c r="P96">
        <f t="shared" ca="1" si="24"/>
        <v>732052</v>
      </c>
      <c r="Q96" t="str">
        <f t="shared" ca="1" si="25"/>
        <v>2017-12-20</v>
      </c>
      <c r="R96" t="str">
        <f t="shared" ca="1" si="25"/>
        <v>2017-08-16</v>
      </c>
      <c r="S96" t="s">
        <v>6663</v>
      </c>
      <c r="T96" t="s">
        <v>76</v>
      </c>
      <c r="U96" t="s">
        <v>76</v>
      </c>
      <c r="V96" t="s">
        <v>76</v>
      </c>
      <c r="W96" t="s">
        <v>6510</v>
      </c>
      <c r="X96" t="s">
        <v>6510</v>
      </c>
      <c r="Y96" t="s">
        <v>6510</v>
      </c>
      <c r="Z96" t="s">
        <v>6510</v>
      </c>
    </row>
    <row r="97" spans="1:26" x14ac:dyDescent="0.3">
      <c r="A97" t="s">
        <v>7</v>
      </c>
      <c r="B97" t="s">
        <v>3505</v>
      </c>
      <c r="C97">
        <f t="shared" si="16"/>
        <v>200095</v>
      </c>
      <c r="D97" t="str">
        <f t="shared" ca="1" si="14"/>
        <v>2008-01-09</v>
      </c>
      <c r="E97">
        <f>IFERROR(VLOOKUP(B97,Contacts.csv!C:D,2,FALSE),"")</f>
        <v>200095</v>
      </c>
      <c r="F97" t="str">
        <f t="shared" si="17"/>
        <v>rg:{'id':'200095'}</v>
      </c>
      <c r="G97" s="4" t="str">
        <f t="shared" si="18"/>
        <v>rg:[{'id':'200095'}]</v>
      </c>
      <c r="H97">
        <f t="shared" si="19"/>
        <v>200004</v>
      </c>
      <c r="I97" s="1" t="str">
        <f>VLOOKUP(H97,LocalAreas.csv!I:J,2,FALSE)</f>
        <v>Chilcotin</v>
      </c>
      <c r="J97" t="str">
        <f t="shared" si="15"/>
        <v>rg:{'id':'200004'}</v>
      </c>
      <c r="K97" t="str">
        <f t="shared" si="20"/>
        <v>SUCC</v>
      </c>
      <c r="M97">
        <f t="shared" ca="1" si="21"/>
        <v>14972</v>
      </c>
      <c r="N97" t="str">
        <f t="shared" ca="1" si="22"/>
        <v>rg:True</v>
      </c>
      <c r="O97" t="str">
        <f t="shared" ca="1" si="23"/>
        <v>rg:True</v>
      </c>
      <c r="P97">
        <f t="shared" ca="1" si="24"/>
        <v>732097</v>
      </c>
      <c r="Q97" t="str">
        <f t="shared" ca="1" si="25"/>
        <v>2017-07-06</v>
      </c>
      <c r="R97" t="str">
        <f t="shared" ca="1" si="25"/>
        <v>2017-06-22</v>
      </c>
      <c r="S97" t="s">
        <v>6663</v>
      </c>
      <c r="T97" t="s">
        <v>76</v>
      </c>
      <c r="U97" t="s">
        <v>76</v>
      </c>
      <c r="V97" t="s">
        <v>76</v>
      </c>
      <c r="W97" t="s">
        <v>6510</v>
      </c>
      <c r="X97" t="s">
        <v>6510</v>
      </c>
      <c r="Y97" t="s">
        <v>6510</v>
      </c>
      <c r="Z97" t="s">
        <v>6510</v>
      </c>
    </row>
    <row r="98" spans="1:26" x14ac:dyDescent="0.3">
      <c r="A98" t="s">
        <v>7</v>
      </c>
      <c r="B98" t="s">
        <v>4200</v>
      </c>
      <c r="C98">
        <f t="shared" si="16"/>
        <v>200096</v>
      </c>
      <c r="D98" t="str">
        <f t="shared" ca="1" si="14"/>
        <v>2009-11-27</v>
      </c>
      <c r="E98">
        <f>IFERROR(VLOOKUP(B98,Contacts.csv!C:D,2,FALSE),"")</f>
        <v>200096</v>
      </c>
      <c r="F98" t="str">
        <f t="shared" si="17"/>
        <v>rg:{'id':'200096'}</v>
      </c>
      <c r="G98" s="4" t="str">
        <f t="shared" si="18"/>
        <v>rg:[{'id':'200096'}]</v>
      </c>
      <c r="H98">
        <f t="shared" si="19"/>
        <v>200004</v>
      </c>
      <c r="I98" s="1" t="str">
        <f>VLOOKUP(H98,LocalAreas.csv!I:J,2,FALSE)</f>
        <v>Chilcotin</v>
      </c>
      <c r="J98" t="str">
        <f t="shared" ref="J98:J109" si="26" xml:space="preserve"> "rg:{'id':'" &amp; H98 &amp; "'}"</f>
        <v>rg:{'id':'200004'}</v>
      </c>
      <c r="K98" t="str">
        <f t="shared" si="20"/>
        <v>FLYI</v>
      </c>
      <c r="M98">
        <f t="shared" ca="1" si="21"/>
        <v>12909</v>
      </c>
      <c r="N98" t="str">
        <f t="shared" ca="1" si="22"/>
        <v>rg:True</v>
      </c>
      <c r="O98" t="str">
        <f t="shared" ca="1" si="23"/>
        <v>rg:False</v>
      </c>
      <c r="P98">
        <f t="shared" ca="1" si="24"/>
        <v>732137</v>
      </c>
      <c r="Q98" t="str">
        <f t="shared" ca="1" si="25"/>
        <v>2017-11-24</v>
      </c>
      <c r="R98" t="str">
        <f t="shared" ca="1" si="25"/>
        <v>2017-05-17</v>
      </c>
      <c r="S98" t="s">
        <v>6663</v>
      </c>
      <c r="T98" t="s">
        <v>76</v>
      </c>
      <c r="U98" t="s">
        <v>76</v>
      </c>
      <c r="V98" t="s">
        <v>76</v>
      </c>
      <c r="W98" t="s">
        <v>6510</v>
      </c>
      <c r="X98" t="s">
        <v>6510</v>
      </c>
      <c r="Y98" t="s">
        <v>6510</v>
      </c>
      <c r="Z98" t="s">
        <v>6510</v>
      </c>
    </row>
    <row r="99" spans="1:26" x14ac:dyDescent="0.3">
      <c r="A99" t="s">
        <v>7</v>
      </c>
      <c r="B99" t="s">
        <v>3290</v>
      </c>
      <c r="C99">
        <f t="shared" si="16"/>
        <v>200097</v>
      </c>
      <c r="D99" t="str">
        <f t="shared" ca="1" si="14"/>
        <v>2005-10-01</v>
      </c>
      <c r="E99">
        <f>IFERROR(VLOOKUP(B99,Contacts.csv!C:D,2,FALSE),"")</f>
        <v>200097</v>
      </c>
      <c r="F99" t="str">
        <f t="shared" si="17"/>
        <v>rg:{'id':'200097'}</v>
      </c>
      <c r="G99" s="4" t="str">
        <f t="shared" si="18"/>
        <v>rg:[{'id':'200097'}]</v>
      </c>
      <c r="H99">
        <f t="shared" si="19"/>
        <v>200004</v>
      </c>
      <c r="I99" s="1" t="str">
        <f>VLOOKUP(H99,LocalAreas.csv!I:J,2,FALSE)</f>
        <v>Chilcotin</v>
      </c>
      <c r="J99" t="str">
        <f t="shared" si="26"/>
        <v>rg:{'id':'200004'}</v>
      </c>
      <c r="K99" t="str">
        <f t="shared" si="20"/>
        <v>FOXA</v>
      </c>
      <c r="L99" t="s">
        <v>6662</v>
      </c>
      <c r="M99">
        <f t="shared" ca="1" si="21"/>
        <v>16050</v>
      </c>
      <c r="N99" t="str">
        <f t="shared" ca="1" si="22"/>
        <v>rg:True</v>
      </c>
      <c r="O99" t="str">
        <f t="shared" ca="1" si="23"/>
        <v>rg:False</v>
      </c>
      <c r="P99">
        <f t="shared" ca="1" si="24"/>
        <v>732172</v>
      </c>
      <c r="Q99" t="str">
        <f t="shared" ca="1" si="25"/>
        <v>2017-10-27</v>
      </c>
      <c r="R99" t="str">
        <f t="shared" ca="1" si="25"/>
        <v>2017-11-22</v>
      </c>
      <c r="S99" t="s">
        <v>6665</v>
      </c>
      <c r="T99" t="s">
        <v>76</v>
      </c>
      <c r="U99" t="s">
        <v>76</v>
      </c>
      <c r="V99" t="s">
        <v>76</v>
      </c>
      <c r="W99" t="s">
        <v>6510</v>
      </c>
      <c r="X99" t="s">
        <v>6510</v>
      </c>
      <c r="Y99" t="s">
        <v>6510</v>
      </c>
      <c r="Z99" t="s">
        <v>6510</v>
      </c>
    </row>
    <row r="100" spans="1:26" x14ac:dyDescent="0.3">
      <c r="A100" t="s">
        <v>7</v>
      </c>
      <c r="B100" t="s">
        <v>3824</v>
      </c>
      <c r="C100">
        <f t="shared" si="16"/>
        <v>200098</v>
      </c>
      <c r="D100" t="str">
        <f t="shared" ca="1" si="14"/>
        <v>2010-12-05</v>
      </c>
      <c r="E100">
        <f>IFERROR(VLOOKUP(B100,Contacts.csv!C:D,2,FALSE),"")</f>
        <v>200098</v>
      </c>
      <c r="F100" t="str">
        <f t="shared" si="17"/>
        <v>rg:{'id':'200098'}</v>
      </c>
      <c r="G100" s="4" t="str">
        <f t="shared" si="18"/>
        <v>rg:[{'id':'200098'}]</v>
      </c>
      <c r="H100">
        <f t="shared" si="19"/>
        <v>200005</v>
      </c>
      <c r="I100" s="1" t="str">
        <f>VLOOKUP(H100,LocalAreas.csv!I:J,2,FALSE)</f>
        <v>Nanaimo/Ladysmith/Lantzville</v>
      </c>
      <c r="J100" t="str">
        <f t="shared" si="26"/>
        <v>rg:{'id':'200005'}</v>
      </c>
      <c r="K100" t="str">
        <f t="shared" si="20"/>
        <v>GOOS</v>
      </c>
      <c r="M100">
        <f t="shared" ca="1" si="21"/>
        <v>14191</v>
      </c>
      <c r="N100" t="str">
        <f t="shared" ca="1" si="22"/>
        <v>rg:True</v>
      </c>
      <c r="O100" t="str">
        <f t="shared" ca="1" si="23"/>
        <v>rg:False</v>
      </c>
      <c r="P100">
        <f t="shared" ca="1" si="24"/>
        <v>732170</v>
      </c>
      <c r="Q100" t="str">
        <f t="shared" ca="1" si="25"/>
        <v>2017-10-22</v>
      </c>
      <c r="R100" t="str">
        <f t="shared" ca="1" si="25"/>
        <v>2017-10-05</v>
      </c>
      <c r="S100" t="s">
        <v>6663</v>
      </c>
      <c r="T100" t="s">
        <v>76</v>
      </c>
      <c r="U100" t="s">
        <v>76</v>
      </c>
      <c r="V100" t="s">
        <v>76</v>
      </c>
      <c r="W100" t="s">
        <v>6510</v>
      </c>
      <c r="X100" t="s">
        <v>6510</v>
      </c>
      <c r="Y100" t="s">
        <v>6510</v>
      </c>
      <c r="Z100" t="s">
        <v>6510</v>
      </c>
    </row>
    <row r="101" spans="1:26" x14ac:dyDescent="0.3">
      <c r="A101" t="s">
        <v>7</v>
      </c>
      <c r="B101" t="s">
        <v>3014</v>
      </c>
      <c r="C101">
        <f t="shared" si="16"/>
        <v>200099</v>
      </c>
      <c r="D101" t="str">
        <f t="shared" ca="1" si="14"/>
        <v>2005-05-09</v>
      </c>
      <c r="E101">
        <f>IFERROR(VLOOKUP(B101,Contacts.csv!C:D,2,FALSE),"")</f>
        <v>200099</v>
      </c>
      <c r="F101" t="str">
        <f t="shared" si="17"/>
        <v>rg:{'id':'200099'}</v>
      </c>
      <c r="G101" s="4" t="str">
        <f t="shared" si="18"/>
        <v>rg:[{'id':'200099'}]</v>
      </c>
      <c r="H101">
        <f t="shared" si="19"/>
        <v>200005</v>
      </c>
      <c r="I101" s="1" t="str">
        <f>VLOOKUP(H101,LocalAreas.csv!I:J,2,FALSE)</f>
        <v>Nanaimo/Ladysmith/Lantzville</v>
      </c>
      <c r="J101" t="str">
        <f t="shared" si="26"/>
        <v>rg:{'id':'200005'}</v>
      </c>
      <c r="K101" t="str">
        <f t="shared" si="20"/>
        <v>ORIG</v>
      </c>
      <c r="M101">
        <f t="shared" ca="1" si="21"/>
        <v>17994</v>
      </c>
      <c r="N101" t="str">
        <f t="shared" ca="1" si="22"/>
        <v>rg:True</v>
      </c>
      <c r="O101" t="str">
        <f t="shared" ca="1" si="23"/>
        <v>rg:False</v>
      </c>
      <c r="P101">
        <f t="shared" ca="1" si="24"/>
        <v>732054</v>
      </c>
      <c r="Q101" t="str">
        <f t="shared" ca="1" si="25"/>
        <v>2017-03-22</v>
      </c>
      <c r="R101" t="str">
        <f t="shared" ca="1" si="25"/>
        <v>2018-03-08</v>
      </c>
      <c r="S101" t="s">
        <v>6663</v>
      </c>
      <c r="T101" t="s">
        <v>76</v>
      </c>
      <c r="U101" t="s">
        <v>76</v>
      </c>
      <c r="V101" t="s">
        <v>76</v>
      </c>
      <c r="W101" t="s">
        <v>6510</v>
      </c>
      <c r="X101" t="s">
        <v>6510</v>
      </c>
      <c r="Y101" t="s">
        <v>6510</v>
      </c>
      <c r="Z101" t="s">
        <v>6510</v>
      </c>
    </row>
    <row r="102" spans="1:26" x14ac:dyDescent="0.3">
      <c r="A102" t="s">
        <v>7</v>
      </c>
      <c r="B102" t="s">
        <v>4144</v>
      </c>
      <c r="C102">
        <f t="shared" si="16"/>
        <v>200100</v>
      </c>
      <c r="D102" t="str">
        <f t="shared" ca="1" si="14"/>
        <v>2007-07-20</v>
      </c>
      <c r="E102">
        <f>IFERROR(VLOOKUP(B102,Contacts.csv!C:D,2,FALSE),"")</f>
        <v>200100</v>
      </c>
      <c r="F102" t="str">
        <f t="shared" si="17"/>
        <v>rg:{'id':'200100'}</v>
      </c>
      <c r="G102" s="4" t="str">
        <f t="shared" si="18"/>
        <v>rg:[{'id':'200100'}]</v>
      </c>
      <c r="H102">
        <f t="shared" si="19"/>
        <v>200005</v>
      </c>
      <c r="I102" s="1" t="str">
        <f>VLOOKUP(H102,LocalAreas.csv!I:J,2,FALSE)</f>
        <v>Nanaimo/Ladysmith/Lantzville</v>
      </c>
      <c r="J102" t="str">
        <f t="shared" si="26"/>
        <v>rg:{'id':'200005'}</v>
      </c>
      <c r="K102" t="str">
        <f t="shared" si="20"/>
        <v>WALL</v>
      </c>
      <c r="M102">
        <f t="shared" ca="1" si="21"/>
        <v>14969</v>
      </c>
      <c r="N102" t="str">
        <f t="shared" ca="1" si="22"/>
        <v>rg:True</v>
      </c>
      <c r="O102" t="str">
        <f t="shared" ca="1" si="23"/>
        <v>rg:False</v>
      </c>
      <c r="P102">
        <f t="shared" ca="1" si="24"/>
        <v>732042</v>
      </c>
      <c r="Q102" t="str">
        <f t="shared" ca="1" si="25"/>
        <v>2018-01-04</v>
      </c>
      <c r="R102" t="str">
        <f t="shared" ca="1" si="25"/>
        <v>2018-01-20</v>
      </c>
      <c r="S102" t="s">
        <v>6663</v>
      </c>
      <c r="T102" t="s">
        <v>76</v>
      </c>
      <c r="U102" t="s">
        <v>76</v>
      </c>
      <c r="V102" t="s">
        <v>76</v>
      </c>
      <c r="W102" t="s">
        <v>6510</v>
      </c>
      <c r="X102" t="s">
        <v>6510</v>
      </c>
      <c r="Y102" t="s">
        <v>6510</v>
      </c>
      <c r="Z102" t="s">
        <v>6510</v>
      </c>
    </row>
    <row r="103" spans="1:26" x14ac:dyDescent="0.3">
      <c r="A103" t="s">
        <v>7</v>
      </c>
      <c r="B103" t="s">
        <v>3995</v>
      </c>
      <c r="C103">
        <f t="shared" si="16"/>
        <v>200101</v>
      </c>
      <c r="D103" t="str">
        <f t="shared" ca="1" si="14"/>
        <v>2004-07-06</v>
      </c>
      <c r="E103">
        <f>IFERROR(VLOOKUP(B103,Contacts.csv!C:D,2,FALSE),"")</f>
        <v>200101</v>
      </c>
      <c r="F103" t="str">
        <f t="shared" si="17"/>
        <v>rg:{'id':'200101'}</v>
      </c>
      <c r="G103" s="4" t="str">
        <f t="shared" si="18"/>
        <v>rg:[{'id':'200101'}]</v>
      </c>
      <c r="H103">
        <f t="shared" si="19"/>
        <v>200005</v>
      </c>
      <c r="I103" s="1" t="str">
        <f>VLOOKUP(H103,LocalAreas.csv!I:J,2,FALSE)</f>
        <v>Nanaimo/Ladysmith/Lantzville</v>
      </c>
      <c r="J103" t="str">
        <f t="shared" si="26"/>
        <v>rg:{'id':'200005'}</v>
      </c>
      <c r="K103" t="str">
        <f t="shared" si="20"/>
        <v>WIZ</v>
      </c>
      <c r="M103">
        <f t="shared" ca="1" si="21"/>
        <v>17860</v>
      </c>
      <c r="N103" t="str">
        <f t="shared" ca="1" si="22"/>
        <v>rg:True</v>
      </c>
      <c r="O103" t="str">
        <f t="shared" ca="1" si="23"/>
        <v>rg:False</v>
      </c>
      <c r="P103">
        <f t="shared" ca="1" si="24"/>
        <v>732135</v>
      </c>
      <c r="Q103" t="str">
        <f t="shared" ca="1" si="25"/>
        <v>2017-08-27</v>
      </c>
      <c r="R103" t="str">
        <f t="shared" ca="1" si="25"/>
        <v>2017-06-29</v>
      </c>
      <c r="S103" t="s">
        <v>6663</v>
      </c>
      <c r="T103" t="s">
        <v>76</v>
      </c>
      <c r="U103" t="s">
        <v>76</v>
      </c>
      <c r="V103" t="s">
        <v>76</v>
      </c>
      <c r="W103" t="s">
        <v>6510</v>
      </c>
      <c r="X103" t="s">
        <v>6510</v>
      </c>
      <c r="Y103" t="s">
        <v>6510</v>
      </c>
      <c r="Z103" t="s">
        <v>6510</v>
      </c>
    </row>
    <row r="104" spans="1:26" x14ac:dyDescent="0.3">
      <c r="A104" t="s">
        <v>7</v>
      </c>
      <c r="B104" t="s">
        <v>3715</v>
      </c>
      <c r="C104">
        <f t="shared" si="16"/>
        <v>200102</v>
      </c>
      <c r="D104" t="str">
        <f t="shared" ca="1" si="14"/>
        <v>2007-12-09</v>
      </c>
      <c r="E104">
        <f>IFERROR(VLOOKUP(B104,Contacts.csv!C:D,2,FALSE),"")</f>
        <v>200102</v>
      </c>
      <c r="F104" t="str">
        <f t="shared" si="17"/>
        <v>rg:{'id':'200102'}</v>
      </c>
      <c r="G104" s="4" t="str">
        <f t="shared" si="18"/>
        <v>rg:[{'id':'200102'}]</v>
      </c>
      <c r="H104">
        <f t="shared" si="19"/>
        <v>200005</v>
      </c>
      <c r="I104" s="1" t="str">
        <f>VLOOKUP(H104,LocalAreas.csv!I:J,2,FALSE)</f>
        <v>Nanaimo/Ladysmith/Lantzville</v>
      </c>
      <c r="J104" t="str">
        <f t="shared" si="26"/>
        <v>rg:{'id':'200005'}</v>
      </c>
      <c r="K104" t="s">
        <v>7602</v>
      </c>
      <c r="M104">
        <f t="shared" ca="1" si="21"/>
        <v>18917</v>
      </c>
      <c r="N104" t="str">
        <f t="shared" ca="1" si="22"/>
        <v>rg:True</v>
      </c>
      <c r="O104" t="str">
        <f t="shared" ca="1" si="23"/>
        <v>rg:False</v>
      </c>
      <c r="P104">
        <f t="shared" ca="1" si="24"/>
        <v>732016</v>
      </c>
      <c r="Q104" t="str">
        <f t="shared" ca="1" si="25"/>
        <v>2017-05-24</v>
      </c>
      <c r="R104" t="str">
        <f t="shared" ca="1" si="25"/>
        <v>2017-12-12</v>
      </c>
      <c r="S104" t="s">
        <v>6663</v>
      </c>
      <c r="T104" t="s">
        <v>76</v>
      </c>
      <c r="U104" t="s">
        <v>76</v>
      </c>
      <c r="V104" t="s">
        <v>76</v>
      </c>
      <c r="W104" t="s">
        <v>6510</v>
      </c>
      <c r="X104" t="s">
        <v>6510</v>
      </c>
      <c r="Y104" t="s">
        <v>6510</v>
      </c>
      <c r="Z104" t="s">
        <v>6510</v>
      </c>
    </row>
    <row r="105" spans="1:26" x14ac:dyDescent="0.3">
      <c r="A105" t="s">
        <v>7</v>
      </c>
      <c r="B105" t="s">
        <v>3440</v>
      </c>
      <c r="C105">
        <f t="shared" si="16"/>
        <v>200103</v>
      </c>
      <c r="D105" t="str">
        <f t="shared" ca="1" si="14"/>
        <v>2011-07-27</v>
      </c>
      <c r="E105">
        <f>IFERROR(VLOOKUP(B105,Contacts.csv!C:D,2,FALSE),"")</f>
        <v>200103</v>
      </c>
      <c r="F105" t="str">
        <f t="shared" si="17"/>
        <v>rg:{'id':'200103'}</v>
      </c>
      <c r="G105" s="4" t="str">
        <f t="shared" si="18"/>
        <v>rg:[{'id':'200103'}]</v>
      </c>
      <c r="H105">
        <f t="shared" si="19"/>
        <v>200005</v>
      </c>
      <c r="I105" s="1" t="str">
        <f>VLOOKUP(H105,LocalAreas.csv!I:J,2,FALSE)</f>
        <v>Nanaimo/Ladysmith/Lantzville</v>
      </c>
      <c r="J105" t="str">
        <f t="shared" si="26"/>
        <v>rg:{'id':'200005'}</v>
      </c>
      <c r="K105" t="s">
        <v>7603</v>
      </c>
      <c r="M105">
        <f t="shared" ca="1" si="21"/>
        <v>10819</v>
      </c>
      <c r="N105" t="str">
        <f t="shared" ca="1" si="22"/>
        <v>rg:True</v>
      </c>
      <c r="O105" t="str">
        <f t="shared" ca="1" si="23"/>
        <v>rg:False</v>
      </c>
      <c r="P105">
        <f t="shared" ca="1" si="24"/>
        <v>732047</v>
      </c>
      <c r="Q105" t="str">
        <f t="shared" ca="1" si="25"/>
        <v>2017-05-17</v>
      </c>
      <c r="R105" t="str">
        <f t="shared" ca="1" si="25"/>
        <v>2017-09-26</v>
      </c>
      <c r="S105" t="s">
        <v>6663</v>
      </c>
      <c r="T105" t="s">
        <v>76</v>
      </c>
      <c r="U105" t="s">
        <v>76</v>
      </c>
      <c r="V105" t="s">
        <v>76</v>
      </c>
      <c r="W105" t="s">
        <v>6510</v>
      </c>
      <c r="X105" t="s">
        <v>6510</v>
      </c>
      <c r="Y105" t="s">
        <v>6510</v>
      </c>
      <c r="Z105" t="s">
        <v>6510</v>
      </c>
    </row>
    <row r="106" spans="1:26" x14ac:dyDescent="0.3">
      <c r="A106" t="s">
        <v>7</v>
      </c>
      <c r="B106" t="s">
        <v>4763</v>
      </c>
      <c r="C106">
        <f t="shared" si="16"/>
        <v>200104</v>
      </c>
      <c r="D106" t="str">
        <f t="shared" ca="1" si="14"/>
        <v>2010-09-28</v>
      </c>
      <c r="E106">
        <f>IFERROR(VLOOKUP(B106,Contacts.csv!C:D,2,FALSE),"")</f>
        <v>200104</v>
      </c>
      <c r="F106" t="str">
        <f t="shared" si="17"/>
        <v>rg:{'id':'200104'}</v>
      </c>
      <c r="G106" s="4" t="str">
        <f t="shared" si="18"/>
        <v>rg:[{'id':'200104'}]</v>
      </c>
      <c r="H106">
        <f t="shared" si="19"/>
        <v>200005</v>
      </c>
      <c r="I106" s="1" t="str">
        <f>VLOOKUP(H106,LocalAreas.csv!I:J,2,FALSE)</f>
        <v>Nanaimo/Ladysmith/Lantzville</v>
      </c>
      <c r="J106" t="str">
        <f t="shared" si="26"/>
        <v>rg:{'id':'200005'}</v>
      </c>
      <c r="K106" t="s">
        <v>7604</v>
      </c>
      <c r="M106">
        <f t="shared" ca="1" si="21"/>
        <v>15852</v>
      </c>
      <c r="N106" t="str">
        <f t="shared" ca="1" si="22"/>
        <v>rg:True</v>
      </c>
      <c r="O106" t="str">
        <f t="shared" ca="1" si="23"/>
        <v>rg:False</v>
      </c>
      <c r="P106">
        <f t="shared" ca="1" si="24"/>
        <v>732109</v>
      </c>
      <c r="Q106" t="str">
        <f t="shared" ca="1" si="25"/>
        <v>2017-11-15</v>
      </c>
      <c r="R106" t="str">
        <f t="shared" ca="1" si="25"/>
        <v>2017-05-22</v>
      </c>
      <c r="S106" t="s">
        <v>6665</v>
      </c>
      <c r="T106" t="s">
        <v>76</v>
      </c>
      <c r="U106" t="s">
        <v>76</v>
      </c>
      <c r="V106" t="s">
        <v>76</v>
      </c>
      <c r="W106" t="s">
        <v>6510</v>
      </c>
      <c r="X106" t="s">
        <v>6510</v>
      </c>
      <c r="Y106" t="s">
        <v>6510</v>
      </c>
      <c r="Z106" t="s">
        <v>6510</v>
      </c>
    </row>
    <row r="107" spans="1:26" x14ac:dyDescent="0.3">
      <c r="A107" t="s">
        <v>7</v>
      </c>
      <c r="B107" t="s">
        <v>4085</v>
      </c>
      <c r="C107">
        <f t="shared" si="16"/>
        <v>200105</v>
      </c>
      <c r="D107" t="str">
        <f t="shared" ca="1" si="14"/>
        <v>2004-09-14</v>
      </c>
      <c r="E107" t="str">
        <f>IFERROR(VLOOKUP(B107,Contacts.csv!C:D,2,FALSE),"")</f>
        <v/>
      </c>
      <c r="F107" t="str">
        <f t="shared" si="17"/>
        <v>rg:None</v>
      </c>
      <c r="G107" s="4" t="str">
        <f t="shared" si="18"/>
        <v>rg:[]</v>
      </c>
      <c r="H107">
        <f t="shared" si="19"/>
        <v>200005</v>
      </c>
      <c r="I107" s="1" t="str">
        <f>VLOOKUP(H107,LocalAreas.csv!I:J,2,FALSE)</f>
        <v>Nanaimo/Ladysmith/Lantzville</v>
      </c>
      <c r="J107" t="str">
        <f t="shared" si="26"/>
        <v>rg:{'id':'200005'}</v>
      </c>
      <c r="K107" t="s">
        <v>7605</v>
      </c>
      <c r="M107">
        <f t="shared" ca="1" si="21"/>
        <v>11664</v>
      </c>
      <c r="N107" t="str">
        <f t="shared" ca="1" si="22"/>
        <v>rg:True</v>
      </c>
      <c r="O107" t="str">
        <f t="shared" ca="1" si="23"/>
        <v>rg:False</v>
      </c>
      <c r="P107">
        <f t="shared" ca="1" si="24"/>
        <v>732158</v>
      </c>
      <c r="Q107" t="str">
        <f t="shared" ca="1" si="25"/>
        <v>2018-02-12</v>
      </c>
      <c r="R107" t="str">
        <f t="shared" ca="1" si="25"/>
        <v>2017-06-11</v>
      </c>
      <c r="S107" t="s">
        <v>6665</v>
      </c>
      <c r="T107" t="s">
        <v>76</v>
      </c>
      <c r="U107" t="s">
        <v>76</v>
      </c>
      <c r="V107" t="s">
        <v>76</v>
      </c>
      <c r="W107" t="s">
        <v>6510</v>
      </c>
      <c r="X107" t="s">
        <v>6510</v>
      </c>
      <c r="Y107" t="s">
        <v>6510</v>
      </c>
      <c r="Z107" t="s">
        <v>6510</v>
      </c>
    </row>
    <row r="108" spans="1:26" x14ac:dyDescent="0.3">
      <c r="A108" t="s">
        <v>7</v>
      </c>
      <c r="B108" t="s">
        <v>3604</v>
      </c>
      <c r="C108">
        <f t="shared" si="16"/>
        <v>200106</v>
      </c>
      <c r="D108" t="str">
        <f t="shared" ca="1" si="14"/>
        <v>2008-08-06</v>
      </c>
      <c r="E108" t="str">
        <f>IFERROR(VLOOKUP(B108,Contacts.csv!C:D,2,FALSE),"")</f>
        <v/>
      </c>
      <c r="F108" t="str">
        <f t="shared" si="17"/>
        <v>rg:None</v>
      </c>
      <c r="G108" s="4" t="str">
        <f t="shared" si="18"/>
        <v>rg:[]</v>
      </c>
      <c r="H108">
        <f t="shared" si="19"/>
        <v>200005</v>
      </c>
      <c r="I108" s="1" t="str">
        <f>VLOOKUP(H108,LocalAreas.csv!I:J,2,FALSE)</f>
        <v>Nanaimo/Ladysmith/Lantzville</v>
      </c>
      <c r="J108" t="str">
        <f t="shared" si="26"/>
        <v>rg:{'id':'200005'}</v>
      </c>
      <c r="K108" t="str">
        <f t="shared" si="20"/>
        <v>WARE</v>
      </c>
      <c r="M108">
        <f t="shared" ca="1" si="21"/>
        <v>16228</v>
      </c>
      <c r="N108" t="str">
        <f t="shared" ca="1" si="22"/>
        <v>rg:True</v>
      </c>
      <c r="O108" t="str">
        <f t="shared" ca="1" si="23"/>
        <v>rg:False</v>
      </c>
      <c r="P108">
        <f t="shared" ca="1" si="24"/>
        <v>732110</v>
      </c>
      <c r="Q108" t="str">
        <f t="shared" ca="1" si="25"/>
        <v>2018-03-11</v>
      </c>
      <c r="R108" t="str">
        <f t="shared" ca="1" si="25"/>
        <v>2017-06-18</v>
      </c>
      <c r="S108" t="s">
        <v>6665</v>
      </c>
      <c r="T108" t="s">
        <v>76</v>
      </c>
      <c r="U108" t="s">
        <v>76</v>
      </c>
      <c r="V108" t="s">
        <v>76</v>
      </c>
      <c r="W108" t="s">
        <v>6510</v>
      </c>
      <c r="X108" t="s">
        <v>6510</v>
      </c>
      <c r="Y108" t="s">
        <v>6510</v>
      </c>
      <c r="Z108" t="s">
        <v>6510</v>
      </c>
    </row>
    <row r="109" spans="1:26" x14ac:dyDescent="0.3">
      <c r="A109" t="s">
        <v>7</v>
      </c>
      <c r="B109" t="s">
        <v>4777</v>
      </c>
      <c r="C109">
        <f t="shared" si="16"/>
        <v>200107</v>
      </c>
      <c r="D109" t="str">
        <f t="shared" ca="1" si="14"/>
        <v>2014-03-13</v>
      </c>
      <c r="E109" t="str">
        <f>IFERROR(VLOOKUP(B109,Contacts.csv!C:D,2,FALSE),"")</f>
        <v/>
      </c>
      <c r="F109" t="str">
        <f t="shared" si="17"/>
        <v>rg:None</v>
      </c>
      <c r="G109" s="4" t="str">
        <f t="shared" si="18"/>
        <v>rg:[]</v>
      </c>
      <c r="H109">
        <f t="shared" si="19"/>
        <v>200005</v>
      </c>
      <c r="I109" s="1" t="str">
        <f>VLOOKUP(H109,LocalAreas.csv!I:J,2,FALSE)</f>
        <v>Nanaimo/Ladysmith/Lantzville</v>
      </c>
      <c r="J109" t="str">
        <f t="shared" si="26"/>
        <v>rg:{'id':'200005'}</v>
      </c>
      <c r="K109" t="str">
        <f t="shared" si="20"/>
        <v>WEAT</v>
      </c>
      <c r="M109">
        <f t="shared" ca="1" si="21"/>
        <v>15411</v>
      </c>
      <c r="N109" t="str">
        <f t="shared" ca="1" si="22"/>
        <v>rg:True</v>
      </c>
      <c r="O109" t="str">
        <f t="shared" ca="1" si="23"/>
        <v>rg:False</v>
      </c>
      <c r="P109">
        <f t="shared" ca="1" si="24"/>
        <v>732079</v>
      </c>
      <c r="Q109" t="str">
        <f t="shared" ca="1" si="25"/>
        <v>2018-02-02</v>
      </c>
      <c r="R109" t="str">
        <f t="shared" ca="1" si="25"/>
        <v>2017-10-15</v>
      </c>
      <c r="S109" t="s">
        <v>6665</v>
      </c>
      <c r="T109" t="s">
        <v>76</v>
      </c>
      <c r="U109" t="s">
        <v>76</v>
      </c>
      <c r="V109" t="s">
        <v>76</v>
      </c>
      <c r="W109" t="s">
        <v>6510</v>
      </c>
      <c r="X109" t="s">
        <v>6510</v>
      </c>
      <c r="Y109" t="s">
        <v>6510</v>
      </c>
      <c r="Z109" t="s">
        <v>6510</v>
      </c>
    </row>
  </sheetData>
  <autoFilter ref="A1:Z109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S204"/>
  <sheetViews>
    <sheetView topLeftCell="AB1" workbookViewId="0">
      <pane ySplit="1" topLeftCell="A2" activePane="bottomLeft" state="frozen"/>
      <selection pane="bottomLeft" activeCell="AT1" sqref="AT1:AT1048576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0.6640625" bestFit="1" customWidth="1"/>
    <col min="4" max="6" width="14.6640625" customWidth="1"/>
    <col min="7" max="7" width="17.88671875" customWidth="1"/>
    <col min="8" max="8" width="24.88671875" customWidth="1"/>
    <col min="9" max="9" width="12.21875" bestFit="1" customWidth="1"/>
    <col min="10" max="10" width="13.33203125" customWidth="1"/>
    <col min="11" max="12" width="16.88671875" customWidth="1"/>
    <col min="13" max="13" width="16.21875" bestFit="1" customWidth="1"/>
    <col min="19" max="20" width="10.44140625" style="1" bestFit="1" customWidth="1"/>
    <col min="21" max="21" width="26.88671875" bestFit="1" customWidth="1"/>
    <col min="24" max="24" width="10.44140625" bestFit="1" customWidth="1"/>
    <col min="28" max="28" width="10.44140625" bestFit="1" customWidth="1"/>
    <col min="32" max="32" width="10.44140625" style="1" bestFit="1" customWidth="1"/>
    <col min="33" max="33" width="10.44140625" style="4" customWidth="1"/>
    <col min="34" max="34" width="10.44140625" bestFit="1" customWidth="1"/>
    <col min="40" max="40" width="10.44140625" bestFit="1" customWidth="1"/>
  </cols>
  <sheetData>
    <row r="1" spans="1:45" x14ac:dyDescent="0.3">
      <c r="A1" t="s">
        <v>68</v>
      </c>
      <c r="B1" t="s">
        <v>5325</v>
      </c>
      <c r="C1" t="s">
        <v>6688</v>
      </c>
      <c r="D1" t="s">
        <v>5632</v>
      </c>
      <c r="E1" t="s">
        <v>5633</v>
      </c>
      <c r="F1" t="s">
        <v>7870</v>
      </c>
      <c r="G1" t="s">
        <v>5634</v>
      </c>
      <c r="H1" t="s">
        <v>5635</v>
      </c>
      <c r="I1" t="s">
        <v>5329</v>
      </c>
      <c r="J1" t="s">
        <v>7878</v>
      </c>
      <c r="K1" t="s">
        <v>7881</v>
      </c>
      <c r="L1" t="s">
        <v>7769</v>
      </c>
      <c r="M1" t="s">
        <v>6857</v>
      </c>
      <c r="N1" t="s">
        <v>5647</v>
      </c>
      <c r="O1" t="s">
        <v>5648</v>
      </c>
      <c r="P1" t="s">
        <v>5649</v>
      </c>
      <c r="Q1" t="s">
        <v>5665</v>
      </c>
      <c r="R1" t="s">
        <v>333</v>
      </c>
      <c r="S1" s="1" t="s">
        <v>6858</v>
      </c>
      <c r="T1" s="1" t="s">
        <v>6859</v>
      </c>
      <c r="U1" t="s">
        <v>6860</v>
      </c>
      <c r="V1" t="s">
        <v>6861</v>
      </c>
      <c r="W1" t="s">
        <v>6862</v>
      </c>
      <c r="X1" t="s">
        <v>6863</v>
      </c>
      <c r="Y1" t="s">
        <v>6864</v>
      </c>
      <c r="Z1" t="s">
        <v>6865</v>
      </c>
      <c r="AA1" t="s">
        <v>6866</v>
      </c>
      <c r="AB1" t="s">
        <v>6867</v>
      </c>
      <c r="AC1" t="s">
        <v>6868</v>
      </c>
      <c r="AD1" t="s">
        <v>6869</v>
      </c>
      <c r="AE1" t="s">
        <v>6870</v>
      </c>
      <c r="AF1" s="1" t="s">
        <v>6871</v>
      </c>
      <c r="AG1" s="4" t="s">
        <v>5646</v>
      </c>
      <c r="AH1" t="s">
        <v>6872</v>
      </c>
      <c r="AI1" t="s">
        <v>6873</v>
      </c>
      <c r="AJ1" t="s">
        <v>6874</v>
      </c>
      <c r="AK1" t="s">
        <v>6875</v>
      </c>
      <c r="AL1" t="s">
        <v>6506</v>
      </c>
      <c r="AM1" t="s">
        <v>6507</v>
      </c>
      <c r="AN1" t="s">
        <v>6508</v>
      </c>
      <c r="AO1" t="s">
        <v>6876</v>
      </c>
      <c r="AP1" t="s">
        <v>6877</v>
      </c>
      <c r="AQ1" t="s">
        <v>5327</v>
      </c>
      <c r="AR1" t="s">
        <v>5374</v>
      </c>
      <c r="AS1" t="s">
        <v>5375</v>
      </c>
    </row>
    <row r="2" spans="1:45" x14ac:dyDescent="0.3">
      <c r="A2" t="s">
        <v>5630</v>
      </c>
      <c r="B2">
        <f t="shared" ref="B2:B65" si="0">IF(ISNUMBER(B1),B1+1,200000)</f>
        <v>200000</v>
      </c>
      <c r="C2">
        <v>200000</v>
      </c>
      <c r="D2" t="str">
        <f t="shared" ref="D2:D65" si="1">"rg:{'id': '"&amp;C2&amp;"'}"</f>
        <v>rg:{'id': '200000'}</v>
      </c>
      <c r="E2">
        <f>VLOOKUP(C2,Owners.csv!C:J,6,FALSE)</f>
        <v>200000</v>
      </c>
      <c r="F2" t="str">
        <f>VLOOKUP(VLOOKUP(E2,LocalAreas.csv!I:K,3,FALSE),ServiceAreas.csv!F:J,5,FALSE)</f>
        <v>200009</v>
      </c>
      <c r="G2" t="str">
        <f t="shared" ref="G2:G65" si="2">"rg:{'id': '"&amp;E2&amp;"'}"</f>
        <v>rg:{'id': '200000'}</v>
      </c>
      <c r="H2" t="s">
        <v>7643</v>
      </c>
      <c r="I2" t="s">
        <v>5536</v>
      </c>
      <c r="J2">
        <f>VLOOKUP(I2&amp;"-"&amp;F2,DistrictEquipmentTypes.csv!J:K,2,FALSE)</f>
        <v>200000</v>
      </c>
      <c r="K2" t="str">
        <f t="shared" ref="K2:K65" si="3">"rg:{'id': '"&amp;J2&amp;"'}"</f>
        <v>rg:{'id': '200000'}</v>
      </c>
      <c r="L2">
        <f t="shared" ref="L2:L65" si="4">IF(C2=C1,L1+1,1)</f>
        <v>1</v>
      </c>
      <c r="M2" t="str">
        <f>VLOOKUP(C2,Owners.csv!C:K,9,FALSE)&amp;TEXT(Equipment.csv!L2,"0000")</f>
        <v>ACCO0001</v>
      </c>
      <c r="N2" t="s">
        <v>5467</v>
      </c>
      <c r="O2" t="s">
        <v>5650</v>
      </c>
      <c r="P2">
        <v>1999</v>
      </c>
      <c r="Q2">
        <v>50</v>
      </c>
      <c r="R2" t="s">
        <v>6663</v>
      </c>
      <c r="S2" s="1">
        <v>38139</v>
      </c>
      <c r="T2" s="1">
        <v>38144</v>
      </c>
      <c r="U2" t="str">
        <f t="shared" ref="U2:U65" ca="1" si="5">IF(RANDBETWEEN(1,10)&gt;1,"rg:False","rg:True")</f>
        <v>rg:False</v>
      </c>
      <c r="V2" t="str">
        <f t="shared" ref="V2:V65" ca="1" si="6">IF(U2="rg:True","This equipment should be archived","rg:None")</f>
        <v>rg:None</v>
      </c>
      <c r="W2" t="s">
        <v>7057</v>
      </c>
      <c r="X2" t="s">
        <v>76</v>
      </c>
      <c r="Y2" t="s">
        <v>76</v>
      </c>
      <c r="Z2" t="s">
        <v>76</v>
      </c>
      <c r="AA2" t="s">
        <v>7404</v>
      </c>
      <c r="AB2" t="s">
        <v>7255</v>
      </c>
      <c r="AC2">
        <v>0</v>
      </c>
      <c r="AD2" t="str">
        <f t="shared" ref="AD2:AD65" ca="1" si="7">IF(RANDBETWEEN(1,20)&gt;1,"rg:False","rg:True")</f>
        <v>rg:False</v>
      </c>
      <c r="AE2" t="str">
        <f t="shared" ref="AE2:AE33" ca="1" si="8">IF(AD2="rg:True","Seniority overridden to test things","rg:None")</f>
        <v>rg:None</v>
      </c>
      <c r="AF2" s="1">
        <v>42480</v>
      </c>
      <c r="AG2" s="4">
        <f t="shared" ref="AG2:AG65" ca="1" si="9">IF(I2="Dump Truck",60,30)*AH2+(AVERAGE(AI2:AK2))</f>
        <v>412.25</v>
      </c>
      <c r="AH2" s="4">
        <f t="shared" ref="AH2:AH65" si="10">YEARFRAC(DATE("2016","4","1"),T2)</f>
        <v>11.819444444444445</v>
      </c>
      <c r="AI2">
        <f t="shared" ref="AI2:AI65" ca="1" si="11">IF(AH2&lt;1,0,RANDBETWEEN(0,200))</f>
        <v>28</v>
      </c>
      <c r="AJ2">
        <f t="shared" ref="AJ2:AJ65" ca="1" si="12">IF(AH2&lt;2,0,RANDBETWEEN(0,200))</f>
        <v>118</v>
      </c>
      <c r="AK2">
        <f t="shared" ref="AK2:AK65" ca="1" si="13">IF(AH2&lt;3,0,RANDBETWEEN(0,200))</f>
        <v>27</v>
      </c>
      <c r="AL2" t="s">
        <v>5689</v>
      </c>
      <c r="AM2" t="s">
        <v>6882</v>
      </c>
      <c r="AN2" s="1">
        <v>42666</v>
      </c>
      <c r="AO2" t="s">
        <v>76</v>
      </c>
      <c r="AP2" t="s">
        <v>6510</v>
      </c>
      <c r="AQ2" t="s">
        <v>6510</v>
      </c>
      <c r="AR2" t="s">
        <v>6510</v>
      </c>
      <c r="AS2" t="s">
        <v>6510</v>
      </c>
    </row>
    <row r="3" spans="1:45" x14ac:dyDescent="0.3">
      <c r="A3" t="s">
        <v>5630</v>
      </c>
      <c r="B3">
        <f t="shared" si="0"/>
        <v>200001</v>
      </c>
      <c r="C3">
        <v>200000</v>
      </c>
      <c r="D3" t="str">
        <f t="shared" si="1"/>
        <v>rg:{'id': '200000'}</v>
      </c>
      <c r="E3">
        <f>VLOOKUP(C3,Owners.csv!C:J,6,FALSE)</f>
        <v>200000</v>
      </c>
      <c r="F3" t="str">
        <f>VLOOKUP(VLOOKUP(E3,LocalAreas.csv!I:K,3,FALSE),ServiceAreas.csv!F:J,5,FALSE)</f>
        <v>200009</v>
      </c>
      <c r="G3" t="str">
        <f t="shared" si="2"/>
        <v>rg:{'id': '200000'}</v>
      </c>
      <c r="H3" t="s">
        <v>7644</v>
      </c>
      <c r="I3" t="s">
        <v>5637</v>
      </c>
      <c r="J3">
        <f>VLOOKUP(I3&amp;"-"&amp;F3,DistrictEquipmentTypes.csv!J:K,2,FALSE)</f>
        <v>200001</v>
      </c>
      <c r="K3" t="str">
        <f t="shared" si="3"/>
        <v>rg:{'id': '200001'}</v>
      </c>
      <c r="L3">
        <f t="shared" si="4"/>
        <v>2</v>
      </c>
      <c r="M3" t="str">
        <f>VLOOKUP(C3,Owners.csv!C:K,9,FALSE)&amp;TEXT(Equipment.csv!L3,"0000")</f>
        <v>ACCO0002</v>
      </c>
      <c r="N3" t="s">
        <v>5423</v>
      </c>
      <c r="O3" t="s">
        <v>5661</v>
      </c>
      <c r="P3">
        <v>1981</v>
      </c>
      <c r="Q3">
        <v>50</v>
      </c>
      <c r="R3" t="s">
        <v>6663</v>
      </c>
      <c r="S3" s="1">
        <v>41424</v>
      </c>
      <c r="T3" s="1">
        <v>41429</v>
      </c>
      <c r="U3" t="str">
        <f t="shared" ca="1" si="5"/>
        <v>rg:False</v>
      </c>
      <c r="V3" t="str">
        <f t="shared" ca="1" si="6"/>
        <v>rg:None</v>
      </c>
      <c r="W3" t="s">
        <v>7058</v>
      </c>
      <c r="X3" t="s">
        <v>76</v>
      </c>
      <c r="Y3" t="s">
        <v>76</v>
      </c>
      <c r="Z3" t="s">
        <v>76</v>
      </c>
      <c r="AA3" t="s">
        <v>7405</v>
      </c>
      <c r="AB3" t="s">
        <v>7256</v>
      </c>
      <c r="AC3">
        <v>0</v>
      </c>
      <c r="AD3" t="str">
        <f t="shared" ca="1" si="7"/>
        <v>rg:False</v>
      </c>
      <c r="AE3" t="str">
        <f t="shared" ca="1" si="8"/>
        <v>rg:None</v>
      </c>
      <c r="AF3" s="1">
        <v>42480</v>
      </c>
      <c r="AG3" s="4">
        <f t="shared" ca="1" si="9"/>
        <v>151.41666666666669</v>
      </c>
      <c r="AH3" s="4">
        <f t="shared" si="10"/>
        <v>2.8250000000000002</v>
      </c>
      <c r="AI3">
        <f t="shared" ca="1" si="11"/>
        <v>160</v>
      </c>
      <c r="AJ3">
        <f t="shared" ca="1" si="12"/>
        <v>40</v>
      </c>
      <c r="AK3">
        <f t="shared" ca="1" si="13"/>
        <v>0</v>
      </c>
      <c r="AL3" t="s">
        <v>326</v>
      </c>
      <c r="AO3" t="s">
        <v>76</v>
      </c>
      <c r="AP3" t="s">
        <v>6510</v>
      </c>
      <c r="AQ3" t="s">
        <v>6510</v>
      </c>
      <c r="AR3" t="s">
        <v>6510</v>
      </c>
      <c r="AS3" t="s">
        <v>6510</v>
      </c>
    </row>
    <row r="4" spans="1:45" x14ac:dyDescent="0.3">
      <c r="A4" t="s">
        <v>5630</v>
      </c>
      <c r="B4">
        <f t="shared" si="0"/>
        <v>200002</v>
      </c>
      <c r="C4">
        <v>200000</v>
      </c>
      <c r="D4" t="str">
        <f t="shared" si="1"/>
        <v>rg:{'id': '200000'}</v>
      </c>
      <c r="E4">
        <f>VLOOKUP(C4,Owners.csv!C:J,6,FALSE)</f>
        <v>200000</v>
      </c>
      <c r="F4" t="str">
        <f>VLOOKUP(VLOOKUP(E4,LocalAreas.csv!I:K,3,FALSE),ServiceAreas.csv!F:J,5,FALSE)</f>
        <v>200009</v>
      </c>
      <c r="G4" t="str">
        <f t="shared" si="2"/>
        <v>rg:{'id': '200000'}</v>
      </c>
      <c r="H4" t="s">
        <v>7645</v>
      </c>
      <c r="I4" t="s">
        <v>5640</v>
      </c>
      <c r="J4">
        <f>VLOOKUP(I4&amp;"-"&amp;F4,DistrictEquipmentTypes.csv!J:K,2,FALSE)</f>
        <v>200002</v>
      </c>
      <c r="K4" t="str">
        <f t="shared" si="3"/>
        <v>rg:{'id': '200002'}</v>
      </c>
      <c r="L4">
        <f t="shared" si="4"/>
        <v>3</v>
      </c>
      <c r="M4" t="str">
        <f>VLOOKUP(C4,Owners.csv!C:K,9,FALSE)&amp;TEXT(Equipment.csv!L4,"0000")</f>
        <v>ACCO0003</v>
      </c>
      <c r="N4" t="s">
        <v>5659</v>
      </c>
      <c r="O4" t="s">
        <v>5656</v>
      </c>
      <c r="P4">
        <v>1980</v>
      </c>
      <c r="Q4">
        <v>100</v>
      </c>
      <c r="R4" t="s">
        <v>6663</v>
      </c>
      <c r="S4" s="1">
        <v>41770</v>
      </c>
      <c r="T4" s="1">
        <v>41793</v>
      </c>
      <c r="U4" t="str">
        <f t="shared" ca="1" si="5"/>
        <v>rg:False</v>
      </c>
      <c r="V4" t="str">
        <f t="shared" ca="1" si="6"/>
        <v>rg:None</v>
      </c>
      <c r="W4" t="s">
        <v>7059</v>
      </c>
      <c r="X4" t="s">
        <v>76</v>
      </c>
      <c r="Y4" t="s">
        <v>76</v>
      </c>
      <c r="Z4" t="s">
        <v>76</v>
      </c>
      <c r="AA4" t="s">
        <v>7406</v>
      </c>
      <c r="AB4" t="s">
        <v>7257</v>
      </c>
      <c r="AC4">
        <v>0</v>
      </c>
      <c r="AD4" t="str">
        <f t="shared" ca="1" si="7"/>
        <v>rg:False</v>
      </c>
      <c r="AE4" t="str">
        <f t="shared" ca="1" si="8"/>
        <v>rg:None</v>
      </c>
      <c r="AF4" s="1">
        <v>42467</v>
      </c>
      <c r="AG4" s="4">
        <f t="shared" ca="1" si="9"/>
        <v>111.5</v>
      </c>
      <c r="AH4" s="4">
        <f t="shared" si="10"/>
        <v>1.8277777777777777</v>
      </c>
      <c r="AI4">
        <f t="shared" ca="1" si="11"/>
        <v>170</v>
      </c>
      <c r="AJ4">
        <f t="shared" ca="1" si="12"/>
        <v>0</v>
      </c>
      <c r="AK4">
        <f t="shared" ca="1" si="13"/>
        <v>0</v>
      </c>
      <c r="AL4" t="s">
        <v>326</v>
      </c>
      <c r="AO4" t="s">
        <v>76</v>
      </c>
      <c r="AP4" t="s">
        <v>6510</v>
      </c>
      <c r="AQ4" t="s">
        <v>6510</v>
      </c>
      <c r="AR4" t="s">
        <v>6510</v>
      </c>
      <c r="AS4" t="s">
        <v>6510</v>
      </c>
    </row>
    <row r="5" spans="1:45" x14ac:dyDescent="0.3">
      <c r="A5" t="s">
        <v>5630</v>
      </c>
      <c r="B5">
        <f t="shared" si="0"/>
        <v>200003</v>
      </c>
      <c r="C5">
        <v>200000</v>
      </c>
      <c r="D5" t="str">
        <f t="shared" si="1"/>
        <v>rg:{'id': '200000'}</v>
      </c>
      <c r="E5">
        <f>VLOOKUP(C5,Owners.csv!C:J,6,FALSE)</f>
        <v>200000</v>
      </c>
      <c r="F5" t="str">
        <f>VLOOKUP(VLOOKUP(E5,LocalAreas.csv!I:K,3,FALSE),ServiceAreas.csv!F:J,5,FALSE)</f>
        <v>200009</v>
      </c>
      <c r="G5" t="str">
        <f t="shared" si="2"/>
        <v>rg:{'id': '200000'}</v>
      </c>
      <c r="H5" t="s">
        <v>7646</v>
      </c>
      <c r="I5" t="s">
        <v>5641</v>
      </c>
      <c r="J5">
        <f>VLOOKUP(I5&amp;"-"&amp;F5,DistrictEquipmentTypes.csv!J:K,2,FALSE)</f>
        <v>200003</v>
      </c>
      <c r="K5" t="str">
        <f t="shared" si="3"/>
        <v>rg:{'id': '200003'}</v>
      </c>
      <c r="L5">
        <f t="shared" si="4"/>
        <v>4</v>
      </c>
      <c r="M5" t="str">
        <f>VLOOKUP(C5,Owners.csv!C:K,9,FALSE)&amp;TEXT(Equipment.csv!L5,"0000")</f>
        <v>ACCO0004</v>
      </c>
      <c r="N5" t="s">
        <v>5658</v>
      </c>
      <c r="O5">
        <v>300</v>
      </c>
      <c r="P5">
        <v>1991</v>
      </c>
      <c r="Q5">
        <v>500</v>
      </c>
      <c r="R5" t="s">
        <v>6663</v>
      </c>
      <c r="S5" s="1">
        <v>38305</v>
      </c>
      <c r="T5" s="1">
        <v>38307</v>
      </c>
      <c r="U5" t="str">
        <f t="shared" ca="1" si="5"/>
        <v>rg:False</v>
      </c>
      <c r="V5" t="str">
        <f t="shared" ca="1" si="6"/>
        <v>rg:None</v>
      </c>
      <c r="W5" t="s">
        <v>7060</v>
      </c>
      <c r="X5" t="s">
        <v>76</v>
      </c>
      <c r="Y5" t="s">
        <v>76</v>
      </c>
      <c r="Z5" t="s">
        <v>76</v>
      </c>
      <c r="AA5" t="s">
        <v>7407</v>
      </c>
      <c r="AB5" t="s">
        <v>7258</v>
      </c>
      <c r="AC5">
        <v>0</v>
      </c>
      <c r="AD5" t="str">
        <f t="shared" ca="1" si="7"/>
        <v>rg:True</v>
      </c>
      <c r="AE5" t="str">
        <f t="shared" ca="1" si="8"/>
        <v>Seniority overridden to test things</v>
      </c>
      <c r="AF5" s="1">
        <v>42480</v>
      </c>
      <c r="AG5" s="4">
        <f t="shared" ca="1" si="9"/>
        <v>467.25</v>
      </c>
      <c r="AH5" s="4">
        <f t="shared" si="10"/>
        <v>11.375</v>
      </c>
      <c r="AI5">
        <f t="shared" ca="1" si="11"/>
        <v>104</v>
      </c>
      <c r="AJ5">
        <f t="shared" ca="1" si="12"/>
        <v>171</v>
      </c>
      <c r="AK5">
        <f t="shared" ca="1" si="13"/>
        <v>103</v>
      </c>
      <c r="AL5" t="s">
        <v>326</v>
      </c>
      <c r="AO5" t="s">
        <v>76</v>
      </c>
      <c r="AP5" t="s">
        <v>6510</v>
      </c>
      <c r="AQ5" t="s">
        <v>6510</v>
      </c>
      <c r="AR5" t="s">
        <v>6510</v>
      </c>
      <c r="AS5" t="s">
        <v>6510</v>
      </c>
    </row>
    <row r="6" spans="1:45" x14ac:dyDescent="0.3">
      <c r="A6" t="s">
        <v>5630</v>
      </c>
      <c r="B6">
        <f t="shared" si="0"/>
        <v>200004</v>
      </c>
      <c r="C6">
        <v>200000</v>
      </c>
      <c r="D6" t="str">
        <f t="shared" si="1"/>
        <v>rg:{'id': '200000'}</v>
      </c>
      <c r="E6">
        <f>VLOOKUP(C6,Owners.csv!C:J,6,FALSE)</f>
        <v>200000</v>
      </c>
      <c r="F6" t="str">
        <f>VLOOKUP(VLOOKUP(E6,LocalAreas.csv!I:K,3,FALSE),ServiceAreas.csv!F:J,5,FALSE)</f>
        <v>200009</v>
      </c>
      <c r="G6" t="str">
        <f t="shared" si="2"/>
        <v>rg:{'id': '200000'}</v>
      </c>
      <c r="H6" t="s">
        <v>7647</v>
      </c>
      <c r="I6" t="s">
        <v>5642</v>
      </c>
      <c r="J6">
        <f>VLOOKUP(I6&amp;"-"&amp;F6,DistrictEquipmentTypes.csv!J:K,2,FALSE)</f>
        <v>200004</v>
      </c>
      <c r="K6" t="str">
        <f t="shared" si="3"/>
        <v>rg:{'id': '200004'}</v>
      </c>
      <c r="L6">
        <f t="shared" si="4"/>
        <v>5</v>
      </c>
      <c r="M6" t="str">
        <f>VLOOKUP(C6,Owners.csv!C:K,9,FALSE)&amp;TEXT(Equipment.csv!L6,"0000")</f>
        <v>ACCO0005</v>
      </c>
      <c r="N6" t="s">
        <v>5659</v>
      </c>
      <c r="O6" t="s">
        <v>5662</v>
      </c>
      <c r="P6">
        <v>1995</v>
      </c>
      <c r="Q6">
        <v>500</v>
      </c>
      <c r="R6" t="s">
        <v>6663</v>
      </c>
      <c r="S6" s="1">
        <v>38743</v>
      </c>
      <c r="T6" s="1">
        <v>38770</v>
      </c>
      <c r="U6" t="str">
        <f t="shared" ca="1" si="5"/>
        <v>rg:False</v>
      </c>
      <c r="V6" t="str">
        <f t="shared" ca="1" si="6"/>
        <v>rg:None</v>
      </c>
      <c r="W6" t="s">
        <v>7061</v>
      </c>
      <c r="X6" t="s">
        <v>76</v>
      </c>
      <c r="Y6" t="s">
        <v>76</v>
      </c>
      <c r="Z6" t="s">
        <v>76</v>
      </c>
      <c r="AA6" t="s">
        <v>7408</v>
      </c>
      <c r="AB6" t="s">
        <v>7259</v>
      </c>
      <c r="AC6">
        <v>0</v>
      </c>
      <c r="AD6" t="str">
        <f t="shared" ca="1" si="7"/>
        <v>rg:False</v>
      </c>
      <c r="AE6" t="str">
        <f t="shared" ca="1" si="8"/>
        <v>rg:None</v>
      </c>
      <c r="AF6" s="1">
        <v>42461</v>
      </c>
      <c r="AG6" s="4">
        <f t="shared" ca="1" si="9"/>
        <v>408.91666666666669</v>
      </c>
      <c r="AH6" s="4">
        <f t="shared" si="10"/>
        <v>10.108333333333333</v>
      </c>
      <c r="AI6">
        <f t="shared" ca="1" si="11"/>
        <v>135</v>
      </c>
      <c r="AJ6">
        <f t="shared" ca="1" si="12"/>
        <v>37</v>
      </c>
      <c r="AK6">
        <f t="shared" ca="1" si="13"/>
        <v>145</v>
      </c>
      <c r="AL6" t="s">
        <v>326</v>
      </c>
      <c r="AO6" t="s">
        <v>76</v>
      </c>
      <c r="AP6" t="s">
        <v>6510</v>
      </c>
      <c r="AQ6" t="s">
        <v>6510</v>
      </c>
      <c r="AR6" t="s">
        <v>6510</v>
      </c>
      <c r="AS6" t="s">
        <v>6510</v>
      </c>
    </row>
    <row r="7" spans="1:45" x14ac:dyDescent="0.3">
      <c r="A7" t="s">
        <v>5630</v>
      </c>
      <c r="B7">
        <f t="shared" si="0"/>
        <v>200005</v>
      </c>
      <c r="C7">
        <v>200000</v>
      </c>
      <c r="D7" t="str">
        <f t="shared" si="1"/>
        <v>rg:{'id': '200000'}</v>
      </c>
      <c r="E7">
        <f>VLOOKUP(C7,Owners.csv!C:J,6,FALSE)</f>
        <v>200000</v>
      </c>
      <c r="F7" t="str">
        <f>VLOOKUP(VLOOKUP(E7,LocalAreas.csv!I:K,3,FALSE),ServiceAreas.csv!F:J,5,FALSE)</f>
        <v>200009</v>
      </c>
      <c r="G7" t="str">
        <f t="shared" si="2"/>
        <v>rg:{'id': '200000'}</v>
      </c>
      <c r="H7" t="s">
        <v>7648</v>
      </c>
      <c r="I7" t="s">
        <v>5643</v>
      </c>
      <c r="J7">
        <f>VLOOKUP(I7&amp;"-"&amp;F7,DistrictEquipmentTypes.csv!J:K,2,FALSE)</f>
        <v>200005</v>
      </c>
      <c r="K7" t="str">
        <f t="shared" si="3"/>
        <v>rg:{'id': '200005'}</v>
      </c>
      <c r="L7">
        <f t="shared" si="4"/>
        <v>6</v>
      </c>
      <c r="M7" t="str">
        <f>VLOOKUP(C7,Owners.csv!C:K,9,FALSE)&amp;TEXT(Equipment.csv!L7,"0000")</f>
        <v>ACCO0006</v>
      </c>
      <c r="N7" t="s">
        <v>5401</v>
      </c>
      <c r="O7">
        <v>800</v>
      </c>
      <c r="P7">
        <v>1995</v>
      </c>
      <c r="Q7">
        <v>100</v>
      </c>
      <c r="R7" t="s">
        <v>6663</v>
      </c>
      <c r="S7" s="1">
        <v>41834</v>
      </c>
      <c r="T7" s="1">
        <v>41837</v>
      </c>
      <c r="U7" t="str">
        <f t="shared" ca="1" si="5"/>
        <v>rg:True</v>
      </c>
      <c r="V7" t="str">
        <f t="shared" ca="1" si="6"/>
        <v>This equipment should be archived</v>
      </c>
      <c r="W7" t="s">
        <v>7062</v>
      </c>
      <c r="X7" t="s">
        <v>76</v>
      </c>
      <c r="Y7" t="s">
        <v>76</v>
      </c>
      <c r="Z7" t="s">
        <v>76</v>
      </c>
      <c r="AA7" t="s">
        <v>7409</v>
      </c>
      <c r="AB7" t="s">
        <v>7260</v>
      </c>
      <c r="AC7">
        <v>0</v>
      </c>
      <c r="AD7" t="str">
        <f t="shared" ca="1" si="7"/>
        <v>rg:False</v>
      </c>
      <c r="AE7" t="str">
        <f t="shared" ca="1" si="8"/>
        <v>rg:None</v>
      </c>
      <c r="AF7" s="1">
        <v>42480</v>
      </c>
      <c r="AG7" s="4">
        <f t="shared" ca="1" si="9"/>
        <v>77.5</v>
      </c>
      <c r="AH7" s="4">
        <f t="shared" si="10"/>
        <v>1.7055555555555555</v>
      </c>
      <c r="AI7">
        <f t="shared" ca="1" si="11"/>
        <v>79</v>
      </c>
      <c r="AJ7">
        <f t="shared" ca="1" si="12"/>
        <v>0</v>
      </c>
      <c r="AK7">
        <f t="shared" ca="1" si="13"/>
        <v>0</v>
      </c>
      <c r="AL7" t="s">
        <v>326</v>
      </c>
      <c r="AO7" t="s">
        <v>76</v>
      </c>
      <c r="AP7" t="s">
        <v>6510</v>
      </c>
      <c r="AQ7" t="s">
        <v>6510</v>
      </c>
      <c r="AR7" t="s">
        <v>6510</v>
      </c>
      <c r="AS7" t="s">
        <v>6510</v>
      </c>
    </row>
    <row r="8" spans="1:45" x14ac:dyDescent="0.3">
      <c r="A8" t="s">
        <v>5630</v>
      </c>
      <c r="B8">
        <f t="shared" si="0"/>
        <v>200006</v>
      </c>
      <c r="C8">
        <v>200001</v>
      </c>
      <c r="D8" t="str">
        <f t="shared" si="1"/>
        <v>rg:{'id': '200001'}</v>
      </c>
      <c r="E8">
        <f>VLOOKUP(C8,Owners.csv!C:J,6,FALSE)</f>
        <v>200000</v>
      </c>
      <c r="F8" t="str">
        <f>VLOOKUP(VLOOKUP(E8,LocalAreas.csv!I:K,3,FALSE),ServiceAreas.csv!F:J,5,FALSE)</f>
        <v>200009</v>
      </c>
      <c r="G8" t="str">
        <f t="shared" si="2"/>
        <v>rg:{'id': '200000'}</v>
      </c>
      <c r="H8" t="s">
        <v>7649</v>
      </c>
      <c r="I8" t="s">
        <v>5536</v>
      </c>
      <c r="J8">
        <f>VLOOKUP(I8&amp;"-"&amp;F8,DistrictEquipmentTypes.csv!J:K,2,FALSE)</f>
        <v>200000</v>
      </c>
      <c r="K8" t="str">
        <f t="shared" si="3"/>
        <v>rg:{'id': '200000'}</v>
      </c>
      <c r="L8">
        <f t="shared" si="4"/>
        <v>1</v>
      </c>
      <c r="M8" t="str">
        <f>VLOOKUP(C8,Owners.csv!C:K,9,FALSE)&amp;TEXT(Equipment.csv!L8,"0000")</f>
        <v>ALER0001</v>
      </c>
      <c r="N8" t="s">
        <v>5467</v>
      </c>
      <c r="O8">
        <v>200</v>
      </c>
      <c r="P8">
        <v>1971</v>
      </c>
      <c r="Q8">
        <v>50</v>
      </c>
      <c r="R8" t="s">
        <v>6663</v>
      </c>
      <c r="S8" s="1">
        <v>38913</v>
      </c>
      <c r="T8" s="1">
        <v>38936</v>
      </c>
      <c r="U8" t="str">
        <f t="shared" ca="1" si="5"/>
        <v>rg:True</v>
      </c>
      <c r="V8" t="str">
        <f t="shared" ca="1" si="6"/>
        <v>This equipment should be archived</v>
      </c>
      <c r="W8" t="s">
        <v>7063</v>
      </c>
      <c r="X8" t="s">
        <v>76</v>
      </c>
      <c r="Y8" t="s">
        <v>76</v>
      </c>
      <c r="Z8" t="s">
        <v>76</v>
      </c>
      <c r="AA8" t="s">
        <v>7410</v>
      </c>
      <c r="AB8" t="s">
        <v>7261</v>
      </c>
      <c r="AC8">
        <v>0</v>
      </c>
      <c r="AD8" t="str">
        <f t="shared" ca="1" si="7"/>
        <v>rg:False</v>
      </c>
      <c r="AE8" t="str">
        <f t="shared" ca="1" si="8"/>
        <v>rg:None</v>
      </c>
      <c r="AF8" s="1">
        <v>42461</v>
      </c>
      <c r="AG8" s="4">
        <f t="shared" ca="1" si="9"/>
        <v>403.83333333333331</v>
      </c>
      <c r="AH8" s="4">
        <f t="shared" si="10"/>
        <v>9.65</v>
      </c>
      <c r="AI8">
        <f t="shared" ca="1" si="11"/>
        <v>152</v>
      </c>
      <c r="AJ8">
        <f t="shared" ca="1" si="12"/>
        <v>137</v>
      </c>
      <c r="AK8">
        <f t="shared" ca="1" si="13"/>
        <v>54</v>
      </c>
      <c r="AL8" t="s">
        <v>326</v>
      </c>
      <c r="AO8" t="s">
        <v>76</v>
      </c>
      <c r="AP8" t="s">
        <v>6510</v>
      </c>
      <c r="AQ8" t="s">
        <v>6510</v>
      </c>
      <c r="AR8" t="s">
        <v>6510</v>
      </c>
      <c r="AS8" t="s">
        <v>6510</v>
      </c>
    </row>
    <row r="9" spans="1:45" x14ac:dyDescent="0.3">
      <c r="A9" t="s">
        <v>5630</v>
      </c>
      <c r="B9">
        <f t="shared" si="0"/>
        <v>200007</v>
      </c>
      <c r="C9">
        <v>200001</v>
      </c>
      <c r="D9" t="str">
        <f t="shared" si="1"/>
        <v>rg:{'id': '200001'}</v>
      </c>
      <c r="E9">
        <f>VLOOKUP(C9,Owners.csv!C:J,6,FALSE)</f>
        <v>200000</v>
      </c>
      <c r="F9" t="str">
        <f>VLOOKUP(VLOOKUP(E9,LocalAreas.csv!I:K,3,FALSE),ServiceAreas.csv!F:J,5,FALSE)</f>
        <v>200009</v>
      </c>
      <c r="G9" t="str">
        <f t="shared" si="2"/>
        <v>rg:{'id': '200000'}</v>
      </c>
      <c r="H9" t="s">
        <v>7650</v>
      </c>
      <c r="I9" t="s">
        <v>5651</v>
      </c>
      <c r="J9">
        <f>VLOOKUP(I9&amp;"-"&amp;F9,DistrictEquipmentTypes.csv!J:K,2,FALSE)</f>
        <v>200006</v>
      </c>
      <c r="K9" t="str">
        <f t="shared" si="3"/>
        <v>rg:{'id': '200006'}</v>
      </c>
      <c r="L9">
        <f t="shared" si="4"/>
        <v>2</v>
      </c>
      <c r="M9" t="str">
        <f>VLOOKUP(C9,Owners.csv!C:K,9,FALSE)&amp;TEXT(Equipment.csv!L9,"0000")</f>
        <v>ALER0002</v>
      </c>
      <c r="N9" t="s">
        <v>5467</v>
      </c>
      <c r="O9" t="s">
        <v>5652</v>
      </c>
      <c r="P9">
        <v>1973</v>
      </c>
      <c r="Q9">
        <v>10</v>
      </c>
      <c r="R9" t="s">
        <v>6663</v>
      </c>
      <c r="S9" s="1">
        <v>39171</v>
      </c>
      <c r="T9" s="1">
        <v>39199</v>
      </c>
      <c r="U9" t="str">
        <f t="shared" ca="1" si="5"/>
        <v>rg:False</v>
      </c>
      <c r="V9" t="str">
        <f t="shared" ca="1" si="6"/>
        <v>rg:None</v>
      </c>
      <c r="W9" t="s">
        <v>7064</v>
      </c>
      <c r="X9" t="s">
        <v>76</v>
      </c>
      <c r="Y9" t="s">
        <v>76</v>
      </c>
      <c r="Z9" t="s">
        <v>76</v>
      </c>
      <c r="AA9" t="s">
        <v>7411</v>
      </c>
      <c r="AB9" t="s">
        <v>7262</v>
      </c>
      <c r="AC9">
        <v>0</v>
      </c>
      <c r="AD9" t="str">
        <f t="shared" ca="1" si="7"/>
        <v>rg:False</v>
      </c>
      <c r="AE9" t="str">
        <f t="shared" ca="1" si="8"/>
        <v>rg:None</v>
      </c>
      <c r="AF9" s="1">
        <v>42481</v>
      </c>
      <c r="AG9" s="4">
        <f t="shared" ca="1" si="9"/>
        <v>668.33333333333326</v>
      </c>
      <c r="AH9" s="4">
        <f t="shared" si="10"/>
        <v>8.9277777777777771</v>
      </c>
      <c r="AI9">
        <f t="shared" ca="1" si="11"/>
        <v>186</v>
      </c>
      <c r="AJ9">
        <f t="shared" ca="1" si="12"/>
        <v>88</v>
      </c>
      <c r="AK9">
        <f t="shared" ca="1" si="13"/>
        <v>124</v>
      </c>
      <c r="AL9" t="s">
        <v>326</v>
      </c>
      <c r="AO9" t="s">
        <v>76</v>
      </c>
      <c r="AP9" t="s">
        <v>6510</v>
      </c>
      <c r="AQ9" t="s">
        <v>6510</v>
      </c>
      <c r="AR9" t="s">
        <v>6510</v>
      </c>
      <c r="AS9" t="s">
        <v>6510</v>
      </c>
    </row>
    <row r="10" spans="1:45" x14ac:dyDescent="0.3">
      <c r="A10" t="s">
        <v>5630</v>
      </c>
      <c r="B10">
        <f t="shared" si="0"/>
        <v>200008</v>
      </c>
      <c r="C10">
        <v>200001</v>
      </c>
      <c r="D10" t="str">
        <f t="shared" si="1"/>
        <v>rg:{'id': '200001'}</v>
      </c>
      <c r="E10">
        <f>VLOOKUP(C10,Owners.csv!C:J,6,FALSE)</f>
        <v>200000</v>
      </c>
      <c r="F10" t="str">
        <f>VLOOKUP(VLOOKUP(E10,LocalAreas.csv!I:K,3,FALSE),ServiceAreas.csv!F:J,5,FALSE)</f>
        <v>200009</v>
      </c>
      <c r="G10" t="str">
        <f t="shared" si="2"/>
        <v>rg:{'id': '200000'}</v>
      </c>
      <c r="H10" t="s">
        <v>7651</v>
      </c>
      <c r="I10" t="s">
        <v>5640</v>
      </c>
      <c r="J10">
        <f>VLOOKUP(I10&amp;"-"&amp;F10,DistrictEquipmentTypes.csv!J:K,2,FALSE)</f>
        <v>200002</v>
      </c>
      <c r="K10" t="str">
        <f t="shared" si="3"/>
        <v>rg:{'id': '200002'}</v>
      </c>
      <c r="L10">
        <f t="shared" si="4"/>
        <v>3</v>
      </c>
      <c r="M10" t="str">
        <f>VLOOKUP(C10,Owners.csv!C:K,9,FALSE)&amp;TEXT(Equipment.csv!L10,"0000")</f>
        <v>ALER0003</v>
      </c>
      <c r="N10" t="s">
        <v>5659</v>
      </c>
      <c r="O10" t="s">
        <v>5662</v>
      </c>
      <c r="P10">
        <v>1990</v>
      </c>
      <c r="Q10">
        <v>20</v>
      </c>
      <c r="R10" t="s">
        <v>6663</v>
      </c>
      <c r="S10" s="1">
        <v>38677</v>
      </c>
      <c r="T10" s="1">
        <v>38686</v>
      </c>
      <c r="U10" t="str">
        <f t="shared" ca="1" si="5"/>
        <v>rg:False</v>
      </c>
      <c r="V10" t="str">
        <f t="shared" ca="1" si="6"/>
        <v>rg:None</v>
      </c>
      <c r="W10" t="s">
        <v>7065</v>
      </c>
      <c r="X10" t="s">
        <v>76</v>
      </c>
      <c r="Y10" t="s">
        <v>76</v>
      </c>
      <c r="Z10" t="s">
        <v>76</v>
      </c>
      <c r="AA10" t="s">
        <v>7412</v>
      </c>
      <c r="AB10" t="s">
        <v>7263</v>
      </c>
      <c r="AC10">
        <v>0</v>
      </c>
      <c r="AD10" t="str">
        <f t="shared" ca="1" si="7"/>
        <v>rg:False</v>
      </c>
      <c r="AE10" t="str">
        <f t="shared" ca="1" si="8"/>
        <v>rg:None</v>
      </c>
      <c r="AF10" s="1">
        <v>42467</v>
      </c>
      <c r="AG10" s="4">
        <f t="shared" ca="1" si="9"/>
        <v>406.41666666666663</v>
      </c>
      <c r="AH10" s="4">
        <f t="shared" si="10"/>
        <v>10.33611111111111</v>
      </c>
      <c r="AI10">
        <f t="shared" ca="1" si="11"/>
        <v>110</v>
      </c>
      <c r="AJ10">
        <f t="shared" ca="1" si="12"/>
        <v>36</v>
      </c>
      <c r="AK10">
        <f t="shared" ca="1" si="13"/>
        <v>143</v>
      </c>
      <c r="AL10" t="s">
        <v>326</v>
      </c>
      <c r="AO10" t="s">
        <v>76</v>
      </c>
      <c r="AP10" t="s">
        <v>6510</v>
      </c>
      <c r="AQ10" t="s">
        <v>6510</v>
      </c>
      <c r="AR10" t="s">
        <v>6510</v>
      </c>
      <c r="AS10" t="s">
        <v>6510</v>
      </c>
    </row>
    <row r="11" spans="1:45" x14ac:dyDescent="0.3">
      <c r="A11" t="s">
        <v>5630</v>
      </c>
      <c r="B11">
        <f t="shared" si="0"/>
        <v>200009</v>
      </c>
      <c r="C11">
        <v>200001</v>
      </c>
      <c r="D11" t="str">
        <f t="shared" si="1"/>
        <v>rg:{'id': '200001'}</v>
      </c>
      <c r="E11">
        <f>VLOOKUP(C11,Owners.csv!C:J,6,FALSE)</f>
        <v>200000</v>
      </c>
      <c r="F11" t="str">
        <f>VLOOKUP(VLOOKUP(E11,LocalAreas.csv!I:K,3,FALSE),ServiceAreas.csv!F:J,5,FALSE)</f>
        <v>200009</v>
      </c>
      <c r="G11" t="str">
        <f t="shared" si="2"/>
        <v>rg:{'id': '200000'}</v>
      </c>
      <c r="H11" t="s">
        <v>7652</v>
      </c>
      <c r="I11" t="s">
        <v>5641</v>
      </c>
      <c r="J11">
        <f>VLOOKUP(I11&amp;"-"&amp;F11,DistrictEquipmentTypes.csv!J:K,2,FALSE)</f>
        <v>200003</v>
      </c>
      <c r="K11" t="str">
        <f t="shared" si="3"/>
        <v>rg:{'id': '200003'}</v>
      </c>
      <c r="L11">
        <f t="shared" si="4"/>
        <v>4</v>
      </c>
      <c r="M11" t="str">
        <f>VLOOKUP(C11,Owners.csv!C:K,9,FALSE)&amp;TEXT(Equipment.csv!L11,"0000")</f>
        <v>ALER0004</v>
      </c>
      <c r="N11" t="s">
        <v>5401</v>
      </c>
      <c r="O11">
        <v>700</v>
      </c>
      <c r="P11">
        <v>1998</v>
      </c>
      <c r="Q11">
        <v>110</v>
      </c>
      <c r="R11" t="s">
        <v>6663</v>
      </c>
      <c r="S11" s="1">
        <v>41009</v>
      </c>
      <c r="T11" s="1">
        <v>41022</v>
      </c>
      <c r="U11" t="str">
        <f t="shared" ca="1" si="5"/>
        <v>rg:False</v>
      </c>
      <c r="V11" t="str">
        <f t="shared" ca="1" si="6"/>
        <v>rg:None</v>
      </c>
      <c r="W11" t="s">
        <v>7066</v>
      </c>
      <c r="X11" t="s">
        <v>76</v>
      </c>
      <c r="Y11" t="s">
        <v>76</v>
      </c>
      <c r="Z11" t="s">
        <v>76</v>
      </c>
      <c r="AA11" t="s">
        <v>7413</v>
      </c>
      <c r="AB11" t="s">
        <v>7264</v>
      </c>
      <c r="AC11">
        <v>0</v>
      </c>
      <c r="AD11" t="str">
        <f t="shared" ca="1" si="7"/>
        <v>rg:False</v>
      </c>
      <c r="AE11" t="str">
        <f t="shared" ca="1" si="8"/>
        <v>rg:None</v>
      </c>
      <c r="AF11" s="1">
        <v>42470</v>
      </c>
      <c r="AG11" s="4">
        <f t="shared" ca="1" si="9"/>
        <v>239.5</v>
      </c>
      <c r="AH11" s="4">
        <f t="shared" si="10"/>
        <v>3.9388888888888891</v>
      </c>
      <c r="AI11">
        <f t="shared" ca="1" si="11"/>
        <v>42</v>
      </c>
      <c r="AJ11">
        <f t="shared" ca="1" si="12"/>
        <v>195</v>
      </c>
      <c r="AK11">
        <f t="shared" ca="1" si="13"/>
        <v>127</v>
      </c>
      <c r="AL11" t="s">
        <v>326</v>
      </c>
      <c r="AO11" t="s">
        <v>76</v>
      </c>
      <c r="AP11" t="s">
        <v>6510</v>
      </c>
      <c r="AQ11" t="s">
        <v>6510</v>
      </c>
      <c r="AR11" t="s">
        <v>6510</v>
      </c>
      <c r="AS11" t="s">
        <v>6510</v>
      </c>
    </row>
    <row r="12" spans="1:45" x14ac:dyDescent="0.3">
      <c r="A12" t="s">
        <v>5630</v>
      </c>
      <c r="B12">
        <f t="shared" si="0"/>
        <v>200010</v>
      </c>
      <c r="C12">
        <v>200001</v>
      </c>
      <c r="D12" t="str">
        <f t="shared" si="1"/>
        <v>rg:{'id': '200001'}</v>
      </c>
      <c r="E12">
        <f>VLOOKUP(C12,Owners.csv!C:J,6,FALSE)</f>
        <v>200000</v>
      </c>
      <c r="F12" t="str">
        <f>VLOOKUP(VLOOKUP(E12,LocalAreas.csv!I:K,3,FALSE),ServiceAreas.csv!F:J,5,FALSE)</f>
        <v>200009</v>
      </c>
      <c r="G12" t="str">
        <f t="shared" si="2"/>
        <v>rg:{'id': '200000'}</v>
      </c>
      <c r="H12" t="s">
        <v>7653</v>
      </c>
      <c r="I12" t="s">
        <v>5642</v>
      </c>
      <c r="J12">
        <f>VLOOKUP(I12&amp;"-"&amp;F12,DistrictEquipmentTypes.csv!J:K,2,FALSE)</f>
        <v>200004</v>
      </c>
      <c r="K12" t="str">
        <f t="shared" si="3"/>
        <v>rg:{'id': '200004'}</v>
      </c>
      <c r="L12">
        <f t="shared" si="4"/>
        <v>5</v>
      </c>
      <c r="M12" t="str">
        <f>VLOOKUP(C12,Owners.csv!C:K,9,FALSE)&amp;TEXT(Equipment.csv!L12,"0000")</f>
        <v>ALER0005</v>
      </c>
      <c r="N12" t="s">
        <v>2950</v>
      </c>
      <c r="O12">
        <v>100</v>
      </c>
      <c r="P12">
        <v>1993</v>
      </c>
      <c r="Q12">
        <v>50</v>
      </c>
      <c r="R12" t="s">
        <v>6663</v>
      </c>
      <c r="S12" s="1">
        <v>39071</v>
      </c>
      <c r="T12" s="1">
        <v>39083</v>
      </c>
      <c r="U12" t="str">
        <f t="shared" ca="1" si="5"/>
        <v>rg:True</v>
      </c>
      <c r="V12" t="str">
        <f t="shared" ca="1" si="6"/>
        <v>This equipment should be archived</v>
      </c>
      <c r="W12" t="s">
        <v>7067</v>
      </c>
      <c r="X12" t="s">
        <v>76</v>
      </c>
      <c r="Y12" t="s">
        <v>76</v>
      </c>
      <c r="Z12" t="s">
        <v>76</v>
      </c>
      <c r="AA12" t="s">
        <v>7414</v>
      </c>
      <c r="AB12" t="s">
        <v>7265</v>
      </c>
      <c r="AC12">
        <v>0</v>
      </c>
      <c r="AD12" t="str">
        <f t="shared" ca="1" si="7"/>
        <v>rg:False</v>
      </c>
      <c r="AE12" t="str">
        <f t="shared" ca="1" si="8"/>
        <v>rg:None</v>
      </c>
      <c r="AF12" s="1">
        <v>42461</v>
      </c>
      <c r="AG12" s="4">
        <f t="shared" ca="1" si="9"/>
        <v>292.5</v>
      </c>
      <c r="AH12" s="4">
        <f t="shared" si="10"/>
        <v>9.25</v>
      </c>
      <c r="AI12">
        <f t="shared" ca="1" si="11"/>
        <v>6</v>
      </c>
      <c r="AJ12">
        <f t="shared" ca="1" si="12"/>
        <v>35</v>
      </c>
      <c r="AK12">
        <f t="shared" ca="1" si="13"/>
        <v>4</v>
      </c>
      <c r="AL12" t="s">
        <v>326</v>
      </c>
      <c r="AO12" t="s">
        <v>76</v>
      </c>
      <c r="AP12" t="s">
        <v>6510</v>
      </c>
      <c r="AQ12" t="s">
        <v>6510</v>
      </c>
      <c r="AR12" t="s">
        <v>6510</v>
      </c>
      <c r="AS12" t="s">
        <v>6510</v>
      </c>
    </row>
    <row r="13" spans="1:45" x14ac:dyDescent="0.3">
      <c r="A13" t="s">
        <v>5630</v>
      </c>
      <c r="B13">
        <f t="shared" si="0"/>
        <v>200011</v>
      </c>
      <c r="C13">
        <v>200001</v>
      </c>
      <c r="D13" t="str">
        <f t="shared" si="1"/>
        <v>rg:{'id': '200001'}</v>
      </c>
      <c r="E13">
        <f>VLOOKUP(C13,Owners.csv!C:J,6,FALSE)</f>
        <v>200000</v>
      </c>
      <c r="F13" t="str">
        <f>VLOOKUP(VLOOKUP(E13,LocalAreas.csv!I:K,3,FALSE),ServiceAreas.csv!F:J,5,FALSE)</f>
        <v>200009</v>
      </c>
      <c r="G13" t="str">
        <f t="shared" si="2"/>
        <v>rg:{'id': '200000'}</v>
      </c>
      <c r="H13" t="s">
        <v>7651</v>
      </c>
      <c r="I13" t="s">
        <v>5643</v>
      </c>
      <c r="J13">
        <f>VLOOKUP(I13&amp;"-"&amp;F13,DistrictEquipmentTypes.csv!J:K,2,FALSE)</f>
        <v>200005</v>
      </c>
      <c r="K13" t="str">
        <f t="shared" si="3"/>
        <v>rg:{'id': '200005'}</v>
      </c>
      <c r="L13">
        <f t="shared" si="4"/>
        <v>6</v>
      </c>
      <c r="M13" t="str">
        <f>VLOOKUP(C13,Owners.csv!C:K,9,FALSE)&amp;TEXT(Equipment.csv!L13,"0000")</f>
        <v>ALER0006</v>
      </c>
      <c r="N13" t="s">
        <v>5401</v>
      </c>
      <c r="O13">
        <v>200</v>
      </c>
      <c r="P13">
        <v>1978</v>
      </c>
      <c r="Q13">
        <v>50</v>
      </c>
      <c r="R13" t="s">
        <v>6663</v>
      </c>
      <c r="S13" s="1">
        <v>39464</v>
      </c>
      <c r="T13" s="1">
        <v>39467</v>
      </c>
      <c r="U13" t="str">
        <f t="shared" ca="1" si="5"/>
        <v>rg:True</v>
      </c>
      <c r="V13" t="str">
        <f t="shared" ca="1" si="6"/>
        <v>This equipment should be archived</v>
      </c>
      <c r="W13" t="s">
        <v>7068</v>
      </c>
      <c r="X13" t="s">
        <v>76</v>
      </c>
      <c r="Y13" t="s">
        <v>76</v>
      </c>
      <c r="Z13" t="s">
        <v>76</v>
      </c>
      <c r="AA13" t="s">
        <v>7415</v>
      </c>
      <c r="AB13" t="s">
        <v>7266</v>
      </c>
      <c r="AC13">
        <v>0</v>
      </c>
      <c r="AD13" t="str">
        <f t="shared" ca="1" si="7"/>
        <v>rg:False</v>
      </c>
      <c r="AE13" t="str">
        <f t="shared" ca="1" si="8"/>
        <v>rg:None</v>
      </c>
      <c r="AF13" s="1">
        <v>42461</v>
      </c>
      <c r="AG13" s="4">
        <f t="shared" ca="1" si="9"/>
        <v>393.25</v>
      </c>
      <c r="AH13" s="4">
        <f t="shared" si="10"/>
        <v>8.1972222222222229</v>
      </c>
      <c r="AI13">
        <f t="shared" ca="1" si="11"/>
        <v>120</v>
      </c>
      <c r="AJ13">
        <f t="shared" ca="1" si="12"/>
        <v>155</v>
      </c>
      <c r="AK13">
        <f t="shared" ca="1" si="13"/>
        <v>167</v>
      </c>
      <c r="AL13" t="s">
        <v>326</v>
      </c>
      <c r="AO13" t="s">
        <v>76</v>
      </c>
      <c r="AP13" t="s">
        <v>6510</v>
      </c>
      <c r="AQ13" t="s">
        <v>6510</v>
      </c>
      <c r="AR13" t="s">
        <v>6510</v>
      </c>
      <c r="AS13" t="s">
        <v>6510</v>
      </c>
    </row>
    <row r="14" spans="1:45" x14ac:dyDescent="0.3">
      <c r="A14" t="s">
        <v>5630</v>
      </c>
      <c r="B14">
        <f t="shared" si="0"/>
        <v>200012</v>
      </c>
      <c r="C14">
        <v>200002</v>
      </c>
      <c r="D14" t="str">
        <f t="shared" si="1"/>
        <v>rg:{'id': '200002'}</v>
      </c>
      <c r="E14">
        <f>VLOOKUP(C14,Owners.csv!C:J,6,FALSE)</f>
        <v>200000</v>
      </c>
      <c r="F14" t="str">
        <f>VLOOKUP(VLOOKUP(E14,LocalAreas.csv!I:K,3,FALSE),ServiceAreas.csv!F:J,5,FALSE)</f>
        <v>200009</v>
      </c>
      <c r="G14" t="str">
        <f t="shared" si="2"/>
        <v>rg:{'id': '200000'}</v>
      </c>
      <c r="H14" t="s">
        <v>7654</v>
      </c>
      <c r="I14" t="s">
        <v>5536</v>
      </c>
      <c r="J14">
        <f>VLOOKUP(I14&amp;"-"&amp;F14,DistrictEquipmentTypes.csv!J:K,2,FALSE)</f>
        <v>200000</v>
      </c>
      <c r="K14" t="str">
        <f t="shared" si="3"/>
        <v>rg:{'id': '200000'}</v>
      </c>
      <c r="L14">
        <f t="shared" si="4"/>
        <v>1</v>
      </c>
      <c r="M14" t="str">
        <f>VLOOKUP(C14,Owners.csv!C:K,9,FALSE)&amp;TEXT(Equipment.csv!L14,"0000")</f>
        <v>ALLI0001</v>
      </c>
      <c r="N14" t="s">
        <v>5653</v>
      </c>
      <c r="O14">
        <v>333</v>
      </c>
      <c r="P14">
        <v>2010</v>
      </c>
      <c r="Q14">
        <v>50</v>
      </c>
      <c r="R14" t="s">
        <v>6663</v>
      </c>
      <c r="S14" s="1">
        <v>39720</v>
      </c>
      <c r="T14" s="1">
        <v>39732</v>
      </c>
      <c r="U14" t="str">
        <f t="shared" ca="1" si="5"/>
        <v>rg:True</v>
      </c>
      <c r="V14" t="str">
        <f t="shared" ca="1" si="6"/>
        <v>This equipment should be archived</v>
      </c>
      <c r="W14" t="s">
        <v>7069</v>
      </c>
      <c r="X14" t="s">
        <v>76</v>
      </c>
      <c r="Y14" t="s">
        <v>76</v>
      </c>
      <c r="Z14" t="s">
        <v>76</v>
      </c>
      <c r="AA14" t="s">
        <v>7416</v>
      </c>
      <c r="AB14" t="s">
        <v>7267</v>
      </c>
      <c r="AC14">
        <v>0</v>
      </c>
      <c r="AD14" t="str">
        <f t="shared" ca="1" si="7"/>
        <v>rg:False</v>
      </c>
      <c r="AE14" t="str">
        <f t="shared" ca="1" si="8"/>
        <v>rg:None</v>
      </c>
      <c r="AF14" s="1">
        <v>42480</v>
      </c>
      <c r="AG14" s="4">
        <f t="shared" ca="1" si="9"/>
        <v>325.16666666666663</v>
      </c>
      <c r="AH14" s="4">
        <f t="shared" si="10"/>
        <v>7.4722222222222223</v>
      </c>
      <c r="AI14">
        <f t="shared" ca="1" si="11"/>
        <v>4</v>
      </c>
      <c r="AJ14">
        <f t="shared" ca="1" si="12"/>
        <v>177</v>
      </c>
      <c r="AK14">
        <f t="shared" ca="1" si="13"/>
        <v>122</v>
      </c>
      <c r="AL14" t="s">
        <v>326</v>
      </c>
      <c r="AO14" t="s">
        <v>76</v>
      </c>
      <c r="AP14" t="s">
        <v>6510</v>
      </c>
      <c r="AQ14" t="s">
        <v>6510</v>
      </c>
      <c r="AR14" t="s">
        <v>6510</v>
      </c>
      <c r="AS14" t="s">
        <v>6510</v>
      </c>
    </row>
    <row r="15" spans="1:45" x14ac:dyDescent="0.3">
      <c r="A15" t="s">
        <v>5630</v>
      </c>
      <c r="B15">
        <f t="shared" si="0"/>
        <v>200013</v>
      </c>
      <c r="C15">
        <v>200002</v>
      </c>
      <c r="D15" t="str">
        <f t="shared" si="1"/>
        <v>rg:{'id': '200002'}</v>
      </c>
      <c r="E15">
        <f>VLOOKUP(C15,Owners.csv!C:J,6,FALSE)</f>
        <v>200000</v>
      </c>
      <c r="F15" t="str">
        <f>VLOOKUP(VLOOKUP(E15,LocalAreas.csv!I:K,3,FALSE),ServiceAreas.csv!F:J,5,FALSE)</f>
        <v>200009</v>
      </c>
      <c r="G15" t="str">
        <f t="shared" si="2"/>
        <v>rg:{'id': '200000'}</v>
      </c>
      <c r="H15" t="s">
        <v>7655</v>
      </c>
      <c r="I15" t="s">
        <v>5637</v>
      </c>
      <c r="J15">
        <f>VLOOKUP(I15&amp;"-"&amp;F15,DistrictEquipmentTypes.csv!J:K,2,FALSE)</f>
        <v>200001</v>
      </c>
      <c r="K15" t="str">
        <f t="shared" si="3"/>
        <v>rg:{'id': '200001'}</v>
      </c>
      <c r="L15">
        <f t="shared" si="4"/>
        <v>2</v>
      </c>
      <c r="M15" t="str">
        <f>VLOOKUP(C15,Owners.csv!C:K,9,FALSE)&amp;TEXT(Equipment.csv!L15,"0000")</f>
        <v>ALLI0002</v>
      </c>
      <c r="N15" t="s">
        <v>5423</v>
      </c>
      <c r="O15" t="s">
        <v>5654</v>
      </c>
      <c r="P15">
        <v>1979</v>
      </c>
      <c r="Q15">
        <v>60</v>
      </c>
      <c r="R15" t="s">
        <v>6663</v>
      </c>
      <c r="S15" s="1">
        <v>40655</v>
      </c>
      <c r="T15" s="1">
        <v>40667</v>
      </c>
      <c r="U15" t="str">
        <f t="shared" ca="1" si="5"/>
        <v>rg:False</v>
      </c>
      <c r="V15" t="str">
        <f t="shared" ca="1" si="6"/>
        <v>rg:None</v>
      </c>
      <c r="W15" t="s">
        <v>7070</v>
      </c>
      <c r="X15" t="s">
        <v>76</v>
      </c>
      <c r="Y15" t="s">
        <v>76</v>
      </c>
      <c r="Z15" t="s">
        <v>76</v>
      </c>
      <c r="AA15" t="s">
        <v>7417</v>
      </c>
      <c r="AB15" t="s">
        <v>7268</v>
      </c>
      <c r="AC15">
        <v>0</v>
      </c>
      <c r="AD15" t="str">
        <f t="shared" ca="1" si="7"/>
        <v>rg:False</v>
      </c>
      <c r="AE15" t="str">
        <f t="shared" ca="1" si="8"/>
        <v>rg:None</v>
      </c>
      <c r="AF15" s="1">
        <v>42481</v>
      </c>
      <c r="AG15" s="4">
        <f t="shared" ca="1" si="9"/>
        <v>250.58333333333331</v>
      </c>
      <c r="AH15" s="4">
        <f t="shared" si="10"/>
        <v>4.9083333333333332</v>
      </c>
      <c r="AI15">
        <f t="shared" ca="1" si="11"/>
        <v>144</v>
      </c>
      <c r="AJ15">
        <f t="shared" ca="1" si="12"/>
        <v>143</v>
      </c>
      <c r="AK15">
        <f t="shared" ca="1" si="13"/>
        <v>23</v>
      </c>
      <c r="AL15" t="s">
        <v>326</v>
      </c>
      <c r="AO15" t="s">
        <v>76</v>
      </c>
      <c r="AP15" t="s">
        <v>6510</v>
      </c>
      <c r="AQ15" t="s">
        <v>6510</v>
      </c>
      <c r="AR15" t="s">
        <v>6510</v>
      </c>
      <c r="AS15" t="s">
        <v>6510</v>
      </c>
    </row>
    <row r="16" spans="1:45" x14ac:dyDescent="0.3">
      <c r="A16" t="s">
        <v>5630</v>
      </c>
      <c r="B16">
        <f t="shared" si="0"/>
        <v>200014</v>
      </c>
      <c r="C16">
        <v>200002</v>
      </c>
      <c r="D16" t="str">
        <f t="shared" si="1"/>
        <v>rg:{'id': '200002'}</v>
      </c>
      <c r="E16">
        <f>VLOOKUP(C16,Owners.csv!C:J,6,FALSE)</f>
        <v>200000</v>
      </c>
      <c r="F16" t="str">
        <f>VLOOKUP(VLOOKUP(E16,LocalAreas.csv!I:K,3,FALSE),ServiceAreas.csv!F:J,5,FALSE)</f>
        <v>200009</v>
      </c>
      <c r="G16" t="str">
        <f t="shared" si="2"/>
        <v>rg:{'id': '200000'}</v>
      </c>
      <c r="H16" t="s">
        <v>7656</v>
      </c>
      <c r="I16" t="s">
        <v>5640</v>
      </c>
      <c r="J16">
        <f>VLOOKUP(I16&amp;"-"&amp;F16,DistrictEquipmentTypes.csv!J:K,2,FALSE)</f>
        <v>200002</v>
      </c>
      <c r="K16" t="str">
        <f t="shared" si="3"/>
        <v>rg:{'id': '200002'}</v>
      </c>
      <c r="L16">
        <f t="shared" si="4"/>
        <v>3</v>
      </c>
      <c r="M16" t="str">
        <f>VLOOKUP(C16,Owners.csv!C:K,9,FALSE)&amp;TEXT(Equipment.csv!L16,"0000")</f>
        <v>ALLI0003</v>
      </c>
      <c r="N16" t="s">
        <v>5659</v>
      </c>
      <c r="O16" t="s">
        <v>5656</v>
      </c>
      <c r="P16">
        <v>2016</v>
      </c>
      <c r="Q16">
        <v>200</v>
      </c>
      <c r="R16" t="s">
        <v>6663</v>
      </c>
      <c r="S16" s="1">
        <v>41448</v>
      </c>
      <c r="T16" s="1">
        <v>41454</v>
      </c>
      <c r="U16" t="str">
        <f t="shared" ca="1" si="5"/>
        <v>rg:False</v>
      </c>
      <c r="V16" t="str">
        <f t="shared" ca="1" si="6"/>
        <v>rg:None</v>
      </c>
      <c r="W16" t="s">
        <v>7071</v>
      </c>
      <c r="X16" t="s">
        <v>76</v>
      </c>
      <c r="Y16" t="s">
        <v>76</v>
      </c>
      <c r="Z16" t="s">
        <v>76</v>
      </c>
      <c r="AA16" t="s">
        <v>7418</v>
      </c>
      <c r="AB16" t="s">
        <v>7258</v>
      </c>
      <c r="AC16">
        <v>0</v>
      </c>
      <c r="AD16" t="str">
        <f t="shared" ca="1" si="7"/>
        <v>rg:False</v>
      </c>
      <c r="AE16" t="str">
        <f t="shared" ca="1" si="8"/>
        <v>rg:None</v>
      </c>
      <c r="AF16" s="1">
        <v>42461</v>
      </c>
      <c r="AG16" s="4">
        <f t="shared" ca="1" si="9"/>
        <v>152.66666666666669</v>
      </c>
      <c r="AH16" s="4">
        <f t="shared" si="10"/>
        <v>2.7555555555555555</v>
      </c>
      <c r="AI16">
        <f t="shared" ca="1" si="11"/>
        <v>82</v>
      </c>
      <c r="AJ16">
        <f t="shared" ca="1" si="12"/>
        <v>128</v>
      </c>
      <c r="AK16">
        <f t="shared" ca="1" si="13"/>
        <v>0</v>
      </c>
      <c r="AL16" t="s">
        <v>326</v>
      </c>
      <c r="AO16" t="s">
        <v>76</v>
      </c>
      <c r="AP16" t="s">
        <v>6510</v>
      </c>
      <c r="AQ16" t="s">
        <v>6510</v>
      </c>
      <c r="AR16" t="s">
        <v>6510</v>
      </c>
      <c r="AS16" t="s">
        <v>6510</v>
      </c>
    </row>
    <row r="17" spans="1:45" x14ac:dyDescent="0.3">
      <c r="A17" t="s">
        <v>5630</v>
      </c>
      <c r="B17">
        <f t="shared" si="0"/>
        <v>200015</v>
      </c>
      <c r="C17">
        <v>200002</v>
      </c>
      <c r="D17" t="str">
        <f t="shared" si="1"/>
        <v>rg:{'id': '200002'}</v>
      </c>
      <c r="E17">
        <f>VLOOKUP(C17,Owners.csv!C:J,6,FALSE)</f>
        <v>200000</v>
      </c>
      <c r="F17" t="str">
        <f>VLOOKUP(VLOOKUP(E17,LocalAreas.csv!I:K,3,FALSE),ServiceAreas.csv!F:J,5,FALSE)</f>
        <v>200009</v>
      </c>
      <c r="G17" t="str">
        <f t="shared" si="2"/>
        <v>rg:{'id': '200000'}</v>
      </c>
      <c r="H17" t="s">
        <v>7657</v>
      </c>
      <c r="I17" t="s">
        <v>5641</v>
      </c>
      <c r="J17">
        <f>VLOOKUP(I17&amp;"-"&amp;F17,DistrictEquipmentTypes.csv!J:K,2,FALSE)</f>
        <v>200003</v>
      </c>
      <c r="K17" t="str">
        <f t="shared" si="3"/>
        <v>rg:{'id': '200003'}</v>
      </c>
      <c r="L17">
        <f t="shared" si="4"/>
        <v>4</v>
      </c>
      <c r="M17" t="str">
        <f>VLOOKUP(C17,Owners.csv!C:K,9,FALSE)&amp;TEXT(Equipment.csv!L17,"0000")</f>
        <v>ALLI0004</v>
      </c>
      <c r="N17" t="s">
        <v>5658</v>
      </c>
      <c r="O17">
        <v>350</v>
      </c>
      <c r="P17">
        <v>1999</v>
      </c>
      <c r="Q17">
        <v>50</v>
      </c>
      <c r="R17" t="s">
        <v>6664</v>
      </c>
      <c r="S17" s="1">
        <v>42245</v>
      </c>
      <c r="T17" s="1">
        <v>42255</v>
      </c>
      <c r="U17" t="str">
        <f t="shared" ca="1" si="5"/>
        <v>rg:False</v>
      </c>
      <c r="V17" t="str">
        <f t="shared" ca="1" si="6"/>
        <v>rg:None</v>
      </c>
      <c r="W17" t="s">
        <v>7072</v>
      </c>
      <c r="X17" t="s">
        <v>76</v>
      </c>
      <c r="Y17" t="s">
        <v>76</v>
      </c>
      <c r="Z17" t="s">
        <v>76</v>
      </c>
      <c r="AA17" t="s">
        <v>7419</v>
      </c>
      <c r="AB17" t="s">
        <v>7269</v>
      </c>
      <c r="AC17">
        <v>0</v>
      </c>
      <c r="AD17" t="str">
        <f t="shared" ca="1" si="7"/>
        <v>rg:True</v>
      </c>
      <c r="AE17" t="str">
        <f t="shared" ca="1" si="8"/>
        <v>Seniority overridden to test things</v>
      </c>
      <c r="AF17" s="1">
        <v>42470</v>
      </c>
      <c r="AG17" s="4">
        <f t="shared" ca="1" si="9"/>
        <v>16.916666666666668</v>
      </c>
      <c r="AH17" s="4">
        <f t="shared" si="10"/>
        <v>0.56388888888888888</v>
      </c>
      <c r="AI17">
        <f t="shared" ca="1" si="11"/>
        <v>0</v>
      </c>
      <c r="AJ17">
        <f t="shared" ca="1" si="12"/>
        <v>0</v>
      </c>
      <c r="AK17">
        <f t="shared" ca="1" si="13"/>
        <v>0</v>
      </c>
      <c r="AL17" t="s">
        <v>326</v>
      </c>
      <c r="AO17" t="s">
        <v>76</v>
      </c>
      <c r="AP17" t="s">
        <v>6510</v>
      </c>
      <c r="AQ17" t="s">
        <v>6510</v>
      </c>
      <c r="AR17" t="s">
        <v>6510</v>
      </c>
      <c r="AS17" t="s">
        <v>6510</v>
      </c>
    </row>
    <row r="18" spans="1:45" x14ac:dyDescent="0.3">
      <c r="A18" t="s">
        <v>5630</v>
      </c>
      <c r="B18">
        <f t="shared" si="0"/>
        <v>200016</v>
      </c>
      <c r="C18">
        <v>200002</v>
      </c>
      <c r="D18" t="str">
        <f t="shared" si="1"/>
        <v>rg:{'id': '200002'}</v>
      </c>
      <c r="E18">
        <f>VLOOKUP(C18,Owners.csv!C:J,6,FALSE)</f>
        <v>200000</v>
      </c>
      <c r="F18" t="str">
        <f>VLOOKUP(VLOOKUP(E18,LocalAreas.csv!I:K,3,FALSE),ServiceAreas.csv!F:J,5,FALSE)</f>
        <v>200009</v>
      </c>
      <c r="G18" t="str">
        <f t="shared" si="2"/>
        <v>rg:{'id': '200000'}</v>
      </c>
      <c r="H18" t="s">
        <v>7658</v>
      </c>
      <c r="I18" t="s">
        <v>5642</v>
      </c>
      <c r="J18">
        <f>VLOOKUP(I18&amp;"-"&amp;F18,DistrictEquipmentTypes.csv!J:K,2,FALSE)</f>
        <v>200004</v>
      </c>
      <c r="K18" t="str">
        <f t="shared" si="3"/>
        <v>rg:{'id': '200004'}</v>
      </c>
      <c r="L18">
        <f t="shared" si="4"/>
        <v>5</v>
      </c>
      <c r="M18" t="str">
        <f>VLOOKUP(C18,Owners.csv!C:K,9,FALSE)&amp;TEXT(Equipment.csv!L18,"0000")</f>
        <v>ALLI0005</v>
      </c>
      <c r="N18" t="s">
        <v>5401</v>
      </c>
      <c r="O18">
        <v>110</v>
      </c>
      <c r="P18">
        <v>2004</v>
      </c>
      <c r="Q18">
        <v>50</v>
      </c>
      <c r="R18" t="s">
        <v>6663</v>
      </c>
      <c r="S18" s="1">
        <v>39008</v>
      </c>
      <c r="T18" s="1">
        <v>39010</v>
      </c>
      <c r="U18" t="str">
        <f t="shared" ca="1" si="5"/>
        <v>rg:True</v>
      </c>
      <c r="V18" t="str">
        <f t="shared" ca="1" si="6"/>
        <v>This equipment should be archived</v>
      </c>
      <c r="W18" t="s">
        <v>7073</v>
      </c>
      <c r="X18" t="s">
        <v>76</v>
      </c>
      <c r="Y18" t="s">
        <v>76</v>
      </c>
      <c r="Z18" t="s">
        <v>76</v>
      </c>
      <c r="AA18" t="s">
        <v>7420</v>
      </c>
      <c r="AB18" t="s">
        <v>7270</v>
      </c>
      <c r="AC18">
        <v>0</v>
      </c>
      <c r="AD18" t="str">
        <f t="shared" ca="1" si="7"/>
        <v>rg:False</v>
      </c>
      <c r="AE18" t="str">
        <f t="shared" ca="1" si="8"/>
        <v>rg:None</v>
      </c>
      <c r="AF18" s="1">
        <v>42481</v>
      </c>
      <c r="AG18" s="4">
        <f t="shared" ca="1" si="9"/>
        <v>335.41666666666669</v>
      </c>
      <c r="AH18" s="4">
        <f t="shared" si="10"/>
        <v>9.4472222222222229</v>
      </c>
      <c r="AI18">
        <f t="shared" ca="1" si="11"/>
        <v>95</v>
      </c>
      <c r="AJ18">
        <f t="shared" ca="1" si="12"/>
        <v>61</v>
      </c>
      <c r="AK18">
        <f t="shared" ca="1" si="13"/>
        <v>0</v>
      </c>
      <c r="AL18" t="s">
        <v>326</v>
      </c>
      <c r="AO18" t="s">
        <v>76</v>
      </c>
      <c r="AP18" t="s">
        <v>6510</v>
      </c>
      <c r="AQ18" t="s">
        <v>6510</v>
      </c>
      <c r="AR18" t="s">
        <v>6510</v>
      </c>
      <c r="AS18" t="s">
        <v>6510</v>
      </c>
    </row>
    <row r="19" spans="1:45" x14ac:dyDescent="0.3">
      <c r="A19" t="s">
        <v>5630</v>
      </c>
      <c r="B19">
        <f t="shared" si="0"/>
        <v>200017</v>
      </c>
      <c r="C19">
        <v>200002</v>
      </c>
      <c r="D19" t="str">
        <f t="shared" si="1"/>
        <v>rg:{'id': '200002'}</v>
      </c>
      <c r="E19">
        <f>VLOOKUP(C19,Owners.csv!C:J,6,FALSE)</f>
        <v>200000</v>
      </c>
      <c r="F19" t="str">
        <f>VLOOKUP(VLOOKUP(E19,LocalAreas.csv!I:K,3,FALSE),ServiceAreas.csv!F:J,5,FALSE)</f>
        <v>200009</v>
      </c>
      <c r="G19" t="str">
        <f t="shared" si="2"/>
        <v>rg:{'id': '200000'}</v>
      </c>
      <c r="H19" t="s">
        <v>7659</v>
      </c>
      <c r="I19" t="s">
        <v>5643</v>
      </c>
      <c r="J19">
        <f>VLOOKUP(I19&amp;"-"&amp;F19,DistrictEquipmentTypes.csv!J:K,2,FALSE)</f>
        <v>200005</v>
      </c>
      <c r="K19" t="str">
        <f t="shared" si="3"/>
        <v>rg:{'id': '200005'}</v>
      </c>
      <c r="L19">
        <f t="shared" si="4"/>
        <v>6</v>
      </c>
      <c r="M19" t="str">
        <f>VLOOKUP(C19,Owners.csv!C:K,9,FALSE)&amp;TEXT(Equipment.csv!L19,"0000")</f>
        <v>ALLI0006</v>
      </c>
      <c r="N19" t="s">
        <v>5401</v>
      </c>
      <c r="O19">
        <v>320</v>
      </c>
      <c r="P19">
        <v>1992</v>
      </c>
      <c r="Q19">
        <v>50</v>
      </c>
      <c r="R19" t="s">
        <v>6663</v>
      </c>
      <c r="S19" s="1">
        <v>37961</v>
      </c>
      <c r="T19" s="1">
        <v>37985</v>
      </c>
      <c r="U19" t="str">
        <f t="shared" ca="1" si="5"/>
        <v>rg:False</v>
      </c>
      <c r="V19" t="str">
        <f t="shared" ca="1" si="6"/>
        <v>rg:None</v>
      </c>
      <c r="W19" t="s">
        <v>7074</v>
      </c>
      <c r="X19" t="s">
        <v>76</v>
      </c>
      <c r="Y19" t="s">
        <v>76</v>
      </c>
      <c r="Z19" t="s">
        <v>76</v>
      </c>
      <c r="AA19" t="s">
        <v>7421</v>
      </c>
      <c r="AB19" t="s">
        <v>7271</v>
      </c>
      <c r="AC19">
        <v>0</v>
      </c>
      <c r="AD19" t="str">
        <f t="shared" ca="1" si="7"/>
        <v>rg:False</v>
      </c>
      <c r="AE19" t="str">
        <f t="shared" ca="1" si="8"/>
        <v>rg:None</v>
      </c>
      <c r="AF19" s="1">
        <v>42461</v>
      </c>
      <c r="AG19" s="4">
        <f t="shared" ca="1" si="9"/>
        <v>425.58333333333337</v>
      </c>
      <c r="AH19" s="4">
        <f t="shared" si="10"/>
        <v>12.252777777777778</v>
      </c>
      <c r="AI19">
        <f t="shared" ca="1" si="11"/>
        <v>13</v>
      </c>
      <c r="AJ19">
        <f t="shared" ca="1" si="12"/>
        <v>156</v>
      </c>
      <c r="AK19">
        <f t="shared" ca="1" si="13"/>
        <v>5</v>
      </c>
      <c r="AL19" t="s">
        <v>326</v>
      </c>
      <c r="AO19" t="s">
        <v>76</v>
      </c>
      <c r="AP19" t="s">
        <v>6510</v>
      </c>
      <c r="AQ19" t="s">
        <v>6510</v>
      </c>
      <c r="AR19" t="s">
        <v>6510</v>
      </c>
      <c r="AS19" t="s">
        <v>6510</v>
      </c>
    </row>
    <row r="20" spans="1:45" x14ac:dyDescent="0.3">
      <c r="A20" t="s">
        <v>5630</v>
      </c>
      <c r="B20">
        <f t="shared" si="0"/>
        <v>200018</v>
      </c>
      <c r="C20">
        <v>200003</v>
      </c>
      <c r="D20" t="str">
        <f t="shared" si="1"/>
        <v>rg:{'id': '200003'}</v>
      </c>
      <c r="E20">
        <f>VLOOKUP(C20,Owners.csv!C:J,6,FALSE)</f>
        <v>200000</v>
      </c>
      <c r="F20" t="str">
        <f>VLOOKUP(VLOOKUP(E20,LocalAreas.csv!I:K,3,FALSE),ServiceAreas.csv!F:J,5,FALSE)</f>
        <v>200009</v>
      </c>
      <c r="G20" t="str">
        <f t="shared" si="2"/>
        <v>rg:{'id': '200000'}</v>
      </c>
      <c r="H20" t="s">
        <v>7660</v>
      </c>
      <c r="I20" t="s">
        <v>5536</v>
      </c>
      <c r="J20">
        <f>VLOOKUP(I20&amp;"-"&amp;F20,DistrictEquipmentTypes.csv!J:K,2,FALSE)</f>
        <v>200000</v>
      </c>
      <c r="K20" t="str">
        <f t="shared" si="3"/>
        <v>rg:{'id': '200000'}</v>
      </c>
      <c r="L20">
        <f t="shared" si="4"/>
        <v>1</v>
      </c>
      <c r="M20" t="str">
        <f>VLOOKUP(C20,Owners.csv!C:K,9,FALSE)&amp;TEXT(Equipment.csv!L20,"0000")</f>
        <v>AMER0001</v>
      </c>
      <c r="N20" t="s">
        <v>5653</v>
      </c>
      <c r="O20" t="s">
        <v>5663</v>
      </c>
      <c r="P20">
        <v>1990</v>
      </c>
      <c r="Q20">
        <v>300</v>
      </c>
      <c r="R20" t="s">
        <v>6663</v>
      </c>
      <c r="S20" s="1">
        <v>38887</v>
      </c>
      <c r="T20" s="1">
        <v>38904</v>
      </c>
      <c r="U20" t="str">
        <f t="shared" ca="1" si="5"/>
        <v>rg:False</v>
      </c>
      <c r="V20" t="str">
        <f t="shared" ca="1" si="6"/>
        <v>rg:None</v>
      </c>
      <c r="W20" t="s">
        <v>7075</v>
      </c>
      <c r="X20" t="s">
        <v>76</v>
      </c>
      <c r="Y20" t="s">
        <v>76</v>
      </c>
      <c r="Z20" t="s">
        <v>76</v>
      </c>
      <c r="AA20" t="s">
        <v>7422</v>
      </c>
      <c r="AB20" t="s">
        <v>7272</v>
      </c>
      <c r="AC20">
        <v>0</v>
      </c>
      <c r="AD20" t="str">
        <f t="shared" ca="1" si="7"/>
        <v>rg:False</v>
      </c>
      <c r="AE20" t="str">
        <f t="shared" ca="1" si="8"/>
        <v>rg:None</v>
      </c>
      <c r="AF20" s="1">
        <v>42481</v>
      </c>
      <c r="AG20" s="4">
        <f t="shared" ca="1" si="9"/>
        <v>362.08333333333331</v>
      </c>
      <c r="AH20" s="4">
        <f t="shared" si="10"/>
        <v>9.7361111111111107</v>
      </c>
      <c r="AI20">
        <f t="shared" ca="1" si="11"/>
        <v>64</v>
      </c>
      <c r="AJ20">
        <f t="shared" ca="1" si="12"/>
        <v>138</v>
      </c>
      <c r="AK20">
        <f t="shared" ca="1" si="13"/>
        <v>8</v>
      </c>
      <c r="AL20" t="s">
        <v>326</v>
      </c>
      <c r="AO20" t="s">
        <v>76</v>
      </c>
      <c r="AP20" t="s">
        <v>6510</v>
      </c>
      <c r="AQ20" t="s">
        <v>6510</v>
      </c>
      <c r="AR20" t="s">
        <v>6510</v>
      </c>
      <c r="AS20" t="s">
        <v>6510</v>
      </c>
    </row>
    <row r="21" spans="1:45" x14ac:dyDescent="0.3">
      <c r="A21" t="s">
        <v>5630</v>
      </c>
      <c r="B21">
        <f t="shared" si="0"/>
        <v>200019</v>
      </c>
      <c r="C21">
        <v>200003</v>
      </c>
      <c r="D21" t="str">
        <f t="shared" si="1"/>
        <v>rg:{'id': '200003'}</v>
      </c>
      <c r="E21">
        <f>VLOOKUP(C21,Owners.csv!C:J,6,FALSE)</f>
        <v>200000</v>
      </c>
      <c r="F21" t="str">
        <f>VLOOKUP(VLOOKUP(E21,LocalAreas.csv!I:K,3,FALSE),ServiceAreas.csv!F:J,5,FALSE)</f>
        <v>200009</v>
      </c>
      <c r="G21" t="str">
        <f t="shared" si="2"/>
        <v>rg:{'id': '200000'}</v>
      </c>
      <c r="H21" t="s">
        <v>7661</v>
      </c>
      <c r="I21" t="s">
        <v>5637</v>
      </c>
      <c r="J21">
        <f>VLOOKUP(I21&amp;"-"&amp;F21,DistrictEquipmentTypes.csv!J:K,2,FALSE)</f>
        <v>200001</v>
      </c>
      <c r="K21" t="str">
        <f t="shared" si="3"/>
        <v>rg:{'id': '200001'}</v>
      </c>
      <c r="L21">
        <f t="shared" si="4"/>
        <v>2</v>
      </c>
      <c r="M21" t="str">
        <f>VLOOKUP(C21,Owners.csv!C:K,9,FALSE)&amp;TEXT(Equipment.csv!L21,"0000")</f>
        <v>AMER0002</v>
      </c>
      <c r="N21" t="s">
        <v>5423</v>
      </c>
      <c r="O21">
        <v>100</v>
      </c>
      <c r="P21">
        <v>1994</v>
      </c>
      <c r="Q21">
        <v>50</v>
      </c>
      <c r="R21" t="s">
        <v>6664</v>
      </c>
      <c r="S21" s="1">
        <v>39722</v>
      </c>
      <c r="T21" s="1">
        <v>39748</v>
      </c>
      <c r="U21" t="str">
        <f t="shared" ca="1" si="5"/>
        <v>rg:False</v>
      </c>
      <c r="V21" t="str">
        <f t="shared" ca="1" si="6"/>
        <v>rg:None</v>
      </c>
      <c r="W21" t="s">
        <v>7076</v>
      </c>
      <c r="X21" t="s">
        <v>76</v>
      </c>
      <c r="Y21" t="s">
        <v>76</v>
      </c>
      <c r="Z21" t="s">
        <v>76</v>
      </c>
      <c r="AA21" t="s">
        <v>7423</v>
      </c>
      <c r="AB21" t="s">
        <v>7273</v>
      </c>
      <c r="AC21">
        <v>0</v>
      </c>
      <c r="AD21" t="str">
        <f t="shared" ca="1" si="7"/>
        <v>rg:False</v>
      </c>
      <c r="AE21" t="str">
        <f t="shared" ca="1" si="8"/>
        <v>rg:None</v>
      </c>
      <c r="AF21" s="1">
        <v>42461</v>
      </c>
      <c r="AG21" s="4">
        <f t="shared" ca="1" si="9"/>
        <v>315.5</v>
      </c>
      <c r="AH21" s="4">
        <f t="shared" si="10"/>
        <v>7.427777777777778</v>
      </c>
      <c r="AI21">
        <f t="shared" ca="1" si="11"/>
        <v>176</v>
      </c>
      <c r="AJ21">
        <f t="shared" ca="1" si="12"/>
        <v>63</v>
      </c>
      <c r="AK21">
        <f t="shared" ca="1" si="13"/>
        <v>39</v>
      </c>
      <c r="AL21" t="s">
        <v>326</v>
      </c>
      <c r="AO21" t="s">
        <v>76</v>
      </c>
      <c r="AP21" t="s">
        <v>6510</v>
      </c>
      <c r="AQ21" t="s">
        <v>6510</v>
      </c>
      <c r="AR21" t="s">
        <v>6510</v>
      </c>
      <c r="AS21" t="s">
        <v>6510</v>
      </c>
    </row>
    <row r="22" spans="1:45" x14ac:dyDescent="0.3">
      <c r="A22" t="s">
        <v>5630</v>
      </c>
      <c r="B22">
        <f t="shared" si="0"/>
        <v>200020</v>
      </c>
      <c r="C22">
        <v>200003</v>
      </c>
      <c r="D22" t="str">
        <f t="shared" si="1"/>
        <v>rg:{'id': '200003'}</v>
      </c>
      <c r="E22">
        <f>VLOOKUP(C22,Owners.csv!C:J,6,FALSE)</f>
        <v>200000</v>
      </c>
      <c r="F22" t="str">
        <f>VLOOKUP(VLOOKUP(E22,LocalAreas.csv!I:K,3,FALSE),ServiceAreas.csv!F:J,5,FALSE)</f>
        <v>200009</v>
      </c>
      <c r="G22" t="str">
        <f t="shared" si="2"/>
        <v>rg:{'id': '200000'}</v>
      </c>
      <c r="H22" t="s">
        <v>7662</v>
      </c>
      <c r="I22" t="s">
        <v>5640</v>
      </c>
      <c r="J22">
        <f>VLOOKUP(I22&amp;"-"&amp;F22,DistrictEquipmentTypes.csv!J:K,2,FALSE)</f>
        <v>200002</v>
      </c>
      <c r="K22" t="str">
        <f t="shared" si="3"/>
        <v>rg:{'id': '200002'}</v>
      </c>
      <c r="L22">
        <f t="shared" si="4"/>
        <v>3</v>
      </c>
      <c r="M22" t="str">
        <f>VLOOKUP(C22,Owners.csv!C:K,9,FALSE)&amp;TEXT(Equipment.csv!L22,"0000")</f>
        <v>AMER0003</v>
      </c>
      <c r="N22" t="s">
        <v>5659</v>
      </c>
      <c r="O22" t="s">
        <v>5656</v>
      </c>
      <c r="P22">
        <v>2007</v>
      </c>
      <c r="Q22">
        <v>50</v>
      </c>
      <c r="R22" t="s">
        <v>6663</v>
      </c>
      <c r="S22" s="1">
        <v>40053</v>
      </c>
      <c r="T22" s="1">
        <v>40062</v>
      </c>
      <c r="U22" t="str">
        <f t="shared" ca="1" si="5"/>
        <v>rg:True</v>
      </c>
      <c r="V22" t="str">
        <f t="shared" ca="1" si="6"/>
        <v>This equipment should be archived</v>
      </c>
      <c r="W22" t="s">
        <v>7077</v>
      </c>
      <c r="X22" t="s">
        <v>76</v>
      </c>
      <c r="Y22" t="s">
        <v>76</v>
      </c>
      <c r="Z22" t="s">
        <v>76</v>
      </c>
      <c r="AA22" t="s">
        <v>7424</v>
      </c>
      <c r="AB22" t="s">
        <v>7274</v>
      </c>
      <c r="AC22">
        <v>0</v>
      </c>
      <c r="AD22" t="str">
        <f t="shared" ca="1" si="7"/>
        <v>rg:False</v>
      </c>
      <c r="AE22" t="str">
        <f t="shared" ca="1" si="8"/>
        <v>rg:None</v>
      </c>
      <c r="AF22" s="1">
        <v>42467</v>
      </c>
      <c r="AG22" s="4">
        <f t="shared" ca="1" si="9"/>
        <v>224.41666666666669</v>
      </c>
      <c r="AH22" s="4">
        <f t="shared" si="10"/>
        <v>6.5694444444444446</v>
      </c>
      <c r="AI22">
        <f t="shared" ca="1" si="11"/>
        <v>61</v>
      </c>
      <c r="AJ22">
        <f t="shared" ca="1" si="12"/>
        <v>3</v>
      </c>
      <c r="AK22">
        <f t="shared" ca="1" si="13"/>
        <v>18</v>
      </c>
      <c r="AL22" t="s">
        <v>326</v>
      </c>
      <c r="AO22" t="s">
        <v>76</v>
      </c>
      <c r="AP22" t="s">
        <v>6510</v>
      </c>
      <c r="AQ22" t="s">
        <v>6510</v>
      </c>
      <c r="AR22" t="s">
        <v>6510</v>
      </c>
      <c r="AS22" t="s">
        <v>6510</v>
      </c>
    </row>
    <row r="23" spans="1:45" x14ac:dyDescent="0.3">
      <c r="A23" t="s">
        <v>5630</v>
      </c>
      <c r="B23">
        <f t="shared" si="0"/>
        <v>200021</v>
      </c>
      <c r="C23">
        <v>200003</v>
      </c>
      <c r="D23" t="str">
        <f t="shared" si="1"/>
        <v>rg:{'id': '200003'}</v>
      </c>
      <c r="E23">
        <f>VLOOKUP(C23,Owners.csv!C:J,6,FALSE)</f>
        <v>200000</v>
      </c>
      <c r="F23" t="str">
        <f>VLOOKUP(VLOOKUP(E23,LocalAreas.csv!I:K,3,FALSE),ServiceAreas.csv!F:J,5,FALSE)</f>
        <v>200009</v>
      </c>
      <c r="G23" t="str">
        <f t="shared" si="2"/>
        <v>rg:{'id': '200000'}</v>
      </c>
      <c r="H23" t="s">
        <v>7663</v>
      </c>
      <c r="I23" t="s">
        <v>5536</v>
      </c>
      <c r="J23">
        <f>VLOOKUP(I23&amp;"-"&amp;F23,DistrictEquipmentTypes.csv!J:K,2,FALSE)</f>
        <v>200000</v>
      </c>
      <c r="K23" t="str">
        <f t="shared" si="3"/>
        <v>rg:{'id': '200000'}</v>
      </c>
      <c r="L23">
        <f t="shared" si="4"/>
        <v>4</v>
      </c>
      <c r="M23" t="str">
        <f>VLOOKUP(C23,Owners.csv!C:K,9,FALSE)&amp;TEXT(Equipment.csv!L23,"0000")</f>
        <v>AMER0004</v>
      </c>
      <c r="N23" t="s">
        <v>5653</v>
      </c>
      <c r="O23">
        <v>100</v>
      </c>
      <c r="P23">
        <v>1989</v>
      </c>
      <c r="Q23">
        <v>110</v>
      </c>
      <c r="R23" t="s">
        <v>6663</v>
      </c>
      <c r="S23" s="1">
        <v>41445</v>
      </c>
      <c r="T23" s="1">
        <v>41462</v>
      </c>
      <c r="U23" t="str">
        <f t="shared" ca="1" si="5"/>
        <v>rg:False</v>
      </c>
      <c r="V23" t="str">
        <f t="shared" ca="1" si="6"/>
        <v>rg:None</v>
      </c>
      <c r="W23" t="s">
        <v>7078</v>
      </c>
      <c r="X23" t="s">
        <v>76</v>
      </c>
      <c r="Y23" t="s">
        <v>76</v>
      </c>
      <c r="Z23" t="s">
        <v>76</v>
      </c>
      <c r="AA23" t="s">
        <v>7425</v>
      </c>
      <c r="AB23" t="s">
        <v>7275</v>
      </c>
      <c r="AC23">
        <v>0</v>
      </c>
      <c r="AD23" t="str">
        <f t="shared" ca="1" si="7"/>
        <v>rg:False</v>
      </c>
      <c r="AE23" t="str">
        <f t="shared" ca="1" si="8"/>
        <v>rg:None</v>
      </c>
      <c r="AF23" s="1">
        <v>42481</v>
      </c>
      <c r="AG23" s="4">
        <f t="shared" ca="1" si="9"/>
        <v>133.66666666666666</v>
      </c>
      <c r="AH23" s="4">
        <f t="shared" si="10"/>
        <v>2.7333333333333334</v>
      </c>
      <c r="AI23">
        <f t="shared" ca="1" si="11"/>
        <v>123</v>
      </c>
      <c r="AJ23">
        <f t="shared" ca="1" si="12"/>
        <v>32</v>
      </c>
      <c r="AK23">
        <f t="shared" ca="1" si="13"/>
        <v>0</v>
      </c>
      <c r="AL23" t="s">
        <v>326</v>
      </c>
      <c r="AO23" t="s">
        <v>76</v>
      </c>
      <c r="AP23" t="s">
        <v>6510</v>
      </c>
      <c r="AQ23" t="s">
        <v>6510</v>
      </c>
      <c r="AR23" t="s">
        <v>6510</v>
      </c>
      <c r="AS23" t="s">
        <v>6510</v>
      </c>
    </row>
    <row r="24" spans="1:45" x14ac:dyDescent="0.3">
      <c r="A24" t="s">
        <v>5630</v>
      </c>
      <c r="B24">
        <f t="shared" si="0"/>
        <v>200022</v>
      </c>
      <c r="C24">
        <v>200003</v>
      </c>
      <c r="D24" t="str">
        <f t="shared" si="1"/>
        <v>rg:{'id': '200003'}</v>
      </c>
      <c r="E24">
        <f>VLOOKUP(C24,Owners.csv!C:J,6,FALSE)</f>
        <v>200000</v>
      </c>
      <c r="F24" t="str">
        <f>VLOOKUP(VLOOKUP(E24,LocalAreas.csv!I:K,3,FALSE),ServiceAreas.csv!F:J,5,FALSE)</f>
        <v>200009</v>
      </c>
      <c r="G24" t="str">
        <f t="shared" si="2"/>
        <v>rg:{'id': '200000'}</v>
      </c>
      <c r="H24" t="s">
        <v>7664</v>
      </c>
      <c r="I24" t="s">
        <v>5637</v>
      </c>
      <c r="J24">
        <f>VLOOKUP(I24&amp;"-"&amp;F24,DistrictEquipmentTypes.csv!J:K,2,FALSE)</f>
        <v>200001</v>
      </c>
      <c r="K24" t="str">
        <f t="shared" si="3"/>
        <v>rg:{'id': '200001'}</v>
      </c>
      <c r="L24">
        <f t="shared" si="4"/>
        <v>5</v>
      </c>
      <c r="M24" t="str">
        <f>VLOOKUP(C24,Owners.csv!C:K,9,FALSE)&amp;TEXT(Equipment.csv!L24,"0000")</f>
        <v>AMER0005</v>
      </c>
      <c r="N24" t="s">
        <v>5423</v>
      </c>
      <c r="O24">
        <v>200</v>
      </c>
      <c r="P24">
        <v>1985</v>
      </c>
      <c r="Q24">
        <v>200</v>
      </c>
      <c r="R24" t="s">
        <v>6663</v>
      </c>
      <c r="S24" s="1">
        <v>42299</v>
      </c>
      <c r="T24" s="1">
        <v>42323</v>
      </c>
      <c r="U24" t="str">
        <f t="shared" ca="1" si="5"/>
        <v>rg:False</v>
      </c>
      <c r="V24" t="str">
        <f t="shared" ca="1" si="6"/>
        <v>rg:None</v>
      </c>
      <c r="W24" t="s">
        <v>7079</v>
      </c>
      <c r="X24" t="s">
        <v>76</v>
      </c>
      <c r="Y24" t="s">
        <v>76</v>
      </c>
      <c r="Z24" t="s">
        <v>76</v>
      </c>
      <c r="AA24" t="s">
        <v>7426</v>
      </c>
      <c r="AB24" t="s">
        <v>7276</v>
      </c>
      <c r="AC24">
        <v>0</v>
      </c>
      <c r="AD24" t="str">
        <f t="shared" ca="1" si="7"/>
        <v>rg:False</v>
      </c>
      <c r="AE24" t="str">
        <f t="shared" ca="1" si="8"/>
        <v>rg:None</v>
      </c>
      <c r="AF24" s="1">
        <v>42461</v>
      </c>
      <c r="AG24" s="4">
        <f t="shared" ca="1" si="9"/>
        <v>11.333333333333332</v>
      </c>
      <c r="AH24" s="4">
        <f t="shared" si="10"/>
        <v>0.37777777777777777</v>
      </c>
      <c r="AI24">
        <f t="shared" ca="1" si="11"/>
        <v>0</v>
      </c>
      <c r="AJ24">
        <f t="shared" ca="1" si="12"/>
        <v>0</v>
      </c>
      <c r="AK24">
        <f t="shared" ca="1" si="13"/>
        <v>0</v>
      </c>
      <c r="AL24" t="s">
        <v>326</v>
      </c>
      <c r="AO24" t="s">
        <v>76</v>
      </c>
      <c r="AP24" t="s">
        <v>6510</v>
      </c>
      <c r="AQ24" t="s">
        <v>6510</v>
      </c>
      <c r="AR24" t="s">
        <v>6510</v>
      </c>
      <c r="AS24" t="s">
        <v>6510</v>
      </c>
    </row>
    <row r="25" spans="1:45" x14ac:dyDescent="0.3">
      <c r="A25" t="s">
        <v>5630</v>
      </c>
      <c r="B25">
        <f t="shared" si="0"/>
        <v>200023</v>
      </c>
      <c r="C25">
        <v>200003</v>
      </c>
      <c r="D25" t="str">
        <f t="shared" si="1"/>
        <v>rg:{'id': '200003'}</v>
      </c>
      <c r="E25">
        <f>VLOOKUP(C25,Owners.csv!C:J,6,FALSE)</f>
        <v>200000</v>
      </c>
      <c r="F25" t="str">
        <f>VLOOKUP(VLOOKUP(E25,LocalAreas.csv!I:K,3,FALSE),ServiceAreas.csv!F:J,5,FALSE)</f>
        <v>200009</v>
      </c>
      <c r="G25" t="str">
        <f t="shared" si="2"/>
        <v>rg:{'id': '200000'}</v>
      </c>
      <c r="H25" t="s">
        <v>7665</v>
      </c>
      <c r="I25" t="s">
        <v>5640</v>
      </c>
      <c r="J25">
        <f>VLOOKUP(I25&amp;"-"&amp;F25,DistrictEquipmentTypes.csv!J:K,2,FALSE)</f>
        <v>200002</v>
      </c>
      <c r="K25" t="str">
        <f t="shared" si="3"/>
        <v>rg:{'id': '200002'}</v>
      </c>
      <c r="L25">
        <f t="shared" si="4"/>
        <v>6</v>
      </c>
      <c r="M25" t="str">
        <f>VLOOKUP(C25,Owners.csv!C:K,9,FALSE)&amp;TEXT(Equipment.csv!L25,"0000")</f>
        <v>AMER0006</v>
      </c>
      <c r="N25" t="s">
        <v>5659</v>
      </c>
      <c r="O25" t="s">
        <v>5664</v>
      </c>
      <c r="P25">
        <v>1982</v>
      </c>
      <c r="Q25">
        <v>100</v>
      </c>
      <c r="R25" t="s">
        <v>6663</v>
      </c>
      <c r="S25" s="1">
        <v>40059</v>
      </c>
      <c r="T25" s="1">
        <v>40081</v>
      </c>
      <c r="U25" t="str">
        <f t="shared" ca="1" si="5"/>
        <v>rg:False</v>
      </c>
      <c r="V25" t="str">
        <f t="shared" ca="1" si="6"/>
        <v>rg:None</v>
      </c>
      <c r="W25" t="s">
        <v>7080</v>
      </c>
      <c r="X25" t="s">
        <v>76</v>
      </c>
      <c r="Y25" t="s">
        <v>76</v>
      </c>
      <c r="Z25" t="s">
        <v>76</v>
      </c>
      <c r="AA25" t="s">
        <v>7427</v>
      </c>
      <c r="AB25" t="s">
        <v>7277</v>
      </c>
      <c r="AC25">
        <v>0</v>
      </c>
      <c r="AD25" t="str">
        <f t="shared" ca="1" si="7"/>
        <v>rg:False</v>
      </c>
      <c r="AE25" t="str">
        <f t="shared" ca="1" si="8"/>
        <v>rg:None</v>
      </c>
      <c r="AF25" s="1">
        <v>42461</v>
      </c>
      <c r="AG25" s="4">
        <f t="shared" ca="1" si="9"/>
        <v>319.5</v>
      </c>
      <c r="AH25" s="4">
        <f t="shared" si="10"/>
        <v>6.5166666666666666</v>
      </c>
      <c r="AI25">
        <f t="shared" ca="1" si="11"/>
        <v>50</v>
      </c>
      <c r="AJ25">
        <f t="shared" ca="1" si="12"/>
        <v>151</v>
      </c>
      <c r="AK25">
        <f t="shared" ca="1" si="13"/>
        <v>171</v>
      </c>
      <c r="AL25" t="s">
        <v>5689</v>
      </c>
      <c r="AM25" t="s">
        <v>6883</v>
      </c>
      <c r="AN25" s="1">
        <v>42697</v>
      </c>
      <c r="AO25" t="s">
        <v>76</v>
      </c>
      <c r="AP25" t="s">
        <v>6510</v>
      </c>
      <c r="AQ25" t="s">
        <v>6510</v>
      </c>
      <c r="AR25" t="s">
        <v>6510</v>
      </c>
      <c r="AS25" t="s">
        <v>6510</v>
      </c>
    </row>
    <row r="26" spans="1:45" x14ac:dyDescent="0.3">
      <c r="A26" t="s">
        <v>5630</v>
      </c>
      <c r="B26">
        <f t="shared" si="0"/>
        <v>200024</v>
      </c>
      <c r="C26">
        <v>200003</v>
      </c>
      <c r="D26" t="str">
        <f t="shared" si="1"/>
        <v>rg:{'id': '200003'}</v>
      </c>
      <c r="E26">
        <f>VLOOKUP(C26,Owners.csv!C:J,6,FALSE)</f>
        <v>200000</v>
      </c>
      <c r="F26" t="str">
        <f>VLOOKUP(VLOOKUP(E26,LocalAreas.csv!I:K,3,FALSE),ServiceAreas.csv!F:J,5,FALSE)</f>
        <v>200009</v>
      </c>
      <c r="G26" t="str">
        <f t="shared" si="2"/>
        <v>rg:{'id': '200000'}</v>
      </c>
      <c r="H26" t="s">
        <v>7666</v>
      </c>
      <c r="I26" t="s">
        <v>5641</v>
      </c>
      <c r="J26">
        <f>VLOOKUP(I26&amp;"-"&amp;F26,DistrictEquipmentTypes.csv!J:K,2,FALSE)</f>
        <v>200003</v>
      </c>
      <c r="K26" t="str">
        <f t="shared" si="3"/>
        <v>rg:{'id': '200003'}</v>
      </c>
      <c r="L26">
        <f t="shared" si="4"/>
        <v>7</v>
      </c>
      <c r="M26" t="str">
        <f>VLOOKUP(C26,Owners.csv!C:K,9,FALSE)&amp;TEXT(Equipment.csv!L26,"0000")</f>
        <v>AMER0007</v>
      </c>
      <c r="N26" t="s">
        <v>5401</v>
      </c>
      <c r="O26">
        <v>100</v>
      </c>
      <c r="P26">
        <v>2001</v>
      </c>
      <c r="Q26">
        <v>50</v>
      </c>
      <c r="R26" t="s">
        <v>6663</v>
      </c>
      <c r="S26" s="1">
        <v>39094</v>
      </c>
      <c r="T26" s="1">
        <v>39096</v>
      </c>
      <c r="U26" t="str">
        <f t="shared" ca="1" si="5"/>
        <v>rg:False</v>
      </c>
      <c r="V26" t="str">
        <f t="shared" ca="1" si="6"/>
        <v>rg:None</v>
      </c>
      <c r="W26" t="s">
        <v>7081</v>
      </c>
      <c r="X26" t="s">
        <v>76</v>
      </c>
      <c r="Y26" t="s">
        <v>76</v>
      </c>
      <c r="Z26" t="s">
        <v>76</v>
      </c>
      <c r="AA26" t="s">
        <v>7428</v>
      </c>
      <c r="AB26" t="s">
        <v>7278</v>
      </c>
      <c r="AC26">
        <v>0</v>
      </c>
      <c r="AD26" t="str">
        <f t="shared" ca="1" si="7"/>
        <v>rg:False</v>
      </c>
      <c r="AE26" t="str">
        <f t="shared" ca="1" si="8"/>
        <v>rg:None</v>
      </c>
      <c r="AF26" s="1">
        <v>42470</v>
      </c>
      <c r="AG26" s="4">
        <f t="shared" ca="1" si="9"/>
        <v>331.41666666666663</v>
      </c>
      <c r="AH26" s="4">
        <f t="shared" si="10"/>
        <v>9.2138888888888886</v>
      </c>
      <c r="AI26">
        <f t="shared" ca="1" si="11"/>
        <v>33</v>
      </c>
      <c r="AJ26">
        <f t="shared" ca="1" si="12"/>
        <v>7</v>
      </c>
      <c r="AK26">
        <f t="shared" ca="1" si="13"/>
        <v>125</v>
      </c>
      <c r="AL26" t="s">
        <v>5689</v>
      </c>
      <c r="AM26" t="s">
        <v>6884</v>
      </c>
      <c r="AN26" s="1">
        <v>42727</v>
      </c>
      <c r="AO26" t="s">
        <v>76</v>
      </c>
      <c r="AP26" t="s">
        <v>6510</v>
      </c>
      <c r="AQ26" t="s">
        <v>6510</v>
      </c>
      <c r="AR26" t="s">
        <v>6510</v>
      </c>
      <c r="AS26" t="s">
        <v>6510</v>
      </c>
    </row>
    <row r="27" spans="1:45" x14ac:dyDescent="0.3">
      <c r="A27" t="s">
        <v>5630</v>
      </c>
      <c r="B27">
        <f t="shared" si="0"/>
        <v>200025</v>
      </c>
      <c r="C27">
        <v>200004</v>
      </c>
      <c r="D27" t="str">
        <f t="shared" si="1"/>
        <v>rg:{'id': '200004'}</v>
      </c>
      <c r="E27">
        <f>VLOOKUP(C27,Owners.csv!C:J,6,FALSE)</f>
        <v>200000</v>
      </c>
      <c r="F27" t="str">
        <f>VLOOKUP(VLOOKUP(E27,LocalAreas.csv!I:K,3,FALSE),ServiceAreas.csv!F:J,5,FALSE)</f>
        <v>200009</v>
      </c>
      <c r="G27" t="str">
        <f t="shared" si="2"/>
        <v>rg:{'id': '200000'}</v>
      </c>
      <c r="H27" t="s">
        <v>7667</v>
      </c>
      <c r="I27" t="s">
        <v>5642</v>
      </c>
      <c r="J27">
        <f>VLOOKUP(I27&amp;"-"&amp;F27,DistrictEquipmentTypes.csv!J:K,2,FALSE)</f>
        <v>200004</v>
      </c>
      <c r="K27" t="str">
        <f t="shared" si="3"/>
        <v>rg:{'id': '200004'}</v>
      </c>
      <c r="L27">
        <f t="shared" si="4"/>
        <v>1</v>
      </c>
      <c r="M27" t="str">
        <f>VLOOKUP(C27,Owners.csv!C:K,9,FALSE)&amp;TEXT(Equipment.csv!L27,"0000")</f>
        <v>ASIA0001</v>
      </c>
      <c r="N27" t="s">
        <v>5401</v>
      </c>
      <c r="O27">
        <v>200</v>
      </c>
      <c r="P27">
        <v>1975</v>
      </c>
      <c r="Q27">
        <v>10</v>
      </c>
      <c r="R27" t="s">
        <v>6663</v>
      </c>
      <c r="S27" s="1">
        <v>38073</v>
      </c>
      <c r="T27" s="1">
        <v>38082</v>
      </c>
      <c r="U27" t="str">
        <f t="shared" ca="1" si="5"/>
        <v>rg:False</v>
      </c>
      <c r="V27" t="str">
        <f t="shared" ca="1" si="6"/>
        <v>rg:None</v>
      </c>
      <c r="W27" t="s">
        <v>7082</v>
      </c>
      <c r="X27" t="s">
        <v>76</v>
      </c>
      <c r="Y27" t="s">
        <v>76</v>
      </c>
      <c r="Z27" t="s">
        <v>76</v>
      </c>
      <c r="AA27" t="s">
        <v>7429</v>
      </c>
      <c r="AB27" t="s">
        <v>7279</v>
      </c>
      <c r="AC27">
        <v>0</v>
      </c>
      <c r="AD27" t="str">
        <f t="shared" ca="1" si="7"/>
        <v>rg:False</v>
      </c>
      <c r="AE27" t="str">
        <f t="shared" ca="1" si="8"/>
        <v>rg:None</v>
      </c>
      <c r="AF27" s="1">
        <v>42461</v>
      </c>
      <c r="AG27" s="4">
        <f t="shared" ca="1" si="9"/>
        <v>460.66666666666669</v>
      </c>
      <c r="AH27" s="4">
        <f t="shared" si="10"/>
        <v>11.988888888888889</v>
      </c>
      <c r="AI27">
        <f t="shared" ca="1" si="11"/>
        <v>114</v>
      </c>
      <c r="AJ27">
        <f t="shared" ca="1" si="12"/>
        <v>10</v>
      </c>
      <c r="AK27">
        <f t="shared" ca="1" si="13"/>
        <v>179</v>
      </c>
      <c r="AL27" t="s">
        <v>326</v>
      </c>
      <c r="AO27" t="s">
        <v>76</v>
      </c>
      <c r="AP27" t="s">
        <v>6510</v>
      </c>
      <c r="AQ27" t="s">
        <v>6510</v>
      </c>
      <c r="AR27" t="s">
        <v>6510</v>
      </c>
      <c r="AS27" t="s">
        <v>6510</v>
      </c>
    </row>
    <row r="28" spans="1:45" x14ac:dyDescent="0.3">
      <c r="A28" t="s">
        <v>5630</v>
      </c>
      <c r="B28">
        <f t="shared" si="0"/>
        <v>200026</v>
      </c>
      <c r="C28">
        <v>200004</v>
      </c>
      <c r="D28" t="str">
        <f t="shared" si="1"/>
        <v>rg:{'id': '200004'}</v>
      </c>
      <c r="E28">
        <f>VLOOKUP(C28,Owners.csv!C:J,6,FALSE)</f>
        <v>200000</v>
      </c>
      <c r="F28" t="str">
        <f>VLOOKUP(VLOOKUP(E28,LocalAreas.csv!I:K,3,FALSE),ServiceAreas.csv!F:J,5,FALSE)</f>
        <v>200009</v>
      </c>
      <c r="G28" t="str">
        <f t="shared" si="2"/>
        <v>rg:{'id': '200000'}</v>
      </c>
      <c r="H28" t="s">
        <v>7668</v>
      </c>
      <c r="I28" t="s">
        <v>5643</v>
      </c>
      <c r="J28">
        <f>VLOOKUP(I28&amp;"-"&amp;F28,DistrictEquipmentTypes.csv!J:K,2,FALSE)</f>
        <v>200005</v>
      </c>
      <c r="K28" t="str">
        <f t="shared" si="3"/>
        <v>rg:{'id': '200005'}</v>
      </c>
      <c r="L28">
        <f t="shared" si="4"/>
        <v>2</v>
      </c>
      <c r="M28" t="str">
        <f>VLOOKUP(C28,Owners.csv!C:K,9,FALSE)&amp;TEXT(Equipment.csv!L28,"0000")</f>
        <v>ASIA0002</v>
      </c>
      <c r="N28" t="s">
        <v>5658</v>
      </c>
      <c r="O28">
        <v>300</v>
      </c>
      <c r="P28">
        <v>1973</v>
      </c>
      <c r="Q28">
        <v>50</v>
      </c>
      <c r="R28" t="s">
        <v>6663</v>
      </c>
      <c r="S28" s="1">
        <v>41661</v>
      </c>
      <c r="T28" s="1">
        <v>41670</v>
      </c>
      <c r="U28" t="str">
        <f t="shared" ca="1" si="5"/>
        <v>rg:True</v>
      </c>
      <c r="V28" t="str">
        <f t="shared" ca="1" si="6"/>
        <v>This equipment should be archived</v>
      </c>
      <c r="W28" t="s">
        <v>7083</v>
      </c>
      <c r="X28" t="s">
        <v>76</v>
      </c>
      <c r="Y28" t="s">
        <v>76</v>
      </c>
      <c r="Z28" t="s">
        <v>76</v>
      </c>
      <c r="AA28" t="s">
        <v>7430</v>
      </c>
      <c r="AB28" t="s">
        <v>7280</v>
      </c>
      <c r="AC28">
        <v>0</v>
      </c>
      <c r="AD28" t="str">
        <f t="shared" ca="1" si="7"/>
        <v>rg:False</v>
      </c>
      <c r="AE28" t="str">
        <f t="shared" ca="1" si="8"/>
        <v>rg:None</v>
      </c>
      <c r="AF28" s="1">
        <v>42480</v>
      </c>
      <c r="AG28" s="4">
        <f t="shared" ca="1" si="9"/>
        <v>126.08333333333333</v>
      </c>
      <c r="AH28" s="4">
        <f t="shared" si="10"/>
        <v>2.1694444444444443</v>
      </c>
      <c r="AI28">
        <f t="shared" ca="1" si="11"/>
        <v>87</v>
      </c>
      <c r="AJ28">
        <f t="shared" ca="1" si="12"/>
        <v>96</v>
      </c>
      <c r="AK28">
        <f t="shared" ca="1" si="13"/>
        <v>0</v>
      </c>
      <c r="AL28" t="s">
        <v>326</v>
      </c>
      <c r="AO28" t="s">
        <v>76</v>
      </c>
      <c r="AP28" t="s">
        <v>6510</v>
      </c>
      <c r="AQ28" t="s">
        <v>6510</v>
      </c>
      <c r="AR28" t="s">
        <v>6510</v>
      </c>
      <c r="AS28" t="s">
        <v>6510</v>
      </c>
    </row>
    <row r="29" spans="1:45" x14ac:dyDescent="0.3">
      <c r="A29" t="s">
        <v>5630</v>
      </c>
      <c r="B29">
        <f t="shared" si="0"/>
        <v>200027</v>
      </c>
      <c r="C29">
        <v>200004</v>
      </c>
      <c r="D29" t="str">
        <f t="shared" si="1"/>
        <v>rg:{'id': '200004'}</v>
      </c>
      <c r="E29">
        <f>VLOOKUP(C29,Owners.csv!C:J,6,FALSE)</f>
        <v>200000</v>
      </c>
      <c r="F29" t="str">
        <f>VLOOKUP(VLOOKUP(E29,LocalAreas.csv!I:K,3,FALSE),ServiceAreas.csv!F:J,5,FALSE)</f>
        <v>200009</v>
      </c>
      <c r="G29" t="str">
        <f t="shared" si="2"/>
        <v>rg:{'id': '200000'}</v>
      </c>
      <c r="H29" t="s">
        <v>7669</v>
      </c>
      <c r="I29" t="s">
        <v>5640</v>
      </c>
      <c r="J29">
        <f>VLOOKUP(I29&amp;"-"&amp;F29,DistrictEquipmentTypes.csv!J:K,2,FALSE)</f>
        <v>200002</v>
      </c>
      <c r="K29" t="str">
        <f t="shared" si="3"/>
        <v>rg:{'id': '200002'}</v>
      </c>
      <c r="L29">
        <f t="shared" si="4"/>
        <v>3</v>
      </c>
      <c r="M29" t="str">
        <f>VLOOKUP(C29,Owners.csv!C:K,9,FALSE)&amp;TEXT(Equipment.csv!L29,"0000")</f>
        <v>ASIA0003</v>
      </c>
      <c r="N29" t="s">
        <v>5655</v>
      </c>
      <c r="O29" t="s">
        <v>5656</v>
      </c>
      <c r="P29">
        <v>1989</v>
      </c>
      <c r="Q29">
        <v>60</v>
      </c>
      <c r="R29" t="s">
        <v>6663</v>
      </c>
      <c r="S29" s="1">
        <v>38270</v>
      </c>
      <c r="T29" s="1">
        <v>38295</v>
      </c>
      <c r="U29" t="str">
        <f t="shared" ca="1" si="5"/>
        <v>rg:False</v>
      </c>
      <c r="V29" t="str">
        <f t="shared" ca="1" si="6"/>
        <v>rg:None</v>
      </c>
      <c r="W29" t="s">
        <v>7084</v>
      </c>
      <c r="X29" t="s">
        <v>76</v>
      </c>
      <c r="Y29" t="s">
        <v>76</v>
      </c>
      <c r="Z29" t="s">
        <v>76</v>
      </c>
      <c r="AA29" t="s">
        <v>7431</v>
      </c>
      <c r="AB29" t="s">
        <v>7281</v>
      </c>
      <c r="AC29">
        <v>0</v>
      </c>
      <c r="AD29" t="str">
        <f t="shared" ca="1" si="7"/>
        <v>rg:True</v>
      </c>
      <c r="AE29" t="str">
        <f t="shared" ca="1" si="8"/>
        <v>Seniority overridden to test things</v>
      </c>
      <c r="AF29" s="1">
        <v>42461</v>
      </c>
      <c r="AG29" s="4">
        <f t="shared" ca="1" si="9"/>
        <v>369.91666666666669</v>
      </c>
      <c r="AH29" s="4">
        <f t="shared" si="10"/>
        <v>11.408333333333333</v>
      </c>
      <c r="AI29">
        <f t="shared" ca="1" si="11"/>
        <v>4</v>
      </c>
      <c r="AJ29">
        <f t="shared" ca="1" si="12"/>
        <v>52</v>
      </c>
      <c r="AK29">
        <f t="shared" ca="1" si="13"/>
        <v>27</v>
      </c>
      <c r="AL29" t="s">
        <v>326</v>
      </c>
      <c r="AO29" t="s">
        <v>76</v>
      </c>
      <c r="AP29" t="s">
        <v>6510</v>
      </c>
      <c r="AQ29" t="s">
        <v>6510</v>
      </c>
      <c r="AR29" t="s">
        <v>6510</v>
      </c>
      <c r="AS29" t="s">
        <v>6510</v>
      </c>
    </row>
    <row r="30" spans="1:45" x14ac:dyDescent="0.3">
      <c r="A30" t="s">
        <v>5630</v>
      </c>
      <c r="B30">
        <f t="shared" si="0"/>
        <v>200028</v>
      </c>
      <c r="C30">
        <v>200004</v>
      </c>
      <c r="D30" t="str">
        <f t="shared" si="1"/>
        <v>rg:{'id': '200004'}</v>
      </c>
      <c r="E30">
        <f>VLOOKUP(C30,Owners.csv!C:J,6,FALSE)</f>
        <v>200000</v>
      </c>
      <c r="F30" t="str">
        <f>VLOOKUP(VLOOKUP(E30,LocalAreas.csv!I:K,3,FALSE),ServiceAreas.csv!F:J,5,FALSE)</f>
        <v>200009</v>
      </c>
      <c r="G30" t="str">
        <f t="shared" si="2"/>
        <v>rg:{'id': '200000'}</v>
      </c>
      <c r="H30" t="s">
        <v>7670</v>
      </c>
      <c r="I30" t="s">
        <v>5641</v>
      </c>
      <c r="J30">
        <f>VLOOKUP(I30&amp;"-"&amp;F30,DistrictEquipmentTypes.csv!J:K,2,FALSE)</f>
        <v>200003</v>
      </c>
      <c r="K30" t="str">
        <f t="shared" si="3"/>
        <v>rg:{'id': '200003'}</v>
      </c>
      <c r="L30">
        <f t="shared" si="4"/>
        <v>4</v>
      </c>
      <c r="M30" t="str">
        <f>VLOOKUP(C30,Owners.csv!C:K,9,FALSE)&amp;TEXT(Equipment.csv!L30,"0000")</f>
        <v>ASIA0004</v>
      </c>
      <c r="N30" t="s">
        <v>5401</v>
      </c>
      <c r="O30" t="s">
        <v>5657</v>
      </c>
      <c r="P30">
        <v>2015</v>
      </c>
      <c r="Q30">
        <v>20</v>
      </c>
      <c r="R30" t="s">
        <v>6663</v>
      </c>
      <c r="S30" s="1">
        <v>38565</v>
      </c>
      <c r="T30" s="1">
        <v>38584</v>
      </c>
      <c r="U30" t="str">
        <f t="shared" ca="1" si="5"/>
        <v>rg:False</v>
      </c>
      <c r="V30" t="str">
        <f t="shared" ca="1" si="6"/>
        <v>rg:None</v>
      </c>
      <c r="W30" t="s">
        <v>7085</v>
      </c>
      <c r="X30" t="s">
        <v>76</v>
      </c>
      <c r="Y30" t="s">
        <v>76</v>
      </c>
      <c r="Z30" t="s">
        <v>76</v>
      </c>
      <c r="AA30" t="s">
        <v>7432</v>
      </c>
      <c r="AB30" t="s">
        <v>7282</v>
      </c>
      <c r="AC30">
        <v>0</v>
      </c>
      <c r="AD30" t="str">
        <f t="shared" ca="1" si="7"/>
        <v>rg:False</v>
      </c>
      <c r="AE30" t="str">
        <f t="shared" ca="1" si="8"/>
        <v>rg:None</v>
      </c>
      <c r="AF30" s="1">
        <v>42470</v>
      </c>
      <c r="AG30" s="4">
        <f t="shared" ca="1" si="9"/>
        <v>433.75</v>
      </c>
      <c r="AH30" s="4">
        <f t="shared" si="10"/>
        <v>10.613888888888889</v>
      </c>
      <c r="AI30">
        <f t="shared" ca="1" si="11"/>
        <v>1</v>
      </c>
      <c r="AJ30">
        <f t="shared" ca="1" si="12"/>
        <v>189</v>
      </c>
      <c r="AK30">
        <f t="shared" ca="1" si="13"/>
        <v>156</v>
      </c>
      <c r="AL30" t="s">
        <v>326</v>
      </c>
      <c r="AO30" t="s">
        <v>76</v>
      </c>
      <c r="AP30" t="s">
        <v>6510</v>
      </c>
      <c r="AQ30" t="s">
        <v>6510</v>
      </c>
      <c r="AR30" t="s">
        <v>6510</v>
      </c>
      <c r="AS30" t="s">
        <v>6510</v>
      </c>
    </row>
    <row r="31" spans="1:45" x14ac:dyDescent="0.3">
      <c r="A31" t="s">
        <v>5630</v>
      </c>
      <c r="B31">
        <f t="shared" si="0"/>
        <v>200029</v>
      </c>
      <c r="C31">
        <v>200018</v>
      </c>
      <c r="D31" t="str">
        <f t="shared" si="1"/>
        <v>rg:{'id': '200018'}</v>
      </c>
      <c r="E31">
        <f>VLOOKUP(C31,Owners.csv!C:J,6,FALSE)</f>
        <v>200001</v>
      </c>
      <c r="F31" t="str">
        <f>VLOOKUP(VLOOKUP(E31,LocalAreas.csv!I:K,3,FALSE),ServiceAreas.csv!F:J,5,FALSE)</f>
        <v>200009</v>
      </c>
      <c r="G31" t="str">
        <f t="shared" si="2"/>
        <v>rg:{'id': '200001'}</v>
      </c>
      <c r="H31" t="s">
        <v>7671</v>
      </c>
      <c r="I31" t="s">
        <v>5642</v>
      </c>
      <c r="J31">
        <f>VLOOKUP(I31&amp;"-"&amp;F31,DistrictEquipmentTypes.csv!J:K,2,FALSE)</f>
        <v>200004</v>
      </c>
      <c r="K31" t="str">
        <f t="shared" si="3"/>
        <v>rg:{'id': '200004'}</v>
      </c>
      <c r="L31">
        <f t="shared" si="4"/>
        <v>1</v>
      </c>
      <c r="M31" t="str">
        <f>VLOOKUP(C31,Owners.csv!C:K,9,FALSE)&amp;TEXT(Equipment.csv!L31,"0000")</f>
        <v>CIRC0001</v>
      </c>
      <c r="N31" t="s">
        <v>5401</v>
      </c>
      <c r="O31" t="s">
        <v>5660</v>
      </c>
      <c r="P31">
        <v>1979</v>
      </c>
      <c r="Q31">
        <v>30</v>
      </c>
      <c r="R31" t="s">
        <v>6663</v>
      </c>
      <c r="S31" s="1">
        <v>42000</v>
      </c>
      <c r="T31" s="1">
        <v>42006</v>
      </c>
      <c r="U31" t="str">
        <f t="shared" ca="1" si="5"/>
        <v>rg:False</v>
      </c>
      <c r="V31" t="str">
        <f t="shared" ca="1" si="6"/>
        <v>rg:None</v>
      </c>
      <c r="W31" t="s">
        <v>7086</v>
      </c>
      <c r="X31" t="s">
        <v>76</v>
      </c>
      <c r="Y31" t="s">
        <v>76</v>
      </c>
      <c r="Z31" t="s">
        <v>76</v>
      </c>
      <c r="AA31" t="s">
        <v>7433</v>
      </c>
      <c r="AB31" t="s">
        <v>7283</v>
      </c>
      <c r="AC31">
        <v>0</v>
      </c>
      <c r="AD31" t="str">
        <f t="shared" ca="1" si="7"/>
        <v>rg:False</v>
      </c>
      <c r="AE31" t="str">
        <f t="shared" ca="1" si="8"/>
        <v>rg:None</v>
      </c>
      <c r="AF31" s="1">
        <v>42480</v>
      </c>
      <c r="AG31" s="4">
        <f t="shared" ca="1" si="9"/>
        <v>57.083333333333329</v>
      </c>
      <c r="AH31" s="4">
        <f t="shared" si="10"/>
        <v>1.2472222222222222</v>
      </c>
      <c r="AI31">
        <f t="shared" ca="1" si="11"/>
        <v>59</v>
      </c>
      <c r="AJ31">
        <f t="shared" ca="1" si="12"/>
        <v>0</v>
      </c>
      <c r="AK31">
        <f t="shared" ca="1" si="13"/>
        <v>0</v>
      </c>
      <c r="AL31" t="s">
        <v>326</v>
      </c>
      <c r="AO31" t="s">
        <v>76</v>
      </c>
      <c r="AP31" t="s">
        <v>6510</v>
      </c>
      <c r="AQ31" t="s">
        <v>6510</v>
      </c>
      <c r="AR31" t="s">
        <v>6510</v>
      </c>
      <c r="AS31" t="s">
        <v>6510</v>
      </c>
    </row>
    <row r="32" spans="1:45" x14ac:dyDescent="0.3">
      <c r="A32" t="s">
        <v>5630</v>
      </c>
      <c r="B32">
        <f t="shared" si="0"/>
        <v>200030</v>
      </c>
      <c r="C32">
        <v>200018</v>
      </c>
      <c r="D32" t="str">
        <f t="shared" si="1"/>
        <v>rg:{'id': '200018'}</v>
      </c>
      <c r="E32">
        <f>VLOOKUP(C32,Owners.csv!C:J,6,FALSE)</f>
        <v>200001</v>
      </c>
      <c r="F32" t="str">
        <f>VLOOKUP(VLOOKUP(E32,LocalAreas.csv!I:K,3,FALSE),ServiceAreas.csv!F:J,5,FALSE)</f>
        <v>200009</v>
      </c>
      <c r="G32" t="str">
        <f t="shared" si="2"/>
        <v>rg:{'id': '200001'}</v>
      </c>
      <c r="H32" t="s">
        <v>7664</v>
      </c>
      <c r="I32" t="s">
        <v>5642</v>
      </c>
      <c r="J32">
        <f>VLOOKUP(I32&amp;"-"&amp;F32,DistrictEquipmentTypes.csv!J:K,2,FALSE)</f>
        <v>200004</v>
      </c>
      <c r="K32" t="str">
        <f t="shared" si="3"/>
        <v>rg:{'id': '200004'}</v>
      </c>
      <c r="L32">
        <f t="shared" si="4"/>
        <v>2</v>
      </c>
      <c r="M32" t="str">
        <f>VLOOKUP(C32,Owners.csv!C:K,9,FALSE)&amp;TEXT(Equipment.csv!L32,"0000")</f>
        <v>CIRC0002</v>
      </c>
      <c r="N32" t="s">
        <v>5401</v>
      </c>
      <c r="O32" t="s">
        <v>6698</v>
      </c>
      <c r="P32">
        <v>2005</v>
      </c>
      <c r="Q32">
        <v>40</v>
      </c>
      <c r="R32" t="s">
        <v>6663</v>
      </c>
      <c r="S32" s="1">
        <v>41229</v>
      </c>
      <c r="T32" s="1">
        <v>41236</v>
      </c>
      <c r="U32" t="str">
        <f t="shared" ca="1" si="5"/>
        <v>rg:False</v>
      </c>
      <c r="V32" t="str">
        <f t="shared" ca="1" si="6"/>
        <v>rg:None</v>
      </c>
      <c r="W32" t="s">
        <v>7096</v>
      </c>
      <c r="X32" t="s">
        <v>76</v>
      </c>
      <c r="Y32" t="s">
        <v>76</v>
      </c>
      <c r="Z32" t="s">
        <v>76</v>
      </c>
      <c r="AA32" t="s">
        <v>7443</v>
      </c>
      <c r="AB32" t="s">
        <v>7293</v>
      </c>
      <c r="AC32">
        <v>0</v>
      </c>
      <c r="AD32" t="str">
        <f t="shared" ca="1" si="7"/>
        <v>rg:False</v>
      </c>
      <c r="AE32" t="str">
        <f t="shared" ca="1" si="8"/>
        <v>rg:None</v>
      </c>
      <c r="AF32" s="1">
        <v>42461</v>
      </c>
      <c r="AG32" s="4">
        <f t="shared" ca="1" si="9"/>
        <v>198</v>
      </c>
      <c r="AH32" s="4">
        <f t="shared" si="10"/>
        <v>3.3555555555555556</v>
      </c>
      <c r="AI32">
        <f t="shared" ca="1" si="11"/>
        <v>107</v>
      </c>
      <c r="AJ32">
        <f t="shared" ca="1" si="12"/>
        <v>37</v>
      </c>
      <c r="AK32">
        <f t="shared" ca="1" si="13"/>
        <v>148</v>
      </c>
      <c r="AL32" t="s">
        <v>326</v>
      </c>
      <c r="AO32" t="s">
        <v>76</v>
      </c>
      <c r="AP32" t="s">
        <v>6510</v>
      </c>
      <c r="AQ32" t="s">
        <v>6510</v>
      </c>
      <c r="AR32" t="s">
        <v>6510</v>
      </c>
      <c r="AS32" t="s">
        <v>6510</v>
      </c>
    </row>
    <row r="33" spans="1:45" x14ac:dyDescent="0.3">
      <c r="A33" t="s">
        <v>5630</v>
      </c>
      <c r="B33">
        <f t="shared" si="0"/>
        <v>200031</v>
      </c>
      <c r="C33">
        <v>200018</v>
      </c>
      <c r="D33" t="str">
        <f t="shared" si="1"/>
        <v>rg:{'id': '200018'}</v>
      </c>
      <c r="E33">
        <f>VLOOKUP(C33,Owners.csv!C:J,6,FALSE)</f>
        <v>200001</v>
      </c>
      <c r="F33" t="str">
        <f>VLOOKUP(VLOOKUP(E33,LocalAreas.csv!I:K,3,FALSE),ServiceAreas.csv!F:J,5,FALSE)</f>
        <v>200009</v>
      </c>
      <c r="G33" t="str">
        <f t="shared" si="2"/>
        <v>rg:{'id': '200001'}</v>
      </c>
      <c r="H33" t="s">
        <v>7656</v>
      </c>
      <c r="I33" t="s">
        <v>5640</v>
      </c>
      <c r="J33">
        <f>VLOOKUP(I33&amp;"-"&amp;F33,DistrictEquipmentTypes.csv!J:K,2,FALSE)</f>
        <v>200002</v>
      </c>
      <c r="K33" t="str">
        <f t="shared" si="3"/>
        <v>rg:{'id': '200002'}</v>
      </c>
      <c r="L33">
        <f t="shared" si="4"/>
        <v>3</v>
      </c>
      <c r="M33" t="str">
        <f>VLOOKUP(C33,Owners.csv!C:K,9,FALSE)&amp;TEXT(Equipment.csv!L33,"0000")</f>
        <v>CIRC0003</v>
      </c>
      <c r="N33" t="s">
        <v>5401</v>
      </c>
      <c r="O33" t="s">
        <v>6708</v>
      </c>
      <c r="P33">
        <v>2000</v>
      </c>
      <c r="Q33">
        <v>50</v>
      </c>
      <c r="R33" t="s">
        <v>6663</v>
      </c>
      <c r="S33" s="1">
        <v>38458</v>
      </c>
      <c r="T33" s="1">
        <v>38477</v>
      </c>
      <c r="U33" t="str">
        <f t="shared" ca="1" si="5"/>
        <v>rg:False</v>
      </c>
      <c r="V33" t="str">
        <f t="shared" ca="1" si="6"/>
        <v>rg:None</v>
      </c>
      <c r="W33" t="s">
        <v>7106</v>
      </c>
      <c r="X33" t="s">
        <v>76</v>
      </c>
      <c r="Y33" t="s">
        <v>76</v>
      </c>
      <c r="Z33" t="s">
        <v>76</v>
      </c>
      <c r="AA33" t="s">
        <v>7453</v>
      </c>
      <c r="AB33" t="s">
        <v>7301</v>
      </c>
      <c r="AC33">
        <v>0</v>
      </c>
      <c r="AD33" t="str">
        <f t="shared" ca="1" si="7"/>
        <v>rg:False</v>
      </c>
      <c r="AE33" t="str">
        <f t="shared" ca="1" si="8"/>
        <v>rg:None</v>
      </c>
      <c r="AF33" s="1">
        <v>42480</v>
      </c>
      <c r="AG33" s="4">
        <f t="shared" ca="1" si="9"/>
        <v>451.49999999999994</v>
      </c>
      <c r="AH33" s="4">
        <f t="shared" si="10"/>
        <v>10.905555555555555</v>
      </c>
      <c r="AI33">
        <f t="shared" ca="1" si="11"/>
        <v>0</v>
      </c>
      <c r="AJ33">
        <f t="shared" ca="1" si="12"/>
        <v>197</v>
      </c>
      <c r="AK33">
        <f t="shared" ca="1" si="13"/>
        <v>176</v>
      </c>
      <c r="AL33" t="s">
        <v>326</v>
      </c>
      <c r="AO33" t="s">
        <v>76</v>
      </c>
      <c r="AP33" t="s">
        <v>6510</v>
      </c>
      <c r="AQ33" t="s">
        <v>6510</v>
      </c>
      <c r="AR33" t="s">
        <v>6510</v>
      </c>
      <c r="AS33" t="s">
        <v>6510</v>
      </c>
    </row>
    <row r="34" spans="1:45" x14ac:dyDescent="0.3">
      <c r="A34" t="s">
        <v>5630</v>
      </c>
      <c r="B34">
        <f t="shared" si="0"/>
        <v>200032</v>
      </c>
      <c r="C34">
        <v>200018</v>
      </c>
      <c r="D34" t="str">
        <f t="shared" si="1"/>
        <v>rg:{'id': '200018'}</v>
      </c>
      <c r="E34">
        <f>VLOOKUP(C34,Owners.csv!C:J,6,FALSE)</f>
        <v>200001</v>
      </c>
      <c r="F34" t="str">
        <f>VLOOKUP(VLOOKUP(E34,LocalAreas.csv!I:K,3,FALSE),ServiceAreas.csv!F:J,5,FALSE)</f>
        <v>200009</v>
      </c>
      <c r="G34" t="str">
        <f t="shared" si="2"/>
        <v>rg:{'id': '200001'}</v>
      </c>
      <c r="H34" t="s">
        <v>7692</v>
      </c>
      <c r="I34" t="s">
        <v>5640</v>
      </c>
      <c r="J34">
        <f>VLOOKUP(I34&amp;"-"&amp;F34,DistrictEquipmentTypes.csv!J:K,2,FALSE)</f>
        <v>200002</v>
      </c>
      <c r="K34" t="str">
        <f t="shared" si="3"/>
        <v>rg:{'id': '200002'}</v>
      </c>
      <c r="L34">
        <f t="shared" si="4"/>
        <v>4</v>
      </c>
      <c r="M34" t="str">
        <f>VLOOKUP(C34,Owners.csv!C:K,9,FALSE)&amp;TEXT(Equipment.csv!L34,"0000")</f>
        <v>CIRC0004</v>
      </c>
      <c r="N34" t="s">
        <v>5401</v>
      </c>
      <c r="O34" t="s">
        <v>6718</v>
      </c>
      <c r="P34">
        <v>2013</v>
      </c>
      <c r="Q34">
        <v>60</v>
      </c>
      <c r="R34" t="s">
        <v>6665</v>
      </c>
      <c r="S34" s="1">
        <v>40711</v>
      </c>
      <c r="T34" s="1">
        <v>40720</v>
      </c>
      <c r="U34" t="str">
        <f t="shared" ca="1" si="5"/>
        <v>rg:False</v>
      </c>
      <c r="V34" t="str">
        <f t="shared" ca="1" si="6"/>
        <v>rg:None</v>
      </c>
      <c r="W34" t="s">
        <v>7116</v>
      </c>
      <c r="X34" t="s">
        <v>76</v>
      </c>
      <c r="Y34" t="s">
        <v>76</v>
      </c>
      <c r="Z34" t="s">
        <v>76</v>
      </c>
      <c r="AA34" t="s">
        <v>7463</v>
      </c>
      <c r="AB34" t="s">
        <v>7310</v>
      </c>
      <c r="AC34">
        <v>0</v>
      </c>
      <c r="AD34" t="str">
        <f t="shared" ca="1" si="7"/>
        <v>rg:False</v>
      </c>
      <c r="AE34" t="str">
        <f t="shared" ref="AE34:AE65" ca="1" si="14">IF(AD34="rg:True","Seniority overridden to test things","rg:None")</f>
        <v>rg:None</v>
      </c>
      <c r="AF34" s="1">
        <v>42481</v>
      </c>
      <c r="AG34" s="4">
        <f t="shared" ca="1" si="9"/>
        <v>261.91666666666669</v>
      </c>
      <c r="AH34" s="4">
        <f t="shared" si="10"/>
        <v>4.7638888888888893</v>
      </c>
      <c r="AI34">
        <f t="shared" ca="1" si="11"/>
        <v>134</v>
      </c>
      <c r="AJ34">
        <f t="shared" ca="1" si="12"/>
        <v>195</v>
      </c>
      <c r="AK34">
        <f t="shared" ca="1" si="13"/>
        <v>28</v>
      </c>
      <c r="AL34" t="s">
        <v>326</v>
      </c>
      <c r="AO34" t="s">
        <v>76</v>
      </c>
      <c r="AP34" t="s">
        <v>6510</v>
      </c>
      <c r="AQ34" t="s">
        <v>6510</v>
      </c>
      <c r="AR34" t="s">
        <v>6510</v>
      </c>
      <c r="AS34" t="s">
        <v>6510</v>
      </c>
    </row>
    <row r="35" spans="1:45" x14ac:dyDescent="0.3">
      <c r="A35" t="s">
        <v>5630</v>
      </c>
      <c r="B35">
        <f t="shared" si="0"/>
        <v>200033</v>
      </c>
      <c r="C35">
        <v>200018</v>
      </c>
      <c r="D35" t="str">
        <f t="shared" si="1"/>
        <v>rg:{'id': '200018'}</v>
      </c>
      <c r="E35">
        <f>VLOOKUP(C35,Owners.csv!C:J,6,FALSE)</f>
        <v>200001</v>
      </c>
      <c r="F35" t="str">
        <f>VLOOKUP(VLOOKUP(E35,LocalAreas.csv!I:K,3,FALSE),ServiceAreas.csv!F:J,5,FALSE)</f>
        <v>200009</v>
      </c>
      <c r="G35" t="str">
        <f t="shared" si="2"/>
        <v>rg:{'id': '200001'}</v>
      </c>
      <c r="H35" t="s">
        <v>7698</v>
      </c>
      <c r="I35" t="s">
        <v>5651</v>
      </c>
      <c r="J35">
        <f>VLOOKUP(I35&amp;"-"&amp;F35,DistrictEquipmentTypes.csv!J:K,2,FALSE)</f>
        <v>200006</v>
      </c>
      <c r="K35" t="str">
        <f t="shared" si="3"/>
        <v>rg:{'id': '200006'}</v>
      </c>
      <c r="L35">
        <f t="shared" si="4"/>
        <v>5</v>
      </c>
      <c r="M35" t="str">
        <f>VLOOKUP(C35,Owners.csv!C:K,9,FALSE)&amp;TEXT(Equipment.csv!L35,"0000")</f>
        <v>CIRC0005</v>
      </c>
      <c r="N35" t="s">
        <v>5401</v>
      </c>
      <c r="O35" t="s">
        <v>6726</v>
      </c>
      <c r="P35">
        <v>1979</v>
      </c>
      <c r="Q35">
        <v>68</v>
      </c>
      <c r="R35" t="s">
        <v>6663</v>
      </c>
      <c r="S35" s="1">
        <v>40613</v>
      </c>
      <c r="T35" s="1">
        <v>40641</v>
      </c>
      <c r="U35" t="str">
        <f t="shared" ca="1" si="5"/>
        <v>rg:False</v>
      </c>
      <c r="V35" t="str">
        <f t="shared" ca="1" si="6"/>
        <v>rg:None</v>
      </c>
      <c r="W35" t="s">
        <v>7124</v>
      </c>
      <c r="X35" t="s">
        <v>76</v>
      </c>
      <c r="Y35" t="s">
        <v>76</v>
      </c>
      <c r="Z35" t="s">
        <v>76</v>
      </c>
      <c r="AA35" t="s">
        <v>7471</v>
      </c>
      <c r="AB35" t="s">
        <v>7316</v>
      </c>
      <c r="AC35">
        <v>0</v>
      </c>
      <c r="AD35" t="str">
        <f t="shared" ca="1" si="7"/>
        <v>rg:False</v>
      </c>
      <c r="AE35" t="str">
        <f t="shared" ca="1" si="14"/>
        <v>rg:None</v>
      </c>
      <c r="AF35" s="1">
        <v>42481</v>
      </c>
      <c r="AG35" s="4">
        <f t="shared" ca="1" si="9"/>
        <v>361.16666666666663</v>
      </c>
      <c r="AH35" s="4">
        <f t="shared" si="10"/>
        <v>4.9805555555555552</v>
      </c>
      <c r="AI35">
        <f t="shared" ca="1" si="11"/>
        <v>41</v>
      </c>
      <c r="AJ35">
        <f t="shared" ca="1" si="12"/>
        <v>13</v>
      </c>
      <c r="AK35">
        <f t="shared" ca="1" si="13"/>
        <v>133</v>
      </c>
      <c r="AL35" t="s">
        <v>326</v>
      </c>
      <c r="AO35" t="s">
        <v>76</v>
      </c>
      <c r="AP35" t="s">
        <v>6510</v>
      </c>
      <c r="AQ35" t="s">
        <v>6510</v>
      </c>
      <c r="AR35" t="s">
        <v>6510</v>
      </c>
      <c r="AS35" t="s">
        <v>6510</v>
      </c>
    </row>
    <row r="36" spans="1:45" x14ac:dyDescent="0.3">
      <c r="A36" t="s">
        <v>5630</v>
      </c>
      <c r="B36">
        <f t="shared" si="0"/>
        <v>200034</v>
      </c>
      <c r="C36">
        <v>200018</v>
      </c>
      <c r="D36" t="str">
        <f t="shared" si="1"/>
        <v>rg:{'id': '200018'}</v>
      </c>
      <c r="E36">
        <f>VLOOKUP(C36,Owners.csv!C:J,6,FALSE)</f>
        <v>200001</v>
      </c>
      <c r="F36" t="str">
        <f>VLOOKUP(VLOOKUP(E36,LocalAreas.csv!I:K,3,FALSE),ServiceAreas.csv!F:J,5,FALSE)</f>
        <v>200009</v>
      </c>
      <c r="G36" t="str">
        <f t="shared" si="2"/>
        <v>rg:{'id': '200001'}</v>
      </c>
      <c r="H36" t="s">
        <v>7712</v>
      </c>
      <c r="I36" t="s">
        <v>5651</v>
      </c>
      <c r="J36">
        <f>VLOOKUP(I36&amp;"-"&amp;F36,DistrictEquipmentTypes.csv!J:K,2,FALSE)</f>
        <v>200006</v>
      </c>
      <c r="K36" t="str">
        <f t="shared" si="3"/>
        <v>rg:{'id': '200006'}</v>
      </c>
      <c r="L36">
        <f t="shared" si="4"/>
        <v>6</v>
      </c>
      <c r="M36" t="str">
        <f>VLOOKUP(C36,Owners.csv!C:K,9,FALSE)&amp;TEXT(Equipment.csv!L36,"0000")</f>
        <v>CIRC0006</v>
      </c>
      <c r="N36" t="s">
        <v>5401</v>
      </c>
      <c r="O36" t="s">
        <v>6746</v>
      </c>
      <c r="P36">
        <v>2001</v>
      </c>
      <c r="Q36">
        <v>88</v>
      </c>
      <c r="R36" t="s">
        <v>6663</v>
      </c>
      <c r="S36" s="1">
        <v>42140</v>
      </c>
      <c r="T36" s="1">
        <v>42156</v>
      </c>
      <c r="U36" t="str">
        <f t="shared" ca="1" si="5"/>
        <v>rg:False</v>
      </c>
      <c r="V36" t="str">
        <f t="shared" ca="1" si="6"/>
        <v>rg:None</v>
      </c>
      <c r="W36" t="s">
        <v>7144</v>
      </c>
      <c r="X36" t="s">
        <v>76</v>
      </c>
      <c r="Y36" t="s">
        <v>76</v>
      </c>
      <c r="Z36" t="s">
        <v>76</v>
      </c>
      <c r="AA36" t="s">
        <v>7491</v>
      </c>
      <c r="AB36" t="s">
        <v>7332</v>
      </c>
      <c r="AC36">
        <v>0</v>
      </c>
      <c r="AD36" t="str">
        <f t="shared" ca="1" si="7"/>
        <v>rg:False</v>
      </c>
      <c r="AE36" t="str">
        <f t="shared" ca="1" si="14"/>
        <v>rg:None</v>
      </c>
      <c r="AF36" s="1">
        <v>42481</v>
      </c>
      <c r="AG36" s="4">
        <f t="shared" ca="1" si="9"/>
        <v>50</v>
      </c>
      <c r="AH36" s="4">
        <f t="shared" si="10"/>
        <v>0.83333333333333337</v>
      </c>
      <c r="AI36">
        <f t="shared" ca="1" si="11"/>
        <v>0</v>
      </c>
      <c r="AJ36">
        <f t="shared" ca="1" si="12"/>
        <v>0</v>
      </c>
      <c r="AK36">
        <f t="shared" ca="1" si="13"/>
        <v>0</v>
      </c>
      <c r="AL36" t="s">
        <v>326</v>
      </c>
      <c r="AO36" t="s">
        <v>76</v>
      </c>
      <c r="AP36" t="s">
        <v>6510</v>
      </c>
      <c r="AQ36" t="s">
        <v>6510</v>
      </c>
      <c r="AR36" t="s">
        <v>6510</v>
      </c>
      <c r="AS36" t="s">
        <v>6510</v>
      </c>
    </row>
    <row r="37" spans="1:45" x14ac:dyDescent="0.3">
      <c r="A37" t="s">
        <v>5630</v>
      </c>
      <c r="B37">
        <f t="shared" si="0"/>
        <v>200035</v>
      </c>
      <c r="C37">
        <v>200018</v>
      </c>
      <c r="D37" t="str">
        <f t="shared" si="1"/>
        <v>rg:{'id': '200018'}</v>
      </c>
      <c r="E37">
        <f>VLOOKUP(C37,Owners.csv!C:J,6,FALSE)</f>
        <v>200001</v>
      </c>
      <c r="F37" t="str">
        <f>VLOOKUP(VLOOKUP(E37,LocalAreas.csv!I:K,3,FALSE),ServiceAreas.csv!F:J,5,FALSE)</f>
        <v>200009</v>
      </c>
      <c r="G37" t="str">
        <f t="shared" si="2"/>
        <v>rg:{'id': '200001'}</v>
      </c>
      <c r="H37" t="s">
        <v>7690</v>
      </c>
      <c r="I37" t="s">
        <v>5637</v>
      </c>
      <c r="J37">
        <f>VLOOKUP(I37&amp;"-"&amp;F37,DistrictEquipmentTypes.csv!J:K,2,FALSE)</f>
        <v>200001</v>
      </c>
      <c r="K37" t="str">
        <f t="shared" si="3"/>
        <v>rg:{'id': '200001'}</v>
      </c>
      <c r="L37">
        <f t="shared" si="4"/>
        <v>7</v>
      </c>
      <c r="M37" t="str">
        <f>VLOOKUP(C37,Owners.csv!C:K,9,FALSE)&amp;TEXT(Equipment.csv!L37,"0000")</f>
        <v>CIRC0007</v>
      </c>
      <c r="N37" t="s">
        <v>5401</v>
      </c>
      <c r="O37" t="s">
        <v>6766</v>
      </c>
      <c r="P37">
        <v>2014</v>
      </c>
      <c r="Q37">
        <v>108</v>
      </c>
      <c r="R37" t="s">
        <v>6663</v>
      </c>
      <c r="S37" s="1">
        <v>40240</v>
      </c>
      <c r="T37" s="1">
        <v>40256</v>
      </c>
      <c r="U37" t="str">
        <f t="shared" ca="1" si="5"/>
        <v>rg:False</v>
      </c>
      <c r="V37" t="str">
        <f t="shared" ca="1" si="6"/>
        <v>rg:None</v>
      </c>
      <c r="W37" t="s">
        <v>7164</v>
      </c>
      <c r="X37" t="s">
        <v>76</v>
      </c>
      <c r="Y37" t="s">
        <v>76</v>
      </c>
      <c r="Z37" t="s">
        <v>76</v>
      </c>
      <c r="AA37" t="s">
        <v>7511</v>
      </c>
      <c r="AB37" t="s">
        <v>7345</v>
      </c>
      <c r="AC37">
        <v>0</v>
      </c>
      <c r="AD37" t="str">
        <f t="shared" ca="1" si="7"/>
        <v>rg:False</v>
      </c>
      <c r="AE37" t="str">
        <f t="shared" ca="1" si="14"/>
        <v>rg:None</v>
      </c>
      <c r="AF37" s="1">
        <v>42481</v>
      </c>
      <c r="AG37" s="4">
        <f t="shared" ca="1" si="9"/>
        <v>332.33333333333337</v>
      </c>
      <c r="AH37" s="4">
        <f t="shared" si="10"/>
        <v>6.0333333333333332</v>
      </c>
      <c r="AI37">
        <f t="shared" ca="1" si="11"/>
        <v>193</v>
      </c>
      <c r="AJ37">
        <f t="shared" ca="1" si="12"/>
        <v>117</v>
      </c>
      <c r="AK37">
        <f t="shared" ca="1" si="13"/>
        <v>144</v>
      </c>
      <c r="AL37" t="s">
        <v>326</v>
      </c>
      <c r="AO37" t="s">
        <v>76</v>
      </c>
      <c r="AP37" t="s">
        <v>6510</v>
      </c>
      <c r="AQ37" t="s">
        <v>6510</v>
      </c>
      <c r="AR37" t="s">
        <v>6510</v>
      </c>
      <c r="AS37" t="s">
        <v>6510</v>
      </c>
    </row>
    <row r="38" spans="1:45" x14ac:dyDescent="0.3">
      <c r="A38" t="s">
        <v>5630</v>
      </c>
      <c r="B38">
        <f t="shared" si="0"/>
        <v>200036</v>
      </c>
      <c r="C38">
        <v>200018</v>
      </c>
      <c r="D38" t="str">
        <f t="shared" si="1"/>
        <v>rg:{'id': '200018'}</v>
      </c>
      <c r="E38">
        <f>VLOOKUP(C38,Owners.csv!C:J,6,FALSE)</f>
        <v>200001</v>
      </c>
      <c r="F38" t="str">
        <f>VLOOKUP(VLOOKUP(E38,LocalAreas.csv!I:K,3,FALSE),ServiceAreas.csv!F:J,5,FALSE)</f>
        <v>200009</v>
      </c>
      <c r="G38" t="str">
        <f t="shared" si="2"/>
        <v>rg:{'id': '200001'}</v>
      </c>
      <c r="H38" t="s">
        <v>7732</v>
      </c>
      <c r="I38" t="s">
        <v>5536</v>
      </c>
      <c r="J38">
        <f>VLOOKUP(I38&amp;"-"&amp;F38,DistrictEquipmentTypes.csv!J:K,2,FALSE)</f>
        <v>200000</v>
      </c>
      <c r="K38" t="str">
        <f t="shared" si="3"/>
        <v>rg:{'id': '200000'}</v>
      </c>
      <c r="L38">
        <f t="shared" si="4"/>
        <v>8</v>
      </c>
      <c r="M38" t="str">
        <f>VLOOKUP(C38,Owners.csv!C:K,9,FALSE)&amp;TEXT(Equipment.csv!L38,"0000")</f>
        <v>CIRC0008</v>
      </c>
      <c r="N38" t="s">
        <v>5401</v>
      </c>
      <c r="O38" t="s">
        <v>6781</v>
      </c>
      <c r="P38">
        <v>2017</v>
      </c>
      <c r="Q38">
        <v>123</v>
      </c>
      <c r="R38" t="s">
        <v>6663</v>
      </c>
      <c r="S38" s="1">
        <v>42571</v>
      </c>
      <c r="T38" s="1">
        <v>42578</v>
      </c>
      <c r="U38" t="str">
        <f t="shared" ca="1" si="5"/>
        <v>rg:False</v>
      </c>
      <c r="V38" t="str">
        <f t="shared" ca="1" si="6"/>
        <v>rg:None</v>
      </c>
      <c r="W38" t="s">
        <v>7179</v>
      </c>
      <c r="X38" t="s">
        <v>76</v>
      </c>
      <c r="Y38" t="s">
        <v>76</v>
      </c>
      <c r="Z38" t="s">
        <v>76</v>
      </c>
      <c r="AA38" t="s">
        <v>7526</v>
      </c>
      <c r="AB38" t="s">
        <v>7358</v>
      </c>
      <c r="AC38">
        <v>0</v>
      </c>
      <c r="AD38" t="str">
        <f t="shared" ca="1" si="7"/>
        <v>rg:False</v>
      </c>
      <c r="AE38" t="str">
        <f t="shared" ca="1" si="14"/>
        <v>rg:None</v>
      </c>
      <c r="AF38" s="1">
        <v>42481</v>
      </c>
      <c r="AG38" s="4">
        <f t="shared" ca="1" si="9"/>
        <v>9.6666666666666679</v>
      </c>
      <c r="AH38" s="4">
        <f t="shared" si="10"/>
        <v>0.32222222222222224</v>
      </c>
      <c r="AI38">
        <f t="shared" ca="1" si="11"/>
        <v>0</v>
      </c>
      <c r="AJ38">
        <f t="shared" ca="1" si="12"/>
        <v>0</v>
      </c>
      <c r="AK38">
        <f t="shared" ca="1" si="13"/>
        <v>0</v>
      </c>
      <c r="AL38" t="s">
        <v>326</v>
      </c>
      <c r="AO38" t="s">
        <v>76</v>
      </c>
      <c r="AP38" t="s">
        <v>6510</v>
      </c>
      <c r="AQ38" t="s">
        <v>6510</v>
      </c>
      <c r="AR38" t="s">
        <v>6510</v>
      </c>
      <c r="AS38" t="s">
        <v>6510</v>
      </c>
    </row>
    <row r="39" spans="1:45" x14ac:dyDescent="0.3">
      <c r="A39" t="s">
        <v>5630</v>
      </c>
      <c r="B39">
        <f t="shared" si="0"/>
        <v>200037</v>
      </c>
      <c r="C39">
        <v>200019</v>
      </c>
      <c r="D39" t="str">
        <f t="shared" si="1"/>
        <v>rg:{'id': '200019'}</v>
      </c>
      <c r="E39">
        <f>VLOOKUP(C39,Owners.csv!C:J,6,FALSE)</f>
        <v>200001</v>
      </c>
      <c r="F39" t="str">
        <f>VLOOKUP(VLOOKUP(E39,LocalAreas.csv!I:K,3,FALSE),ServiceAreas.csv!F:J,5,FALSE)</f>
        <v>200009</v>
      </c>
      <c r="G39" t="str">
        <f t="shared" si="2"/>
        <v>rg:{'id': '200001'}</v>
      </c>
      <c r="H39" t="s">
        <v>7672</v>
      </c>
      <c r="I39" t="s">
        <v>5642</v>
      </c>
      <c r="J39">
        <f>VLOOKUP(I39&amp;"-"&amp;F39,DistrictEquipmentTypes.csv!J:K,2,FALSE)</f>
        <v>200004</v>
      </c>
      <c r="K39" t="str">
        <f t="shared" si="3"/>
        <v>rg:{'id': '200004'}</v>
      </c>
      <c r="L39">
        <f t="shared" si="4"/>
        <v>1</v>
      </c>
      <c r="M39" t="str">
        <f>VLOOKUP(C39,Owners.csv!C:K,9,FALSE)&amp;TEXT(Equipment.csv!L39,"0000")</f>
        <v>COCO0001</v>
      </c>
      <c r="N39" t="s">
        <v>5401</v>
      </c>
      <c r="O39" t="s">
        <v>6689</v>
      </c>
      <c r="P39">
        <v>2006</v>
      </c>
      <c r="Q39">
        <v>31</v>
      </c>
      <c r="R39" t="s">
        <v>6663</v>
      </c>
      <c r="S39" s="1">
        <v>40610</v>
      </c>
      <c r="T39" s="1">
        <v>40614</v>
      </c>
      <c r="U39" t="str">
        <f t="shared" ca="1" si="5"/>
        <v>rg:False</v>
      </c>
      <c r="V39" t="str">
        <f t="shared" ca="1" si="6"/>
        <v>rg:None</v>
      </c>
      <c r="W39" t="s">
        <v>7087</v>
      </c>
      <c r="X39" t="s">
        <v>76</v>
      </c>
      <c r="Y39" t="s">
        <v>76</v>
      </c>
      <c r="Z39" t="s">
        <v>76</v>
      </c>
      <c r="AA39" t="s">
        <v>7434</v>
      </c>
      <c r="AB39" t="s">
        <v>7284</v>
      </c>
      <c r="AC39">
        <v>0</v>
      </c>
      <c r="AD39" t="str">
        <f t="shared" ca="1" si="7"/>
        <v>rg:False</v>
      </c>
      <c r="AE39" t="str">
        <f t="shared" ca="1" si="14"/>
        <v>rg:None</v>
      </c>
      <c r="AF39" s="1">
        <v>42481</v>
      </c>
      <c r="AG39" s="4">
        <f t="shared" ca="1" si="9"/>
        <v>283.25</v>
      </c>
      <c r="AH39" s="4">
        <f t="shared" si="10"/>
        <v>5.052777777777778</v>
      </c>
      <c r="AI39">
        <f t="shared" ca="1" si="11"/>
        <v>151</v>
      </c>
      <c r="AJ39">
        <f t="shared" ca="1" si="12"/>
        <v>46</v>
      </c>
      <c r="AK39">
        <f t="shared" ca="1" si="13"/>
        <v>198</v>
      </c>
      <c r="AL39" t="s">
        <v>326</v>
      </c>
      <c r="AO39" t="s">
        <v>76</v>
      </c>
      <c r="AP39" t="s">
        <v>6510</v>
      </c>
      <c r="AQ39" t="s">
        <v>6510</v>
      </c>
      <c r="AR39" t="s">
        <v>6510</v>
      </c>
      <c r="AS39" t="s">
        <v>6510</v>
      </c>
    </row>
    <row r="40" spans="1:45" x14ac:dyDescent="0.3">
      <c r="A40" t="s">
        <v>5630</v>
      </c>
      <c r="B40">
        <f t="shared" si="0"/>
        <v>200038</v>
      </c>
      <c r="C40">
        <v>200019</v>
      </c>
      <c r="D40" t="str">
        <f t="shared" si="1"/>
        <v>rg:{'id': '200019'}</v>
      </c>
      <c r="E40">
        <f>VLOOKUP(C40,Owners.csv!C:J,6,FALSE)</f>
        <v>200001</v>
      </c>
      <c r="F40" t="str">
        <f>VLOOKUP(VLOOKUP(E40,LocalAreas.csv!I:K,3,FALSE),ServiceAreas.csv!F:J,5,FALSE)</f>
        <v>200009</v>
      </c>
      <c r="G40" t="str">
        <f t="shared" si="2"/>
        <v>rg:{'id': '200001'}</v>
      </c>
      <c r="H40" t="s">
        <v>7643</v>
      </c>
      <c r="I40" t="s">
        <v>5642</v>
      </c>
      <c r="J40">
        <f>VLOOKUP(I40&amp;"-"&amp;F40,DistrictEquipmentTypes.csv!J:K,2,FALSE)</f>
        <v>200004</v>
      </c>
      <c r="K40" t="str">
        <f t="shared" si="3"/>
        <v>rg:{'id': '200004'}</v>
      </c>
      <c r="L40">
        <f t="shared" si="4"/>
        <v>2</v>
      </c>
      <c r="M40" t="str">
        <f>VLOOKUP(C40,Owners.csv!C:K,9,FALSE)&amp;TEXT(Equipment.csv!L40,"0000")</f>
        <v>COCO0002</v>
      </c>
      <c r="N40" t="s">
        <v>5401</v>
      </c>
      <c r="O40" t="s">
        <v>6699</v>
      </c>
      <c r="P40">
        <v>2014</v>
      </c>
      <c r="Q40">
        <v>41</v>
      </c>
      <c r="R40" t="s">
        <v>6663</v>
      </c>
      <c r="S40" s="1">
        <v>38088</v>
      </c>
      <c r="T40" s="1">
        <v>38114</v>
      </c>
      <c r="U40" t="str">
        <f t="shared" ca="1" si="5"/>
        <v>rg:True</v>
      </c>
      <c r="V40" t="str">
        <f t="shared" ca="1" si="6"/>
        <v>This equipment should be archived</v>
      </c>
      <c r="W40" t="s">
        <v>7097</v>
      </c>
      <c r="X40" t="s">
        <v>76</v>
      </c>
      <c r="Y40" t="s">
        <v>76</v>
      </c>
      <c r="Z40" t="s">
        <v>76</v>
      </c>
      <c r="AA40" t="s">
        <v>7444</v>
      </c>
      <c r="AB40" t="s">
        <v>7294</v>
      </c>
      <c r="AC40">
        <v>0</v>
      </c>
      <c r="AD40" t="str">
        <f t="shared" ca="1" si="7"/>
        <v>rg:False</v>
      </c>
      <c r="AE40" t="str">
        <f t="shared" ca="1" si="14"/>
        <v>rg:None</v>
      </c>
      <c r="AF40" s="1">
        <v>42461</v>
      </c>
      <c r="AG40" s="4">
        <f t="shared" ca="1" si="9"/>
        <v>421.33333333333331</v>
      </c>
      <c r="AH40" s="4">
        <f t="shared" si="10"/>
        <v>11.9</v>
      </c>
      <c r="AI40">
        <f t="shared" ca="1" si="11"/>
        <v>33</v>
      </c>
      <c r="AJ40">
        <f t="shared" ca="1" si="12"/>
        <v>92</v>
      </c>
      <c r="AK40">
        <f t="shared" ca="1" si="13"/>
        <v>68</v>
      </c>
      <c r="AL40" t="s">
        <v>326</v>
      </c>
      <c r="AO40" t="s">
        <v>76</v>
      </c>
      <c r="AP40" t="s">
        <v>6510</v>
      </c>
      <c r="AQ40" t="s">
        <v>6510</v>
      </c>
      <c r="AR40" t="s">
        <v>6510</v>
      </c>
      <c r="AS40" t="s">
        <v>6510</v>
      </c>
    </row>
    <row r="41" spans="1:45" x14ac:dyDescent="0.3">
      <c r="A41" t="s">
        <v>5630</v>
      </c>
      <c r="B41">
        <f t="shared" si="0"/>
        <v>200039</v>
      </c>
      <c r="C41">
        <v>200019</v>
      </c>
      <c r="D41" t="str">
        <f t="shared" si="1"/>
        <v>rg:{'id': '200019'}</v>
      </c>
      <c r="E41">
        <f>VLOOKUP(C41,Owners.csv!C:J,6,FALSE)</f>
        <v>200001</v>
      </c>
      <c r="F41" t="str">
        <f>VLOOKUP(VLOOKUP(E41,LocalAreas.csv!I:K,3,FALSE),ServiceAreas.csv!F:J,5,FALSE)</f>
        <v>200009</v>
      </c>
      <c r="G41" t="str">
        <f t="shared" si="2"/>
        <v>rg:{'id': '200001'}</v>
      </c>
      <c r="H41" t="s">
        <v>7684</v>
      </c>
      <c r="I41" t="s">
        <v>5640</v>
      </c>
      <c r="J41">
        <f>VLOOKUP(I41&amp;"-"&amp;F41,DistrictEquipmentTypes.csv!J:K,2,FALSE)</f>
        <v>200002</v>
      </c>
      <c r="K41" t="str">
        <f t="shared" si="3"/>
        <v>rg:{'id': '200002'}</v>
      </c>
      <c r="L41">
        <f t="shared" si="4"/>
        <v>3</v>
      </c>
      <c r="M41" t="str">
        <f>VLOOKUP(C41,Owners.csv!C:K,9,FALSE)&amp;TEXT(Equipment.csv!L41,"0000")</f>
        <v>COCO0003</v>
      </c>
      <c r="N41" t="s">
        <v>5401</v>
      </c>
      <c r="O41" t="s">
        <v>6709</v>
      </c>
      <c r="P41">
        <v>2010</v>
      </c>
      <c r="Q41">
        <v>51</v>
      </c>
      <c r="R41" t="s">
        <v>6663</v>
      </c>
      <c r="S41" s="1">
        <v>39936</v>
      </c>
      <c r="T41" s="1">
        <v>39964</v>
      </c>
      <c r="U41" t="str">
        <f t="shared" ca="1" si="5"/>
        <v>rg:False</v>
      </c>
      <c r="V41" t="str">
        <f t="shared" ca="1" si="6"/>
        <v>rg:None</v>
      </c>
      <c r="W41" t="s">
        <v>7107</v>
      </c>
      <c r="X41" t="s">
        <v>76</v>
      </c>
      <c r="Y41" t="s">
        <v>76</v>
      </c>
      <c r="Z41" t="s">
        <v>76</v>
      </c>
      <c r="AA41" t="s">
        <v>7454</v>
      </c>
      <c r="AB41" t="s">
        <v>7302</v>
      </c>
      <c r="AC41">
        <v>0</v>
      </c>
      <c r="AD41" t="str">
        <f t="shared" ca="1" si="7"/>
        <v>rg:False</v>
      </c>
      <c r="AE41" t="str">
        <f t="shared" ca="1" si="14"/>
        <v>rg:None</v>
      </c>
      <c r="AF41" s="1">
        <v>42480</v>
      </c>
      <c r="AG41" s="4">
        <f t="shared" ca="1" si="9"/>
        <v>315.08333333333337</v>
      </c>
      <c r="AH41" s="4">
        <f t="shared" si="10"/>
        <v>6.8361111111111112</v>
      </c>
      <c r="AI41">
        <f t="shared" ca="1" si="11"/>
        <v>65</v>
      </c>
      <c r="AJ41">
        <f t="shared" ca="1" si="12"/>
        <v>105</v>
      </c>
      <c r="AK41">
        <f t="shared" ca="1" si="13"/>
        <v>160</v>
      </c>
      <c r="AL41" t="s">
        <v>326</v>
      </c>
      <c r="AO41" t="s">
        <v>76</v>
      </c>
      <c r="AP41" t="s">
        <v>6510</v>
      </c>
      <c r="AQ41" t="s">
        <v>6510</v>
      </c>
      <c r="AR41" t="s">
        <v>6510</v>
      </c>
      <c r="AS41" t="s">
        <v>6510</v>
      </c>
    </row>
    <row r="42" spans="1:45" x14ac:dyDescent="0.3">
      <c r="A42" t="s">
        <v>5630</v>
      </c>
      <c r="B42">
        <f t="shared" si="0"/>
        <v>200040</v>
      </c>
      <c r="C42">
        <v>200019</v>
      </c>
      <c r="D42" t="str">
        <f t="shared" si="1"/>
        <v>rg:{'id': '200019'}</v>
      </c>
      <c r="E42">
        <f>VLOOKUP(C42,Owners.csv!C:J,6,FALSE)</f>
        <v>200001</v>
      </c>
      <c r="F42" t="str">
        <f>VLOOKUP(VLOOKUP(E42,LocalAreas.csv!I:K,3,FALSE),ServiceAreas.csv!F:J,5,FALSE)</f>
        <v>200009</v>
      </c>
      <c r="G42" t="str">
        <f t="shared" si="2"/>
        <v>rg:{'id': '200001'}</v>
      </c>
      <c r="H42" t="s">
        <v>7683</v>
      </c>
      <c r="I42" t="s">
        <v>5640</v>
      </c>
      <c r="J42">
        <f>VLOOKUP(I42&amp;"-"&amp;F42,DistrictEquipmentTypes.csv!J:K,2,FALSE)</f>
        <v>200002</v>
      </c>
      <c r="K42" t="str">
        <f t="shared" si="3"/>
        <v>rg:{'id': '200002'}</v>
      </c>
      <c r="L42">
        <f t="shared" si="4"/>
        <v>4</v>
      </c>
      <c r="M42" t="str">
        <f>VLOOKUP(C42,Owners.csv!C:K,9,FALSE)&amp;TEXT(Equipment.csv!L42,"0000")</f>
        <v>COCO0004</v>
      </c>
      <c r="N42" t="s">
        <v>5401</v>
      </c>
      <c r="O42" t="s">
        <v>6719</v>
      </c>
      <c r="P42">
        <v>1986</v>
      </c>
      <c r="Q42">
        <v>61</v>
      </c>
      <c r="R42" t="s">
        <v>6663</v>
      </c>
      <c r="S42" s="1">
        <v>42503</v>
      </c>
      <c r="T42" s="1">
        <v>42510</v>
      </c>
      <c r="U42" t="str">
        <f t="shared" ca="1" si="5"/>
        <v>rg:False</v>
      </c>
      <c r="V42" t="str">
        <f t="shared" ca="1" si="6"/>
        <v>rg:None</v>
      </c>
      <c r="W42" t="s">
        <v>7117</v>
      </c>
      <c r="X42" t="s">
        <v>76</v>
      </c>
      <c r="Y42" t="s">
        <v>76</v>
      </c>
      <c r="Z42" t="s">
        <v>76</v>
      </c>
      <c r="AA42" t="s">
        <v>7464</v>
      </c>
      <c r="AB42" t="s">
        <v>7256</v>
      </c>
      <c r="AC42">
        <v>0</v>
      </c>
      <c r="AD42" t="str">
        <f t="shared" ca="1" si="7"/>
        <v>rg:False</v>
      </c>
      <c r="AE42" t="str">
        <f t="shared" ca="1" si="14"/>
        <v>rg:None</v>
      </c>
      <c r="AF42" s="1">
        <v>42481</v>
      </c>
      <c r="AG42" s="4">
        <f t="shared" ca="1" si="9"/>
        <v>4.083333333333333</v>
      </c>
      <c r="AH42" s="4">
        <f t="shared" si="10"/>
        <v>0.1361111111111111</v>
      </c>
      <c r="AI42">
        <f t="shared" ca="1" si="11"/>
        <v>0</v>
      </c>
      <c r="AJ42">
        <f t="shared" ca="1" si="12"/>
        <v>0</v>
      </c>
      <c r="AK42">
        <f t="shared" ca="1" si="13"/>
        <v>0</v>
      </c>
      <c r="AL42" t="s">
        <v>326</v>
      </c>
      <c r="AO42" t="s">
        <v>76</v>
      </c>
      <c r="AP42" t="s">
        <v>6510</v>
      </c>
      <c r="AQ42" t="s">
        <v>6510</v>
      </c>
      <c r="AR42" t="s">
        <v>6510</v>
      </c>
      <c r="AS42" t="s">
        <v>6510</v>
      </c>
    </row>
    <row r="43" spans="1:45" x14ac:dyDescent="0.3">
      <c r="A43" t="s">
        <v>5630</v>
      </c>
      <c r="B43">
        <f t="shared" si="0"/>
        <v>200041</v>
      </c>
      <c r="C43">
        <v>200019</v>
      </c>
      <c r="D43" t="str">
        <f t="shared" si="1"/>
        <v>rg:{'id': '200019'}</v>
      </c>
      <c r="E43">
        <f>VLOOKUP(C43,Owners.csv!C:J,6,FALSE)</f>
        <v>200001</v>
      </c>
      <c r="F43" t="str">
        <f>VLOOKUP(VLOOKUP(E43,LocalAreas.csv!I:K,3,FALSE),ServiceAreas.csv!F:J,5,FALSE)</f>
        <v>200009</v>
      </c>
      <c r="G43" t="str">
        <f t="shared" si="2"/>
        <v>rg:{'id': '200001'}</v>
      </c>
      <c r="H43" t="s">
        <v>7699</v>
      </c>
      <c r="I43" t="s">
        <v>5651</v>
      </c>
      <c r="J43">
        <f>VLOOKUP(I43&amp;"-"&amp;F43,DistrictEquipmentTypes.csv!J:K,2,FALSE)</f>
        <v>200006</v>
      </c>
      <c r="K43" t="str">
        <f t="shared" si="3"/>
        <v>rg:{'id': '200006'}</v>
      </c>
      <c r="L43">
        <f t="shared" si="4"/>
        <v>5</v>
      </c>
      <c r="M43" t="str">
        <f>VLOOKUP(C43,Owners.csv!C:K,9,FALSE)&amp;TEXT(Equipment.csv!L43,"0000")</f>
        <v>COCO0005</v>
      </c>
      <c r="N43" t="s">
        <v>5401</v>
      </c>
      <c r="O43" t="s">
        <v>6727</v>
      </c>
      <c r="P43">
        <v>1989</v>
      </c>
      <c r="Q43">
        <v>69</v>
      </c>
      <c r="R43" t="s">
        <v>6663</v>
      </c>
      <c r="S43" s="1">
        <v>39604</v>
      </c>
      <c r="T43" s="1">
        <v>39623</v>
      </c>
      <c r="U43" t="str">
        <f t="shared" ca="1" si="5"/>
        <v>rg:False</v>
      </c>
      <c r="V43" t="str">
        <f t="shared" ca="1" si="6"/>
        <v>rg:None</v>
      </c>
      <c r="W43" t="s">
        <v>7125</v>
      </c>
      <c r="X43" t="s">
        <v>76</v>
      </c>
      <c r="Y43" t="s">
        <v>76</v>
      </c>
      <c r="Z43" t="s">
        <v>76</v>
      </c>
      <c r="AA43" t="s">
        <v>7472</v>
      </c>
      <c r="AB43" t="s">
        <v>7295</v>
      </c>
      <c r="AC43">
        <v>0</v>
      </c>
      <c r="AD43" t="str">
        <f t="shared" ca="1" si="7"/>
        <v>rg:False</v>
      </c>
      <c r="AE43" t="str">
        <f t="shared" ca="1" si="14"/>
        <v>rg:None</v>
      </c>
      <c r="AF43" s="1">
        <v>42481</v>
      </c>
      <c r="AG43" s="4">
        <f t="shared" ca="1" si="9"/>
        <v>513.83333333333337</v>
      </c>
      <c r="AH43" s="4">
        <f t="shared" si="10"/>
        <v>7.7694444444444448</v>
      </c>
      <c r="AI43">
        <f t="shared" ca="1" si="11"/>
        <v>48</v>
      </c>
      <c r="AJ43">
        <f t="shared" ca="1" si="12"/>
        <v>89</v>
      </c>
      <c r="AK43">
        <f t="shared" ca="1" si="13"/>
        <v>6</v>
      </c>
      <c r="AL43" t="s">
        <v>326</v>
      </c>
      <c r="AO43" t="s">
        <v>76</v>
      </c>
      <c r="AP43" t="s">
        <v>6510</v>
      </c>
      <c r="AQ43" t="s">
        <v>6510</v>
      </c>
      <c r="AR43" t="s">
        <v>6510</v>
      </c>
      <c r="AS43" t="s">
        <v>6510</v>
      </c>
    </row>
    <row r="44" spans="1:45" x14ac:dyDescent="0.3">
      <c r="A44" t="s">
        <v>5630</v>
      </c>
      <c r="B44">
        <f t="shared" si="0"/>
        <v>200042</v>
      </c>
      <c r="C44">
        <v>200019</v>
      </c>
      <c r="D44" t="str">
        <f t="shared" si="1"/>
        <v>rg:{'id': '200019'}</v>
      </c>
      <c r="E44">
        <f>VLOOKUP(C44,Owners.csv!C:J,6,FALSE)</f>
        <v>200001</v>
      </c>
      <c r="F44" t="str">
        <f>VLOOKUP(VLOOKUP(E44,LocalAreas.csv!I:K,3,FALSE),ServiceAreas.csv!F:J,5,FALSE)</f>
        <v>200009</v>
      </c>
      <c r="G44" t="str">
        <f t="shared" si="2"/>
        <v>rg:{'id': '200001'}</v>
      </c>
      <c r="H44" t="s">
        <v>7692</v>
      </c>
      <c r="I44" t="s">
        <v>5651</v>
      </c>
      <c r="J44">
        <f>VLOOKUP(I44&amp;"-"&amp;F44,DistrictEquipmentTypes.csv!J:K,2,FALSE)</f>
        <v>200006</v>
      </c>
      <c r="K44" t="str">
        <f t="shared" si="3"/>
        <v>rg:{'id': '200006'}</v>
      </c>
      <c r="L44">
        <f t="shared" si="4"/>
        <v>6</v>
      </c>
      <c r="M44" t="str">
        <f>VLOOKUP(C44,Owners.csv!C:K,9,FALSE)&amp;TEXT(Equipment.csv!L44,"0000")</f>
        <v>COCO0006</v>
      </c>
      <c r="N44" t="s">
        <v>5401</v>
      </c>
      <c r="O44" t="s">
        <v>6747</v>
      </c>
      <c r="P44">
        <v>2002</v>
      </c>
      <c r="Q44">
        <v>89</v>
      </c>
      <c r="R44" t="s">
        <v>6663</v>
      </c>
      <c r="S44" s="1">
        <v>40952</v>
      </c>
      <c r="T44" s="1">
        <v>40982</v>
      </c>
      <c r="U44" t="str">
        <f t="shared" ca="1" si="5"/>
        <v>rg:False</v>
      </c>
      <c r="V44" t="str">
        <f t="shared" ca="1" si="6"/>
        <v>rg:None</v>
      </c>
      <c r="W44" t="s">
        <v>7145</v>
      </c>
      <c r="X44" t="s">
        <v>76</v>
      </c>
      <c r="Y44" t="s">
        <v>76</v>
      </c>
      <c r="Z44" t="s">
        <v>76</v>
      </c>
      <c r="AA44" t="s">
        <v>7492</v>
      </c>
      <c r="AB44" t="s">
        <v>7282</v>
      </c>
      <c r="AC44">
        <v>0</v>
      </c>
      <c r="AD44" t="str">
        <f t="shared" ca="1" si="7"/>
        <v>rg:False</v>
      </c>
      <c r="AE44" t="str">
        <f t="shared" ca="1" si="14"/>
        <v>rg:None</v>
      </c>
      <c r="AF44" s="1">
        <v>42481</v>
      </c>
      <c r="AG44" s="4">
        <f t="shared" ca="1" si="9"/>
        <v>343.16666666666669</v>
      </c>
      <c r="AH44" s="4">
        <f t="shared" si="10"/>
        <v>4.0472222222222225</v>
      </c>
      <c r="AI44">
        <f t="shared" ca="1" si="11"/>
        <v>51</v>
      </c>
      <c r="AJ44">
        <f t="shared" ca="1" si="12"/>
        <v>121</v>
      </c>
      <c r="AK44">
        <f t="shared" ca="1" si="13"/>
        <v>129</v>
      </c>
      <c r="AL44" t="s">
        <v>326</v>
      </c>
      <c r="AO44" t="s">
        <v>76</v>
      </c>
      <c r="AP44" t="s">
        <v>6510</v>
      </c>
      <c r="AQ44" t="s">
        <v>6510</v>
      </c>
      <c r="AR44" t="s">
        <v>6510</v>
      </c>
      <c r="AS44" t="s">
        <v>6510</v>
      </c>
    </row>
    <row r="45" spans="1:45" x14ac:dyDescent="0.3">
      <c r="A45" t="s">
        <v>5630</v>
      </c>
      <c r="B45">
        <f t="shared" si="0"/>
        <v>200043</v>
      </c>
      <c r="C45">
        <v>200019</v>
      </c>
      <c r="D45" t="str">
        <f t="shared" si="1"/>
        <v>rg:{'id': '200019'}</v>
      </c>
      <c r="E45">
        <f>VLOOKUP(C45,Owners.csv!C:J,6,FALSE)</f>
        <v>200001</v>
      </c>
      <c r="F45" t="str">
        <f>VLOOKUP(VLOOKUP(E45,LocalAreas.csv!I:K,3,FALSE),ServiceAreas.csv!F:J,5,FALSE)</f>
        <v>200009</v>
      </c>
      <c r="G45" t="str">
        <f t="shared" si="2"/>
        <v>rg:{'id': '200001'}</v>
      </c>
      <c r="H45" t="s">
        <v>7724</v>
      </c>
      <c r="I45" t="s">
        <v>5637</v>
      </c>
      <c r="J45">
        <f>VLOOKUP(I45&amp;"-"&amp;F45,DistrictEquipmentTypes.csv!J:K,2,FALSE)</f>
        <v>200001</v>
      </c>
      <c r="K45" t="str">
        <f t="shared" si="3"/>
        <v>rg:{'id': '200001'}</v>
      </c>
      <c r="L45">
        <f t="shared" si="4"/>
        <v>7</v>
      </c>
      <c r="M45" t="str">
        <f>VLOOKUP(C45,Owners.csv!C:K,9,FALSE)&amp;TEXT(Equipment.csv!L45,"0000")</f>
        <v>COCO0007</v>
      </c>
      <c r="N45" t="s">
        <v>5401</v>
      </c>
      <c r="O45" t="s">
        <v>6767</v>
      </c>
      <c r="P45">
        <v>2011</v>
      </c>
      <c r="Q45">
        <v>109</v>
      </c>
      <c r="R45" t="s">
        <v>6663</v>
      </c>
      <c r="S45" s="1">
        <v>41784</v>
      </c>
      <c r="T45" s="1">
        <v>41813</v>
      </c>
      <c r="U45" t="str">
        <f t="shared" ca="1" si="5"/>
        <v>rg:False</v>
      </c>
      <c r="V45" t="str">
        <f t="shared" ca="1" si="6"/>
        <v>rg:None</v>
      </c>
      <c r="W45" t="s">
        <v>7165</v>
      </c>
      <c r="X45" t="s">
        <v>76</v>
      </c>
      <c r="Y45" t="s">
        <v>76</v>
      </c>
      <c r="Z45" t="s">
        <v>76</v>
      </c>
      <c r="AA45" t="s">
        <v>7512</v>
      </c>
      <c r="AB45" t="s">
        <v>7346</v>
      </c>
      <c r="AC45">
        <v>0</v>
      </c>
      <c r="AD45" t="str">
        <f t="shared" ca="1" si="7"/>
        <v>rg:False</v>
      </c>
      <c r="AE45" t="str">
        <f t="shared" ca="1" si="14"/>
        <v>rg:None</v>
      </c>
      <c r="AF45" s="1">
        <v>42481</v>
      </c>
      <c r="AG45" s="4">
        <f t="shared" ca="1" si="9"/>
        <v>106.16666666666666</v>
      </c>
      <c r="AH45" s="4">
        <f t="shared" si="10"/>
        <v>1.7722222222222221</v>
      </c>
      <c r="AI45">
        <f t="shared" ca="1" si="11"/>
        <v>159</v>
      </c>
      <c r="AJ45">
        <f t="shared" ca="1" si="12"/>
        <v>0</v>
      </c>
      <c r="AK45">
        <f t="shared" ca="1" si="13"/>
        <v>0</v>
      </c>
      <c r="AL45" t="s">
        <v>326</v>
      </c>
      <c r="AO45" t="s">
        <v>76</v>
      </c>
      <c r="AP45" t="s">
        <v>6510</v>
      </c>
      <c r="AQ45" t="s">
        <v>6510</v>
      </c>
      <c r="AR45" t="s">
        <v>6510</v>
      </c>
      <c r="AS45" t="s">
        <v>6510</v>
      </c>
    </row>
    <row r="46" spans="1:45" x14ac:dyDescent="0.3">
      <c r="A46" t="s">
        <v>5630</v>
      </c>
      <c r="B46">
        <f t="shared" si="0"/>
        <v>200044</v>
      </c>
      <c r="C46">
        <v>200019</v>
      </c>
      <c r="D46" t="str">
        <f t="shared" si="1"/>
        <v>rg:{'id': '200019'}</v>
      </c>
      <c r="E46">
        <f>VLOOKUP(C46,Owners.csv!C:J,6,FALSE)</f>
        <v>200001</v>
      </c>
      <c r="F46" t="str">
        <f>VLOOKUP(VLOOKUP(E46,LocalAreas.csv!I:K,3,FALSE),ServiceAreas.csv!F:J,5,FALSE)</f>
        <v>200009</v>
      </c>
      <c r="G46" t="str">
        <f t="shared" si="2"/>
        <v>rg:{'id': '200001'}</v>
      </c>
      <c r="H46" t="s">
        <v>7733</v>
      </c>
      <c r="I46" t="s">
        <v>5536</v>
      </c>
      <c r="J46">
        <f>VLOOKUP(I46&amp;"-"&amp;F46,DistrictEquipmentTypes.csv!J:K,2,FALSE)</f>
        <v>200000</v>
      </c>
      <c r="K46" t="str">
        <f t="shared" si="3"/>
        <v>rg:{'id': '200000'}</v>
      </c>
      <c r="L46">
        <f t="shared" si="4"/>
        <v>8</v>
      </c>
      <c r="M46" t="str">
        <f>VLOOKUP(C46,Owners.csv!C:K,9,FALSE)&amp;TEXT(Equipment.csv!L46,"0000")</f>
        <v>COCO0008</v>
      </c>
      <c r="N46" t="s">
        <v>5401</v>
      </c>
      <c r="O46" t="s">
        <v>6782</v>
      </c>
      <c r="P46">
        <v>2001</v>
      </c>
      <c r="Q46">
        <v>124</v>
      </c>
      <c r="R46" t="s">
        <v>6663</v>
      </c>
      <c r="S46" s="1">
        <v>40639</v>
      </c>
      <c r="T46" s="1">
        <v>40642</v>
      </c>
      <c r="U46" t="str">
        <f t="shared" ca="1" si="5"/>
        <v>rg:False</v>
      </c>
      <c r="V46" t="str">
        <f t="shared" ca="1" si="6"/>
        <v>rg:None</v>
      </c>
      <c r="W46" t="s">
        <v>7180</v>
      </c>
      <c r="X46" t="s">
        <v>76</v>
      </c>
      <c r="Y46" t="s">
        <v>76</v>
      </c>
      <c r="Z46" t="s">
        <v>76</v>
      </c>
      <c r="AA46" t="s">
        <v>7527</v>
      </c>
      <c r="AB46" t="s">
        <v>7359</v>
      </c>
      <c r="AC46">
        <v>0</v>
      </c>
      <c r="AD46" t="str">
        <f t="shared" ca="1" si="7"/>
        <v>rg:False</v>
      </c>
      <c r="AE46" t="str">
        <f t="shared" ca="1" si="14"/>
        <v>rg:None</v>
      </c>
      <c r="AF46" s="1">
        <v>42481</v>
      </c>
      <c r="AG46" s="4">
        <f t="shared" ca="1" si="9"/>
        <v>241.33333333333334</v>
      </c>
      <c r="AH46" s="4">
        <f t="shared" si="10"/>
        <v>4.9777777777777779</v>
      </c>
      <c r="AI46">
        <f t="shared" ca="1" si="11"/>
        <v>124</v>
      </c>
      <c r="AJ46">
        <f t="shared" ca="1" si="12"/>
        <v>132</v>
      </c>
      <c r="AK46">
        <f t="shared" ca="1" si="13"/>
        <v>20</v>
      </c>
      <c r="AL46" t="s">
        <v>326</v>
      </c>
      <c r="AO46" t="s">
        <v>76</v>
      </c>
      <c r="AP46" t="s">
        <v>6510</v>
      </c>
      <c r="AQ46" t="s">
        <v>6510</v>
      </c>
      <c r="AR46" t="s">
        <v>6510</v>
      </c>
      <c r="AS46" t="s">
        <v>6510</v>
      </c>
    </row>
    <row r="47" spans="1:45" x14ac:dyDescent="0.3">
      <c r="A47" t="s">
        <v>5630</v>
      </c>
      <c r="B47">
        <f t="shared" si="0"/>
        <v>200045</v>
      </c>
      <c r="C47">
        <v>200020</v>
      </c>
      <c r="D47" t="str">
        <f t="shared" si="1"/>
        <v>rg:{'id': '200020'}</v>
      </c>
      <c r="E47">
        <f>VLOOKUP(C47,Owners.csv!C:J,6,FALSE)</f>
        <v>200001</v>
      </c>
      <c r="F47" t="str">
        <f>VLOOKUP(VLOOKUP(E47,LocalAreas.csv!I:K,3,FALSE),ServiceAreas.csv!F:J,5,FALSE)</f>
        <v>200009</v>
      </c>
      <c r="G47" t="str">
        <f t="shared" si="2"/>
        <v>rg:{'id': '200001'}</v>
      </c>
      <c r="H47" t="s">
        <v>7673</v>
      </c>
      <c r="I47" t="s">
        <v>5642</v>
      </c>
      <c r="J47">
        <f>VLOOKUP(I47&amp;"-"&amp;F47,DistrictEquipmentTypes.csv!J:K,2,FALSE)</f>
        <v>200004</v>
      </c>
      <c r="K47" t="str">
        <f t="shared" si="3"/>
        <v>rg:{'id': '200004'}</v>
      </c>
      <c r="L47">
        <f t="shared" si="4"/>
        <v>1</v>
      </c>
      <c r="M47" t="str">
        <f>VLOOKUP(C47,Owners.csv!C:K,9,FALSE)&amp;TEXT(Equipment.csv!L47,"0000")</f>
        <v>DAVE0001</v>
      </c>
      <c r="N47" t="s">
        <v>5401</v>
      </c>
      <c r="O47" t="s">
        <v>6690</v>
      </c>
      <c r="P47">
        <v>2012</v>
      </c>
      <c r="Q47">
        <v>32</v>
      </c>
      <c r="R47" t="s">
        <v>6663</v>
      </c>
      <c r="S47" s="1">
        <v>39561</v>
      </c>
      <c r="T47" s="1">
        <v>39585</v>
      </c>
      <c r="U47" t="str">
        <f t="shared" ca="1" si="5"/>
        <v>rg:False</v>
      </c>
      <c r="V47" t="str">
        <f t="shared" ca="1" si="6"/>
        <v>rg:None</v>
      </c>
      <c r="W47" t="s">
        <v>7088</v>
      </c>
      <c r="X47" t="s">
        <v>76</v>
      </c>
      <c r="Y47" t="s">
        <v>76</v>
      </c>
      <c r="Z47" t="s">
        <v>76</v>
      </c>
      <c r="AA47" t="s">
        <v>7435</v>
      </c>
      <c r="AB47" t="s">
        <v>7285</v>
      </c>
      <c r="AC47">
        <v>0</v>
      </c>
      <c r="AD47" t="str">
        <f t="shared" ca="1" si="7"/>
        <v>rg:False</v>
      </c>
      <c r="AE47" t="str">
        <f t="shared" ca="1" si="14"/>
        <v>rg:None</v>
      </c>
      <c r="AF47" s="1">
        <v>42480</v>
      </c>
      <c r="AG47" s="4">
        <f t="shared" ca="1" si="9"/>
        <v>372.83333333333331</v>
      </c>
      <c r="AH47" s="4">
        <f t="shared" si="10"/>
        <v>7.8722222222222218</v>
      </c>
      <c r="AI47">
        <f t="shared" ca="1" si="11"/>
        <v>119</v>
      </c>
      <c r="AJ47">
        <f t="shared" ca="1" si="12"/>
        <v>101</v>
      </c>
      <c r="AK47">
        <f t="shared" ca="1" si="13"/>
        <v>190</v>
      </c>
      <c r="AL47" t="s">
        <v>326</v>
      </c>
      <c r="AO47" t="s">
        <v>76</v>
      </c>
      <c r="AP47" t="s">
        <v>6510</v>
      </c>
      <c r="AQ47" t="s">
        <v>6510</v>
      </c>
      <c r="AR47" t="s">
        <v>6510</v>
      </c>
      <c r="AS47" t="s">
        <v>6510</v>
      </c>
    </row>
    <row r="48" spans="1:45" x14ac:dyDescent="0.3">
      <c r="A48" t="s">
        <v>5630</v>
      </c>
      <c r="B48">
        <f t="shared" si="0"/>
        <v>200046</v>
      </c>
      <c r="C48">
        <v>200020</v>
      </c>
      <c r="D48" t="str">
        <f t="shared" si="1"/>
        <v>rg:{'id': '200020'}</v>
      </c>
      <c r="E48">
        <f>VLOOKUP(C48,Owners.csv!C:J,6,FALSE)</f>
        <v>200001</v>
      </c>
      <c r="F48" t="str">
        <f>VLOOKUP(VLOOKUP(E48,LocalAreas.csv!I:K,3,FALSE),ServiceAreas.csv!F:J,5,FALSE)</f>
        <v>200009</v>
      </c>
      <c r="G48" t="str">
        <f t="shared" si="2"/>
        <v>rg:{'id': '200001'}</v>
      </c>
      <c r="H48" t="s">
        <v>7678</v>
      </c>
      <c r="I48" t="s">
        <v>5642</v>
      </c>
      <c r="J48">
        <f>VLOOKUP(I48&amp;"-"&amp;F48,DistrictEquipmentTypes.csv!J:K,2,FALSE)</f>
        <v>200004</v>
      </c>
      <c r="K48" t="str">
        <f t="shared" si="3"/>
        <v>rg:{'id': '200004'}</v>
      </c>
      <c r="L48">
        <f t="shared" si="4"/>
        <v>2</v>
      </c>
      <c r="M48" t="str">
        <f>VLOOKUP(C48,Owners.csv!C:K,9,FALSE)&amp;TEXT(Equipment.csv!L48,"0000")</f>
        <v>DAVE0002</v>
      </c>
      <c r="N48" t="s">
        <v>5401</v>
      </c>
      <c r="O48" t="s">
        <v>6700</v>
      </c>
      <c r="P48">
        <v>1996</v>
      </c>
      <c r="Q48">
        <v>42</v>
      </c>
      <c r="R48" t="s">
        <v>6663</v>
      </c>
      <c r="S48" s="1">
        <v>41700</v>
      </c>
      <c r="T48" s="1">
        <v>41716</v>
      </c>
      <c r="U48" t="str">
        <f t="shared" ca="1" si="5"/>
        <v>rg:True</v>
      </c>
      <c r="V48" t="str">
        <f t="shared" ca="1" si="6"/>
        <v>This equipment should be archived</v>
      </c>
      <c r="W48" t="s">
        <v>7098</v>
      </c>
      <c r="X48" t="s">
        <v>76</v>
      </c>
      <c r="Y48" t="s">
        <v>76</v>
      </c>
      <c r="Z48" t="s">
        <v>76</v>
      </c>
      <c r="AA48" t="s">
        <v>7445</v>
      </c>
      <c r="AB48" t="s">
        <v>7295</v>
      </c>
      <c r="AC48">
        <v>0</v>
      </c>
      <c r="AD48" t="str">
        <f t="shared" ca="1" si="7"/>
        <v>rg:False</v>
      </c>
      <c r="AE48" t="str">
        <f t="shared" ca="1" si="14"/>
        <v>rg:None</v>
      </c>
      <c r="AF48" s="1">
        <v>42480</v>
      </c>
      <c r="AG48" s="4">
        <f t="shared" ca="1" si="9"/>
        <v>89.75</v>
      </c>
      <c r="AH48" s="4">
        <f t="shared" si="10"/>
        <v>2.036111111111111</v>
      </c>
      <c r="AI48">
        <f t="shared" ca="1" si="11"/>
        <v>67</v>
      </c>
      <c r="AJ48">
        <f t="shared" ca="1" si="12"/>
        <v>19</v>
      </c>
      <c r="AK48">
        <f t="shared" ca="1" si="13"/>
        <v>0</v>
      </c>
      <c r="AL48" t="s">
        <v>326</v>
      </c>
      <c r="AO48" t="s">
        <v>76</v>
      </c>
      <c r="AP48" t="s">
        <v>6510</v>
      </c>
      <c r="AQ48" t="s">
        <v>6510</v>
      </c>
      <c r="AR48" t="s">
        <v>6510</v>
      </c>
      <c r="AS48" t="s">
        <v>6510</v>
      </c>
    </row>
    <row r="49" spans="1:45" x14ac:dyDescent="0.3">
      <c r="A49" t="s">
        <v>5630</v>
      </c>
      <c r="B49">
        <f t="shared" si="0"/>
        <v>200047</v>
      </c>
      <c r="C49">
        <v>200020</v>
      </c>
      <c r="D49" t="str">
        <f t="shared" si="1"/>
        <v>rg:{'id': '200020'}</v>
      </c>
      <c r="E49">
        <f>VLOOKUP(C49,Owners.csv!C:J,6,FALSE)</f>
        <v>200001</v>
      </c>
      <c r="F49" t="str">
        <f>VLOOKUP(VLOOKUP(E49,LocalAreas.csv!I:K,3,FALSE),ServiceAreas.csv!F:J,5,FALSE)</f>
        <v>200009</v>
      </c>
      <c r="G49" t="str">
        <f t="shared" si="2"/>
        <v>rg:{'id': '200001'}</v>
      </c>
      <c r="H49" t="s">
        <v>7685</v>
      </c>
      <c r="I49" t="s">
        <v>5640</v>
      </c>
      <c r="J49">
        <f>VLOOKUP(I49&amp;"-"&amp;F49,DistrictEquipmentTypes.csv!J:K,2,FALSE)</f>
        <v>200002</v>
      </c>
      <c r="K49" t="str">
        <f t="shared" si="3"/>
        <v>rg:{'id': '200002'}</v>
      </c>
      <c r="L49">
        <f t="shared" si="4"/>
        <v>3</v>
      </c>
      <c r="M49" t="str">
        <f>VLOOKUP(C49,Owners.csv!C:K,9,FALSE)&amp;TEXT(Equipment.csv!L49,"0000")</f>
        <v>DAVE0003</v>
      </c>
      <c r="N49" t="s">
        <v>5401</v>
      </c>
      <c r="O49" t="s">
        <v>6710</v>
      </c>
      <c r="P49">
        <v>1987</v>
      </c>
      <c r="Q49">
        <v>52</v>
      </c>
      <c r="R49" t="s">
        <v>6663</v>
      </c>
      <c r="S49" s="1">
        <v>42566</v>
      </c>
      <c r="T49" s="1">
        <v>42591</v>
      </c>
      <c r="U49" t="str">
        <f t="shared" ca="1" si="5"/>
        <v>rg:True</v>
      </c>
      <c r="V49" t="str">
        <f t="shared" ca="1" si="6"/>
        <v>This equipment should be archived</v>
      </c>
      <c r="W49" t="s">
        <v>7108</v>
      </c>
      <c r="X49" t="s">
        <v>76</v>
      </c>
      <c r="Y49" t="s">
        <v>76</v>
      </c>
      <c r="Z49" t="s">
        <v>76</v>
      </c>
      <c r="AA49" t="s">
        <v>7455</v>
      </c>
      <c r="AB49" t="s">
        <v>7303</v>
      </c>
      <c r="AC49">
        <v>0</v>
      </c>
      <c r="AD49" t="str">
        <f t="shared" ca="1" si="7"/>
        <v>rg:False</v>
      </c>
      <c r="AE49" t="str">
        <f t="shared" ca="1" si="14"/>
        <v>rg:None</v>
      </c>
      <c r="AF49" s="1">
        <v>42481</v>
      </c>
      <c r="AG49" s="4">
        <f t="shared" ca="1" si="9"/>
        <v>10.666666666666668</v>
      </c>
      <c r="AH49" s="4">
        <f t="shared" si="10"/>
        <v>0.35555555555555557</v>
      </c>
      <c r="AI49">
        <f t="shared" ca="1" si="11"/>
        <v>0</v>
      </c>
      <c r="AJ49">
        <f t="shared" ca="1" si="12"/>
        <v>0</v>
      </c>
      <c r="AK49">
        <f t="shared" ca="1" si="13"/>
        <v>0</v>
      </c>
      <c r="AL49" t="s">
        <v>326</v>
      </c>
      <c r="AO49" t="s">
        <v>76</v>
      </c>
      <c r="AP49" t="s">
        <v>6510</v>
      </c>
      <c r="AQ49" t="s">
        <v>6510</v>
      </c>
      <c r="AR49" t="s">
        <v>6510</v>
      </c>
      <c r="AS49" t="s">
        <v>6510</v>
      </c>
    </row>
    <row r="50" spans="1:45" x14ac:dyDescent="0.3">
      <c r="A50" t="s">
        <v>5630</v>
      </c>
      <c r="B50">
        <f t="shared" si="0"/>
        <v>200048</v>
      </c>
      <c r="C50">
        <v>200020</v>
      </c>
      <c r="D50" t="str">
        <f t="shared" si="1"/>
        <v>rg:{'id': '200020'}</v>
      </c>
      <c r="E50">
        <f>VLOOKUP(C50,Owners.csv!C:J,6,FALSE)</f>
        <v>200001</v>
      </c>
      <c r="F50" t="str">
        <f>VLOOKUP(VLOOKUP(E50,LocalAreas.csv!I:K,3,FALSE),ServiceAreas.csv!F:J,5,FALSE)</f>
        <v>200009</v>
      </c>
      <c r="G50" t="str">
        <f t="shared" si="2"/>
        <v>rg:{'id': '200001'}</v>
      </c>
      <c r="H50" t="s">
        <v>7660</v>
      </c>
      <c r="I50" t="s">
        <v>5640</v>
      </c>
      <c r="J50">
        <f>VLOOKUP(I50&amp;"-"&amp;F50,DistrictEquipmentTypes.csv!J:K,2,FALSE)</f>
        <v>200002</v>
      </c>
      <c r="K50" t="str">
        <f t="shared" si="3"/>
        <v>rg:{'id': '200002'}</v>
      </c>
      <c r="L50">
        <f t="shared" si="4"/>
        <v>4</v>
      </c>
      <c r="M50" t="str">
        <f>VLOOKUP(C50,Owners.csv!C:K,9,FALSE)&amp;TEXT(Equipment.csv!L50,"0000")</f>
        <v>DAVE0004</v>
      </c>
      <c r="N50" t="s">
        <v>5401</v>
      </c>
      <c r="O50" t="s">
        <v>6720</v>
      </c>
      <c r="P50">
        <v>1999</v>
      </c>
      <c r="Q50">
        <v>62</v>
      </c>
      <c r="R50" t="s">
        <v>6663</v>
      </c>
      <c r="S50" s="1">
        <v>40584</v>
      </c>
      <c r="T50" s="1">
        <v>40591</v>
      </c>
      <c r="U50" t="str">
        <f t="shared" ca="1" si="5"/>
        <v>rg:True</v>
      </c>
      <c r="V50" t="str">
        <f t="shared" ca="1" si="6"/>
        <v>This equipment should be archived</v>
      </c>
      <c r="W50" t="s">
        <v>7118</v>
      </c>
      <c r="X50" t="s">
        <v>76</v>
      </c>
      <c r="Y50" t="s">
        <v>76</v>
      </c>
      <c r="Z50" t="s">
        <v>76</v>
      </c>
      <c r="AA50" t="s">
        <v>7465</v>
      </c>
      <c r="AB50" t="s">
        <v>7311</v>
      </c>
      <c r="AC50">
        <v>0</v>
      </c>
      <c r="AD50" t="str">
        <f t="shared" ca="1" si="7"/>
        <v>rg:False</v>
      </c>
      <c r="AE50" t="str">
        <f t="shared" ca="1" si="14"/>
        <v>rg:None</v>
      </c>
      <c r="AF50" s="1">
        <v>42481</v>
      </c>
      <c r="AG50" s="4">
        <f t="shared" ca="1" si="9"/>
        <v>273.66666666666663</v>
      </c>
      <c r="AH50" s="4">
        <f t="shared" si="10"/>
        <v>5.1222222222222218</v>
      </c>
      <c r="AI50">
        <f t="shared" ca="1" si="11"/>
        <v>105</v>
      </c>
      <c r="AJ50">
        <f t="shared" ca="1" si="12"/>
        <v>58</v>
      </c>
      <c r="AK50">
        <f t="shared" ca="1" si="13"/>
        <v>197</v>
      </c>
      <c r="AL50" t="s">
        <v>326</v>
      </c>
      <c r="AO50" t="s">
        <v>76</v>
      </c>
      <c r="AP50" t="s">
        <v>6510</v>
      </c>
      <c r="AQ50" t="s">
        <v>6510</v>
      </c>
      <c r="AR50" t="s">
        <v>6510</v>
      </c>
      <c r="AS50" t="s">
        <v>6510</v>
      </c>
    </row>
    <row r="51" spans="1:45" x14ac:dyDescent="0.3">
      <c r="A51" t="s">
        <v>5630</v>
      </c>
      <c r="B51">
        <f t="shared" si="0"/>
        <v>200049</v>
      </c>
      <c r="C51">
        <v>200020</v>
      </c>
      <c r="D51" t="str">
        <f t="shared" si="1"/>
        <v>rg:{'id': '200020'}</v>
      </c>
      <c r="E51">
        <f>VLOOKUP(C51,Owners.csv!C:J,6,FALSE)</f>
        <v>200001</v>
      </c>
      <c r="F51" t="str">
        <f>VLOOKUP(VLOOKUP(E51,LocalAreas.csv!I:K,3,FALSE),ServiceAreas.csv!F:J,5,FALSE)</f>
        <v>200009</v>
      </c>
      <c r="G51" t="str">
        <f t="shared" si="2"/>
        <v>rg:{'id': '200001'}</v>
      </c>
      <c r="H51" t="s">
        <v>7700</v>
      </c>
      <c r="I51" t="s">
        <v>5651</v>
      </c>
      <c r="J51">
        <f>VLOOKUP(I51&amp;"-"&amp;F51,DistrictEquipmentTypes.csv!J:K,2,FALSE)</f>
        <v>200006</v>
      </c>
      <c r="K51" t="str">
        <f t="shared" si="3"/>
        <v>rg:{'id': '200006'}</v>
      </c>
      <c r="L51">
        <f t="shared" si="4"/>
        <v>5</v>
      </c>
      <c r="M51" t="str">
        <f>VLOOKUP(C51,Owners.csv!C:K,9,FALSE)&amp;TEXT(Equipment.csv!L51,"0000")</f>
        <v>DAVE0005</v>
      </c>
      <c r="N51" t="s">
        <v>5401</v>
      </c>
      <c r="O51" t="s">
        <v>6728</v>
      </c>
      <c r="P51">
        <v>2016</v>
      </c>
      <c r="Q51">
        <v>70</v>
      </c>
      <c r="R51" t="s">
        <v>6663</v>
      </c>
      <c r="S51" s="1">
        <v>38802</v>
      </c>
      <c r="T51" s="1">
        <v>38826</v>
      </c>
      <c r="U51" t="str">
        <f t="shared" ca="1" si="5"/>
        <v>rg:False</v>
      </c>
      <c r="V51" t="str">
        <f t="shared" ca="1" si="6"/>
        <v>rg:None</v>
      </c>
      <c r="W51" t="s">
        <v>7126</v>
      </c>
      <c r="X51" t="s">
        <v>76</v>
      </c>
      <c r="Y51" t="s">
        <v>76</v>
      </c>
      <c r="Z51" t="s">
        <v>76</v>
      </c>
      <c r="AA51" t="s">
        <v>7473</v>
      </c>
      <c r="AB51" t="s">
        <v>7257</v>
      </c>
      <c r="AC51">
        <v>0</v>
      </c>
      <c r="AD51" t="str">
        <f t="shared" ca="1" si="7"/>
        <v>rg:False</v>
      </c>
      <c r="AE51" t="str">
        <f t="shared" ca="1" si="14"/>
        <v>rg:None</v>
      </c>
      <c r="AF51" s="1">
        <v>42481</v>
      </c>
      <c r="AG51" s="4">
        <f t="shared" ca="1" si="9"/>
        <v>729</v>
      </c>
      <c r="AH51" s="4">
        <f t="shared" si="10"/>
        <v>9.9499999999999993</v>
      </c>
      <c r="AI51">
        <f t="shared" ca="1" si="11"/>
        <v>117</v>
      </c>
      <c r="AJ51">
        <f t="shared" ca="1" si="12"/>
        <v>170</v>
      </c>
      <c r="AK51">
        <f t="shared" ca="1" si="13"/>
        <v>109</v>
      </c>
      <c r="AL51" t="s">
        <v>326</v>
      </c>
      <c r="AO51" t="s">
        <v>76</v>
      </c>
      <c r="AP51" t="s">
        <v>6510</v>
      </c>
      <c r="AQ51" t="s">
        <v>6510</v>
      </c>
      <c r="AR51" t="s">
        <v>6510</v>
      </c>
      <c r="AS51" t="s">
        <v>6510</v>
      </c>
    </row>
    <row r="52" spans="1:45" x14ac:dyDescent="0.3">
      <c r="A52" t="s">
        <v>5630</v>
      </c>
      <c r="B52">
        <f t="shared" si="0"/>
        <v>200050</v>
      </c>
      <c r="C52">
        <v>200020</v>
      </c>
      <c r="D52" t="str">
        <f t="shared" si="1"/>
        <v>rg:{'id': '200020'}</v>
      </c>
      <c r="E52">
        <f>VLOOKUP(C52,Owners.csv!C:J,6,FALSE)</f>
        <v>200001</v>
      </c>
      <c r="F52" t="str">
        <f>VLOOKUP(VLOOKUP(E52,LocalAreas.csv!I:K,3,FALSE),ServiceAreas.csv!F:J,5,FALSE)</f>
        <v>200009</v>
      </c>
      <c r="G52" t="str">
        <f t="shared" si="2"/>
        <v>rg:{'id': '200001'}</v>
      </c>
      <c r="H52" t="s">
        <v>7713</v>
      </c>
      <c r="I52" t="s">
        <v>5651</v>
      </c>
      <c r="J52">
        <f>VLOOKUP(I52&amp;"-"&amp;F52,DistrictEquipmentTypes.csv!J:K,2,FALSE)</f>
        <v>200006</v>
      </c>
      <c r="K52" t="str">
        <f t="shared" si="3"/>
        <v>rg:{'id': '200006'}</v>
      </c>
      <c r="L52">
        <f t="shared" si="4"/>
        <v>6</v>
      </c>
      <c r="M52" t="str">
        <f>VLOOKUP(C52,Owners.csv!C:K,9,FALSE)&amp;TEXT(Equipment.csv!L52,"0000")</f>
        <v>DAVE0006</v>
      </c>
      <c r="N52" t="s">
        <v>5401</v>
      </c>
      <c r="O52" t="s">
        <v>6748</v>
      </c>
      <c r="P52">
        <v>1991</v>
      </c>
      <c r="Q52">
        <v>90</v>
      </c>
      <c r="R52" t="s">
        <v>6663</v>
      </c>
      <c r="S52" s="1">
        <v>40280</v>
      </c>
      <c r="T52" s="1">
        <v>40283</v>
      </c>
      <c r="U52" t="str">
        <f t="shared" ca="1" si="5"/>
        <v>rg:False</v>
      </c>
      <c r="V52" t="str">
        <f t="shared" ca="1" si="6"/>
        <v>rg:None</v>
      </c>
      <c r="W52" t="s">
        <v>7146</v>
      </c>
      <c r="X52" t="s">
        <v>76</v>
      </c>
      <c r="Y52" t="s">
        <v>76</v>
      </c>
      <c r="Z52" t="s">
        <v>76</v>
      </c>
      <c r="AA52" t="s">
        <v>7493</v>
      </c>
      <c r="AB52" t="s">
        <v>7333</v>
      </c>
      <c r="AC52">
        <v>0</v>
      </c>
      <c r="AD52" t="str">
        <f t="shared" ca="1" si="7"/>
        <v>rg:False</v>
      </c>
      <c r="AE52" t="str">
        <f t="shared" ca="1" si="14"/>
        <v>rg:None</v>
      </c>
      <c r="AF52" s="1">
        <v>42481</v>
      </c>
      <c r="AG52" s="4">
        <f t="shared" ca="1" si="9"/>
        <v>419.66666666666669</v>
      </c>
      <c r="AH52" s="4">
        <f t="shared" si="10"/>
        <v>5.9611111111111112</v>
      </c>
      <c r="AI52">
        <f t="shared" ca="1" si="11"/>
        <v>53</v>
      </c>
      <c r="AJ52">
        <f t="shared" ca="1" si="12"/>
        <v>2</v>
      </c>
      <c r="AK52">
        <f t="shared" ca="1" si="13"/>
        <v>131</v>
      </c>
      <c r="AL52" t="s">
        <v>326</v>
      </c>
      <c r="AO52" t="s">
        <v>76</v>
      </c>
      <c r="AP52" t="s">
        <v>6510</v>
      </c>
      <c r="AQ52" t="s">
        <v>6510</v>
      </c>
      <c r="AR52" t="s">
        <v>6510</v>
      </c>
      <c r="AS52" t="s">
        <v>6510</v>
      </c>
    </row>
    <row r="53" spans="1:45" x14ac:dyDescent="0.3">
      <c r="A53" t="s">
        <v>5630</v>
      </c>
      <c r="B53">
        <f t="shared" si="0"/>
        <v>200051</v>
      </c>
      <c r="C53">
        <v>200020</v>
      </c>
      <c r="D53" t="str">
        <f t="shared" si="1"/>
        <v>rg:{'id': '200020'}</v>
      </c>
      <c r="E53">
        <f>VLOOKUP(C53,Owners.csv!C:J,6,FALSE)</f>
        <v>200001</v>
      </c>
      <c r="F53" t="str">
        <f>VLOOKUP(VLOOKUP(E53,LocalAreas.csv!I:K,3,FALSE),ServiceAreas.csv!F:J,5,FALSE)</f>
        <v>200009</v>
      </c>
      <c r="G53" t="str">
        <f t="shared" si="2"/>
        <v>rg:{'id': '200001'}</v>
      </c>
      <c r="H53" t="s">
        <v>7725</v>
      </c>
      <c r="I53" t="s">
        <v>5637</v>
      </c>
      <c r="J53">
        <f>VLOOKUP(I53&amp;"-"&amp;F53,DistrictEquipmentTypes.csv!J:K,2,FALSE)</f>
        <v>200001</v>
      </c>
      <c r="K53" t="str">
        <f t="shared" si="3"/>
        <v>rg:{'id': '200001'}</v>
      </c>
      <c r="L53">
        <f t="shared" si="4"/>
        <v>7</v>
      </c>
      <c r="M53" t="str">
        <f>VLOOKUP(C53,Owners.csv!C:K,9,FALSE)&amp;TEXT(Equipment.csv!L53,"0000")</f>
        <v>DAVE0007</v>
      </c>
      <c r="N53" t="s">
        <v>5401</v>
      </c>
      <c r="O53" t="s">
        <v>6768</v>
      </c>
      <c r="P53">
        <v>1979</v>
      </c>
      <c r="Q53">
        <v>110</v>
      </c>
      <c r="R53" t="s">
        <v>6663</v>
      </c>
      <c r="S53" s="1">
        <v>41476</v>
      </c>
      <c r="T53" s="1">
        <v>41481</v>
      </c>
      <c r="U53" t="str">
        <f t="shared" ca="1" si="5"/>
        <v>rg:False</v>
      </c>
      <c r="V53" t="str">
        <f t="shared" ca="1" si="6"/>
        <v>rg:None</v>
      </c>
      <c r="W53" t="s">
        <v>7166</v>
      </c>
      <c r="X53" t="s">
        <v>76</v>
      </c>
      <c r="Y53" t="s">
        <v>76</v>
      </c>
      <c r="Z53" t="s">
        <v>76</v>
      </c>
      <c r="AA53" t="s">
        <v>7513</v>
      </c>
      <c r="AB53" t="s">
        <v>7347</v>
      </c>
      <c r="AC53">
        <v>0</v>
      </c>
      <c r="AD53" t="str">
        <f t="shared" ca="1" si="7"/>
        <v>rg:False</v>
      </c>
      <c r="AE53" t="str">
        <f t="shared" ca="1" si="14"/>
        <v>rg:None</v>
      </c>
      <c r="AF53" s="1">
        <v>42481</v>
      </c>
      <c r="AG53" s="4">
        <f t="shared" ca="1" si="9"/>
        <v>161.41666666666666</v>
      </c>
      <c r="AH53" s="4">
        <f t="shared" si="10"/>
        <v>2.6805555555555554</v>
      </c>
      <c r="AI53">
        <f t="shared" ca="1" si="11"/>
        <v>162</v>
      </c>
      <c r="AJ53">
        <f t="shared" ca="1" si="12"/>
        <v>81</v>
      </c>
      <c r="AK53">
        <f t="shared" ca="1" si="13"/>
        <v>0</v>
      </c>
      <c r="AL53" t="s">
        <v>326</v>
      </c>
      <c r="AO53" t="s">
        <v>76</v>
      </c>
      <c r="AP53" t="s">
        <v>6510</v>
      </c>
      <c r="AQ53" t="s">
        <v>6510</v>
      </c>
      <c r="AR53" t="s">
        <v>6510</v>
      </c>
      <c r="AS53" t="s">
        <v>6510</v>
      </c>
    </row>
    <row r="54" spans="1:45" x14ac:dyDescent="0.3">
      <c r="A54" t="s">
        <v>5630</v>
      </c>
      <c r="B54">
        <f t="shared" si="0"/>
        <v>200052</v>
      </c>
      <c r="C54">
        <v>200020</v>
      </c>
      <c r="D54" t="str">
        <f t="shared" si="1"/>
        <v>rg:{'id': '200020'}</v>
      </c>
      <c r="E54">
        <f>VLOOKUP(C54,Owners.csv!C:J,6,FALSE)</f>
        <v>200001</v>
      </c>
      <c r="F54" t="str">
        <f>VLOOKUP(VLOOKUP(E54,LocalAreas.csv!I:K,3,FALSE),ServiceAreas.csv!F:J,5,FALSE)</f>
        <v>200009</v>
      </c>
      <c r="G54" t="str">
        <f t="shared" si="2"/>
        <v>rg:{'id': '200001'}</v>
      </c>
      <c r="H54" t="s">
        <v>7734</v>
      </c>
      <c r="I54" t="s">
        <v>5536</v>
      </c>
      <c r="J54">
        <f>VLOOKUP(I54&amp;"-"&amp;F54,DistrictEquipmentTypes.csv!J:K,2,FALSE)</f>
        <v>200000</v>
      </c>
      <c r="K54" t="str">
        <f t="shared" si="3"/>
        <v>rg:{'id': '200000'}</v>
      </c>
      <c r="L54">
        <f t="shared" si="4"/>
        <v>8</v>
      </c>
      <c r="M54" t="str">
        <f>VLOOKUP(C54,Owners.csv!C:K,9,FALSE)&amp;TEXT(Equipment.csv!L54,"0000")</f>
        <v>DAVE0008</v>
      </c>
      <c r="N54" t="s">
        <v>5401</v>
      </c>
      <c r="O54" t="s">
        <v>6783</v>
      </c>
      <c r="P54">
        <v>1997</v>
      </c>
      <c r="Q54">
        <v>125</v>
      </c>
      <c r="R54" t="s">
        <v>6663</v>
      </c>
      <c r="S54" s="1">
        <v>40763</v>
      </c>
      <c r="T54" s="1">
        <v>40782</v>
      </c>
      <c r="U54" t="str">
        <f t="shared" ca="1" si="5"/>
        <v>rg:False</v>
      </c>
      <c r="V54" t="str">
        <f t="shared" ca="1" si="6"/>
        <v>rg:None</v>
      </c>
      <c r="W54" t="s">
        <v>7181</v>
      </c>
      <c r="X54" t="s">
        <v>76</v>
      </c>
      <c r="Y54" t="s">
        <v>76</v>
      </c>
      <c r="Z54" t="s">
        <v>76</v>
      </c>
      <c r="AA54" t="s">
        <v>7528</v>
      </c>
      <c r="AB54" t="s">
        <v>7327</v>
      </c>
      <c r="AC54">
        <v>0</v>
      </c>
      <c r="AD54" t="str">
        <f t="shared" ca="1" si="7"/>
        <v>rg:False</v>
      </c>
      <c r="AE54" t="str">
        <f t="shared" ca="1" si="14"/>
        <v>rg:None</v>
      </c>
      <c r="AF54" s="1">
        <v>42481</v>
      </c>
      <c r="AG54" s="4">
        <f t="shared" ca="1" si="9"/>
        <v>271.5</v>
      </c>
      <c r="AH54" s="4">
        <f t="shared" si="10"/>
        <v>4.5944444444444441</v>
      </c>
      <c r="AI54">
        <f t="shared" ca="1" si="11"/>
        <v>170</v>
      </c>
      <c r="AJ54">
        <f t="shared" ca="1" si="12"/>
        <v>42</v>
      </c>
      <c r="AK54">
        <f t="shared" ca="1" si="13"/>
        <v>189</v>
      </c>
      <c r="AL54" t="s">
        <v>326</v>
      </c>
      <c r="AO54" t="s">
        <v>76</v>
      </c>
      <c r="AP54" t="s">
        <v>6510</v>
      </c>
      <c r="AQ54" t="s">
        <v>6510</v>
      </c>
      <c r="AR54" t="s">
        <v>6510</v>
      </c>
      <c r="AS54" t="s">
        <v>6510</v>
      </c>
    </row>
    <row r="55" spans="1:45" x14ac:dyDescent="0.3">
      <c r="A55" t="s">
        <v>5630</v>
      </c>
      <c r="B55">
        <f t="shared" si="0"/>
        <v>200053</v>
      </c>
      <c r="C55">
        <v>200021</v>
      </c>
      <c r="D55" t="str">
        <f t="shared" si="1"/>
        <v>rg:{'id': '200021'}</v>
      </c>
      <c r="E55">
        <f>VLOOKUP(C55,Owners.csv!C:J,6,FALSE)</f>
        <v>200001</v>
      </c>
      <c r="F55" t="str">
        <f>VLOOKUP(VLOOKUP(E55,LocalAreas.csv!I:K,3,FALSE),ServiceAreas.csv!F:J,5,FALSE)</f>
        <v>200009</v>
      </c>
      <c r="G55" t="str">
        <f t="shared" si="2"/>
        <v>rg:{'id': '200001'}</v>
      </c>
      <c r="H55" t="s">
        <v>7269</v>
      </c>
      <c r="I55" t="s">
        <v>5642</v>
      </c>
      <c r="J55">
        <f>VLOOKUP(I55&amp;"-"&amp;F55,DistrictEquipmentTypes.csv!J:K,2,FALSE)</f>
        <v>200004</v>
      </c>
      <c r="K55" t="str">
        <f t="shared" si="3"/>
        <v>rg:{'id': '200004'}</v>
      </c>
      <c r="L55">
        <f t="shared" si="4"/>
        <v>1</v>
      </c>
      <c r="M55" t="str">
        <f>VLOOKUP(C55,Owners.csv!C:K,9,FALSE)&amp;TEXT(Equipment.csv!L55,"0000")</f>
        <v>DESM0001</v>
      </c>
      <c r="N55" t="s">
        <v>5401</v>
      </c>
      <c r="O55" t="s">
        <v>6691</v>
      </c>
      <c r="P55">
        <v>1976</v>
      </c>
      <c r="Q55">
        <v>33</v>
      </c>
      <c r="R55" t="s">
        <v>6663</v>
      </c>
      <c r="S55" s="1">
        <v>40328</v>
      </c>
      <c r="T55" s="1">
        <v>40359</v>
      </c>
      <c r="U55" t="str">
        <f t="shared" ca="1" si="5"/>
        <v>rg:False</v>
      </c>
      <c r="V55" t="str">
        <f t="shared" ca="1" si="6"/>
        <v>rg:None</v>
      </c>
      <c r="W55" t="s">
        <v>7089</v>
      </c>
      <c r="X55" t="s">
        <v>76</v>
      </c>
      <c r="Y55" t="s">
        <v>76</v>
      </c>
      <c r="Z55" t="s">
        <v>76</v>
      </c>
      <c r="AA55" t="s">
        <v>7436</v>
      </c>
      <c r="AB55" t="s">
        <v>7286</v>
      </c>
      <c r="AC55">
        <v>0</v>
      </c>
      <c r="AD55" t="str">
        <f t="shared" ca="1" si="7"/>
        <v>rg:False</v>
      </c>
      <c r="AE55" t="str">
        <f t="shared" ca="1" si="14"/>
        <v>rg:None</v>
      </c>
      <c r="AF55" s="1">
        <v>42461</v>
      </c>
      <c r="AG55" s="4">
        <f t="shared" ca="1" si="9"/>
        <v>275.91666666666669</v>
      </c>
      <c r="AH55" s="4">
        <f t="shared" si="10"/>
        <v>5.7527777777777782</v>
      </c>
      <c r="AI55">
        <f t="shared" ca="1" si="11"/>
        <v>49</v>
      </c>
      <c r="AJ55">
        <f t="shared" ca="1" si="12"/>
        <v>137</v>
      </c>
      <c r="AK55">
        <f t="shared" ca="1" si="13"/>
        <v>124</v>
      </c>
      <c r="AL55" t="s">
        <v>326</v>
      </c>
      <c r="AO55" t="s">
        <v>76</v>
      </c>
      <c r="AP55" t="s">
        <v>6510</v>
      </c>
      <c r="AQ55" t="s">
        <v>6510</v>
      </c>
      <c r="AR55" t="s">
        <v>6510</v>
      </c>
      <c r="AS55" t="s">
        <v>6510</v>
      </c>
    </row>
    <row r="56" spans="1:45" x14ac:dyDescent="0.3">
      <c r="A56" t="s">
        <v>5630</v>
      </c>
      <c r="B56">
        <f t="shared" si="0"/>
        <v>200054</v>
      </c>
      <c r="C56">
        <v>200021</v>
      </c>
      <c r="D56" t="str">
        <f t="shared" si="1"/>
        <v>rg:{'id': '200021'}</v>
      </c>
      <c r="E56">
        <f>VLOOKUP(C56,Owners.csv!C:J,6,FALSE)</f>
        <v>200001</v>
      </c>
      <c r="F56" t="str">
        <f>VLOOKUP(VLOOKUP(E56,LocalAreas.csv!I:K,3,FALSE),ServiceAreas.csv!F:J,5,FALSE)</f>
        <v>200009</v>
      </c>
      <c r="G56" t="str">
        <f t="shared" si="2"/>
        <v>rg:{'id': '200001'}</v>
      </c>
      <c r="H56" t="s">
        <v>7679</v>
      </c>
      <c r="I56" t="s">
        <v>5642</v>
      </c>
      <c r="J56">
        <f>VLOOKUP(I56&amp;"-"&amp;F56,DistrictEquipmentTypes.csv!J:K,2,FALSE)</f>
        <v>200004</v>
      </c>
      <c r="K56" t="str">
        <f t="shared" si="3"/>
        <v>rg:{'id': '200004'}</v>
      </c>
      <c r="L56">
        <f t="shared" si="4"/>
        <v>2</v>
      </c>
      <c r="M56" t="str">
        <f>VLOOKUP(C56,Owners.csv!C:K,9,FALSE)&amp;TEXT(Equipment.csv!L56,"0000")</f>
        <v>DESM0002</v>
      </c>
      <c r="N56" t="s">
        <v>5401</v>
      </c>
      <c r="O56" t="s">
        <v>6701</v>
      </c>
      <c r="P56">
        <v>1972</v>
      </c>
      <c r="Q56">
        <v>43</v>
      </c>
      <c r="R56" t="s">
        <v>6664</v>
      </c>
      <c r="S56" s="1">
        <v>41232</v>
      </c>
      <c r="T56" s="1">
        <v>41252</v>
      </c>
      <c r="U56" t="str">
        <f t="shared" ca="1" si="5"/>
        <v>rg:False</v>
      </c>
      <c r="V56" t="str">
        <f t="shared" ca="1" si="6"/>
        <v>rg:None</v>
      </c>
      <c r="W56" t="s">
        <v>7099</v>
      </c>
      <c r="X56" t="s">
        <v>76</v>
      </c>
      <c r="Y56" t="s">
        <v>76</v>
      </c>
      <c r="Z56" t="s">
        <v>76</v>
      </c>
      <c r="AA56" t="s">
        <v>7446</v>
      </c>
      <c r="AB56" t="s">
        <v>7296</v>
      </c>
      <c r="AC56">
        <v>0</v>
      </c>
      <c r="AD56" t="str">
        <f t="shared" ca="1" si="7"/>
        <v>rg:False</v>
      </c>
      <c r="AE56" t="str">
        <f t="shared" ca="1" si="14"/>
        <v>rg:None</v>
      </c>
      <c r="AF56" s="1">
        <v>42480</v>
      </c>
      <c r="AG56" s="4">
        <f t="shared" ca="1" si="9"/>
        <v>226</v>
      </c>
      <c r="AH56" s="4">
        <f t="shared" si="10"/>
        <v>3.3111111111111109</v>
      </c>
      <c r="AI56">
        <f t="shared" ca="1" si="11"/>
        <v>198</v>
      </c>
      <c r="AJ56">
        <f t="shared" ca="1" si="12"/>
        <v>142</v>
      </c>
      <c r="AK56">
        <f t="shared" ca="1" si="13"/>
        <v>40</v>
      </c>
      <c r="AL56" t="s">
        <v>326</v>
      </c>
      <c r="AO56" t="s">
        <v>76</v>
      </c>
      <c r="AP56" t="s">
        <v>6510</v>
      </c>
      <c r="AQ56" t="s">
        <v>6510</v>
      </c>
      <c r="AR56" t="s">
        <v>6510</v>
      </c>
      <c r="AS56" t="s">
        <v>6510</v>
      </c>
    </row>
    <row r="57" spans="1:45" x14ac:dyDescent="0.3">
      <c r="A57" t="s">
        <v>5630</v>
      </c>
      <c r="B57">
        <f t="shared" si="0"/>
        <v>200055</v>
      </c>
      <c r="C57">
        <v>200021</v>
      </c>
      <c r="D57" t="str">
        <f t="shared" si="1"/>
        <v>rg:{'id': '200021'}</v>
      </c>
      <c r="E57">
        <f>VLOOKUP(C57,Owners.csv!C:J,6,FALSE)</f>
        <v>200001</v>
      </c>
      <c r="F57" t="str">
        <f>VLOOKUP(VLOOKUP(E57,LocalAreas.csv!I:K,3,FALSE),ServiceAreas.csv!F:J,5,FALSE)</f>
        <v>200009</v>
      </c>
      <c r="G57" t="str">
        <f t="shared" si="2"/>
        <v>rg:{'id': '200001'}</v>
      </c>
      <c r="H57" t="s">
        <v>7686</v>
      </c>
      <c r="I57" t="s">
        <v>5640</v>
      </c>
      <c r="J57">
        <f>VLOOKUP(I57&amp;"-"&amp;F57,DistrictEquipmentTypes.csv!J:K,2,FALSE)</f>
        <v>200002</v>
      </c>
      <c r="K57" t="str">
        <f t="shared" si="3"/>
        <v>rg:{'id': '200002'}</v>
      </c>
      <c r="L57">
        <f t="shared" si="4"/>
        <v>3</v>
      </c>
      <c r="M57" t="str">
        <f>VLOOKUP(C57,Owners.csv!C:K,9,FALSE)&amp;TEXT(Equipment.csv!L57,"0000")</f>
        <v>DESM0003</v>
      </c>
      <c r="N57" t="s">
        <v>5401</v>
      </c>
      <c r="O57" t="s">
        <v>6711</v>
      </c>
      <c r="P57">
        <v>1980</v>
      </c>
      <c r="Q57">
        <v>53</v>
      </c>
      <c r="R57" t="s">
        <v>6663</v>
      </c>
      <c r="S57" s="1">
        <v>42256</v>
      </c>
      <c r="T57" s="1">
        <v>42271</v>
      </c>
      <c r="U57" t="str">
        <f t="shared" ca="1" si="5"/>
        <v>rg:False</v>
      </c>
      <c r="V57" t="str">
        <f t="shared" ca="1" si="6"/>
        <v>rg:None</v>
      </c>
      <c r="W57" t="s">
        <v>7109</v>
      </c>
      <c r="X57" t="s">
        <v>76</v>
      </c>
      <c r="Y57" t="s">
        <v>76</v>
      </c>
      <c r="Z57" t="s">
        <v>76</v>
      </c>
      <c r="AA57" t="s">
        <v>7456</v>
      </c>
      <c r="AB57" t="s">
        <v>7304</v>
      </c>
      <c r="AC57">
        <v>0</v>
      </c>
      <c r="AD57" t="str">
        <f t="shared" ca="1" si="7"/>
        <v>rg:False</v>
      </c>
      <c r="AE57" t="str">
        <f t="shared" ca="1" si="14"/>
        <v>rg:None</v>
      </c>
      <c r="AF57" s="1">
        <v>42481</v>
      </c>
      <c r="AG57" s="4">
        <f t="shared" ca="1" si="9"/>
        <v>15.583333333333334</v>
      </c>
      <c r="AH57" s="4">
        <f t="shared" si="10"/>
        <v>0.51944444444444449</v>
      </c>
      <c r="AI57">
        <f t="shared" ca="1" si="11"/>
        <v>0</v>
      </c>
      <c r="AJ57">
        <f t="shared" ca="1" si="12"/>
        <v>0</v>
      </c>
      <c r="AK57">
        <f t="shared" ca="1" si="13"/>
        <v>0</v>
      </c>
      <c r="AL57" t="s">
        <v>326</v>
      </c>
      <c r="AO57" t="s">
        <v>76</v>
      </c>
      <c r="AP57" t="s">
        <v>6510</v>
      </c>
      <c r="AQ57" t="s">
        <v>6510</v>
      </c>
      <c r="AR57" t="s">
        <v>6510</v>
      </c>
      <c r="AS57" t="s">
        <v>6510</v>
      </c>
    </row>
    <row r="58" spans="1:45" x14ac:dyDescent="0.3">
      <c r="A58" t="s">
        <v>5630</v>
      </c>
      <c r="B58">
        <f t="shared" si="0"/>
        <v>200056</v>
      </c>
      <c r="C58">
        <v>200021</v>
      </c>
      <c r="D58" t="str">
        <f t="shared" si="1"/>
        <v>rg:{'id': '200021'}</v>
      </c>
      <c r="E58">
        <f>VLOOKUP(C58,Owners.csv!C:J,6,FALSE)</f>
        <v>200001</v>
      </c>
      <c r="F58" t="str">
        <f>VLOOKUP(VLOOKUP(E58,LocalAreas.csv!I:K,3,FALSE),ServiceAreas.csv!F:J,5,FALSE)</f>
        <v>200009</v>
      </c>
      <c r="G58" t="str">
        <f t="shared" si="2"/>
        <v>rg:{'id': '200001'}</v>
      </c>
      <c r="H58" t="s">
        <v>7693</v>
      </c>
      <c r="I58" t="s">
        <v>5640</v>
      </c>
      <c r="J58">
        <f>VLOOKUP(I58&amp;"-"&amp;F58,DistrictEquipmentTypes.csv!J:K,2,FALSE)</f>
        <v>200002</v>
      </c>
      <c r="K58" t="str">
        <f t="shared" si="3"/>
        <v>rg:{'id': '200002'}</v>
      </c>
      <c r="L58">
        <f t="shared" si="4"/>
        <v>4</v>
      </c>
      <c r="M58" t="str">
        <f>VLOOKUP(C58,Owners.csv!C:K,9,FALSE)&amp;TEXT(Equipment.csv!L58,"0000")</f>
        <v>DESM0004</v>
      </c>
      <c r="N58" t="s">
        <v>5401</v>
      </c>
      <c r="O58" t="s">
        <v>6721</v>
      </c>
      <c r="P58">
        <v>2001</v>
      </c>
      <c r="Q58">
        <v>63</v>
      </c>
      <c r="R58" t="s">
        <v>6663</v>
      </c>
      <c r="S58" s="1">
        <v>41066</v>
      </c>
      <c r="T58" s="1">
        <v>41072</v>
      </c>
      <c r="U58" t="str">
        <f t="shared" ca="1" si="5"/>
        <v>rg:True</v>
      </c>
      <c r="V58" t="str">
        <f t="shared" ca="1" si="6"/>
        <v>This equipment should be archived</v>
      </c>
      <c r="W58" t="s">
        <v>7119</v>
      </c>
      <c r="X58" t="s">
        <v>76</v>
      </c>
      <c r="Y58" t="s">
        <v>76</v>
      </c>
      <c r="Z58" t="s">
        <v>76</v>
      </c>
      <c r="AA58" t="s">
        <v>7466</v>
      </c>
      <c r="AB58" t="s">
        <v>7312</v>
      </c>
      <c r="AC58">
        <v>0</v>
      </c>
      <c r="AD58" t="str">
        <f t="shared" ca="1" si="7"/>
        <v>rg:False</v>
      </c>
      <c r="AE58" t="str">
        <f t="shared" ca="1" si="14"/>
        <v>rg:None</v>
      </c>
      <c r="AF58" s="1">
        <v>42481</v>
      </c>
      <c r="AG58" s="4">
        <f t="shared" ca="1" si="9"/>
        <v>152.41666666666666</v>
      </c>
      <c r="AH58" s="4">
        <f t="shared" si="10"/>
        <v>3.8027777777777776</v>
      </c>
      <c r="AI58">
        <f t="shared" ca="1" si="11"/>
        <v>69</v>
      </c>
      <c r="AJ58">
        <f t="shared" ca="1" si="12"/>
        <v>43</v>
      </c>
      <c r="AK58">
        <f t="shared" ca="1" si="13"/>
        <v>3</v>
      </c>
      <c r="AL58" t="s">
        <v>326</v>
      </c>
      <c r="AO58" t="s">
        <v>76</v>
      </c>
      <c r="AP58" t="s">
        <v>6510</v>
      </c>
      <c r="AQ58" t="s">
        <v>6510</v>
      </c>
      <c r="AR58" t="s">
        <v>6510</v>
      </c>
      <c r="AS58" t="s">
        <v>6510</v>
      </c>
    </row>
    <row r="59" spans="1:45" x14ac:dyDescent="0.3">
      <c r="A59" t="s">
        <v>5630</v>
      </c>
      <c r="B59">
        <f t="shared" si="0"/>
        <v>200057</v>
      </c>
      <c r="C59">
        <v>200021</v>
      </c>
      <c r="D59" t="str">
        <f t="shared" si="1"/>
        <v>rg:{'id': '200021'}</v>
      </c>
      <c r="E59">
        <f>VLOOKUP(C59,Owners.csv!C:J,6,FALSE)</f>
        <v>200001</v>
      </c>
      <c r="F59" t="str">
        <f>VLOOKUP(VLOOKUP(E59,LocalAreas.csv!I:K,3,FALSE),ServiceAreas.csv!F:J,5,FALSE)</f>
        <v>200009</v>
      </c>
      <c r="G59" t="str">
        <f t="shared" si="2"/>
        <v>rg:{'id': '200001'}</v>
      </c>
      <c r="H59" t="s">
        <v>7701</v>
      </c>
      <c r="I59" t="s">
        <v>5651</v>
      </c>
      <c r="J59">
        <f>VLOOKUP(I59&amp;"-"&amp;F59,DistrictEquipmentTypes.csv!J:K,2,FALSE)</f>
        <v>200006</v>
      </c>
      <c r="K59" t="str">
        <f t="shared" si="3"/>
        <v>rg:{'id': '200006'}</v>
      </c>
      <c r="L59">
        <f t="shared" si="4"/>
        <v>5</v>
      </c>
      <c r="M59" t="str">
        <f>VLOOKUP(C59,Owners.csv!C:K,9,FALSE)&amp;TEXT(Equipment.csv!L59,"0000")</f>
        <v>DESM0005</v>
      </c>
      <c r="N59" t="s">
        <v>5401</v>
      </c>
      <c r="O59" t="s">
        <v>6729</v>
      </c>
      <c r="P59">
        <v>2006</v>
      </c>
      <c r="Q59">
        <v>71</v>
      </c>
      <c r="R59" t="s">
        <v>6663</v>
      </c>
      <c r="S59" s="1">
        <v>40179</v>
      </c>
      <c r="T59" s="1">
        <v>40191</v>
      </c>
      <c r="U59" t="str">
        <f t="shared" ca="1" si="5"/>
        <v>rg:False</v>
      </c>
      <c r="V59" t="str">
        <f t="shared" ca="1" si="6"/>
        <v>rg:None</v>
      </c>
      <c r="W59" t="s">
        <v>7127</v>
      </c>
      <c r="X59" t="s">
        <v>76</v>
      </c>
      <c r="Y59" t="s">
        <v>76</v>
      </c>
      <c r="Z59" t="s">
        <v>76</v>
      </c>
      <c r="AA59" t="s">
        <v>7474</v>
      </c>
      <c r="AB59" t="s">
        <v>7317</v>
      </c>
      <c r="AC59">
        <v>0</v>
      </c>
      <c r="AD59" t="str">
        <f t="shared" ca="1" si="7"/>
        <v>rg:False</v>
      </c>
      <c r="AE59" t="str">
        <f t="shared" ca="1" si="14"/>
        <v>rg:None</v>
      </c>
      <c r="AF59" s="1">
        <v>42481</v>
      </c>
      <c r="AG59" s="4">
        <f t="shared" ca="1" si="9"/>
        <v>448.33333333333331</v>
      </c>
      <c r="AH59" s="4">
        <f t="shared" si="10"/>
        <v>6.2166666666666668</v>
      </c>
      <c r="AI59">
        <f t="shared" ca="1" si="11"/>
        <v>155</v>
      </c>
      <c r="AJ59">
        <f t="shared" ca="1" si="12"/>
        <v>46</v>
      </c>
      <c r="AK59">
        <f t="shared" ca="1" si="13"/>
        <v>25</v>
      </c>
      <c r="AL59" t="s">
        <v>326</v>
      </c>
      <c r="AO59" t="s">
        <v>76</v>
      </c>
      <c r="AP59" t="s">
        <v>6510</v>
      </c>
      <c r="AQ59" t="s">
        <v>6510</v>
      </c>
      <c r="AR59" t="s">
        <v>6510</v>
      </c>
      <c r="AS59" t="s">
        <v>6510</v>
      </c>
    </row>
    <row r="60" spans="1:45" x14ac:dyDescent="0.3">
      <c r="A60" t="s">
        <v>5630</v>
      </c>
      <c r="B60">
        <f t="shared" si="0"/>
        <v>200058</v>
      </c>
      <c r="C60">
        <v>200021</v>
      </c>
      <c r="D60" t="str">
        <f t="shared" si="1"/>
        <v>rg:{'id': '200021'}</v>
      </c>
      <c r="E60">
        <f>VLOOKUP(C60,Owners.csv!C:J,6,FALSE)</f>
        <v>200001</v>
      </c>
      <c r="F60" t="str">
        <f>VLOOKUP(VLOOKUP(E60,LocalAreas.csv!I:K,3,FALSE),ServiceAreas.csv!F:J,5,FALSE)</f>
        <v>200009</v>
      </c>
      <c r="G60" t="str">
        <f t="shared" si="2"/>
        <v>rg:{'id': '200001'}</v>
      </c>
      <c r="H60" t="s">
        <v>7714</v>
      </c>
      <c r="I60" t="s">
        <v>5651</v>
      </c>
      <c r="J60">
        <f>VLOOKUP(I60&amp;"-"&amp;F60,DistrictEquipmentTypes.csv!J:K,2,FALSE)</f>
        <v>200006</v>
      </c>
      <c r="K60" t="str">
        <f t="shared" si="3"/>
        <v>rg:{'id': '200006'}</v>
      </c>
      <c r="L60">
        <f t="shared" si="4"/>
        <v>6</v>
      </c>
      <c r="M60" t="str">
        <f>VLOOKUP(C60,Owners.csv!C:K,9,FALSE)&amp;TEXT(Equipment.csv!L60,"0000")</f>
        <v>DESM0006</v>
      </c>
      <c r="N60" t="s">
        <v>5401</v>
      </c>
      <c r="O60" t="s">
        <v>6749</v>
      </c>
      <c r="P60">
        <v>2017</v>
      </c>
      <c r="Q60">
        <v>91</v>
      </c>
      <c r="R60" t="s">
        <v>6663</v>
      </c>
      <c r="S60" s="1">
        <v>38690</v>
      </c>
      <c r="T60" s="1">
        <v>38702</v>
      </c>
      <c r="U60" t="str">
        <f t="shared" ca="1" si="5"/>
        <v>rg:False</v>
      </c>
      <c r="V60" t="str">
        <f t="shared" ca="1" si="6"/>
        <v>rg:None</v>
      </c>
      <c r="W60" t="s">
        <v>7147</v>
      </c>
      <c r="X60" t="s">
        <v>76</v>
      </c>
      <c r="Y60" t="s">
        <v>76</v>
      </c>
      <c r="Z60" t="s">
        <v>76</v>
      </c>
      <c r="AA60" t="s">
        <v>7494</v>
      </c>
      <c r="AB60" t="s">
        <v>7327</v>
      </c>
      <c r="AC60">
        <v>0</v>
      </c>
      <c r="AD60" t="str">
        <f t="shared" ca="1" si="7"/>
        <v>rg:False</v>
      </c>
      <c r="AE60" t="str">
        <f t="shared" ca="1" si="14"/>
        <v>rg:None</v>
      </c>
      <c r="AF60" s="1">
        <v>42481</v>
      </c>
      <c r="AG60" s="4">
        <f t="shared" ca="1" si="9"/>
        <v>771.16666666666663</v>
      </c>
      <c r="AH60" s="4">
        <f t="shared" si="10"/>
        <v>10.291666666666666</v>
      </c>
      <c r="AI60">
        <f t="shared" ca="1" si="11"/>
        <v>198</v>
      </c>
      <c r="AJ60">
        <f t="shared" ca="1" si="12"/>
        <v>71</v>
      </c>
      <c r="AK60">
        <f t="shared" ca="1" si="13"/>
        <v>192</v>
      </c>
      <c r="AL60" t="s">
        <v>326</v>
      </c>
      <c r="AO60" t="s">
        <v>76</v>
      </c>
      <c r="AP60" t="s">
        <v>6510</v>
      </c>
      <c r="AQ60" t="s">
        <v>6510</v>
      </c>
      <c r="AR60" t="s">
        <v>6510</v>
      </c>
      <c r="AS60" t="s">
        <v>6510</v>
      </c>
    </row>
    <row r="61" spans="1:45" x14ac:dyDescent="0.3">
      <c r="A61" t="s">
        <v>5630</v>
      </c>
      <c r="B61">
        <f t="shared" si="0"/>
        <v>200059</v>
      </c>
      <c r="C61">
        <v>200021</v>
      </c>
      <c r="D61" t="str">
        <f t="shared" si="1"/>
        <v>rg:{'id': '200021'}</v>
      </c>
      <c r="E61">
        <f>VLOOKUP(C61,Owners.csv!C:J,6,FALSE)</f>
        <v>200001</v>
      </c>
      <c r="F61" t="str">
        <f>VLOOKUP(VLOOKUP(E61,LocalAreas.csv!I:K,3,FALSE),ServiceAreas.csv!F:J,5,FALSE)</f>
        <v>200009</v>
      </c>
      <c r="G61" t="str">
        <f t="shared" si="2"/>
        <v>rg:{'id': '200001'}</v>
      </c>
      <c r="H61" t="s">
        <v>7726</v>
      </c>
      <c r="I61" t="s">
        <v>5637</v>
      </c>
      <c r="J61">
        <f>VLOOKUP(I61&amp;"-"&amp;F61,DistrictEquipmentTypes.csv!J:K,2,FALSE)</f>
        <v>200001</v>
      </c>
      <c r="K61" t="str">
        <f t="shared" si="3"/>
        <v>rg:{'id': '200001'}</v>
      </c>
      <c r="L61">
        <f t="shared" si="4"/>
        <v>7</v>
      </c>
      <c r="M61" t="str">
        <f>VLOOKUP(C61,Owners.csv!C:K,9,FALSE)&amp;TEXT(Equipment.csv!L61,"0000")</f>
        <v>DESM0007</v>
      </c>
      <c r="N61" t="s">
        <v>5401</v>
      </c>
      <c r="O61" t="s">
        <v>6769</v>
      </c>
      <c r="P61">
        <v>2016</v>
      </c>
      <c r="Q61">
        <v>111</v>
      </c>
      <c r="R61" t="s">
        <v>6663</v>
      </c>
      <c r="S61" s="1">
        <v>38671</v>
      </c>
      <c r="T61" s="1">
        <v>38701</v>
      </c>
      <c r="U61" t="str">
        <f t="shared" ca="1" si="5"/>
        <v>rg:False</v>
      </c>
      <c r="V61" t="str">
        <f t="shared" ca="1" si="6"/>
        <v>rg:None</v>
      </c>
      <c r="W61" t="s">
        <v>7167</v>
      </c>
      <c r="X61" t="s">
        <v>76</v>
      </c>
      <c r="Y61" t="s">
        <v>76</v>
      </c>
      <c r="Z61" t="s">
        <v>76</v>
      </c>
      <c r="AA61" t="s">
        <v>7514</v>
      </c>
      <c r="AB61" t="s">
        <v>7348</v>
      </c>
      <c r="AC61">
        <v>0</v>
      </c>
      <c r="AD61" t="str">
        <f t="shared" ca="1" si="7"/>
        <v>rg:False</v>
      </c>
      <c r="AE61" t="str">
        <f t="shared" ca="1" si="14"/>
        <v>rg:None</v>
      </c>
      <c r="AF61" s="1">
        <v>42481</v>
      </c>
      <c r="AG61" s="4">
        <f t="shared" ca="1" si="9"/>
        <v>478.5</v>
      </c>
      <c r="AH61" s="4">
        <f t="shared" si="10"/>
        <v>10.294444444444444</v>
      </c>
      <c r="AI61">
        <f t="shared" ca="1" si="11"/>
        <v>197</v>
      </c>
      <c r="AJ61">
        <f t="shared" ca="1" si="12"/>
        <v>134</v>
      </c>
      <c r="AK61">
        <f t="shared" ca="1" si="13"/>
        <v>178</v>
      </c>
      <c r="AL61" t="s">
        <v>326</v>
      </c>
      <c r="AO61" t="s">
        <v>76</v>
      </c>
      <c r="AP61" t="s">
        <v>6510</v>
      </c>
      <c r="AQ61" t="s">
        <v>6510</v>
      </c>
      <c r="AR61" t="s">
        <v>6510</v>
      </c>
      <c r="AS61" t="s">
        <v>6510</v>
      </c>
    </row>
    <row r="62" spans="1:45" x14ac:dyDescent="0.3">
      <c r="A62" t="s">
        <v>5630</v>
      </c>
      <c r="B62">
        <f t="shared" si="0"/>
        <v>200060</v>
      </c>
      <c r="C62">
        <v>200021</v>
      </c>
      <c r="D62" t="str">
        <f t="shared" si="1"/>
        <v>rg:{'id': '200021'}</v>
      </c>
      <c r="E62">
        <f>VLOOKUP(C62,Owners.csv!C:J,6,FALSE)</f>
        <v>200001</v>
      </c>
      <c r="F62" t="str">
        <f>VLOOKUP(VLOOKUP(E62,LocalAreas.csv!I:K,3,FALSE),ServiceAreas.csv!F:J,5,FALSE)</f>
        <v>200009</v>
      </c>
      <c r="G62" t="str">
        <f t="shared" si="2"/>
        <v>rg:{'id': '200001'}</v>
      </c>
      <c r="H62" t="s">
        <v>7735</v>
      </c>
      <c r="I62" t="s">
        <v>5536</v>
      </c>
      <c r="J62">
        <f>VLOOKUP(I62&amp;"-"&amp;F62,DistrictEquipmentTypes.csv!J:K,2,FALSE)</f>
        <v>200000</v>
      </c>
      <c r="K62" t="str">
        <f t="shared" si="3"/>
        <v>rg:{'id': '200000'}</v>
      </c>
      <c r="L62">
        <f t="shared" si="4"/>
        <v>8</v>
      </c>
      <c r="M62" t="str">
        <f>VLOOKUP(C62,Owners.csv!C:K,9,FALSE)&amp;TEXT(Equipment.csv!L62,"0000")</f>
        <v>DESM0008</v>
      </c>
      <c r="N62" t="s">
        <v>5401</v>
      </c>
      <c r="O62" t="s">
        <v>6784</v>
      </c>
      <c r="P62">
        <v>1977</v>
      </c>
      <c r="Q62">
        <v>126</v>
      </c>
      <c r="R62" t="s">
        <v>6663</v>
      </c>
      <c r="S62" s="1">
        <v>39386</v>
      </c>
      <c r="T62" s="1">
        <v>39402</v>
      </c>
      <c r="U62" t="str">
        <f t="shared" ca="1" si="5"/>
        <v>rg:False</v>
      </c>
      <c r="V62" t="str">
        <f t="shared" ca="1" si="6"/>
        <v>rg:None</v>
      </c>
      <c r="W62" t="s">
        <v>7182</v>
      </c>
      <c r="X62" t="s">
        <v>76</v>
      </c>
      <c r="Y62" t="s">
        <v>76</v>
      </c>
      <c r="Z62" t="s">
        <v>76</v>
      </c>
      <c r="AA62" t="s">
        <v>7529</v>
      </c>
      <c r="AB62" t="s">
        <v>7275</v>
      </c>
      <c r="AC62">
        <v>0</v>
      </c>
      <c r="AD62" t="str">
        <f t="shared" ca="1" si="7"/>
        <v>rg:False</v>
      </c>
      <c r="AE62" t="str">
        <f t="shared" ca="1" si="14"/>
        <v>rg:None</v>
      </c>
      <c r="AF62" s="1">
        <v>42481</v>
      </c>
      <c r="AG62" s="4">
        <f t="shared" ca="1" si="9"/>
        <v>358.91666666666669</v>
      </c>
      <c r="AH62" s="4">
        <f t="shared" si="10"/>
        <v>8.375</v>
      </c>
      <c r="AI62">
        <f t="shared" ca="1" si="11"/>
        <v>79</v>
      </c>
      <c r="AJ62">
        <f t="shared" ca="1" si="12"/>
        <v>163</v>
      </c>
      <c r="AK62">
        <f t="shared" ca="1" si="13"/>
        <v>81</v>
      </c>
      <c r="AL62" t="s">
        <v>326</v>
      </c>
      <c r="AO62" t="s">
        <v>76</v>
      </c>
      <c r="AP62" t="s">
        <v>6510</v>
      </c>
      <c r="AQ62" t="s">
        <v>6510</v>
      </c>
      <c r="AR62" t="s">
        <v>6510</v>
      </c>
      <c r="AS62" t="s">
        <v>6510</v>
      </c>
    </row>
    <row r="63" spans="1:45" x14ac:dyDescent="0.3">
      <c r="A63" t="s">
        <v>5630</v>
      </c>
      <c r="B63">
        <f t="shared" si="0"/>
        <v>200061</v>
      </c>
      <c r="C63">
        <v>200022</v>
      </c>
      <c r="D63" t="str">
        <f t="shared" si="1"/>
        <v>rg:{'id': '200022'}</v>
      </c>
      <c r="E63">
        <f>VLOOKUP(C63,Owners.csv!C:J,6,FALSE)</f>
        <v>200001</v>
      </c>
      <c r="F63" t="str">
        <f>VLOOKUP(VLOOKUP(E63,LocalAreas.csv!I:K,3,FALSE),ServiceAreas.csv!F:J,5,FALSE)</f>
        <v>200009</v>
      </c>
      <c r="G63" t="str">
        <f t="shared" si="2"/>
        <v>rg:{'id': '200001'}</v>
      </c>
      <c r="H63" t="s">
        <v>7652</v>
      </c>
      <c r="I63" t="s">
        <v>5642</v>
      </c>
      <c r="J63">
        <f>VLOOKUP(I63&amp;"-"&amp;F63,DistrictEquipmentTypes.csv!J:K,2,FALSE)</f>
        <v>200004</v>
      </c>
      <c r="K63" t="str">
        <f t="shared" si="3"/>
        <v>rg:{'id': '200004'}</v>
      </c>
      <c r="L63">
        <f t="shared" si="4"/>
        <v>1</v>
      </c>
      <c r="M63" t="str">
        <f>VLOOKUP(C63,Owners.csv!C:K,9,FALSE)&amp;TEXT(Equipment.csv!L63,"0000")</f>
        <v>DEST0001</v>
      </c>
      <c r="N63" t="s">
        <v>5401</v>
      </c>
      <c r="O63" t="s">
        <v>6692</v>
      </c>
      <c r="P63">
        <v>1985</v>
      </c>
      <c r="Q63">
        <v>34</v>
      </c>
      <c r="R63" t="s">
        <v>6663</v>
      </c>
      <c r="S63" s="1">
        <v>40025</v>
      </c>
      <c r="T63" s="1">
        <v>40036</v>
      </c>
      <c r="U63" t="str">
        <f t="shared" ca="1" si="5"/>
        <v>rg:False</v>
      </c>
      <c r="V63" t="str">
        <f t="shared" ca="1" si="6"/>
        <v>rg:None</v>
      </c>
      <c r="W63" t="s">
        <v>7090</v>
      </c>
      <c r="X63" t="s">
        <v>76</v>
      </c>
      <c r="Y63" t="s">
        <v>76</v>
      </c>
      <c r="Z63" t="s">
        <v>76</v>
      </c>
      <c r="AA63" t="s">
        <v>7437</v>
      </c>
      <c r="AB63" t="s">
        <v>7287</v>
      </c>
      <c r="AC63">
        <v>0</v>
      </c>
      <c r="AD63" t="str">
        <f t="shared" ca="1" si="7"/>
        <v>rg:False</v>
      </c>
      <c r="AE63" t="str">
        <f t="shared" ca="1" si="14"/>
        <v>rg:None</v>
      </c>
      <c r="AF63" s="1">
        <v>42461</v>
      </c>
      <c r="AG63" s="4">
        <f t="shared" ca="1" si="9"/>
        <v>307.16666666666669</v>
      </c>
      <c r="AH63" s="4">
        <f t="shared" si="10"/>
        <v>6.6388888888888893</v>
      </c>
      <c r="AI63">
        <f t="shared" ca="1" si="11"/>
        <v>28</v>
      </c>
      <c r="AJ63">
        <f t="shared" ca="1" si="12"/>
        <v>186</v>
      </c>
      <c r="AK63">
        <f t="shared" ca="1" si="13"/>
        <v>110</v>
      </c>
      <c r="AL63" t="s">
        <v>326</v>
      </c>
      <c r="AO63" t="s">
        <v>76</v>
      </c>
      <c r="AP63" t="s">
        <v>6510</v>
      </c>
      <c r="AQ63" t="s">
        <v>6510</v>
      </c>
      <c r="AR63" t="s">
        <v>6510</v>
      </c>
      <c r="AS63" t="s">
        <v>6510</v>
      </c>
    </row>
    <row r="64" spans="1:45" x14ac:dyDescent="0.3">
      <c r="A64" t="s">
        <v>5630</v>
      </c>
      <c r="B64">
        <f t="shared" si="0"/>
        <v>200062</v>
      </c>
      <c r="C64">
        <v>200022</v>
      </c>
      <c r="D64" t="str">
        <f t="shared" si="1"/>
        <v>rg:{'id': '200022'}</v>
      </c>
      <c r="E64">
        <f>VLOOKUP(C64,Owners.csv!C:J,6,FALSE)</f>
        <v>200001</v>
      </c>
      <c r="F64" t="str">
        <f>VLOOKUP(VLOOKUP(E64,LocalAreas.csv!I:K,3,FALSE),ServiceAreas.csv!F:J,5,FALSE)</f>
        <v>200009</v>
      </c>
      <c r="G64" t="str">
        <f t="shared" si="2"/>
        <v>rg:{'id': '200001'}</v>
      </c>
      <c r="H64" t="s">
        <v>7659</v>
      </c>
      <c r="I64" t="s">
        <v>5642</v>
      </c>
      <c r="J64">
        <f>VLOOKUP(I64&amp;"-"&amp;F64,DistrictEquipmentTypes.csv!J:K,2,FALSE)</f>
        <v>200004</v>
      </c>
      <c r="K64" t="str">
        <f t="shared" si="3"/>
        <v>rg:{'id': '200004'}</v>
      </c>
      <c r="L64">
        <f t="shared" si="4"/>
        <v>2</v>
      </c>
      <c r="M64" t="str">
        <f>VLOOKUP(C64,Owners.csv!C:K,9,FALSE)&amp;TEXT(Equipment.csv!L64,"0000")</f>
        <v>DEST0002</v>
      </c>
      <c r="N64" t="s">
        <v>5401</v>
      </c>
      <c r="O64" t="s">
        <v>6702</v>
      </c>
      <c r="P64">
        <v>1977</v>
      </c>
      <c r="Q64">
        <v>44</v>
      </c>
      <c r="R64" t="s">
        <v>6664</v>
      </c>
      <c r="S64" s="1">
        <v>39968</v>
      </c>
      <c r="T64" s="1">
        <v>39974</v>
      </c>
      <c r="U64" t="str">
        <f t="shared" ca="1" si="5"/>
        <v>rg:False</v>
      </c>
      <c r="V64" t="str">
        <f t="shared" ca="1" si="6"/>
        <v>rg:None</v>
      </c>
      <c r="W64" t="s">
        <v>7100</v>
      </c>
      <c r="X64" t="s">
        <v>76</v>
      </c>
      <c r="Y64" t="s">
        <v>76</v>
      </c>
      <c r="Z64" t="s">
        <v>76</v>
      </c>
      <c r="AA64" t="s">
        <v>7447</v>
      </c>
      <c r="AB64" t="s">
        <v>7297</v>
      </c>
      <c r="AC64">
        <v>0</v>
      </c>
      <c r="AD64" t="str">
        <f t="shared" ca="1" si="7"/>
        <v>rg:False</v>
      </c>
      <c r="AE64" t="str">
        <f t="shared" ca="1" si="14"/>
        <v>rg:None</v>
      </c>
      <c r="AF64" s="1">
        <v>42481</v>
      </c>
      <c r="AG64" s="4">
        <f t="shared" ca="1" si="9"/>
        <v>335.58333333333337</v>
      </c>
      <c r="AH64" s="4">
        <f t="shared" si="10"/>
        <v>6.8083333333333336</v>
      </c>
      <c r="AI64">
        <f t="shared" ca="1" si="11"/>
        <v>164</v>
      </c>
      <c r="AJ64">
        <f t="shared" ca="1" si="12"/>
        <v>158</v>
      </c>
      <c r="AK64">
        <f t="shared" ca="1" si="13"/>
        <v>72</v>
      </c>
      <c r="AL64" t="s">
        <v>5689</v>
      </c>
      <c r="AM64" t="s">
        <v>6883</v>
      </c>
      <c r="AN64" s="1">
        <v>42392</v>
      </c>
      <c r="AO64" t="s">
        <v>76</v>
      </c>
      <c r="AP64" t="s">
        <v>6510</v>
      </c>
      <c r="AQ64" t="s">
        <v>6510</v>
      </c>
      <c r="AR64" t="s">
        <v>6510</v>
      </c>
      <c r="AS64" t="s">
        <v>6510</v>
      </c>
    </row>
    <row r="65" spans="1:45" x14ac:dyDescent="0.3">
      <c r="A65" t="s">
        <v>5630</v>
      </c>
      <c r="B65">
        <f t="shared" si="0"/>
        <v>200063</v>
      </c>
      <c r="C65">
        <v>200022</v>
      </c>
      <c r="D65" t="str">
        <f t="shared" si="1"/>
        <v>rg:{'id': '200022'}</v>
      </c>
      <c r="E65">
        <f>VLOOKUP(C65,Owners.csv!C:J,6,FALSE)</f>
        <v>200001</v>
      </c>
      <c r="F65" t="str">
        <f>VLOOKUP(VLOOKUP(E65,LocalAreas.csv!I:K,3,FALSE),ServiceAreas.csv!F:J,5,FALSE)</f>
        <v>200009</v>
      </c>
      <c r="G65" t="str">
        <f t="shared" si="2"/>
        <v>rg:{'id': '200001'}</v>
      </c>
      <c r="H65" t="s">
        <v>7654</v>
      </c>
      <c r="I65" t="s">
        <v>5640</v>
      </c>
      <c r="J65">
        <f>VLOOKUP(I65&amp;"-"&amp;F65,DistrictEquipmentTypes.csv!J:K,2,FALSE)</f>
        <v>200002</v>
      </c>
      <c r="K65" t="str">
        <f t="shared" si="3"/>
        <v>rg:{'id': '200002'}</v>
      </c>
      <c r="L65">
        <f t="shared" si="4"/>
        <v>3</v>
      </c>
      <c r="M65" t="str">
        <f>VLOOKUP(C65,Owners.csv!C:K,9,FALSE)&amp;TEXT(Equipment.csv!L65,"0000")</f>
        <v>DEST0003</v>
      </c>
      <c r="N65" t="s">
        <v>5401</v>
      </c>
      <c r="O65" t="s">
        <v>6712</v>
      </c>
      <c r="P65">
        <v>1993</v>
      </c>
      <c r="Q65">
        <v>54</v>
      </c>
      <c r="R65" t="s">
        <v>6663</v>
      </c>
      <c r="S65" s="1">
        <v>39429</v>
      </c>
      <c r="T65" s="1">
        <v>39442</v>
      </c>
      <c r="U65" t="str">
        <f t="shared" ca="1" si="5"/>
        <v>rg:False</v>
      </c>
      <c r="V65" t="str">
        <f t="shared" ca="1" si="6"/>
        <v>rg:None</v>
      </c>
      <c r="W65" t="s">
        <v>7110</v>
      </c>
      <c r="X65" t="s">
        <v>76</v>
      </c>
      <c r="Y65" t="s">
        <v>76</v>
      </c>
      <c r="Z65" t="s">
        <v>76</v>
      </c>
      <c r="AA65" t="s">
        <v>7457</v>
      </c>
      <c r="AB65" t="s">
        <v>7305</v>
      </c>
      <c r="AC65">
        <v>0</v>
      </c>
      <c r="AD65" t="str">
        <f t="shared" ca="1" si="7"/>
        <v>rg:True</v>
      </c>
      <c r="AE65" t="str">
        <f t="shared" ca="1" si="14"/>
        <v>Seniority overridden to test things</v>
      </c>
      <c r="AF65" s="1">
        <v>42481</v>
      </c>
      <c r="AG65" s="4">
        <f t="shared" ca="1" si="9"/>
        <v>349.25</v>
      </c>
      <c r="AH65" s="4">
        <f t="shared" si="10"/>
        <v>8.2638888888888893</v>
      </c>
      <c r="AI65">
        <f t="shared" ca="1" si="11"/>
        <v>8</v>
      </c>
      <c r="AJ65">
        <f t="shared" ca="1" si="12"/>
        <v>106</v>
      </c>
      <c r="AK65">
        <f t="shared" ca="1" si="13"/>
        <v>190</v>
      </c>
      <c r="AL65" t="s">
        <v>326</v>
      </c>
      <c r="AO65" t="s">
        <v>76</v>
      </c>
      <c r="AP65" t="s">
        <v>6510</v>
      </c>
      <c r="AQ65" t="s">
        <v>6510</v>
      </c>
      <c r="AR65" t="s">
        <v>6510</v>
      </c>
      <c r="AS65" t="s">
        <v>6510</v>
      </c>
    </row>
    <row r="66" spans="1:45" x14ac:dyDescent="0.3">
      <c r="A66" t="s">
        <v>5630</v>
      </c>
      <c r="B66">
        <f t="shared" ref="B66:B129" si="15">IF(ISNUMBER(B65),B65+1,200000)</f>
        <v>200064</v>
      </c>
      <c r="C66">
        <v>200022</v>
      </c>
      <c r="D66" t="str">
        <f t="shared" ref="D66:D129" si="16">"rg:{'id': '"&amp;C66&amp;"'}"</f>
        <v>rg:{'id': '200022'}</v>
      </c>
      <c r="E66">
        <f>VLOOKUP(C66,Owners.csv!C:J,6,FALSE)</f>
        <v>200001</v>
      </c>
      <c r="F66" t="str">
        <f>VLOOKUP(VLOOKUP(E66,LocalAreas.csv!I:K,3,FALSE),ServiceAreas.csv!F:J,5,FALSE)</f>
        <v>200009</v>
      </c>
      <c r="G66" t="str">
        <f t="shared" ref="G66:G129" si="17">"rg:{'id': '"&amp;E66&amp;"'}"</f>
        <v>rg:{'id': '200001'}</v>
      </c>
      <c r="H66" t="s">
        <v>7694</v>
      </c>
      <c r="I66" t="s">
        <v>5640</v>
      </c>
      <c r="J66">
        <f>VLOOKUP(I66&amp;"-"&amp;F66,DistrictEquipmentTypes.csv!J:K,2,FALSE)</f>
        <v>200002</v>
      </c>
      <c r="K66" t="str">
        <f t="shared" ref="K66:K129" si="18">"rg:{'id': '"&amp;J66&amp;"'}"</f>
        <v>rg:{'id': '200002'}</v>
      </c>
      <c r="L66">
        <f t="shared" ref="L66:L129" si="19">IF(C66=C65,L65+1,1)</f>
        <v>4</v>
      </c>
      <c r="M66" t="str">
        <f>VLOOKUP(C66,Owners.csv!C:K,9,FALSE)&amp;TEXT(Equipment.csv!L66,"0000")</f>
        <v>DEST0004</v>
      </c>
      <c r="N66" t="s">
        <v>5401</v>
      </c>
      <c r="O66" t="s">
        <v>6722</v>
      </c>
      <c r="P66">
        <v>2003</v>
      </c>
      <c r="Q66">
        <v>64</v>
      </c>
      <c r="R66" t="s">
        <v>6663</v>
      </c>
      <c r="S66" s="1">
        <v>42569</v>
      </c>
      <c r="T66" s="1">
        <v>42593</v>
      </c>
      <c r="U66" t="str">
        <f t="shared" ref="U66:U129" ca="1" si="20">IF(RANDBETWEEN(1,10)&gt;1,"rg:False","rg:True")</f>
        <v>rg:False</v>
      </c>
      <c r="V66" t="str">
        <f t="shared" ref="V66:V129" ca="1" si="21">IF(U66="rg:True","This equipment should be archived","rg:None")</f>
        <v>rg:None</v>
      </c>
      <c r="W66" t="s">
        <v>7120</v>
      </c>
      <c r="X66" t="s">
        <v>76</v>
      </c>
      <c r="Y66" t="s">
        <v>76</v>
      </c>
      <c r="Z66" t="s">
        <v>76</v>
      </c>
      <c r="AA66" t="s">
        <v>7467</v>
      </c>
      <c r="AB66" t="s">
        <v>7306</v>
      </c>
      <c r="AC66">
        <v>0</v>
      </c>
      <c r="AD66" t="str">
        <f t="shared" ref="AD66:AD129" ca="1" si="22">IF(RANDBETWEEN(1,20)&gt;1,"rg:False","rg:True")</f>
        <v>rg:False</v>
      </c>
      <c r="AE66" t="str">
        <f t="shared" ref="AE66:AE97" ca="1" si="23">IF(AD66="rg:True","Seniority overridden to test things","rg:None")</f>
        <v>rg:None</v>
      </c>
      <c r="AF66" s="1">
        <v>42481</v>
      </c>
      <c r="AG66" s="4">
        <f t="shared" ref="AG66:AG129" ca="1" si="24">IF(I66="Dump Truck",60,30)*AH66+(AVERAGE(AI66:AK66))</f>
        <v>10.833333333333334</v>
      </c>
      <c r="AH66" s="4">
        <f t="shared" ref="AH66:AH129" si="25">YEARFRAC(DATE("2016","4","1"),T66)</f>
        <v>0.3611111111111111</v>
      </c>
      <c r="AI66">
        <f t="shared" ref="AI66:AI129" ca="1" si="26">IF(AH66&lt;1,0,RANDBETWEEN(0,200))</f>
        <v>0</v>
      </c>
      <c r="AJ66">
        <f t="shared" ref="AJ66:AJ129" ca="1" si="27">IF(AH66&lt;2,0,RANDBETWEEN(0,200))</f>
        <v>0</v>
      </c>
      <c r="AK66">
        <f t="shared" ref="AK66:AK129" ca="1" si="28">IF(AH66&lt;3,0,RANDBETWEEN(0,200))</f>
        <v>0</v>
      </c>
      <c r="AL66" t="s">
        <v>326</v>
      </c>
      <c r="AO66" t="s">
        <v>76</v>
      </c>
      <c r="AP66" t="s">
        <v>6510</v>
      </c>
      <c r="AQ66" t="s">
        <v>6510</v>
      </c>
      <c r="AR66" t="s">
        <v>6510</v>
      </c>
      <c r="AS66" t="s">
        <v>6510</v>
      </c>
    </row>
    <row r="67" spans="1:45" x14ac:dyDescent="0.3">
      <c r="A67" t="s">
        <v>5630</v>
      </c>
      <c r="B67">
        <f t="shared" si="15"/>
        <v>200065</v>
      </c>
      <c r="C67">
        <v>200022</v>
      </c>
      <c r="D67" t="str">
        <f t="shared" si="16"/>
        <v>rg:{'id': '200022'}</v>
      </c>
      <c r="E67">
        <f>VLOOKUP(C67,Owners.csv!C:J,6,FALSE)</f>
        <v>200001</v>
      </c>
      <c r="F67" t="str">
        <f>VLOOKUP(VLOOKUP(E67,LocalAreas.csv!I:K,3,FALSE),ServiceAreas.csv!F:J,5,FALSE)</f>
        <v>200009</v>
      </c>
      <c r="G67" t="str">
        <f t="shared" si="17"/>
        <v>rg:{'id': '200001'}</v>
      </c>
      <c r="H67" t="s">
        <v>7702</v>
      </c>
      <c r="I67" t="s">
        <v>5651</v>
      </c>
      <c r="J67">
        <f>VLOOKUP(I67&amp;"-"&amp;F67,DistrictEquipmentTypes.csv!J:K,2,FALSE)</f>
        <v>200006</v>
      </c>
      <c r="K67" t="str">
        <f t="shared" si="18"/>
        <v>rg:{'id': '200006'}</v>
      </c>
      <c r="L67">
        <f t="shared" si="19"/>
        <v>5</v>
      </c>
      <c r="M67" t="str">
        <f>VLOOKUP(C67,Owners.csv!C:K,9,FALSE)&amp;TEXT(Equipment.csv!L67,"0000")</f>
        <v>DEST0005</v>
      </c>
      <c r="N67" t="s">
        <v>5401</v>
      </c>
      <c r="O67" t="s">
        <v>6730</v>
      </c>
      <c r="P67">
        <v>1991</v>
      </c>
      <c r="Q67">
        <v>72</v>
      </c>
      <c r="R67" t="s">
        <v>6663</v>
      </c>
      <c r="S67" s="1">
        <v>41327</v>
      </c>
      <c r="T67" s="1">
        <v>41338</v>
      </c>
      <c r="U67" t="str">
        <f t="shared" ca="1" si="20"/>
        <v>rg:False</v>
      </c>
      <c r="V67" t="str">
        <f t="shared" ca="1" si="21"/>
        <v>rg:None</v>
      </c>
      <c r="W67" t="s">
        <v>7128</v>
      </c>
      <c r="X67" t="s">
        <v>76</v>
      </c>
      <c r="Y67" t="s">
        <v>76</v>
      </c>
      <c r="Z67" t="s">
        <v>76</v>
      </c>
      <c r="AA67" t="s">
        <v>7475</v>
      </c>
      <c r="AB67" t="s">
        <v>7318</v>
      </c>
      <c r="AC67">
        <v>0</v>
      </c>
      <c r="AD67" t="str">
        <f t="shared" ca="1" si="22"/>
        <v>rg:False</v>
      </c>
      <c r="AE67" t="str">
        <f t="shared" ca="1" si="23"/>
        <v>rg:None</v>
      </c>
      <c r="AF67" s="1">
        <v>42481</v>
      </c>
      <c r="AG67" s="4">
        <f t="shared" ca="1" si="24"/>
        <v>320.66666666666669</v>
      </c>
      <c r="AH67" s="4">
        <f t="shared" si="25"/>
        <v>3.0722222222222224</v>
      </c>
      <c r="AI67">
        <f t="shared" ca="1" si="26"/>
        <v>126</v>
      </c>
      <c r="AJ67">
        <f t="shared" ca="1" si="27"/>
        <v>88</v>
      </c>
      <c r="AK67">
        <f t="shared" ca="1" si="28"/>
        <v>195</v>
      </c>
      <c r="AL67" t="s">
        <v>326</v>
      </c>
      <c r="AO67" t="s">
        <v>76</v>
      </c>
      <c r="AP67" t="s">
        <v>6510</v>
      </c>
      <c r="AQ67" t="s">
        <v>6510</v>
      </c>
      <c r="AR67" t="s">
        <v>6510</v>
      </c>
      <c r="AS67" t="s">
        <v>6510</v>
      </c>
    </row>
    <row r="68" spans="1:45" x14ac:dyDescent="0.3">
      <c r="A68" t="s">
        <v>5630</v>
      </c>
      <c r="B68">
        <f t="shared" si="15"/>
        <v>200066</v>
      </c>
      <c r="C68">
        <v>200022</v>
      </c>
      <c r="D68" t="str">
        <f t="shared" si="16"/>
        <v>rg:{'id': '200022'}</v>
      </c>
      <c r="E68">
        <f>VLOOKUP(C68,Owners.csv!C:J,6,FALSE)</f>
        <v>200001</v>
      </c>
      <c r="F68" t="str">
        <f>VLOOKUP(VLOOKUP(E68,LocalAreas.csv!I:K,3,FALSE),ServiceAreas.csv!F:J,5,FALSE)</f>
        <v>200009</v>
      </c>
      <c r="G68" t="str">
        <f t="shared" si="17"/>
        <v>rg:{'id': '200001'}</v>
      </c>
      <c r="H68" t="s">
        <v>7648</v>
      </c>
      <c r="I68" t="s">
        <v>5651</v>
      </c>
      <c r="J68">
        <f>VLOOKUP(I68&amp;"-"&amp;F68,DistrictEquipmentTypes.csv!J:K,2,FALSE)</f>
        <v>200006</v>
      </c>
      <c r="K68" t="str">
        <f t="shared" si="18"/>
        <v>rg:{'id': '200006'}</v>
      </c>
      <c r="L68">
        <f t="shared" si="19"/>
        <v>6</v>
      </c>
      <c r="M68" t="str">
        <f>VLOOKUP(C68,Owners.csv!C:K,9,FALSE)&amp;TEXT(Equipment.csv!L68,"0000")</f>
        <v>DEST0006</v>
      </c>
      <c r="N68" t="s">
        <v>5401</v>
      </c>
      <c r="O68" t="s">
        <v>6750</v>
      </c>
      <c r="P68">
        <v>2014</v>
      </c>
      <c r="Q68">
        <v>92</v>
      </c>
      <c r="R68" t="s">
        <v>6663</v>
      </c>
      <c r="S68" s="1">
        <v>42374</v>
      </c>
      <c r="T68" s="1">
        <v>42388</v>
      </c>
      <c r="U68" t="str">
        <f t="shared" ca="1" si="20"/>
        <v>rg:False</v>
      </c>
      <c r="V68" t="str">
        <f t="shared" ca="1" si="21"/>
        <v>rg:None</v>
      </c>
      <c r="W68" t="s">
        <v>7148</v>
      </c>
      <c r="X68" t="s">
        <v>76</v>
      </c>
      <c r="Y68" t="s">
        <v>76</v>
      </c>
      <c r="Z68" t="s">
        <v>76</v>
      </c>
      <c r="AA68" t="s">
        <v>7495</v>
      </c>
      <c r="AB68" t="s">
        <v>7258</v>
      </c>
      <c r="AC68">
        <v>0</v>
      </c>
      <c r="AD68" t="str">
        <f t="shared" ca="1" si="22"/>
        <v>rg:False</v>
      </c>
      <c r="AE68" t="str">
        <f t="shared" ca="1" si="23"/>
        <v>rg:None</v>
      </c>
      <c r="AF68" s="1">
        <v>42481</v>
      </c>
      <c r="AG68" s="4">
        <f t="shared" ca="1" si="24"/>
        <v>12</v>
      </c>
      <c r="AH68" s="4">
        <f t="shared" si="25"/>
        <v>0.2</v>
      </c>
      <c r="AI68">
        <f t="shared" ca="1" si="26"/>
        <v>0</v>
      </c>
      <c r="AJ68">
        <f t="shared" ca="1" si="27"/>
        <v>0</v>
      </c>
      <c r="AK68">
        <f t="shared" ca="1" si="28"/>
        <v>0</v>
      </c>
      <c r="AL68" t="s">
        <v>326</v>
      </c>
      <c r="AO68" t="s">
        <v>76</v>
      </c>
      <c r="AP68" t="s">
        <v>6510</v>
      </c>
      <c r="AQ68" t="s">
        <v>6510</v>
      </c>
      <c r="AR68" t="s">
        <v>6510</v>
      </c>
      <c r="AS68" t="s">
        <v>6510</v>
      </c>
    </row>
    <row r="69" spans="1:45" x14ac:dyDescent="0.3">
      <c r="A69" t="s">
        <v>5630</v>
      </c>
      <c r="B69">
        <f t="shared" si="15"/>
        <v>200067</v>
      </c>
      <c r="C69">
        <v>200022</v>
      </c>
      <c r="D69" t="str">
        <f t="shared" si="16"/>
        <v>rg:{'id': '200022'}</v>
      </c>
      <c r="E69">
        <f>VLOOKUP(C69,Owners.csv!C:J,6,FALSE)</f>
        <v>200001</v>
      </c>
      <c r="F69" t="str">
        <f>VLOOKUP(VLOOKUP(E69,LocalAreas.csv!I:K,3,FALSE),ServiceAreas.csv!F:J,5,FALSE)</f>
        <v>200009</v>
      </c>
      <c r="G69" t="str">
        <f t="shared" si="17"/>
        <v>rg:{'id': '200001'}</v>
      </c>
      <c r="H69" t="s">
        <v>7727</v>
      </c>
      <c r="I69" t="s">
        <v>5637</v>
      </c>
      <c r="J69">
        <f>VLOOKUP(I69&amp;"-"&amp;F69,DistrictEquipmentTypes.csv!J:K,2,FALSE)</f>
        <v>200001</v>
      </c>
      <c r="K69" t="str">
        <f t="shared" si="18"/>
        <v>rg:{'id': '200001'}</v>
      </c>
      <c r="L69">
        <f t="shared" si="19"/>
        <v>7</v>
      </c>
      <c r="M69" t="str">
        <f>VLOOKUP(C69,Owners.csv!C:K,9,FALSE)&amp;TEXT(Equipment.csv!L69,"0000")</f>
        <v>DEST0007</v>
      </c>
      <c r="N69" t="s">
        <v>5401</v>
      </c>
      <c r="O69" t="s">
        <v>6770</v>
      </c>
      <c r="P69">
        <v>1999</v>
      </c>
      <c r="Q69">
        <v>112</v>
      </c>
      <c r="R69" t="s">
        <v>6663</v>
      </c>
      <c r="S69" s="1">
        <v>40157</v>
      </c>
      <c r="T69" s="1">
        <v>40160</v>
      </c>
      <c r="U69" t="str">
        <f t="shared" ca="1" si="20"/>
        <v>rg:False</v>
      </c>
      <c r="V69" t="str">
        <f t="shared" ca="1" si="21"/>
        <v>rg:None</v>
      </c>
      <c r="W69" t="s">
        <v>7168</v>
      </c>
      <c r="X69" t="s">
        <v>76</v>
      </c>
      <c r="Y69" t="s">
        <v>76</v>
      </c>
      <c r="Z69" t="s">
        <v>76</v>
      </c>
      <c r="AA69" t="s">
        <v>7515</v>
      </c>
      <c r="AB69" t="s">
        <v>7349</v>
      </c>
      <c r="AC69">
        <v>0</v>
      </c>
      <c r="AD69" t="str">
        <f t="shared" ca="1" si="22"/>
        <v>rg:False</v>
      </c>
      <c r="AE69" t="str">
        <f t="shared" ca="1" si="23"/>
        <v>rg:None</v>
      </c>
      <c r="AF69" s="1">
        <v>42481</v>
      </c>
      <c r="AG69" s="4">
        <f t="shared" ca="1" si="24"/>
        <v>263.66666666666669</v>
      </c>
      <c r="AH69" s="4">
        <f t="shared" si="25"/>
        <v>6.3</v>
      </c>
      <c r="AI69">
        <f t="shared" ca="1" si="26"/>
        <v>105</v>
      </c>
      <c r="AJ69">
        <f t="shared" ca="1" si="27"/>
        <v>0</v>
      </c>
      <c r="AK69">
        <f t="shared" ca="1" si="28"/>
        <v>119</v>
      </c>
      <c r="AL69" t="s">
        <v>326</v>
      </c>
      <c r="AO69" t="s">
        <v>76</v>
      </c>
      <c r="AP69" t="s">
        <v>6510</v>
      </c>
      <c r="AQ69" t="s">
        <v>6510</v>
      </c>
      <c r="AR69" t="s">
        <v>6510</v>
      </c>
      <c r="AS69" t="s">
        <v>6510</v>
      </c>
    </row>
    <row r="70" spans="1:45" x14ac:dyDescent="0.3">
      <c r="A70" t="s">
        <v>5630</v>
      </c>
      <c r="B70">
        <f t="shared" si="15"/>
        <v>200068</v>
      </c>
      <c r="C70">
        <v>200022</v>
      </c>
      <c r="D70" t="str">
        <f t="shared" si="16"/>
        <v>rg:{'id': '200022'}</v>
      </c>
      <c r="E70">
        <f>VLOOKUP(C70,Owners.csv!C:J,6,FALSE)</f>
        <v>200001</v>
      </c>
      <c r="F70" t="str">
        <f>VLOOKUP(VLOOKUP(E70,LocalAreas.csv!I:K,3,FALSE),ServiceAreas.csv!F:J,5,FALSE)</f>
        <v>200009</v>
      </c>
      <c r="G70" t="str">
        <f t="shared" si="17"/>
        <v>rg:{'id': '200001'}</v>
      </c>
      <c r="H70" t="s">
        <v>7652</v>
      </c>
      <c r="I70" t="s">
        <v>5536</v>
      </c>
      <c r="J70">
        <f>VLOOKUP(I70&amp;"-"&amp;F70,DistrictEquipmentTypes.csv!J:K,2,FALSE)</f>
        <v>200000</v>
      </c>
      <c r="K70" t="str">
        <f t="shared" si="18"/>
        <v>rg:{'id': '200000'}</v>
      </c>
      <c r="L70">
        <f t="shared" si="19"/>
        <v>8</v>
      </c>
      <c r="M70" t="str">
        <f>VLOOKUP(C70,Owners.csv!C:K,9,FALSE)&amp;TEXT(Equipment.csv!L70,"0000")</f>
        <v>DEST0008</v>
      </c>
      <c r="N70" t="s">
        <v>5401</v>
      </c>
      <c r="O70" t="s">
        <v>6785</v>
      </c>
      <c r="P70">
        <v>1995</v>
      </c>
      <c r="Q70">
        <v>127</v>
      </c>
      <c r="R70" t="s">
        <v>6663</v>
      </c>
      <c r="S70" s="1">
        <v>40951</v>
      </c>
      <c r="T70" s="1">
        <v>40962</v>
      </c>
      <c r="U70" t="str">
        <f t="shared" ca="1" si="20"/>
        <v>rg:False</v>
      </c>
      <c r="V70" t="str">
        <f t="shared" ca="1" si="21"/>
        <v>rg:None</v>
      </c>
      <c r="W70" t="s">
        <v>7183</v>
      </c>
      <c r="X70" t="s">
        <v>76</v>
      </c>
      <c r="Y70" t="s">
        <v>76</v>
      </c>
      <c r="Z70" t="s">
        <v>76</v>
      </c>
      <c r="AA70" t="s">
        <v>7530</v>
      </c>
      <c r="AB70" t="s">
        <v>7360</v>
      </c>
      <c r="AC70">
        <v>0</v>
      </c>
      <c r="AD70" t="str">
        <f t="shared" ca="1" si="22"/>
        <v>rg:False</v>
      </c>
      <c r="AE70" t="str">
        <f t="shared" ca="1" si="23"/>
        <v>rg:None</v>
      </c>
      <c r="AF70" s="1">
        <v>42481</v>
      </c>
      <c r="AG70" s="4">
        <f t="shared" ca="1" si="24"/>
        <v>261.5</v>
      </c>
      <c r="AH70" s="4">
        <f t="shared" si="25"/>
        <v>4.1055555555555552</v>
      </c>
      <c r="AI70">
        <f t="shared" ca="1" si="26"/>
        <v>116</v>
      </c>
      <c r="AJ70">
        <f t="shared" ca="1" si="27"/>
        <v>154</v>
      </c>
      <c r="AK70">
        <f t="shared" ca="1" si="28"/>
        <v>145</v>
      </c>
      <c r="AL70" t="s">
        <v>326</v>
      </c>
      <c r="AO70" t="s">
        <v>76</v>
      </c>
      <c r="AP70" t="s">
        <v>6510</v>
      </c>
      <c r="AQ70" t="s">
        <v>6510</v>
      </c>
      <c r="AR70" t="s">
        <v>6510</v>
      </c>
      <c r="AS70" t="s">
        <v>6510</v>
      </c>
    </row>
    <row r="71" spans="1:45" x14ac:dyDescent="0.3">
      <c r="A71" t="s">
        <v>5630</v>
      </c>
      <c r="B71">
        <f t="shared" si="15"/>
        <v>200069</v>
      </c>
      <c r="C71">
        <v>200023</v>
      </c>
      <c r="D71" t="str">
        <f t="shared" si="16"/>
        <v>rg:{'id': '200023'}</v>
      </c>
      <c r="E71">
        <f>VLOOKUP(C71,Owners.csv!C:J,6,FALSE)</f>
        <v>200001</v>
      </c>
      <c r="F71" t="str">
        <f>VLOOKUP(VLOOKUP(E71,LocalAreas.csv!I:K,3,FALSE),ServiceAreas.csv!F:J,5,FALSE)</f>
        <v>200009</v>
      </c>
      <c r="G71" t="str">
        <f t="shared" si="17"/>
        <v>rg:{'id': '200001'}</v>
      </c>
      <c r="H71" t="s">
        <v>7674</v>
      </c>
      <c r="I71" t="s">
        <v>5642</v>
      </c>
      <c r="J71">
        <f>VLOOKUP(I71&amp;"-"&amp;F71,DistrictEquipmentTypes.csv!J:K,2,FALSE)</f>
        <v>200004</v>
      </c>
      <c r="K71" t="str">
        <f t="shared" si="18"/>
        <v>rg:{'id': '200004'}</v>
      </c>
      <c r="L71">
        <f t="shared" si="19"/>
        <v>1</v>
      </c>
      <c r="M71" t="str">
        <f>VLOOKUP(C71,Owners.csv!C:K,9,FALSE)&amp;TEXT(Equipment.csv!L71,"0000")</f>
        <v>EART0001</v>
      </c>
      <c r="N71" t="s">
        <v>5401</v>
      </c>
      <c r="O71" t="s">
        <v>6693</v>
      </c>
      <c r="P71">
        <v>1983</v>
      </c>
      <c r="Q71">
        <v>35</v>
      </c>
      <c r="R71" t="s">
        <v>6663</v>
      </c>
      <c r="S71" s="1">
        <v>40222</v>
      </c>
      <c r="T71" s="1">
        <v>40251</v>
      </c>
      <c r="U71" t="str">
        <f t="shared" ca="1" si="20"/>
        <v>rg:True</v>
      </c>
      <c r="V71" t="str">
        <f t="shared" ca="1" si="21"/>
        <v>This equipment should be archived</v>
      </c>
      <c r="W71" t="s">
        <v>7091</v>
      </c>
      <c r="X71" t="s">
        <v>76</v>
      </c>
      <c r="Y71" t="s">
        <v>76</v>
      </c>
      <c r="Z71" t="s">
        <v>76</v>
      </c>
      <c r="AA71" t="s">
        <v>7438</v>
      </c>
      <c r="AB71" t="s">
        <v>7288</v>
      </c>
      <c r="AC71">
        <v>0</v>
      </c>
      <c r="AD71" t="str">
        <f t="shared" ca="1" si="22"/>
        <v>rg:False</v>
      </c>
      <c r="AE71" t="str">
        <f t="shared" ca="1" si="23"/>
        <v>rg:None</v>
      </c>
      <c r="AF71" s="1">
        <v>42480</v>
      </c>
      <c r="AG71" s="4">
        <f t="shared" ca="1" si="24"/>
        <v>279.75</v>
      </c>
      <c r="AH71" s="4">
        <f t="shared" si="25"/>
        <v>6.0472222222222225</v>
      </c>
      <c r="AI71">
        <f t="shared" ca="1" si="26"/>
        <v>195</v>
      </c>
      <c r="AJ71">
        <f t="shared" ca="1" si="27"/>
        <v>25</v>
      </c>
      <c r="AK71">
        <f t="shared" ca="1" si="28"/>
        <v>75</v>
      </c>
      <c r="AL71" t="s">
        <v>326</v>
      </c>
      <c r="AO71" t="s">
        <v>76</v>
      </c>
      <c r="AP71" t="s">
        <v>6510</v>
      </c>
      <c r="AQ71" t="s">
        <v>6510</v>
      </c>
      <c r="AR71" t="s">
        <v>6510</v>
      </c>
      <c r="AS71" t="s">
        <v>6510</v>
      </c>
    </row>
    <row r="72" spans="1:45" x14ac:dyDescent="0.3">
      <c r="A72" t="s">
        <v>5630</v>
      </c>
      <c r="B72">
        <f t="shared" si="15"/>
        <v>200070</v>
      </c>
      <c r="C72">
        <v>200023</v>
      </c>
      <c r="D72" t="str">
        <f t="shared" si="16"/>
        <v>rg:{'id': '200023'}</v>
      </c>
      <c r="E72">
        <f>VLOOKUP(C72,Owners.csv!C:J,6,FALSE)</f>
        <v>200001</v>
      </c>
      <c r="F72" t="str">
        <f>VLOOKUP(VLOOKUP(E72,LocalAreas.csv!I:K,3,FALSE),ServiceAreas.csv!F:J,5,FALSE)</f>
        <v>200009</v>
      </c>
      <c r="G72" t="str">
        <f t="shared" si="17"/>
        <v>rg:{'id': '200001'}</v>
      </c>
      <c r="H72" t="s">
        <v>7680</v>
      </c>
      <c r="I72" t="s">
        <v>5642</v>
      </c>
      <c r="J72">
        <f>VLOOKUP(I72&amp;"-"&amp;F72,DistrictEquipmentTypes.csv!J:K,2,FALSE)</f>
        <v>200004</v>
      </c>
      <c r="K72" t="str">
        <f t="shared" si="18"/>
        <v>rg:{'id': '200004'}</v>
      </c>
      <c r="L72">
        <f t="shared" si="19"/>
        <v>2</v>
      </c>
      <c r="M72" t="str">
        <f>VLOOKUP(C72,Owners.csv!C:K,9,FALSE)&amp;TEXT(Equipment.csv!L72,"0000")</f>
        <v>EART0002</v>
      </c>
      <c r="N72" t="s">
        <v>5401</v>
      </c>
      <c r="O72" t="s">
        <v>6703</v>
      </c>
      <c r="P72">
        <v>1978</v>
      </c>
      <c r="Q72">
        <v>45</v>
      </c>
      <c r="R72" t="s">
        <v>6663</v>
      </c>
      <c r="S72" s="1">
        <v>38912</v>
      </c>
      <c r="T72" s="1">
        <v>38922</v>
      </c>
      <c r="U72" t="str">
        <f t="shared" ca="1" si="20"/>
        <v>rg:False</v>
      </c>
      <c r="V72" t="str">
        <f t="shared" ca="1" si="21"/>
        <v>rg:None</v>
      </c>
      <c r="W72" t="s">
        <v>7101</v>
      </c>
      <c r="X72" t="s">
        <v>76</v>
      </c>
      <c r="Y72" t="s">
        <v>76</v>
      </c>
      <c r="Z72" t="s">
        <v>76</v>
      </c>
      <c r="AA72" t="s">
        <v>7448</v>
      </c>
      <c r="AB72" t="s">
        <v>7298</v>
      </c>
      <c r="AC72">
        <v>0</v>
      </c>
      <c r="AD72" t="str">
        <f t="shared" ca="1" si="22"/>
        <v>rg:False</v>
      </c>
      <c r="AE72" t="str">
        <f t="shared" ca="1" si="23"/>
        <v>rg:None</v>
      </c>
      <c r="AF72" s="1">
        <v>42461</v>
      </c>
      <c r="AG72" s="4">
        <f t="shared" ca="1" si="24"/>
        <v>382.91666666666669</v>
      </c>
      <c r="AH72" s="4">
        <f t="shared" si="25"/>
        <v>9.6861111111111118</v>
      </c>
      <c r="AI72">
        <f t="shared" ca="1" si="26"/>
        <v>28</v>
      </c>
      <c r="AJ72">
        <f t="shared" ca="1" si="27"/>
        <v>155</v>
      </c>
      <c r="AK72">
        <f t="shared" ca="1" si="28"/>
        <v>94</v>
      </c>
      <c r="AL72" t="s">
        <v>326</v>
      </c>
      <c r="AO72" t="s">
        <v>76</v>
      </c>
      <c r="AP72" t="s">
        <v>6510</v>
      </c>
      <c r="AQ72" t="s">
        <v>6510</v>
      </c>
      <c r="AR72" t="s">
        <v>6510</v>
      </c>
      <c r="AS72" t="s">
        <v>6510</v>
      </c>
    </row>
    <row r="73" spans="1:45" x14ac:dyDescent="0.3">
      <c r="A73" t="s">
        <v>5630</v>
      </c>
      <c r="B73">
        <f t="shared" si="15"/>
        <v>200071</v>
      </c>
      <c r="C73">
        <v>200023</v>
      </c>
      <c r="D73" t="str">
        <f t="shared" si="16"/>
        <v>rg:{'id': '200023'}</v>
      </c>
      <c r="E73">
        <f>VLOOKUP(C73,Owners.csv!C:J,6,FALSE)</f>
        <v>200001</v>
      </c>
      <c r="F73" t="str">
        <f>VLOOKUP(VLOOKUP(E73,LocalAreas.csv!I:K,3,FALSE),ServiceAreas.csv!F:J,5,FALSE)</f>
        <v>200009</v>
      </c>
      <c r="G73" t="str">
        <f t="shared" si="17"/>
        <v>rg:{'id': '200001'}</v>
      </c>
      <c r="H73" t="s">
        <v>7687</v>
      </c>
      <c r="I73" t="s">
        <v>5640</v>
      </c>
      <c r="J73">
        <f>VLOOKUP(I73&amp;"-"&amp;F73,DistrictEquipmentTypes.csv!J:K,2,FALSE)</f>
        <v>200002</v>
      </c>
      <c r="K73" t="str">
        <f t="shared" si="18"/>
        <v>rg:{'id': '200002'}</v>
      </c>
      <c r="L73">
        <f t="shared" si="19"/>
        <v>3</v>
      </c>
      <c r="M73" t="str">
        <f>VLOOKUP(C73,Owners.csv!C:K,9,FALSE)&amp;TEXT(Equipment.csv!L73,"0000")</f>
        <v>EART0003</v>
      </c>
      <c r="N73" t="s">
        <v>5401</v>
      </c>
      <c r="O73" t="s">
        <v>6713</v>
      </c>
      <c r="P73">
        <v>1973</v>
      </c>
      <c r="Q73">
        <v>55</v>
      </c>
      <c r="R73" t="s">
        <v>6663</v>
      </c>
      <c r="S73" s="1">
        <v>38527</v>
      </c>
      <c r="T73" s="1">
        <v>38539</v>
      </c>
      <c r="U73" t="str">
        <f t="shared" ca="1" si="20"/>
        <v>rg:True</v>
      </c>
      <c r="V73" t="str">
        <f t="shared" ca="1" si="21"/>
        <v>This equipment should be archived</v>
      </c>
      <c r="W73" t="s">
        <v>7111</v>
      </c>
      <c r="X73" t="s">
        <v>76</v>
      </c>
      <c r="Y73" t="s">
        <v>76</v>
      </c>
      <c r="Z73" t="s">
        <v>76</v>
      </c>
      <c r="AA73" t="s">
        <v>7458</v>
      </c>
      <c r="AB73" t="s">
        <v>7306</v>
      </c>
      <c r="AC73">
        <v>0</v>
      </c>
      <c r="AD73" t="str">
        <f t="shared" ca="1" si="22"/>
        <v>rg:False</v>
      </c>
      <c r="AE73" t="str">
        <f t="shared" ca="1" si="23"/>
        <v>rg:None</v>
      </c>
      <c r="AF73" s="1">
        <v>42481</v>
      </c>
      <c r="AG73" s="4">
        <f t="shared" ca="1" si="24"/>
        <v>431.08333333333331</v>
      </c>
      <c r="AH73" s="4">
        <f t="shared" si="25"/>
        <v>10.736111111111111</v>
      </c>
      <c r="AI73">
        <f t="shared" ca="1" si="26"/>
        <v>3</v>
      </c>
      <c r="AJ73">
        <f t="shared" ca="1" si="27"/>
        <v>152</v>
      </c>
      <c r="AK73">
        <f t="shared" ca="1" si="28"/>
        <v>172</v>
      </c>
      <c r="AL73" t="s">
        <v>326</v>
      </c>
      <c r="AO73" t="s">
        <v>76</v>
      </c>
      <c r="AP73" t="s">
        <v>6510</v>
      </c>
      <c r="AQ73" t="s">
        <v>6510</v>
      </c>
      <c r="AR73" t="s">
        <v>6510</v>
      </c>
      <c r="AS73" t="s">
        <v>6510</v>
      </c>
    </row>
    <row r="74" spans="1:45" x14ac:dyDescent="0.3">
      <c r="A74" t="s">
        <v>5630</v>
      </c>
      <c r="B74">
        <f t="shared" si="15"/>
        <v>200072</v>
      </c>
      <c r="C74">
        <v>200023</v>
      </c>
      <c r="D74" t="str">
        <f t="shared" si="16"/>
        <v>rg:{'id': '200023'}</v>
      </c>
      <c r="E74">
        <f>VLOOKUP(C74,Owners.csv!C:J,6,FALSE)</f>
        <v>200001</v>
      </c>
      <c r="F74" t="str">
        <f>VLOOKUP(VLOOKUP(E74,LocalAreas.csv!I:K,3,FALSE),ServiceAreas.csv!F:J,5,FALSE)</f>
        <v>200009</v>
      </c>
      <c r="G74" t="str">
        <f t="shared" si="17"/>
        <v>rg:{'id': '200001'}</v>
      </c>
      <c r="H74" t="s">
        <v>7695</v>
      </c>
      <c r="I74" t="s">
        <v>5640</v>
      </c>
      <c r="J74">
        <f>VLOOKUP(I74&amp;"-"&amp;F74,DistrictEquipmentTypes.csv!J:K,2,FALSE)</f>
        <v>200002</v>
      </c>
      <c r="K74" t="str">
        <f t="shared" si="18"/>
        <v>rg:{'id': '200002'}</v>
      </c>
      <c r="L74">
        <f t="shared" si="19"/>
        <v>4</v>
      </c>
      <c r="M74" t="str">
        <f>VLOOKUP(C74,Owners.csv!C:K,9,FALSE)&amp;TEXT(Equipment.csv!L74,"0000")</f>
        <v>EART0004</v>
      </c>
      <c r="N74" t="s">
        <v>5401</v>
      </c>
      <c r="O74" t="s">
        <v>6723</v>
      </c>
      <c r="P74">
        <v>1988</v>
      </c>
      <c r="Q74">
        <v>65</v>
      </c>
      <c r="R74" t="s">
        <v>6665</v>
      </c>
      <c r="S74" s="1">
        <v>39444</v>
      </c>
      <c r="T74" s="1">
        <v>39472</v>
      </c>
      <c r="U74" t="str">
        <f t="shared" ca="1" si="20"/>
        <v>rg:False</v>
      </c>
      <c r="V74" t="str">
        <f t="shared" ca="1" si="21"/>
        <v>rg:None</v>
      </c>
      <c r="W74" t="s">
        <v>7121</v>
      </c>
      <c r="X74" t="s">
        <v>76</v>
      </c>
      <c r="Y74" t="s">
        <v>76</v>
      </c>
      <c r="Z74" t="s">
        <v>76</v>
      </c>
      <c r="AA74" t="s">
        <v>7468</v>
      </c>
      <c r="AB74" t="s">
        <v>7313</v>
      </c>
      <c r="AC74">
        <v>0</v>
      </c>
      <c r="AD74" t="str">
        <f t="shared" ca="1" si="22"/>
        <v>rg:False</v>
      </c>
      <c r="AE74" t="str">
        <f t="shared" ca="1" si="23"/>
        <v>rg:None</v>
      </c>
      <c r="AF74" s="1">
        <v>42481</v>
      </c>
      <c r="AG74" s="4">
        <f t="shared" ca="1" si="24"/>
        <v>344.5</v>
      </c>
      <c r="AH74" s="4">
        <f t="shared" si="25"/>
        <v>8.1833333333333336</v>
      </c>
      <c r="AI74">
        <f t="shared" ca="1" si="26"/>
        <v>100</v>
      </c>
      <c r="AJ74">
        <f t="shared" ca="1" si="27"/>
        <v>171</v>
      </c>
      <c r="AK74">
        <f t="shared" ca="1" si="28"/>
        <v>26</v>
      </c>
      <c r="AL74" t="s">
        <v>326</v>
      </c>
      <c r="AO74" t="s">
        <v>76</v>
      </c>
      <c r="AP74" t="s">
        <v>6510</v>
      </c>
      <c r="AQ74" t="s">
        <v>6510</v>
      </c>
      <c r="AR74" t="s">
        <v>6510</v>
      </c>
      <c r="AS74" t="s">
        <v>6510</v>
      </c>
    </row>
    <row r="75" spans="1:45" x14ac:dyDescent="0.3">
      <c r="A75" t="s">
        <v>5630</v>
      </c>
      <c r="B75">
        <f t="shared" si="15"/>
        <v>200073</v>
      </c>
      <c r="C75">
        <v>200023</v>
      </c>
      <c r="D75" t="str">
        <f t="shared" si="16"/>
        <v>rg:{'id': '200023'}</v>
      </c>
      <c r="E75">
        <f>VLOOKUP(C75,Owners.csv!C:J,6,FALSE)</f>
        <v>200001</v>
      </c>
      <c r="F75" t="str">
        <f>VLOOKUP(VLOOKUP(E75,LocalAreas.csv!I:K,3,FALSE),ServiceAreas.csv!F:J,5,FALSE)</f>
        <v>200009</v>
      </c>
      <c r="G75" t="str">
        <f t="shared" si="17"/>
        <v>rg:{'id': '200001'}</v>
      </c>
      <c r="H75" t="s">
        <v>7703</v>
      </c>
      <c r="I75" t="s">
        <v>5651</v>
      </c>
      <c r="J75">
        <f>VLOOKUP(I75&amp;"-"&amp;F75,DistrictEquipmentTypes.csv!J:K,2,FALSE)</f>
        <v>200006</v>
      </c>
      <c r="K75" t="str">
        <f t="shared" si="18"/>
        <v>rg:{'id': '200006'}</v>
      </c>
      <c r="L75">
        <f t="shared" si="19"/>
        <v>5</v>
      </c>
      <c r="M75" t="str">
        <f>VLOOKUP(C75,Owners.csv!C:K,9,FALSE)&amp;TEXT(Equipment.csv!L75,"0000")</f>
        <v>EART0005</v>
      </c>
      <c r="N75" t="s">
        <v>5401</v>
      </c>
      <c r="O75" t="s">
        <v>6731</v>
      </c>
      <c r="P75">
        <v>1991</v>
      </c>
      <c r="Q75">
        <v>73</v>
      </c>
      <c r="R75" t="s">
        <v>6663</v>
      </c>
      <c r="S75" s="1">
        <v>41775</v>
      </c>
      <c r="T75" s="1">
        <v>41782</v>
      </c>
      <c r="U75" t="str">
        <f t="shared" ca="1" si="20"/>
        <v>rg:False</v>
      </c>
      <c r="V75" t="str">
        <f t="shared" ca="1" si="21"/>
        <v>rg:None</v>
      </c>
      <c r="W75" t="s">
        <v>7129</v>
      </c>
      <c r="X75" t="s">
        <v>76</v>
      </c>
      <c r="Y75" t="s">
        <v>76</v>
      </c>
      <c r="Z75" t="s">
        <v>76</v>
      </c>
      <c r="AA75" t="s">
        <v>7476</v>
      </c>
      <c r="AB75" t="s">
        <v>7286</v>
      </c>
      <c r="AC75">
        <v>0</v>
      </c>
      <c r="AD75" t="str">
        <f t="shared" ca="1" si="22"/>
        <v>rg:False</v>
      </c>
      <c r="AE75" t="str">
        <f t="shared" ca="1" si="23"/>
        <v>rg:None</v>
      </c>
      <c r="AF75" s="1">
        <v>42481</v>
      </c>
      <c r="AG75" s="4">
        <f t="shared" ca="1" si="24"/>
        <v>151</v>
      </c>
      <c r="AH75" s="4">
        <f t="shared" si="25"/>
        <v>1.8555555555555556</v>
      </c>
      <c r="AI75">
        <f t="shared" ca="1" si="26"/>
        <v>119</v>
      </c>
      <c r="AJ75">
        <f t="shared" ca="1" si="27"/>
        <v>0</v>
      </c>
      <c r="AK75">
        <f t="shared" ca="1" si="28"/>
        <v>0</v>
      </c>
      <c r="AL75" t="s">
        <v>326</v>
      </c>
      <c r="AO75" t="s">
        <v>76</v>
      </c>
      <c r="AP75" t="s">
        <v>6510</v>
      </c>
      <c r="AQ75" t="s">
        <v>6510</v>
      </c>
      <c r="AR75" t="s">
        <v>6510</v>
      </c>
      <c r="AS75" t="s">
        <v>6510</v>
      </c>
    </row>
    <row r="76" spans="1:45" x14ac:dyDescent="0.3">
      <c r="A76" t="s">
        <v>5630</v>
      </c>
      <c r="B76">
        <f t="shared" si="15"/>
        <v>200074</v>
      </c>
      <c r="C76">
        <v>200023</v>
      </c>
      <c r="D76" t="str">
        <f t="shared" si="16"/>
        <v>rg:{'id': '200023'}</v>
      </c>
      <c r="E76">
        <f>VLOOKUP(C76,Owners.csv!C:J,6,FALSE)</f>
        <v>200001</v>
      </c>
      <c r="F76" t="str">
        <f>VLOOKUP(VLOOKUP(E76,LocalAreas.csv!I:K,3,FALSE),ServiceAreas.csv!F:J,5,FALSE)</f>
        <v>200009</v>
      </c>
      <c r="G76" t="str">
        <f t="shared" si="17"/>
        <v>rg:{'id': '200001'}</v>
      </c>
      <c r="H76" t="s">
        <v>7687</v>
      </c>
      <c r="I76" t="s">
        <v>5651</v>
      </c>
      <c r="J76">
        <f>VLOOKUP(I76&amp;"-"&amp;F76,DistrictEquipmentTypes.csv!J:K,2,FALSE)</f>
        <v>200006</v>
      </c>
      <c r="K76" t="str">
        <f t="shared" si="18"/>
        <v>rg:{'id': '200006'}</v>
      </c>
      <c r="L76">
        <f t="shared" si="19"/>
        <v>6</v>
      </c>
      <c r="M76" t="str">
        <f>VLOOKUP(C76,Owners.csv!C:K,9,FALSE)&amp;TEXT(Equipment.csv!L76,"0000")</f>
        <v>EART0006</v>
      </c>
      <c r="N76" t="s">
        <v>5401</v>
      </c>
      <c r="O76" t="s">
        <v>6751</v>
      </c>
      <c r="P76">
        <v>1996</v>
      </c>
      <c r="Q76">
        <v>93</v>
      </c>
      <c r="R76" t="s">
        <v>6663</v>
      </c>
      <c r="S76" s="1">
        <v>40890</v>
      </c>
      <c r="T76" s="1">
        <v>40893</v>
      </c>
      <c r="U76" t="str">
        <f t="shared" ca="1" si="20"/>
        <v>rg:False</v>
      </c>
      <c r="V76" t="str">
        <f t="shared" ca="1" si="21"/>
        <v>rg:None</v>
      </c>
      <c r="W76" t="s">
        <v>7149</v>
      </c>
      <c r="X76" t="s">
        <v>76</v>
      </c>
      <c r="Y76" t="s">
        <v>76</v>
      </c>
      <c r="Z76" t="s">
        <v>76</v>
      </c>
      <c r="AA76" t="s">
        <v>7496</v>
      </c>
      <c r="AB76" t="s">
        <v>7334</v>
      </c>
      <c r="AC76">
        <v>0</v>
      </c>
      <c r="AD76" t="str">
        <f t="shared" ca="1" si="22"/>
        <v>rg:False</v>
      </c>
      <c r="AE76" t="str">
        <f t="shared" ca="1" si="23"/>
        <v>rg:None</v>
      </c>
      <c r="AF76" s="1">
        <v>42481</v>
      </c>
      <c r="AG76" s="4">
        <f t="shared" ca="1" si="24"/>
        <v>333.83333333333331</v>
      </c>
      <c r="AH76" s="4">
        <f t="shared" si="25"/>
        <v>4.291666666666667</v>
      </c>
      <c r="AI76">
        <f t="shared" ca="1" si="26"/>
        <v>56</v>
      </c>
      <c r="AJ76">
        <f t="shared" ca="1" si="27"/>
        <v>4</v>
      </c>
      <c r="AK76">
        <f t="shared" ca="1" si="28"/>
        <v>169</v>
      </c>
      <c r="AL76" t="s">
        <v>326</v>
      </c>
      <c r="AO76" t="s">
        <v>76</v>
      </c>
      <c r="AP76" t="s">
        <v>6510</v>
      </c>
      <c r="AQ76" t="s">
        <v>6510</v>
      </c>
      <c r="AR76" t="s">
        <v>6510</v>
      </c>
      <c r="AS76" t="s">
        <v>6510</v>
      </c>
    </row>
    <row r="77" spans="1:45" x14ac:dyDescent="0.3">
      <c r="A77" t="s">
        <v>5630</v>
      </c>
      <c r="B77">
        <f t="shared" si="15"/>
        <v>200075</v>
      </c>
      <c r="C77">
        <v>200023</v>
      </c>
      <c r="D77" t="str">
        <f t="shared" si="16"/>
        <v>rg:{'id': '200023'}</v>
      </c>
      <c r="E77">
        <f>VLOOKUP(C77,Owners.csv!C:J,6,FALSE)</f>
        <v>200001</v>
      </c>
      <c r="F77" t="str">
        <f>VLOOKUP(VLOOKUP(E77,LocalAreas.csv!I:K,3,FALSE),ServiceAreas.csv!F:J,5,FALSE)</f>
        <v>200009</v>
      </c>
      <c r="G77" t="str">
        <f t="shared" si="17"/>
        <v>rg:{'id': '200001'}</v>
      </c>
      <c r="H77" t="s">
        <v>7721</v>
      </c>
      <c r="I77" t="s">
        <v>5637</v>
      </c>
      <c r="J77">
        <f>VLOOKUP(I77&amp;"-"&amp;F77,DistrictEquipmentTypes.csv!J:K,2,FALSE)</f>
        <v>200001</v>
      </c>
      <c r="K77" t="str">
        <f t="shared" si="18"/>
        <v>rg:{'id': '200001'}</v>
      </c>
      <c r="L77">
        <f t="shared" si="19"/>
        <v>7</v>
      </c>
      <c r="M77" t="str">
        <f>VLOOKUP(C77,Owners.csv!C:K,9,FALSE)&amp;TEXT(Equipment.csv!L77,"0000")</f>
        <v>EART0007</v>
      </c>
      <c r="N77" t="s">
        <v>5401</v>
      </c>
      <c r="O77" t="s">
        <v>6771</v>
      </c>
      <c r="P77">
        <v>2005</v>
      </c>
      <c r="Q77">
        <v>113</v>
      </c>
      <c r="R77" t="s">
        <v>6663</v>
      </c>
      <c r="S77" s="1">
        <v>39237</v>
      </c>
      <c r="T77" s="1">
        <v>39258</v>
      </c>
      <c r="U77" t="str">
        <f t="shared" ca="1" si="20"/>
        <v>rg:False</v>
      </c>
      <c r="V77" t="str">
        <f t="shared" ca="1" si="21"/>
        <v>rg:None</v>
      </c>
      <c r="W77" t="s">
        <v>7169</v>
      </c>
      <c r="X77" t="s">
        <v>76</v>
      </c>
      <c r="Y77" t="s">
        <v>76</v>
      </c>
      <c r="Z77" t="s">
        <v>76</v>
      </c>
      <c r="AA77" t="s">
        <v>7516</v>
      </c>
      <c r="AB77" t="s">
        <v>7350</v>
      </c>
      <c r="AC77">
        <v>0</v>
      </c>
      <c r="AD77" t="str">
        <f t="shared" ca="1" si="22"/>
        <v>rg:False</v>
      </c>
      <c r="AE77" t="str">
        <f t="shared" ca="1" si="23"/>
        <v>rg:None</v>
      </c>
      <c r="AF77" s="1">
        <v>42481</v>
      </c>
      <c r="AG77" s="4">
        <f t="shared" ca="1" si="24"/>
        <v>368.33333333333331</v>
      </c>
      <c r="AH77" s="4">
        <f t="shared" si="25"/>
        <v>8.7666666666666675</v>
      </c>
      <c r="AI77">
        <f t="shared" ca="1" si="26"/>
        <v>31</v>
      </c>
      <c r="AJ77">
        <f t="shared" ca="1" si="27"/>
        <v>125</v>
      </c>
      <c r="AK77">
        <f t="shared" ca="1" si="28"/>
        <v>160</v>
      </c>
      <c r="AL77" t="s">
        <v>326</v>
      </c>
      <c r="AO77" t="s">
        <v>76</v>
      </c>
      <c r="AP77" t="s">
        <v>6510</v>
      </c>
      <c r="AQ77" t="s">
        <v>6510</v>
      </c>
      <c r="AR77" t="s">
        <v>6510</v>
      </c>
      <c r="AS77" t="s">
        <v>6510</v>
      </c>
    </row>
    <row r="78" spans="1:45" x14ac:dyDescent="0.3">
      <c r="A78" t="s">
        <v>5630</v>
      </c>
      <c r="B78">
        <f t="shared" si="15"/>
        <v>200076</v>
      </c>
      <c r="C78">
        <v>200023</v>
      </c>
      <c r="D78" t="str">
        <f t="shared" si="16"/>
        <v>rg:{'id': '200023'}</v>
      </c>
      <c r="E78">
        <f>VLOOKUP(C78,Owners.csv!C:J,6,FALSE)</f>
        <v>200001</v>
      </c>
      <c r="F78" t="str">
        <f>VLOOKUP(VLOOKUP(E78,LocalAreas.csv!I:K,3,FALSE),ServiceAreas.csv!F:J,5,FALSE)</f>
        <v>200009</v>
      </c>
      <c r="G78" t="str">
        <f t="shared" si="17"/>
        <v>rg:{'id': '200001'}</v>
      </c>
      <c r="H78" t="s">
        <v>7736</v>
      </c>
      <c r="I78" t="s">
        <v>5536</v>
      </c>
      <c r="J78">
        <f>VLOOKUP(I78&amp;"-"&amp;F78,DistrictEquipmentTypes.csv!J:K,2,FALSE)</f>
        <v>200000</v>
      </c>
      <c r="K78" t="str">
        <f t="shared" si="18"/>
        <v>rg:{'id': '200000'}</v>
      </c>
      <c r="L78">
        <f t="shared" si="19"/>
        <v>8</v>
      </c>
      <c r="M78" t="str">
        <f>VLOOKUP(C78,Owners.csv!C:K,9,FALSE)&amp;TEXT(Equipment.csv!L78,"0000")</f>
        <v>EART0008</v>
      </c>
      <c r="N78" t="s">
        <v>5401</v>
      </c>
      <c r="O78" t="s">
        <v>6786</v>
      </c>
      <c r="P78">
        <v>2000</v>
      </c>
      <c r="Q78">
        <v>128</v>
      </c>
      <c r="R78" t="s">
        <v>6663</v>
      </c>
      <c r="S78" s="1">
        <v>40569</v>
      </c>
      <c r="T78" s="1">
        <v>40575</v>
      </c>
      <c r="U78" t="str">
        <f t="shared" ca="1" si="20"/>
        <v>rg:False</v>
      </c>
      <c r="V78" t="str">
        <f t="shared" ca="1" si="21"/>
        <v>rg:None</v>
      </c>
      <c r="W78" t="s">
        <v>7184</v>
      </c>
      <c r="X78" t="s">
        <v>76</v>
      </c>
      <c r="Y78" t="s">
        <v>76</v>
      </c>
      <c r="Z78" t="s">
        <v>76</v>
      </c>
      <c r="AA78" t="s">
        <v>7531</v>
      </c>
      <c r="AB78" t="s">
        <v>7361</v>
      </c>
      <c r="AC78">
        <v>0</v>
      </c>
      <c r="AD78" t="str">
        <f t="shared" ca="1" si="22"/>
        <v>rg:False</v>
      </c>
      <c r="AE78" t="str">
        <f t="shared" ca="1" si="23"/>
        <v>rg:None</v>
      </c>
      <c r="AF78" s="1">
        <v>42481</v>
      </c>
      <c r="AG78" s="4">
        <f t="shared" ca="1" si="24"/>
        <v>236.66666666666669</v>
      </c>
      <c r="AH78" s="4">
        <f t="shared" si="25"/>
        <v>5.166666666666667</v>
      </c>
      <c r="AI78">
        <f t="shared" ca="1" si="26"/>
        <v>47</v>
      </c>
      <c r="AJ78">
        <f t="shared" ca="1" si="27"/>
        <v>24</v>
      </c>
      <c r="AK78">
        <f t="shared" ca="1" si="28"/>
        <v>174</v>
      </c>
      <c r="AL78" t="s">
        <v>326</v>
      </c>
      <c r="AO78" t="s">
        <v>76</v>
      </c>
      <c r="AP78" t="s">
        <v>6510</v>
      </c>
      <c r="AQ78" t="s">
        <v>6510</v>
      </c>
      <c r="AR78" t="s">
        <v>6510</v>
      </c>
      <c r="AS78" t="s">
        <v>6510</v>
      </c>
    </row>
    <row r="79" spans="1:45" x14ac:dyDescent="0.3">
      <c r="A79" t="s">
        <v>5630</v>
      </c>
      <c r="B79">
        <f t="shared" si="15"/>
        <v>200077</v>
      </c>
      <c r="C79">
        <v>200024</v>
      </c>
      <c r="D79" t="str">
        <f t="shared" si="16"/>
        <v>rg:{'id': '200024'}</v>
      </c>
      <c r="E79">
        <f>VLOOKUP(C79,Owners.csv!C:J,6,FALSE)</f>
        <v>200001</v>
      </c>
      <c r="F79" t="str">
        <f>VLOOKUP(VLOOKUP(E79,LocalAreas.csv!I:K,3,FALSE),ServiceAreas.csv!F:J,5,FALSE)</f>
        <v>200009</v>
      </c>
      <c r="G79" t="str">
        <f t="shared" si="17"/>
        <v>rg:{'id': '200001'}</v>
      </c>
      <c r="H79" t="s">
        <v>7648</v>
      </c>
      <c r="I79" t="s">
        <v>5642</v>
      </c>
      <c r="J79">
        <f>VLOOKUP(I79&amp;"-"&amp;F79,DistrictEquipmentTypes.csv!J:K,2,FALSE)</f>
        <v>200004</v>
      </c>
      <c r="K79" t="str">
        <f t="shared" si="18"/>
        <v>rg:{'id': '200004'}</v>
      </c>
      <c r="L79">
        <f t="shared" si="19"/>
        <v>1</v>
      </c>
      <c r="M79" t="str">
        <f>VLOOKUP(C79,Owners.csv!C:K,9,FALSE)&amp;TEXT(Equipment.csv!L79,"0000")</f>
        <v>EDWA0001</v>
      </c>
      <c r="N79" t="s">
        <v>5401</v>
      </c>
      <c r="O79" t="s">
        <v>6694</v>
      </c>
      <c r="P79">
        <v>1998</v>
      </c>
      <c r="Q79">
        <v>36</v>
      </c>
      <c r="R79" t="s">
        <v>6664</v>
      </c>
      <c r="S79" s="1">
        <v>39443</v>
      </c>
      <c r="T79" s="1">
        <v>39458</v>
      </c>
      <c r="U79" t="str">
        <f t="shared" ca="1" si="20"/>
        <v>rg:True</v>
      </c>
      <c r="V79" t="str">
        <f t="shared" ca="1" si="21"/>
        <v>This equipment should be archived</v>
      </c>
      <c r="W79" t="s">
        <v>7092</v>
      </c>
      <c r="X79" t="s">
        <v>76</v>
      </c>
      <c r="Y79" t="s">
        <v>76</v>
      </c>
      <c r="Z79" t="s">
        <v>76</v>
      </c>
      <c r="AA79" t="s">
        <v>7439</v>
      </c>
      <c r="AB79" t="s">
        <v>7289</v>
      </c>
      <c r="AC79">
        <v>0</v>
      </c>
      <c r="AD79" t="str">
        <f t="shared" ca="1" si="22"/>
        <v>rg:False</v>
      </c>
      <c r="AE79" t="str">
        <f t="shared" ca="1" si="23"/>
        <v>rg:None</v>
      </c>
      <c r="AF79" s="1">
        <v>42480</v>
      </c>
      <c r="AG79" s="4">
        <f t="shared" ca="1" si="24"/>
        <v>380</v>
      </c>
      <c r="AH79" s="4">
        <f t="shared" si="25"/>
        <v>8.2222222222222214</v>
      </c>
      <c r="AI79">
        <f t="shared" ca="1" si="26"/>
        <v>106</v>
      </c>
      <c r="AJ79">
        <f t="shared" ca="1" si="27"/>
        <v>186</v>
      </c>
      <c r="AK79">
        <f t="shared" ca="1" si="28"/>
        <v>108</v>
      </c>
      <c r="AL79" t="s">
        <v>326</v>
      </c>
      <c r="AO79" t="s">
        <v>76</v>
      </c>
      <c r="AP79" t="s">
        <v>6510</v>
      </c>
      <c r="AQ79" t="s">
        <v>6510</v>
      </c>
      <c r="AR79" t="s">
        <v>6510</v>
      </c>
      <c r="AS79" t="s">
        <v>6510</v>
      </c>
    </row>
    <row r="80" spans="1:45" x14ac:dyDescent="0.3">
      <c r="A80" t="s">
        <v>5630</v>
      </c>
      <c r="B80">
        <f t="shared" si="15"/>
        <v>200078</v>
      </c>
      <c r="C80">
        <v>200024</v>
      </c>
      <c r="D80" t="str">
        <f t="shared" si="16"/>
        <v>rg:{'id': '200024'}</v>
      </c>
      <c r="E80">
        <f>VLOOKUP(C80,Owners.csv!C:J,6,FALSE)</f>
        <v>200001</v>
      </c>
      <c r="F80" t="str">
        <f>VLOOKUP(VLOOKUP(E80,LocalAreas.csv!I:K,3,FALSE),ServiceAreas.csv!F:J,5,FALSE)</f>
        <v>200009</v>
      </c>
      <c r="G80" t="str">
        <f t="shared" si="17"/>
        <v>rg:{'id': '200001'}</v>
      </c>
      <c r="H80" t="s">
        <v>7681</v>
      </c>
      <c r="I80" t="s">
        <v>5642</v>
      </c>
      <c r="J80">
        <f>VLOOKUP(I80&amp;"-"&amp;F80,DistrictEquipmentTypes.csv!J:K,2,FALSE)</f>
        <v>200004</v>
      </c>
      <c r="K80" t="str">
        <f t="shared" si="18"/>
        <v>rg:{'id': '200004'}</v>
      </c>
      <c r="L80">
        <f t="shared" si="19"/>
        <v>2</v>
      </c>
      <c r="M80" t="str">
        <f>VLOOKUP(C80,Owners.csv!C:K,9,FALSE)&amp;TEXT(Equipment.csv!L80,"0000")</f>
        <v>EDWA0002</v>
      </c>
      <c r="N80" t="s">
        <v>5401</v>
      </c>
      <c r="O80" t="s">
        <v>6704</v>
      </c>
      <c r="P80">
        <v>1997</v>
      </c>
      <c r="Q80">
        <v>46</v>
      </c>
      <c r="R80" t="s">
        <v>6663</v>
      </c>
      <c r="S80" s="1">
        <v>41589</v>
      </c>
      <c r="T80" s="1">
        <v>41603</v>
      </c>
      <c r="U80" t="str">
        <f t="shared" ca="1" si="20"/>
        <v>rg:False</v>
      </c>
      <c r="V80" t="str">
        <f t="shared" ca="1" si="21"/>
        <v>rg:None</v>
      </c>
      <c r="W80" t="s">
        <v>7102</v>
      </c>
      <c r="X80" t="s">
        <v>76</v>
      </c>
      <c r="Y80" t="s">
        <v>76</v>
      </c>
      <c r="Z80" t="s">
        <v>76</v>
      </c>
      <c r="AA80" t="s">
        <v>7449</v>
      </c>
      <c r="AB80" t="s">
        <v>7299</v>
      </c>
      <c r="AC80">
        <v>0</v>
      </c>
      <c r="AD80" t="str">
        <f t="shared" ca="1" si="22"/>
        <v>rg:True</v>
      </c>
      <c r="AE80" t="str">
        <f t="shared" ca="1" si="23"/>
        <v>Seniority overridden to test things</v>
      </c>
      <c r="AF80" s="1">
        <v>42481</v>
      </c>
      <c r="AG80" s="4">
        <f t="shared" ca="1" si="24"/>
        <v>142.83333333333331</v>
      </c>
      <c r="AH80" s="4">
        <f t="shared" si="25"/>
        <v>2.35</v>
      </c>
      <c r="AI80">
        <f t="shared" ca="1" si="26"/>
        <v>174</v>
      </c>
      <c r="AJ80">
        <f t="shared" ca="1" si="27"/>
        <v>43</v>
      </c>
      <c r="AK80">
        <f t="shared" ca="1" si="28"/>
        <v>0</v>
      </c>
      <c r="AL80" t="s">
        <v>326</v>
      </c>
      <c r="AO80" t="s">
        <v>76</v>
      </c>
      <c r="AP80" t="s">
        <v>6510</v>
      </c>
      <c r="AQ80" t="s">
        <v>6510</v>
      </c>
      <c r="AR80" t="s">
        <v>6510</v>
      </c>
      <c r="AS80" t="s">
        <v>6510</v>
      </c>
    </row>
    <row r="81" spans="1:45" x14ac:dyDescent="0.3">
      <c r="A81" t="s">
        <v>5630</v>
      </c>
      <c r="B81">
        <f t="shared" si="15"/>
        <v>200079</v>
      </c>
      <c r="C81">
        <v>200024</v>
      </c>
      <c r="D81" t="str">
        <f t="shared" si="16"/>
        <v>rg:{'id': '200024'}</v>
      </c>
      <c r="E81">
        <f>VLOOKUP(C81,Owners.csv!C:J,6,FALSE)</f>
        <v>200001</v>
      </c>
      <c r="F81" t="str">
        <f>VLOOKUP(VLOOKUP(E81,LocalAreas.csv!I:K,3,FALSE),ServiceAreas.csv!F:J,5,FALSE)</f>
        <v>200009</v>
      </c>
      <c r="G81" t="str">
        <f t="shared" si="17"/>
        <v>rg:{'id': '200001'}</v>
      </c>
      <c r="H81" t="s">
        <v>7688</v>
      </c>
      <c r="I81" t="s">
        <v>5640</v>
      </c>
      <c r="J81">
        <f>VLOOKUP(I81&amp;"-"&amp;F81,DistrictEquipmentTypes.csv!J:K,2,FALSE)</f>
        <v>200002</v>
      </c>
      <c r="K81" t="str">
        <f t="shared" si="18"/>
        <v>rg:{'id': '200002'}</v>
      </c>
      <c r="L81">
        <f t="shared" si="19"/>
        <v>3</v>
      </c>
      <c r="M81" t="str">
        <f>VLOOKUP(C81,Owners.csv!C:K,9,FALSE)&amp;TEXT(Equipment.csv!L81,"0000")</f>
        <v>EDWA0003</v>
      </c>
      <c r="N81" t="s">
        <v>5401</v>
      </c>
      <c r="O81" t="s">
        <v>6714</v>
      </c>
      <c r="P81">
        <v>2014</v>
      </c>
      <c r="Q81">
        <v>56</v>
      </c>
      <c r="R81" t="s">
        <v>6663</v>
      </c>
      <c r="S81" s="1">
        <v>41744</v>
      </c>
      <c r="T81" s="1">
        <v>41751</v>
      </c>
      <c r="U81" t="str">
        <f t="shared" ca="1" si="20"/>
        <v>rg:False</v>
      </c>
      <c r="V81" t="str">
        <f t="shared" ca="1" si="21"/>
        <v>rg:None</v>
      </c>
      <c r="W81" t="s">
        <v>7112</v>
      </c>
      <c r="X81" t="s">
        <v>76</v>
      </c>
      <c r="Y81" t="s">
        <v>76</v>
      </c>
      <c r="Z81" t="s">
        <v>76</v>
      </c>
      <c r="AA81" t="s">
        <v>7459</v>
      </c>
      <c r="AB81" t="s">
        <v>7307</v>
      </c>
      <c r="AC81">
        <v>0</v>
      </c>
      <c r="AD81" t="str">
        <f t="shared" ca="1" si="22"/>
        <v>rg:False</v>
      </c>
      <c r="AE81" t="str">
        <f t="shared" ca="1" si="23"/>
        <v>rg:None</v>
      </c>
      <c r="AF81" s="1">
        <v>42481</v>
      </c>
      <c r="AG81" s="4">
        <f t="shared" ca="1" si="24"/>
        <v>61.583333333333336</v>
      </c>
      <c r="AH81" s="4">
        <f t="shared" si="25"/>
        <v>1.9416666666666667</v>
      </c>
      <c r="AI81">
        <f t="shared" ca="1" si="26"/>
        <v>10</v>
      </c>
      <c r="AJ81">
        <f t="shared" ca="1" si="27"/>
        <v>0</v>
      </c>
      <c r="AK81">
        <f t="shared" ca="1" si="28"/>
        <v>0</v>
      </c>
      <c r="AL81" t="s">
        <v>5689</v>
      </c>
      <c r="AM81" t="s">
        <v>6883</v>
      </c>
      <c r="AN81" s="1">
        <v>42423</v>
      </c>
      <c r="AO81" t="s">
        <v>76</v>
      </c>
      <c r="AP81" t="s">
        <v>6510</v>
      </c>
      <c r="AQ81" t="s">
        <v>6510</v>
      </c>
      <c r="AR81" t="s">
        <v>6510</v>
      </c>
      <c r="AS81" t="s">
        <v>6510</v>
      </c>
    </row>
    <row r="82" spans="1:45" x14ac:dyDescent="0.3">
      <c r="A82" t="s">
        <v>5630</v>
      </c>
      <c r="B82">
        <f t="shared" si="15"/>
        <v>200080</v>
      </c>
      <c r="C82">
        <v>200024</v>
      </c>
      <c r="D82" t="str">
        <f t="shared" si="16"/>
        <v>rg:{'id': '200024'}</v>
      </c>
      <c r="E82">
        <f>VLOOKUP(C82,Owners.csv!C:J,6,FALSE)</f>
        <v>200001</v>
      </c>
      <c r="F82" t="str">
        <f>VLOOKUP(VLOOKUP(E82,LocalAreas.csv!I:K,3,FALSE),ServiceAreas.csv!F:J,5,FALSE)</f>
        <v>200009</v>
      </c>
      <c r="G82" t="str">
        <f t="shared" si="17"/>
        <v>rg:{'id': '200001'}</v>
      </c>
      <c r="H82" t="s">
        <v>7696</v>
      </c>
      <c r="I82" t="s">
        <v>5640</v>
      </c>
      <c r="J82">
        <f>VLOOKUP(I82&amp;"-"&amp;F82,DistrictEquipmentTypes.csv!J:K,2,FALSE)</f>
        <v>200002</v>
      </c>
      <c r="K82" t="str">
        <f t="shared" si="18"/>
        <v>rg:{'id': '200002'}</v>
      </c>
      <c r="L82">
        <f t="shared" si="19"/>
        <v>4</v>
      </c>
      <c r="M82" t="str">
        <f>VLOOKUP(C82,Owners.csv!C:K,9,FALSE)&amp;TEXT(Equipment.csv!L82,"0000")</f>
        <v>EDWA0004</v>
      </c>
      <c r="N82" t="s">
        <v>5401</v>
      </c>
      <c r="O82" t="s">
        <v>6724</v>
      </c>
      <c r="P82">
        <v>2013</v>
      </c>
      <c r="Q82">
        <v>66</v>
      </c>
      <c r="R82" t="s">
        <v>6663</v>
      </c>
      <c r="S82" s="1">
        <v>38273</v>
      </c>
      <c r="T82" s="1">
        <v>38277</v>
      </c>
      <c r="U82" t="str">
        <f t="shared" ca="1" si="20"/>
        <v>rg:False</v>
      </c>
      <c r="V82" t="str">
        <f t="shared" ca="1" si="21"/>
        <v>rg:None</v>
      </c>
      <c r="W82" t="s">
        <v>7122</v>
      </c>
      <c r="X82" t="s">
        <v>76</v>
      </c>
      <c r="Y82" t="s">
        <v>76</v>
      </c>
      <c r="Z82" t="s">
        <v>76</v>
      </c>
      <c r="AA82" t="s">
        <v>7469</v>
      </c>
      <c r="AB82" t="s">
        <v>7314</v>
      </c>
      <c r="AC82">
        <v>0</v>
      </c>
      <c r="AD82" t="str">
        <f t="shared" ca="1" si="22"/>
        <v>rg:False</v>
      </c>
      <c r="AE82" t="str">
        <f t="shared" ca="1" si="23"/>
        <v>rg:None</v>
      </c>
      <c r="AF82" s="1">
        <v>42481</v>
      </c>
      <c r="AG82" s="4">
        <f t="shared" ca="1" si="24"/>
        <v>434.33333333333337</v>
      </c>
      <c r="AH82" s="4">
        <f t="shared" si="25"/>
        <v>11.455555555555556</v>
      </c>
      <c r="AI82">
        <f t="shared" ca="1" si="26"/>
        <v>72</v>
      </c>
      <c r="AJ82">
        <f t="shared" ca="1" si="27"/>
        <v>112</v>
      </c>
      <c r="AK82">
        <f t="shared" ca="1" si="28"/>
        <v>88</v>
      </c>
      <c r="AL82" t="s">
        <v>326</v>
      </c>
      <c r="AO82" t="s">
        <v>76</v>
      </c>
      <c r="AP82" t="s">
        <v>6510</v>
      </c>
      <c r="AQ82" t="s">
        <v>6510</v>
      </c>
      <c r="AR82" t="s">
        <v>6510</v>
      </c>
      <c r="AS82" t="s">
        <v>6510</v>
      </c>
    </row>
    <row r="83" spans="1:45" x14ac:dyDescent="0.3">
      <c r="A83" t="s">
        <v>5630</v>
      </c>
      <c r="B83">
        <f t="shared" si="15"/>
        <v>200081</v>
      </c>
      <c r="C83">
        <v>200024</v>
      </c>
      <c r="D83" t="str">
        <f t="shared" si="16"/>
        <v>rg:{'id': '200024'}</v>
      </c>
      <c r="E83">
        <f>VLOOKUP(C83,Owners.csv!C:J,6,FALSE)</f>
        <v>200001</v>
      </c>
      <c r="F83" t="str">
        <f>VLOOKUP(VLOOKUP(E83,LocalAreas.csv!I:K,3,FALSE),ServiceAreas.csv!F:J,5,FALSE)</f>
        <v>200009</v>
      </c>
      <c r="G83" t="str">
        <f t="shared" si="17"/>
        <v>rg:{'id': '200001'}</v>
      </c>
      <c r="H83" t="s">
        <v>7704</v>
      </c>
      <c r="I83" t="s">
        <v>5651</v>
      </c>
      <c r="J83">
        <f>VLOOKUP(I83&amp;"-"&amp;F83,DistrictEquipmentTypes.csv!J:K,2,FALSE)</f>
        <v>200006</v>
      </c>
      <c r="K83" t="str">
        <f t="shared" si="18"/>
        <v>rg:{'id': '200006'}</v>
      </c>
      <c r="L83">
        <f t="shared" si="19"/>
        <v>5</v>
      </c>
      <c r="M83" t="str">
        <f>VLOOKUP(C83,Owners.csv!C:K,9,FALSE)&amp;TEXT(Equipment.csv!L83,"0000")</f>
        <v>EDWA0005</v>
      </c>
      <c r="N83" t="s">
        <v>5401</v>
      </c>
      <c r="O83" t="s">
        <v>6732</v>
      </c>
      <c r="P83">
        <v>2007</v>
      </c>
      <c r="Q83">
        <v>74</v>
      </c>
      <c r="R83" t="s">
        <v>6663</v>
      </c>
      <c r="S83" s="1">
        <v>40622</v>
      </c>
      <c r="T83" s="1">
        <v>40645</v>
      </c>
      <c r="U83" t="str">
        <f t="shared" ca="1" si="20"/>
        <v>rg:False</v>
      </c>
      <c r="V83" t="str">
        <f t="shared" ca="1" si="21"/>
        <v>rg:None</v>
      </c>
      <c r="W83" t="s">
        <v>7130</v>
      </c>
      <c r="X83" t="s">
        <v>76</v>
      </c>
      <c r="Y83" t="s">
        <v>76</v>
      </c>
      <c r="Z83" t="s">
        <v>76</v>
      </c>
      <c r="AA83" t="s">
        <v>7477</v>
      </c>
      <c r="AB83" t="s">
        <v>7319</v>
      </c>
      <c r="AC83">
        <v>0</v>
      </c>
      <c r="AD83" t="str">
        <f t="shared" ca="1" si="22"/>
        <v>rg:False</v>
      </c>
      <c r="AE83" t="str">
        <f t="shared" ca="1" si="23"/>
        <v>rg:None</v>
      </c>
      <c r="AF83" s="1">
        <v>42481</v>
      </c>
      <c r="AG83" s="4">
        <f t="shared" ca="1" si="24"/>
        <v>396.83333333333331</v>
      </c>
      <c r="AH83" s="4">
        <f t="shared" si="25"/>
        <v>4.9694444444444441</v>
      </c>
      <c r="AI83">
        <f t="shared" ca="1" si="26"/>
        <v>187</v>
      </c>
      <c r="AJ83">
        <f t="shared" ca="1" si="27"/>
        <v>7</v>
      </c>
      <c r="AK83">
        <f t="shared" ca="1" si="28"/>
        <v>102</v>
      </c>
      <c r="AL83" t="s">
        <v>326</v>
      </c>
      <c r="AO83" t="s">
        <v>76</v>
      </c>
      <c r="AP83" t="s">
        <v>6510</v>
      </c>
      <c r="AQ83" t="s">
        <v>6510</v>
      </c>
      <c r="AR83" t="s">
        <v>6510</v>
      </c>
      <c r="AS83" t="s">
        <v>6510</v>
      </c>
    </row>
    <row r="84" spans="1:45" x14ac:dyDescent="0.3">
      <c r="A84" t="s">
        <v>5630</v>
      </c>
      <c r="B84">
        <f t="shared" si="15"/>
        <v>200082</v>
      </c>
      <c r="C84">
        <v>200024</v>
      </c>
      <c r="D84" t="str">
        <f t="shared" si="16"/>
        <v>rg:{'id': '200024'}</v>
      </c>
      <c r="E84">
        <f>VLOOKUP(C84,Owners.csv!C:J,6,FALSE)</f>
        <v>200001</v>
      </c>
      <c r="F84" t="str">
        <f>VLOOKUP(VLOOKUP(E84,LocalAreas.csv!I:K,3,FALSE),ServiceAreas.csv!F:J,5,FALSE)</f>
        <v>200009</v>
      </c>
      <c r="G84" t="str">
        <f t="shared" si="17"/>
        <v>rg:{'id': '200001'}</v>
      </c>
      <c r="H84" t="s">
        <v>7715</v>
      </c>
      <c r="I84" t="s">
        <v>5651</v>
      </c>
      <c r="J84">
        <f>VLOOKUP(I84&amp;"-"&amp;F84,DistrictEquipmentTypes.csv!J:K,2,FALSE)</f>
        <v>200006</v>
      </c>
      <c r="K84" t="str">
        <f t="shared" si="18"/>
        <v>rg:{'id': '200006'}</v>
      </c>
      <c r="L84">
        <f t="shared" si="19"/>
        <v>6</v>
      </c>
      <c r="M84" t="str">
        <f>VLOOKUP(C84,Owners.csv!C:K,9,FALSE)&amp;TEXT(Equipment.csv!L84,"0000")</f>
        <v>EDWA0006</v>
      </c>
      <c r="N84" t="s">
        <v>5401</v>
      </c>
      <c r="O84" t="s">
        <v>6752</v>
      </c>
      <c r="P84">
        <v>1999</v>
      </c>
      <c r="Q84">
        <v>94</v>
      </c>
      <c r="R84" t="s">
        <v>6663</v>
      </c>
      <c r="S84" s="1">
        <v>40433</v>
      </c>
      <c r="T84" s="1">
        <v>40451</v>
      </c>
      <c r="U84" t="str">
        <f t="shared" ca="1" si="20"/>
        <v>rg:False</v>
      </c>
      <c r="V84" t="str">
        <f t="shared" ca="1" si="21"/>
        <v>rg:None</v>
      </c>
      <c r="W84" t="s">
        <v>7150</v>
      </c>
      <c r="X84" t="s">
        <v>76</v>
      </c>
      <c r="Y84" t="s">
        <v>76</v>
      </c>
      <c r="Z84" t="s">
        <v>76</v>
      </c>
      <c r="AA84" t="s">
        <v>7497</v>
      </c>
      <c r="AB84" t="s">
        <v>7300</v>
      </c>
      <c r="AC84">
        <v>0</v>
      </c>
      <c r="AD84" t="str">
        <f t="shared" ca="1" si="22"/>
        <v>rg:False</v>
      </c>
      <c r="AE84" t="str">
        <f t="shared" ca="1" si="23"/>
        <v>rg:None</v>
      </c>
      <c r="AF84" s="1">
        <v>42481</v>
      </c>
      <c r="AG84" s="4">
        <f t="shared" ca="1" si="24"/>
        <v>441.16666666666669</v>
      </c>
      <c r="AH84" s="4">
        <f t="shared" si="25"/>
        <v>5.5027777777777782</v>
      </c>
      <c r="AI84">
        <f t="shared" ca="1" si="26"/>
        <v>26</v>
      </c>
      <c r="AJ84">
        <f t="shared" ca="1" si="27"/>
        <v>119</v>
      </c>
      <c r="AK84">
        <f t="shared" ca="1" si="28"/>
        <v>188</v>
      </c>
      <c r="AL84" t="s">
        <v>326</v>
      </c>
      <c r="AO84" t="s">
        <v>76</v>
      </c>
      <c r="AP84" t="s">
        <v>6510</v>
      </c>
      <c r="AQ84" t="s">
        <v>6510</v>
      </c>
      <c r="AR84" t="s">
        <v>6510</v>
      </c>
      <c r="AS84" t="s">
        <v>6510</v>
      </c>
    </row>
    <row r="85" spans="1:45" x14ac:dyDescent="0.3">
      <c r="A85" t="s">
        <v>5630</v>
      </c>
      <c r="B85">
        <f t="shared" si="15"/>
        <v>200083</v>
      </c>
      <c r="C85">
        <v>200024</v>
      </c>
      <c r="D85" t="str">
        <f t="shared" si="16"/>
        <v>rg:{'id': '200024'}</v>
      </c>
      <c r="E85">
        <f>VLOOKUP(C85,Owners.csv!C:J,6,FALSE)</f>
        <v>200001</v>
      </c>
      <c r="F85" t="str">
        <f>VLOOKUP(VLOOKUP(E85,LocalAreas.csv!I:K,3,FALSE),ServiceAreas.csv!F:J,5,FALSE)</f>
        <v>200009</v>
      </c>
      <c r="G85" t="str">
        <f t="shared" si="17"/>
        <v>rg:{'id': '200001'}</v>
      </c>
      <c r="H85" t="s">
        <v>7728</v>
      </c>
      <c r="I85" t="s">
        <v>5637</v>
      </c>
      <c r="J85">
        <f>VLOOKUP(I85&amp;"-"&amp;F85,DistrictEquipmentTypes.csv!J:K,2,FALSE)</f>
        <v>200001</v>
      </c>
      <c r="K85" t="str">
        <f t="shared" si="18"/>
        <v>rg:{'id': '200001'}</v>
      </c>
      <c r="L85">
        <f t="shared" si="19"/>
        <v>7</v>
      </c>
      <c r="M85" t="str">
        <f>VLOOKUP(C85,Owners.csv!C:K,9,FALSE)&amp;TEXT(Equipment.csv!L85,"0000")</f>
        <v>EDWA0007</v>
      </c>
      <c r="N85" t="s">
        <v>5401</v>
      </c>
      <c r="O85" t="s">
        <v>6772</v>
      </c>
      <c r="P85">
        <v>1991</v>
      </c>
      <c r="Q85">
        <v>114</v>
      </c>
      <c r="R85" t="s">
        <v>6663</v>
      </c>
      <c r="S85" s="1">
        <v>38596</v>
      </c>
      <c r="T85" s="1">
        <v>38608</v>
      </c>
      <c r="U85" t="str">
        <f t="shared" ca="1" si="20"/>
        <v>rg:True</v>
      </c>
      <c r="V85" t="str">
        <f t="shared" ca="1" si="21"/>
        <v>This equipment should be archived</v>
      </c>
      <c r="W85" t="s">
        <v>7170</v>
      </c>
      <c r="X85" t="s">
        <v>76</v>
      </c>
      <c r="Y85" t="s">
        <v>76</v>
      </c>
      <c r="Z85" t="s">
        <v>76</v>
      </c>
      <c r="AA85" t="s">
        <v>7517</v>
      </c>
      <c r="AB85" t="s">
        <v>7278</v>
      </c>
      <c r="AC85">
        <v>0</v>
      </c>
      <c r="AD85" t="str">
        <f t="shared" ca="1" si="22"/>
        <v>rg:False</v>
      </c>
      <c r="AE85" t="str">
        <f t="shared" ca="1" si="23"/>
        <v>rg:None</v>
      </c>
      <c r="AF85" s="1">
        <v>42481</v>
      </c>
      <c r="AG85" s="4">
        <f t="shared" ca="1" si="24"/>
        <v>400.83333333333331</v>
      </c>
      <c r="AH85" s="4">
        <f t="shared" si="25"/>
        <v>10.55</v>
      </c>
      <c r="AI85">
        <f t="shared" ca="1" si="26"/>
        <v>4</v>
      </c>
      <c r="AJ85">
        <f t="shared" ca="1" si="27"/>
        <v>59</v>
      </c>
      <c r="AK85">
        <f t="shared" ca="1" si="28"/>
        <v>190</v>
      </c>
      <c r="AL85" t="s">
        <v>326</v>
      </c>
      <c r="AO85" t="s">
        <v>76</v>
      </c>
      <c r="AP85" t="s">
        <v>6510</v>
      </c>
      <c r="AQ85" t="s">
        <v>6510</v>
      </c>
      <c r="AR85" t="s">
        <v>6510</v>
      </c>
      <c r="AS85" t="s">
        <v>6510</v>
      </c>
    </row>
    <row r="86" spans="1:45" x14ac:dyDescent="0.3">
      <c r="A86" t="s">
        <v>5630</v>
      </c>
      <c r="B86">
        <f t="shared" si="15"/>
        <v>200084</v>
      </c>
      <c r="C86">
        <v>200024</v>
      </c>
      <c r="D86" t="str">
        <f t="shared" si="16"/>
        <v>rg:{'id': '200024'}</v>
      </c>
      <c r="E86">
        <f>VLOOKUP(C86,Owners.csv!C:J,6,FALSE)</f>
        <v>200001</v>
      </c>
      <c r="F86" t="str">
        <f>VLOOKUP(VLOOKUP(E86,LocalAreas.csv!I:K,3,FALSE),ServiceAreas.csv!F:J,5,FALSE)</f>
        <v>200009</v>
      </c>
      <c r="G86" t="str">
        <f t="shared" si="17"/>
        <v>rg:{'id': '200001'}</v>
      </c>
      <c r="H86" t="s">
        <v>7737</v>
      </c>
      <c r="I86" t="s">
        <v>5536</v>
      </c>
      <c r="J86">
        <f>VLOOKUP(I86&amp;"-"&amp;F86,DistrictEquipmentTypes.csv!J:K,2,FALSE)</f>
        <v>200000</v>
      </c>
      <c r="K86" t="str">
        <f t="shared" si="18"/>
        <v>rg:{'id': '200000'}</v>
      </c>
      <c r="L86">
        <f t="shared" si="19"/>
        <v>8</v>
      </c>
      <c r="M86" t="str">
        <f>VLOOKUP(C86,Owners.csv!C:K,9,FALSE)&amp;TEXT(Equipment.csv!L86,"0000")</f>
        <v>EDWA0008</v>
      </c>
      <c r="N86" t="s">
        <v>5401</v>
      </c>
      <c r="O86" t="s">
        <v>6787</v>
      </c>
      <c r="P86">
        <v>1977</v>
      </c>
      <c r="Q86">
        <v>129</v>
      </c>
      <c r="R86" t="s">
        <v>6663</v>
      </c>
      <c r="S86" s="1">
        <v>39643</v>
      </c>
      <c r="T86" s="1">
        <v>39655</v>
      </c>
      <c r="U86" t="str">
        <f t="shared" ca="1" si="20"/>
        <v>rg:False</v>
      </c>
      <c r="V86" t="str">
        <f t="shared" ca="1" si="21"/>
        <v>rg:None</v>
      </c>
      <c r="W86" t="s">
        <v>7185</v>
      </c>
      <c r="X86" t="s">
        <v>76</v>
      </c>
      <c r="Y86" t="s">
        <v>76</v>
      </c>
      <c r="Z86" t="s">
        <v>76</v>
      </c>
      <c r="AA86" t="s">
        <v>7532</v>
      </c>
      <c r="AB86" t="s">
        <v>7305</v>
      </c>
      <c r="AC86">
        <v>0</v>
      </c>
      <c r="AD86" t="str">
        <f t="shared" ca="1" si="22"/>
        <v>rg:False</v>
      </c>
      <c r="AE86" t="str">
        <f t="shared" ca="1" si="23"/>
        <v>rg:None</v>
      </c>
      <c r="AF86" s="1">
        <v>42481</v>
      </c>
      <c r="AG86" s="4">
        <f t="shared" ca="1" si="24"/>
        <v>365.41666666666663</v>
      </c>
      <c r="AH86" s="4">
        <f t="shared" si="25"/>
        <v>7.6805555555555554</v>
      </c>
      <c r="AI86">
        <f t="shared" ca="1" si="26"/>
        <v>146</v>
      </c>
      <c r="AJ86">
        <f t="shared" ca="1" si="27"/>
        <v>184</v>
      </c>
      <c r="AK86">
        <f t="shared" ca="1" si="28"/>
        <v>75</v>
      </c>
      <c r="AL86" t="s">
        <v>326</v>
      </c>
      <c r="AO86" t="s">
        <v>76</v>
      </c>
      <c r="AP86" t="s">
        <v>6510</v>
      </c>
      <c r="AQ86" t="s">
        <v>6510</v>
      </c>
      <c r="AR86" t="s">
        <v>6510</v>
      </c>
      <c r="AS86" t="s">
        <v>6510</v>
      </c>
    </row>
    <row r="87" spans="1:45" x14ac:dyDescent="0.3">
      <c r="A87" t="s">
        <v>5630</v>
      </c>
      <c r="B87">
        <f t="shared" si="15"/>
        <v>200085</v>
      </c>
      <c r="C87">
        <v>200025</v>
      </c>
      <c r="D87" t="str">
        <f t="shared" si="16"/>
        <v>rg:{'id': '200025'}</v>
      </c>
      <c r="E87">
        <f>VLOOKUP(C87,Owners.csv!C:J,6,FALSE)</f>
        <v>200001</v>
      </c>
      <c r="F87" t="str">
        <f>VLOOKUP(VLOOKUP(E87,LocalAreas.csv!I:K,3,FALSE),ServiceAreas.csv!F:J,5,FALSE)</f>
        <v>200009</v>
      </c>
      <c r="G87" t="str">
        <f t="shared" si="17"/>
        <v>rg:{'id': '200001'}</v>
      </c>
      <c r="H87" t="s">
        <v>7675</v>
      </c>
      <c r="I87" t="s">
        <v>5642</v>
      </c>
      <c r="J87">
        <f>VLOOKUP(I87&amp;"-"&amp;F87,DistrictEquipmentTypes.csv!J:K,2,FALSE)</f>
        <v>200004</v>
      </c>
      <c r="K87" t="str">
        <f t="shared" si="18"/>
        <v>rg:{'id': '200004'}</v>
      </c>
      <c r="L87">
        <f t="shared" si="19"/>
        <v>1</v>
      </c>
      <c r="M87" t="str">
        <f>VLOOKUP(C87,Owners.csv!C:K,9,FALSE)&amp;TEXT(Equipment.csv!L87,"0000")</f>
        <v>ENVI0001</v>
      </c>
      <c r="N87" t="s">
        <v>5401</v>
      </c>
      <c r="O87" t="s">
        <v>6695</v>
      </c>
      <c r="P87">
        <v>1987</v>
      </c>
      <c r="Q87">
        <v>37</v>
      </c>
      <c r="R87" t="s">
        <v>6663</v>
      </c>
      <c r="S87" s="1">
        <v>41219</v>
      </c>
      <c r="T87" s="1">
        <v>41236</v>
      </c>
      <c r="U87" t="str">
        <f t="shared" ca="1" si="20"/>
        <v>rg:False</v>
      </c>
      <c r="V87" t="str">
        <f t="shared" ca="1" si="21"/>
        <v>rg:None</v>
      </c>
      <c r="W87" t="s">
        <v>7093</v>
      </c>
      <c r="X87" t="s">
        <v>76</v>
      </c>
      <c r="Y87" t="s">
        <v>76</v>
      </c>
      <c r="Z87" t="s">
        <v>76</v>
      </c>
      <c r="AA87" t="s">
        <v>7440</v>
      </c>
      <c r="AB87" t="s">
        <v>7290</v>
      </c>
      <c r="AC87">
        <v>0</v>
      </c>
      <c r="AD87" t="str">
        <f t="shared" ca="1" si="22"/>
        <v>rg:False</v>
      </c>
      <c r="AE87" t="str">
        <f t="shared" ca="1" si="23"/>
        <v>rg:None</v>
      </c>
      <c r="AF87" s="1">
        <v>42481</v>
      </c>
      <c r="AG87" s="4">
        <f t="shared" ca="1" si="24"/>
        <v>183.33333333333334</v>
      </c>
      <c r="AH87" s="4">
        <f t="shared" si="25"/>
        <v>3.3555555555555556</v>
      </c>
      <c r="AI87">
        <f t="shared" ca="1" si="26"/>
        <v>62</v>
      </c>
      <c r="AJ87">
        <f t="shared" ca="1" si="27"/>
        <v>99</v>
      </c>
      <c r="AK87">
        <f t="shared" ca="1" si="28"/>
        <v>87</v>
      </c>
      <c r="AL87" t="s">
        <v>326</v>
      </c>
      <c r="AO87" t="s">
        <v>76</v>
      </c>
      <c r="AP87" t="s">
        <v>6510</v>
      </c>
      <c r="AQ87" t="s">
        <v>6510</v>
      </c>
      <c r="AR87" t="s">
        <v>6510</v>
      </c>
      <c r="AS87" t="s">
        <v>6510</v>
      </c>
    </row>
    <row r="88" spans="1:45" x14ac:dyDescent="0.3">
      <c r="A88" t="s">
        <v>5630</v>
      </c>
      <c r="B88">
        <f t="shared" si="15"/>
        <v>200086</v>
      </c>
      <c r="C88">
        <v>200025</v>
      </c>
      <c r="D88" t="str">
        <f t="shared" si="16"/>
        <v>rg:{'id': '200025'}</v>
      </c>
      <c r="E88">
        <f>VLOOKUP(C88,Owners.csv!C:J,6,FALSE)</f>
        <v>200001</v>
      </c>
      <c r="F88" t="str">
        <f>VLOOKUP(VLOOKUP(E88,LocalAreas.csv!I:K,3,FALSE),ServiceAreas.csv!F:J,5,FALSE)</f>
        <v>200009</v>
      </c>
      <c r="G88" t="str">
        <f t="shared" si="17"/>
        <v>rg:{'id': '200001'}</v>
      </c>
      <c r="H88" t="s">
        <v>7682</v>
      </c>
      <c r="I88" t="s">
        <v>5642</v>
      </c>
      <c r="J88">
        <f>VLOOKUP(I88&amp;"-"&amp;F88,DistrictEquipmentTypes.csv!J:K,2,FALSE)</f>
        <v>200004</v>
      </c>
      <c r="K88" t="str">
        <f t="shared" si="18"/>
        <v>rg:{'id': '200004'}</v>
      </c>
      <c r="L88">
        <f t="shared" si="19"/>
        <v>2</v>
      </c>
      <c r="M88" t="str">
        <f>VLOOKUP(C88,Owners.csv!C:K,9,FALSE)&amp;TEXT(Equipment.csv!L88,"0000")</f>
        <v>ENVI0002</v>
      </c>
      <c r="N88" t="s">
        <v>5401</v>
      </c>
      <c r="O88" t="s">
        <v>6705</v>
      </c>
      <c r="P88">
        <v>1996</v>
      </c>
      <c r="Q88">
        <v>47</v>
      </c>
      <c r="R88" t="s">
        <v>6663</v>
      </c>
      <c r="S88" s="1">
        <v>38590</v>
      </c>
      <c r="T88" s="1">
        <v>38595</v>
      </c>
      <c r="U88" t="str">
        <f t="shared" ca="1" si="20"/>
        <v>rg:True</v>
      </c>
      <c r="V88" t="str">
        <f t="shared" ca="1" si="21"/>
        <v>This equipment should be archived</v>
      </c>
      <c r="W88" t="s">
        <v>7103</v>
      </c>
      <c r="X88" t="s">
        <v>76</v>
      </c>
      <c r="Y88" t="s">
        <v>76</v>
      </c>
      <c r="Z88" t="s">
        <v>76</v>
      </c>
      <c r="AA88" t="s">
        <v>7450</v>
      </c>
      <c r="AB88" t="s">
        <v>7269</v>
      </c>
      <c r="AC88">
        <v>0</v>
      </c>
      <c r="AD88" t="str">
        <f t="shared" ca="1" si="22"/>
        <v>rg:False</v>
      </c>
      <c r="AE88" t="str">
        <f t="shared" ca="1" si="23"/>
        <v>rg:None</v>
      </c>
      <c r="AF88" s="1">
        <v>42480</v>
      </c>
      <c r="AG88" s="4">
        <f t="shared" ca="1" si="24"/>
        <v>420.58333333333331</v>
      </c>
      <c r="AH88" s="4">
        <f t="shared" si="25"/>
        <v>10.58611111111111</v>
      </c>
      <c r="AI88">
        <f t="shared" ca="1" si="26"/>
        <v>26</v>
      </c>
      <c r="AJ88">
        <f t="shared" ca="1" si="27"/>
        <v>109</v>
      </c>
      <c r="AK88">
        <f t="shared" ca="1" si="28"/>
        <v>174</v>
      </c>
      <c r="AL88" t="s">
        <v>326</v>
      </c>
      <c r="AO88" t="s">
        <v>76</v>
      </c>
      <c r="AP88" t="s">
        <v>6510</v>
      </c>
      <c r="AQ88" t="s">
        <v>6510</v>
      </c>
      <c r="AR88" t="s">
        <v>6510</v>
      </c>
      <c r="AS88" t="s">
        <v>6510</v>
      </c>
    </row>
    <row r="89" spans="1:45" x14ac:dyDescent="0.3">
      <c r="A89" t="s">
        <v>5630</v>
      </c>
      <c r="B89">
        <f t="shared" si="15"/>
        <v>200087</v>
      </c>
      <c r="C89">
        <v>200025</v>
      </c>
      <c r="D89" t="str">
        <f t="shared" si="16"/>
        <v>rg:{'id': '200025'}</v>
      </c>
      <c r="E89">
        <f>VLOOKUP(C89,Owners.csv!C:J,6,FALSE)</f>
        <v>200001</v>
      </c>
      <c r="F89" t="str">
        <f>VLOOKUP(VLOOKUP(E89,LocalAreas.csv!I:K,3,FALSE),ServiceAreas.csv!F:J,5,FALSE)</f>
        <v>200009</v>
      </c>
      <c r="G89" t="str">
        <f t="shared" si="17"/>
        <v>rg:{'id': '200001'}</v>
      </c>
      <c r="H89" t="s">
        <v>7689</v>
      </c>
      <c r="I89" t="s">
        <v>5640</v>
      </c>
      <c r="J89">
        <f>VLOOKUP(I89&amp;"-"&amp;F89,DistrictEquipmentTypes.csv!J:K,2,FALSE)</f>
        <v>200002</v>
      </c>
      <c r="K89" t="str">
        <f t="shared" si="18"/>
        <v>rg:{'id': '200002'}</v>
      </c>
      <c r="L89">
        <f t="shared" si="19"/>
        <v>3</v>
      </c>
      <c r="M89" t="str">
        <f>VLOOKUP(C89,Owners.csv!C:K,9,FALSE)&amp;TEXT(Equipment.csv!L89,"0000")</f>
        <v>ENVI0003</v>
      </c>
      <c r="N89" t="s">
        <v>5401</v>
      </c>
      <c r="O89" t="s">
        <v>6715</v>
      </c>
      <c r="P89">
        <v>2013</v>
      </c>
      <c r="Q89">
        <v>57</v>
      </c>
      <c r="R89" t="s">
        <v>6663</v>
      </c>
      <c r="S89" s="1">
        <v>39217</v>
      </c>
      <c r="T89" s="1">
        <v>39246</v>
      </c>
      <c r="U89" t="str">
        <f t="shared" ca="1" si="20"/>
        <v>rg:False</v>
      </c>
      <c r="V89" t="str">
        <f t="shared" ca="1" si="21"/>
        <v>rg:None</v>
      </c>
      <c r="W89" t="s">
        <v>7113</v>
      </c>
      <c r="X89" t="s">
        <v>76</v>
      </c>
      <c r="Y89" t="s">
        <v>76</v>
      </c>
      <c r="Z89" t="s">
        <v>76</v>
      </c>
      <c r="AA89" t="s">
        <v>7460</v>
      </c>
      <c r="AB89" t="s">
        <v>7308</v>
      </c>
      <c r="AC89">
        <v>0</v>
      </c>
      <c r="AD89" t="str">
        <f t="shared" ca="1" si="22"/>
        <v>rg:False</v>
      </c>
      <c r="AE89" t="str">
        <f t="shared" ca="1" si="23"/>
        <v>rg:None</v>
      </c>
      <c r="AF89" s="1">
        <v>42481</v>
      </c>
      <c r="AG89" s="4">
        <f t="shared" ca="1" si="24"/>
        <v>337.33333333333331</v>
      </c>
      <c r="AH89" s="4">
        <f t="shared" si="25"/>
        <v>8.8000000000000007</v>
      </c>
      <c r="AI89">
        <f t="shared" ca="1" si="26"/>
        <v>120</v>
      </c>
      <c r="AJ89">
        <f t="shared" ca="1" si="27"/>
        <v>67</v>
      </c>
      <c r="AK89">
        <f t="shared" ca="1" si="28"/>
        <v>33</v>
      </c>
      <c r="AL89" t="s">
        <v>326</v>
      </c>
      <c r="AO89" t="s">
        <v>76</v>
      </c>
      <c r="AP89" t="s">
        <v>6510</v>
      </c>
      <c r="AQ89" t="s">
        <v>6510</v>
      </c>
      <c r="AR89" t="s">
        <v>6510</v>
      </c>
      <c r="AS89" t="s">
        <v>6510</v>
      </c>
    </row>
    <row r="90" spans="1:45" x14ac:dyDescent="0.3">
      <c r="A90" t="s">
        <v>5630</v>
      </c>
      <c r="B90">
        <f t="shared" si="15"/>
        <v>200088</v>
      </c>
      <c r="C90">
        <v>200025</v>
      </c>
      <c r="D90" t="str">
        <f t="shared" si="16"/>
        <v>rg:{'id': '200025'}</v>
      </c>
      <c r="E90">
        <f>VLOOKUP(C90,Owners.csv!C:J,6,FALSE)</f>
        <v>200001</v>
      </c>
      <c r="F90" t="str">
        <f>VLOOKUP(VLOOKUP(E90,LocalAreas.csv!I:K,3,FALSE),ServiceAreas.csv!F:J,5,FALSE)</f>
        <v>200009</v>
      </c>
      <c r="G90" t="str">
        <f t="shared" si="17"/>
        <v>rg:{'id': '200001'}</v>
      </c>
      <c r="H90" t="s">
        <v>7697</v>
      </c>
      <c r="I90" t="s">
        <v>5640</v>
      </c>
      <c r="J90">
        <f>VLOOKUP(I90&amp;"-"&amp;F90,DistrictEquipmentTypes.csv!J:K,2,FALSE)</f>
        <v>200002</v>
      </c>
      <c r="K90" t="str">
        <f t="shared" si="18"/>
        <v>rg:{'id': '200002'}</v>
      </c>
      <c r="L90">
        <f t="shared" si="19"/>
        <v>4</v>
      </c>
      <c r="M90" t="str">
        <f>VLOOKUP(C90,Owners.csv!C:K,9,FALSE)&amp;TEXT(Equipment.csv!L90,"0000")</f>
        <v>ENVI0004</v>
      </c>
      <c r="N90" t="s">
        <v>5401</v>
      </c>
      <c r="O90" t="s">
        <v>6725</v>
      </c>
      <c r="P90">
        <v>1982</v>
      </c>
      <c r="Q90">
        <v>67</v>
      </c>
      <c r="R90" t="s">
        <v>6663</v>
      </c>
      <c r="S90" s="1">
        <v>38606</v>
      </c>
      <c r="T90" s="1">
        <v>38629</v>
      </c>
      <c r="U90" t="str">
        <f t="shared" ca="1" si="20"/>
        <v>rg:False</v>
      </c>
      <c r="V90" t="str">
        <f t="shared" ca="1" si="21"/>
        <v>rg:None</v>
      </c>
      <c r="W90" t="s">
        <v>7123</v>
      </c>
      <c r="X90" t="s">
        <v>76</v>
      </c>
      <c r="Y90" t="s">
        <v>76</v>
      </c>
      <c r="Z90" t="s">
        <v>76</v>
      </c>
      <c r="AA90" t="s">
        <v>7470</v>
      </c>
      <c r="AB90" t="s">
        <v>7315</v>
      </c>
      <c r="AC90">
        <v>0</v>
      </c>
      <c r="AD90" t="str">
        <f t="shared" ca="1" si="22"/>
        <v>rg:False</v>
      </c>
      <c r="AE90" t="str">
        <f t="shared" ca="1" si="23"/>
        <v>rg:None</v>
      </c>
      <c r="AF90" s="1">
        <v>42481</v>
      </c>
      <c r="AG90" s="4">
        <f t="shared" ca="1" si="24"/>
        <v>434.41666666666669</v>
      </c>
      <c r="AH90" s="4">
        <f t="shared" si="25"/>
        <v>10.491666666666667</v>
      </c>
      <c r="AI90">
        <f t="shared" ca="1" si="26"/>
        <v>154</v>
      </c>
      <c r="AJ90">
        <f t="shared" ca="1" si="27"/>
        <v>194</v>
      </c>
      <c r="AK90">
        <f t="shared" ca="1" si="28"/>
        <v>11</v>
      </c>
      <c r="AL90" t="s">
        <v>326</v>
      </c>
      <c r="AO90" t="s">
        <v>76</v>
      </c>
      <c r="AP90" t="s">
        <v>6510</v>
      </c>
      <c r="AQ90" t="s">
        <v>6510</v>
      </c>
      <c r="AR90" t="s">
        <v>6510</v>
      </c>
      <c r="AS90" t="s">
        <v>6510</v>
      </c>
    </row>
    <row r="91" spans="1:45" x14ac:dyDescent="0.3">
      <c r="A91" t="s">
        <v>5630</v>
      </c>
      <c r="B91">
        <f t="shared" si="15"/>
        <v>200089</v>
      </c>
      <c r="C91">
        <v>200025</v>
      </c>
      <c r="D91" t="str">
        <f t="shared" si="16"/>
        <v>rg:{'id': '200025'}</v>
      </c>
      <c r="E91">
        <f>VLOOKUP(C91,Owners.csv!C:J,6,FALSE)</f>
        <v>200001</v>
      </c>
      <c r="F91" t="str">
        <f>VLOOKUP(VLOOKUP(E91,LocalAreas.csv!I:K,3,FALSE),ServiceAreas.csv!F:J,5,FALSE)</f>
        <v>200009</v>
      </c>
      <c r="G91" t="str">
        <f t="shared" si="17"/>
        <v>rg:{'id': '200001'}</v>
      </c>
      <c r="H91" t="s">
        <v>7650</v>
      </c>
      <c r="I91" t="s">
        <v>5651</v>
      </c>
      <c r="J91">
        <f>VLOOKUP(I91&amp;"-"&amp;F91,DistrictEquipmentTypes.csv!J:K,2,FALSE)</f>
        <v>200006</v>
      </c>
      <c r="K91" t="str">
        <f t="shared" si="18"/>
        <v>rg:{'id': '200006'}</v>
      </c>
      <c r="L91">
        <f t="shared" si="19"/>
        <v>5</v>
      </c>
      <c r="M91" t="str">
        <f>VLOOKUP(C91,Owners.csv!C:K,9,FALSE)&amp;TEXT(Equipment.csv!L91,"0000")</f>
        <v>ENVI0005</v>
      </c>
      <c r="N91" t="s">
        <v>5401</v>
      </c>
      <c r="O91" t="s">
        <v>6733</v>
      </c>
      <c r="P91">
        <v>1980</v>
      </c>
      <c r="Q91">
        <v>75</v>
      </c>
      <c r="R91" t="s">
        <v>6663</v>
      </c>
      <c r="S91" s="1">
        <v>40141</v>
      </c>
      <c r="T91" s="1">
        <v>40169</v>
      </c>
      <c r="U91" t="str">
        <f t="shared" ca="1" si="20"/>
        <v>rg:True</v>
      </c>
      <c r="V91" t="str">
        <f t="shared" ca="1" si="21"/>
        <v>This equipment should be archived</v>
      </c>
      <c r="W91" t="s">
        <v>7131</v>
      </c>
      <c r="X91" t="s">
        <v>76</v>
      </c>
      <c r="Y91" t="s">
        <v>76</v>
      </c>
      <c r="Z91" t="s">
        <v>76</v>
      </c>
      <c r="AA91" t="s">
        <v>7478</v>
      </c>
      <c r="AB91" t="s">
        <v>7320</v>
      </c>
      <c r="AC91">
        <v>0</v>
      </c>
      <c r="AD91" t="str">
        <f t="shared" ca="1" si="22"/>
        <v>rg:False</v>
      </c>
      <c r="AE91" t="str">
        <f t="shared" ca="1" si="23"/>
        <v>rg:None</v>
      </c>
      <c r="AF91" s="1">
        <v>42481</v>
      </c>
      <c r="AG91" s="4">
        <f t="shared" ca="1" si="24"/>
        <v>491.83333333333331</v>
      </c>
      <c r="AH91" s="4">
        <f t="shared" si="25"/>
        <v>6.2750000000000004</v>
      </c>
      <c r="AI91">
        <f t="shared" ca="1" si="26"/>
        <v>132</v>
      </c>
      <c r="AJ91">
        <f t="shared" ca="1" si="27"/>
        <v>180</v>
      </c>
      <c r="AK91">
        <f t="shared" ca="1" si="28"/>
        <v>34</v>
      </c>
      <c r="AL91" t="s">
        <v>326</v>
      </c>
      <c r="AO91" t="s">
        <v>76</v>
      </c>
      <c r="AP91" t="s">
        <v>6510</v>
      </c>
      <c r="AQ91" t="s">
        <v>6510</v>
      </c>
      <c r="AR91" t="s">
        <v>6510</v>
      </c>
      <c r="AS91" t="s">
        <v>6510</v>
      </c>
    </row>
    <row r="92" spans="1:45" x14ac:dyDescent="0.3">
      <c r="A92" t="s">
        <v>5630</v>
      </c>
      <c r="B92">
        <f t="shared" si="15"/>
        <v>200090</v>
      </c>
      <c r="C92">
        <v>200025</v>
      </c>
      <c r="D92" t="str">
        <f t="shared" si="16"/>
        <v>rg:{'id': '200025'}</v>
      </c>
      <c r="E92">
        <f>VLOOKUP(C92,Owners.csv!C:J,6,FALSE)</f>
        <v>200001</v>
      </c>
      <c r="F92" t="str">
        <f>VLOOKUP(VLOOKUP(E92,LocalAreas.csv!I:K,3,FALSE),ServiceAreas.csv!F:J,5,FALSE)</f>
        <v>200009</v>
      </c>
      <c r="G92" t="str">
        <f t="shared" si="17"/>
        <v>rg:{'id': '200001'}</v>
      </c>
      <c r="H92" t="s">
        <v>7716</v>
      </c>
      <c r="I92" t="s">
        <v>5651</v>
      </c>
      <c r="J92">
        <f>VLOOKUP(I92&amp;"-"&amp;F92,DistrictEquipmentTypes.csv!J:K,2,FALSE)</f>
        <v>200006</v>
      </c>
      <c r="K92" t="str">
        <f t="shared" si="18"/>
        <v>rg:{'id': '200006'}</v>
      </c>
      <c r="L92">
        <f t="shared" si="19"/>
        <v>6</v>
      </c>
      <c r="M92" t="str">
        <f>VLOOKUP(C92,Owners.csv!C:K,9,FALSE)&amp;TEXT(Equipment.csv!L92,"0000")</f>
        <v>ENVI0006</v>
      </c>
      <c r="N92" t="s">
        <v>5401</v>
      </c>
      <c r="O92" t="s">
        <v>6753</v>
      </c>
      <c r="P92">
        <v>1978</v>
      </c>
      <c r="Q92">
        <v>95</v>
      </c>
      <c r="R92" t="s">
        <v>6663</v>
      </c>
      <c r="S92" s="1">
        <v>39052</v>
      </c>
      <c r="T92" s="1">
        <v>39079</v>
      </c>
      <c r="U92" t="str">
        <f t="shared" ca="1" si="20"/>
        <v>rg:False</v>
      </c>
      <c r="V92" t="str">
        <f t="shared" ca="1" si="21"/>
        <v>rg:None</v>
      </c>
      <c r="W92" t="s">
        <v>7151</v>
      </c>
      <c r="X92" t="s">
        <v>76</v>
      </c>
      <c r="Y92" t="s">
        <v>76</v>
      </c>
      <c r="Z92" t="s">
        <v>76</v>
      </c>
      <c r="AA92" t="s">
        <v>7498</v>
      </c>
      <c r="AB92" t="s">
        <v>7335</v>
      </c>
      <c r="AC92">
        <v>0</v>
      </c>
      <c r="AD92" t="str">
        <f t="shared" ca="1" si="22"/>
        <v>rg:False</v>
      </c>
      <c r="AE92" t="str">
        <f t="shared" ca="1" si="23"/>
        <v>rg:None</v>
      </c>
      <c r="AF92" s="1">
        <v>42481</v>
      </c>
      <c r="AG92" s="4">
        <f t="shared" ca="1" si="24"/>
        <v>706.16666666666663</v>
      </c>
      <c r="AH92" s="4">
        <f t="shared" si="25"/>
        <v>9.2583333333333329</v>
      </c>
      <c r="AI92">
        <f t="shared" ca="1" si="26"/>
        <v>181</v>
      </c>
      <c r="AJ92">
        <f t="shared" ca="1" si="27"/>
        <v>116</v>
      </c>
      <c r="AK92">
        <f t="shared" ca="1" si="28"/>
        <v>155</v>
      </c>
      <c r="AL92" t="s">
        <v>326</v>
      </c>
      <c r="AO92" t="s">
        <v>76</v>
      </c>
      <c r="AP92" t="s">
        <v>6510</v>
      </c>
      <c r="AQ92" t="s">
        <v>6510</v>
      </c>
      <c r="AR92" t="s">
        <v>6510</v>
      </c>
      <c r="AS92" t="s">
        <v>6510</v>
      </c>
    </row>
    <row r="93" spans="1:45" x14ac:dyDescent="0.3">
      <c r="A93" t="s">
        <v>5630</v>
      </c>
      <c r="B93">
        <f t="shared" si="15"/>
        <v>200091</v>
      </c>
      <c r="C93">
        <v>200025</v>
      </c>
      <c r="D93" t="str">
        <f t="shared" si="16"/>
        <v>rg:{'id': '200025'}</v>
      </c>
      <c r="E93">
        <f>VLOOKUP(C93,Owners.csv!C:J,6,FALSE)</f>
        <v>200001</v>
      </c>
      <c r="F93" t="str">
        <f>VLOOKUP(VLOOKUP(E93,LocalAreas.csv!I:K,3,FALSE),ServiceAreas.csv!F:J,5,FALSE)</f>
        <v>200009</v>
      </c>
      <c r="G93" t="str">
        <f t="shared" si="17"/>
        <v>rg:{'id': '200001'}</v>
      </c>
      <c r="H93" t="s">
        <v>7669</v>
      </c>
      <c r="I93" t="s">
        <v>5637</v>
      </c>
      <c r="J93">
        <f>VLOOKUP(I93&amp;"-"&amp;F93,DistrictEquipmentTypes.csv!J:K,2,FALSE)</f>
        <v>200001</v>
      </c>
      <c r="K93" t="str">
        <f t="shared" si="18"/>
        <v>rg:{'id': '200001'}</v>
      </c>
      <c r="L93">
        <f t="shared" si="19"/>
        <v>7</v>
      </c>
      <c r="M93" t="str">
        <f>VLOOKUP(C93,Owners.csv!C:K,9,FALSE)&amp;TEXT(Equipment.csv!L93,"0000")</f>
        <v>ENVI0007</v>
      </c>
      <c r="N93" t="s">
        <v>5401</v>
      </c>
      <c r="O93" t="s">
        <v>6773</v>
      </c>
      <c r="P93">
        <v>1989</v>
      </c>
      <c r="Q93">
        <v>115</v>
      </c>
      <c r="R93" t="s">
        <v>6663</v>
      </c>
      <c r="S93" s="1">
        <v>41134</v>
      </c>
      <c r="T93" s="1">
        <v>41142</v>
      </c>
      <c r="U93" t="str">
        <f t="shared" ca="1" si="20"/>
        <v>rg:False</v>
      </c>
      <c r="V93" t="str">
        <f t="shared" ca="1" si="21"/>
        <v>rg:None</v>
      </c>
      <c r="W93" t="s">
        <v>7171</v>
      </c>
      <c r="X93" t="s">
        <v>76</v>
      </c>
      <c r="Y93" t="s">
        <v>76</v>
      </c>
      <c r="Z93" t="s">
        <v>76</v>
      </c>
      <c r="AA93" t="s">
        <v>7518</v>
      </c>
      <c r="AB93" t="s">
        <v>7351</v>
      </c>
      <c r="AC93">
        <v>0</v>
      </c>
      <c r="AD93" t="str">
        <f t="shared" ca="1" si="22"/>
        <v>rg:False</v>
      </c>
      <c r="AE93" t="str">
        <f t="shared" ca="1" si="23"/>
        <v>rg:None</v>
      </c>
      <c r="AF93" s="1">
        <v>42481</v>
      </c>
      <c r="AG93" s="4">
        <f t="shared" ca="1" si="24"/>
        <v>238.66666666666669</v>
      </c>
      <c r="AH93" s="4">
        <f t="shared" si="25"/>
        <v>3.6111111111111112</v>
      </c>
      <c r="AI93">
        <f t="shared" ca="1" si="26"/>
        <v>121</v>
      </c>
      <c r="AJ93">
        <f t="shared" ca="1" si="27"/>
        <v>183</v>
      </c>
      <c r="AK93">
        <f t="shared" ca="1" si="28"/>
        <v>87</v>
      </c>
      <c r="AL93" t="s">
        <v>326</v>
      </c>
      <c r="AO93" t="s">
        <v>76</v>
      </c>
      <c r="AP93" t="s">
        <v>6510</v>
      </c>
      <c r="AQ93" t="s">
        <v>6510</v>
      </c>
      <c r="AR93" t="s">
        <v>6510</v>
      </c>
      <c r="AS93" t="s">
        <v>6510</v>
      </c>
    </row>
    <row r="94" spans="1:45" x14ac:dyDescent="0.3">
      <c r="A94" t="s">
        <v>5630</v>
      </c>
      <c r="B94">
        <f t="shared" si="15"/>
        <v>200092</v>
      </c>
      <c r="C94">
        <v>200025</v>
      </c>
      <c r="D94" t="str">
        <f t="shared" si="16"/>
        <v>rg:{'id': '200025'}</v>
      </c>
      <c r="E94">
        <f>VLOOKUP(C94,Owners.csv!C:J,6,FALSE)</f>
        <v>200001</v>
      </c>
      <c r="F94" t="str">
        <f>VLOOKUP(VLOOKUP(E94,LocalAreas.csv!I:K,3,FALSE),ServiceAreas.csv!F:J,5,FALSE)</f>
        <v>200009</v>
      </c>
      <c r="G94" t="str">
        <f t="shared" si="17"/>
        <v>rg:{'id': '200001'}</v>
      </c>
      <c r="H94" t="s">
        <v>7691</v>
      </c>
      <c r="I94" t="s">
        <v>5536</v>
      </c>
      <c r="J94">
        <f>VLOOKUP(I94&amp;"-"&amp;F94,DistrictEquipmentTypes.csv!J:K,2,FALSE)</f>
        <v>200000</v>
      </c>
      <c r="K94" t="str">
        <f t="shared" si="18"/>
        <v>rg:{'id': '200000'}</v>
      </c>
      <c r="L94">
        <f t="shared" si="19"/>
        <v>8</v>
      </c>
      <c r="M94" t="str">
        <f>VLOOKUP(C94,Owners.csv!C:K,9,FALSE)&amp;TEXT(Equipment.csv!L94,"0000")</f>
        <v>ENVI0008</v>
      </c>
      <c r="N94" t="s">
        <v>5401</v>
      </c>
      <c r="O94" t="s">
        <v>6788</v>
      </c>
      <c r="P94">
        <v>1982</v>
      </c>
      <c r="Q94">
        <v>130</v>
      </c>
      <c r="R94" t="s">
        <v>6663</v>
      </c>
      <c r="S94" s="1">
        <v>42335</v>
      </c>
      <c r="T94" s="1">
        <v>42363</v>
      </c>
      <c r="U94" t="str">
        <f t="shared" ca="1" si="20"/>
        <v>rg:False</v>
      </c>
      <c r="V94" t="str">
        <f t="shared" ca="1" si="21"/>
        <v>rg:None</v>
      </c>
      <c r="W94" t="s">
        <v>7186</v>
      </c>
      <c r="X94" t="s">
        <v>76</v>
      </c>
      <c r="Y94" t="s">
        <v>76</v>
      </c>
      <c r="Z94" t="s">
        <v>76</v>
      </c>
      <c r="AA94" t="s">
        <v>7533</v>
      </c>
      <c r="AB94" t="s">
        <v>7362</v>
      </c>
      <c r="AC94">
        <v>0</v>
      </c>
      <c r="AD94" t="str">
        <f t="shared" ca="1" si="22"/>
        <v>rg:False</v>
      </c>
      <c r="AE94" t="str">
        <f t="shared" ca="1" si="23"/>
        <v>rg:None</v>
      </c>
      <c r="AF94" s="1">
        <v>42481</v>
      </c>
      <c r="AG94" s="4">
        <f t="shared" ca="1" si="24"/>
        <v>8</v>
      </c>
      <c r="AH94" s="4">
        <f t="shared" si="25"/>
        <v>0.26666666666666666</v>
      </c>
      <c r="AI94">
        <f t="shared" ca="1" si="26"/>
        <v>0</v>
      </c>
      <c r="AJ94">
        <f t="shared" ca="1" si="27"/>
        <v>0</v>
      </c>
      <c r="AK94">
        <f t="shared" ca="1" si="28"/>
        <v>0</v>
      </c>
      <c r="AL94" t="s">
        <v>326</v>
      </c>
      <c r="AO94" t="s">
        <v>76</v>
      </c>
      <c r="AP94" t="s">
        <v>6510</v>
      </c>
      <c r="AQ94" t="s">
        <v>6510</v>
      </c>
      <c r="AR94" t="s">
        <v>6510</v>
      </c>
      <c r="AS94" t="s">
        <v>6510</v>
      </c>
    </row>
    <row r="95" spans="1:45" x14ac:dyDescent="0.3">
      <c r="A95" t="s">
        <v>5630</v>
      </c>
      <c r="B95">
        <f t="shared" si="15"/>
        <v>200093</v>
      </c>
      <c r="C95">
        <v>200026</v>
      </c>
      <c r="D95" t="str">
        <f t="shared" si="16"/>
        <v>rg:{'id': '200026'}</v>
      </c>
      <c r="E95">
        <f>VLOOKUP(C95,Owners.csv!C:J,6,FALSE)</f>
        <v>200001</v>
      </c>
      <c r="F95" t="str">
        <f>VLOOKUP(VLOOKUP(E95,LocalAreas.csv!I:K,3,FALSE),ServiceAreas.csv!F:J,5,FALSE)</f>
        <v>200009</v>
      </c>
      <c r="G95" t="str">
        <f t="shared" si="17"/>
        <v>rg:{'id': '200001'}</v>
      </c>
      <c r="H95" t="s">
        <v>7676</v>
      </c>
      <c r="I95" t="s">
        <v>5642</v>
      </c>
      <c r="J95">
        <f>VLOOKUP(I95&amp;"-"&amp;F95,DistrictEquipmentTypes.csv!J:K,2,FALSE)</f>
        <v>200004</v>
      </c>
      <c r="K95" t="str">
        <f t="shared" si="18"/>
        <v>rg:{'id': '200004'}</v>
      </c>
      <c r="L95">
        <f t="shared" si="19"/>
        <v>1</v>
      </c>
      <c r="M95" t="str">
        <f>VLOOKUP(C95,Owners.csv!C:K,9,FALSE)&amp;TEXT(Equipment.csv!L95,"0000")</f>
        <v>FAMI0001</v>
      </c>
      <c r="N95" t="s">
        <v>5401</v>
      </c>
      <c r="O95" t="s">
        <v>6696</v>
      </c>
      <c r="P95">
        <v>2005</v>
      </c>
      <c r="Q95">
        <v>38</v>
      </c>
      <c r="R95" t="s">
        <v>6663</v>
      </c>
      <c r="S95" s="1">
        <v>42519</v>
      </c>
      <c r="T95" s="1">
        <v>42538</v>
      </c>
      <c r="U95" t="str">
        <f t="shared" ca="1" si="20"/>
        <v>rg:False</v>
      </c>
      <c r="V95" t="str">
        <f t="shared" ca="1" si="21"/>
        <v>rg:None</v>
      </c>
      <c r="W95" t="s">
        <v>7094</v>
      </c>
      <c r="X95" t="s">
        <v>76</v>
      </c>
      <c r="Y95" t="s">
        <v>76</v>
      </c>
      <c r="Z95" t="s">
        <v>76</v>
      </c>
      <c r="AA95" t="s">
        <v>7441</v>
      </c>
      <c r="AB95" t="s">
        <v>7291</v>
      </c>
      <c r="AC95">
        <v>0</v>
      </c>
      <c r="AD95" t="str">
        <f t="shared" ca="1" si="22"/>
        <v>rg:True</v>
      </c>
      <c r="AE95" t="str">
        <f t="shared" ca="1" si="23"/>
        <v>Seniority overridden to test things</v>
      </c>
      <c r="AF95" s="1">
        <v>42480</v>
      </c>
      <c r="AG95" s="4">
        <f t="shared" ca="1" si="24"/>
        <v>6.333333333333333</v>
      </c>
      <c r="AH95" s="4">
        <f t="shared" si="25"/>
        <v>0.21111111111111111</v>
      </c>
      <c r="AI95">
        <f t="shared" ca="1" si="26"/>
        <v>0</v>
      </c>
      <c r="AJ95">
        <f t="shared" ca="1" si="27"/>
        <v>0</v>
      </c>
      <c r="AK95">
        <f t="shared" ca="1" si="28"/>
        <v>0</v>
      </c>
      <c r="AL95" t="s">
        <v>326</v>
      </c>
      <c r="AO95" t="s">
        <v>76</v>
      </c>
      <c r="AP95" t="s">
        <v>6510</v>
      </c>
      <c r="AQ95" t="s">
        <v>6510</v>
      </c>
      <c r="AR95" t="s">
        <v>6510</v>
      </c>
      <c r="AS95" t="s">
        <v>6510</v>
      </c>
    </row>
    <row r="96" spans="1:45" x14ac:dyDescent="0.3">
      <c r="A96" t="s">
        <v>5630</v>
      </c>
      <c r="B96">
        <f t="shared" si="15"/>
        <v>200094</v>
      </c>
      <c r="C96">
        <v>200026</v>
      </c>
      <c r="D96" t="str">
        <f t="shared" si="16"/>
        <v>rg:{'id': '200026'}</v>
      </c>
      <c r="E96">
        <f>VLOOKUP(C96,Owners.csv!C:J,6,FALSE)</f>
        <v>200001</v>
      </c>
      <c r="F96" t="str">
        <f>VLOOKUP(VLOOKUP(E96,LocalAreas.csv!I:K,3,FALSE),ServiceAreas.csv!F:J,5,FALSE)</f>
        <v>200009</v>
      </c>
      <c r="G96" t="str">
        <f t="shared" si="17"/>
        <v>rg:{'id': '200001'}</v>
      </c>
      <c r="H96" t="s">
        <v>7646</v>
      </c>
      <c r="I96" t="s">
        <v>5642</v>
      </c>
      <c r="J96">
        <f>VLOOKUP(I96&amp;"-"&amp;F96,DistrictEquipmentTypes.csv!J:K,2,FALSE)</f>
        <v>200004</v>
      </c>
      <c r="K96" t="str">
        <f t="shared" si="18"/>
        <v>rg:{'id': '200004'}</v>
      </c>
      <c r="L96">
        <f t="shared" si="19"/>
        <v>2</v>
      </c>
      <c r="M96" t="str">
        <f>VLOOKUP(C96,Owners.csv!C:K,9,FALSE)&amp;TEXT(Equipment.csv!L96,"0000")</f>
        <v>FAMI0002</v>
      </c>
      <c r="N96" t="s">
        <v>5401</v>
      </c>
      <c r="O96" t="s">
        <v>6706</v>
      </c>
      <c r="P96">
        <v>2009</v>
      </c>
      <c r="Q96">
        <v>48</v>
      </c>
      <c r="R96" t="s">
        <v>6663</v>
      </c>
      <c r="S96" s="1">
        <v>40209</v>
      </c>
      <c r="T96" s="1">
        <v>40211</v>
      </c>
      <c r="U96" t="str">
        <f t="shared" ca="1" si="20"/>
        <v>rg:True</v>
      </c>
      <c r="V96" t="str">
        <f t="shared" ca="1" si="21"/>
        <v>This equipment should be archived</v>
      </c>
      <c r="W96" t="s">
        <v>7104</v>
      </c>
      <c r="X96" t="s">
        <v>76</v>
      </c>
      <c r="Y96" t="s">
        <v>76</v>
      </c>
      <c r="Z96" t="s">
        <v>76</v>
      </c>
      <c r="AA96" t="s">
        <v>7451</v>
      </c>
      <c r="AB96" t="s">
        <v>7300</v>
      </c>
      <c r="AC96">
        <v>0</v>
      </c>
      <c r="AD96" t="str">
        <f t="shared" ca="1" si="22"/>
        <v>rg:False</v>
      </c>
      <c r="AE96" t="str">
        <f t="shared" ca="1" si="23"/>
        <v>rg:None</v>
      </c>
      <c r="AF96" s="1">
        <v>42461</v>
      </c>
      <c r="AG96" s="4">
        <f t="shared" ca="1" si="24"/>
        <v>297.25</v>
      </c>
      <c r="AH96" s="4">
        <f t="shared" si="25"/>
        <v>6.1638888888888888</v>
      </c>
      <c r="AI96">
        <f t="shared" ca="1" si="26"/>
        <v>129</v>
      </c>
      <c r="AJ96">
        <f t="shared" ca="1" si="27"/>
        <v>86</v>
      </c>
      <c r="AK96">
        <f t="shared" ca="1" si="28"/>
        <v>122</v>
      </c>
      <c r="AL96" t="s">
        <v>326</v>
      </c>
      <c r="AO96" t="s">
        <v>76</v>
      </c>
      <c r="AP96" t="s">
        <v>6510</v>
      </c>
      <c r="AQ96" t="s">
        <v>6510</v>
      </c>
      <c r="AR96" t="s">
        <v>6510</v>
      </c>
      <c r="AS96" t="s">
        <v>6510</v>
      </c>
    </row>
    <row r="97" spans="1:45" x14ac:dyDescent="0.3">
      <c r="A97" t="s">
        <v>5630</v>
      </c>
      <c r="B97">
        <f t="shared" si="15"/>
        <v>200095</v>
      </c>
      <c r="C97">
        <v>200026</v>
      </c>
      <c r="D97" t="str">
        <f t="shared" si="16"/>
        <v>rg:{'id': '200026'}</v>
      </c>
      <c r="E97">
        <f>VLOOKUP(C97,Owners.csv!C:J,6,FALSE)</f>
        <v>200001</v>
      </c>
      <c r="F97" t="str">
        <f>VLOOKUP(VLOOKUP(E97,LocalAreas.csv!I:K,3,FALSE),ServiceAreas.csv!F:J,5,FALSE)</f>
        <v>200009</v>
      </c>
      <c r="G97" t="str">
        <f t="shared" si="17"/>
        <v>rg:{'id': '200001'}</v>
      </c>
      <c r="H97" t="s">
        <v>7690</v>
      </c>
      <c r="I97" t="s">
        <v>5640</v>
      </c>
      <c r="J97">
        <f>VLOOKUP(I97&amp;"-"&amp;F97,DistrictEquipmentTypes.csv!J:K,2,FALSE)</f>
        <v>200002</v>
      </c>
      <c r="K97" t="str">
        <f t="shared" si="18"/>
        <v>rg:{'id': '200002'}</v>
      </c>
      <c r="L97">
        <f t="shared" si="19"/>
        <v>3</v>
      </c>
      <c r="M97" t="str">
        <f>VLOOKUP(C97,Owners.csv!C:K,9,FALSE)&amp;TEXT(Equipment.csv!L97,"0000")</f>
        <v>FAMI0003</v>
      </c>
      <c r="N97" t="s">
        <v>5401</v>
      </c>
      <c r="O97" t="s">
        <v>6716</v>
      </c>
      <c r="P97">
        <v>1980</v>
      </c>
      <c r="Q97">
        <v>58</v>
      </c>
      <c r="R97" t="s">
        <v>6663</v>
      </c>
      <c r="S97" s="1">
        <v>40016</v>
      </c>
      <c r="T97" s="1">
        <v>40032</v>
      </c>
      <c r="U97" t="str">
        <f t="shared" ca="1" si="20"/>
        <v>rg:False</v>
      </c>
      <c r="V97" t="str">
        <f t="shared" ca="1" si="21"/>
        <v>rg:None</v>
      </c>
      <c r="W97" t="s">
        <v>7114</v>
      </c>
      <c r="X97" t="s">
        <v>76</v>
      </c>
      <c r="Y97" t="s">
        <v>76</v>
      </c>
      <c r="Z97" t="s">
        <v>76</v>
      </c>
      <c r="AA97" t="s">
        <v>7461</v>
      </c>
      <c r="AB97" t="s">
        <v>7255</v>
      </c>
      <c r="AC97">
        <v>0</v>
      </c>
      <c r="AD97" t="str">
        <f t="shared" ca="1" si="22"/>
        <v>rg:False</v>
      </c>
      <c r="AE97" t="str">
        <f t="shared" ca="1" si="23"/>
        <v>rg:None</v>
      </c>
      <c r="AF97" s="1">
        <v>42481</v>
      </c>
      <c r="AG97" s="4">
        <f t="shared" ca="1" si="24"/>
        <v>258.83333333333331</v>
      </c>
      <c r="AH97" s="4">
        <f t="shared" si="25"/>
        <v>6.65</v>
      </c>
      <c r="AI97">
        <f t="shared" ca="1" si="26"/>
        <v>27</v>
      </c>
      <c r="AJ97">
        <f t="shared" ca="1" si="27"/>
        <v>91</v>
      </c>
      <c r="AK97">
        <f t="shared" ca="1" si="28"/>
        <v>60</v>
      </c>
      <c r="AL97" t="s">
        <v>326</v>
      </c>
      <c r="AO97" t="s">
        <v>76</v>
      </c>
      <c r="AP97" t="s">
        <v>6510</v>
      </c>
      <c r="AQ97" t="s">
        <v>6510</v>
      </c>
      <c r="AR97" t="s">
        <v>6510</v>
      </c>
      <c r="AS97" t="s">
        <v>6510</v>
      </c>
    </row>
    <row r="98" spans="1:45" x14ac:dyDescent="0.3">
      <c r="A98" t="s">
        <v>5630</v>
      </c>
      <c r="B98">
        <f t="shared" si="15"/>
        <v>200096</v>
      </c>
      <c r="C98">
        <v>200026</v>
      </c>
      <c r="D98" t="str">
        <f t="shared" si="16"/>
        <v>rg:{'id': '200026'}</v>
      </c>
      <c r="E98">
        <f>VLOOKUP(C98,Owners.csv!C:J,6,FALSE)</f>
        <v>200001</v>
      </c>
      <c r="F98" t="str">
        <f>VLOOKUP(VLOOKUP(E98,LocalAreas.csv!I:K,3,FALSE),ServiceAreas.csv!F:J,5,FALSE)</f>
        <v>200009</v>
      </c>
      <c r="G98" t="str">
        <f t="shared" si="17"/>
        <v>rg:{'id': '200001'}</v>
      </c>
      <c r="H98" t="s">
        <v>7705</v>
      </c>
      <c r="I98" t="s">
        <v>5651</v>
      </c>
      <c r="J98">
        <f>VLOOKUP(I98&amp;"-"&amp;F98,DistrictEquipmentTypes.csv!J:K,2,FALSE)</f>
        <v>200006</v>
      </c>
      <c r="K98" t="str">
        <f t="shared" si="18"/>
        <v>rg:{'id': '200006'}</v>
      </c>
      <c r="L98">
        <f t="shared" si="19"/>
        <v>4</v>
      </c>
      <c r="M98" t="str">
        <f>VLOOKUP(C98,Owners.csv!C:K,9,FALSE)&amp;TEXT(Equipment.csv!L98,"0000")</f>
        <v>FAMI0004</v>
      </c>
      <c r="N98" t="s">
        <v>5401</v>
      </c>
      <c r="O98" t="s">
        <v>6734</v>
      </c>
      <c r="P98">
        <v>2013</v>
      </c>
      <c r="Q98">
        <v>76</v>
      </c>
      <c r="R98" t="s">
        <v>6663</v>
      </c>
      <c r="S98" s="1">
        <v>41573</v>
      </c>
      <c r="T98" s="1">
        <v>41593</v>
      </c>
      <c r="U98" t="str">
        <f t="shared" ca="1" si="20"/>
        <v>rg:False</v>
      </c>
      <c r="V98" t="str">
        <f t="shared" ca="1" si="21"/>
        <v>rg:None</v>
      </c>
      <c r="W98" t="s">
        <v>7132</v>
      </c>
      <c r="X98" t="s">
        <v>76</v>
      </c>
      <c r="Y98" t="s">
        <v>76</v>
      </c>
      <c r="Z98" t="s">
        <v>76</v>
      </c>
      <c r="AA98" t="s">
        <v>7479</v>
      </c>
      <c r="AB98" t="s">
        <v>7321</v>
      </c>
      <c r="AC98">
        <v>0</v>
      </c>
      <c r="AD98" t="str">
        <f t="shared" ca="1" si="22"/>
        <v>rg:False</v>
      </c>
      <c r="AE98" t="str">
        <f t="shared" ref="AE98:AE129" ca="1" si="29">IF(AD98="rg:True","Seniority overridden to test things","rg:None")</f>
        <v>rg:None</v>
      </c>
      <c r="AF98" s="1">
        <v>42481</v>
      </c>
      <c r="AG98" s="4">
        <f t="shared" ca="1" si="24"/>
        <v>236</v>
      </c>
      <c r="AH98" s="4">
        <f t="shared" si="25"/>
        <v>2.3777777777777778</v>
      </c>
      <c r="AI98">
        <f t="shared" ca="1" si="26"/>
        <v>95</v>
      </c>
      <c r="AJ98">
        <f t="shared" ca="1" si="27"/>
        <v>185</v>
      </c>
      <c r="AK98">
        <f t="shared" ca="1" si="28"/>
        <v>0</v>
      </c>
      <c r="AL98" t="s">
        <v>326</v>
      </c>
      <c r="AO98" t="s">
        <v>76</v>
      </c>
      <c r="AP98" t="s">
        <v>6510</v>
      </c>
      <c r="AQ98" t="s">
        <v>6510</v>
      </c>
      <c r="AR98" t="s">
        <v>6510</v>
      </c>
      <c r="AS98" t="s">
        <v>6510</v>
      </c>
    </row>
    <row r="99" spans="1:45" x14ac:dyDescent="0.3">
      <c r="A99" t="s">
        <v>5630</v>
      </c>
      <c r="B99">
        <f t="shared" si="15"/>
        <v>200097</v>
      </c>
      <c r="C99">
        <v>200026</v>
      </c>
      <c r="D99" t="str">
        <f t="shared" si="16"/>
        <v>rg:{'id': '200026'}</v>
      </c>
      <c r="E99">
        <f>VLOOKUP(C99,Owners.csv!C:J,6,FALSE)</f>
        <v>200001</v>
      </c>
      <c r="F99" t="str">
        <f>VLOOKUP(VLOOKUP(E99,LocalAreas.csv!I:K,3,FALSE),ServiceAreas.csv!F:J,5,FALSE)</f>
        <v>200009</v>
      </c>
      <c r="G99" t="str">
        <f t="shared" si="17"/>
        <v>rg:{'id': '200001'}</v>
      </c>
      <c r="H99" t="s">
        <v>7662</v>
      </c>
      <c r="I99" t="s">
        <v>5651</v>
      </c>
      <c r="J99">
        <f>VLOOKUP(I99&amp;"-"&amp;F99,DistrictEquipmentTypes.csv!J:K,2,FALSE)</f>
        <v>200006</v>
      </c>
      <c r="K99" t="str">
        <f t="shared" si="18"/>
        <v>rg:{'id': '200006'}</v>
      </c>
      <c r="L99">
        <f t="shared" si="19"/>
        <v>5</v>
      </c>
      <c r="M99" t="str">
        <f>VLOOKUP(C99,Owners.csv!C:K,9,FALSE)&amp;TEXT(Equipment.csv!L99,"0000")</f>
        <v>FAMI0005</v>
      </c>
      <c r="N99" t="s">
        <v>5401</v>
      </c>
      <c r="O99" t="s">
        <v>6754</v>
      </c>
      <c r="P99">
        <v>1988</v>
      </c>
      <c r="Q99">
        <v>96</v>
      </c>
      <c r="R99" t="s">
        <v>6663</v>
      </c>
      <c r="S99" s="1">
        <v>41606</v>
      </c>
      <c r="T99" s="1">
        <v>41637</v>
      </c>
      <c r="U99" t="str">
        <f t="shared" ca="1" si="20"/>
        <v>rg:False</v>
      </c>
      <c r="V99" t="str">
        <f t="shared" ca="1" si="21"/>
        <v>rg:None</v>
      </c>
      <c r="W99" t="s">
        <v>7152</v>
      </c>
      <c r="X99" t="s">
        <v>76</v>
      </c>
      <c r="Y99" t="s">
        <v>76</v>
      </c>
      <c r="Z99" t="s">
        <v>76</v>
      </c>
      <c r="AA99" t="s">
        <v>7499</v>
      </c>
      <c r="AB99" t="s">
        <v>7336</v>
      </c>
      <c r="AC99">
        <v>0</v>
      </c>
      <c r="AD99" t="str">
        <f t="shared" ca="1" si="22"/>
        <v>rg:False</v>
      </c>
      <c r="AE99" t="str">
        <f t="shared" ca="1" si="29"/>
        <v>rg:None</v>
      </c>
      <c r="AF99" s="1">
        <v>42481</v>
      </c>
      <c r="AG99" s="4">
        <f t="shared" ca="1" si="24"/>
        <v>203.66666666666669</v>
      </c>
      <c r="AH99" s="4">
        <f t="shared" si="25"/>
        <v>2.2555555555555555</v>
      </c>
      <c r="AI99">
        <f t="shared" ca="1" si="26"/>
        <v>107</v>
      </c>
      <c r="AJ99">
        <f t="shared" ca="1" si="27"/>
        <v>98</v>
      </c>
      <c r="AK99">
        <f t="shared" ca="1" si="28"/>
        <v>0</v>
      </c>
      <c r="AL99" t="s">
        <v>326</v>
      </c>
      <c r="AO99" t="s">
        <v>76</v>
      </c>
      <c r="AP99" t="s">
        <v>6510</v>
      </c>
      <c r="AQ99" t="s">
        <v>6510</v>
      </c>
      <c r="AR99" t="s">
        <v>6510</v>
      </c>
      <c r="AS99" t="s">
        <v>6510</v>
      </c>
    </row>
    <row r="100" spans="1:45" x14ac:dyDescent="0.3">
      <c r="A100" t="s">
        <v>5630</v>
      </c>
      <c r="B100">
        <f t="shared" si="15"/>
        <v>200098</v>
      </c>
      <c r="C100">
        <v>200026</v>
      </c>
      <c r="D100" t="str">
        <f t="shared" si="16"/>
        <v>rg:{'id': '200026'}</v>
      </c>
      <c r="E100">
        <f>VLOOKUP(C100,Owners.csv!C:J,6,FALSE)</f>
        <v>200001</v>
      </c>
      <c r="F100" t="str">
        <f>VLOOKUP(VLOOKUP(E100,LocalAreas.csv!I:K,3,FALSE),ServiceAreas.csv!F:J,5,FALSE)</f>
        <v>200009</v>
      </c>
      <c r="G100" t="str">
        <f t="shared" si="17"/>
        <v>rg:{'id': '200001'}</v>
      </c>
      <c r="H100" t="s">
        <v>7729</v>
      </c>
      <c r="I100" t="s">
        <v>5637</v>
      </c>
      <c r="J100">
        <f>VLOOKUP(I100&amp;"-"&amp;F100,DistrictEquipmentTypes.csv!J:K,2,FALSE)</f>
        <v>200001</v>
      </c>
      <c r="K100" t="str">
        <f t="shared" si="18"/>
        <v>rg:{'id': '200001'}</v>
      </c>
      <c r="L100">
        <f t="shared" si="19"/>
        <v>6</v>
      </c>
      <c r="M100" t="str">
        <f>VLOOKUP(C100,Owners.csv!C:K,9,FALSE)&amp;TEXT(Equipment.csv!L100,"0000")</f>
        <v>FAMI0006</v>
      </c>
      <c r="N100" t="s">
        <v>5401</v>
      </c>
      <c r="O100" t="s">
        <v>6774</v>
      </c>
      <c r="P100">
        <v>1976</v>
      </c>
      <c r="Q100">
        <v>116</v>
      </c>
      <c r="R100" t="s">
        <v>6663</v>
      </c>
      <c r="S100" s="1">
        <v>39955</v>
      </c>
      <c r="T100" s="1">
        <v>39962</v>
      </c>
      <c r="U100" t="str">
        <f t="shared" ca="1" si="20"/>
        <v>rg:False</v>
      </c>
      <c r="V100" t="str">
        <f t="shared" ca="1" si="21"/>
        <v>rg:None</v>
      </c>
      <c r="W100" t="s">
        <v>7172</v>
      </c>
      <c r="X100" t="s">
        <v>76</v>
      </c>
      <c r="Y100" t="s">
        <v>76</v>
      </c>
      <c r="Z100" t="s">
        <v>76</v>
      </c>
      <c r="AA100" t="s">
        <v>7519</v>
      </c>
      <c r="AB100" t="s">
        <v>7352</v>
      </c>
      <c r="AC100">
        <v>0</v>
      </c>
      <c r="AD100" t="str">
        <f t="shared" ca="1" si="22"/>
        <v>rg:False</v>
      </c>
      <c r="AE100" t="str">
        <f t="shared" ca="1" si="29"/>
        <v>rg:None</v>
      </c>
      <c r="AF100" s="1">
        <v>42481</v>
      </c>
      <c r="AG100" s="4">
        <f t="shared" ca="1" si="24"/>
        <v>263.5</v>
      </c>
      <c r="AH100" s="4">
        <f t="shared" si="25"/>
        <v>6.8388888888888886</v>
      </c>
      <c r="AI100">
        <f t="shared" ca="1" si="26"/>
        <v>16</v>
      </c>
      <c r="AJ100">
        <f t="shared" ca="1" si="27"/>
        <v>45</v>
      </c>
      <c r="AK100">
        <f t="shared" ca="1" si="28"/>
        <v>114</v>
      </c>
      <c r="AL100" t="s">
        <v>326</v>
      </c>
      <c r="AO100" t="s">
        <v>76</v>
      </c>
      <c r="AP100" t="s">
        <v>6510</v>
      </c>
      <c r="AQ100" t="s">
        <v>6510</v>
      </c>
      <c r="AR100" t="s">
        <v>6510</v>
      </c>
      <c r="AS100" t="s">
        <v>6510</v>
      </c>
    </row>
    <row r="101" spans="1:45" x14ac:dyDescent="0.3">
      <c r="A101" t="s">
        <v>5630</v>
      </c>
      <c r="B101">
        <f t="shared" si="15"/>
        <v>200099</v>
      </c>
      <c r="C101">
        <v>200026</v>
      </c>
      <c r="D101" t="str">
        <f t="shared" si="16"/>
        <v>rg:{'id': '200026'}</v>
      </c>
      <c r="E101">
        <f>VLOOKUP(C101,Owners.csv!C:J,6,FALSE)</f>
        <v>200001</v>
      </c>
      <c r="F101" t="str">
        <f>VLOOKUP(VLOOKUP(E101,LocalAreas.csv!I:K,3,FALSE),ServiceAreas.csv!F:J,5,FALSE)</f>
        <v>200009</v>
      </c>
      <c r="G101" t="str">
        <f t="shared" si="17"/>
        <v>rg:{'id': '200001'}</v>
      </c>
      <c r="H101" t="s">
        <v>7697</v>
      </c>
      <c r="I101" t="s">
        <v>5536</v>
      </c>
      <c r="J101">
        <f>VLOOKUP(I101&amp;"-"&amp;F101,DistrictEquipmentTypes.csv!J:K,2,FALSE)</f>
        <v>200000</v>
      </c>
      <c r="K101" t="str">
        <f t="shared" si="18"/>
        <v>rg:{'id': '200000'}</v>
      </c>
      <c r="L101">
        <f t="shared" si="19"/>
        <v>7</v>
      </c>
      <c r="M101" t="str">
        <f>VLOOKUP(C101,Owners.csv!C:K,9,FALSE)&amp;TEXT(Equipment.csv!L101,"0000")</f>
        <v>FAMI0007</v>
      </c>
      <c r="N101" t="s">
        <v>5401</v>
      </c>
      <c r="O101" t="s">
        <v>6789</v>
      </c>
      <c r="P101">
        <v>1989</v>
      </c>
      <c r="Q101">
        <v>131</v>
      </c>
      <c r="R101" t="s">
        <v>6663</v>
      </c>
      <c r="S101" s="1">
        <v>42575</v>
      </c>
      <c r="T101" s="1">
        <v>42603</v>
      </c>
      <c r="U101" t="str">
        <f t="shared" ca="1" si="20"/>
        <v>rg:False</v>
      </c>
      <c r="V101" t="str">
        <f t="shared" ca="1" si="21"/>
        <v>rg:None</v>
      </c>
      <c r="W101" t="s">
        <v>7187</v>
      </c>
      <c r="X101" t="s">
        <v>76</v>
      </c>
      <c r="Y101" t="s">
        <v>76</v>
      </c>
      <c r="Z101" t="s">
        <v>76</v>
      </c>
      <c r="AA101" t="s">
        <v>7534</v>
      </c>
      <c r="AB101" t="s">
        <v>7260</v>
      </c>
      <c r="AC101">
        <v>0</v>
      </c>
      <c r="AD101" t="str">
        <f t="shared" ca="1" si="22"/>
        <v>rg:True</v>
      </c>
      <c r="AE101" t="str">
        <f t="shared" ca="1" si="29"/>
        <v>Seniority overridden to test things</v>
      </c>
      <c r="AF101" s="1">
        <v>42481</v>
      </c>
      <c r="AG101" s="4">
        <f t="shared" ca="1" si="24"/>
        <v>11.666666666666666</v>
      </c>
      <c r="AH101" s="4">
        <f t="shared" si="25"/>
        <v>0.3888888888888889</v>
      </c>
      <c r="AI101">
        <f t="shared" ca="1" si="26"/>
        <v>0</v>
      </c>
      <c r="AJ101">
        <f t="shared" ca="1" si="27"/>
        <v>0</v>
      </c>
      <c r="AK101">
        <f t="shared" ca="1" si="28"/>
        <v>0</v>
      </c>
      <c r="AL101" t="s">
        <v>326</v>
      </c>
      <c r="AO101" t="s">
        <v>76</v>
      </c>
      <c r="AP101" t="s">
        <v>6510</v>
      </c>
      <c r="AQ101" t="s">
        <v>6510</v>
      </c>
      <c r="AR101" t="s">
        <v>6510</v>
      </c>
      <c r="AS101" t="s">
        <v>6510</v>
      </c>
    </row>
    <row r="102" spans="1:45" x14ac:dyDescent="0.3">
      <c r="A102" t="s">
        <v>5630</v>
      </c>
      <c r="B102">
        <f t="shared" si="15"/>
        <v>200100</v>
      </c>
      <c r="C102">
        <v>200027</v>
      </c>
      <c r="D102" t="str">
        <f t="shared" si="16"/>
        <v>rg:{'id': '200027'}</v>
      </c>
      <c r="E102">
        <f>VLOOKUP(C102,Owners.csv!C:J,6,FALSE)</f>
        <v>200001</v>
      </c>
      <c r="F102" t="str">
        <f>VLOOKUP(VLOOKUP(E102,LocalAreas.csv!I:K,3,FALSE),ServiceAreas.csv!F:J,5,FALSE)</f>
        <v>200009</v>
      </c>
      <c r="G102" t="str">
        <f t="shared" si="17"/>
        <v>rg:{'id': '200001'}</v>
      </c>
      <c r="H102" t="s">
        <v>7677</v>
      </c>
      <c r="I102" t="s">
        <v>5642</v>
      </c>
      <c r="J102">
        <f>VLOOKUP(I102&amp;"-"&amp;F102,DistrictEquipmentTypes.csv!J:K,2,FALSE)</f>
        <v>200004</v>
      </c>
      <c r="K102" t="str">
        <f t="shared" si="18"/>
        <v>rg:{'id': '200004'}</v>
      </c>
      <c r="L102">
        <f t="shared" si="19"/>
        <v>1</v>
      </c>
      <c r="M102" t="str">
        <f>VLOOKUP(C102,Owners.csv!C:K,9,FALSE)&amp;TEXT(Equipment.csv!L102,"0000")</f>
        <v>FIRS0001</v>
      </c>
      <c r="N102" t="s">
        <v>5401</v>
      </c>
      <c r="O102" t="s">
        <v>6697</v>
      </c>
      <c r="P102">
        <v>1984</v>
      </c>
      <c r="Q102">
        <v>39</v>
      </c>
      <c r="R102" t="s">
        <v>6663</v>
      </c>
      <c r="S102" s="1">
        <v>41019</v>
      </c>
      <c r="T102" s="1">
        <v>41022</v>
      </c>
      <c r="U102" t="str">
        <f t="shared" ca="1" si="20"/>
        <v>rg:False</v>
      </c>
      <c r="V102" t="str">
        <f t="shared" ca="1" si="21"/>
        <v>rg:None</v>
      </c>
      <c r="W102" t="s">
        <v>7095</v>
      </c>
      <c r="X102" t="s">
        <v>76</v>
      </c>
      <c r="Y102" t="s">
        <v>76</v>
      </c>
      <c r="Z102" t="s">
        <v>76</v>
      </c>
      <c r="AA102" t="s">
        <v>7442</v>
      </c>
      <c r="AB102" t="s">
        <v>7292</v>
      </c>
      <c r="AC102">
        <v>0</v>
      </c>
      <c r="AD102" t="str">
        <f t="shared" ca="1" si="22"/>
        <v>rg:False</v>
      </c>
      <c r="AE102" t="str">
        <f t="shared" ca="1" si="29"/>
        <v>rg:None</v>
      </c>
      <c r="AF102" s="1">
        <v>42461</v>
      </c>
      <c r="AG102" s="4">
        <f t="shared" ca="1" si="24"/>
        <v>255.5</v>
      </c>
      <c r="AH102" s="4">
        <f t="shared" si="25"/>
        <v>3.9388888888888891</v>
      </c>
      <c r="AI102">
        <f t="shared" ca="1" si="26"/>
        <v>180</v>
      </c>
      <c r="AJ102">
        <f t="shared" ca="1" si="27"/>
        <v>98</v>
      </c>
      <c r="AK102">
        <f t="shared" ca="1" si="28"/>
        <v>134</v>
      </c>
      <c r="AL102" t="s">
        <v>326</v>
      </c>
      <c r="AO102" t="s">
        <v>76</v>
      </c>
      <c r="AP102" t="s">
        <v>6510</v>
      </c>
      <c r="AQ102" t="s">
        <v>6510</v>
      </c>
      <c r="AR102" t="s">
        <v>6510</v>
      </c>
      <c r="AS102" t="s">
        <v>6510</v>
      </c>
    </row>
    <row r="103" spans="1:45" x14ac:dyDescent="0.3">
      <c r="A103" t="s">
        <v>5630</v>
      </c>
      <c r="B103">
        <f t="shared" si="15"/>
        <v>200101</v>
      </c>
      <c r="C103">
        <v>200027</v>
      </c>
      <c r="D103" t="str">
        <f t="shared" si="16"/>
        <v>rg:{'id': '200027'}</v>
      </c>
      <c r="E103">
        <f>VLOOKUP(C103,Owners.csv!C:J,6,FALSE)</f>
        <v>200001</v>
      </c>
      <c r="F103" t="str">
        <f>VLOOKUP(VLOOKUP(E103,LocalAreas.csv!I:K,3,FALSE),ServiceAreas.csv!F:J,5,FALSE)</f>
        <v>200009</v>
      </c>
      <c r="G103" t="str">
        <f t="shared" si="17"/>
        <v>rg:{'id': '200001'}</v>
      </c>
      <c r="H103" t="s">
        <v>7683</v>
      </c>
      <c r="I103" t="s">
        <v>5642</v>
      </c>
      <c r="J103">
        <f>VLOOKUP(I103&amp;"-"&amp;F103,DistrictEquipmentTypes.csv!J:K,2,FALSE)</f>
        <v>200004</v>
      </c>
      <c r="K103" t="str">
        <f t="shared" si="18"/>
        <v>rg:{'id': '200004'}</v>
      </c>
      <c r="L103">
        <f t="shared" si="19"/>
        <v>2</v>
      </c>
      <c r="M103" t="str">
        <f>VLOOKUP(C103,Owners.csv!C:K,9,FALSE)&amp;TEXT(Equipment.csv!L103,"0000")</f>
        <v>FIRS0002</v>
      </c>
      <c r="N103" t="s">
        <v>5401</v>
      </c>
      <c r="O103" t="s">
        <v>6707</v>
      </c>
      <c r="P103">
        <v>1981</v>
      </c>
      <c r="Q103">
        <v>49</v>
      </c>
      <c r="R103" t="s">
        <v>6663</v>
      </c>
      <c r="S103" s="1">
        <v>42240</v>
      </c>
      <c r="T103" s="1">
        <v>42246</v>
      </c>
      <c r="U103" t="str">
        <f t="shared" ca="1" si="20"/>
        <v>rg:False</v>
      </c>
      <c r="V103" t="str">
        <f t="shared" ca="1" si="21"/>
        <v>rg:None</v>
      </c>
      <c r="W103" t="s">
        <v>7105</v>
      </c>
      <c r="X103" t="s">
        <v>76</v>
      </c>
      <c r="Y103" t="s">
        <v>76</v>
      </c>
      <c r="Z103" t="s">
        <v>76</v>
      </c>
      <c r="AA103" t="s">
        <v>7452</v>
      </c>
      <c r="AB103" t="s">
        <v>7301</v>
      </c>
      <c r="AC103">
        <v>0</v>
      </c>
      <c r="AD103" t="str">
        <f t="shared" ca="1" si="22"/>
        <v>rg:False</v>
      </c>
      <c r="AE103" t="str">
        <f t="shared" ca="1" si="29"/>
        <v>rg:None</v>
      </c>
      <c r="AF103" s="1">
        <v>42481</v>
      </c>
      <c r="AG103" s="4">
        <f t="shared" ca="1" si="24"/>
        <v>17.583333333333336</v>
      </c>
      <c r="AH103" s="4">
        <f t="shared" si="25"/>
        <v>0.58611111111111114</v>
      </c>
      <c r="AI103">
        <f t="shared" ca="1" si="26"/>
        <v>0</v>
      </c>
      <c r="AJ103">
        <f t="shared" ca="1" si="27"/>
        <v>0</v>
      </c>
      <c r="AK103">
        <f t="shared" ca="1" si="28"/>
        <v>0</v>
      </c>
      <c r="AL103" t="s">
        <v>326</v>
      </c>
      <c r="AO103" t="s">
        <v>76</v>
      </c>
      <c r="AP103" t="s">
        <v>6510</v>
      </c>
      <c r="AQ103" t="s">
        <v>6510</v>
      </c>
      <c r="AR103" t="s">
        <v>6510</v>
      </c>
      <c r="AS103" t="s">
        <v>6510</v>
      </c>
    </row>
    <row r="104" spans="1:45" x14ac:dyDescent="0.3">
      <c r="A104" t="s">
        <v>5630</v>
      </c>
      <c r="B104">
        <f t="shared" si="15"/>
        <v>200102</v>
      </c>
      <c r="C104">
        <v>200027</v>
      </c>
      <c r="D104" t="str">
        <f t="shared" si="16"/>
        <v>rg:{'id': '200027'}</v>
      </c>
      <c r="E104">
        <f>VLOOKUP(C104,Owners.csv!C:J,6,FALSE)</f>
        <v>200001</v>
      </c>
      <c r="F104" t="str">
        <f>VLOOKUP(VLOOKUP(E104,LocalAreas.csv!I:K,3,FALSE),ServiceAreas.csv!F:J,5,FALSE)</f>
        <v>200009</v>
      </c>
      <c r="G104" t="str">
        <f t="shared" si="17"/>
        <v>rg:{'id': '200001'}</v>
      </c>
      <c r="H104" t="s">
        <v>7691</v>
      </c>
      <c r="I104" t="s">
        <v>5640</v>
      </c>
      <c r="J104">
        <f>VLOOKUP(I104&amp;"-"&amp;F104,DistrictEquipmentTypes.csv!J:K,2,FALSE)</f>
        <v>200002</v>
      </c>
      <c r="K104" t="str">
        <f t="shared" si="18"/>
        <v>rg:{'id': '200002'}</v>
      </c>
      <c r="L104">
        <f t="shared" si="19"/>
        <v>3</v>
      </c>
      <c r="M104" t="str">
        <f>VLOOKUP(C104,Owners.csv!C:K,9,FALSE)&amp;TEXT(Equipment.csv!L104,"0000")</f>
        <v>FIRS0003</v>
      </c>
      <c r="N104" t="s">
        <v>5401</v>
      </c>
      <c r="O104" t="s">
        <v>6717</v>
      </c>
      <c r="P104">
        <v>1977</v>
      </c>
      <c r="Q104">
        <v>59</v>
      </c>
      <c r="R104" t="s">
        <v>6663</v>
      </c>
      <c r="S104" s="1">
        <v>40658</v>
      </c>
      <c r="T104" s="1">
        <v>40683</v>
      </c>
      <c r="U104" t="str">
        <f t="shared" ca="1" si="20"/>
        <v>rg:False</v>
      </c>
      <c r="V104" t="str">
        <f t="shared" ca="1" si="21"/>
        <v>rg:None</v>
      </c>
      <c r="W104" t="s">
        <v>7115</v>
      </c>
      <c r="X104" t="s">
        <v>76</v>
      </c>
      <c r="Y104" t="s">
        <v>76</v>
      </c>
      <c r="Z104" t="s">
        <v>76</v>
      </c>
      <c r="AA104" t="s">
        <v>7462</v>
      </c>
      <c r="AB104" t="s">
        <v>7309</v>
      </c>
      <c r="AC104">
        <v>0</v>
      </c>
      <c r="AD104" t="str">
        <f t="shared" ca="1" si="22"/>
        <v>rg:False</v>
      </c>
      <c r="AE104" t="str">
        <f t="shared" ca="1" si="29"/>
        <v>rg:None</v>
      </c>
      <c r="AF104" s="1">
        <v>42481</v>
      </c>
      <c r="AG104" s="4">
        <f t="shared" ca="1" si="24"/>
        <v>242.25</v>
      </c>
      <c r="AH104" s="4">
        <f t="shared" si="25"/>
        <v>4.8638888888888889</v>
      </c>
      <c r="AI104">
        <f t="shared" ca="1" si="26"/>
        <v>51</v>
      </c>
      <c r="AJ104">
        <f t="shared" ca="1" si="27"/>
        <v>127</v>
      </c>
      <c r="AK104">
        <f t="shared" ca="1" si="28"/>
        <v>111</v>
      </c>
      <c r="AL104" t="s">
        <v>326</v>
      </c>
      <c r="AO104" t="s">
        <v>76</v>
      </c>
      <c r="AP104" t="s">
        <v>6510</v>
      </c>
      <c r="AQ104" t="s">
        <v>6510</v>
      </c>
      <c r="AR104" t="s">
        <v>6510</v>
      </c>
      <c r="AS104" t="s">
        <v>6510</v>
      </c>
    </row>
    <row r="105" spans="1:45" x14ac:dyDescent="0.3">
      <c r="A105" t="s">
        <v>5630</v>
      </c>
      <c r="B105">
        <f t="shared" si="15"/>
        <v>200103</v>
      </c>
      <c r="C105">
        <v>200027</v>
      </c>
      <c r="D105" t="str">
        <f t="shared" si="16"/>
        <v>rg:{'id': '200027'}</v>
      </c>
      <c r="E105">
        <f>VLOOKUP(C105,Owners.csv!C:J,6,FALSE)</f>
        <v>200001</v>
      </c>
      <c r="F105" t="str">
        <f>VLOOKUP(VLOOKUP(E105,LocalAreas.csv!I:K,3,FALSE),ServiceAreas.csv!F:J,5,FALSE)</f>
        <v>200009</v>
      </c>
      <c r="G105" t="str">
        <f t="shared" si="17"/>
        <v>rg:{'id': '200001'}</v>
      </c>
      <c r="H105" t="s">
        <v>7677</v>
      </c>
      <c r="I105" t="s">
        <v>5651</v>
      </c>
      <c r="J105">
        <f>VLOOKUP(I105&amp;"-"&amp;F105,DistrictEquipmentTypes.csv!J:K,2,FALSE)</f>
        <v>200006</v>
      </c>
      <c r="K105" t="str">
        <f t="shared" si="18"/>
        <v>rg:{'id': '200006'}</v>
      </c>
      <c r="L105">
        <f t="shared" si="19"/>
        <v>4</v>
      </c>
      <c r="M105" t="str">
        <f>VLOOKUP(C105,Owners.csv!C:K,9,FALSE)&amp;TEXT(Equipment.csv!L105,"0000")</f>
        <v>FIRS0004</v>
      </c>
      <c r="N105" t="s">
        <v>5401</v>
      </c>
      <c r="O105" t="s">
        <v>6735</v>
      </c>
      <c r="P105">
        <v>2012</v>
      </c>
      <c r="Q105">
        <v>77</v>
      </c>
      <c r="R105" t="s">
        <v>6663</v>
      </c>
      <c r="S105" s="1">
        <v>42050</v>
      </c>
      <c r="T105" s="1">
        <v>42051</v>
      </c>
      <c r="U105" t="str">
        <f t="shared" ca="1" si="20"/>
        <v>rg:False</v>
      </c>
      <c r="V105" t="str">
        <f t="shared" ca="1" si="21"/>
        <v>rg:None</v>
      </c>
      <c r="W105" t="s">
        <v>7133</v>
      </c>
      <c r="X105" t="s">
        <v>76</v>
      </c>
      <c r="Y105" t="s">
        <v>76</v>
      </c>
      <c r="Z105" t="s">
        <v>76</v>
      </c>
      <c r="AA105" t="s">
        <v>7480</v>
      </c>
      <c r="AB105" t="s">
        <v>7322</v>
      </c>
      <c r="AC105">
        <v>0</v>
      </c>
      <c r="AD105" t="str">
        <f t="shared" ca="1" si="22"/>
        <v>rg:False</v>
      </c>
      <c r="AE105" t="str">
        <f t="shared" ca="1" si="29"/>
        <v>rg:None</v>
      </c>
      <c r="AF105" s="1">
        <v>42481</v>
      </c>
      <c r="AG105" s="4">
        <f t="shared" ca="1" si="24"/>
        <v>67.833333333333329</v>
      </c>
      <c r="AH105" s="4">
        <f t="shared" si="25"/>
        <v>1.125</v>
      </c>
      <c r="AI105">
        <f t="shared" ca="1" si="26"/>
        <v>1</v>
      </c>
      <c r="AJ105">
        <f t="shared" ca="1" si="27"/>
        <v>0</v>
      </c>
      <c r="AK105">
        <f t="shared" ca="1" si="28"/>
        <v>0</v>
      </c>
      <c r="AL105" t="s">
        <v>326</v>
      </c>
      <c r="AO105" t="s">
        <v>76</v>
      </c>
      <c r="AP105" t="s">
        <v>6510</v>
      </c>
      <c r="AQ105" t="s">
        <v>6510</v>
      </c>
      <c r="AR105" t="s">
        <v>6510</v>
      </c>
      <c r="AS105" t="s">
        <v>6510</v>
      </c>
    </row>
    <row r="106" spans="1:45" x14ac:dyDescent="0.3">
      <c r="A106" t="s">
        <v>5630</v>
      </c>
      <c r="B106">
        <f t="shared" si="15"/>
        <v>200104</v>
      </c>
      <c r="C106">
        <v>200027</v>
      </c>
      <c r="D106" t="str">
        <f t="shared" si="16"/>
        <v>rg:{'id': '200027'}</v>
      </c>
      <c r="E106">
        <f>VLOOKUP(C106,Owners.csv!C:J,6,FALSE)</f>
        <v>200001</v>
      </c>
      <c r="F106" t="str">
        <f>VLOOKUP(VLOOKUP(E106,LocalAreas.csv!I:K,3,FALSE),ServiceAreas.csv!F:J,5,FALSE)</f>
        <v>200009</v>
      </c>
      <c r="G106" t="str">
        <f t="shared" si="17"/>
        <v>rg:{'id': '200001'}</v>
      </c>
      <c r="H106" t="s">
        <v>7717</v>
      </c>
      <c r="I106" t="s">
        <v>5651</v>
      </c>
      <c r="J106">
        <f>VLOOKUP(I106&amp;"-"&amp;F106,DistrictEquipmentTypes.csv!J:K,2,FALSE)</f>
        <v>200006</v>
      </c>
      <c r="K106" t="str">
        <f t="shared" si="18"/>
        <v>rg:{'id': '200006'}</v>
      </c>
      <c r="L106">
        <f t="shared" si="19"/>
        <v>5</v>
      </c>
      <c r="M106" t="str">
        <f>VLOOKUP(C106,Owners.csv!C:K,9,FALSE)&amp;TEXT(Equipment.csv!L106,"0000")</f>
        <v>FIRS0005</v>
      </c>
      <c r="N106" t="s">
        <v>5401</v>
      </c>
      <c r="O106" t="s">
        <v>6755</v>
      </c>
      <c r="P106">
        <v>1990</v>
      </c>
      <c r="Q106">
        <v>97</v>
      </c>
      <c r="R106" t="s">
        <v>6663</v>
      </c>
      <c r="S106" s="1">
        <v>39576</v>
      </c>
      <c r="T106" s="1">
        <v>39599</v>
      </c>
      <c r="U106" t="str">
        <f t="shared" ca="1" si="20"/>
        <v>rg:False</v>
      </c>
      <c r="V106" t="str">
        <f t="shared" ca="1" si="21"/>
        <v>rg:None</v>
      </c>
      <c r="W106" t="s">
        <v>7153</v>
      </c>
      <c r="X106" t="s">
        <v>76</v>
      </c>
      <c r="Y106" t="s">
        <v>76</v>
      </c>
      <c r="Z106" t="s">
        <v>76</v>
      </c>
      <c r="AA106" t="s">
        <v>7500</v>
      </c>
      <c r="AB106" t="s">
        <v>7337</v>
      </c>
      <c r="AC106">
        <v>0</v>
      </c>
      <c r="AD106" t="str">
        <f t="shared" ca="1" si="22"/>
        <v>rg:False</v>
      </c>
      <c r="AE106" t="str">
        <f t="shared" ca="1" si="29"/>
        <v>rg:None</v>
      </c>
      <c r="AF106" s="1">
        <v>42481</v>
      </c>
      <c r="AG106" s="4">
        <f t="shared" ca="1" si="24"/>
        <v>582.16666666666674</v>
      </c>
      <c r="AH106" s="4">
        <f t="shared" si="25"/>
        <v>7.8361111111111112</v>
      </c>
      <c r="AI106">
        <f t="shared" ca="1" si="26"/>
        <v>95</v>
      </c>
      <c r="AJ106">
        <f t="shared" ca="1" si="27"/>
        <v>54</v>
      </c>
      <c r="AK106">
        <f t="shared" ca="1" si="28"/>
        <v>187</v>
      </c>
      <c r="AL106" t="s">
        <v>326</v>
      </c>
      <c r="AO106" t="s">
        <v>76</v>
      </c>
      <c r="AP106" t="s">
        <v>6510</v>
      </c>
      <c r="AQ106" t="s">
        <v>6510</v>
      </c>
      <c r="AR106" t="s">
        <v>6510</v>
      </c>
      <c r="AS106" t="s">
        <v>6510</v>
      </c>
    </row>
    <row r="107" spans="1:45" x14ac:dyDescent="0.3">
      <c r="A107" t="s">
        <v>5630</v>
      </c>
      <c r="B107">
        <f t="shared" si="15"/>
        <v>200105</v>
      </c>
      <c r="C107">
        <v>200027</v>
      </c>
      <c r="D107" t="str">
        <f t="shared" si="16"/>
        <v>rg:{'id': '200027'}</v>
      </c>
      <c r="E107">
        <f>VLOOKUP(C107,Owners.csv!C:J,6,FALSE)</f>
        <v>200001</v>
      </c>
      <c r="F107" t="str">
        <f>VLOOKUP(VLOOKUP(E107,LocalAreas.csv!I:K,3,FALSE),ServiceAreas.csv!F:J,5,FALSE)</f>
        <v>200009</v>
      </c>
      <c r="G107" t="str">
        <f t="shared" si="17"/>
        <v>rg:{'id': '200001'}</v>
      </c>
      <c r="H107" t="s">
        <v>7708</v>
      </c>
      <c r="I107" t="s">
        <v>5637</v>
      </c>
      <c r="J107">
        <f>VLOOKUP(I107&amp;"-"&amp;F107,DistrictEquipmentTypes.csv!J:K,2,FALSE)</f>
        <v>200001</v>
      </c>
      <c r="K107" t="str">
        <f t="shared" si="18"/>
        <v>rg:{'id': '200001'}</v>
      </c>
      <c r="L107">
        <f t="shared" si="19"/>
        <v>6</v>
      </c>
      <c r="M107" t="str">
        <f>VLOOKUP(C107,Owners.csv!C:K,9,FALSE)&amp;TEXT(Equipment.csv!L107,"0000")</f>
        <v>FIRS0006</v>
      </c>
      <c r="N107" t="s">
        <v>5401</v>
      </c>
      <c r="O107" t="s">
        <v>6775</v>
      </c>
      <c r="P107">
        <v>2009</v>
      </c>
      <c r="Q107">
        <v>117</v>
      </c>
      <c r="R107" t="s">
        <v>6663</v>
      </c>
      <c r="S107" s="1">
        <v>41270</v>
      </c>
      <c r="T107" s="1">
        <v>41272</v>
      </c>
      <c r="U107" t="str">
        <f t="shared" ca="1" si="20"/>
        <v>rg:False</v>
      </c>
      <c r="V107" t="str">
        <f t="shared" ca="1" si="21"/>
        <v>rg:None</v>
      </c>
      <c r="W107" t="s">
        <v>7173</v>
      </c>
      <c r="X107" t="s">
        <v>76</v>
      </c>
      <c r="Y107" t="s">
        <v>76</v>
      </c>
      <c r="Z107" t="s">
        <v>76</v>
      </c>
      <c r="AA107" t="s">
        <v>7520</v>
      </c>
      <c r="AB107" t="s">
        <v>7353</v>
      </c>
      <c r="AC107">
        <v>0</v>
      </c>
      <c r="AD107" t="str">
        <f t="shared" ca="1" si="22"/>
        <v>rg:False</v>
      </c>
      <c r="AE107" t="str">
        <f t="shared" ca="1" si="29"/>
        <v>rg:None</v>
      </c>
      <c r="AF107" s="1">
        <v>42481</v>
      </c>
      <c r="AG107" s="4">
        <f t="shared" ca="1" si="24"/>
        <v>224</v>
      </c>
      <c r="AH107" s="4">
        <f t="shared" si="25"/>
        <v>3.2555555555555555</v>
      </c>
      <c r="AI107">
        <f t="shared" ca="1" si="26"/>
        <v>188</v>
      </c>
      <c r="AJ107">
        <f t="shared" ca="1" si="27"/>
        <v>60</v>
      </c>
      <c r="AK107">
        <f t="shared" ca="1" si="28"/>
        <v>131</v>
      </c>
      <c r="AL107" t="s">
        <v>326</v>
      </c>
      <c r="AO107" t="s">
        <v>76</v>
      </c>
      <c r="AP107" t="s">
        <v>6510</v>
      </c>
      <c r="AQ107" t="s">
        <v>6510</v>
      </c>
      <c r="AR107" t="s">
        <v>6510</v>
      </c>
      <c r="AS107" t="s">
        <v>6510</v>
      </c>
    </row>
    <row r="108" spans="1:45" x14ac:dyDescent="0.3">
      <c r="A108" t="s">
        <v>5630</v>
      </c>
      <c r="B108">
        <f t="shared" si="15"/>
        <v>200106</v>
      </c>
      <c r="C108">
        <v>200027</v>
      </c>
      <c r="D108" t="str">
        <f t="shared" si="16"/>
        <v>rg:{'id': '200027'}</v>
      </c>
      <c r="E108">
        <f>VLOOKUP(C108,Owners.csv!C:J,6,FALSE)</f>
        <v>200001</v>
      </c>
      <c r="F108" t="str">
        <f>VLOOKUP(VLOOKUP(E108,LocalAreas.csv!I:K,3,FALSE),ServiceAreas.csv!F:J,5,FALSE)</f>
        <v>200009</v>
      </c>
      <c r="G108" t="str">
        <f t="shared" si="17"/>
        <v>rg:{'id': '200001'}</v>
      </c>
      <c r="H108" t="s">
        <v>7649</v>
      </c>
      <c r="I108" t="s">
        <v>5536</v>
      </c>
      <c r="J108">
        <f>VLOOKUP(I108&amp;"-"&amp;F108,DistrictEquipmentTypes.csv!J:K,2,FALSE)</f>
        <v>200000</v>
      </c>
      <c r="K108" t="str">
        <f t="shared" si="18"/>
        <v>rg:{'id': '200000'}</v>
      </c>
      <c r="L108">
        <f t="shared" si="19"/>
        <v>7</v>
      </c>
      <c r="M108" t="str">
        <f>VLOOKUP(C108,Owners.csv!C:K,9,FALSE)&amp;TEXT(Equipment.csv!L108,"0000")</f>
        <v>FIRS0007</v>
      </c>
      <c r="N108" t="s">
        <v>5401</v>
      </c>
      <c r="O108" t="s">
        <v>6790</v>
      </c>
      <c r="P108">
        <v>1980</v>
      </c>
      <c r="Q108">
        <v>132</v>
      </c>
      <c r="R108" t="s">
        <v>6663</v>
      </c>
      <c r="S108" s="1">
        <v>39750</v>
      </c>
      <c r="T108" s="1">
        <v>39761</v>
      </c>
      <c r="U108" t="str">
        <f t="shared" ca="1" si="20"/>
        <v>rg:False</v>
      </c>
      <c r="V108" t="str">
        <f t="shared" ca="1" si="21"/>
        <v>rg:None</v>
      </c>
      <c r="W108" t="s">
        <v>7188</v>
      </c>
      <c r="X108" t="s">
        <v>76</v>
      </c>
      <c r="Y108" t="s">
        <v>76</v>
      </c>
      <c r="Z108" t="s">
        <v>76</v>
      </c>
      <c r="AA108" t="s">
        <v>7535</v>
      </c>
      <c r="AB108" t="s">
        <v>7363</v>
      </c>
      <c r="AC108">
        <v>0</v>
      </c>
      <c r="AD108" t="str">
        <f t="shared" ca="1" si="22"/>
        <v>rg:False</v>
      </c>
      <c r="AE108" t="str">
        <f t="shared" ca="1" si="29"/>
        <v>rg:None</v>
      </c>
      <c r="AF108" s="1">
        <v>42481</v>
      </c>
      <c r="AG108" s="4">
        <f t="shared" ca="1" si="24"/>
        <v>356.16666666666669</v>
      </c>
      <c r="AH108" s="4">
        <f t="shared" si="25"/>
        <v>7.3944444444444448</v>
      </c>
      <c r="AI108">
        <f t="shared" ca="1" si="26"/>
        <v>93</v>
      </c>
      <c r="AJ108">
        <f t="shared" ca="1" si="27"/>
        <v>155</v>
      </c>
      <c r="AK108">
        <f t="shared" ca="1" si="28"/>
        <v>155</v>
      </c>
      <c r="AL108" t="s">
        <v>326</v>
      </c>
      <c r="AO108" t="s">
        <v>76</v>
      </c>
      <c r="AP108" t="s">
        <v>6510</v>
      </c>
      <c r="AQ108" t="s">
        <v>6510</v>
      </c>
      <c r="AR108" t="s">
        <v>6510</v>
      </c>
      <c r="AS108" t="s">
        <v>6510</v>
      </c>
    </row>
    <row r="109" spans="1:45" x14ac:dyDescent="0.3">
      <c r="A109" t="s">
        <v>5630</v>
      </c>
      <c r="B109">
        <f t="shared" si="15"/>
        <v>200107</v>
      </c>
      <c r="C109">
        <v>200028</v>
      </c>
      <c r="D109" t="str">
        <f t="shared" si="16"/>
        <v>rg:{'id': '200028'}</v>
      </c>
      <c r="E109">
        <f>VLOOKUP(C109,Owners.csv!C:J,6,FALSE)</f>
        <v>200001</v>
      </c>
      <c r="F109" t="str">
        <f>VLOOKUP(VLOOKUP(E109,LocalAreas.csv!I:K,3,FALSE),ServiceAreas.csv!F:J,5,FALSE)</f>
        <v>200009</v>
      </c>
      <c r="G109" t="str">
        <f t="shared" si="17"/>
        <v>rg:{'id': '200001'}</v>
      </c>
      <c r="H109" t="s">
        <v>7694</v>
      </c>
      <c r="I109" t="s">
        <v>5651</v>
      </c>
      <c r="J109">
        <f>VLOOKUP(I109&amp;"-"&amp;F109,DistrictEquipmentTypes.csv!J:K,2,FALSE)</f>
        <v>200006</v>
      </c>
      <c r="K109" t="str">
        <f t="shared" si="18"/>
        <v>rg:{'id': '200006'}</v>
      </c>
      <c r="L109">
        <f t="shared" si="19"/>
        <v>1</v>
      </c>
      <c r="M109" t="str">
        <f>VLOOKUP(C109,Owners.csv!C:K,9,FALSE)&amp;TEXT(Equipment.csv!L109,"0000")</f>
        <v>FISH0001</v>
      </c>
      <c r="N109" t="s">
        <v>5401</v>
      </c>
      <c r="O109" t="s">
        <v>6736</v>
      </c>
      <c r="P109">
        <v>2008</v>
      </c>
      <c r="Q109">
        <v>78</v>
      </c>
      <c r="R109" t="s">
        <v>6663</v>
      </c>
      <c r="S109" s="1">
        <v>42575</v>
      </c>
      <c r="T109" s="1">
        <v>42586</v>
      </c>
      <c r="U109" t="str">
        <f t="shared" ca="1" si="20"/>
        <v>rg:False</v>
      </c>
      <c r="V109" t="str">
        <f t="shared" ca="1" si="21"/>
        <v>rg:None</v>
      </c>
      <c r="W109" t="s">
        <v>7134</v>
      </c>
      <c r="X109" t="s">
        <v>76</v>
      </c>
      <c r="Y109" t="s">
        <v>76</v>
      </c>
      <c r="Z109" t="s">
        <v>76</v>
      </c>
      <c r="AA109" t="s">
        <v>7481</v>
      </c>
      <c r="AB109" t="s">
        <v>7323</v>
      </c>
      <c r="AC109">
        <v>0</v>
      </c>
      <c r="AD109" t="str">
        <f t="shared" ca="1" si="22"/>
        <v>rg:False</v>
      </c>
      <c r="AE109" t="str">
        <f t="shared" ca="1" si="29"/>
        <v>rg:None</v>
      </c>
      <c r="AF109" s="1">
        <v>42481</v>
      </c>
      <c r="AG109" s="4">
        <f t="shared" ca="1" si="24"/>
        <v>20.5</v>
      </c>
      <c r="AH109" s="4">
        <f t="shared" si="25"/>
        <v>0.34166666666666667</v>
      </c>
      <c r="AI109">
        <f t="shared" ca="1" si="26"/>
        <v>0</v>
      </c>
      <c r="AJ109">
        <f t="shared" ca="1" si="27"/>
        <v>0</v>
      </c>
      <c r="AK109">
        <f t="shared" ca="1" si="28"/>
        <v>0</v>
      </c>
      <c r="AL109" t="s">
        <v>326</v>
      </c>
      <c r="AO109" t="s">
        <v>76</v>
      </c>
      <c r="AP109" t="s">
        <v>6510</v>
      </c>
      <c r="AQ109" t="s">
        <v>6510</v>
      </c>
      <c r="AR109" t="s">
        <v>6510</v>
      </c>
      <c r="AS109" t="s">
        <v>6510</v>
      </c>
    </row>
    <row r="110" spans="1:45" x14ac:dyDescent="0.3">
      <c r="A110" t="s">
        <v>5630</v>
      </c>
      <c r="B110">
        <f t="shared" si="15"/>
        <v>200108</v>
      </c>
      <c r="C110">
        <v>200028</v>
      </c>
      <c r="D110" t="str">
        <f t="shared" si="16"/>
        <v>rg:{'id': '200028'}</v>
      </c>
      <c r="E110">
        <f>VLOOKUP(C110,Owners.csv!C:J,6,FALSE)</f>
        <v>200001</v>
      </c>
      <c r="F110" t="str">
        <f>VLOOKUP(VLOOKUP(E110,LocalAreas.csv!I:K,3,FALSE),ServiceAreas.csv!F:J,5,FALSE)</f>
        <v>200009</v>
      </c>
      <c r="G110" t="str">
        <f t="shared" si="17"/>
        <v>rg:{'id': '200001'}</v>
      </c>
      <c r="H110" t="s">
        <v>7718</v>
      </c>
      <c r="I110" t="s">
        <v>5651</v>
      </c>
      <c r="J110">
        <f>VLOOKUP(I110&amp;"-"&amp;F110,DistrictEquipmentTypes.csv!J:K,2,FALSE)</f>
        <v>200006</v>
      </c>
      <c r="K110" t="str">
        <f t="shared" si="18"/>
        <v>rg:{'id': '200006'}</v>
      </c>
      <c r="L110">
        <f t="shared" si="19"/>
        <v>2</v>
      </c>
      <c r="M110" t="str">
        <f>VLOOKUP(C110,Owners.csv!C:K,9,FALSE)&amp;TEXT(Equipment.csv!L110,"0000")</f>
        <v>FISH0002</v>
      </c>
      <c r="N110" t="s">
        <v>5401</v>
      </c>
      <c r="O110" t="s">
        <v>6756</v>
      </c>
      <c r="P110">
        <v>2013</v>
      </c>
      <c r="Q110">
        <v>98</v>
      </c>
      <c r="R110" t="s">
        <v>6663</v>
      </c>
      <c r="S110" s="1">
        <v>40320</v>
      </c>
      <c r="T110" s="1">
        <v>40342</v>
      </c>
      <c r="U110" t="str">
        <f t="shared" ca="1" si="20"/>
        <v>rg:True</v>
      </c>
      <c r="V110" t="str">
        <f t="shared" ca="1" si="21"/>
        <v>This equipment should be archived</v>
      </c>
      <c r="W110" t="s">
        <v>7154</v>
      </c>
      <c r="X110" t="s">
        <v>76</v>
      </c>
      <c r="Y110" t="s">
        <v>76</v>
      </c>
      <c r="Z110" t="s">
        <v>76</v>
      </c>
      <c r="AA110" t="s">
        <v>7501</v>
      </c>
      <c r="AB110" t="s">
        <v>7338</v>
      </c>
      <c r="AC110">
        <v>0</v>
      </c>
      <c r="AD110" t="str">
        <f t="shared" ca="1" si="22"/>
        <v>rg:False</v>
      </c>
      <c r="AE110" t="str">
        <f t="shared" ca="1" si="29"/>
        <v>rg:None</v>
      </c>
      <c r="AF110" s="1">
        <v>42481</v>
      </c>
      <c r="AG110" s="4">
        <f t="shared" ca="1" si="24"/>
        <v>405.66666666666669</v>
      </c>
      <c r="AH110" s="4">
        <f t="shared" si="25"/>
        <v>5.8</v>
      </c>
      <c r="AI110">
        <f t="shared" ca="1" si="26"/>
        <v>127</v>
      </c>
      <c r="AJ110">
        <f t="shared" ca="1" si="27"/>
        <v>3</v>
      </c>
      <c r="AK110">
        <f t="shared" ca="1" si="28"/>
        <v>43</v>
      </c>
      <c r="AL110" t="s">
        <v>326</v>
      </c>
      <c r="AO110" t="s">
        <v>76</v>
      </c>
      <c r="AP110" t="s">
        <v>6510</v>
      </c>
      <c r="AQ110" t="s">
        <v>6510</v>
      </c>
      <c r="AR110" t="s">
        <v>6510</v>
      </c>
      <c r="AS110" t="s">
        <v>6510</v>
      </c>
    </row>
    <row r="111" spans="1:45" x14ac:dyDescent="0.3">
      <c r="A111" t="s">
        <v>5630</v>
      </c>
      <c r="B111">
        <f t="shared" si="15"/>
        <v>200109</v>
      </c>
      <c r="C111">
        <v>200028</v>
      </c>
      <c r="D111" t="str">
        <f t="shared" si="16"/>
        <v>rg:{'id': '200028'}</v>
      </c>
      <c r="E111">
        <f>VLOOKUP(C111,Owners.csv!C:J,6,FALSE)</f>
        <v>200001</v>
      </c>
      <c r="F111" t="str">
        <f>VLOOKUP(VLOOKUP(E111,LocalAreas.csv!I:K,3,FALSE),ServiceAreas.csv!F:J,5,FALSE)</f>
        <v>200009</v>
      </c>
      <c r="G111" t="str">
        <f t="shared" si="17"/>
        <v>rg:{'id': '200001'}</v>
      </c>
      <c r="H111" t="s">
        <v>7649</v>
      </c>
      <c r="I111" t="s">
        <v>5637</v>
      </c>
      <c r="J111">
        <f>VLOOKUP(I111&amp;"-"&amp;F111,DistrictEquipmentTypes.csv!J:K,2,FALSE)</f>
        <v>200001</v>
      </c>
      <c r="K111" t="str">
        <f t="shared" si="18"/>
        <v>rg:{'id': '200001'}</v>
      </c>
      <c r="L111">
        <f t="shared" si="19"/>
        <v>3</v>
      </c>
      <c r="M111" t="str">
        <f>VLOOKUP(C111,Owners.csv!C:K,9,FALSE)&amp;TEXT(Equipment.csv!L111,"0000")</f>
        <v>FISH0003</v>
      </c>
      <c r="N111" t="s">
        <v>5401</v>
      </c>
      <c r="O111" t="s">
        <v>6776</v>
      </c>
      <c r="P111">
        <v>1985</v>
      </c>
      <c r="Q111">
        <v>118</v>
      </c>
      <c r="R111" t="s">
        <v>6663</v>
      </c>
      <c r="S111" s="1">
        <v>38269</v>
      </c>
      <c r="T111" s="1">
        <v>38271</v>
      </c>
      <c r="U111" t="str">
        <f t="shared" ca="1" si="20"/>
        <v>rg:False</v>
      </c>
      <c r="V111" t="str">
        <f t="shared" ca="1" si="21"/>
        <v>rg:None</v>
      </c>
      <c r="W111" t="s">
        <v>7174</v>
      </c>
      <c r="X111" t="s">
        <v>76</v>
      </c>
      <c r="Y111" t="s">
        <v>76</v>
      </c>
      <c r="Z111" t="s">
        <v>76</v>
      </c>
      <c r="AA111" t="s">
        <v>7521</v>
      </c>
      <c r="AB111" t="s">
        <v>7354</v>
      </c>
      <c r="AC111">
        <v>0</v>
      </c>
      <c r="AD111" t="str">
        <f t="shared" ca="1" si="22"/>
        <v>rg:False</v>
      </c>
      <c r="AE111" t="str">
        <f t="shared" ca="1" si="29"/>
        <v>rg:None</v>
      </c>
      <c r="AF111" s="1">
        <v>42481</v>
      </c>
      <c r="AG111" s="4">
        <f t="shared" ca="1" si="24"/>
        <v>382.83333333333331</v>
      </c>
      <c r="AH111" s="4">
        <f t="shared" si="25"/>
        <v>11.472222222222221</v>
      </c>
      <c r="AI111">
        <f t="shared" ca="1" si="26"/>
        <v>20</v>
      </c>
      <c r="AJ111">
        <f t="shared" ca="1" si="27"/>
        <v>53</v>
      </c>
      <c r="AK111">
        <f t="shared" ca="1" si="28"/>
        <v>43</v>
      </c>
      <c r="AL111" t="s">
        <v>326</v>
      </c>
      <c r="AO111" t="s">
        <v>76</v>
      </c>
      <c r="AP111" t="s">
        <v>6510</v>
      </c>
      <c r="AQ111" t="s">
        <v>6510</v>
      </c>
      <c r="AR111" t="s">
        <v>6510</v>
      </c>
      <c r="AS111" t="s">
        <v>6510</v>
      </c>
    </row>
    <row r="112" spans="1:45" x14ac:dyDescent="0.3">
      <c r="A112" t="s">
        <v>5630</v>
      </c>
      <c r="B112">
        <f t="shared" si="15"/>
        <v>200110</v>
      </c>
      <c r="C112">
        <v>200028</v>
      </c>
      <c r="D112" t="str">
        <f t="shared" si="16"/>
        <v>rg:{'id': '200028'}</v>
      </c>
      <c r="E112">
        <f>VLOOKUP(C112,Owners.csv!C:J,6,FALSE)</f>
        <v>200001</v>
      </c>
      <c r="F112" t="str">
        <f>VLOOKUP(VLOOKUP(E112,LocalAreas.csv!I:K,3,FALSE),ServiceAreas.csv!F:J,5,FALSE)</f>
        <v>200009</v>
      </c>
      <c r="G112" t="str">
        <f t="shared" si="17"/>
        <v>rg:{'id': '200001'}</v>
      </c>
      <c r="H112" t="s">
        <v>7724</v>
      </c>
      <c r="I112" t="s">
        <v>5536</v>
      </c>
      <c r="J112">
        <f>VLOOKUP(I112&amp;"-"&amp;F112,DistrictEquipmentTypes.csv!J:K,2,FALSE)</f>
        <v>200000</v>
      </c>
      <c r="K112" t="str">
        <f t="shared" si="18"/>
        <v>rg:{'id': '200000'}</v>
      </c>
      <c r="L112">
        <f t="shared" si="19"/>
        <v>4</v>
      </c>
      <c r="M112" t="str">
        <f>VLOOKUP(C112,Owners.csv!C:K,9,FALSE)&amp;TEXT(Equipment.csv!L112,"0000")</f>
        <v>FISH0004</v>
      </c>
      <c r="N112" t="s">
        <v>5401</v>
      </c>
      <c r="O112" t="s">
        <v>6791</v>
      </c>
      <c r="P112">
        <v>2004</v>
      </c>
      <c r="Q112">
        <v>133</v>
      </c>
      <c r="R112" t="s">
        <v>6663</v>
      </c>
      <c r="S112" s="1">
        <v>40482</v>
      </c>
      <c r="T112" s="1">
        <v>40493</v>
      </c>
      <c r="U112" t="str">
        <f t="shared" ca="1" si="20"/>
        <v>rg:False</v>
      </c>
      <c r="V112" t="str">
        <f t="shared" ca="1" si="21"/>
        <v>rg:None</v>
      </c>
      <c r="W112" t="s">
        <v>7189</v>
      </c>
      <c r="X112" t="s">
        <v>76</v>
      </c>
      <c r="Y112" t="s">
        <v>76</v>
      </c>
      <c r="Z112" t="s">
        <v>76</v>
      </c>
      <c r="AA112" t="s">
        <v>7536</v>
      </c>
      <c r="AB112" t="s">
        <v>7364</v>
      </c>
      <c r="AC112">
        <v>0</v>
      </c>
      <c r="AD112" t="str">
        <f t="shared" ca="1" si="22"/>
        <v>rg:False</v>
      </c>
      <c r="AE112" t="str">
        <f t="shared" ca="1" si="29"/>
        <v>rg:None</v>
      </c>
      <c r="AF112" s="1">
        <v>42481</v>
      </c>
      <c r="AG112" s="4">
        <f t="shared" ca="1" si="24"/>
        <v>269</v>
      </c>
      <c r="AH112" s="4">
        <f t="shared" si="25"/>
        <v>5.3888888888888893</v>
      </c>
      <c r="AI112">
        <f t="shared" ca="1" si="26"/>
        <v>163</v>
      </c>
      <c r="AJ112">
        <f t="shared" ca="1" si="27"/>
        <v>71</v>
      </c>
      <c r="AK112">
        <f t="shared" ca="1" si="28"/>
        <v>88</v>
      </c>
      <c r="AL112" t="s">
        <v>326</v>
      </c>
      <c r="AO112" t="s">
        <v>76</v>
      </c>
      <c r="AP112" t="s">
        <v>6510</v>
      </c>
      <c r="AQ112" t="s">
        <v>6510</v>
      </c>
      <c r="AR112" t="s">
        <v>6510</v>
      </c>
      <c r="AS112" t="s">
        <v>6510</v>
      </c>
    </row>
    <row r="113" spans="1:45" x14ac:dyDescent="0.3">
      <c r="A113" t="s">
        <v>5630</v>
      </c>
      <c r="B113">
        <f t="shared" si="15"/>
        <v>200111</v>
      </c>
      <c r="C113">
        <v>200029</v>
      </c>
      <c r="D113" t="str">
        <f t="shared" si="16"/>
        <v>rg:{'id': '200029'}</v>
      </c>
      <c r="E113">
        <f>VLOOKUP(C113,Owners.csv!C:J,6,FALSE)</f>
        <v>200001</v>
      </c>
      <c r="F113" t="str">
        <f>VLOOKUP(VLOOKUP(E113,LocalAreas.csv!I:K,3,FALSE),ServiceAreas.csv!F:J,5,FALSE)</f>
        <v>200009</v>
      </c>
      <c r="G113" t="str">
        <f t="shared" si="17"/>
        <v>rg:{'id': '200001'}</v>
      </c>
      <c r="H113" t="s">
        <v>7271</v>
      </c>
      <c r="I113" t="s">
        <v>5651</v>
      </c>
      <c r="J113">
        <f>VLOOKUP(I113&amp;"-"&amp;F113,DistrictEquipmentTypes.csv!J:K,2,FALSE)</f>
        <v>200006</v>
      </c>
      <c r="K113" t="str">
        <f t="shared" si="18"/>
        <v>rg:{'id': '200006'}</v>
      </c>
      <c r="L113">
        <f t="shared" si="19"/>
        <v>1</v>
      </c>
      <c r="M113" t="str">
        <f>VLOOKUP(C113,Owners.csv!C:K,9,FALSE)&amp;TEXT(Equipment.csv!L113,"0000")</f>
        <v>FOOT0001</v>
      </c>
      <c r="N113" t="s">
        <v>5401</v>
      </c>
      <c r="O113" t="s">
        <v>6737</v>
      </c>
      <c r="P113">
        <v>1988</v>
      </c>
      <c r="Q113">
        <v>79</v>
      </c>
      <c r="R113" t="s">
        <v>6663</v>
      </c>
      <c r="S113" s="1">
        <v>40857</v>
      </c>
      <c r="T113" s="1">
        <v>40877</v>
      </c>
      <c r="U113" t="str">
        <f t="shared" ca="1" si="20"/>
        <v>rg:False</v>
      </c>
      <c r="V113" t="str">
        <f t="shared" ca="1" si="21"/>
        <v>rg:None</v>
      </c>
      <c r="W113" t="s">
        <v>7135</v>
      </c>
      <c r="X113" t="s">
        <v>76</v>
      </c>
      <c r="Y113" t="s">
        <v>76</v>
      </c>
      <c r="Z113" t="s">
        <v>76</v>
      </c>
      <c r="AA113" t="s">
        <v>7482</v>
      </c>
      <c r="AB113" t="s">
        <v>7324</v>
      </c>
      <c r="AC113">
        <v>0</v>
      </c>
      <c r="AD113" t="str">
        <f t="shared" ca="1" si="22"/>
        <v>rg:False</v>
      </c>
      <c r="AE113" t="str">
        <f t="shared" ca="1" si="29"/>
        <v>rg:None</v>
      </c>
      <c r="AF113" s="1">
        <v>42481</v>
      </c>
      <c r="AG113" s="4">
        <f t="shared" ca="1" si="24"/>
        <v>371.5</v>
      </c>
      <c r="AH113" s="4">
        <f t="shared" si="25"/>
        <v>4.3361111111111112</v>
      </c>
      <c r="AI113">
        <f t="shared" ca="1" si="26"/>
        <v>134</v>
      </c>
      <c r="AJ113">
        <f t="shared" ca="1" si="27"/>
        <v>20</v>
      </c>
      <c r="AK113">
        <f t="shared" ca="1" si="28"/>
        <v>180</v>
      </c>
      <c r="AL113" t="s">
        <v>326</v>
      </c>
      <c r="AO113" t="s">
        <v>76</v>
      </c>
      <c r="AP113" t="s">
        <v>6510</v>
      </c>
      <c r="AQ113" t="s">
        <v>6510</v>
      </c>
      <c r="AR113" t="s">
        <v>6510</v>
      </c>
      <c r="AS113" t="s">
        <v>6510</v>
      </c>
    </row>
    <row r="114" spans="1:45" x14ac:dyDescent="0.3">
      <c r="A114" t="s">
        <v>5630</v>
      </c>
      <c r="B114">
        <f t="shared" si="15"/>
        <v>200112</v>
      </c>
      <c r="C114">
        <v>200029</v>
      </c>
      <c r="D114" t="str">
        <f t="shared" si="16"/>
        <v>rg:{'id': '200029'}</v>
      </c>
      <c r="E114">
        <f>VLOOKUP(C114,Owners.csv!C:J,6,FALSE)</f>
        <v>200001</v>
      </c>
      <c r="F114" t="str">
        <f>VLOOKUP(VLOOKUP(E114,LocalAreas.csv!I:K,3,FALSE),ServiceAreas.csv!F:J,5,FALSE)</f>
        <v>200009</v>
      </c>
      <c r="G114" t="str">
        <f t="shared" si="17"/>
        <v>rg:{'id': '200001'}</v>
      </c>
      <c r="H114" t="s">
        <v>7719</v>
      </c>
      <c r="I114" t="s">
        <v>5651</v>
      </c>
      <c r="J114">
        <f>VLOOKUP(I114&amp;"-"&amp;F114,DistrictEquipmentTypes.csv!J:K,2,FALSE)</f>
        <v>200006</v>
      </c>
      <c r="K114" t="str">
        <f t="shared" si="18"/>
        <v>rg:{'id': '200006'}</v>
      </c>
      <c r="L114">
        <f t="shared" si="19"/>
        <v>2</v>
      </c>
      <c r="M114" t="str">
        <f>VLOOKUP(C114,Owners.csv!C:K,9,FALSE)&amp;TEXT(Equipment.csv!L114,"0000")</f>
        <v>FOOT0002</v>
      </c>
      <c r="N114" t="s">
        <v>5401</v>
      </c>
      <c r="O114" t="s">
        <v>6757</v>
      </c>
      <c r="P114">
        <v>2005</v>
      </c>
      <c r="Q114">
        <v>99</v>
      </c>
      <c r="R114" t="s">
        <v>6663</v>
      </c>
      <c r="S114" s="1">
        <v>41275</v>
      </c>
      <c r="T114" s="1">
        <v>41280</v>
      </c>
      <c r="U114" t="str">
        <f t="shared" ca="1" si="20"/>
        <v>rg:False</v>
      </c>
      <c r="V114" t="str">
        <f t="shared" ca="1" si="21"/>
        <v>rg:None</v>
      </c>
      <c r="W114" t="s">
        <v>7155</v>
      </c>
      <c r="X114" t="s">
        <v>76</v>
      </c>
      <c r="Y114" t="s">
        <v>76</v>
      </c>
      <c r="Z114" t="s">
        <v>76</v>
      </c>
      <c r="AA114" t="s">
        <v>7502</v>
      </c>
      <c r="AB114" t="s">
        <v>7339</v>
      </c>
      <c r="AC114">
        <v>0</v>
      </c>
      <c r="AD114" t="str">
        <f t="shared" ca="1" si="22"/>
        <v>rg:False</v>
      </c>
      <c r="AE114" t="str">
        <f t="shared" ca="1" si="29"/>
        <v>rg:None</v>
      </c>
      <c r="AF114" s="1">
        <v>42481</v>
      </c>
      <c r="AG114" s="4">
        <f t="shared" ca="1" si="24"/>
        <v>337.83333333333331</v>
      </c>
      <c r="AH114" s="4">
        <f t="shared" si="25"/>
        <v>3.2361111111111112</v>
      </c>
      <c r="AI114">
        <f t="shared" ca="1" si="26"/>
        <v>95</v>
      </c>
      <c r="AJ114">
        <f t="shared" ca="1" si="27"/>
        <v>154</v>
      </c>
      <c r="AK114">
        <f t="shared" ca="1" si="28"/>
        <v>182</v>
      </c>
      <c r="AL114" t="s">
        <v>326</v>
      </c>
      <c r="AO114" t="s">
        <v>76</v>
      </c>
      <c r="AP114" t="s">
        <v>6510</v>
      </c>
      <c r="AQ114" t="s">
        <v>6510</v>
      </c>
      <c r="AR114" t="s">
        <v>6510</v>
      </c>
      <c r="AS114" t="s">
        <v>6510</v>
      </c>
    </row>
    <row r="115" spans="1:45" x14ac:dyDescent="0.3">
      <c r="A115" t="s">
        <v>5630</v>
      </c>
      <c r="B115">
        <f t="shared" si="15"/>
        <v>200113</v>
      </c>
      <c r="C115">
        <v>200029</v>
      </c>
      <c r="D115" t="str">
        <f t="shared" si="16"/>
        <v>rg:{'id': '200029'}</v>
      </c>
      <c r="E115">
        <f>VLOOKUP(C115,Owners.csv!C:J,6,FALSE)</f>
        <v>200001</v>
      </c>
      <c r="F115" t="str">
        <f>VLOOKUP(VLOOKUP(E115,LocalAreas.csv!I:K,3,FALSE),ServiceAreas.csv!F:J,5,FALSE)</f>
        <v>200009</v>
      </c>
      <c r="G115" t="str">
        <f t="shared" si="17"/>
        <v>rg:{'id': '200001'}</v>
      </c>
      <c r="H115" t="s">
        <v>7730</v>
      </c>
      <c r="I115" t="s">
        <v>5637</v>
      </c>
      <c r="J115">
        <f>VLOOKUP(I115&amp;"-"&amp;F115,DistrictEquipmentTypes.csv!J:K,2,FALSE)</f>
        <v>200001</v>
      </c>
      <c r="K115" t="str">
        <f t="shared" si="18"/>
        <v>rg:{'id': '200001'}</v>
      </c>
      <c r="L115">
        <f t="shared" si="19"/>
        <v>3</v>
      </c>
      <c r="M115" t="str">
        <f>VLOOKUP(C115,Owners.csv!C:K,9,FALSE)&amp;TEXT(Equipment.csv!L115,"0000")</f>
        <v>FOOT0003</v>
      </c>
      <c r="N115" t="s">
        <v>5401</v>
      </c>
      <c r="O115" t="s">
        <v>6777</v>
      </c>
      <c r="P115">
        <v>1970</v>
      </c>
      <c r="Q115">
        <v>119</v>
      </c>
      <c r="R115" t="s">
        <v>6663</v>
      </c>
      <c r="S115" s="1">
        <v>40252</v>
      </c>
      <c r="T115" s="1">
        <v>40267</v>
      </c>
      <c r="U115" t="str">
        <f t="shared" ca="1" si="20"/>
        <v>rg:True</v>
      </c>
      <c r="V115" t="str">
        <f t="shared" ca="1" si="21"/>
        <v>This equipment should be archived</v>
      </c>
      <c r="W115" t="s">
        <v>7175</v>
      </c>
      <c r="X115" t="s">
        <v>76</v>
      </c>
      <c r="Y115" t="s">
        <v>76</v>
      </c>
      <c r="Z115" t="s">
        <v>76</v>
      </c>
      <c r="AA115" t="s">
        <v>7522</v>
      </c>
      <c r="AB115" t="s">
        <v>7355</v>
      </c>
      <c r="AC115">
        <v>0</v>
      </c>
      <c r="AD115" t="str">
        <f t="shared" ca="1" si="22"/>
        <v>rg:False</v>
      </c>
      <c r="AE115" t="str">
        <f t="shared" ca="1" si="29"/>
        <v>rg:None</v>
      </c>
      <c r="AF115" s="1">
        <v>42481</v>
      </c>
      <c r="AG115" s="4">
        <f t="shared" ca="1" si="24"/>
        <v>237.75</v>
      </c>
      <c r="AH115" s="4">
        <f t="shared" si="25"/>
        <v>6.0027777777777782</v>
      </c>
      <c r="AI115">
        <f t="shared" ca="1" si="26"/>
        <v>12</v>
      </c>
      <c r="AJ115">
        <f t="shared" ca="1" si="27"/>
        <v>50</v>
      </c>
      <c r="AK115">
        <f t="shared" ca="1" si="28"/>
        <v>111</v>
      </c>
      <c r="AL115" t="s">
        <v>326</v>
      </c>
      <c r="AO115" t="s">
        <v>76</v>
      </c>
      <c r="AP115" t="s">
        <v>6510</v>
      </c>
      <c r="AQ115" t="s">
        <v>6510</v>
      </c>
      <c r="AR115" t="s">
        <v>6510</v>
      </c>
      <c r="AS115" t="s">
        <v>6510</v>
      </c>
    </row>
    <row r="116" spans="1:45" x14ac:dyDescent="0.3">
      <c r="A116" t="s">
        <v>5630</v>
      </c>
      <c r="B116">
        <f t="shared" si="15"/>
        <v>200114</v>
      </c>
      <c r="C116">
        <v>200029</v>
      </c>
      <c r="D116" t="str">
        <f t="shared" si="16"/>
        <v>rg:{'id': '200029'}</v>
      </c>
      <c r="E116">
        <f>VLOOKUP(C116,Owners.csv!C:J,6,FALSE)</f>
        <v>200001</v>
      </c>
      <c r="F116" t="str">
        <f>VLOOKUP(VLOOKUP(E116,LocalAreas.csv!I:K,3,FALSE),ServiceAreas.csv!F:J,5,FALSE)</f>
        <v>200009</v>
      </c>
      <c r="G116" t="str">
        <f t="shared" si="17"/>
        <v>rg:{'id': '200001'}</v>
      </c>
      <c r="H116" t="s">
        <v>7710</v>
      </c>
      <c r="I116" t="s">
        <v>5536</v>
      </c>
      <c r="J116">
        <f>VLOOKUP(I116&amp;"-"&amp;F116,DistrictEquipmentTypes.csv!J:K,2,FALSE)</f>
        <v>200000</v>
      </c>
      <c r="K116" t="str">
        <f t="shared" si="18"/>
        <v>rg:{'id': '200000'}</v>
      </c>
      <c r="L116">
        <f t="shared" si="19"/>
        <v>4</v>
      </c>
      <c r="M116" t="str">
        <f>VLOOKUP(C116,Owners.csv!C:K,9,FALSE)&amp;TEXT(Equipment.csv!L116,"0000")</f>
        <v>FOOT0004</v>
      </c>
      <c r="N116" t="s">
        <v>5401</v>
      </c>
      <c r="O116" t="s">
        <v>6792</v>
      </c>
      <c r="P116">
        <v>2014</v>
      </c>
      <c r="Q116">
        <v>134</v>
      </c>
      <c r="R116" t="s">
        <v>6663</v>
      </c>
      <c r="S116" s="1">
        <v>37921</v>
      </c>
      <c r="T116" s="1">
        <v>37922</v>
      </c>
      <c r="U116" t="str">
        <f t="shared" ca="1" si="20"/>
        <v>rg:False</v>
      </c>
      <c r="V116" t="str">
        <f t="shared" ca="1" si="21"/>
        <v>rg:None</v>
      </c>
      <c r="W116" t="s">
        <v>7190</v>
      </c>
      <c r="X116" t="s">
        <v>76</v>
      </c>
      <c r="Y116" t="s">
        <v>76</v>
      </c>
      <c r="Z116" t="s">
        <v>76</v>
      </c>
      <c r="AA116" t="s">
        <v>7537</v>
      </c>
      <c r="AB116" t="s">
        <v>7323</v>
      </c>
      <c r="AC116">
        <v>0</v>
      </c>
      <c r="AD116" t="str">
        <f t="shared" ca="1" si="22"/>
        <v>rg:False</v>
      </c>
      <c r="AE116" t="str">
        <f t="shared" ca="1" si="29"/>
        <v>rg:None</v>
      </c>
      <c r="AF116" s="1">
        <v>42481</v>
      </c>
      <c r="AG116" s="4">
        <f t="shared" ca="1" si="24"/>
        <v>528.75</v>
      </c>
      <c r="AH116" s="4">
        <f t="shared" si="25"/>
        <v>12.425000000000001</v>
      </c>
      <c r="AI116">
        <f t="shared" ca="1" si="26"/>
        <v>135</v>
      </c>
      <c r="AJ116">
        <f t="shared" ca="1" si="27"/>
        <v>175</v>
      </c>
      <c r="AK116">
        <f t="shared" ca="1" si="28"/>
        <v>158</v>
      </c>
      <c r="AL116" t="s">
        <v>326</v>
      </c>
      <c r="AO116" t="s">
        <v>76</v>
      </c>
      <c r="AP116" t="s">
        <v>6510</v>
      </c>
      <c r="AQ116" t="s">
        <v>6510</v>
      </c>
      <c r="AR116" t="s">
        <v>6510</v>
      </c>
      <c r="AS116" t="s">
        <v>6510</v>
      </c>
    </row>
    <row r="117" spans="1:45" x14ac:dyDescent="0.3">
      <c r="A117" t="s">
        <v>5630</v>
      </c>
      <c r="B117">
        <f t="shared" si="15"/>
        <v>200115</v>
      </c>
      <c r="C117">
        <v>200030</v>
      </c>
      <c r="D117" t="str">
        <f t="shared" si="16"/>
        <v>rg:{'id': '200030'}</v>
      </c>
      <c r="E117">
        <f>VLOOKUP(C117,Owners.csv!C:J,6,FALSE)</f>
        <v>200001</v>
      </c>
      <c r="F117" t="str">
        <f>VLOOKUP(VLOOKUP(E117,LocalAreas.csv!I:K,3,FALSE),ServiceAreas.csv!F:J,5,FALSE)</f>
        <v>200009</v>
      </c>
      <c r="G117" t="str">
        <f t="shared" si="17"/>
        <v>rg:{'id': '200001'}</v>
      </c>
      <c r="H117" t="s">
        <v>7706</v>
      </c>
      <c r="I117" t="s">
        <v>5651</v>
      </c>
      <c r="J117">
        <f>VLOOKUP(I117&amp;"-"&amp;F117,DistrictEquipmentTypes.csv!J:K,2,FALSE)</f>
        <v>200006</v>
      </c>
      <c r="K117" t="str">
        <f t="shared" si="18"/>
        <v>rg:{'id': '200006'}</v>
      </c>
      <c r="L117">
        <f t="shared" si="19"/>
        <v>1</v>
      </c>
      <c r="M117" t="str">
        <f>VLOOKUP(C117,Owners.csv!C:K,9,FALSE)&amp;TEXT(Equipment.csv!L117,"0000")</f>
        <v>GAMM0001</v>
      </c>
      <c r="N117" t="s">
        <v>5401</v>
      </c>
      <c r="O117" t="s">
        <v>6738</v>
      </c>
      <c r="P117">
        <v>1987</v>
      </c>
      <c r="Q117">
        <v>80</v>
      </c>
      <c r="R117" t="s">
        <v>6663</v>
      </c>
      <c r="S117" s="1">
        <v>39772</v>
      </c>
      <c r="T117" s="1">
        <v>39799</v>
      </c>
      <c r="U117" t="str">
        <f t="shared" ca="1" si="20"/>
        <v>rg:False</v>
      </c>
      <c r="V117" t="str">
        <f t="shared" ca="1" si="21"/>
        <v>rg:None</v>
      </c>
      <c r="W117" t="s">
        <v>7136</v>
      </c>
      <c r="X117" t="s">
        <v>76</v>
      </c>
      <c r="Y117" t="s">
        <v>76</v>
      </c>
      <c r="Z117" t="s">
        <v>76</v>
      </c>
      <c r="AA117" t="s">
        <v>7483</v>
      </c>
      <c r="AB117" t="s">
        <v>7267</v>
      </c>
      <c r="AC117">
        <v>0</v>
      </c>
      <c r="AD117" t="str">
        <f t="shared" ca="1" si="22"/>
        <v>rg:False</v>
      </c>
      <c r="AE117" t="str">
        <f t="shared" ca="1" si="29"/>
        <v>rg:None</v>
      </c>
      <c r="AF117" s="1">
        <v>42481</v>
      </c>
      <c r="AG117" s="4">
        <f t="shared" ca="1" si="24"/>
        <v>495</v>
      </c>
      <c r="AH117" s="4">
        <f t="shared" si="25"/>
        <v>7.2888888888888888</v>
      </c>
      <c r="AI117">
        <f t="shared" ca="1" si="26"/>
        <v>30</v>
      </c>
      <c r="AJ117">
        <f t="shared" ca="1" si="27"/>
        <v>122</v>
      </c>
      <c r="AK117">
        <f t="shared" ca="1" si="28"/>
        <v>21</v>
      </c>
      <c r="AL117" t="s">
        <v>326</v>
      </c>
      <c r="AO117" t="s">
        <v>76</v>
      </c>
      <c r="AP117" t="s">
        <v>6510</v>
      </c>
      <c r="AQ117" t="s">
        <v>6510</v>
      </c>
      <c r="AR117" t="s">
        <v>6510</v>
      </c>
      <c r="AS117" t="s">
        <v>6510</v>
      </c>
    </row>
    <row r="118" spans="1:45" x14ac:dyDescent="0.3">
      <c r="A118" t="s">
        <v>5630</v>
      </c>
      <c r="B118">
        <f t="shared" si="15"/>
        <v>200116</v>
      </c>
      <c r="C118">
        <v>200030</v>
      </c>
      <c r="D118" t="str">
        <f t="shared" si="16"/>
        <v>rg:{'id': '200030'}</v>
      </c>
      <c r="E118">
        <f>VLOOKUP(C118,Owners.csv!C:J,6,FALSE)</f>
        <v>200001</v>
      </c>
      <c r="F118" t="str">
        <f>VLOOKUP(VLOOKUP(E118,LocalAreas.csv!I:K,3,FALSE),ServiceAreas.csv!F:J,5,FALSE)</f>
        <v>200009</v>
      </c>
      <c r="G118" t="str">
        <f t="shared" si="17"/>
        <v>rg:{'id': '200001'}</v>
      </c>
      <c r="H118" t="s">
        <v>7667</v>
      </c>
      <c r="I118" t="s">
        <v>5651</v>
      </c>
      <c r="J118">
        <f>VLOOKUP(I118&amp;"-"&amp;F118,DistrictEquipmentTypes.csv!J:K,2,FALSE)</f>
        <v>200006</v>
      </c>
      <c r="K118" t="str">
        <f t="shared" si="18"/>
        <v>rg:{'id': '200006'}</v>
      </c>
      <c r="L118">
        <f t="shared" si="19"/>
        <v>2</v>
      </c>
      <c r="M118" t="str">
        <f>VLOOKUP(C118,Owners.csv!C:K,9,FALSE)&amp;TEXT(Equipment.csv!L118,"0000")</f>
        <v>GAMM0002</v>
      </c>
      <c r="N118" t="s">
        <v>5401</v>
      </c>
      <c r="O118" t="s">
        <v>6758</v>
      </c>
      <c r="P118">
        <v>1999</v>
      </c>
      <c r="Q118">
        <v>100</v>
      </c>
      <c r="R118" t="s">
        <v>6663</v>
      </c>
      <c r="S118" s="1">
        <v>38948</v>
      </c>
      <c r="T118" s="1">
        <v>38955</v>
      </c>
      <c r="U118" t="str">
        <f t="shared" ca="1" si="20"/>
        <v>rg:False</v>
      </c>
      <c r="V118" t="str">
        <f t="shared" ca="1" si="21"/>
        <v>rg:None</v>
      </c>
      <c r="W118" t="s">
        <v>7156</v>
      </c>
      <c r="X118" t="s">
        <v>76</v>
      </c>
      <c r="Y118" t="s">
        <v>76</v>
      </c>
      <c r="Z118" t="s">
        <v>76</v>
      </c>
      <c r="AA118" t="s">
        <v>7503</v>
      </c>
      <c r="AB118" t="s">
        <v>7340</v>
      </c>
      <c r="AC118">
        <v>0</v>
      </c>
      <c r="AD118" t="str">
        <f t="shared" ca="1" si="22"/>
        <v>rg:False</v>
      </c>
      <c r="AE118" t="str">
        <f t="shared" ca="1" si="29"/>
        <v>rg:None</v>
      </c>
      <c r="AF118" s="1">
        <v>42481</v>
      </c>
      <c r="AG118" s="4">
        <f t="shared" ca="1" si="24"/>
        <v>682.16666666666663</v>
      </c>
      <c r="AH118" s="4">
        <f t="shared" si="25"/>
        <v>9.5972222222222214</v>
      </c>
      <c r="AI118">
        <f t="shared" ca="1" si="26"/>
        <v>134</v>
      </c>
      <c r="AJ118">
        <f t="shared" ca="1" si="27"/>
        <v>116</v>
      </c>
      <c r="AK118">
        <f t="shared" ca="1" si="28"/>
        <v>69</v>
      </c>
      <c r="AL118" t="s">
        <v>326</v>
      </c>
      <c r="AO118" t="s">
        <v>76</v>
      </c>
      <c r="AP118" t="s">
        <v>6510</v>
      </c>
      <c r="AQ118" t="s">
        <v>6510</v>
      </c>
      <c r="AR118" t="s">
        <v>6510</v>
      </c>
      <c r="AS118" t="s">
        <v>6510</v>
      </c>
    </row>
    <row r="119" spans="1:45" x14ac:dyDescent="0.3">
      <c r="A119" t="s">
        <v>5630</v>
      </c>
      <c r="B119">
        <f t="shared" si="15"/>
        <v>200117</v>
      </c>
      <c r="C119">
        <v>200030</v>
      </c>
      <c r="D119" t="str">
        <f t="shared" si="16"/>
        <v>rg:{'id': '200030'}</v>
      </c>
      <c r="E119">
        <f>VLOOKUP(C119,Owners.csv!C:J,6,FALSE)</f>
        <v>200001</v>
      </c>
      <c r="F119" t="str">
        <f>VLOOKUP(VLOOKUP(E119,LocalAreas.csv!I:K,3,FALSE),ServiceAreas.csv!F:J,5,FALSE)</f>
        <v>200009</v>
      </c>
      <c r="G119" t="str">
        <f t="shared" si="17"/>
        <v>rg:{'id': '200001'}</v>
      </c>
      <c r="H119" t="s">
        <v>7731</v>
      </c>
      <c r="I119" t="s">
        <v>5637</v>
      </c>
      <c r="J119">
        <f>VLOOKUP(I119&amp;"-"&amp;F119,DistrictEquipmentTypes.csv!J:K,2,FALSE)</f>
        <v>200001</v>
      </c>
      <c r="K119" t="str">
        <f t="shared" si="18"/>
        <v>rg:{'id': '200001'}</v>
      </c>
      <c r="L119">
        <f t="shared" si="19"/>
        <v>3</v>
      </c>
      <c r="M119" t="str">
        <f>VLOOKUP(C119,Owners.csv!C:K,9,FALSE)&amp;TEXT(Equipment.csv!L119,"0000")</f>
        <v>GAMM0003</v>
      </c>
      <c r="N119" t="s">
        <v>5401</v>
      </c>
      <c r="O119" t="s">
        <v>6778</v>
      </c>
      <c r="P119">
        <v>1996</v>
      </c>
      <c r="Q119">
        <v>120</v>
      </c>
      <c r="R119" t="s">
        <v>6663</v>
      </c>
      <c r="S119" s="1">
        <v>40652</v>
      </c>
      <c r="T119" s="1">
        <v>40674</v>
      </c>
      <c r="U119" t="str">
        <f t="shared" ca="1" si="20"/>
        <v>rg:False</v>
      </c>
      <c r="V119" t="str">
        <f t="shared" ca="1" si="21"/>
        <v>rg:None</v>
      </c>
      <c r="W119" t="s">
        <v>7176</v>
      </c>
      <c r="X119" t="s">
        <v>76</v>
      </c>
      <c r="Y119" t="s">
        <v>76</v>
      </c>
      <c r="Z119" t="s">
        <v>76</v>
      </c>
      <c r="AA119" t="s">
        <v>7523</v>
      </c>
      <c r="AB119" t="s">
        <v>7356</v>
      </c>
      <c r="AC119">
        <v>0</v>
      </c>
      <c r="AD119" t="str">
        <f t="shared" ca="1" si="22"/>
        <v>rg:False</v>
      </c>
      <c r="AE119" t="str">
        <f t="shared" ca="1" si="29"/>
        <v>rg:None</v>
      </c>
      <c r="AF119" s="1">
        <v>42481</v>
      </c>
      <c r="AG119" s="4">
        <f t="shared" ca="1" si="24"/>
        <v>289.33333333333337</v>
      </c>
      <c r="AH119" s="4">
        <f t="shared" si="25"/>
        <v>4.8888888888888893</v>
      </c>
      <c r="AI119">
        <f t="shared" ca="1" si="26"/>
        <v>195</v>
      </c>
      <c r="AJ119">
        <f t="shared" ca="1" si="27"/>
        <v>158</v>
      </c>
      <c r="AK119">
        <f t="shared" ca="1" si="28"/>
        <v>75</v>
      </c>
      <c r="AL119" t="s">
        <v>326</v>
      </c>
      <c r="AO119" t="s">
        <v>76</v>
      </c>
      <c r="AP119" t="s">
        <v>6510</v>
      </c>
      <c r="AQ119" t="s">
        <v>6510</v>
      </c>
      <c r="AR119" t="s">
        <v>6510</v>
      </c>
      <c r="AS119" t="s">
        <v>6510</v>
      </c>
    </row>
    <row r="120" spans="1:45" x14ac:dyDescent="0.3">
      <c r="A120" t="s">
        <v>5630</v>
      </c>
      <c r="B120">
        <f t="shared" si="15"/>
        <v>200118</v>
      </c>
      <c r="C120">
        <v>200030</v>
      </c>
      <c r="D120" t="str">
        <f t="shared" si="16"/>
        <v>rg:{'id': '200030'}</v>
      </c>
      <c r="E120">
        <f>VLOOKUP(C120,Owners.csv!C:J,6,FALSE)</f>
        <v>200001</v>
      </c>
      <c r="F120" t="str">
        <f>VLOOKUP(VLOOKUP(E120,LocalAreas.csv!I:K,3,FALSE),ServiceAreas.csv!F:J,5,FALSE)</f>
        <v>200009</v>
      </c>
      <c r="G120" t="str">
        <f t="shared" si="17"/>
        <v>rg:{'id': '200001'}</v>
      </c>
      <c r="H120" t="s">
        <v>7738</v>
      </c>
      <c r="I120" t="s">
        <v>5536</v>
      </c>
      <c r="J120">
        <f>VLOOKUP(I120&amp;"-"&amp;F120,DistrictEquipmentTypes.csv!J:K,2,FALSE)</f>
        <v>200000</v>
      </c>
      <c r="K120" t="str">
        <f t="shared" si="18"/>
        <v>rg:{'id': '200000'}</v>
      </c>
      <c r="L120">
        <f t="shared" si="19"/>
        <v>4</v>
      </c>
      <c r="M120" t="str">
        <f>VLOOKUP(C120,Owners.csv!C:K,9,FALSE)&amp;TEXT(Equipment.csv!L120,"0000")</f>
        <v>GAMM0004</v>
      </c>
      <c r="N120" t="s">
        <v>5401</v>
      </c>
      <c r="O120" t="s">
        <v>6793</v>
      </c>
      <c r="P120">
        <v>1991</v>
      </c>
      <c r="Q120">
        <v>135</v>
      </c>
      <c r="R120" t="s">
        <v>6663</v>
      </c>
      <c r="S120" s="1">
        <v>42321</v>
      </c>
      <c r="T120" s="1">
        <v>42351</v>
      </c>
      <c r="U120" t="str">
        <f t="shared" ca="1" si="20"/>
        <v>rg:False</v>
      </c>
      <c r="V120" t="str">
        <f t="shared" ca="1" si="21"/>
        <v>rg:None</v>
      </c>
      <c r="W120" t="s">
        <v>7191</v>
      </c>
      <c r="X120" t="s">
        <v>76</v>
      </c>
      <c r="Y120" t="s">
        <v>76</v>
      </c>
      <c r="Z120" t="s">
        <v>76</v>
      </c>
      <c r="AA120" t="s">
        <v>7538</v>
      </c>
      <c r="AB120" t="s">
        <v>7365</v>
      </c>
      <c r="AC120">
        <v>0</v>
      </c>
      <c r="AD120" t="str">
        <f t="shared" ca="1" si="22"/>
        <v>rg:False</v>
      </c>
      <c r="AE120" t="str">
        <f t="shared" ca="1" si="29"/>
        <v>rg:None</v>
      </c>
      <c r="AF120" s="1">
        <v>42481</v>
      </c>
      <c r="AG120" s="4">
        <f t="shared" ca="1" si="24"/>
        <v>9</v>
      </c>
      <c r="AH120" s="4">
        <f t="shared" si="25"/>
        <v>0.3</v>
      </c>
      <c r="AI120">
        <f t="shared" ca="1" si="26"/>
        <v>0</v>
      </c>
      <c r="AJ120">
        <f t="shared" ca="1" si="27"/>
        <v>0</v>
      </c>
      <c r="AK120">
        <f t="shared" ca="1" si="28"/>
        <v>0</v>
      </c>
      <c r="AL120" t="s">
        <v>326</v>
      </c>
      <c r="AO120" t="s">
        <v>76</v>
      </c>
      <c r="AP120" t="s">
        <v>6510</v>
      </c>
      <c r="AQ120" t="s">
        <v>6510</v>
      </c>
      <c r="AR120" t="s">
        <v>6510</v>
      </c>
      <c r="AS120" t="s">
        <v>6510</v>
      </c>
    </row>
    <row r="121" spans="1:45" x14ac:dyDescent="0.3">
      <c r="A121" t="s">
        <v>5630</v>
      </c>
      <c r="B121">
        <f t="shared" si="15"/>
        <v>200119</v>
      </c>
      <c r="C121">
        <v>200031</v>
      </c>
      <c r="D121" t="str">
        <f t="shared" si="16"/>
        <v>rg:{'id': '200031'}</v>
      </c>
      <c r="E121">
        <f>VLOOKUP(C121,Owners.csv!C:J,6,FALSE)</f>
        <v>200001</v>
      </c>
      <c r="F121" t="str">
        <f>VLOOKUP(VLOOKUP(E121,LocalAreas.csv!I:K,3,FALSE),ServiceAreas.csv!F:J,5,FALSE)</f>
        <v>200009</v>
      </c>
      <c r="G121" t="str">
        <f t="shared" si="17"/>
        <v>rg:{'id': '200001'}</v>
      </c>
      <c r="H121" t="s">
        <v>7661</v>
      </c>
      <c r="I121" t="s">
        <v>5651</v>
      </c>
      <c r="J121">
        <f>VLOOKUP(I121&amp;"-"&amp;F121,DistrictEquipmentTypes.csv!J:K,2,FALSE)</f>
        <v>200006</v>
      </c>
      <c r="K121" t="str">
        <f t="shared" si="18"/>
        <v>rg:{'id': '200006'}</v>
      </c>
      <c r="L121">
        <f t="shared" si="19"/>
        <v>1</v>
      </c>
      <c r="M121" t="str">
        <f>VLOOKUP(C121,Owners.csv!C:K,9,FALSE)&amp;TEXT(Equipment.csv!L121,"0000")</f>
        <v>GARD0001</v>
      </c>
      <c r="N121" t="s">
        <v>5401</v>
      </c>
      <c r="O121" t="s">
        <v>6739</v>
      </c>
      <c r="P121">
        <v>2001</v>
      </c>
      <c r="Q121">
        <v>81</v>
      </c>
      <c r="R121" t="s">
        <v>6663</v>
      </c>
      <c r="S121" s="1">
        <v>42101</v>
      </c>
      <c r="T121" s="1">
        <v>42109</v>
      </c>
      <c r="U121" t="str">
        <f t="shared" ca="1" si="20"/>
        <v>rg:False</v>
      </c>
      <c r="V121" t="str">
        <f t="shared" ca="1" si="21"/>
        <v>rg:None</v>
      </c>
      <c r="W121" t="s">
        <v>7137</v>
      </c>
      <c r="X121" t="s">
        <v>76</v>
      </c>
      <c r="Y121" t="s">
        <v>76</v>
      </c>
      <c r="Z121" t="s">
        <v>76</v>
      </c>
      <c r="AA121" t="s">
        <v>7484</v>
      </c>
      <c r="AB121" t="s">
        <v>7325</v>
      </c>
      <c r="AC121">
        <v>0</v>
      </c>
      <c r="AD121" t="str">
        <f t="shared" ca="1" si="22"/>
        <v>rg:False</v>
      </c>
      <c r="AE121" t="str">
        <f t="shared" ca="1" si="29"/>
        <v>rg:None</v>
      </c>
      <c r="AF121" s="1">
        <v>42481</v>
      </c>
      <c r="AG121" s="4">
        <f t="shared" ca="1" si="24"/>
        <v>57.666666666666671</v>
      </c>
      <c r="AH121" s="4">
        <f t="shared" si="25"/>
        <v>0.96111111111111114</v>
      </c>
      <c r="AI121">
        <f t="shared" ca="1" si="26"/>
        <v>0</v>
      </c>
      <c r="AJ121">
        <f t="shared" ca="1" si="27"/>
        <v>0</v>
      </c>
      <c r="AK121">
        <f t="shared" ca="1" si="28"/>
        <v>0</v>
      </c>
      <c r="AL121" t="s">
        <v>326</v>
      </c>
      <c r="AO121" t="s">
        <v>76</v>
      </c>
      <c r="AP121" t="s">
        <v>6510</v>
      </c>
      <c r="AQ121" t="s">
        <v>6510</v>
      </c>
      <c r="AR121" t="s">
        <v>6510</v>
      </c>
      <c r="AS121" t="s">
        <v>6510</v>
      </c>
    </row>
    <row r="122" spans="1:45" x14ac:dyDescent="0.3">
      <c r="A122" t="s">
        <v>5630</v>
      </c>
      <c r="B122">
        <f t="shared" si="15"/>
        <v>200120</v>
      </c>
      <c r="C122">
        <v>200031</v>
      </c>
      <c r="D122" t="str">
        <f t="shared" si="16"/>
        <v>rg:{'id': '200031'}</v>
      </c>
      <c r="E122">
        <f>VLOOKUP(C122,Owners.csv!C:J,6,FALSE)</f>
        <v>200001</v>
      </c>
      <c r="F122" t="str">
        <f>VLOOKUP(VLOOKUP(E122,LocalAreas.csv!I:K,3,FALSE),ServiceAreas.csv!F:J,5,FALSE)</f>
        <v>200009</v>
      </c>
      <c r="G122" t="str">
        <f t="shared" si="17"/>
        <v>rg:{'id': '200001'}</v>
      </c>
      <c r="H122" t="s">
        <v>7720</v>
      </c>
      <c r="I122" t="s">
        <v>5651</v>
      </c>
      <c r="J122">
        <f>VLOOKUP(I122&amp;"-"&amp;F122,DistrictEquipmentTypes.csv!J:K,2,FALSE)</f>
        <v>200006</v>
      </c>
      <c r="K122" t="str">
        <f t="shared" si="18"/>
        <v>rg:{'id': '200006'}</v>
      </c>
      <c r="L122">
        <f t="shared" si="19"/>
        <v>2</v>
      </c>
      <c r="M122" t="str">
        <f>VLOOKUP(C122,Owners.csv!C:K,9,FALSE)&amp;TEXT(Equipment.csv!L122,"0000")</f>
        <v>GARD0002</v>
      </c>
      <c r="N122" t="s">
        <v>5401</v>
      </c>
      <c r="O122" t="s">
        <v>6759</v>
      </c>
      <c r="P122">
        <v>1982</v>
      </c>
      <c r="Q122">
        <v>101</v>
      </c>
      <c r="R122" t="s">
        <v>6663</v>
      </c>
      <c r="S122" s="1">
        <v>39213</v>
      </c>
      <c r="T122" s="1">
        <v>39222</v>
      </c>
      <c r="U122" t="str">
        <f t="shared" ca="1" si="20"/>
        <v>rg:False</v>
      </c>
      <c r="V122" t="str">
        <f t="shared" ca="1" si="21"/>
        <v>rg:None</v>
      </c>
      <c r="W122" t="s">
        <v>7157</v>
      </c>
      <c r="X122" t="s">
        <v>76</v>
      </c>
      <c r="Y122" t="s">
        <v>76</v>
      </c>
      <c r="Z122" t="s">
        <v>76</v>
      </c>
      <c r="AA122" t="s">
        <v>7504</v>
      </c>
      <c r="AB122" t="s">
        <v>7285</v>
      </c>
      <c r="AC122">
        <v>0</v>
      </c>
      <c r="AD122" t="str">
        <f t="shared" ca="1" si="22"/>
        <v>rg:False</v>
      </c>
      <c r="AE122" t="str">
        <f t="shared" ca="1" si="29"/>
        <v>rg:None</v>
      </c>
      <c r="AF122" s="1">
        <v>42481</v>
      </c>
      <c r="AG122" s="4">
        <f t="shared" ca="1" si="24"/>
        <v>570.5</v>
      </c>
      <c r="AH122" s="4">
        <f t="shared" si="25"/>
        <v>8.8638888888888889</v>
      </c>
      <c r="AI122">
        <f t="shared" ca="1" si="26"/>
        <v>74</v>
      </c>
      <c r="AJ122">
        <f t="shared" ca="1" si="27"/>
        <v>14</v>
      </c>
      <c r="AK122">
        <f t="shared" ca="1" si="28"/>
        <v>28</v>
      </c>
      <c r="AL122" t="s">
        <v>326</v>
      </c>
      <c r="AO122" t="s">
        <v>76</v>
      </c>
      <c r="AP122" t="s">
        <v>6510</v>
      </c>
      <c r="AQ122" t="s">
        <v>6510</v>
      </c>
      <c r="AR122" t="s">
        <v>6510</v>
      </c>
      <c r="AS122" t="s">
        <v>6510</v>
      </c>
    </row>
    <row r="123" spans="1:45" x14ac:dyDescent="0.3">
      <c r="A123" t="s">
        <v>5630</v>
      </c>
      <c r="B123">
        <f t="shared" si="15"/>
        <v>200121</v>
      </c>
      <c r="C123">
        <v>200031</v>
      </c>
      <c r="D123" t="str">
        <f t="shared" si="16"/>
        <v>rg:{'id': '200031'}</v>
      </c>
      <c r="E123">
        <f>VLOOKUP(C123,Owners.csv!C:J,6,FALSE)</f>
        <v>200001</v>
      </c>
      <c r="F123" t="str">
        <f>VLOOKUP(VLOOKUP(E123,LocalAreas.csv!I:K,3,FALSE),ServiceAreas.csv!F:J,5,FALSE)</f>
        <v>200009</v>
      </c>
      <c r="G123" t="str">
        <f t="shared" si="17"/>
        <v>rg:{'id': '200001'}</v>
      </c>
      <c r="H123" t="s">
        <v>7666</v>
      </c>
      <c r="I123" t="s">
        <v>5637</v>
      </c>
      <c r="J123">
        <f>VLOOKUP(I123&amp;"-"&amp;F123,DistrictEquipmentTypes.csv!J:K,2,FALSE)</f>
        <v>200001</v>
      </c>
      <c r="K123" t="str">
        <f t="shared" si="18"/>
        <v>rg:{'id': '200001'}</v>
      </c>
      <c r="L123">
        <f t="shared" si="19"/>
        <v>3</v>
      </c>
      <c r="M123" t="str">
        <f>VLOOKUP(C123,Owners.csv!C:K,9,FALSE)&amp;TEXT(Equipment.csv!L123,"0000")</f>
        <v>GARD0003</v>
      </c>
      <c r="N123" t="s">
        <v>5401</v>
      </c>
      <c r="O123" t="s">
        <v>6779</v>
      </c>
      <c r="P123">
        <v>1997</v>
      </c>
      <c r="Q123">
        <v>121</v>
      </c>
      <c r="R123" t="s">
        <v>6663</v>
      </c>
      <c r="S123" s="1">
        <v>40479</v>
      </c>
      <c r="T123" s="1">
        <v>40480</v>
      </c>
      <c r="U123" t="str">
        <f t="shared" ca="1" si="20"/>
        <v>rg:True</v>
      </c>
      <c r="V123" t="str">
        <f t="shared" ca="1" si="21"/>
        <v>This equipment should be archived</v>
      </c>
      <c r="W123" t="s">
        <v>7177</v>
      </c>
      <c r="X123" t="s">
        <v>76</v>
      </c>
      <c r="Y123" t="s">
        <v>76</v>
      </c>
      <c r="Z123" t="s">
        <v>76</v>
      </c>
      <c r="AA123" t="s">
        <v>7524</v>
      </c>
      <c r="AB123" t="s">
        <v>7357</v>
      </c>
      <c r="AC123">
        <v>0</v>
      </c>
      <c r="AD123" t="str">
        <f t="shared" ca="1" si="22"/>
        <v>rg:False</v>
      </c>
      <c r="AE123" t="str">
        <f t="shared" ca="1" si="29"/>
        <v>rg:None</v>
      </c>
      <c r="AF123" s="1">
        <v>42481</v>
      </c>
      <c r="AG123" s="4">
        <f t="shared" ca="1" si="24"/>
        <v>257.33333333333337</v>
      </c>
      <c r="AH123" s="4">
        <f t="shared" si="25"/>
        <v>5.4222222222222225</v>
      </c>
      <c r="AI123">
        <f t="shared" ca="1" si="26"/>
        <v>136</v>
      </c>
      <c r="AJ123">
        <f t="shared" ca="1" si="27"/>
        <v>44</v>
      </c>
      <c r="AK123">
        <f t="shared" ca="1" si="28"/>
        <v>104</v>
      </c>
      <c r="AL123" t="s">
        <v>326</v>
      </c>
      <c r="AO123" t="s">
        <v>76</v>
      </c>
      <c r="AP123" t="s">
        <v>6510</v>
      </c>
      <c r="AQ123" t="s">
        <v>6510</v>
      </c>
      <c r="AR123" t="s">
        <v>6510</v>
      </c>
      <c r="AS123" t="s">
        <v>6510</v>
      </c>
    </row>
    <row r="124" spans="1:45" x14ac:dyDescent="0.3">
      <c r="A124" t="s">
        <v>5630</v>
      </c>
      <c r="B124">
        <f t="shared" si="15"/>
        <v>200122</v>
      </c>
      <c r="C124">
        <v>200031</v>
      </c>
      <c r="D124" t="str">
        <f t="shared" si="16"/>
        <v>rg:{'id': '200031'}</v>
      </c>
      <c r="E124">
        <f>VLOOKUP(C124,Owners.csv!C:J,6,FALSE)</f>
        <v>200001</v>
      </c>
      <c r="F124" t="str">
        <f>VLOOKUP(VLOOKUP(E124,LocalAreas.csv!I:K,3,FALSE),ServiceAreas.csv!F:J,5,FALSE)</f>
        <v>200009</v>
      </c>
      <c r="G124" t="str">
        <f t="shared" si="17"/>
        <v>rg:{'id': '200001'}</v>
      </c>
      <c r="H124" t="s">
        <v>7739</v>
      </c>
      <c r="I124" t="s">
        <v>5536</v>
      </c>
      <c r="J124">
        <f>VLOOKUP(I124&amp;"-"&amp;F124,DistrictEquipmentTypes.csv!J:K,2,FALSE)</f>
        <v>200000</v>
      </c>
      <c r="K124" t="str">
        <f t="shared" si="18"/>
        <v>rg:{'id': '200000'}</v>
      </c>
      <c r="L124">
        <f t="shared" si="19"/>
        <v>4</v>
      </c>
      <c r="M124" t="str">
        <f>VLOOKUP(C124,Owners.csv!C:K,9,FALSE)&amp;TEXT(Equipment.csv!L124,"0000")</f>
        <v>GARD0004</v>
      </c>
      <c r="N124" t="s">
        <v>5401</v>
      </c>
      <c r="O124" t="s">
        <v>6794</v>
      </c>
      <c r="P124">
        <v>2012</v>
      </c>
      <c r="Q124">
        <v>136</v>
      </c>
      <c r="R124" t="s">
        <v>6663</v>
      </c>
      <c r="S124" s="1">
        <v>39653</v>
      </c>
      <c r="T124" s="1">
        <v>39658</v>
      </c>
      <c r="U124" t="str">
        <f t="shared" ca="1" si="20"/>
        <v>rg:False</v>
      </c>
      <c r="V124" t="str">
        <f t="shared" ca="1" si="21"/>
        <v>rg:None</v>
      </c>
      <c r="W124" t="s">
        <v>7192</v>
      </c>
      <c r="X124" t="s">
        <v>76</v>
      </c>
      <c r="Y124" t="s">
        <v>76</v>
      </c>
      <c r="Z124" t="s">
        <v>76</v>
      </c>
      <c r="AA124" t="s">
        <v>7539</v>
      </c>
      <c r="AB124" t="s">
        <v>7316</v>
      </c>
      <c r="AC124">
        <v>0</v>
      </c>
      <c r="AD124" t="str">
        <f t="shared" ca="1" si="22"/>
        <v>rg:False</v>
      </c>
      <c r="AE124" t="str">
        <f t="shared" ca="1" si="29"/>
        <v>rg:None</v>
      </c>
      <c r="AF124" s="1">
        <v>42481</v>
      </c>
      <c r="AG124" s="4">
        <f t="shared" ca="1" si="24"/>
        <v>351.83333333333337</v>
      </c>
      <c r="AH124" s="4">
        <f t="shared" si="25"/>
        <v>7.6722222222222225</v>
      </c>
      <c r="AI124">
        <f t="shared" ca="1" si="26"/>
        <v>63</v>
      </c>
      <c r="AJ124">
        <f t="shared" ca="1" si="27"/>
        <v>170</v>
      </c>
      <c r="AK124">
        <f t="shared" ca="1" si="28"/>
        <v>132</v>
      </c>
      <c r="AL124" t="s">
        <v>326</v>
      </c>
      <c r="AO124" t="s">
        <v>76</v>
      </c>
      <c r="AP124" t="s">
        <v>6510</v>
      </c>
      <c r="AQ124" t="s">
        <v>6510</v>
      </c>
      <c r="AR124" t="s">
        <v>6510</v>
      </c>
      <c r="AS124" t="s">
        <v>6510</v>
      </c>
    </row>
    <row r="125" spans="1:45" x14ac:dyDescent="0.3">
      <c r="A125" t="s">
        <v>5630</v>
      </c>
      <c r="B125">
        <f t="shared" si="15"/>
        <v>200123</v>
      </c>
      <c r="C125">
        <v>200032</v>
      </c>
      <c r="D125" t="str">
        <f t="shared" si="16"/>
        <v>rg:{'id': '200032'}</v>
      </c>
      <c r="E125">
        <f>VLOOKUP(C125,Owners.csv!C:J,6,FALSE)</f>
        <v>200001</v>
      </c>
      <c r="F125" t="str">
        <f>VLOOKUP(VLOOKUP(E125,LocalAreas.csv!I:K,3,FALSE),ServiceAreas.csv!F:J,5,FALSE)</f>
        <v>200009</v>
      </c>
      <c r="G125" t="str">
        <f t="shared" si="17"/>
        <v>rg:{'id': '200001'}</v>
      </c>
      <c r="H125" t="s">
        <v>7707</v>
      </c>
      <c r="I125" t="s">
        <v>5651</v>
      </c>
      <c r="J125">
        <f>VLOOKUP(I125&amp;"-"&amp;F125,DistrictEquipmentTypes.csv!J:K,2,FALSE)</f>
        <v>200006</v>
      </c>
      <c r="K125" t="str">
        <f t="shared" si="18"/>
        <v>rg:{'id': '200006'}</v>
      </c>
      <c r="L125">
        <f t="shared" si="19"/>
        <v>1</v>
      </c>
      <c r="M125" t="str">
        <f>VLOOKUP(C125,Owners.csv!C:K,9,FALSE)&amp;TEXT(Equipment.csv!L125,"0000")</f>
        <v>GASD0001</v>
      </c>
      <c r="N125" t="s">
        <v>5401</v>
      </c>
      <c r="O125" t="s">
        <v>6740</v>
      </c>
      <c r="P125">
        <v>2009</v>
      </c>
      <c r="Q125">
        <v>82</v>
      </c>
      <c r="R125" t="s">
        <v>6663</v>
      </c>
      <c r="S125" s="1">
        <v>42245</v>
      </c>
      <c r="T125" s="1">
        <v>42258</v>
      </c>
      <c r="U125" t="str">
        <f t="shared" ca="1" si="20"/>
        <v>rg:False</v>
      </c>
      <c r="V125" t="str">
        <f t="shared" ca="1" si="21"/>
        <v>rg:None</v>
      </c>
      <c r="W125" t="s">
        <v>7138</v>
      </c>
      <c r="X125" t="s">
        <v>76</v>
      </c>
      <c r="Y125" t="s">
        <v>76</v>
      </c>
      <c r="Z125" t="s">
        <v>76</v>
      </c>
      <c r="AA125" t="s">
        <v>7485</v>
      </c>
      <c r="AB125" t="s">
        <v>7326</v>
      </c>
      <c r="AC125">
        <v>0</v>
      </c>
      <c r="AD125" t="str">
        <f t="shared" ca="1" si="22"/>
        <v>rg:False</v>
      </c>
      <c r="AE125" t="str">
        <f t="shared" ca="1" si="29"/>
        <v>rg:None</v>
      </c>
      <c r="AF125" s="1">
        <v>42481</v>
      </c>
      <c r="AG125" s="4">
        <f t="shared" ca="1" si="24"/>
        <v>33.333333333333336</v>
      </c>
      <c r="AH125" s="4">
        <f t="shared" si="25"/>
        <v>0.55555555555555558</v>
      </c>
      <c r="AI125">
        <f t="shared" ca="1" si="26"/>
        <v>0</v>
      </c>
      <c r="AJ125">
        <f t="shared" ca="1" si="27"/>
        <v>0</v>
      </c>
      <c r="AK125">
        <f t="shared" ca="1" si="28"/>
        <v>0</v>
      </c>
      <c r="AL125" t="s">
        <v>326</v>
      </c>
      <c r="AO125" t="s">
        <v>76</v>
      </c>
      <c r="AP125" t="s">
        <v>6510</v>
      </c>
      <c r="AQ125" t="s">
        <v>6510</v>
      </c>
      <c r="AR125" t="s">
        <v>6510</v>
      </c>
      <c r="AS125" t="s">
        <v>6510</v>
      </c>
    </row>
    <row r="126" spans="1:45" x14ac:dyDescent="0.3">
      <c r="A126" t="s">
        <v>5630</v>
      </c>
      <c r="B126">
        <f t="shared" si="15"/>
        <v>200124</v>
      </c>
      <c r="C126">
        <v>200032</v>
      </c>
      <c r="D126" t="str">
        <f t="shared" si="16"/>
        <v>rg:{'id': '200032'}</v>
      </c>
      <c r="E126">
        <f>VLOOKUP(C126,Owners.csv!C:J,6,FALSE)</f>
        <v>200001</v>
      </c>
      <c r="F126" t="str">
        <f>VLOOKUP(VLOOKUP(E126,LocalAreas.csv!I:K,3,FALSE),ServiceAreas.csv!F:J,5,FALSE)</f>
        <v>200009</v>
      </c>
      <c r="G126" t="str">
        <f t="shared" si="17"/>
        <v>rg:{'id': '200001'}</v>
      </c>
      <c r="H126" t="s">
        <v>7659</v>
      </c>
      <c r="I126" t="s">
        <v>5651</v>
      </c>
      <c r="J126">
        <f>VLOOKUP(I126&amp;"-"&amp;F126,DistrictEquipmentTypes.csv!J:K,2,FALSE)</f>
        <v>200006</v>
      </c>
      <c r="K126" t="str">
        <f t="shared" si="18"/>
        <v>rg:{'id': '200006'}</v>
      </c>
      <c r="L126">
        <f t="shared" si="19"/>
        <v>2</v>
      </c>
      <c r="M126" t="str">
        <f>VLOOKUP(C126,Owners.csv!C:K,9,FALSE)&amp;TEXT(Equipment.csv!L126,"0000")</f>
        <v>GASD0002</v>
      </c>
      <c r="N126" t="s">
        <v>5401</v>
      </c>
      <c r="O126" t="s">
        <v>6760</v>
      </c>
      <c r="P126">
        <v>1982</v>
      </c>
      <c r="Q126">
        <v>102</v>
      </c>
      <c r="R126" t="s">
        <v>6663</v>
      </c>
      <c r="S126" s="1">
        <v>39905</v>
      </c>
      <c r="T126" s="1">
        <v>39930</v>
      </c>
      <c r="U126" t="str">
        <f t="shared" ca="1" si="20"/>
        <v>rg:False</v>
      </c>
      <c r="V126" t="str">
        <f t="shared" ca="1" si="21"/>
        <v>rg:None</v>
      </c>
      <c r="W126" t="s">
        <v>7158</v>
      </c>
      <c r="X126" t="s">
        <v>76</v>
      </c>
      <c r="Y126" t="s">
        <v>76</v>
      </c>
      <c r="Z126" t="s">
        <v>76</v>
      </c>
      <c r="AA126" t="s">
        <v>7505</v>
      </c>
      <c r="AB126" t="s">
        <v>7341</v>
      </c>
      <c r="AC126">
        <v>0</v>
      </c>
      <c r="AD126" t="str">
        <f t="shared" ca="1" si="22"/>
        <v>rg:False</v>
      </c>
      <c r="AE126" t="str">
        <f t="shared" ca="1" si="29"/>
        <v>rg:None</v>
      </c>
      <c r="AF126" s="1">
        <v>42481</v>
      </c>
      <c r="AG126" s="4">
        <f t="shared" ca="1" si="24"/>
        <v>552.66666666666674</v>
      </c>
      <c r="AH126" s="4">
        <f t="shared" si="25"/>
        <v>6.927777777777778</v>
      </c>
      <c r="AI126">
        <f t="shared" ca="1" si="26"/>
        <v>81</v>
      </c>
      <c r="AJ126">
        <f t="shared" ca="1" si="27"/>
        <v>194</v>
      </c>
      <c r="AK126">
        <f t="shared" ca="1" si="28"/>
        <v>136</v>
      </c>
      <c r="AL126" t="s">
        <v>326</v>
      </c>
      <c r="AO126" t="s">
        <v>76</v>
      </c>
      <c r="AP126" t="s">
        <v>6510</v>
      </c>
      <c r="AQ126" t="s">
        <v>6510</v>
      </c>
      <c r="AR126" t="s">
        <v>6510</v>
      </c>
      <c r="AS126" t="s">
        <v>6510</v>
      </c>
    </row>
    <row r="127" spans="1:45" x14ac:dyDescent="0.3">
      <c r="A127" t="s">
        <v>5630</v>
      </c>
      <c r="B127">
        <f t="shared" si="15"/>
        <v>200125</v>
      </c>
      <c r="C127">
        <v>200032</v>
      </c>
      <c r="D127" t="str">
        <f t="shared" si="16"/>
        <v>rg:{'id': '200032'}</v>
      </c>
      <c r="E127">
        <f>VLOOKUP(C127,Owners.csv!C:J,6,FALSE)</f>
        <v>200001</v>
      </c>
      <c r="F127" t="str">
        <f>VLOOKUP(VLOOKUP(E127,LocalAreas.csv!I:K,3,FALSE),ServiceAreas.csv!F:J,5,FALSE)</f>
        <v>200009</v>
      </c>
      <c r="G127" t="str">
        <f t="shared" si="17"/>
        <v>rg:{'id': '200001'}</v>
      </c>
      <c r="H127" t="s">
        <v>7673</v>
      </c>
      <c r="I127" t="s">
        <v>5637</v>
      </c>
      <c r="J127">
        <f>VLOOKUP(I127&amp;"-"&amp;F127,DistrictEquipmentTypes.csv!J:K,2,FALSE)</f>
        <v>200001</v>
      </c>
      <c r="K127" t="str">
        <f t="shared" si="18"/>
        <v>rg:{'id': '200001'}</v>
      </c>
      <c r="L127">
        <f t="shared" si="19"/>
        <v>3</v>
      </c>
      <c r="M127" t="str">
        <f>VLOOKUP(C127,Owners.csv!C:K,9,FALSE)&amp;TEXT(Equipment.csv!L127,"0000")</f>
        <v>GASD0003</v>
      </c>
      <c r="N127" t="s">
        <v>5401</v>
      </c>
      <c r="O127" t="s">
        <v>6780</v>
      </c>
      <c r="P127">
        <v>2016</v>
      </c>
      <c r="Q127">
        <v>122</v>
      </c>
      <c r="R127" t="s">
        <v>6663</v>
      </c>
      <c r="S127" s="1">
        <v>41406</v>
      </c>
      <c r="T127" s="1">
        <v>41429</v>
      </c>
      <c r="U127" t="str">
        <f t="shared" ca="1" si="20"/>
        <v>rg:False</v>
      </c>
      <c r="V127" t="str">
        <f t="shared" ca="1" si="21"/>
        <v>rg:None</v>
      </c>
      <c r="W127" t="s">
        <v>7178</v>
      </c>
      <c r="X127" t="s">
        <v>76</v>
      </c>
      <c r="Y127" t="s">
        <v>76</v>
      </c>
      <c r="Z127" t="s">
        <v>76</v>
      </c>
      <c r="AA127" t="s">
        <v>7525</v>
      </c>
      <c r="AB127" t="s">
        <v>7335</v>
      </c>
      <c r="AC127">
        <v>0</v>
      </c>
      <c r="AD127" t="str">
        <f t="shared" ca="1" si="22"/>
        <v>rg:False</v>
      </c>
      <c r="AE127" t="str">
        <f t="shared" ca="1" si="29"/>
        <v>rg:None</v>
      </c>
      <c r="AF127" s="1">
        <v>42481</v>
      </c>
      <c r="AG127" s="4">
        <f t="shared" ca="1" si="24"/>
        <v>177.08333333333331</v>
      </c>
      <c r="AH127" s="4">
        <f t="shared" si="25"/>
        <v>2.8250000000000002</v>
      </c>
      <c r="AI127">
        <f t="shared" ca="1" si="26"/>
        <v>172</v>
      </c>
      <c r="AJ127">
        <f t="shared" ca="1" si="27"/>
        <v>105</v>
      </c>
      <c r="AK127">
        <f t="shared" ca="1" si="28"/>
        <v>0</v>
      </c>
      <c r="AL127" t="s">
        <v>326</v>
      </c>
      <c r="AO127" t="s">
        <v>76</v>
      </c>
      <c r="AP127" t="s">
        <v>6510</v>
      </c>
      <c r="AQ127" t="s">
        <v>6510</v>
      </c>
      <c r="AR127" t="s">
        <v>6510</v>
      </c>
      <c r="AS127" t="s">
        <v>6510</v>
      </c>
    </row>
    <row r="128" spans="1:45" x14ac:dyDescent="0.3">
      <c r="A128" t="s">
        <v>5630</v>
      </c>
      <c r="B128">
        <f t="shared" si="15"/>
        <v>200126</v>
      </c>
      <c r="C128">
        <v>200032</v>
      </c>
      <c r="D128" t="str">
        <f t="shared" si="16"/>
        <v>rg:{'id': '200032'}</v>
      </c>
      <c r="E128">
        <f>VLOOKUP(C128,Owners.csv!C:J,6,FALSE)</f>
        <v>200001</v>
      </c>
      <c r="F128" t="str">
        <f>VLOOKUP(VLOOKUP(E128,LocalAreas.csv!I:K,3,FALSE),ServiceAreas.csv!F:J,5,FALSE)</f>
        <v>200009</v>
      </c>
      <c r="G128" t="str">
        <f t="shared" si="17"/>
        <v>rg:{'id': '200001'}</v>
      </c>
      <c r="H128" t="s">
        <v>7667</v>
      </c>
      <c r="I128" t="s">
        <v>5536</v>
      </c>
      <c r="J128">
        <f>VLOOKUP(I128&amp;"-"&amp;F128,DistrictEquipmentTypes.csv!J:K,2,FALSE)</f>
        <v>200000</v>
      </c>
      <c r="K128" t="str">
        <f t="shared" si="18"/>
        <v>rg:{'id': '200000'}</v>
      </c>
      <c r="L128">
        <f t="shared" si="19"/>
        <v>4</v>
      </c>
      <c r="M128" t="str">
        <f>VLOOKUP(C128,Owners.csv!C:K,9,FALSE)&amp;TEXT(Equipment.csv!L128,"0000")</f>
        <v>GASD0004</v>
      </c>
      <c r="N128" t="s">
        <v>5401</v>
      </c>
      <c r="O128" t="s">
        <v>6795</v>
      </c>
      <c r="P128">
        <v>1975</v>
      </c>
      <c r="Q128">
        <v>137</v>
      </c>
      <c r="R128" t="s">
        <v>6663</v>
      </c>
      <c r="S128" s="1">
        <v>39032</v>
      </c>
      <c r="T128" s="1">
        <v>39035</v>
      </c>
      <c r="U128" t="str">
        <f t="shared" ca="1" si="20"/>
        <v>rg:False</v>
      </c>
      <c r="V128" t="str">
        <f t="shared" ca="1" si="21"/>
        <v>rg:None</v>
      </c>
      <c r="W128" t="s">
        <v>7193</v>
      </c>
      <c r="X128" t="s">
        <v>76</v>
      </c>
      <c r="Y128" t="s">
        <v>76</v>
      </c>
      <c r="Z128" t="s">
        <v>76</v>
      </c>
      <c r="AA128" t="s">
        <v>7540</v>
      </c>
      <c r="AB128" t="s">
        <v>7366</v>
      </c>
      <c r="AC128">
        <v>0</v>
      </c>
      <c r="AD128" t="str">
        <f t="shared" ca="1" si="22"/>
        <v>rg:False</v>
      </c>
      <c r="AE128" t="str">
        <f t="shared" ca="1" si="29"/>
        <v>rg:None</v>
      </c>
      <c r="AF128" s="1">
        <v>42481</v>
      </c>
      <c r="AG128" s="4">
        <f t="shared" ca="1" si="24"/>
        <v>338.75</v>
      </c>
      <c r="AH128" s="4">
        <f t="shared" si="25"/>
        <v>9.3805555555555564</v>
      </c>
      <c r="AI128">
        <f t="shared" ca="1" si="26"/>
        <v>37</v>
      </c>
      <c r="AJ128">
        <f t="shared" ca="1" si="27"/>
        <v>126</v>
      </c>
      <c r="AK128">
        <f t="shared" ca="1" si="28"/>
        <v>9</v>
      </c>
      <c r="AL128" t="s">
        <v>326</v>
      </c>
      <c r="AO128" t="s">
        <v>76</v>
      </c>
      <c r="AP128" t="s">
        <v>6510</v>
      </c>
      <c r="AQ128" t="s">
        <v>6510</v>
      </c>
      <c r="AR128" t="s">
        <v>6510</v>
      </c>
      <c r="AS128" t="s">
        <v>6510</v>
      </c>
    </row>
    <row r="129" spans="1:45" x14ac:dyDescent="0.3">
      <c r="A129" t="s">
        <v>5630</v>
      </c>
      <c r="B129">
        <f t="shared" si="15"/>
        <v>200127</v>
      </c>
      <c r="C129">
        <v>200033</v>
      </c>
      <c r="D129" t="str">
        <f t="shared" si="16"/>
        <v>rg:{'id': '200033'}</v>
      </c>
      <c r="E129">
        <f>VLOOKUP(C129,Owners.csv!C:J,6,FALSE)</f>
        <v>200001</v>
      </c>
      <c r="F129" t="str">
        <f>VLOOKUP(VLOOKUP(E129,LocalAreas.csv!I:K,3,FALSE),ServiceAreas.csv!F:J,5,FALSE)</f>
        <v>200009</v>
      </c>
      <c r="G129" t="str">
        <f t="shared" si="17"/>
        <v>rg:{'id': '200001'}</v>
      </c>
      <c r="H129" t="s">
        <v>7708</v>
      </c>
      <c r="I129" t="s">
        <v>5651</v>
      </c>
      <c r="J129">
        <f>VLOOKUP(I129&amp;"-"&amp;F129,DistrictEquipmentTypes.csv!J:K,2,FALSE)</f>
        <v>200006</v>
      </c>
      <c r="K129" t="str">
        <f t="shared" si="18"/>
        <v>rg:{'id': '200006'}</v>
      </c>
      <c r="L129">
        <f t="shared" si="19"/>
        <v>1</v>
      </c>
      <c r="M129" t="str">
        <f>VLOOKUP(C129,Owners.csv!C:K,9,FALSE)&amp;TEXT(Equipment.csv!L129,"0000")</f>
        <v>GERI0001</v>
      </c>
      <c r="N129" t="s">
        <v>5401</v>
      </c>
      <c r="O129" t="s">
        <v>6741</v>
      </c>
      <c r="P129">
        <v>2003</v>
      </c>
      <c r="Q129">
        <v>83</v>
      </c>
      <c r="R129" t="s">
        <v>6663</v>
      </c>
      <c r="S129" s="1">
        <v>41663</v>
      </c>
      <c r="T129" s="1">
        <v>41682</v>
      </c>
      <c r="U129" t="str">
        <f t="shared" ca="1" si="20"/>
        <v>rg:False</v>
      </c>
      <c r="V129" t="str">
        <f t="shared" ca="1" si="21"/>
        <v>rg:None</v>
      </c>
      <c r="W129" t="s">
        <v>7139</v>
      </c>
      <c r="X129" t="s">
        <v>76</v>
      </c>
      <c r="Y129" t="s">
        <v>76</v>
      </c>
      <c r="Z129" t="s">
        <v>76</v>
      </c>
      <c r="AA129" t="s">
        <v>7486</v>
      </c>
      <c r="AB129" t="s">
        <v>7327</v>
      </c>
      <c r="AC129">
        <v>0</v>
      </c>
      <c r="AD129" t="str">
        <f t="shared" ca="1" si="22"/>
        <v>rg:False</v>
      </c>
      <c r="AE129" t="str">
        <f t="shared" ca="1" si="29"/>
        <v>rg:None</v>
      </c>
      <c r="AF129" s="1">
        <v>42481</v>
      </c>
      <c r="AG129" s="4">
        <f t="shared" ca="1" si="24"/>
        <v>208.16666666666666</v>
      </c>
      <c r="AH129" s="4">
        <f t="shared" si="25"/>
        <v>2.1361111111111111</v>
      </c>
      <c r="AI129">
        <f t="shared" ca="1" si="26"/>
        <v>163</v>
      </c>
      <c r="AJ129">
        <f t="shared" ca="1" si="27"/>
        <v>77</v>
      </c>
      <c r="AK129">
        <f t="shared" ca="1" si="28"/>
        <v>0</v>
      </c>
      <c r="AL129" t="s">
        <v>326</v>
      </c>
      <c r="AO129" t="s">
        <v>76</v>
      </c>
      <c r="AP129" t="s">
        <v>6510</v>
      </c>
      <c r="AQ129" t="s">
        <v>6510</v>
      </c>
      <c r="AR129" t="s">
        <v>6510</v>
      </c>
      <c r="AS129" t="s">
        <v>6510</v>
      </c>
    </row>
    <row r="130" spans="1:45" x14ac:dyDescent="0.3">
      <c r="A130" t="s">
        <v>5630</v>
      </c>
      <c r="B130">
        <f t="shared" ref="B130:B193" si="30">IF(ISNUMBER(B129),B129+1,200000)</f>
        <v>200128</v>
      </c>
      <c r="C130">
        <v>200033</v>
      </c>
      <c r="D130" t="str">
        <f t="shared" ref="D130:D193" si="31">"rg:{'id': '"&amp;C130&amp;"'}"</f>
        <v>rg:{'id': '200033'}</v>
      </c>
      <c r="E130">
        <f>VLOOKUP(C130,Owners.csv!C:J,6,FALSE)</f>
        <v>200001</v>
      </c>
      <c r="F130" t="str">
        <f>VLOOKUP(VLOOKUP(E130,LocalAreas.csv!I:K,3,FALSE),ServiceAreas.csv!F:J,5,FALSE)</f>
        <v>200009</v>
      </c>
      <c r="G130" t="str">
        <f t="shared" ref="G130:G193" si="32">"rg:{'id': '"&amp;E130&amp;"'}"</f>
        <v>rg:{'id': '200001'}</v>
      </c>
      <c r="H130" t="s">
        <v>7721</v>
      </c>
      <c r="I130" t="s">
        <v>5651</v>
      </c>
      <c r="J130">
        <f>VLOOKUP(I130&amp;"-"&amp;F130,DistrictEquipmentTypes.csv!J:K,2,FALSE)</f>
        <v>200006</v>
      </c>
      <c r="K130" t="str">
        <f t="shared" ref="K130:K193" si="33">"rg:{'id': '"&amp;J130&amp;"'}"</f>
        <v>rg:{'id': '200006'}</v>
      </c>
      <c r="L130">
        <f t="shared" ref="L130:L193" si="34">IF(C130=C129,L129+1,1)</f>
        <v>2</v>
      </c>
      <c r="M130" t="str">
        <f>VLOOKUP(C130,Owners.csv!C:K,9,FALSE)&amp;TEXT(Equipment.csv!L130,"0000")</f>
        <v>GERI0002</v>
      </c>
      <c r="N130" t="s">
        <v>5401</v>
      </c>
      <c r="O130" t="s">
        <v>6761</v>
      </c>
      <c r="P130">
        <v>1997</v>
      </c>
      <c r="Q130">
        <v>103</v>
      </c>
      <c r="R130" t="s">
        <v>6663</v>
      </c>
      <c r="S130" s="1">
        <v>40478</v>
      </c>
      <c r="T130" s="1">
        <v>40479</v>
      </c>
      <c r="U130" t="str">
        <f t="shared" ref="U130:U193" ca="1" si="35">IF(RANDBETWEEN(1,10)&gt;1,"rg:False","rg:True")</f>
        <v>rg:False</v>
      </c>
      <c r="V130" t="str">
        <f t="shared" ref="V130:V193" ca="1" si="36">IF(U130="rg:True","This equipment should be archived","rg:None")</f>
        <v>rg:None</v>
      </c>
      <c r="W130" t="s">
        <v>7159</v>
      </c>
      <c r="X130" t="s">
        <v>76</v>
      </c>
      <c r="Y130" t="s">
        <v>76</v>
      </c>
      <c r="Z130" t="s">
        <v>76</v>
      </c>
      <c r="AA130" t="s">
        <v>7506</v>
      </c>
      <c r="AB130" t="s">
        <v>7342</v>
      </c>
      <c r="AC130">
        <v>0</v>
      </c>
      <c r="AD130" t="str">
        <f t="shared" ref="AD130:AD193" ca="1" si="37">IF(RANDBETWEEN(1,20)&gt;1,"rg:False","rg:True")</f>
        <v>rg:False</v>
      </c>
      <c r="AE130" t="str">
        <f t="shared" ref="AE130:AE161" ca="1" si="38">IF(AD130="rg:True","Seniority overridden to test things","rg:None")</f>
        <v>rg:None</v>
      </c>
      <c r="AF130" s="1">
        <v>42481</v>
      </c>
      <c r="AG130" s="4">
        <f t="shared" ref="AG130:AG193" ca="1" si="39">IF(I130="Dump Truck",60,30)*AH130+(AVERAGE(AI130:AK130))</f>
        <v>417.83333333333331</v>
      </c>
      <c r="AH130" s="4">
        <f t="shared" ref="AH130:AH193" si="40">YEARFRAC(DATE("2016","4","1"),T130)</f>
        <v>5.4249999999999998</v>
      </c>
      <c r="AI130">
        <f t="shared" ref="AI130:AI193" ca="1" si="41">IF(AH130&lt;1,0,RANDBETWEEN(0,200))</f>
        <v>122</v>
      </c>
      <c r="AJ130">
        <f t="shared" ref="AJ130:AJ193" ca="1" si="42">IF(AH130&lt;2,0,RANDBETWEEN(0,200))</f>
        <v>86</v>
      </c>
      <c r="AK130">
        <f t="shared" ref="AK130:AK193" ca="1" si="43">IF(AH130&lt;3,0,RANDBETWEEN(0,200))</f>
        <v>69</v>
      </c>
      <c r="AL130" t="s">
        <v>326</v>
      </c>
      <c r="AO130" t="s">
        <v>76</v>
      </c>
      <c r="AP130" t="s">
        <v>6510</v>
      </c>
      <c r="AQ130" t="s">
        <v>6510</v>
      </c>
      <c r="AR130" t="s">
        <v>6510</v>
      </c>
      <c r="AS130" t="s">
        <v>6510</v>
      </c>
    </row>
    <row r="131" spans="1:45" x14ac:dyDescent="0.3">
      <c r="A131" t="s">
        <v>5630</v>
      </c>
      <c r="B131">
        <f t="shared" si="30"/>
        <v>200129</v>
      </c>
      <c r="C131">
        <v>200034</v>
      </c>
      <c r="D131" t="str">
        <f t="shared" si="31"/>
        <v>rg:{'id': '200034'}</v>
      </c>
      <c r="E131">
        <f>VLOOKUP(C131,Owners.csv!C:J,6,FALSE)</f>
        <v>200001</v>
      </c>
      <c r="F131" t="str">
        <f>VLOOKUP(VLOOKUP(E131,LocalAreas.csv!I:K,3,FALSE),ServiceAreas.csv!F:J,5,FALSE)</f>
        <v>200009</v>
      </c>
      <c r="G131" t="str">
        <f t="shared" si="32"/>
        <v>rg:{'id': '200001'}</v>
      </c>
      <c r="H131" t="s">
        <v>7679</v>
      </c>
      <c r="I131" t="s">
        <v>5651</v>
      </c>
      <c r="J131">
        <f>VLOOKUP(I131&amp;"-"&amp;F131,DistrictEquipmentTypes.csv!J:K,2,FALSE)</f>
        <v>200006</v>
      </c>
      <c r="K131" t="str">
        <f t="shared" si="33"/>
        <v>rg:{'id': '200006'}</v>
      </c>
      <c r="L131">
        <f t="shared" si="34"/>
        <v>1</v>
      </c>
      <c r="M131" t="str">
        <f>VLOOKUP(C131,Owners.csv!C:K,9,FALSE)&amp;TEXT(Equipment.csv!L131,"0000")</f>
        <v>GRAS0001</v>
      </c>
      <c r="N131" t="s">
        <v>5401</v>
      </c>
      <c r="O131" t="s">
        <v>6742</v>
      </c>
      <c r="P131">
        <v>2012</v>
      </c>
      <c r="Q131">
        <v>84</v>
      </c>
      <c r="R131" t="s">
        <v>6663</v>
      </c>
      <c r="S131" s="1">
        <v>38931</v>
      </c>
      <c r="T131" s="1">
        <v>38940</v>
      </c>
      <c r="U131" t="str">
        <f t="shared" ca="1" si="35"/>
        <v>rg:False</v>
      </c>
      <c r="V131" t="str">
        <f t="shared" ca="1" si="36"/>
        <v>rg:None</v>
      </c>
      <c r="W131" t="s">
        <v>7140</v>
      </c>
      <c r="X131" t="s">
        <v>76</v>
      </c>
      <c r="Y131" t="s">
        <v>76</v>
      </c>
      <c r="Z131" t="s">
        <v>76</v>
      </c>
      <c r="AA131" t="s">
        <v>7487</v>
      </c>
      <c r="AB131" t="s">
        <v>7328</v>
      </c>
      <c r="AC131">
        <v>0</v>
      </c>
      <c r="AD131" t="str">
        <f t="shared" ca="1" si="37"/>
        <v>rg:False</v>
      </c>
      <c r="AE131" t="str">
        <f t="shared" ca="1" si="38"/>
        <v>rg:None</v>
      </c>
      <c r="AF131" s="1">
        <v>42481</v>
      </c>
      <c r="AG131" s="4">
        <f t="shared" ca="1" si="39"/>
        <v>699.66666666666674</v>
      </c>
      <c r="AH131" s="4">
        <f t="shared" si="40"/>
        <v>9.6388888888888893</v>
      </c>
      <c r="AI131">
        <f t="shared" ca="1" si="41"/>
        <v>148</v>
      </c>
      <c r="AJ131">
        <f t="shared" ca="1" si="42"/>
        <v>40</v>
      </c>
      <c r="AK131">
        <f t="shared" ca="1" si="43"/>
        <v>176</v>
      </c>
      <c r="AL131" t="s">
        <v>326</v>
      </c>
      <c r="AO131" t="s">
        <v>76</v>
      </c>
      <c r="AP131" t="s">
        <v>6510</v>
      </c>
      <c r="AQ131" t="s">
        <v>6510</v>
      </c>
      <c r="AR131" t="s">
        <v>6510</v>
      </c>
      <c r="AS131" t="s">
        <v>6510</v>
      </c>
    </row>
    <row r="132" spans="1:45" x14ac:dyDescent="0.3">
      <c r="A132" t="s">
        <v>5630</v>
      </c>
      <c r="B132">
        <f t="shared" si="30"/>
        <v>200130</v>
      </c>
      <c r="C132">
        <v>200034</v>
      </c>
      <c r="D132" t="str">
        <f t="shared" si="31"/>
        <v>rg:{'id': '200034'}</v>
      </c>
      <c r="E132">
        <f>VLOOKUP(C132,Owners.csv!C:J,6,FALSE)</f>
        <v>200001</v>
      </c>
      <c r="F132" t="str">
        <f>VLOOKUP(VLOOKUP(E132,LocalAreas.csv!I:K,3,FALSE),ServiceAreas.csv!F:J,5,FALSE)</f>
        <v>200009</v>
      </c>
      <c r="G132" t="str">
        <f t="shared" si="32"/>
        <v>rg:{'id': '200001'}</v>
      </c>
      <c r="H132" t="s">
        <v>7722</v>
      </c>
      <c r="I132" t="s">
        <v>5651</v>
      </c>
      <c r="J132">
        <f>VLOOKUP(I132&amp;"-"&amp;F132,DistrictEquipmentTypes.csv!J:K,2,FALSE)</f>
        <v>200006</v>
      </c>
      <c r="K132" t="str">
        <f t="shared" si="33"/>
        <v>rg:{'id': '200006'}</v>
      </c>
      <c r="L132">
        <f t="shared" si="34"/>
        <v>2</v>
      </c>
      <c r="M132" t="str">
        <f>VLOOKUP(C132,Owners.csv!C:K,9,FALSE)&amp;TEXT(Equipment.csv!L132,"0000")</f>
        <v>GRAS0002</v>
      </c>
      <c r="N132" t="s">
        <v>5401</v>
      </c>
      <c r="O132" t="s">
        <v>6762</v>
      </c>
      <c r="P132">
        <v>2006</v>
      </c>
      <c r="Q132">
        <v>104</v>
      </c>
      <c r="R132" t="s">
        <v>6663</v>
      </c>
      <c r="S132" s="1">
        <v>37953</v>
      </c>
      <c r="T132" s="1">
        <v>37961</v>
      </c>
      <c r="U132" t="str">
        <f t="shared" ca="1" si="35"/>
        <v>rg:False</v>
      </c>
      <c r="V132" t="str">
        <f t="shared" ca="1" si="36"/>
        <v>rg:None</v>
      </c>
      <c r="W132" t="s">
        <v>7160</v>
      </c>
      <c r="X132" t="s">
        <v>76</v>
      </c>
      <c r="Y132" t="s">
        <v>76</v>
      </c>
      <c r="Z132" t="s">
        <v>76</v>
      </c>
      <c r="AA132" t="s">
        <v>7507</v>
      </c>
      <c r="AB132" t="s">
        <v>7343</v>
      </c>
      <c r="AC132">
        <v>0</v>
      </c>
      <c r="AD132" t="str">
        <f t="shared" ca="1" si="37"/>
        <v>rg:False</v>
      </c>
      <c r="AE132" t="str">
        <f t="shared" ca="1" si="38"/>
        <v>rg:None</v>
      </c>
      <c r="AF132" s="1">
        <v>42481</v>
      </c>
      <c r="AG132" s="4">
        <f t="shared" ca="1" si="39"/>
        <v>814.16666666666663</v>
      </c>
      <c r="AH132" s="4">
        <f t="shared" si="40"/>
        <v>12.319444444444445</v>
      </c>
      <c r="AI132">
        <f t="shared" ca="1" si="41"/>
        <v>162</v>
      </c>
      <c r="AJ132">
        <f t="shared" ca="1" si="42"/>
        <v>39</v>
      </c>
      <c r="AK132">
        <f t="shared" ca="1" si="43"/>
        <v>24</v>
      </c>
      <c r="AL132" t="s">
        <v>326</v>
      </c>
      <c r="AO132" t="s">
        <v>76</v>
      </c>
      <c r="AP132" t="s">
        <v>6510</v>
      </c>
      <c r="AQ132" t="s">
        <v>6510</v>
      </c>
      <c r="AR132" t="s">
        <v>6510</v>
      </c>
      <c r="AS132" t="s">
        <v>6510</v>
      </c>
    </row>
    <row r="133" spans="1:45" x14ac:dyDescent="0.3">
      <c r="A133" t="s">
        <v>5630</v>
      </c>
      <c r="B133">
        <f t="shared" si="30"/>
        <v>200131</v>
      </c>
      <c r="C133">
        <v>200035</v>
      </c>
      <c r="D133" t="str">
        <f t="shared" si="31"/>
        <v>rg:{'id': '200035'}</v>
      </c>
      <c r="E133">
        <f>VLOOKUP(C133,Owners.csv!C:J,6,FALSE)</f>
        <v>200001</v>
      </c>
      <c r="F133" t="str">
        <f>VLOOKUP(VLOOKUP(E133,LocalAreas.csv!I:K,3,FALSE),ServiceAreas.csv!F:J,5,FALSE)</f>
        <v>200009</v>
      </c>
      <c r="G133" t="str">
        <f t="shared" si="32"/>
        <v>rg:{'id': '200001'}</v>
      </c>
      <c r="H133" t="s">
        <v>7709</v>
      </c>
      <c r="I133" t="s">
        <v>5651</v>
      </c>
      <c r="J133">
        <f>VLOOKUP(I133&amp;"-"&amp;F133,DistrictEquipmentTypes.csv!J:K,2,FALSE)</f>
        <v>200006</v>
      </c>
      <c r="K133" t="str">
        <f t="shared" si="33"/>
        <v>rg:{'id': '200006'}</v>
      </c>
      <c r="L133">
        <f t="shared" si="34"/>
        <v>1</v>
      </c>
      <c r="M133" t="str">
        <f>VLOOKUP(C133,Owners.csv!C:K,9,FALSE)&amp;TEXT(Equipment.csv!L133,"0000")</f>
        <v>GREA0001</v>
      </c>
      <c r="N133" t="s">
        <v>5401</v>
      </c>
      <c r="O133" t="s">
        <v>6743</v>
      </c>
      <c r="P133">
        <v>1982</v>
      </c>
      <c r="Q133">
        <v>85</v>
      </c>
      <c r="R133" t="s">
        <v>6663</v>
      </c>
      <c r="S133" s="1">
        <v>39211</v>
      </c>
      <c r="T133" s="1">
        <v>39222</v>
      </c>
      <c r="U133" t="str">
        <f t="shared" ca="1" si="35"/>
        <v>rg:False</v>
      </c>
      <c r="V133" t="str">
        <f t="shared" ca="1" si="36"/>
        <v>rg:None</v>
      </c>
      <c r="W133" t="s">
        <v>7141</v>
      </c>
      <c r="X133" t="s">
        <v>76</v>
      </c>
      <c r="Y133" t="s">
        <v>76</v>
      </c>
      <c r="Z133" t="s">
        <v>76</v>
      </c>
      <c r="AA133" t="s">
        <v>7488</v>
      </c>
      <c r="AB133" t="s">
        <v>7329</v>
      </c>
      <c r="AC133">
        <v>0</v>
      </c>
      <c r="AD133" t="str">
        <f t="shared" ca="1" si="37"/>
        <v>rg:False</v>
      </c>
      <c r="AE133" t="str">
        <f t="shared" ca="1" si="38"/>
        <v>rg:None</v>
      </c>
      <c r="AF133" s="1">
        <v>42481</v>
      </c>
      <c r="AG133" s="4">
        <f t="shared" ca="1" si="39"/>
        <v>602.5</v>
      </c>
      <c r="AH133" s="4">
        <f t="shared" si="40"/>
        <v>8.8638888888888889</v>
      </c>
      <c r="AI133">
        <f t="shared" ca="1" si="41"/>
        <v>24</v>
      </c>
      <c r="AJ133">
        <f t="shared" ca="1" si="42"/>
        <v>5</v>
      </c>
      <c r="AK133">
        <f t="shared" ca="1" si="43"/>
        <v>183</v>
      </c>
      <c r="AL133" t="s">
        <v>326</v>
      </c>
      <c r="AO133" t="s">
        <v>76</v>
      </c>
      <c r="AP133" t="s">
        <v>6510</v>
      </c>
      <c r="AQ133" t="s">
        <v>6510</v>
      </c>
      <c r="AR133" t="s">
        <v>6510</v>
      </c>
      <c r="AS133" t="s">
        <v>6510</v>
      </c>
    </row>
    <row r="134" spans="1:45" x14ac:dyDescent="0.3">
      <c r="A134" t="s">
        <v>5630</v>
      </c>
      <c r="B134">
        <f t="shared" si="30"/>
        <v>200132</v>
      </c>
      <c r="C134">
        <v>200035</v>
      </c>
      <c r="D134" t="str">
        <f t="shared" si="31"/>
        <v>rg:{'id': '200035'}</v>
      </c>
      <c r="E134">
        <f>VLOOKUP(C134,Owners.csv!C:J,6,FALSE)</f>
        <v>200001</v>
      </c>
      <c r="F134" t="str">
        <f>VLOOKUP(VLOOKUP(E134,LocalAreas.csv!I:K,3,FALSE),ServiceAreas.csv!F:J,5,FALSE)</f>
        <v>200009</v>
      </c>
      <c r="G134" t="str">
        <f t="shared" si="32"/>
        <v>rg:{'id': '200001'}</v>
      </c>
      <c r="H134" t="s">
        <v>7723</v>
      </c>
      <c r="I134" t="s">
        <v>5651</v>
      </c>
      <c r="J134">
        <f>VLOOKUP(I134&amp;"-"&amp;F134,DistrictEquipmentTypes.csv!J:K,2,FALSE)</f>
        <v>200006</v>
      </c>
      <c r="K134" t="str">
        <f t="shared" si="33"/>
        <v>rg:{'id': '200006'}</v>
      </c>
      <c r="L134">
        <f t="shared" si="34"/>
        <v>2</v>
      </c>
      <c r="M134" t="str">
        <f>VLOOKUP(C134,Owners.csv!C:K,9,FALSE)&amp;TEXT(Equipment.csv!L134,"0000")</f>
        <v>GREA0002</v>
      </c>
      <c r="N134" t="s">
        <v>5401</v>
      </c>
      <c r="O134" t="s">
        <v>6763</v>
      </c>
      <c r="P134">
        <v>1992</v>
      </c>
      <c r="Q134">
        <v>105</v>
      </c>
      <c r="R134" t="s">
        <v>6663</v>
      </c>
      <c r="S134" s="1">
        <v>39654</v>
      </c>
      <c r="T134" s="1">
        <v>39671</v>
      </c>
      <c r="U134" t="str">
        <f t="shared" ca="1" si="35"/>
        <v>rg:False</v>
      </c>
      <c r="V134" t="str">
        <f t="shared" ca="1" si="36"/>
        <v>rg:None</v>
      </c>
      <c r="W134" t="s">
        <v>7161</v>
      </c>
      <c r="X134" t="s">
        <v>76</v>
      </c>
      <c r="Y134" t="s">
        <v>76</v>
      </c>
      <c r="Z134" t="s">
        <v>76</v>
      </c>
      <c r="AA134" t="s">
        <v>7508</v>
      </c>
      <c r="AB134" t="s">
        <v>7344</v>
      </c>
      <c r="AC134">
        <v>0</v>
      </c>
      <c r="AD134" t="str">
        <f t="shared" ca="1" si="37"/>
        <v>rg:False</v>
      </c>
      <c r="AE134" t="str">
        <f t="shared" ca="1" si="38"/>
        <v>rg:None</v>
      </c>
      <c r="AF134" s="1">
        <v>42481</v>
      </c>
      <c r="AG134" s="4">
        <f t="shared" ca="1" si="39"/>
        <v>559.66666666666674</v>
      </c>
      <c r="AH134" s="4">
        <f t="shared" si="40"/>
        <v>7.6388888888888893</v>
      </c>
      <c r="AI134">
        <f t="shared" ca="1" si="41"/>
        <v>131</v>
      </c>
      <c r="AJ134">
        <f t="shared" ca="1" si="42"/>
        <v>112</v>
      </c>
      <c r="AK134">
        <f t="shared" ca="1" si="43"/>
        <v>61</v>
      </c>
      <c r="AL134" t="s">
        <v>326</v>
      </c>
      <c r="AO134" t="s">
        <v>76</v>
      </c>
      <c r="AP134" t="s">
        <v>6510</v>
      </c>
      <c r="AQ134" t="s">
        <v>6510</v>
      </c>
      <c r="AR134" t="s">
        <v>6510</v>
      </c>
      <c r="AS134" t="s">
        <v>6510</v>
      </c>
    </row>
    <row r="135" spans="1:45" x14ac:dyDescent="0.3">
      <c r="A135" t="s">
        <v>5630</v>
      </c>
      <c r="B135">
        <f t="shared" si="30"/>
        <v>200133</v>
      </c>
      <c r="C135">
        <v>200036</v>
      </c>
      <c r="D135" t="str">
        <f t="shared" si="31"/>
        <v>rg:{'id': '200036'}</v>
      </c>
      <c r="E135">
        <f>VLOOKUP(C135,Owners.csv!C:J,6,FALSE)</f>
        <v>200001</v>
      </c>
      <c r="F135" t="str">
        <f>VLOOKUP(VLOOKUP(E135,LocalAreas.csv!I:K,3,FALSE),ServiceAreas.csv!F:J,5,FALSE)</f>
        <v>200009</v>
      </c>
      <c r="G135" t="str">
        <f t="shared" si="32"/>
        <v>rg:{'id': '200001'}</v>
      </c>
      <c r="H135" t="s">
        <v>7710</v>
      </c>
      <c r="I135" t="s">
        <v>5651</v>
      </c>
      <c r="J135">
        <f>VLOOKUP(I135&amp;"-"&amp;F135,DistrictEquipmentTypes.csv!J:K,2,FALSE)</f>
        <v>200006</v>
      </c>
      <c r="K135" t="str">
        <f t="shared" si="33"/>
        <v>rg:{'id': '200006'}</v>
      </c>
      <c r="L135">
        <f t="shared" si="34"/>
        <v>1</v>
      </c>
      <c r="M135" t="str">
        <f>VLOOKUP(C135,Owners.csv!C:K,9,FALSE)&amp;TEXT(Equipment.csv!L135,"0000")</f>
        <v>HAPP0001</v>
      </c>
      <c r="N135" t="s">
        <v>5401</v>
      </c>
      <c r="O135" t="s">
        <v>6744</v>
      </c>
      <c r="P135">
        <v>2017</v>
      </c>
      <c r="Q135">
        <v>86</v>
      </c>
      <c r="R135" t="s">
        <v>6663</v>
      </c>
      <c r="S135" s="1">
        <v>40437</v>
      </c>
      <c r="T135" s="1">
        <v>40458</v>
      </c>
      <c r="U135" t="str">
        <f t="shared" ca="1" si="35"/>
        <v>rg:False</v>
      </c>
      <c r="V135" t="str">
        <f t="shared" ca="1" si="36"/>
        <v>rg:None</v>
      </c>
      <c r="W135" t="s">
        <v>7142</v>
      </c>
      <c r="X135" t="s">
        <v>76</v>
      </c>
      <c r="Y135" t="s">
        <v>76</v>
      </c>
      <c r="Z135" t="s">
        <v>76</v>
      </c>
      <c r="AA135" t="s">
        <v>7489</v>
      </c>
      <c r="AB135" t="s">
        <v>7330</v>
      </c>
      <c r="AC135">
        <v>0</v>
      </c>
      <c r="AD135" t="str">
        <f t="shared" ca="1" si="37"/>
        <v>rg:False</v>
      </c>
      <c r="AE135" t="str">
        <f t="shared" ca="1" si="38"/>
        <v>rg:None</v>
      </c>
      <c r="AF135" s="1">
        <v>42481</v>
      </c>
      <c r="AG135" s="4">
        <f t="shared" ca="1" si="39"/>
        <v>426</v>
      </c>
      <c r="AH135" s="4">
        <f t="shared" si="40"/>
        <v>5.4833333333333334</v>
      </c>
      <c r="AI135">
        <f t="shared" ca="1" si="41"/>
        <v>79</v>
      </c>
      <c r="AJ135">
        <f t="shared" ca="1" si="42"/>
        <v>62</v>
      </c>
      <c r="AK135">
        <f t="shared" ca="1" si="43"/>
        <v>150</v>
      </c>
      <c r="AL135" t="s">
        <v>326</v>
      </c>
      <c r="AO135" t="s">
        <v>76</v>
      </c>
      <c r="AP135" t="s">
        <v>6510</v>
      </c>
      <c r="AQ135" t="s">
        <v>6510</v>
      </c>
      <c r="AR135" t="s">
        <v>6510</v>
      </c>
      <c r="AS135" t="s">
        <v>6510</v>
      </c>
    </row>
    <row r="136" spans="1:45" x14ac:dyDescent="0.3">
      <c r="A136" t="s">
        <v>5630</v>
      </c>
      <c r="B136">
        <f t="shared" si="30"/>
        <v>200134</v>
      </c>
      <c r="C136">
        <v>200036</v>
      </c>
      <c r="D136" t="str">
        <f t="shared" si="31"/>
        <v>rg:{'id': '200036'}</v>
      </c>
      <c r="E136">
        <f>VLOOKUP(C136,Owners.csv!C:J,6,FALSE)</f>
        <v>200001</v>
      </c>
      <c r="F136" t="str">
        <f>VLOOKUP(VLOOKUP(E136,LocalAreas.csv!I:K,3,FALSE),ServiceAreas.csv!F:J,5,FALSE)</f>
        <v>200009</v>
      </c>
      <c r="G136" t="str">
        <f t="shared" si="32"/>
        <v>rg:{'id': '200001'}</v>
      </c>
      <c r="H136" t="s">
        <v>7682</v>
      </c>
      <c r="I136" t="s">
        <v>5651</v>
      </c>
      <c r="J136">
        <f>VLOOKUP(I136&amp;"-"&amp;F136,DistrictEquipmentTypes.csv!J:K,2,FALSE)</f>
        <v>200006</v>
      </c>
      <c r="K136" t="str">
        <f t="shared" si="33"/>
        <v>rg:{'id': '200006'}</v>
      </c>
      <c r="L136">
        <f t="shared" si="34"/>
        <v>2</v>
      </c>
      <c r="M136" t="str">
        <f>VLOOKUP(C136,Owners.csv!C:K,9,FALSE)&amp;TEXT(Equipment.csv!L136,"0000")</f>
        <v>HAPP0002</v>
      </c>
      <c r="N136" t="s">
        <v>5401</v>
      </c>
      <c r="O136" t="s">
        <v>6764</v>
      </c>
      <c r="P136">
        <v>1998</v>
      </c>
      <c r="Q136">
        <v>106</v>
      </c>
      <c r="R136" t="s">
        <v>6663</v>
      </c>
      <c r="S136" s="1">
        <v>41073</v>
      </c>
      <c r="T136" s="1">
        <v>41084</v>
      </c>
      <c r="U136" t="str">
        <f t="shared" ca="1" si="35"/>
        <v>rg:False</v>
      </c>
      <c r="V136" t="str">
        <f t="shared" ca="1" si="36"/>
        <v>rg:None</v>
      </c>
      <c r="W136" t="s">
        <v>7162</v>
      </c>
      <c r="X136" t="s">
        <v>76</v>
      </c>
      <c r="Y136" t="s">
        <v>76</v>
      </c>
      <c r="Z136" t="s">
        <v>76</v>
      </c>
      <c r="AA136" t="s">
        <v>7509</v>
      </c>
      <c r="AB136" t="s">
        <v>7330</v>
      </c>
      <c r="AC136">
        <v>0</v>
      </c>
      <c r="AD136" t="str">
        <f t="shared" ca="1" si="37"/>
        <v>rg:False</v>
      </c>
      <c r="AE136" t="str">
        <f t="shared" ca="1" si="38"/>
        <v>rg:None</v>
      </c>
      <c r="AF136" s="1">
        <v>42481</v>
      </c>
      <c r="AG136" s="4">
        <f t="shared" ca="1" si="39"/>
        <v>387.83333333333331</v>
      </c>
      <c r="AH136" s="4">
        <f t="shared" si="40"/>
        <v>3.7694444444444444</v>
      </c>
      <c r="AI136">
        <f t="shared" ca="1" si="41"/>
        <v>184</v>
      </c>
      <c r="AJ136">
        <f t="shared" ca="1" si="42"/>
        <v>176</v>
      </c>
      <c r="AK136">
        <f t="shared" ca="1" si="43"/>
        <v>125</v>
      </c>
      <c r="AL136" t="s">
        <v>326</v>
      </c>
      <c r="AO136" t="s">
        <v>76</v>
      </c>
      <c r="AP136" t="s">
        <v>6510</v>
      </c>
      <c r="AQ136" t="s">
        <v>6510</v>
      </c>
      <c r="AR136" t="s">
        <v>6510</v>
      </c>
      <c r="AS136" t="s">
        <v>6510</v>
      </c>
    </row>
    <row r="137" spans="1:45" x14ac:dyDescent="0.3">
      <c r="A137" t="s">
        <v>5630</v>
      </c>
      <c r="B137">
        <f t="shared" si="30"/>
        <v>200135</v>
      </c>
      <c r="C137">
        <v>200037</v>
      </c>
      <c r="D137" t="str">
        <f t="shared" si="31"/>
        <v>rg:{'id': '200037'}</v>
      </c>
      <c r="E137">
        <f>VLOOKUP(C137,Owners.csv!C:J,6,FALSE)</f>
        <v>200001</v>
      </c>
      <c r="F137" t="str">
        <f>VLOOKUP(VLOOKUP(E137,LocalAreas.csv!I:K,3,FALSE),ServiceAreas.csv!F:J,5,FALSE)</f>
        <v>200009</v>
      </c>
      <c r="G137" t="str">
        <f t="shared" si="32"/>
        <v>rg:{'id': '200001'}</v>
      </c>
      <c r="H137" t="s">
        <v>7711</v>
      </c>
      <c r="I137" t="s">
        <v>5651</v>
      </c>
      <c r="J137">
        <f>VLOOKUP(I137&amp;"-"&amp;F137,DistrictEquipmentTypes.csv!J:K,2,FALSE)</f>
        <v>200006</v>
      </c>
      <c r="K137" t="str">
        <f t="shared" si="33"/>
        <v>rg:{'id': '200006'}</v>
      </c>
      <c r="L137">
        <f t="shared" si="34"/>
        <v>1</v>
      </c>
      <c r="M137" t="str">
        <f>VLOOKUP(C137,Owners.csv!C:K,9,FALSE)&amp;TEXT(Equipment.csv!L137,"0000")</f>
        <v>HARO0001</v>
      </c>
      <c r="N137" t="s">
        <v>5401</v>
      </c>
      <c r="O137" t="s">
        <v>6745</v>
      </c>
      <c r="P137">
        <v>1989</v>
      </c>
      <c r="Q137">
        <v>87</v>
      </c>
      <c r="R137" t="s">
        <v>6663</v>
      </c>
      <c r="S137" s="1">
        <v>39387</v>
      </c>
      <c r="T137" s="1">
        <v>39410</v>
      </c>
      <c r="U137" t="str">
        <f t="shared" ca="1" si="35"/>
        <v>rg:False</v>
      </c>
      <c r="V137" t="str">
        <f t="shared" ca="1" si="36"/>
        <v>rg:None</v>
      </c>
      <c r="W137" t="s">
        <v>7143</v>
      </c>
      <c r="X137" t="s">
        <v>76</v>
      </c>
      <c r="Y137" t="s">
        <v>76</v>
      </c>
      <c r="Z137" t="s">
        <v>76</v>
      </c>
      <c r="AA137" t="s">
        <v>7490</v>
      </c>
      <c r="AB137" t="s">
        <v>7331</v>
      </c>
      <c r="AC137">
        <v>0</v>
      </c>
      <c r="AD137" t="str">
        <f t="shared" ca="1" si="37"/>
        <v>rg:False</v>
      </c>
      <c r="AE137" t="str">
        <f t="shared" ca="1" si="38"/>
        <v>rg:None</v>
      </c>
      <c r="AF137" s="1">
        <v>42481</v>
      </c>
      <c r="AG137" s="4">
        <f t="shared" ca="1" si="39"/>
        <v>573.5</v>
      </c>
      <c r="AH137" s="4">
        <f t="shared" si="40"/>
        <v>8.3527777777777779</v>
      </c>
      <c r="AI137">
        <f t="shared" ca="1" si="41"/>
        <v>134</v>
      </c>
      <c r="AJ137">
        <f t="shared" ca="1" si="42"/>
        <v>37</v>
      </c>
      <c r="AK137">
        <f t="shared" ca="1" si="43"/>
        <v>46</v>
      </c>
      <c r="AL137" t="s">
        <v>5689</v>
      </c>
      <c r="AM137" t="s">
        <v>6883</v>
      </c>
      <c r="AN137" s="1">
        <v>42452</v>
      </c>
      <c r="AO137" t="s">
        <v>76</v>
      </c>
      <c r="AP137" t="s">
        <v>6510</v>
      </c>
      <c r="AQ137" t="s">
        <v>6510</v>
      </c>
      <c r="AR137" t="s">
        <v>6510</v>
      </c>
      <c r="AS137" t="s">
        <v>6510</v>
      </c>
    </row>
    <row r="138" spans="1:45" x14ac:dyDescent="0.3">
      <c r="A138" t="s">
        <v>5630</v>
      </c>
      <c r="B138">
        <f t="shared" si="30"/>
        <v>200136</v>
      </c>
      <c r="C138">
        <v>200037</v>
      </c>
      <c r="D138" t="str">
        <f t="shared" si="31"/>
        <v>rg:{'id': '200037'}</v>
      </c>
      <c r="E138">
        <f>VLOOKUP(C138,Owners.csv!C:J,6,FALSE)</f>
        <v>200001</v>
      </c>
      <c r="F138" t="str">
        <f>VLOOKUP(VLOOKUP(E138,LocalAreas.csv!I:K,3,FALSE),ServiceAreas.csv!F:J,5,FALSE)</f>
        <v>200009</v>
      </c>
      <c r="G138" t="str">
        <f t="shared" si="32"/>
        <v>rg:{'id': '200001'}</v>
      </c>
      <c r="H138" t="s">
        <v>7674</v>
      </c>
      <c r="I138" t="s">
        <v>5651</v>
      </c>
      <c r="J138">
        <f>VLOOKUP(I138&amp;"-"&amp;F138,DistrictEquipmentTypes.csv!J:K,2,FALSE)</f>
        <v>200006</v>
      </c>
      <c r="K138" t="str">
        <f t="shared" si="33"/>
        <v>rg:{'id': '200006'}</v>
      </c>
      <c r="L138">
        <f t="shared" si="34"/>
        <v>2</v>
      </c>
      <c r="M138" t="str">
        <f>VLOOKUP(C138,Owners.csv!C:K,9,FALSE)&amp;TEXT(Equipment.csv!L138,"0000")</f>
        <v>HARO0002</v>
      </c>
      <c r="N138" t="s">
        <v>5401</v>
      </c>
      <c r="O138" t="s">
        <v>6765</v>
      </c>
      <c r="P138">
        <v>1976</v>
      </c>
      <c r="Q138">
        <v>107</v>
      </c>
      <c r="R138" t="s">
        <v>6663</v>
      </c>
      <c r="S138" s="1">
        <v>40716</v>
      </c>
      <c r="T138" s="1">
        <v>40722</v>
      </c>
      <c r="U138" t="str">
        <f t="shared" ca="1" si="35"/>
        <v>rg:False</v>
      </c>
      <c r="V138" t="str">
        <f t="shared" ca="1" si="36"/>
        <v>rg:None</v>
      </c>
      <c r="W138" t="s">
        <v>7163</v>
      </c>
      <c r="X138" t="s">
        <v>76</v>
      </c>
      <c r="Y138" t="s">
        <v>76</v>
      </c>
      <c r="Z138" t="s">
        <v>76</v>
      </c>
      <c r="AA138" t="s">
        <v>7510</v>
      </c>
      <c r="AB138" t="s">
        <v>7341</v>
      </c>
      <c r="AC138">
        <v>0</v>
      </c>
      <c r="AD138" t="str">
        <f t="shared" ca="1" si="37"/>
        <v>rg:False</v>
      </c>
      <c r="AE138" t="str">
        <f t="shared" ca="1" si="38"/>
        <v>rg:None</v>
      </c>
      <c r="AF138" s="1">
        <v>42481</v>
      </c>
      <c r="AG138" s="4">
        <f t="shared" ca="1" si="39"/>
        <v>388.16666666666669</v>
      </c>
      <c r="AH138" s="4">
        <f t="shared" si="40"/>
        <v>4.7583333333333337</v>
      </c>
      <c r="AI138">
        <f t="shared" ca="1" si="41"/>
        <v>185</v>
      </c>
      <c r="AJ138">
        <f t="shared" ca="1" si="42"/>
        <v>78</v>
      </c>
      <c r="AK138">
        <f t="shared" ca="1" si="43"/>
        <v>45</v>
      </c>
      <c r="AL138" t="s">
        <v>326</v>
      </c>
      <c r="AO138" t="s">
        <v>76</v>
      </c>
      <c r="AP138" t="s">
        <v>6510</v>
      </c>
      <c r="AQ138" t="s">
        <v>6510</v>
      </c>
      <c r="AR138" t="s">
        <v>6510</v>
      </c>
      <c r="AS138" t="s">
        <v>6510</v>
      </c>
    </row>
    <row r="139" spans="1:45" x14ac:dyDescent="0.3">
      <c r="A139" t="s">
        <v>5630</v>
      </c>
      <c r="B139">
        <f t="shared" si="30"/>
        <v>200137</v>
      </c>
      <c r="C139">
        <v>200038</v>
      </c>
      <c r="D139" t="str">
        <f t="shared" si="31"/>
        <v>rg:{'id': '200038'}</v>
      </c>
      <c r="E139">
        <f>VLOOKUP(C139,Owners.csv!C:J,6,FALSE)</f>
        <v>200002</v>
      </c>
      <c r="F139" t="str">
        <f>VLOOKUP(VLOOKUP(E139,LocalAreas.csv!I:K,3,FALSE),ServiceAreas.csv!F:J,5,FALSE)</f>
        <v>200009</v>
      </c>
      <c r="G139" t="str">
        <f t="shared" si="32"/>
        <v>rg:{'id': '200002'}</v>
      </c>
      <c r="H139" t="s">
        <v>7737</v>
      </c>
      <c r="I139" t="s">
        <v>5651</v>
      </c>
      <c r="J139">
        <f>VLOOKUP(I139&amp;"-"&amp;F139,DistrictEquipmentTypes.csv!J:K,2,FALSE)</f>
        <v>200006</v>
      </c>
      <c r="K139" t="str">
        <f t="shared" si="33"/>
        <v>rg:{'id': '200006'}</v>
      </c>
      <c r="L139">
        <f t="shared" si="34"/>
        <v>1</v>
      </c>
      <c r="M139" t="str">
        <f>VLOOKUP(C139,Owners.csv!C:K,9,FALSE)&amp;TEXT(Equipment.csv!L139,"0000")</f>
        <v>HENR0001</v>
      </c>
      <c r="N139" t="s">
        <v>5401</v>
      </c>
      <c r="O139" t="s">
        <v>6796</v>
      </c>
      <c r="P139">
        <v>1978</v>
      </c>
      <c r="Q139">
        <v>138</v>
      </c>
      <c r="R139" t="s">
        <v>6663</v>
      </c>
      <c r="S139" s="1">
        <v>40831</v>
      </c>
      <c r="T139" s="1">
        <v>40836</v>
      </c>
      <c r="U139" t="str">
        <f t="shared" ca="1" si="35"/>
        <v>rg:False</v>
      </c>
      <c r="V139" t="str">
        <f t="shared" ca="1" si="36"/>
        <v>rg:None</v>
      </c>
      <c r="W139" t="s">
        <v>7194</v>
      </c>
      <c r="X139" t="s">
        <v>76</v>
      </c>
      <c r="Y139" t="s">
        <v>76</v>
      </c>
      <c r="Z139" t="s">
        <v>76</v>
      </c>
      <c r="AA139" t="s">
        <v>7541</v>
      </c>
      <c r="AB139" t="s">
        <v>7367</v>
      </c>
      <c r="AC139">
        <v>0</v>
      </c>
      <c r="AD139" t="str">
        <f t="shared" ca="1" si="37"/>
        <v>rg:False</v>
      </c>
      <c r="AE139" t="str">
        <f t="shared" ca="1" si="38"/>
        <v>rg:None</v>
      </c>
      <c r="AF139" s="1">
        <v>42481</v>
      </c>
      <c r="AG139" s="4">
        <f t="shared" ca="1" si="39"/>
        <v>434.5</v>
      </c>
      <c r="AH139" s="4">
        <f t="shared" si="40"/>
        <v>4.447222222222222</v>
      </c>
      <c r="AI139">
        <f t="shared" ca="1" si="41"/>
        <v>152</v>
      </c>
      <c r="AJ139">
        <f t="shared" ca="1" si="42"/>
        <v>152</v>
      </c>
      <c r="AK139">
        <f t="shared" ca="1" si="43"/>
        <v>199</v>
      </c>
      <c r="AL139" t="s">
        <v>326</v>
      </c>
      <c r="AO139" t="s">
        <v>76</v>
      </c>
      <c r="AP139" t="s">
        <v>6510</v>
      </c>
      <c r="AQ139" t="s">
        <v>6510</v>
      </c>
      <c r="AR139" t="s">
        <v>6510</v>
      </c>
      <c r="AS139" t="s">
        <v>6510</v>
      </c>
    </row>
    <row r="140" spans="1:45" x14ac:dyDescent="0.3">
      <c r="A140" t="s">
        <v>5630</v>
      </c>
      <c r="B140">
        <f t="shared" si="30"/>
        <v>200138</v>
      </c>
      <c r="C140">
        <v>200038</v>
      </c>
      <c r="D140" t="str">
        <f t="shared" si="31"/>
        <v>rg:{'id': '200038'}</v>
      </c>
      <c r="E140">
        <f>VLOOKUP(C140,Owners.csv!C:J,6,FALSE)</f>
        <v>200002</v>
      </c>
      <c r="F140" t="str">
        <f>VLOOKUP(VLOOKUP(E140,LocalAreas.csv!I:K,3,FALSE),ServiceAreas.csv!F:J,5,FALSE)</f>
        <v>200009</v>
      </c>
      <c r="G140" t="str">
        <f t="shared" si="32"/>
        <v>rg:{'id': '200002'}</v>
      </c>
      <c r="H140" t="s">
        <v>7749</v>
      </c>
      <c r="I140" t="s">
        <v>5651</v>
      </c>
      <c r="J140">
        <f>VLOOKUP(I140&amp;"-"&amp;F140,DistrictEquipmentTypes.csv!J:K,2,FALSE)</f>
        <v>200006</v>
      </c>
      <c r="K140" t="str">
        <f t="shared" si="33"/>
        <v>rg:{'id': '200006'}</v>
      </c>
      <c r="L140">
        <f t="shared" si="34"/>
        <v>2</v>
      </c>
      <c r="M140" t="str">
        <f>VLOOKUP(C140,Owners.csv!C:K,9,FALSE)&amp;TEXT(Equipment.csv!L140,"0000")</f>
        <v>HENR0002</v>
      </c>
      <c r="N140" t="s">
        <v>5401</v>
      </c>
      <c r="O140" t="s">
        <v>6816</v>
      </c>
      <c r="P140">
        <v>1993</v>
      </c>
      <c r="Q140">
        <v>158</v>
      </c>
      <c r="R140" t="s">
        <v>6663</v>
      </c>
      <c r="S140" s="1">
        <v>39402</v>
      </c>
      <c r="T140" s="1">
        <v>39414</v>
      </c>
      <c r="U140" t="str">
        <f t="shared" ca="1" si="35"/>
        <v>rg:False</v>
      </c>
      <c r="V140" t="str">
        <f t="shared" ca="1" si="36"/>
        <v>rg:None</v>
      </c>
      <c r="W140" t="s">
        <v>7214</v>
      </c>
      <c r="X140" t="s">
        <v>76</v>
      </c>
      <c r="Y140" t="s">
        <v>76</v>
      </c>
      <c r="Z140" t="s">
        <v>76</v>
      </c>
      <c r="AA140" t="s">
        <v>7561</v>
      </c>
      <c r="AB140" t="s">
        <v>7381</v>
      </c>
      <c r="AC140">
        <v>0</v>
      </c>
      <c r="AD140" t="str">
        <f t="shared" ca="1" si="37"/>
        <v>rg:False</v>
      </c>
      <c r="AE140" t="str">
        <f t="shared" ca="1" si="38"/>
        <v>rg:None</v>
      </c>
      <c r="AF140" s="1">
        <v>42481</v>
      </c>
      <c r="AG140" s="4">
        <f t="shared" ca="1" si="39"/>
        <v>577.5</v>
      </c>
      <c r="AH140" s="4">
        <f t="shared" si="40"/>
        <v>8.3416666666666668</v>
      </c>
      <c r="AI140">
        <f t="shared" ca="1" si="41"/>
        <v>125</v>
      </c>
      <c r="AJ140">
        <f t="shared" ca="1" si="42"/>
        <v>82</v>
      </c>
      <c r="AK140">
        <f t="shared" ca="1" si="43"/>
        <v>24</v>
      </c>
      <c r="AL140" t="s">
        <v>326</v>
      </c>
      <c r="AO140" t="s">
        <v>76</v>
      </c>
      <c r="AP140" t="s">
        <v>6510</v>
      </c>
      <c r="AQ140" t="s">
        <v>6510</v>
      </c>
      <c r="AR140" t="s">
        <v>6510</v>
      </c>
      <c r="AS140" t="s">
        <v>6510</v>
      </c>
    </row>
    <row r="141" spans="1:45" x14ac:dyDescent="0.3">
      <c r="A141" t="s">
        <v>5630</v>
      </c>
      <c r="B141">
        <f t="shared" si="30"/>
        <v>200139</v>
      </c>
      <c r="C141">
        <v>200038</v>
      </c>
      <c r="D141" t="str">
        <f t="shared" si="31"/>
        <v>rg:{'id': '200038'}</v>
      </c>
      <c r="E141">
        <f>VLOOKUP(C141,Owners.csv!C:J,6,FALSE)</f>
        <v>200002</v>
      </c>
      <c r="F141" t="str">
        <f>VLOOKUP(VLOOKUP(E141,LocalAreas.csv!I:K,3,FALSE),ServiceAreas.csv!F:J,5,FALSE)</f>
        <v>200009</v>
      </c>
      <c r="G141" t="str">
        <f t="shared" si="32"/>
        <v>rg:{'id': '200002'}</v>
      </c>
      <c r="H141" t="s">
        <v>7733</v>
      </c>
      <c r="I141" t="s">
        <v>5637</v>
      </c>
      <c r="J141">
        <f>VLOOKUP(I141&amp;"-"&amp;F141,DistrictEquipmentTypes.csv!J:K,2,FALSE)</f>
        <v>200001</v>
      </c>
      <c r="K141" t="str">
        <f t="shared" si="33"/>
        <v>rg:{'id': '200001'}</v>
      </c>
      <c r="L141">
        <f t="shared" si="34"/>
        <v>3</v>
      </c>
      <c r="M141" t="str">
        <f>VLOOKUP(C141,Owners.csv!C:K,9,FALSE)&amp;TEXT(Equipment.csv!L141,"0000")</f>
        <v>HENR0003</v>
      </c>
      <c r="N141" t="s">
        <v>5401</v>
      </c>
      <c r="O141" t="s">
        <v>6822</v>
      </c>
      <c r="P141">
        <v>2016</v>
      </c>
      <c r="Q141">
        <v>164</v>
      </c>
      <c r="R141" t="s">
        <v>6663</v>
      </c>
      <c r="S141" s="1">
        <v>42270</v>
      </c>
      <c r="T141" s="1">
        <v>42274</v>
      </c>
      <c r="U141" t="str">
        <f t="shared" ca="1" si="35"/>
        <v>rg:False</v>
      </c>
      <c r="V141" t="str">
        <f t="shared" ca="1" si="36"/>
        <v>rg:None</v>
      </c>
      <c r="W141" t="s">
        <v>7220</v>
      </c>
      <c r="X141" t="s">
        <v>76</v>
      </c>
      <c r="Y141" t="s">
        <v>76</v>
      </c>
      <c r="Z141" t="s">
        <v>76</v>
      </c>
      <c r="AA141" t="s">
        <v>7567</v>
      </c>
      <c r="AB141" t="s">
        <v>7385</v>
      </c>
      <c r="AC141">
        <v>0</v>
      </c>
      <c r="AD141" t="str">
        <f t="shared" ca="1" si="37"/>
        <v>rg:False</v>
      </c>
      <c r="AE141" t="str">
        <f t="shared" ca="1" si="38"/>
        <v>rg:None</v>
      </c>
      <c r="AF141" s="1">
        <v>42481</v>
      </c>
      <c r="AG141" s="4">
        <f t="shared" ca="1" si="39"/>
        <v>15.333333333333332</v>
      </c>
      <c r="AH141" s="4">
        <f t="shared" si="40"/>
        <v>0.51111111111111107</v>
      </c>
      <c r="AI141">
        <f t="shared" ca="1" si="41"/>
        <v>0</v>
      </c>
      <c r="AJ141">
        <f t="shared" ca="1" si="42"/>
        <v>0</v>
      </c>
      <c r="AK141">
        <f t="shared" ca="1" si="43"/>
        <v>0</v>
      </c>
      <c r="AL141" t="s">
        <v>326</v>
      </c>
      <c r="AO141" t="s">
        <v>76</v>
      </c>
      <c r="AP141" t="s">
        <v>6510</v>
      </c>
      <c r="AQ141" t="s">
        <v>6510</v>
      </c>
      <c r="AR141" t="s">
        <v>6510</v>
      </c>
      <c r="AS141" t="s">
        <v>6510</v>
      </c>
    </row>
    <row r="142" spans="1:45" x14ac:dyDescent="0.3">
      <c r="A142" t="s">
        <v>5630</v>
      </c>
      <c r="B142">
        <f t="shared" si="30"/>
        <v>200140</v>
      </c>
      <c r="C142">
        <v>200038</v>
      </c>
      <c r="D142" t="str">
        <f t="shared" si="31"/>
        <v>rg:{'id': '200038'}</v>
      </c>
      <c r="E142">
        <f>VLOOKUP(C142,Owners.csv!C:J,6,FALSE)</f>
        <v>200002</v>
      </c>
      <c r="F142" t="str">
        <f>VLOOKUP(VLOOKUP(E142,LocalAreas.csv!I:K,3,FALSE),ServiceAreas.csv!F:J,5,FALSE)</f>
        <v>200009</v>
      </c>
      <c r="G142" t="str">
        <f t="shared" si="32"/>
        <v>rg:{'id': '200002'}</v>
      </c>
      <c r="H142" t="s">
        <v>7757</v>
      </c>
      <c r="I142" t="s">
        <v>5536</v>
      </c>
      <c r="J142">
        <f>VLOOKUP(I142&amp;"-"&amp;F142,DistrictEquipmentTypes.csv!J:K,2,FALSE)</f>
        <v>200000</v>
      </c>
      <c r="K142" t="str">
        <f t="shared" si="33"/>
        <v>rg:{'id': '200000'}</v>
      </c>
      <c r="L142">
        <f t="shared" si="34"/>
        <v>4</v>
      </c>
      <c r="M142" t="str">
        <f>VLOOKUP(C142,Owners.csv!C:K,9,FALSE)&amp;TEXT(Equipment.csv!L142,"0000")</f>
        <v>HENR0004</v>
      </c>
      <c r="N142" t="s">
        <v>5401</v>
      </c>
      <c r="O142" t="s">
        <v>6842</v>
      </c>
      <c r="P142">
        <v>1977</v>
      </c>
      <c r="Q142">
        <v>184</v>
      </c>
      <c r="R142" t="s">
        <v>6663</v>
      </c>
      <c r="S142" s="1">
        <v>41447</v>
      </c>
      <c r="T142" s="1">
        <v>41473</v>
      </c>
      <c r="U142" t="str">
        <f t="shared" ca="1" si="35"/>
        <v>rg:False</v>
      </c>
      <c r="V142" t="str">
        <f t="shared" ca="1" si="36"/>
        <v>rg:None</v>
      </c>
      <c r="W142" t="s">
        <v>7240</v>
      </c>
      <c r="X142" t="s">
        <v>76</v>
      </c>
      <c r="Y142" t="s">
        <v>76</v>
      </c>
      <c r="Z142" t="s">
        <v>76</v>
      </c>
      <c r="AA142" t="s">
        <v>7587</v>
      </c>
      <c r="AB142" t="s">
        <v>7394</v>
      </c>
      <c r="AC142">
        <v>0</v>
      </c>
      <c r="AD142" t="str">
        <f t="shared" ca="1" si="37"/>
        <v>rg:False</v>
      </c>
      <c r="AE142" t="str">
        <f t="shared" ca="1" si="38"/>
        <v>rg:None</v>
      </c>
      <c r="AF142" s="1">
        <v>42481</v>
      </c>
      <c r="AG142" s="4">
        <f t="shared" ca="1" si="39"/>
        <v>154.41666666666669</v>
      </c>
      <c r="AH142" s="4">
        <f t="shared" si="40"/>
        <v>2.7027777777777779</v>
      </c>
      <c r="AI142">
        <f t="shared" ca="1" si="41"/>
        <v>30</v>
      </c>
      <c r="AJ142">
        <f t="shared" ca="1" si="42"/>
        <v>190</v>
      </c>
      <c r="AK142">
        <f t="shared" ca="1" si="43"/>
        <v>0</v>
      </c>
      <c r="AL142" t="s">
        <v>326</v>
      </c>
      <c r="AO142" t="s">
        <v>76</v>
      </c>
      <c r="AP142" t="s">
        <v>6510</v>
      </c>
      <c r="AQ142" t="s">
        <v>6510</v>
      </c>
      <c r="AR142" t="s">
        <v>6510</v>
      </c>
      <c r="AS142" t="s">
        <v>6510</v>
      </c>
    </row>
    <row r="143" spans="1:45" x14ac:dyDescent="0.3">
      <c r="A143" t="s">
        <v>5630</v>
      </c>
      <c r="B143">
        <f t="shared" si="30"/>
        <v>200141</v>
      </c>
      <c r="C143">
        <v>200039</v>
      </c>
      <c r="D143" t="str">
        <f t="shared" si="31"/>
        <v>rg:{'id': '200039'}</v>
      </c>
      <c r="E143">
        <f>VLOOKUP(C143,Owners.csv!C:J,6,FALSE)</f>
        <v>200002</v>
      </c>
      <c r="F143" t="str">
        <f>VLOOKUP(VLOOKUP(E143,LocalAreas.csv!I:K,3,FALSE),ServiceAreas.csv!F:J,5,FALSE)</f>
        <v>200009</v>
      </c>
      <c r="G143" t="str">
        <f t="shared" si="32"/>
        <v>rg:{'id': '200002'}</v>
      </c>
      <c r="H143" t="s">
        <v>7740</v>
      </c>
      <c r="I143" t="s">
        <v>5651</v>
      </c>
      <c r="J143">
        <f>VLOOKUP(I143&amp;"-"&amp;F143,DistrictEquipmentTypes.csv!J:K,2,FALSE)</f>
        <v>200006</v>
      </c>
      <c r="K143" t="str">
        <f t="shared" si="33"/>
        <v>rg:{'id': '200006'}</v>
      </c>
      <c r="L143">
        <f t="shared" si="34"/>
        <v>1</v>
      </c>
      <c r="M143" t="str">
        <f>VLOOKUP(C143,Owners.csv!C:K,9,FALSE)&amp;TEXT(Equipment.csv!L143,"0000")</f>
        <v>HIGH0001</v>
      </c>
      <c r="N143" t="s">
        <v>5401</v>
      </c>
      <c r="O143" t="s">
        <v>6797</v>
      </c>
      <c r="P143">
        <v>2008</v>
      </c>
      <c r="Q143">
        <v>139</v>
      </c>
      <c r="R143" t="s">
        <v>6663</v>
      </c>
      <c r="S143" s="1">
        <v>40224</v>
      </c>
      <c r="T143" s="1">
        <v>40255</v>
      </c>
      <c r="U143" t="str">
        <f t="shared" ca="1" si="35"/>
        <v>rg:False</v>
      </c>
      <c r="V143" t="str">
        <f t="shared" ca="1" si="36"/>
        <v>rg:None</v>
      </c>
      <c r="W143" t="s">
        <v>7195</v>
      </c>
      <c r="X143" t="s">
        <v>76</v>
      </c>
      <c r="Y143" t="s">
        <v>76</v>
      </c>
      <c r="Z143" t="s">
        <v>76</v>
      </c>
      <c r="AA143" t="s">
        <v>7542</v>
      </c>
      <c r="AB143" t="s">
        <v>7368</v>
      </c>
      <c r="AC143">
        <v>0</v>
      </c>
      <c r="AD143" t="str">
        <f t="shared" ca="1" si="37"/>
        <v>rg:False</v>
      </c>
      <c r="AE143" t="str">
        <f t="shared" ca="1" si="38"/>
        <v>rg:None</v>
      </c>
      <c r="AF143" s="1">
        <v>42481</v>
      </c>
      <c r="AG143" s="4">
        <f t="shared" ca="1" si="39"/>
        <v>438.5</v>
      </c>
      <c r="AH143" s="4">
        <f t="shared" si="40"/>
        <v>6.0361111111111114</v>
      </c>
      <c r="AI143">
        <f t="shared" ca="1" si="41"/>
        <v>109</v>
      </c>
      <c r="AJ143">
        <f t="shared" ca="1" si="42"/>
        <v>88</v>
      </c>
      <c r="AK143">
        <f t="shared" ca="1" si="43"/>
        <v>32</v>
      </c>
      <c r="AL143" t="s">
        <v>326</v>
      </c>
      <c r="AO143" t="s">
        <v>76</v>
      </c>
      <c r="AP143" t="s">
        <v>6510</v>
      </c>
      <c r="AQ143" t="s">
        <v>6510</v>
      </c>
      <c r="AR143" t="s">
        <v>6510</v>
      </c>
      <c r="AS143" t="s">
        <v>6510</v>
      </c>
    </row>
    <row r="144" spans="1:45" x14ac:dyDescent="0.3">
      <c r="A144" t="s">
        <v>5630</v>
      </c>
      <c r="B144">
        <f t="shared" si="30"/>
        <v>200142</v>
      </c>
      <c r="C144">
        <v>200039</v>
      </c>
      <c r="D144" t="str">
        <f t="shared" si="31"/>
        <v>rg:{'id': '200039'}</v>
      </c>
      <c r="E144">
        <f>VLOOKUP(C144,Owners.csv!C:J,6,FALSE)</f>
        <v>200002</v>
      </c>
      <c r="F144" t="str">
        <f>VLOOKUP(VLOOKUP(E144,LocalAreas.csv!I:K,3,FALSE),ServiceAreas.csv!F:J,5,FALSE)</f>
        <v>200009</v>
      </c>
      <c r="G144" t="str">
        <f t="shared" si="32"/>
        <v>rg:{'id': '200002'}</v>
      </c>
      <c r="H144" t="s">
        <v>7700</v>
      </c>
      <c r="I144" t="s">
        <v>5651</v>
      </c>
      <c r="J144">
        <f>VLOOKUP(I144&amp;"-"&amp;F144,DistrictEquipmentTypes.csv!J:K,2,FALSE)</f>
        <v>200006</v>
      </c>
      <c r="K144" t="str">
        <f t="shared" si="33"/>
        <v>rg:{'id': '200006'}</v>
      </c>
      <c r="L144">
        <f t="shared" si="34"/>
        <v>2</v>
      </c>
      <c r="M144" t="str">
        <f>VLOOKUP(C144,Owners.csv!C:K,9,FALSE)&amp;TEXT(Equipment.csv!L144,"0000")</f>
        <v>HIGH0002</v>
      </c>
      <c r="N144" t="s">
        <v>5401</v>
      </c>
      <c r="O144" t="s">
        <v>6817</v>
      </c>
      <c r="P144">
        <v>1999</v>
      </c>
      <c r="Q144">
        <v>159</v>
      </c>
      <c r="R144" t="s">
        <v>6663</v>
      </c>
      <c r="S144" s="1">
        <v>39540</v>
      </c>
      <c r="T144" s="1">
        <v>39567</v>
      </c>
      <c r="U144" t="str">
        <f t="shared" ca="1" si="35"/>
        <v>rg:False</v>
      </c>
      <c r="V144" t="str">
        <f t="shared" ca="1" si="36"/>
        <v>rg:None</v>
      </c>
      <c r="W144" t="s">
        <v>7215</v>
      </c>
      <c r="X144" t="s">
        <v>76</v>
      </c>
      <c r="Y144" t="s">
        <v>76</v>
      </c>
      <c r="Z144" t="s">
        <v>76</v>
      </c>
      <c r="AA144" t="s">
        <v>7562</v>
      </c>
      <c r="AB144" t="s">
        <v>7307</v>
      </c>
      <c r="AC144">
        <v>0</v>
      </c>
      <c r="AD144" t="str">
        <f t="shared" ca="1" si="37"/>
        <v>rg:False</v>
      </c>
      <c r="AE144" t="str">
        <f t="shared" ca="1" si="38"/>
        <v>rg:None</v>
      </c>
      <c r="AF144" s="1">
        <v>42481</v>
      </c>
      <c r="AG144" s="4">
        <f t="shared" ca="1" si="39"/>
        <v>612</v>
      </c>
      <c r="AH144" s="4">
        <f t="shared" si="40"/>
        <v>7.9222222222222225</v>
      </c>
      <c r="AI144">
        <f t="shared" ca="1" si="41"/>
        <v>123</v>
      </c>
      <c r="AJ144">
        <f t="shared" ca="1" si="42"/>
        <v>122</v>
      </c>
      <c r="AK144">
        <f t="shared" ca="1" si="43"/>
        <v>165</v>
      </c>
      <c r="AL144" t="s">
        <v>326</v>
      </c>
      <c r="AO144" t="s">
        <v>76</v>
      </c>
      <c r="AP144" t="s">
        <v>6510</v>
      </c>
      <c r="AQ144" t="s">
        <v>6510</v>
      </c>
      <c r="AR144" t="s">
        <v>6510</v>
      </c>
      <c r="AS144" t="s">
        <v>6510</v>
      </c>
    </row>
    <row r="145" spans="1:45" x14ac:dyDescent="0.3">
      <c r="A145" t="s">
        <v>5630</v>
      </c>
      <c r="B145">
        <f t="shared" si="30"/>
        <v>200143</v>
      </c>
      <c r="C145">
        <v>200039</v>
      </c>
      <c r="D145" t="str">
        <f t="shared" si="31"/>
        <v>rg:{'id': '200039'}</v>
      </c>
      <c r="E145">
        <f>VLOOKUP(C145,Owners.csv!C:J,6,FALSE)</f>
        <v>200002</v>
      </c>
      <c r="F145" t="str">
        <f>VLOOKUP(VLOOKUP(E145,LocalAreas.csv!I:K,3,FALSE),ServiceAreas.csv!F:J,5,FALSE)</f>
        <v>200009</v>
      </c>
      <c r="G145" t="str">
        <f t="shared" si="32"/>
        <v>rg:{'id': '200002'}</v>
      </c>
      <c r="H145" t="s">
        <v>7737</v>
      </c>
      <c r="I145" t="s">
        <v>5637</v>
      </c>
      <c r="J145">
        <f>VLOOKUP(I145&amp;"-"&amp;F145,DistrictEquipmentTypes.csv!J:K,2,FALSE)</f>
        <v>200001</v>
      </c>
      <c r="K145" t="str">
        <f t="shared" si="33"/>
        <v>rg:{'id': '200001'}</v>
      </c>
      <c r="L145">
        <f t="shared" si="34"/>
        <v>3</v>
      </c>
      <c r="M145" t="str">
        <f>VLOOKUP(C145,Owners.csv!C:K,9,FALSE)&amp;TEXT(Equipment.csv!L145,"0000")</f>
        <v>HIGH0003</v>
      </c>
      <c r="N145" t="s">
        <v>5401</v>
      </c>
      <c r="O145" t="s">
        <v>6823</v>
      </c>
      <c r="P145">
        <v>1994</v>
      </c>
      <c r="Q145">
        <v>165</v>
      </c>
      <c r="R145" t="s">
        <v>6663</v>
      </c>
      <c r="S145" s="1">
        <v>38445</v>
      </c>
      <c r="T145" s="1">
        <v>38459</v>
      </c>
      <c r="U145" t="str">
        <f t="shared" ca="1" si="35"/>
        <v>rg:False</v>
      </c>
      <c r="V145" t="str">
        <f t="shared" ca="1" si="36"/>
        <v>rg:None</v>
      </c>
      <c r="W145" t="s">
        <v>7221</v>
      </c>
      <c r="X145" t="s">
        <v>76</v>
      </c>
      <c r="Y145" t="s">
        <v>76</v>
      </c>
      <c r="Z145" t="s">
        <v>76</v>
      </c>
      <c r="AA145" t="s">
        <v>7568</v>
      </c>
      <c r="AB145" t="s">
        <v>7283</v>
      </c>
      <c r="AC145">
        <v>0</v>
      </c>
      <c r="AD145" t="str">
        <f t="shared" ca="1" si="37"/>
        <v>rg:True</v>
      </c>
      <c r="AE145" t="str">
        <f t="shared" ca="1" si="38"/>
        <v>Seniority overridden to test things</v>
      </c>
      <c r="AF145" s="1">
        <v>42481</v>
      </c>
      <c r="AG145" s="4">
        <f t="shared" ca="1" si="39"/>
        <v>492</v>
      </c>
      <c r="AH145" s="4">
        <f t="shared" si="40"/>
        <v>10.955555555555556</v>
      </c>
      <c r="AI145">
        <f t="shared" ca="1" si="41"/>
        <v>194</v>
      </c>
      <c r="AJ145">
        <f t="shared" ca="1" si="42"/>
        <v>153</v>
      </c>
      <c r="AK145">
        <f t="shared" ca="1" si="43"/>
        <v>143</v>
      </c>
      <c r="AL145" t="s">
        <v>326</v>
      </c>
      <c r="AO145" t="s">
        <v>76</v>
      </c>
      <c r="AP145" t="s">
        <v>6510</v>
      </c>
      <c r="AQ145" t="s">
        <v>6510</v>
      </c>
      <c r="AR145" t="s">
        <v>6510</v>
      </c>
      <c r="AS145" t="s">
        <v>6510</v>
      </c>
    </row>
    <row r="146" spans="1:45" x14ac:dyDescent="0.3">
      <c r="A146" t="s">
        <v>5630</v>
      </c>
      <c r="B146">
        <f t="shared" si="30"/>
        <v>200144</v>
      </c>
      <c r="C146">
        <v>200039</v>
      </c>
      <c r="D146" t="str">
        <f t="shared" si="31"/>
        <v>rg:{'id': '200039'}</v>
      </c>
      <c r="E146">
        <f>VLOOKUP(C146,Owners.csv!C:J,6,FALSE)</f>
        <v>200002</v>
      </c>
      <c r="F146" t="str">
        <f>VLOOKUP(VLOOKUP(E146,LocalAreas.csv!I:K,3,FALSE),ServiceAreas.csv!F:J,5,FALSE)</f>
        <v>200009</v>
      </c>
      <c r="G146" t="str">
        <f t="shared" si="32"/>
        <v>rg:{'id': '200002'}</v>
      </c>
      <c r="H146" t="s">
        <v>7758</v>
      </c>
      <c r="I146" t="s">
        <v>5536</v>
      </c>
      <c r="J146">
        <f>VLOOKUP(I146&amp;"-"&amp;F146,DistrictEquipmentTypes.csv!J:K,2,FALSE)</f>
        <v>200000</v>
      </c>
      <c r="K146" t="str">
        <f t="shared" si="33"/>
        <v>rg:{'id': '200000'}</v>
      </c>
      <c r="L146">
        <f t="shared" si="34"/>
        <v>4</v>
      </c>
      <c r="M146" t="str">
        <f>VLOOKUP(C146,Owners.csv!C:K,9,FALSE)&amp;TEXT(Equipment.csv!L146,"0000")</f>
        <v>HIGH0004</v>
      </c>
      <c r="N146" t="s">
        <v>5401</v>
      </c>
      <c r="O146" t="s">
        <v>6843</v>
      </c>
      <c r="P146">
        <v>2004</v>
      </c>
      <c r="Q146">
        <v>185</v>
      </c>
      <c r="R146" t="s">
        <v>6663</v>
      </c>
      <c r="S146" s="1">
        <v>41678</v>
      </c>
      <c r="T146" s="1">
        <v>41691</v>
      </c>
      <c r="U146" t="str">
        <f t="shared" ca="1" si="35"/>
        <v>rg:True</v>
      </c>
      <c r="V146" t="str">
        <f t="shared" ca="1" si="36"/>
        <v>This equipment should be archived</v>
      </c>
      <c r="W146" t="s">
        <v>7241</v>
      </c>
      <c r="X146" t="s">
        <v>76</v>
      </c>
      <c r="Y146" t="s">
        <v>76</v>
      </c>
      <c r="Z146" t="s">
        <v>76</v>
      </c>
      <c r="AA146" t="s">
        <v>7588</v>
      </c>
      <c r="AB146" t="s">
        <v>7279</v>
      </c>
      <c r="AC146">
        <v>0</v>
      </c>
      <c r="AD146" t="str">
        <f t="shared" ca="1" si="37"/>
        <v>rg:False</v>
      </c>
      <c r="AE146" t="str">
        <f t="shared" ca="1" si="38"/>
        <v>rg:None</v>
      </c>
      <c r="AF146" s="1">
        <v>42481</v>
      </c>
      <c r="AG146" s="4">
        <f t="shared" ca="1" si="39"/>
        <v>135.66666666666666</v>
      </c>
      <c r="AH146" s="4">
        <f t="shared" si="40"/>
        <v>2.1111111111111112</v>
      </c>
      <c r="AI146">
        <f t="shared" ca="1" si="41"/>
        <v>197</v>
      </c>
      <c r="AJ146">
        <f t="shared" ca="1" si="42"/>
        <v>20</v>
      </c>
      <c r="AK146">
        <f t="shared" ca="1" si="43"/>
        <v>0</v>
      </c>
      <c r="AL146" t="s">
        <v>326</v>
      </c>
      <c r="AO146" t="s">
        <v>76</v>
      </c>
      <c r="AP146" t="s">
        <v>6510</v>
      </c>
      <c r="AQ146" t="s">
        <v>6510</v>
      </c>
      <c r="AR146" t="s">
        <v>6510</v>
      </c>
      <c r="AS146" t="s">
        <v>6510</v>
      </c>
    </row>
    <row r="147" spans="1:45" x14ac:dyDescent="0.3">
      <c r="A147" t="s">
        <v>5630</v>
      </c>
      <c r="B147">
        <f t="shared" si="30"/>
        <v>200145</v>
      </c>
      <c r="C147">
        <v>200040</v>
      </c>
      <c r="D147" t="str">
        <f t="shared" si="31"/>
        <v>rg:{'id': '200040'}</v>
      </c>
      <c r="E147">
        <f>VLOOKUP(C147,Owners.csv!C:J,6,FALSE)</f>
        <v>200002</v>
      </c>
      <c r="F147" t="str">
        <f>VLOOKUP(VLOOKUP(E147,LocalAreas.csv!I:K,3,FALSE),ServiceAreas.csv!F:J,5,FALSE)</f>
        <v>200009</v>
      </c>
      <c r="G147" t="str">
        <f t="shared" si="32"/>
        <v>rg:{'id': '200002'}</v>
      </c>
      <c r="H147" t="s">
        <v>7741</v>
      </c>
      <c r="I147" t="s">
        <v>5651</v>
      </c>
      <c r="J147">
        <f>VLOOKUP(I147&amp;"-"&amp;F147,DistrictEquipmentTypes.csv!J:K,2,FALSE)</f>
        <v>200006</v>
      </c>
      <c r="K147" t="str">
        <f t="shared" si="33"/>
        <v>rg:{'id': '200006'}</v>
      </c>
      <c r="L147">
        <f t="shared" si="34"/>
        <v>1</v>
      </c>
      <c r="M147" t="str">
        <f>VLOOKUP(C147,Owners.csv!C:K,9,FALSE)&amp;TEXT(Equipment.csv!L147,"0000")</f>
        <v>HUGH0001</v>
      </c>
      <c r="N147" t="s">
        <v>5401</v>
      </c>
      <c r="O147" t="s">
        <v>6798</v>
      </c>
      <c r="P147">
        <v>2017</v>
      </c>
      <c r="Q147">
        <v>140</v>
      </c>
      <c r="R147" t="s">
        <v>6663</v>
      </c>
      <c r="S147" s="1">
        <v>40500</v>
      </c>
      <c r="T147" s="1">
        <v>40505</v>
      </c>
      <c r="U147" t="str">
        <f t="shared" ca="1" si="35"/>
        <v>rg:False</v>
      </c>
      <c r="V147" t="str">
        <f t="shared" ca="1" si="36"/>
        <v>rg:None</v>
      </c>
      <c r="W147" t="s">
        <v>7196</v>
      </c>
      <c r="X147" t="s">
        <v>76</v>
      </c>
      <c r="Y147" t="s">
        <v>76</v>
      </c>
      <c r="Z147" t="s">
        <v>76</v>
      </c>
      <c r="AA147" t="s">
        <v>7543</v>
      </c>
      <c r="AB147" t="s">
        <v>7260</v>
      </c>
      <c r="AC147">
        <v>0</v>
      </c>
      <c r="AD147" t="str">
        <f t="shared" ca="1" si="37"/>
        <v>rg:False</v>
      </c>
      <c r="AE147" t="str">
        <f t="shared" ca="1" si="38"/>
        <v>rg:None</v>
      </c>
      <c r="AF147" s="1">
        <v>42481</v>
      </c>
      <c r="AG147" s="4">
        <f t="shared" ca="1" si="39"/>
        <v>430.66666666666663</v>
      </c>
      <c r="AH147" s="4">
        <f t="shared" si="40"/>
        <v>5.3555555555555552</v>
      </c>
      <c r="AI147">
        <f t="shared" ca="1" si="41"/>
        <v>134</v>
      </c>
      <c r="AJ147">
        <f t="shared" ca="1" si="42"/>
        <v>100</v>
      </c>
      <c r="AK147">
        <f t="shared" ca="1" si="43"/>
        <v>94</v>
      </c>
      <c r="AL147" t="s">
        <v>326</v>
      </c>
      <c r="AO147" t="s">
        <v>76</v>
      </c>
      <c r="AP147" t="s">
        <v>6510</v>
      </c>
      <c r="AQ147" t="s">
        <v>6510</v>
      </c>
      <c r="AR147" t="s">
        <v>6510</v>
      </c>
      <c r="AS147" t="s">
        <v>6510</v>
      </c>
    </row>
    <row r="148" spans="1:45" x14ac:dyDescent="0.3">
      <c r="A148" t="s">
        <v>5630</v>
      </c>
      <c r="B148">
        <f t="shared" si="30"/>
        <v>200146</v>
      </c>
      <c r="C148">
        <v>200040</v>
      </c>
      <c r="D148" t="str">
        <f t="shared" si="31"/>
        <v>rg:{'id': '200040'}</v>
      </c>
      <c r="E148">
        <f>VLOOKUP(C148,Owners.csv!C:J,6,FALSE)</f>
        <v>200002</v>
      </c>
      <c r="F148" t="str">
        <f>VLOOKUP(VLOOKUP(E148,LocalAreas.csv!I:K,3,FALSE),ServiceAreas.csv!F:J,5,FALSE)</f>
        <v>200009</v>
      </c>
      <c r="G148" t="str">
        <f t="shared" si="32"/>
        <v>rg:{'id': '200002'}</v>
      </c>
      <c r="H148" t="s">
        <v>7707</v>
      </c>
      <c r="I148" t="s">
        <v>5651</v>
      </c>
      <c r="J148">
        <f>VLOOKUP(I148&amp;"-"&amp;F148,DistrictEquipmentTypes.csv!J:K,2,FALSE)</f>
        <v>200006</v>
      </c>
      <c r="K148" t="str">
        <f t="shared" si="33"/>
        <v>rg:{'id': '200006'}</v>
      </c>
      <c r="L148">
        <f t="shared" si="34"/>
        <v>2</v>
      </c>
      <c r="M148" t="str">
        <f>VLOOKUP(C148,Owners.csv!C:K,9,FALSE)&amp;TEXT(Equipment.csv!L148,"0000")</f>
        <v>HUGH0002</v>
      </c>
      <c r="N148" t="s">
        <v>5401</v>
      </c>
      <c r="O148" t="s">
        <v>6818</v>
      </c>
      <c r="P148">
        <v>2004</v>
      </c>
      <c r="Q148">
        <v>160</v>
      </c>
      <c r="R148" t="s">
        <v>6663</v>
      </c>
      <c r="S148" s="1">
        <v>39866</v>
      </c>
      <c r="T148" s="1">
        <v>39883</v>
      </c>
      <c r="U148" t="str">
        <f t="shared" ca="1" si="35"/>
        <v>rg:False</v>
      </c>
      <c r="V148" t="str">
        <f t="shared" ca="1" si="36"/>
        <v>rg:None</v>
      </c>
      <c r="W148" t="s">
        <v>7216</v>
      </c>
      <c r="X148" t="s">
        <v>76</v>
      </c>
      <c r="Y148" t="s">
        <v>76</v>
      </c>
      <c r="Z148" t="s">
        <v>76</v>
      </c>
      <c r="AA148" t="s">
        <v>7563</v>
      </c>
      <c r="AB148" t="s">
        <v>7382</v>
      </c>
      <c r="AC148">
        <v>0</v>
      </c>
      <c r="AD148" t="str">
        <f t="shared" ca="1" si="37"/>
        <v>rg:True</v>
      </c>
      <c r="AE148" t="str">
        <f t="shared" ca="1" si="38"/>
        <v>Seniority overridden to test things</v>
      </c>
      <c r="AF148" s="1">
        <v>42481</v>
      </c>
      <c r="AG148" s="4">
        <f t="shared" ca="1" si="39"/>
        <v>489</v>
      </c>
      <c r="AH148" s="4">
        <f t="shared" si="40"/>
        <v>7.0555555555555554</v>
      </c>
      <c r="AI148">
        <f t="shared" ca="1" si="41"/>
        <v>85</v>
      </c>
      <c r="AJ148">
        <f t="shared" ca="1" si="42"/>
        <v>62</v>
      </c>
      <c r="AK148">
        <f t="shared" ca="1" si="43"/>
        <v>50</v>
      </c>
      <c r="AL148" t="s">
        <v>326</v>
      </c>
      <c r="AO148" t="s">
        <v>76</v>
      </c>
      <c r="AP148" t="s">
        <v>6510</v>
      </c>
      <c r="AQ148" t="s">
        <v>6510</v>
      </c>
      <c r="AR148" t="s">
        <v>6510</v>
      </c>
      <c r="AS148" t="s">
        <v>6510</v>
      </c>
    </row>
    <row r="149" spans="1:45" x14ac:dyDescent="0.3">
      <c r="A149" t="s">
        <v>5630</v>
      </c>
      <c r="B149">
        <f t="shared" si="30"/>
        <v>200147</v>
      </c>
      <c r="C149">
        <v>200040</v>
      </c>
      <c r="D149" t="str">
        <f t="shared" si="31"/>
        <v>rg:{'id': '200040'}</v>
      </c>
      <c r="E149">
        <f>VLOOKUP(C149,Owners.csv!C:J,6,FALSE)</f>
        <v>200002</v>
      </c>
      <c r="F149" t="str">
        <f>VLOOKUP(VLOOKUP(E149,LocalAreas.csv!I:K,3,FALSE),ServiceAreas.csv!F:J,5,FALSE)</f>
        <v>200009</v>
      </c>
      <c r="G149" t="str">
        <f t="shared" si="32"/>
        <v>rg:{'id': '200002'}</v>
      </c>
      <c r="H149" t="s">
        <v>7736</v>
      </c>
      <c r="I149" t="s">
        <v>5637</v>
      </c>
      <c r="J149">
        <f>VLOOKUP(I149&amp;"-"&amp;F149,DistrictEquipmentTypes.csv!J:K,2,FALSE)</f>
        <v>200001</v>
      </c>
      <c r="K149" t="str">
        <f t="shared" si="33"/>
        <v>rg:{'id': '200001'}</v>
      </c>
      <c r="L149">
        <f t="shared" si="34"/>
        <v>3</v>
      </c>
      <c r="M149" t="str">
        <f>VLOOKUP(C149,Owners.csv!C:K,9,FALSE)&amp;TEXT(Equipment.csv!L149,"0000")</f>
        <v>HUGH0003</v>
      </c>
      <c r="N149" t="s">
        <v>5401</v>
      </c>
      <c r="O149" t="s">
        <v>6824</v>
      </c>
      <c r="P149">
        <v>2010</v>
      </c>
      <c r="Q149">
        <v>166</v>
      </c>
      <c r="R149" t="s">
        <v>6663</v>
      </c>
      <c r="S149" s="1">
        <v>38450</v>
      </c>
      <c r="T149" s="1">
        <v>38472</v>
      </c>
      <c r="U149" t="str">
        <f t="shared" ca="1" si="35"/>
        <v>rg:True</v>
      </c>
      <c r="V149" t="str">
        <f t="shared" ca="1" si="36"/>
        <v>This equipment should be archived</v>
      </c>
      <c r="W149" t="s">
        <v>7222</v>
      </c>
      <c r="X149" t="s">
        <v>76</v>
      </c>
      <c r="Y149" t="s">
        <v>76</v>
      </c>
      <c r="Z149" t="s">
        <v>76</v>
      </c>
      <c r="AA149" t="s">
        <v>7569</v>
      </c>
      <c r="AB149" t="s">
        <v>7324</v>
      </c>
      <c r="AC149">
        <v>0</v>
      </c>
      <c r="AD149" t="str">
        <f t="shared" ca="1" si="37"/>
        <v>rg:False</v>
      </c>
      <c r="AE149" t="str">
        <f t="shared" ca="1" si="38"/>
        <v>rg:None</v>
      </c>
      <c r="AF149" s="1">
        <v>42481</v>
      </c>
      <c r="AG149" s="4">
        <f t="shared" ca="1" si="39"/>
        <v>391.25</v>
      </c>
      <c r="AH149" s="4">
        <f t="shared" si="40"/>
        <v>10.919444444444444</v>
      </c>
      <c r="AI149">
        <f t="shared" ca="1" si="41"/>
        <v>165</v>
      </c>
      <c r="AJ149">
        <f t="shared" ca="1" si="42"/>
        <v>26</v>
      </c>
      <c r="AK149">
        <f t="shared" ca="1" si="43"/>
        <v>0</v>
      </c>
      <c r="AL149" t="s">
        <v>326</v>
      </c>
      <c r="AO149" t="s">
        <v>76</v>
      </c>
      <c r="AP149" t="s">
        <v>6510</v>
      </c>
      <c r="AQ149" t="s">
        <v>6510</v>
      </c>
      <c r="AR149" t="s">
        <v>6510</v>
      </c>
      <c r="AS149" t="s">
        <v>6510</v>
      </c>
    </row>
    <row r="150" spans="1:45" x14ac:dyDescent="0.3">
      <c r="A150" t="s">
        <v>5630</v>
      </c>
      <c r="B150">
        <f t="shared" si="30"/>
        <v>200148</v>
      </c>
      <c r="C150">
        <v>200040</v>
      </c>
      <c r="D150" t="str">
        <f t="shared" si="31"/>
        <v>rg:{'id': '200040'}</v>
      </c>
      <c r="E150">
        <f>VLOOKUP(C150,Owners.csv!C:J,6,FALSE)</f>
        <v>200002</v>
      </c>
      <c r="F150" t="str">
        <f>VLOOKUP(VLOOKUP(E150,LocalAreas.csv!I:K,3,FALSE),ServiceAreas.csv!F:J,5,FALSE)</f>
        <v>200009</v>
      </c>
      <c r="G150" t="str">
        <f t="shared" si="32"/>
        <v>rg:{'id': '200002'}</v>
      </c>
      <c r="H150" t="s">
        <v>7759</v>
      </c>
      <c r="I150" t="s">
        <v>5536</v>
      </c>
      <c r="J150">
        <f>VLOOKUP(I150&amp;"-"&amp;F150,DistrictEquipmentTypes.csv!J:K,2,FALSE)</f>
        <v>200000</v>
      </c>
      <c r="K150" t="str">
        <f t="shared" si="33"/>
        <v>rg:{'id': '200000'}</v>
      </c>
      <c r="L150">
        <f t="shared" si="34"/>
        <v>4</v>
      </c>
      <c r="M150" t="str">
        <f>VLOOKUP(C150,Owners.csv!C:K,9,FALSE)&amp;TEXT(Equipment.csv!L150,"0000")</f>
        <v>HUGH0004</v>
      </c>
      <c r="N150" t="s">
        <v>5401</v>
      </c>
      <c r="O150" t="s">
        <v>6844</v>
      </c>
      <c r="P150">
        <v>2001</v>
      </c>
      <c r="Q150">
        <v>186</v>
      </c>
      <c r="R150" t="s">
        <v>6663</v>
      </c>
      <c r="S150" s="1">
        <v>38147</v>
      </c>
      <c r="T150" s="1">
        <v>38150</v>
      </c>
      <c r="U150" t="str">
        <f t="shared" ca="1" si="35"/>
        <v>rg:False</v>
      </c>
      <c r="V150" t="str">
        <f t="shared" ca="1" si="36"/>
        <v>rg:None</v>
      </c>
      <c r="W150" t="s">
        <v>7242</v>
      </c>
      <c r="X150" t="s">
        <v>76</v>
      </c>
      <c r="Y150" t="s">
        <v>76</v>
      </c>
      <c r="Z150" t="s">
        <v>76</v>
      </c>
      <c r="AA150" t="s">
        <v>7589</v>
      </c>
      <c r="AB150" t="s">
        <v>7395</v>
      </c>
      <c r="AC150">
        <v>0</v>
      </c>
      <c r="AD150" t="str">
        <f t="shared" ca="1" si="37"/>
        <v>rg:False</v>
      </c>
      <c r="AE150" t="str">
        <f t="shared" ca="1" si="38"/>
        <v>rg:None</v>
      </c>
      <c r="AF150" s="1">
        <v>42481</v>
      </c>
      <c r="AG150" s="4">
        <f t="shared" ca="1" si="39"/>
        <v>420.41666666666663</v>
      </c>
      <c r="AH150" s="4">
        <f t="shared" si="40"/>
        <v>11.802777777777777</v>
      </c>
      <c r="AI150">
        <f t="shared" ca="1" si="41"/>
        <v>62</v>
      </c>
      <c r="AJ150">
        <f t="shared" ca="1" si="42"/>
        <v>52</v>
      </c>
      <c r="AK150">
        <f t="shared" ca="1" si="43"/>
        <v>85</v>
      </c>
      <c r="AL150" t="s">
        <v>326</v>
      </c>
      <c r="AO150" t="s">
        <v>76</v>
      </c>
      <c r="AP150" t="s">
        <v>6510</v>
      </c>
      <c r="AQ150" t="s">
        <v>6510</v>
      </c>
      <c r="AR150" t="s">
        <v>6510</v>
      </c>
      <c r="AS150" t="s">
        <v>6510</v>
      </c>
    </row>
    <row r="151" spans="1:45" x14ac:dyDescent="0.3">
      <c r="A151" t="s">
        <v>5630</v>
      </c>
      <c r="B151">
        <f t="shared" si="30"/>
        <v>200149</v>
      </c>
      <c r="C151">
        <v>200041</v>
      </c>
      <c r="D151" t="str">
        <f t="shared" si="31"/>
        <v>rg:{'id': '200041'}</v>
      </c>
      <c r="E151">
        <f>VLOOKUP(C151,Owners.csv!C:J,6,FALSE)</f>
        <v>200002</v>
      </c>
      <c r="F151" t="str">
        <f>VLOOKUP(VLOOKUP(E151,LocalAreas.csv!I:K,3,FALSE),ServiceAreas.csv!F:J,5,FALSE)</f>
        <v>200009</v>
      </c>
      <c r="G151" t="str">
        <f t="shared" si="32"/>
        <v>rg:{'id': '200002'}</v>
      </c>
      <c r="H151" t="s">
        <v>7725</v>
      </c>
      <c r="I151" t="s">
        <v>5651</v>
      </c>
      <c r="J151">
        <f>VLOOKUP(I151&amp;"-"&amp;F151,DistrictEquipmentTypes.csv!J:K,2,FALSE)</f>
        <v>200006</v>
      </c>
      <c r="K151" t="str">
        <f t="shared" si="33"/>
        <v>rg:{'id': '200006'}</v>
      </c>
      <c r="L151">
        <f t="shared" si="34"/>
        <v>1</v>
      </c>
      <c r="M151" t="str">
        <f>VLOOKUP(C151,Owners.csv!C:K,9,FALSE)&amp;TEXT(Equipment.csv!L151,"0000")</f>
        <v>HUGH0001</v>
      </c>
      <c r="N151" t="s">
        <v>5401</v>
      </c>
      <c r="O151" t="s">
        <v>6799</v>
      </c>
      <c r="P151">
        <v>2008</v>
      </c>
      <c r="Q151">
        <v>141</v>
      </c>
      <c r="R151" t="s">
        <v>6663</v>
      </c>
      <c r="S151" s="1">
        <v>40901</v>
      </c>
      <c r="T151" s="1">
        <v>40927</v>
      </c>
      <c r="U151" t="str">
        <f t="shared" ca="1" si="35"/>
        <v>rg:False</v>
      </c>
      <c r="V151" t="str">
        <f t="shared" ca="1" si="36"/>
        <v>rg:None</v>
      </c>
      <c r="W151" t="s">
        <v>7197</v>
      </c>
      <c r="X151" t="s">
        <v>76</v>
      </c>
      <c r="Y151" t="s">
        <v>76</v>
      </c>
      <c r="Z151" t="s">
        <v>76</v>
      </c>
      <c r="AA151" t="s">
        <v>7544</v>
      </c>
      <c r="AB151" t="s">
        <v>7369</v>
      </c>
      <c r="AC151">
        <v>0</v>
      </c>
      <c r="AD151" t="str">
        <f t="shared" ca="1" si="37"/>
        <v>rg:False</v>
      </c>
      <c r="AE151" t="str">
        <f t="shared" ca="1" si="38"/>
        <v>rg:None</v>
      </c>
      <c r="AF151" s="1">
        <v>42481</v>
      </c>
      <c r="AG151" s="4">
        <f t="shared" ca="1" si="39"/>
        <v>337.66666666666669</v>
      </c>
      <c r="AH151" s="4">
        <f t="shared" si="40"/>
        <v>4.2</v>
      </c>
      <c r="AI151">
        <f t="shared" ca="1" si="41"/>
        <v>138</v>
      </c>
      <c r="AJ151">
        <f t="shared" ca="1" si="42"/>
        <v>7</v>
      </c>
      <c r="AK151">
        <f t="shared" ca="1" si="43"/>
        <v>112</v>
      </c>
      <c r="AL151" t="s">
        <v>326</v>
      </c>
      <c r="AO151" t="s">
        <v>76</v>
      </c>
      <c r="AP151" t="s">
        <v>6510</v>
      </c>
      <c r="AQ151" t="s">
        <v>6510</v>
      </c>
      <c r="AR151" t="s">
        <v>6510</v>
      </c>
      <c r="AS151" t="s">
        <v>6510</v>
      </c>
    </row>
    <row r="152" spans="1:45" x14ac:dyDescent="0.3">
      <c r="A152" t="s">
        <v>5630</v>
      </c>
      <c r="B152">
        <f t="shared" si="30"/>
        <v>200150</v>
      </c>
      <c r="C152">
        <v>200041</v>
      </c>
      <c r="D152" t="str">
        <f t="shared" si="31"/>
        <v>rg:{'id': '200041'}</v>
      </c>
      <c r="E152">
        <f>VLOOKUP(C152,Owners.csv!C:J,6,FALSE)</f>
        <v>200002</v>
      </c>
      <c r="F152" t="str">
        <f>VLOOKUP(VLOOKUP(E152,LocalAreas.csv!I:K,3,FALSE),ServiceAreas.csv!F:J,5,FALSE)</f>
        <v>200009</v>
      </c>
      <c r="G152" t="str">
        <f t="shared" si="32"/>
        <v>rg:{'id': '200002'}</v>
      </c>
      <c r="H152" t="s">
        <v>7680</v>
      </c>
      <c r="I152" t="s">
        <v>5651</v>
      </c>
      <c r="J152">
        <f>VLOOKUP(I152&amp;"-"&amp;F152,DistrictEquipmentTypes.csv!J:K,2,FALSE)</f>
        <v>200006</v>
      </c>
      <c r="K152" t="str">
        <f t="shared" si="33"/>
        <v>rg:{'id': '200006'}</v>
      </c>
      <c r="L152">
        <f t="shared" si="34"/>
        <v>2</v>
      </c>
      <c r="M152" t="str">
        <f>VLOOKUP(C152,Owners.csv!C:K,9,FALSE)&amp;TEXT(Equipment.csv!L152,"0000")</f>
        <v>HUGH0002</v>
      </c>
      <c r="N152" t="s">
        <v>5401</v>
      </c>
      <c r="O152" t="s">
        <v>6819</v>
      </c>
      <c r="P152">
        <v>1981</v>
      </c>
      <c r="Q152">
        <v>161</v>
      </c>
      <c r="R152" t="s">
        <v>6663</v>
      </c>
      <c r="S152" s="1">
        <v>40054</v>
      </c>
      <c r="T152" s="1">
        <v>40085</v>
      </c>
      <c r="U152" t="str">
        <f t="shared" ca="1" si="35"/>
        <v>rg:False</v>
      </c>
      <c r="V152" t="str">
        <f t="shared" ca="1" si="36"/>
        <v>rg:None</v>
      </c>
      <c r="W152" t="s">
        <v>7217</v>
      </c>
      <c r="X152" t="s">
        <v>76</v>
      </c>
      <c r="Y152" t="s">
        <v>76</v>
      </c>
      <c r="Z152" t="s">
        <v>76</v>
      </c>
      <c r="AA152" t="s">
        <v>7564</v>
      </c>
      <c r="AB152" t="s">
        <v>7383</v>
      </c>
      <c r="AC152">
        <v>0</v>
      </c>
      <c r="AD152" t="str">
        <f t="shared" ca="1" si="37"/>
        <v>rg:False</v>
      </c>
      <c r="AE152" t="str">
        <f t="shared" ca="1" si="38"/>
        <v>rg:None</v>
      </c>
      <c r="AF152" s="1">
        <v>42481</v>
      </c>
      <c r="AG152" s="4">
        <f t="shared" ca="1" si="39"/>
        <v>464.33333333333331</v>
      </c>
      <c r="AH152" s="4">
        <f t="shared" si="40"/>
        <v>6.5055555555555555</v>
      </c>
      <c r="AI152">
        <f t="shared" ca="1" si="41"/>
        <v>5</v>
      </c>
      <c r="AJ152">
        <f t="shared" ca="1" si="42"/>
        <v>151</v>
      </c>
      <c r="AK152">
        <f t="shared" ca="1" si="43"/>
        <v>66</v>
      </c>
      <c r="AL152" t="s">
        <v>326</v>
      </c>
      <c r="AO152" t="s">
        <v>76</v>
      </c>
      <c r="AP152" t="s">
        <v>6510</v>
      </c>
      <c r="AQ152" t="s">
        <v>6510</v>
      </c>
      <c r="AR152" t="s">
        <v>6510</v>
      </c>
      <c r="AS152" t="s">
        <v>6510</v>
      </c>
    </row>
    <row r="153" spans="1:45" x14ac:dyDescent="0.3">
      <c r="A153" t="s">
        <v>5630</v>
      </c>
      <c r="B153">
        <f t="shared" si="30"/>
        <v>200151</v>
      </c>
      <c r="C153">
        <v>200041</v>
      </c>
      <c r="D153" t="str">
        <f t="shared" si="31"/>
        <v>rg:{'id': '200041'}</v>
      </c>
      <c r="E153">
        <f>VLOOKUP(C153,Owners.csv!C:J,6,FALSE)</f>
        <v>200002</v>
      </c>
      <c r="F153" t="str">
        <f>VLOOKUP(VLOOKUP(E153,LocalAreas.csv!I:K,3,FALSE),ServiceAreas.csv!F:J,5,FALSE)</f>
        <v>200009</v>
      </c>
      <c r="G153" t="str">
        <f t="shared" si="32"/>
        <v>rg:{'id': '200002'}</v>
      </c>
      <c r="H153" t="s">
        <v>7722</v>
      </c>
      <c r="I153" t="s">
        <v>5637</v>
      </c>
      <c r="J153">
        <f>VLOOKUP(I153&amp;"-"&amp;F153,DistrictEquipmentTypes.csv!J:K,2,FALSE)</f>
        <v>200001</v>
      </c>
      <c r="K153" t="str">
        <f t="shared" si="33"/>
        <v>rg:{'id': '200001'}</v>
      </c>
      <c r="L153">
        <f t="shared" si="34"/>
        <v>3</v>
      </c>
      <c r="M153" t="str">
        <f>VLOOKUP(C153,Owners.csv!C:K,9,FALSE)&amp;TEXT(Equipment.csv!L153,"0000")</f>
        <v>HUGH0003</v>
      </c>
      <c r="N153" t="s">
        <v>5401</v>
      </c>
      <c r="O153" t="s">
        <v>6825</v>
      </c>
      <c r="P153">
        <v>2014</v>
      </c>
      <c r="Q153">
        <v>167</v>
      </c>
      <c r="R153" t="s">
        <v>6663</v>
      </c>
      <c r="S153" s="1">
        <v>40734</v>
      </c>
      <c r="T153" s="1">
        <v>40735</v>
      </c>
      <c r="U153" t="str">
        <f t="shared" ca="1" si="35"/>
        <v>rg:True</v>
      </c>
      <c r="V153" t="str">
        <f t="shared" ca="1" si="36"/>
        <v>This equipment should be archived</v>
      </c>
      <c r="W153" t="s">
        <v>7223</v>
      </c>
      <c r="X153" t="s">
        <v>76</v>
      </c>
      <c r="Y153" t="s">
        <v>76</v>
      </c>
      <c r="Z153" t="s">
        <v>76</v>
      </c>
      <c r="AA153" t="s">
        <v>7570</v>
      </c>
      <c r="AB153" t="s">
        <v>7386</v>
      </c>
      <c r="AC153">
        <v>0</v>
      </c>
      <c r="AD153" t="str">
        <f t="shared" ca="1" si="37"/>
        <v>rg:False</v>
      </c>
      <c r="AE153" t="str">
        <f t="shared" ca="1" si="38"/>
        <v>rg:None</v>
      </c>
      <c r="AF153" s="1">
        <v>42481</v>
      </c>
      <c r="AG153" s="4">
        <f t="shared" ca="1" si="39"/>
        <v>251.33333333333331</v>
      </c>
      <c r="AH153" s="4">
        <f t="shared" si="40"/>
        <v>4.7222222222222223</v>
      </c>
      <c r="AI153">
        <f t="shared" ca="1" si="41"/>
        <v>114</v>
      </c>
      <c r="AJ153">
        <f t="shared" ca="1" si="42"/>
        <v>139</v>
      </c>
      <c r="AK153">
        <f t="shared" ca="1" si="43"/>
        <v>76</v>
      </c>
      <c r="AL153" t="s">
        <v>326</v>
      </c>
      <c r="AO153" t="s">
        <v>76</v>
      </c>
      <c r="AP153" t="s">
        <v>6510</v>
      </c>
      <c r="AQ153" t="s">
        <v>6510</v>
      </c>
      <c r="AR153" t="s">
        <v>6510</v>
      </c>
      <c r="AS153" t="s">
        <v>6510</v>
      </c>
    </row>
    <row r="154" spans="1:45" x14ac:dyDescent="0.3">
      <c r="A154" t="s">
        <v>5630</v>
      </c>
      <c r="B154">
        <f t="shared" si="30"/>
        <v>200152</v>
      </c>
      <c r="C154">
        <v>200041</v>
      </c>
      <c r="D154" t="str">
        <f t="shared" si="31"/>
        <v>rg:{'id': '200041'}</v>
      </c>
      <c r="E154">
        <f>VLOOKUP(C154,Owners.csv!C:J,6,FALSE)</f>
        <v>200002</v>
      </c>
      <c r="F154" t="str">
        <f>VLOOKUP(VLOOKUP(E154,LocalAreas.csv!I:K,3,FALSE),ServiceAreas.csv!F:J,5,FALSE)</f>
        <v>200009</v>
      </c>
      <c r="G154" t="str">
        <f t="shared" si="32"/>
        <v>rg:{'id': '200002'}</v>
      </c>
      <c r="H154" t="s">
        <v>7760</v>
      </c>
      <c r="I154" t="s">
        <v>5536</v>
      </c>
      <c r="J154">
        <f>VLOOKUP(I154&amp;"-"&amp;F154,DistrictEquipmentTypes.csv!J:K,2,FALSE)</f>
        <v>200000</v>
      </c>
      <c r="K154" t="str">
        <f t="shared" si="33"/>
        <v>rg:{'id': '200000'}</v>
      </c>
      <c r="L154">
        <f t="shared" si="34"/>
        <v>4</v>
      </c>
      <c r="M154" t="str">
        <f>VLOOKUP(C154,Owners.csv!C:K,9,FALSE)&amp;TEXT(Equipment.csv!L154,"0000")</f>
        <v>HUGH0004</v>
      </c>
      <c r="N154" t="s">
        <v>5401</v>
      </c>
      <c r="O154" t="s">
        <v>6845</v>
      </c>
      <c r="P154">
        <v>1985</v>
      </c>
      <c r="Q154">
        <v>187</v>
      </c>
      <c r="R154" t="s">
        <v>6663</v>
      </c>
      <c r="S154" s="1">
        <v>40540</v>
      </c>
      <c r="T154" s="1">
        <v>40547</v>
      </c>
      <c r="U154" t="str">
        <f t="shared" ca="1" si="35"/>
        <v>rg:False</v>
      </c>
      <c r="V154" t="str">
        <f t="shared" ca="1" si="36"/>
        <v>rg:None</v>
      </c>
      <c r="W154" t="s">
        <v>7243</v>
      </c>
      <c r="X154" t="s">
        <v>76</v>
      </c>
      <c r="Y154" t="s">
        <v>76</v>
      </c>
      <c r="Z154" t="s">
        <v>76</v>
      </c>
      <c r="AA154" t="s">
        <v>7590</v>
      </c>
      <c r="AB154" t="s">
        <v>7396</v>
      </c>
      <c r="AC154">
        <v>0</v>
      </c>
      <c r="AD154" t="str">
        <f t="shared" ca="1" si="37"/>
        <v>rg:False</v>
      </c>
      <c r="AE154" t="str">
        <f t="shared" ca="1" si="38"/>
        <v>rg:None</v>
      </c>
      <c r="AF154" s="1">
        <v>42481</v>
      </c>
      <c r="AG154" s="4">
        <f t="shared" ca="1" si="39"/>
        <v>246.58333333333331</v>
      </c>
      <c r="AH154" s="4">
        <f t="shared" si="40"/>
        <v>5.2416666666666663</v>
      </c>
      <c r="AI154">
        <f t="shared" ca="1" si="41"/>
        <v>83</v>
      </c>
      <c r="AJ154">
        <f t="shared" ca="1" si="42"/>
        <v>16</v>
      </c>
      <c r="AK154">
        <f t="shared" ca="1" si="43"/>
        <v>169</v>
      </c>
      <c r="AL154" t="s">
        <v>326</v>
      </c>
      <c r="AO154" t="s">
        <v>76</v>
      </c>
      <c r="AP154" t="s">
        <v>6510</v>
      </c>
      <c r="AQ154" t="s">
        <v>6510</v>
      </c>
      <c r="AR154" t="s">
        <v>6510</v>
      </c>
      <c r="AS154" t="s">
        <v>6510</v>
      </c>
    </row>
    <row r="155" spans="1:45" x14ac:dyDescent="0.3">
      <c r="A155" t="s">
        <v>5630</v>
      </c>
      <c r="B155">
        <f t="shared" si="30"/>
        <v>200153</v>
      </c>
      <c r="C155">
        <v>200042</v>
      </c>
      <c r="D155" t="str">
        <f t="shared" si="31"/>
        <v>rg:{'id': '200042'}</v>
      </c>
      <c r="E155">
        <f>VLOOKUP(C155,Owners.csv!C:J,6,FALSE)</f>
        <v>200002</v>
      </c>
      <c r="F155" t="str">
        <f>VLOOKUP(VLOOKUP(E155,LocalAreas.csv!I:K,3,FALSE),ServiceAreas.csv!F:J,5,FALSE)</f>
        <v>200009</v>
      </c>
      <c r="G155" t="str">
        <f t="shared" si="32"/>
        <v>rg:{'id': '200002'}</v>
      </c>
      <c r="H155" t="s">
        <v>7741</v>
      </c>
      <c r="I155" t="s">
        <v>5651</v>
      </c>
      <c r="J155">
        <f>VLOOKUP(I155&amp;"-"&amp;F155,DistrictEquipmentTypes.csv!J:K,2,FALSE)</f>
        <v>200006</v>
      </c>
      <c r="K155" t="str">
        <f t="shared" si="33"/>
        <v>rg:{'id': '200006'}</v>
      </c>
      <c r="L155">
        <f t="shared" si="34"/>
        <v>1</v>
      </c>
      <c r="M155" t="str">
        <f>VLOOKUP(C155,Owners.csv!C:K,9,FALSE)&amp;TEXT(Equipment.csv!L155,"0000")</f>
        <v>INDI0001</v>
      </c>
      <c r="N155" t="s">
        <v>5401</v>
      </c>
      <c r="O155" t="s">
        <v>6800</v>
      </c>
      <c r="P155">
        <v>1989</v>
      </c>
      <c r="Q155">
        <v>142</v>
      </c>
      <c r="R155" t="s">
        <v>6663</v>
      </c>
      <c r="S155" s="1">
        <v>42386</v>
      </c>
      <c r="T155" s="1">
        <v>42413</v>
      </c>
      <c r="U155" t="str">
        <f t="shared" ca="1" si="35"/>
        <v>rg:False</v>
      </c>
      <c r="V155" t="str">
        <f t="shared" ca="1" si="36"/>
        <v>rg:None</v>
      </c>
      <c r="W155" t="s">
        <v>7198</v>
      </c>
      <c r="X155" t="s">
        <v>76</v>
      </c>
      <c r="Y155" t="s">
        <v>76</v>
      </c>
      <c r="Z155" t="s">
        <v>76</v>
      </c>
      <c r="AA155" t="s">
        <v>7545</v>
      </c>
      <c r="AB155" t="s">
        <v>7370</v>
      </c>
      <c r="AC155">
        <v>0</v>
      </c>
      <c r="AD155" t="str">
        <f t="shared" ca="1" si="37"/>
        <v>rg:False</v>
      </c>
      <c r="AE155" t="str">
        <f t="shared" ca="1" si="38"/>
        <v>rg:None</v>
      </c>
      <c r="AF155" s="1">
        <v>42481</v>
      </c>
      <c r="AG155" s="4">
        <f t="shared" ca="1" si="39"/>
        <v>8</v>
      </c>
      <c r="AH155" s="4">
        <f t="shared" si="40"/>
        <v>0.13333333333333333</v>
      </c>
      <c r="AI155">
        <f t="shared" ca="1" si="41"/>
        <v>0</v>
      </c>
      <c r="AJ155">
        <f t="shared" ca="1" si="42"/>
        <v>0</v>
      </c>
      <c r="AK155">
        <f t="shared" ca="1" si="43"/>
        <v>0</v>
      </c>
      <c r="AL155" t="s">
        <v>326</v>
      </c>
      <c r="AO155" t="s">
        <v>76</v>
      </c>
      <c r="AP155" t="s">
        <v>6510</v>
      </c>
      <c r="AQ155" t="s">
        <v>6510</v>
      </c>
      <c r="AR155" t="s">
        <v>6510</v>
      </c>
      <c r="AS155" t="s">
        <v>6510</v>
      </c>
    </row>
    <row r="156" spans="1:45" x14ac:dyDescent="0.3">
      <c r="A156" t="s">
        <v>5630</v>
      </c>
      <c r="B156">
        <f t="shared" si="30"/>
        <v>200154</v>
      </c>
      <c r="C156">
        <v>200042</v>
      </c>
      <c r="D156" t="str">
        <f t="shared" si="31"/>
        <v>rg:{'id': '200042'}</v>
      </c>
      <c r="E156">
        <f>VLOOKUP(C156,Owners.csv!C:J,6,FALSE)</f>
        <v>200002</v>
      </c>
      <c r="F156" t="str">
        <f>VLOOKUP(VLOOKUP(E156,LocalAreas.csv!I:K,3,FALSE),ServiceAreas.csv!F:J,5,FALSE)</f>
        <v>200009</v>
      </c>
      <c r="G156" t="str">
        <f t="shared" si="32"/>
        <v>rg:{'id': '200002'}</v>
      </c>
      <c r="H156" t="s">
        <v>7750</v>
      </c>
      <c r="I156" t="s">
        <v>5651</v>
      </c>
      <c r="J156">
        <f>VLOOKUP(I156&amp;"-"&amp;F156,DistrictEquipmentTypes.csv!J:K,2,FALSE)</f>
        <v>200006</v>
      </c>
      <c r="K156" t="str">
        <f t="shared" si="33"/>
        <v>rg:{'id': '200006'}</v>
      </c>
      <c r="L156">
        <f t="shared" si="34"/>
        <v>2</v>
      </c>
      <c r="M156" t="str">
        <f>VLOOKUP(C156,Owners.csv!C:K,9,FALSE)&amp;TEXT(Equipment.csv!L156,"0000")</f>
        <v>INDI0002</v>
      </c>
      <c r="N156" t="s">
        <v>5401</v>
      </c>
      <c r="O156" t="s">
        <v>6820</v>
      </c>
      <c r="P156">
        <v>2001</v>
      </c>
      <c r="Q156">
        <v>162</v>
      </c>
      <c r="R156" t="s">
        <v>6663</v>
      </c>
      <c r="S156" s="1">
        <v>40216</v>
      </c>
      <c r="T156" s="1">
        <v>40237</v>
      </c>
      <c r="U156" t="str">
        <f t="shared" ca="1" si="35"/>
        <v>rg:False</v>
      </c>
      <c r="V156" t="str">
        <f t="shared" ca="1" si="36"/>
        <v>rg:None</v>
      </c>
      <c r="W156" t="s">
        <v>7218</v>
      </c>
      <c r="X156" t="s">
        <v>76</v>
      </c>
      <c r="Y156" t="s">
        <v>76</v>
      </c>
      <c r="Z156" t="s">
        <v>76</v>
      </c>
      <c r="AA156" t="s">
        <v>7565</v>
      </c>
      <c r="AB156" t="s">
        <v>7384</v>
      </c>
      <c r="AC156">
        <v>0</v>
      </c>
      <c r="AD156" t="str">
        <f t="shared" ca="1" si="37"/>
        <v>rg:False</v>
      </c>
      <c r="AE156" t="str">
        <f t="shared" ca="1" si="38"/>
        <v>rg:None</v>
      </c>
      <c r="AF156" s="1">
        <v>42481</v>
      </c>
      <c r="AG156" s="4">
        <f t="shared" ca="1" si="39"/>
        <v>409.5</v>
      </c>
      <c r="AH156" s="4">
        <f t="shared" si="40"/>
        <v>6.0861111111111112</v>
      </c>
      <c r="AI156">
        <f t="shared" ca="1" si="41"/>
        <v>101</v>
      </c>
      <c r="AJ156">
        <f t="shared" ca="1" si="42"/>
        <v>31</v>
      </c>
      <c r="AK156">
        <f t="shared" ca="1" si="43"/>
        <v>1</v>
      </c>
      <c r="AL156" t="s">
        <v>326</v>
      </c>
      <c r="AO156" t="s">
        <v>76</v>
      </c>
      <c r="AP156" t="s">
        <v>6510</v>
      </c>
      <c r="AQ156" t="s">
        <v>6510</v>
      </c>
      <c r="AR156" t="s">
        <v>6510</v>
      </c>
      <c r="AS156" t="s">
        <v>6510</v>
      </c>
    </row>
    <row r="157" spans="1:45" x14ac:dyDescent="0.3">
      <c r="A157" t="s">
        <v>5630</v>
      </c>
      <c r="B157">
        <f t="shared" si="30"/>
        <v>200155</v>
      </c>
      <c r="C157">
        <v>200042</v>
      </c>
      <c r="D157" t="str">
        <f t="shared" si="31"/>
        <v>rg:{'id': '200042'}</v>
      </c>
      <c r="E157">
        <f>VLOOKUP(C157,Owners.csv!C:J,6,FALSE)</f>
        <v>200002</v>
      </c>
      <c r="F157" t="str">
        <f>VLOOKUP(VLOOKUP(E157,LocalAreas.csv!I:K,3,FALSE),ServiceAreas.csv!F:J,5,FALSE)</f>
        <v>200009</v>
      </c>
      <c r="G157" t="str">
        <f t="shared" si="32"/>
        <v>rg:{'id': '200002'}</v>
      </c>
      <c r="H157" t="s">
        <v>7751</v>
      </c>
      <c r="I157" t="s">
        <v>5637</v>
      </c>
      <c r="J157">
        <f>VLOOKUP(I157&amp;"-"&amp;F157,DistrictEquipmentTypes.csv!J:K,2,FALSE)</f>
        <v>200001</v>
      </c>
      <c r="K157" t="str">
        <f t="shared" si="33"/>
        <v>rg:{'id': '200001'}</v>
      </c>
      <c r="L157">
        <f t="shared" si="34"/>
        <v>3</v>
      </c>
      <c r="M157" t="str">
        <f>VLOOKUP(C157,Owners.csv!C:K,9,FALSE)&amp;TEXT(Equipment.csv!L157,"0000")</f>
        <v>INDI0003</v>
      </c>
      <c r="N157" t="s">
        <v>5401</v>
      </c>
      <c r="O157" t="s">
        <v>6826</v>
      </c>
      <c r="P157">
        <v>1997</v>
      </c>
      <c r="Q157">
        <v>168</v>
      </c>
      <c r="R157" t="s">
        <v>6663</v>
      </c>
      <c r="S157" s="1">
        <v>40265</v>
      </c>
      <c r="T157" s="1">
        <v>40290</v>
      </c>
      <c r="U157" t="str">
        <f t="shared" ca="1" si="35"/>
        <v>rg:False</v>
      </c>
      <c r="V157" t="str">
        <f t="shared" ca="1" si="36"/>
        <v>rg:None</v>
      </c>
      <c r="W157" t="s">
        <v>7224</v>
      </c>
      <c r="X157" t="s">
        <v>76</v>
      </c>
      <c r="Y157" t="s">
        <v>76</v>
      </c>
      <c r="Z157" t="s">
        <v>76</v>
      </c>
      <c r="AA157" t="s">
        <v>7571</v>
      </c>
      <c r="AB157" t="s">
        <v>7387</v>
      </c>
      <c r="AC157">
        <v>0</v>
      </c>
      <c r="AD157" t="str">
        <f t="shared" ca="1" si="37"/>
        <v>rg:False</v>
      </c>
      <c r="AE157" t="str">
        <f t="shared" ca="1" si="38"/>
        <v>rg:None</v>
      </c>
      <c r="AF157" s="1">
        <v>42481</v>
      </c>
      <c r="AG157" s="4">
        <f t="shared" ca="1" si="39"/>
        <v>247.91666666666669</v>
      </c>
      <c r="AH157" s="4">
        <f t="shared" si="40"/>
        <v>5.9416666666666664</v>
      </c>
      <c r="AI157">
        <f t="shared" ca="1" si="41"/>
        <v>45</v>
      </c>
      <c r="AJ157">
        <f t="shared" ca="1" si="42"/>
        <v>133</v>
      </c>
      <c r="AK157">
        <f t="shared" ca="1" si="43"/>
        <v>31</v>
      </c>
      <c r="AL157" t="s">
        <v>5689</v>
      </c>
      <c r="AM157" t="s">
        <v>6882</v>
      </c>
      <c r="AN157" s="1">
        <v>42483</v>
      </c>
      <c r="AO157" t="s">
        <v>76</v>
      </c>
      <c r="AP157" t="s">
        <v>6510</v>
      </c>
      <c r="AQ157" t="s">
        <v>6510</v>
      </c>
      <c r="AR157" t="s">
        <v>6510</v>
      </c>
      <c r="AS157" t="s">
        <v>6510</v>
      </c>
    </row>
    <row r="158" spans="1:45" x14ac:dyDescent="0.3">
      <c r="A158" t="s">
        <v>5630</v>
      </c>
      <c r="B158">
        <f t="shared" si="30"/>
        <v>200156</v>
      </c>
      <c r="C158">
        <v>200042</v>
      </c>
      <c r="D158" t="str">
        <f t="shared" si="31"/>
        <v>rg:{'id': '200042'}</v>
      </c>
      <c r="E158">
        <f>VLOOKUP(C158,Owners.csv!C:J,6,FALSE)</f>
        <v>200002</v>
      </c>
      <c r="F158" t="str">
        <f>VLOOKUP(VLOOKUP(E158,LocalAreas.csv!I:K,3,FALSE),ServiceAreas.csv!F:J,5,FALSE)</f>
        <v>200009</v>
      </c>
      <c r="G158" t="str">
        <f t="shared" si="32"/>
        <v>rg:{'id': '200002'}</v>
      </c>
      <c r="H158" t="s">
        <v>7761</v>
      </c>
      <c r="I158" t="s">
        <v>5536</v>
      </c>
      <c r="J158">
        <f>VLOOKUP(I158&amp;"-"&amp;F158,DistrictEquipmentTypes.csv!J:K,2,FALSE)</f>
        <v>200000</v>
      </c>
      <c r="K158" t="str">
        <f t="shared" si="33"/>
        <v>rg:{'id': '200000'}</v>
      </c>
      <c r="L158">
        <f t="shared" si="34"/>
        <v>4</v>
      </c>
      <c r="M158" t="str">
        <f>VLOOKUP(C158,Owners.csv!C:K,9,FALSE)&amp;TEXT(Equipment.csv!L158,"0000")</f>
        <v>INDI0004</v>
      </c>
      <c r="N158" t="s">
        <v>5401</v>
      </c>
      <c r="O158" t="s">
        <v>6846</v>
      </c>
      <c r="P158">
        <v>1975</v>
      </c>
      <c r="Q158">
        <v>188</v>
      </c>
      <c r="R158" t="s">
        <v>6663</v>
      </c>
      <c r="S158" s="1">
        <v>40453</v>
      </c>
      <c r="T158" s="1">
        <v>40481</v>
      </c>
      <c r="U158" t="str">
        <f t="shared" ca="1" si="35"/>
        <v>rg:False</v>
      </c>
      <c r="V158" t="str">
        <f t="shared" ca="1" si="36"/>
        <v>rg:None</v>
      </c>
      <c r="W158" t="s">
        <v>7244</v>
      </c>
      <c r="X158" t="s">
        <v>76</v>
      </c>
      <c r="Y158" t="s">
        <v>76</v>
      </c>
      <c r="Z158" t="s">
        <v>76</v>
      </c>
      <c r="AA158" t="s">
        <v>7591</v>
      </c>
      <c r="AB158" t="s">
        <v>7319</v>
      </c>
      <c r="AC158">
        <v>0</v>
      </c>
      <c r="AD158" t="str">
        <f t="shared" ca="1" si="37"/>
        <v>rg:True</v>
      </c>
      <c r="AE158" t="str">
        <f t="shared" ca="1" si="38"/>
        <v>Seniority overridden to test things</v>
      </c>
      <c r="AF158" s="1">
        <v>42481</v>
      </c>
      <c r="AG158" s="4">
        <f t="shared" ca="1" si="39"/>
        <v>234.25</v>
      </c>
      <c r="AH158" s="4">
        <f t="shared" si="40"/>
        <v>5.4194444444444443</v>
      </c>
      <c r="AI158">
        <f t="shared" ca="1" si="41"/>
        <v>80</v>
      </c>
      <c r="AJ158">
        <f t="shared" ca="1" si="42"/>
        <v>58</v>
      </c>
      <c r="AK158">
        <f t="shared" ca="1" si="43"/>
        <v>77</v>
      </c>
      <c r="AL158" t="s">
        <v>326</v>
      </c>
      <c r="AO158" t="s">
        <v>76</v>
      </c>
      <c r="AP158" t="s">
        <v>6510</v>
      </c>
      <c r="AQ158" t="s">
        <v>6510</v>
      </c>
      <c r="AR158" t="s">
        <v>6510</v>
      </c>
      <c r="AS158" t="s">
        <v>6510</v>
      </c>
    </row>
    <row r="159" spans="1:45" x14ac:dyDescent="0.3">
      <c r="A159" t="s">
        <v>5630</v>
      </c>
      <c r="B159">
        <f t="shared" si="30"/>
        <v>200157</v>
      </c>
      <c r="C159">
        <v>200043</v>
      </c>
      <c r="D159" t="str">
        <f t="shared" si="31"/>
        <v>rg:{'id': '200043'}</v>
      </c>
      <c r="E159">
        <f>VLOOKUP(C159,Owners.csv!C:J,6,FALSE)</f>
        <v>200002</v>
      </c>
      <c r="F159" t="str">
        <f>VLOOKUP(VLOOKUP(E159,LocalAreas.csv!I:K,3,FALSE),ServiceAreas.csv!F:J,5,FALSE)</f>
        <v>200009</v>
      </c>
      <c r="G159" t="str">
        <f t="shared" si="32"/>
        <v>rg:{'id': '200002'}</v>
      </c>
      <c r="H159" t="s">
        <v>7742</v>
      </c>
      <c r="I159" t="s">
        <v>5651</v>
      </c>
      <c r="J159">
        <f>VLOOKUP(I159&amp;"-"&amp;F159,DistrictEquipmentTypes.csv!J:K,2,FALSE)</f>
        <v>200006</v>
      </c>
      <c r="K159" t="str">
        <f t="shared" si="33"/>
        <v>rg:{'id': '200006'}</v>
      </c>
      <c r="L159">
        <f t="shared" si="34"/>
        <v>1</v>
      </c>
      <c r="M159" t="str">
        <f>VLOOKUP(C159,Owners.csv!C:K,9,FALSE)&amp;TEXT(Equipment.csv!L159,"0000")</f>
        <v>JBRA0001</v>
      </c>
      <c r="N159" t="s">
        <v>5401</v>
      </c>
      <c r="O159" t="s">
        <v>6801</v>
      </c>
      <c r="P159">
        <v>1986</v>
      </c>
      <c r="Q159">
        <v>143</v>
      </c>
      <c r="R159" t="s">
        <v>6663</v>
      </c>
      <c r="S159" s="1">
        <v>39864</v>
      </c>
      <c r="T159" s="1">
        <v>39877</v>
      </c>
      <c r="U159" t="str">
        <f t="shared" ca="1" si="35"/>
        <v>rg:False</v>
      </c>
      <c r="V159" t="str">
        <f t="shared" ca="1" si="36"/>
        <v>rg:None</v>
      </c>
      <c r="W159" t="s">
        <v>7199</v>
      </c>
      <c r="X159" t="s">
        <v>76</v>
      </c>
      <c r="Y159" t="s">
        <v>76</v>
      </c>
      <c r="Z159" t="s">
        <v>76</v>
      </c>
      <c r="AA159" t="s">
        <v>7546</v>
      </c>
      <c r="AB159" t="s">
        <v>7358</v>
      </c>
      <c r="AC159">
        <v>0</v>
      </c>
      <c r="AD159" t="str">
        <f t="shared" ca="1" si="37"/>
        <v>rg:False</v>
      </c>
      <c r="AE159" t="str">
        <f t="shared" ca="1" si="38"/>
        <v>rg:None</v>
      </c>
      <c r="AF159" s="1">
        <v>42481</v>
      </c>
      <c r="AG159" s="4">
        <f t="shared" ca="1" si="39"/>
        <v>496</v>
      </c>
      <c r="AH159" s="4">
        <f t="shared" si="40"/>
        <v>7.072222222222222</v>
      </c>
      <c r="AI159">
        <f t="shared" ca="1" si="41"/>
        <v>190</v>
      </c>
      <c r="AJ159">
        <f t="shared" ca="1" si="42"/>
        <v>12</v>
      </c>
      <c r="AK159">
        <f t="shared" ca="1" si="43"/>
        <v>13</v>
      </c>
      <c r="AL159" t="s">
        <v>326</v>
      </c>
      <c r="AO159" t="s">
        <v>76</v>
      </c>
      <c r="AP159" t="s">
        <v>6510</v>
      </c>
      <c r="AQ159" t="s">
        <v>6510</v>
      </c>
      <c r="AR159" t="s">
        <v>6510</v>
      </c>
      <c r="AS159" t="s">
        <v>6510</v>
      </c>
    </row>
    <row r="160" spans="1:45" x14ac:dyDescent="0.3">
      <c r="A160" t="s">
        <v>5630</v>
      </c>
      <c r="B160">
        <f t="shared" si="30"/>
        <v>200158</v>
      </c>
      <c r="C160">
        <v>200043</v>
      </c>
      <c r="D160" t="str">
        <f t="shared" si="31"/>
        <v>rg:{'id': '200043'}</v>
      </c>
      <c r="E160">
        <f>VLOOKUP(C160,Owners.csv!C:J,6,FALSE)</f>
        <v>200002</v>
      </c>
      <c r="F160" t="str">
        <f>VLOOKUP(VLOOKUP(E160,LocalAreas.csv!I:K,3,FALSE),ServiceAreas.csv!F:J,5,FALSE)</f>
        <v>200009</v>
      </c>
      <c r="G160" t="str">
        <f t="shared" si="32"/>
        <v>rg:{'id': '200002'}</v>
      </c>
      <c r="H160" t="s">
        <v>7735</v>
      </c>
      <c r="I160" t="s">
        <v>5651</v>
      </c>
      <c r="J160">
        <f>VLOOKUP(I160&amp;"-"&amp;F160,DistrictEquipmentTypes.csv!J:K,2,FALSE)</f>
        <v>200006</v>
      </c>
      <c r="K160" t="str">
        <f t="shared" si="33"/>
        <v>rg:{'id': '200006'}</v>
      </c>
      <c r="L160">
        <f t="shared" si="34"/>
        <v>2</v>
      </c>
      <c r="M160" t="str">
        <f>VLOOKUP(C160,Owners.csv!C:K,9,FALSE)&amp;TEXT(Equipment.csv!L160,"0000")</f>
        <v>JBRA0002</v>
      </c>
      <c r="N160" t="s">
        <v>5401</v>
      </c>
      <c r="O160" t="s">
        <v>6821</v>
      </c>
      <c r="P160">
        <v>2001</v>
      </c>
      <c r="Q160">
        <v>163</v>
      </c>
      <c r="R160" t="s">
        <v>6663</v>
      </c>
      <c r="S160" s="1">
        <v>41394</v>
      </c>
      <c r="T160" s="1">
        <v>41395</v>
      </c>
      <c r="U160" t="str">
        <f t="shared" ca="1" si="35"/>
        <v>rg:False</v>
      </c>
      <c r="V160" t="str">
        <f t="shared" ca="1" si="36"/>
        <v>rg:None</v>
      </c>
      <c r="W160" t="s">
        <v>7219</v>
      </c>
      <c r="X160" t="s">
        <v>76</v>
      </c>
      <c r="Y160" t="s">
        <v>76</v>
      </c>
      <c r="Z160" t="s">
        <v>76</v>
      </c>
      <c r="AA160" t="s">
        <v>7566</v>
      </c>
      <c r="AB160" t="s">
        <v>7312</v>
      </c>
      <c r="AC160">
        <v>0</v>
      </c>
      <c r="AD160" t="str">
        <f t="shared" ca="1" si="37"/>
        <v>rg:False</v>
      </c>
      <c r="AE160" t="str">
        <f t="shared" ca="1" si="38"/>
        <v>rg:None</v>
      </c>
      <c r="AF160" s="1">
        <v>42481</v>
      </c>
      <c r="AG160" s="4">
        <f t="shared" ca="1" si="39"/>
        <v>205.66666666666666</v>
      </c>
      <c r="AH160" s="4">
        <f t="shared" si="40"/>
        <v>2.9166666666666665</v>
      </c>
      <c r="AI160">
        <f t="shared" ca="1" si="41"/>
        <v>68</v>
      </c>
      <c r="AJ160">
        <f t="shared" ca="1" si="42"/>
        <v>24</v>
      </c>
      <c r="AK160">
        <f t="shared" ca="1" si="43"/>
        <v>0</v>
      </c>
      <c r="AL160" t="s">
        <v>326</v>
      </c>
      <c r="AO160" t="s">
        <v>76</v>
      </c>
      <c r="AP160" t="s">
        <v>6510</v>
      </c>
      <c r="AQ160" t="s">
        <v>6510</v>
      </c>
      <c r="AR160" t="s">
        <v>6510</v>
      </c>
      <c r="AS160" t="s">
        <v>6510</v>
      </c>
    </row>
    <row r="161" spans="1:45" x14ac:dyDescent="0.3">
      <c r="A161" t="s">
        <v>5630</v>
      </c>
      <c r="B161">
        <f t="shared" si="30"/>
        <v>200159</v>
      </c>
      <c r="C161">
        <v>200043</v>
      </c>
      <c r="D161" t="str">
        <f t="shared" si="31"/>
        <v>rg:{'id': '200043'}</v>
      </c>
      <c r="E161">
        <f>VLOOKUP(C161,Owners.csv!C:J,6,FALSE)</f>
        <v>200002</v>
      </c>
      <c r="F161" t="str">
        <f>VLOOKUP(VLOOKUP(E161,LocalAreas.csv!I:K,3,FALSE),ServiceAreas.csv!F:J,5,FALSE)</f>
        <v>200009</v>
      </c>
      <c r="G161" t="str">
        <f t="shared" si="32"/>
        <v>rg:{'id': '200002'}</v>
      </c>
      <c r="H161" t="s">
        <v>7722</v>
      </c>
      <c r="I161" t="s">
        <v>5637</v>
      </c>
      <c r="J161">
        <f>VLOOKUP(I161&amp;"-"&amp;F161,DistrictEquipmentTypes.csv!J:K,2,FALSE)</f>
        <v>200001</v>
      </c>
      <c r="K161" t="str">
        <f t="shared" si="33"/>
        <v>rg:{'id': '200001'}</v>
      </c>
      <c r="L161">
        <f t="shared" si="34"/>
        <v>3</v>
      </c>
      <c r="M161" t="str">
        <f>VLOOKUP(C161,Owners.csv!C:K,9,FALSE)&amp;TEXT(Equipment.csv!L161,"0000")</f>
        <v>JBRA0003</v>
      </c>
      <c r="N161" t="s">
        <v>5401</v>
      </c>
      <c r="O161" t="s">
        <v>6827</v>
      </c>
      <c r="P161">
        <v>1973</v>
      </c>
      <c r="Q161">
        <v>169</v>
      </c>
      <c r="R161" t="s">
        <v>6663</v>
      </c>
      <c r="S161" s="1">
        <v>38181</v>
      </c>
      <c r="T161" s="1">
        <v>38198</v>
      </c>
      <c r="U161" t="str">
        <f t="shared" ca="1" si="35"/>
        <v>rg:False</v>
      </c>
      <c r="V161" t="str">
        <f t="shared" ca="1" si="36"/>
        <v>rg:None</v>
      </c>
      <c r="W161" t="s">
        <v>7225</v>
      </c>
      <c r="X161" t="s">
        <v>76</v>
      </c>
      <c r="Y161" t="s">
        <v>76</v>
      </c>
      <c r="Z161" t="s">
        <v>76</v>
      </c>
      <c r="AA161" t="s">
        <v>7572</v>
      </c>
      <c r="AB161" t="s">
        <v>7370</v>
      </c>
      <c r="AC161">
        <v>0</v>
      </c>
      <c r="AD161" t="str">
        <f t="shared" ca="1" si="37"/>
        <v>rg:False</v>
      </c>
      <c r="AE161" t="str">
        <f t="shared" ca="1" si="38"/>
        <v>rg:None</v>
      </c>
      <c r="AF161" s="1">
        <v>42481</v>
      </c>
      <c r="AG161" s="4">
        <f t="shared" ca="1" si="39"/>
        <v>467.75</v>
      </c>
      <c r="AH161" s="4">
        <f t="shared" si="40"/>
        <v>11.669444444444444</v>
      </c>
      <c r="AI161">
        <f t="shared" ca="1" si="41"/>
        <v>184</v>
      </c>
      <c r="AJ161">
        <f t="shared" ca="1" si="42"/>
        <v>157</v>
      </c>
      <c r="AK161">
        <f t="shared" ca="1" si="43"/>
        <v>12</v>
      </c>
      <c r="AL161" t="s">
        <v>326</v>
      </c>
      <c r="AO161" t="s">
        <v>76</v>
      </c>
      <c r="AP161" t="s">
        <v>6510</v>
      </c>
      <c r="AQ161" t="s">
        <v>6510</v>
      </c>
      <c r="AR161" t="s">
        <v>6510</v>
      </c>
      <c r="AS161" t="s">
        <v>6510</v>
      </c>
    </row>
    <row r="162" spans="1:45" x14ac:dyDescent="0.3">
      <c r="A162" t="s">
        <v>5630</v>
      </c>
      <c r="B162">
        <f t="shared" si="30"/>
        <v>200160</v>
      </c>
      <c r="C162">
        <v>200043</v>
      </c>
      <c r="D162" t="str">
        <f t="shared" si="31"/>
        <v>rg:{'id': '200043'}</v>
      </c>
      <c r="E162">
        <f>VLOOKUP(C162,Owners.csv!C:J,6,FALSE)</f>
        <v>200002</v>
      </c>
      <c r="F162" t="str">
        <f>VLOOKUP(VLOOKUP(E162,LocalAreas.csv!I:K,3,FALSE),ServiceAreas.csv!F:J,5,FALSE)</f>
        <v>200009</v>
      </c>
      <c r="G162" t="str">
        <f t="shared" si="32"/>
        <v>rg:{'id': '200002'}</v>
      </c>
      <c r="H162" t="s">
        <v>7656</v>
      </c>
      <c r="I162" t="s">
        <v>5536</v>
      </c>
      <c r="J162">
        <f>VLOOKUP(I162&amp;"-"&amp;F162,DistrictEquipmentTypes.csv!J:K,2,FALSE)</f>
        <v>200000</v>
      </c>
      <c r="K162" t="str">
        <f t="shared" si="33"/>
        <v>rg:{'id': '200000'}</v>
      </c>
      <c r="L162">
        <f t="shared" si="34"/>
        <v>4</v>
      </c>
      <c r="M162" t="str">
        <f>VLOOKUP(C162,Owners.csv!C:K,9,FALSE)&amp;TEXT(Equipment.csv!L162,"0000")</f>
        <v>JBRA0004</v>
      </c>
      <c r="N162" t="s">
        <v>5401</v>
      </c>
      <c r="O162" t="s">
        <v>6847</v>
      </c>
      <c r="P162">
        <v>1997</v>
      </c>
      <c r="Q162">
        <v>189</v>
      </c>
      <c r="R162" t="s">
        <v>6663</v>
      </c>
      <c r="S162" s="1">
        <v>42116</v>
      </c>
      <c r="T162" s="1">
        <v>42144</v>
      </c>
      <c r="U162" t="str">
        <f t="shared" ca="1" si="35"/>
        <v>rg:False</v>
      </c>
      <c r="V162" t="str">
        <f t="shared" ca="1" si="36"/>
        <v>rg:None</v>
      </c>
      <c r="W162" t="s">
        <v>7245</v>
      </c>
      <c r="X162" t="s">
        <v>76</v>
      </c>
      <c r="Y162" t="s">
        <v>76</v>
      </c>
      <c r="Z162" t="s">
        <v>76</v>
      </c>
      <c r="AA162" t="s">
        <v>7592</v>
      </c>
      <c r="AB162" t="s">
        <v>7397</v>
      </c>
      <c r="AC162">
        <v>0</v>
      </c>
      <c r="AD162" t="str">
        <f t="shared" ca="1" si="37"/>
        <v>rg:False</v>
      </c>
      <c r="AE162" t="str">
        <f t="shared" ref="AE162:AE193" ca="1" si="44">IF(AD162="rg:True","Seniority overridden to test things","rg:None")</f>
        <v>rg:None</v>
      </c>
      <c r="AF162" s="1">
        <v>42481</v>
      </c>
      <c r="AG162" s="4">
        <f t="shared" ca="1" si="39"/>
        <v>25.916666666666668</v>
      </c>
      <c r="AH162" s="4">
        <f t="shared" si="40"/>
        <v>0.86388888888888893</v>
      </c>
      <c r="AI162">
        <f t="shared" ca="1" si="41"/>
        <v>0</v>
      </c>
      <c r="AJ162">
        <f t="shared" ca="1" si="42"/>
        <v>0</v>
      </c>
      <c r="AK162">
        <f t="shared" ca="1" si="43"/>
        <v>0</v>
      </c>
      <c r="AL162" t="s">
        <v>326</v>
      </c>
      <c r="AO162" t="s">
        <v>76</v>
      </c>
      <c r="AP162" t="s">
        <v>6510</v>
      </c>
      <c r="AQ162" t="s">
        <v>6510</v>
      </c>
      <c r="AR162" t="s">
        <v>6510</v>
      </c>
      <c r="AS162" t="s">
        <v>6510</v>
      </c>
    </row>
    <row r="163" spans="1:45" x14ac:dyDescent="0.3">
      <c r="A163" t="s">
        <v>5630</v>
      </c>
      <c r="B163">
        <f t="shared" si="30"/>
        <v>200161</v>
      </c>
      <c r="C163">
        <v>200044</v>
      </c>
      <c r="D163" t="str">
        <f t="shared" si="31"/>
        <v>rg:{'id': '200044'}</v>
      </c>
      <c r="E163">
        <f>VLOOKUP(C163,Owners.csv!C:J,6,FALSE)</f>
        <v>200002</v>
      </c>
      <c r="F163" t="str">
        <f>VLOOKUP(VLOOKUP(E163,LocalAreas.csv!I:K,3,FALSE),ServiceAreas.csv!F:J,5,FALSE)</f>
        <v>200009</v>
      </c>
      <c r="G163" t="str">
        <f t="shared" si="32"/>
        <v>rg:{'id': '200002'}</v>
      </c>
      <c r="H163" t="s">
        <v>7649</v>
      </c>
      <c r="I163" t="s">
        <v>5651</v>
      </c>
      <c r="J163">
        <f>VLOOKUP(I163&amp;"-"&amp;F163,DistrictEquipmentTypes.csv!J:K,2,FALSE)</f>
        <v>200006</v>
      </c>
      <c r="K163" t="str">
        <f t="shared" si="33"/>
        <v>rg:{'id': '200006'}</v>
      </c>
      <c r="L163">
        <f t="shared" si="34"/>
        <v>1</v>
      </c>
      <c r="M163" t="str">
        <f>VLOOKUP(C163,Owners.csv!C:K,9,FALSE)&amp;TEXT(Equipment.csv!L163,"0000")</f>
        <v>JEAN0001</v>
      </c>
      <c r="N163" t="s">
        <v>5401</v>
      </c>
      <c r="O163" t="s">
        <v>6802</v>
      </c>
      <c r="P163">
        <v>2003</v>
      </c>
      <c r="Q163">
        <v>144</v>
      </c>
      <c r="R163" t="s">
        <v>6663</v>
      </c>
      <c r="S163" s="1">
        <v>41573</v>
      </c>
      <c r="T163" s="1">
        <v>41591</v>
      </c>
      <c r="U163" t="str">
        <f t="shared" ca="1" si="35"/>
        <v>rg:False</v>
      </c>
      <c r="V163" t="str">
        <f t="shared" ca="1" si="36"/>
        <v>rg:None</v>
      </c>
      <c r="W163" t="s">
        <v>7200</v>
      </c>
      <c r="X163" t="s">
        <v>76</v>
      </c>
      <c r="Y163" t="s">
        <v>76</v>
      </c>
      <c r="Z163" t="s">
        <v>76</v>
      </c>
      <c r="AA163" t="s">
        <v>7547</v>
      </c>
      <c r="AB163" t="s">
        <v>7371</v>
      </c>
      <c r="AC163">
        <v>0</v>
      </c>
      <c r="AD163" t="str">
        <f t="shared" ca="1" si="37"/>
        <v>rg:False</v>
      </c>
      <c r="AE163" t="str">
        <f t="shared" ca="1" si="44"/>
        <v>rg:None</v>
      </c>
      <c r="AF163" s="1">
        <v>42481</v>
      </c>
      <c r="AG163" s="4">
        <f t="shared" ca="1" si="39"/>
        <v>223.33333333333331</v>
      </c>
      <c r="AH163" s="4">
        <f t="shared" si="40"/>
        <v>2.3833333333333333</v>
      </c>
      <c r="AI163">
        <f t="shared" ca="1" si="41"/>
        <v>100</v>
      </c>
      <c r="AJ163">
        <f t="shared" ca="1" si="42"/>
        <v>141</v>
      </c>
      <c r="AK163">
        <f t="shared" ca="1" si="43"/>
        <v>0</v>
      </c>
      <c r="AL163" t="s">
        <v>326</v>
      </c>
      <c r="AO163" t="s">
        <v>76</v>
      </c>
      <c r="AP163" t="s">
        <v>6510</v>
      </c>
      <c r="AQ163" t="s">
        <v>6510</v>
      </c>
      <c r="AR163" t="s">
        <v>6510</v>
      </c>
      <c r="AS163" t="s">
        <v>6510</v>
      </c>
    </row>
    <row r="164" spans="1:45" x14ac:dyDescent="0.3">
      <c r="A164" t="s">
        <v>5630</v>
      </c>
      <c r="B164">
        <f t="shared" si="30"/>
        <v>200162</v>
      </c>
      <c r="C164">
        <v>200044</v>
      </c>
      <c r="D164" t="str">
        <f t="shared" si="31"/>
        <v>rg:{'id': '200044'}</v>
      </c>
      <c r="E164">
        <f>VLOOKUP(C164,Owners.csv!C:J,6,FALSE)</f>
        <v>200002</v>
      </c>
      <c r="F164" t="str">
        <f>VLOOKUP(VLOOKUP(E164,LocalAreas.csv!I:K,3,FALSE),ServiceAreas.csv!F:J,5,FALSE)</f>
        <v>200009</v>
      </c>
      <c r="G164" t="str">
        <f t="shared" si="32"/>
        <v>rg:{'id': '200002'}</v>
      </c>
      <c r="H164" t="s">
        <v>7677</v>
      </c>
      <c r="I164" t="s">
        <v>5637</v>
      </c>
      <c r="J164">
        <f>VLOOKUP(I164&amp;"-"&amp;F164,DistrictEquipmentTypes.csv!J:K,2,FALSE)</f>
        <v>200001</v>
      </c>
      <c r="K164" t="str">
        <f t="shared" si="33"/>
        <v>rg:{'id': '200001'}</v>
      </c>
      <c r="L164">
        <f t="shared" si="34"/>
        <v>2</v>
      </c>
      <c r="M164" t="str">
        <f>VLOOKUP(C164,Owners.csv!C:K,9,FALSE)&amp;TEXT(Equipment.csv!L164,"0000")</f>
        <v>JEAN0002</v>
      </c>
      <c r="N164" t="s">
        <v>5401</v>
      </c>
      <c r="O164" t="s">
        <v>6828</v>
      </c>
      <c r="P164">
        <v>2007</v>
      </c>
      <c r="Q164">
        <v>170</v>
      </c>
      <c r="R164" t="s">
        <v>6663</v>
      </c>
      <c r="S164" s="1">
        <v>40054</v>
      </c>
      <c r="T164" s="1">
        <v>40077</v>
      </c>
      <c r="U164" t="str">
        <f t="shared" ca="1" si="35"/>
        <v>rg:False</v>
      </c>
      <c r="V164" t="str">
        <f t="shared" ca="1" si="36"/>
        <v>rg:None</v>
      </c>
      <c r="W164" t="s">
        <v>7226</v>
      </c>
      <c r="X164" t="s">
        <v>76</v>
      </c>
      <c r="Y164" t="s">
        <v>76</v>
      </c>
      <c r="Z164" t="s">
        <v>76</v>
      </c>
      <c r="AA164" t="s">
        <v>7573</v>
      </c>
      <c r="AB164" t="s">
        <v>7337</v>
      </c>
      <c r="AC164">
        <v>0</v>
      </c>
      <c r="AD164" t="str">
        <f t="shared" ca="1" si="37"/>
        <v>rg:False</v>
      </c>
      <c r="AE164" t="str">
        <f t="shared" ca="1" si="44"/>
        <v>rg:None</v>
      </c>
      <c r="AF164" s="1">
        <v>42481</v>
      </c>
      <c r="AG164" s="4">
        <f t="shared" ca="1" si="39"/>
        <v>361.5</v>
      </c>
      <c r="AH164" s="4">
        <f t="shared" si="40"/>
        <v>6.5277777777777777</v>
      </c>
      <c r="AI164">
        <f t="shared" ca="1" si="41"/>
        <v>144</v>
      </c>
      <c r="AJ164">
        <f t="shared" ca="1" si="42"/>
        <v>191</v>
      </c>
      <c r="AK164">
        <f t="shared" ca="1" si="43"/>
        <v>162</v>
      </c>
      <c r="AL164" t="s">
        <v>326</v>
      </c>
      <c r="AO164" t="s">
        <v>76</v>
      </c>
      <c r="AP164" t="s">
        <v>6510</v>
      </c>
      <c r="AQ164" t="s">
        <v>6510</v>
      </c>
      <c r="AR164" t="s">
        <v>6510</v>
      </c>
      <c r="AS164" t="s">
        <v>6510</v>
      </c>
    </row>
    <row r="165" spans="1:45" x14ac:dyDescent="0.3">
      <c r="A165" t="s">
        <v>5630</v>
      </c>
      <c r="B165">
        <f t="shared" si="30"/>
        <v>200163</v>
      </c>
      <c r="C165">
        <v>200044</v>
      </c>
      <c r="D165" t="str">
        <f t="shared" si="31"/>
        <v>rg:{'id': '200044'}</v>
      </c>
      <c r="E165">
        <f>VLOOKUP(C165,Owners.csv!C:J,6,FALSE)</f>
        <v>200002</v>
      </c>
      <c r="F165" t="str">
        <f>VLOOKUP(VLOOKUP(E165,LocalAreas.csv!I:K,3,FALSE),ServiceAreas.csv!F:J,5,FALSE)</f>
        <v>200009</v>
      </c>
      <c r="G165" t="str">
        <f t="shared" si="32"/>
        <v>rg:{'id': '200002'}</v>
      </c>
      <c r="H165" t="s">
        <v>7705</v>
      </c>
      <c r="I165" t="s">
        <v>5536</v>
      </c>
      <c r="J165">
        <f>VLOOKUP(I165&amp;"-"&amp;F165,DistrictEquipmentTypes.csv!J:K,2,FALSE)</f>
        <v>200000</v>
      </c>
      <c r="K165" t="str">
        <f t="shared" si="33"/>
        <v>rg:{'id': '200000'}</v>
      </c>
      <c r="L165">
        <f t="shared" si="34"/>
        <v>3</v>
      </c>
      <c r="M165" t="str">
        <f>VLOOKUP(C165,Owners.csv!C:K,9,FALSE)&amp;TEXT(Equipment.csv!L165,"0000")</f>
        <v>JEAN0003</v>
      </c>
      <c r="N165" t="s">
        <v>5401</v>
      </c>
      <c r="O165" t="s">
        <v>6848</v>
      </c>
      <c r="P165">
        <v>2017</v>
      </c>
      <c r="Q165">
        <v>190</v>
      </c>
      <c r="R165" t="s">
        <v>6663</v>
      </c>
      <c r="S165" s="1">
        <v>37871</v>
      </c>
      <c r="T165" s="1">
        <v>37883</v>
      </c>
      <c r="U165" t="str">
        <f t="shared" ca="1" si="35"/>
        <v>rg:False</v>
      </c>
      <c r="V165" t="str">
        <f t="shared" ca="1" si="36"/>
        <v>rg:None</v>
      </c>
      <c r="W165" t="s">
        <v>7246</v>
      </c>
      <c r="X165" t="s">
        <v>76</v>
      </c>
      <c r="Y165" t="s">
        <v>76</v>
      </c>
      <c r="Z165" t="s">
        <v>76</v>
      </c>
      <c r="AA165" t="s">
        <v>7593</v>
      </c>
      <c r="AB165" t="s">
        <v>7389</v>
      </c>
      <c r="AC165">
        <v>0</v>
      </c>
      <c r="AD165" t="str">
        <f t="shared" ca="1" si="37"/>
        <v>rg:False</v>
      </c>
      <c r="AE165" t="str">
        <f t="shared" ca="1" si="44"/>
        <v>rg:None</v>
      </c>
      <c r="AF165" s="1">
        <v>42481</v>
      </c>
      <c r="AG165" s="4">
        <f t="shared" ca="1" si="39"/>
        <v>492.66666666666669</v>
      </c>
      <c r="AH165" s="4">
        <f t="shared" si="40"/>
        <v>12.533333333333333</v>
      </c>
      <c r="AI165">
        <f t="shared" ca="1" si="41"/>
        <v>137</v>
      </c>
      <c r="AJ165">
        <f t="shared" ca="1" si="42"/>
        <v>112</v>
      </c>
      <c r="AK165">
        <f t="shared" ca="1" si="43"/>
        <v>101</v>
      </c>
      <c r="AL165" t="s">
        <v>326</v>
      </c>
      <c r="AO165" t="s">
        <v>76</v>
      </c>
      <c r="AP165" t="s">
        <v>6510</v>
      </c>
      <c r="AQ165" t="s">
        <v>6510</v>
      </c>
      <c r="AR165" t="s">
        <v>6510</v>
      </c>
      <c r="AS165" t="s">
        <v>6510</v>
      </c>
    </row>
    <row r="166" spans="1:45" x14ac:dyDescent="0.3">
      <c r="A166" t="s">
        <v>5630</v>
      </c>
      <c r="B166">
        <f t="shared" si="30"/>
        <v>200164</v>
      </c>
      <c r="C166">
        <v>200045</v>
      </c>
      <c r="D166" t="str">
        <f t="shared" si="31"/>
        <v>rg:{'id': '200045'}</v>
      </c>
      <c r="E166">
        <f>VLOOKUP(C166,Owners.csv!C:J,6,FALSE)</f>
        <v>200002</v>
      </c>
      <c r="F166" t="str">
        <f>VLOOKUP(VLOOKUP(E166,LocalAreas.csv!I:K,3,FALSE),ServiceAreas.csv!F:J,5,FALSE)</f>
        <v>200009</v>
      </c>
      <c r="G166" t="str">
        <f t="shared" si="32"/>
        <v>rg:{'id': '200002'}</v>
      </c>
      <c r="H166" t="s">
        <v>7645</v>
      </c>
      <c r="I166" t="s">
        <v>5651</v>
      </c>
      <c r="J166">
        <f>VLOOKUP(I166&amp;"-"&amp;F166,DistrictEquipmentTypes.csv!J:K,2,FALSE)</f>
        <v>200006</v>
      </c>
      <c r="K166" t="str">
        <f t="shared" si="33"/>
        <v>rg:{'id': '200006'}</v>
      </c>
      <c r="L166">
        <f t="shared" si="34"/>
        <v>1</v>
      </c>
      <c r="M166" t="str">
        <f>VLOOKUP(C166,Owners.csv!C:K,9,FALSE)&amp;TEXT(Equipment.csv!L166,"0000")</f>
        <v>KBTO0001</v>
      </c>
      <c r="N166" t="s">
        <v>5401</v>
      </c>
      <c r="O166" t="s">
        <v>6803</v>
      </c>
      <c r="P166">
        <v>2002</v>
      </c>
      <c r="Q166">
        <v>145</v>
      </c>
      <c r="R166" t="s">
        <v>6663</v>
      </c>
      <c r="S166" s="1">
        <v>42134</v>
      </c>
      <c r="T166" s="1">
        <v>42141</v>
      </c>
      <c r="U166" t="str">
        <f t="shared" ca="1" si="35"/>
        <v>rg:False</v>
      </c>
      <c r="V166" t="str">
        <f t="shared" ca="1" si="36"/>
        <v>rg:None</v>
      </c>
      <c r="W166" t="s">
        <v>7201</v>
      </c>
      <c r="X166" t="s">
        <v>76</v>
      </c>
      <c r="Y166" t="s">
        <v>76</v>
      </c>
      <c r="Z166" t="s">
        <v>76</v>
      </c>
      <c r="AA166" t="s">
        <v>7548</v>
      </c>
      <c r="AB166" t="s">
        <v>7285</v>
      </c>
      <c r="AC166">
        <v>0</v>
      </c>
      <c r="AD166" t="str">
        <f t="shared" ca="1" si="37"/>
        <v>rg:False</v>
      </c>
      <c r="AE166" t="str">
        <f t="shared" ca="1" si="44"/>
        <v>rg:None</v>
      </c>
      <c r="AF166" s="1">
        <v>42481</v>
      </c>
      <c r="AG166" s="4">
        <f t="shared" ca="1" si="39"/>
        <v>52.333333333333336</v>
      </c>
      <c r="AH166" s="4">
        <f t="shared" si="40"/>
        <v>0.87222222222222223</v>
      </c>
      <c r="AI166">
        <f t="shared" ca="1" si="41"/>
        <v>0</v>
      </c>
      <c r="AJ166">
        <f t="shared" ca="1" si="42"/>
        <v>0</v>
      </c>
      <c r="AK166">
        <f t="shared" ca="1" si="43"/>
        <v>0</v>
      </c>
      <c r="AL166" t="s">
        <v>326</v>
      </c>
      <c r="AO166" t="s">
        <v>76</v>
      </c>
      <c r="AP166" t="s">
        <v>6510</v>
      </c>
      <c r="AQ166" t="s">
        <v>6510</v>
      </c>
      <c r="AR166" t="s">
        <v>6510</v>
      </c>
      <c r="AS166" t="s">
        <v>6510</v>
      </c>
    </row>
    <row r="167" spans="1:45" x14ac:dyDescent="0.3">
      <c r="A167" t="s">
        <v>5630</v>
      </c>
      <c r="B167">
        <f t="shared" si="30"/>
        <v>200165</v>
      </c>
      <c r="C167">
        <v>200045</v>
      </c>
      <c r="D167" t="str">
        <f t="shared" si="31"/>
        <v>rg:{'id': '200045'}</v>
      </c>
      <c r="E167">
        <f>VLOOKUP(C167,Owners.csv!C:J,6,FALSE)</f>
        <v>200002</v>
      </c>
      <c r="F167" t="str">
        <f>VLOOKUP(VLOOKUP(E167,LocalAreas.csv!I:K,3,FALSE),ServiceAreas.csv!F:J,5,FALSE)</f>
        <v>200009</v>
      </c>
      <c r="G167" t="str">
        <f t="shared" si="32"/>
        <v>rg:{'id': '200002'}</v>
      </c>
      <c r="H167" t="s">
        <v>7693</v>
      </c>
      <c r="I167" t="s">
        <v>5637</v>
      </c>
      <c r="J167">
        <f>VLOOKUP(I167&amp;"-"&amp;F167,DistrictEquipmentTypes.csv!J:K,2,FALSE)</f>
        <v>200001</v>
      </c>
      <c r="K167" t="str">
        <f t="shared" si="33"/>
        <v>rg:{'id': '200001'}</v>
      </c>
      <c r="L167">
        <f t="shared" si="34"/>
        <v>2</v>
      </c>
      <c r="M167" t="str">
        <f>VLOOKUP(C167,Owners.csv!C:K,9,FALSE)&amp;TEXT(Equipment.csv!L167,"0000")</f>
        <v>KBTO0002</v>
      </c>
      <c r="N167" t="s">
        <v>5401</v>
      </c>
      <c r="O167" t="s">
        <v>6829</v>
      </c>
      <c r="P167">
        <v>1986</v>
      </c>
      <c r="Q167">
        <v>171</v>
      </c>
      <c r="R167" t="s">
        <v>6663</v>
      </c>
      <c r="S167" s="1">
        <v>42233</v>
      </c>
      <c r="T167" s="1">
        <v>42262</v>
      </c>
      <c r="U167" t="str">
        <f t="shared" ca="1" si="35"/>
        <v>rg:False</v>
      </c>
      <c r="V167" t="str">
        <f t="shared" ca="1" si="36"/>
        <v>rg:None</v>
      </c>
      <c r="W167" t="s">
        <v>7227</v>
      </c>
      <c r="X167" t="s">
        <v>76</v>
      </c>
      <c r="Y167" t="s">
        <v>76</v>
      </c>
      <c r="Z167" t="s">
        <v>76</v>
      </c>
      <c r="AA167" t="s">
        <v>7574</v>
      </c>
      <c r="AB167" t="s">
        <v>7388</v>
      </c>
      <c r="AC167">
        <v>0</v>
      </c>
      <c r="AD167" t="str">
        <f t="shared" ca="1" si="37"/>
        <v>rg:False</v>
      </c>
      <c r="AE167" t="str">
        <f t="shared" ca="1" si="44"/>
        <v>rg:None</v>
      </c>
      <c r="AF167" s="1">
        <v>42481</v>
      </c>
      <c r="AG167" s="4">
        <f t="shared" ca="1" si="39"/>
        <v>16.333333333333332</v>
      </c>
      <c r="AH167" s="4">
        <f t="shared" si="40"/>
        <v>0.5444444444444444</v>
      </c>
      <c r="AI167">
        <f t="shared" ca="1" si="41"/>
        <v>0</v>
      </c>
      <c r="AJ167">
        <f t="shared" ca="1" si="42"/>
        <v>0</v>
      </c>
      <c r="AK167">
        <f t="shared" ca="1" si="43"/>
        <v>0</v>
      </c>
      <c r="AL167" t="s">
        <v>326</v>
      </c>
      <c r="AO167" t="s">
        <v>76</v>
      </c>
      <c r="AP167" t="s">
        <v>6510</v>
      </c>
      <c r="AQ167" t="s">
        <v>6510</v>
      </c>
      <c r="AR167" t="s">
        <v>6510</v>
      </c>
      <c r="AS167" t="s">
        <v>6510</v>
      </c>
    </row>
    <row r="168" spans="1:45" x14ac:dyDescent="0.3">
      <c r="A168" t="s">
        <v>5630</v>
      </c>
      <c r="B168">
        <f t="shared" si="30"/>
        <v>200166</v>
      </c>
      <c r="C168">
        <v>200045</v>
      </c>
      <c r="D168" t="str">
        <f t="shared" si="31"/>
        <v>rg:{'id': '200045'}</v>
      </c>
      <c r="E168">
        <f>VLOOKUP(C168,Owners.csv!C:J,6,FALSE)</f>
        <v>200002</v>
      </c>
      <c r="F168" t="str">
        <f>VLOOKUP(VLOOKUP(E168,LocalAreas.csv!I:K,3,FALSE),ServiceAreas.csv!F:J,5,FALSE)</f>
        <v>200009</v>
      </c>
      <c r="G168" t="str">
        <f t="shared" si="32"/>
        <v>rg:{'id': '200002'}</v>
      </c>
      <c r="H168" t="s">
        <v>7664</v>
      </c>
      <c r="I168" t="s">
        <v>5536</v>
      </c>
      <c r="J168">
        <f>VLOOKUP(I168&amp;"-"&amp;F168,DistrictEquipmentTypes.csv!J:K,2,FALSE)</f>
        <v>200000</v>
      </c>
      <c r="K168" t="str">
        <f t="shared" si="33"/>
        <v>rg:{'id': '200000'}</v>
      </c>
      <c r="L168">
        <f t="shared" si="34"/>
        <v>3</v>
      </c>
      <c r="M168" t="str">
        <f>VLOOKUP(C168,Owners.csv!C:K,9,FALSE)&amp;TEXT(Equipment.csv!L168,"0000")</f>
        <v>KBTO0003</v>
      </c>
      <c r="N168" t="s">
        <v>5401</v>
      </c>
      <c r="O168" t="s">
        <v>6849</v>
      </c>
      <c r="P168">
        <v>1973</v>
      </c>
      <c r="Q168">
        <v>191</v>
      </c>
      <c r="R168" t="s">
        <v>6663</v>
      </c>
      <c r="S168" s="1">
        <v>38749</v>
      </c>
      <c r="T168" s="1">
        <v>38770</v>
      </c>
      <c r="U168" t="str">
        <f t="shared" ca="1" si="35"/>
        <v>rg:False</v>
      </c>
      <c r="V168" t="str">
        <f t="shared" ca="1" si="36"/>
        <v>rg:None</v>
      </c>
      <c r="W168" t="s">
        <v>7247</v>
      </c>
      <c r="X168" t="s">
        <v>76</v>
      </c>
      <c r="Y168" t="s">
        <v>76</v>
      </c>
      <c r="Z168" t="s">
        <v>76</v>
      </c>
      <c r="AA168" t="s">
        <v>7594</v>
      </c>
      <c r="AB168" t="s">
        <v>7359</v>
      </c>
      <c r="AC168">
        <v>0</v>
      </c>
      <c r="AD168" t="str">
        <f t="shared" ca="1" si="37"/>
        <v>rg:False</v>
      </c>
      <c r="AE168" t="str">
        <f t="shared" ca="1" si="44"/>
        <v>rg:None</v>
      </c>
      <c r="AF168" s="1">
        <v>42481</v>
      </c>
      <c r="AG168" s="4">
        <f t="shared" ca="1" si="39"/>
        <v>345.58333333333331</v>
      </c>
      <c r="AH168" s="4">
        <f t="shared" si="40"/>
        <v>10.108333333333333</v>
      </c>
      <c r="AI168">
        <f t="shared" ca="1" si="41"/>
        <v>37</v>
      </c>
      <c r="AJ168">
        <f t="shared" ca="1" si="42"/>
        <v>17</v>
      </c>
      <c r="AK168">
        <f t="shared" ca="1" si="43"/>
        <v>73</v>
      </c>
      <c r="AL168" t="s">
        <v>326</v>
      </c>
      <c r="AO168" t="s">
        <v>76</v>
      </c>
      <c r="AP168" t="s">
        <v>6510</v>
      </c>
      <c r="AQ168" t="s">
        <v>6510</v>
      </c>
      <c r="AR168" t="s">
        <v>6510</v>
      </c>
      <c r="AS168" t="s">
        <v>6510</v>
      </c>
    </row>
    <row r="169" spans="1:45" x14ac:dyDescent="0.3">
      <c r="A169" t="s">
        <v>5630</v>
      </c>
      <c r="B169">
        <f t="shared" si="30"/>
        <v>200167</v>
      </c>
      <c r="C169">
        <v>200046</v>
      </c>
      <c r="D169" t="str">
        <f t="shared" si="31"/>
        <v>rg:{'id': '200046'}</v>
      </c>
      <c r="E169">
        <f>VLOOKUP(C169,Owners.csv!C:J,6,FALSE)</f>
        <v>200002</v>
      </c>
      <c r="F169" t="str">
        <f>VLOOKUP(VLOOKUP(E169,LocalAreas.csv!I:K,3,FALSE),ServiceAreas.csv!F:J,5,FALSE)</f>
        <v>200009</v>
      </c>
      <c r="G169" t="str">
        <f t="shared" si="32"/>
        <v>rg:{'id': '200002'}</v>
      </c>
      <c r="H169" t="s">
        <v>7651</v>
      </c>
      <c r="I169" t="s">
        <v>5651</v>
      </c>
      <c r="J169">
        <f>VLOOKUP(I169&amp;"-"&amp;F169,DistrictEquipmentTypes.csv!J:K,2,FALSE)</f>
        <v>200006</v>
      </c>
      <c r="K169" t="str">
        <f t="shared" si="33"/>
        <v>rg:{'id': '200006'}</v>
      </c>
      <c r="L169">
        <f t="shared" si="34"/>
        <v>1</v>
      </c>
      <c r="M169" t="str">
        <f>VLOOKUP(C169,Owners.csv!C:K,9,FALSE)&amp;TEXT(Equipment.csv!L169,"0000")</f>
        <v>KIDS0001</v>
      </c>
      <c r="N169" t="s">
        <v>5401</v>
      </c>
      <c r="O169" t="s">
        <v>6804</v>
      </c>
      <c r="P169">
        <v>2014</v>
      </c>
      <c r="Q169">
        <v>146</v>
      </c>
      <c r="R169" t="s">
        <v>6663</v>
      </c>
      <c r="S169" s="1">
        <v>39292</v>
      </c>
      <c r="T169" s="1">
        <v>39310</v>
      </c>
      <c r="U169" t="str">
        <f t="shared" ca="1" si="35"/>
        <v>rg:False</v>
      </c>
      <c r="V169" t="str">
        <f t="shared" ca="1" si="36"/>
        <v>rg:None</v>
      </c>
      <c r="W169" t="s">
        <v>7202</v>
      </c>
      <c r="X169" t="s">
        <v>76</v>
      </c>
      <c r="Y169" t="s">
        <v>76</v>
      </c>
      <c r="Z169" t="s">
        <v>76</v>
      </c>
      <c r="AA169" t="s">
        <v>7549</v>
      </c>
      <c r="AB169" t="s">
        <v>7372</v>
      </c>
      <c r="AC169">
        <v>0</v>
      </c>
      <c r="AD169" t="str">
        <f t="shared" ca="1" si="37"/>
        <v>rg:False</v>
      </c>
      <c r="AE169" t="str">
        <f t="shared" ca="1" si="44"/>
        <v>rg:None</v>
      </c>
      <c r="AF169" s="1">
        <v>42481</v>
      </c>
      <c r="AG169" s="4">
        <f t="shared" ca="1" si="39"/>
        <v>612.83333333333337</v>
      </c>
      <c r="AH169" s="4">
        <f t="shared" si="40"/>
        <v>8.625</v>
      </c>
      <c r="AI169">
        <f t="shared" ca="1" si="41"/>
        <v>58</v>
      </c>
      <c r="AJ169">
        <f t="shared" ca="1" si="42"/>
        <v>33</v>
      </c>
      <c r="AK169">
        <f t="shared" ca="1" si="43"/>
        <v>195</v>
      </c>
      <c r="AL169" t="s">
        <v>326</v>
      </c>
      <c r="AO169" t="s">
        <v>76</v>
      </c>
      <c r="AP169" t="s">
        <v>6510</v>
      </c>
      <c r="AQ169" t="s">
        <v>6510</v>
      </c>
      <c r="AR169" t="s">
        <v>6510</v>
      </c>
      <c r="AS169" t="s">
        <v>6510</v>
      </c>
    </row>
    <row r="170" spans="1:45" x14ac:dyDescent="0.3">
      <c r="A170" t="s">
        <v>5630</v>
      </c>
      <c r="B170">
        <f t="shared" si="30"/>
        <v>200168</v>
      </c>
      <c r="C170">
        <v>200046</v>
      </c>
      <c r="D170" t="str">
        <f t="shared" si="31"/>
        <v>rg:{'id': '200046'}</v>
      </c>
      <c r="E170">
        <f>VLOOKUP(C170,Owners.csv!C:J,6,FALSE)</f>
        <v>200002</v>
      </c>
      <c r="F170" t="str">
        <f>VLOOKUP(VLOOKUP(E170,LocalAreas.csv!I:K,3,FALSE),ServiceAreas.csv!F:J,5,FALSE)</f>
        <v>200009</v>
      </c>
      <c r="G170" t="str">
        <f t="shared" si="32"/>
        <v>rg:{'id': '200002'}</v>
      </c>
      <c r="H170" t="s">
        <v>7752</v>
      </c>
      <c r="I170" t="s">
        <v>5637</v>
      </c>
      <c r="J170">
        <f>VLOOKUP(I170&amp;"-"&amp;F170,DistrictEquipmentTypes.csv!J:K,2,FALSE)</f>
        <v>200001</v>
      </c>
      <c r="K170" t="str">
        <f t="shared" si="33"/>
        <v>rg:{'id': '200001'}</v>
      </c>
      <c r="L170">
        <f t="shared" si="34"/>
        <v>2</v>
      </c>
      <c r="M170" t="str">
        <f>VLOOKUP(C170,Owners.csv!C:K,9,FALSE)&amp;TEXT(Equipment.csv!L170,"0000")</f>
        <v>KIDS0002</v>
      </c>
      <c r="N170" t="s">
        <v>5401</v>
      </c>
      <c r="O170" t="s">
        <v>6830</v>
      </c>
      <c r="P170">
        <v>1992</v>
      </c>
      <c r="Q170">
        <v>172</v>
      </c>
      <c r="R170" t="s">
        <v>6663</v>
      </c>
      <c r="S170" s="1">
        <v>39235</v>
      </c>
      <c r="T170" s="1">
        <v>39240</v>
      </c>
      <c r="U170" t="str">
        <f t="shared" ca="1" si="35"/>
        <v>rg:False</v>
      </c>
      <c r="V170" t="str">
        <f t="shared" ca="1" si="36"/>
        <v>rg:None</v>
      </c>
      <c r="W170" t="s">
        <v>7228</v>
      </c>
      <c r="X170" t="s">
        <v>76</v>
      </c>
      <c r="Y170" t="s">
        <v>76</v>
      </c>
      <c r="Z170" t="s">
        <v>76</v>
      </c>
      <c r="AA170" t="s">
        <v>7575</v>
      </c>
      <c r="AB170" t="s">
        <v>7368</v>
      </c>
      <c r="AC170">
        <v>0</v>
      </c>
      <c r="AD170" t="str">
        <f t="shared" ca="1" si="37"/>
        <v>rg:False</v>
      </c>
      <c r="AE170" t="str">
        <f t="shared" ca="1" si="44"/>
        <v>rg:None</v>
      </c>
      <c r="AF170" s="1">
        <v>42481</v>
      </c>
      <c r="AG170" s="4">
        <f t="shared" ca="1" si="39"/>
        <v>382.16666666666669</v>
      </c>
      <c r="AH170" s="4">
        <f t="shared" si="40"/>
        <v>8.8166666666666664</v>
      </c>
      <c r="AI170">
        <f t="shared" ca="1" si="41"/>
        <v>173</v>
      </c>
      <c r="AJ170">
        <f t="shared" ca="1" si="42"/>
        <v>73</v>
      </c>
      <c r="AK170">
        <f t="shared" ca="1" si="43"/>
        <v>107</v>
      </c>
      <c r="AL170" t="s">
        <v>5689</v>
      </c>
      <c r="AM170" t="s">
        <v>6885</v>
      </c>
      <c r="AN170" s="1">
        <v>42513</v>
      </c>
      <c r="AO170" t="s">
        <v>76</v>
      </c>
      <c r="AP170" t="s">
        <v>6510</v>
      </c>
      <c r="AQ170" t="s">
        <v>6510</v>
      </c>
      <c r="AR170" t="s">
        <v>6510</v>
      </c>
      <c r="AS170" t="s">
        <v>6510</v>
      </c>
    </row>
    <row r="171" spans="1:45" x14ac:dyDescent="0.3">
      <c r="A171" t="s">
        <v>5630</v>
      </c>
      <c r="B171">
        <f t="shared" si="30"/>
        <v>200169</v>
      </c>
      <c r="C171">
        <v>200046</v>
      </c>
      <c r="D171" t="str">
        <f t="shared" si="31"/>
        <v>rg:{'id': '200046'}</v>
      </c>
      <c r="E171">
        <f>VLOOKUP(C171,Owners.csv!C:J,6,FALSE)</f>
        <v>200002</v>
      </c>
      <c r="F171" t="str">
        <f>VLOOKUP(VLOOKUP(E171,LocalAreas.csv!I:K,3,FALSE),ServiceAreas.csv!F:J,5,FALSE)</f>
        <v>200009</v>
      </c>
      <c r="G171" t="str">
        <f t="shared" si="32"/>
        <v>rg:{'id': '200002'}</v>
      </c>
      <c r="H171" t="s">
        <v>7665</v>
      </c>
      <c r="I171" t="s">
        <v>5536</v>
      </c>
      <c r="J171">
        <f>VLOOKUP(I171&amp;"-"&amp;F171,DistrictEquipmentTypes.csv!J:K,2,FALSE)</f>
        <v>200000</v>
      </c>
      <c r="K171" t="str">
        <f t="shared" si="33"/>
        <v>rg:{'id': '200000'}</v>
      </c>
      <c r="L171">
        <f t="shared" si="34"/>
        <v>3</v>
      </c>
      <c r="M171" t="str">
        <f>VLOOKUP(C171,Owners.csv!C:K,9,FALSE)&amp;TEXT(Equipment.csv!L171,"0000")</f>
        <v>KIDS0003</v>
      </c>
      <c r="N171" t="s">
        <v>5401</v>
      </c>
      <c r="O171" t="s">
        <v>6850</v>
      </c>
      <c r="P171">
        <v>1978</v>
      </c>
      <c r="Q171">
        <v>192</v>
      </c>
      <c r="R171" t="s">
        <v>6663</v>
      </c>
      <c r="S171" s="1">
        <v>37913</v>
      </c>
      <c r="T171" s="1">
        <v>37933</v>
      </c>
      <c r="U171" t="str">
        <f t="shared" ca="1" si="35"/>
        <v>rg:False</v>
      </c>
      <c r="V171" t="str">
        <f t="shared" ca="1" si="36"/>
        <v>rg:None</v>
      </c>
      <c r="W171" t="s">
        <v>7248</v>
      </c>
      <c r="X171" t="s">
        <v>76</v>
      </c>
      <c r="Y171" t="s">
        <v>76</v>
      </c>
      <c r="Z171" t="s">
        <v>76</v>
      </c>
      <c r="AA171" t="s">
        <v>7595</v>
      </c>
      <c r="AB171" t="s">
        <v>7398</v>
      </c>
      <c r="AC171">
        <v>0</v>
      </c>
      <c r="AD171" t="str">
        <f t="shared" ca="1" si="37"/>
        <v>rg:False</v>
      </c>
      <c r="AE171" t="str">
        <f t="shared" ca="1" si="44"/>
        <v>rg:None</v>
      </c>
      <c r="AF171" s="1">
        <v>42482</v>
      </c>
      <c r="AG171" s="4">
        <f t="shared" ca="1" si="39"/>
        <v>471.91666666666669</v>
      </c>
      <c r="AH171" s="4">
        <f t="shared" si="40"/>
        <v>12.397222222222222</v>
      </c>
      <c r="AI171">
        <f t="shared" ca="1" si="41"/>
        <v>100</v>
      </c>
      <c r="AJ171">
        <f t="shared" ca="1" si="42"/>
        <v>132</v>
      </c>
      <c r="AK171">
        <f t="shared" ca="1" si="43"/>
        <v>68</v>
      </c>
      <c r="AL171" t="s">
        <v>326</v>
      </c>
      <c r="AO171" t="s">
        <v>76</v>
      </c>
      <c r="AP171" t="s">
        <v>6510</v>
      </c>
      <c r="AQ171" t="s">
        <v>6510</v>
      </c>
      <c r="AR171" t="s">
        <v>6510</v>
      </c>
      <c r="AS171" t="s">
        <v>6510</v>
      </c>
    </row>
    <row r="172" spans="1:45" x14ac:dyDescent="0.3">
      <c r="A172" t="s">
        <v>5630</v>
      </c>
      <c r="B172">
        <f t="shared" si="30"/>
        <v>200170</v>
      </c>
      <c r="C172">
        <v>200047</v>
      </c>
      <c r="D172" t="str">
        <f t="shared" si="31"/>
        <v>rg:{'id': '200047'}</v>
      </c>
      <c r="E172">
        <f>VLOOKUP(C172,Owners.csv!C:J,6,FALSE)</f>
        <v>200002</v>
      </c>
      <c r="F172" t="str">
        <f>VLOOKUP(VLOOKUP(E172,LocalAreas.csv!I:K,3,FALSE),ServiceAreas.csv!F:J,5,FALSE)</f>
        <v>200009</v>
      </c>
      <c r="G172" t="str">
        <f t="shared" si="32"/>
        <v>rg:{'id': '200002'}</v>
      </c>
      <c r="H172" t="s">
        <v>7716</v>
      </c>
      <c r="I172" t="s">
        <v>5651</v>
      </c>
      <c r="J172">
        <f>VLOOKUP(I172&amp;"-"&amp;F172,DistrictEquipmentTypes.csv!J:K,2,FALSE)</f>
        <v>200006</v>
      </c>
      <c r="K172" t="str">
        <f t="shared" si="33"/>
        <v>rg:{'id': '200006'}</v>
      </c>
      <c r="L172">
        <f t="shared" si="34"/>
        <v>1</v>
      </c>
      <c r="M172" t="str">
        <f>VLOOKUP(C172,Owners.csv!C:K,9,FALSE)&amp;TEXT(Equipment.csv!L172,"0000")</f>
        <v>KINN0001</v>
      </c>
      <c r="N172" t="s">
        <v>5401</v>
      </c>
      <c r="O172" t="s">
        <v>6805</v>
      </c>
      <c r="P172">
        <v>2009</v>
      </c>
      <c r="Q172">
        <v>147</v>
      </c>
      <c r="R172" t="s">
        <v>6663</v>
      </c>
      <c r="S172" s="1">
        <v>40870</v>
      </c>
      <c r="T172" s="1">
        <v>40880</v>
      </c>
      <c r="U172" t="str">
        <f t="shared" ca="1" si="35"/>
        <v>rg:False</v>
      </c>
      <c r="V172" t="str">
        <f t="shared" ca="1" si="36"/>
        <v>rg:None</v>
      </c>
      <c r="W172" t="s">
        <v>7203</v>
      </c>
      <c r="X172" t="s">
        <v>76</v>
      </c>
      <c r="Y172" t="s">
        <v>76</v>
      </c>
      <c r="Z172" t="s">
        <v>76</v>
      </c>
      <c r="AA172" t="s">
        <v>7550</v>
      </c>
      <c r="AB172" t="s">
        <v>7295</v>
      </c>
      <c r="AC172">
        <v>0</v>
      </c>
      <c r="AD172" t="str">
        <f t="shared" ca="1" si="37"/>
        <v>rg:False</v>
      </c>
      <c r="AE172" t="str">
        <f t="shared" ca="1" si="44"/>
        <v>rg:None</v>
      </c>
      <c r="AF172" s="1">
        <v>42481</v>
      </c>
      <c r="AG172" s="4">
        <f t="shared" ca="1" si="39"/>
        <v>305.66666666666663</v>
      </c>
      <c r="AH172" s="4">
        <f t="shared" si="40"/>
        <v>4.3277777777777775</v>
      </c>
      <c r="AI172">
        <f t="shared" ca="1" si="41"/>
        <v>15</v>
      </c>
      <c r="AJ172">
        <f t="shared" ca="1" si="42"/>
        <v>56</v>
      </c>
      <c r="AK172">
        <f t="shared" ca="1" si="43"/>
        <v>67</v>
      </c>
      <c r="AL172" t="s">
        <v>326</v>
      </c>
      <c r="AO172" t="s">
        <v>76</v>
      </c>
      <c r="AP172" t="s">
        <v>6510</v>
      </c>
      <c r="AQ172" t="s">
        <v>6510</v>
      </c>
      <c r="AR172" t="s">
        <v>6510</v>
      </c>
      <c r="AS172" t="s">
        <v>6510</v>
      </c>
    </row>
    <row r="173" spans="1:45" x14ac:dyDescent="0.3">
      <c r="A173" t="s">
        <v>5630</v>
      </c>
      <c r="B173">
        <f t="shared" si="30"/>
        <v>200171</v>
      </c>
      <c r="C173">
        <v>200047</v>
      </c>
      <c r="D173" t="str">
        <f t="shared" si="31"/>
        <v>rg:{'id': '200047'}</v>
      </c>
      <c r="E173">
        <f>VLOOKUP(C173,Owners.csv!C:J,6,FALSE)</f>
        <v>200002</v>
      </c>
      <c r="F173" t="str">
        <f>VLOOKUP(VLOOKUP(E173,LocalAreas.csv!I:K,3,FALSE),ServiceAreas.csv!F:J,5,FALSE)</f>
        <v>200009</v>
      </c>
      <c r="G173" t="str">
        <f t="shared" si="32"/>
        <v>rg:{'id': '200002'}</v>
      </c>
      <c r="H173" t="s">
        <v>7649</v>
      </c>
      <c r="I173" t="s">
        <v>5637</v>
      </c>
      <c r="J173">
        <f>VLOOKUP(I173&amp;"-"&amp;F173,DistrictEquipmentTypes.csv!J:K,2,FALSE)</f>
        <v>200001</v>
      </c>
      <c r="K173" t="str">
        <f t="shared" si="33"/>
        <v>rg:{'id': '200001'}</v>
      </c>
      <c r="L173">
        <f t="shared" si="34"/>
        <v>2</v>
      </c>
      <c r="M173" t="str">
        <f>VLOOKUP(C173,Owners.csv!C:K,9,FALSE)&amp;TEXT(Equipment.csv!L173,"0000")</f>
        <v>KINN0002</v>
      </c>
      <c r="N173" t="s">
        <v>5401</v>
      </c>
      <c r="O173" t="s">
        <v>6831</v>
      </c>
      <c r="P173">
        <v>1995</v>
      </c>
      <c r="Q173">
        <v>173</v>
      </c>
      <c r="R173" t="s">
        <v>6663</v>
      </c>
      <c r="S173" s="1">
        <v>37893</v>
      </c>
      <c r="T173" s="1">
        <v>37902</v>
      </c>
      <c r="U173" t="str">
        <f t="shared" ca="1" si="35"/>
        <v>rg:True</v>
      </c>
      <c r="V173" t="str">
        <f t="shared" ca="1" si="36"/>
        <v>This equipment should be archived</v>
      </c>
      <c r="W173" t="s">
        <v>7229</v>
      </c>
      <c r="X173" t="s">
        <v>76</v>
      </c>
      <c r="Y173" t="s">
        <v>76</v>
      </c>
      <c r="Z173" t="s">
        <v>76</v>
      </c>
      <c r="AA173" t="s">
        <v>7576</v>
      </c>
      <c r="AB173" t="s">
        <v>7273</v>
      </c>
      <c r="AC173">
        <v>0</v>
      </c>
      <c r="AD173" t="str">
        <f t="shared" ca="1" si="37"/>
        <v>rg:False</v>
      </c>
      <c r="AE173" t="str">
        <f t="shared" ca="1" si="44"/>
        <v>rg:None</v>
      </c>
      <c r="AF173" s="1">
        <v>42481</v>
      </c>
      <c r="AG173" s="4">
        <f t="shared" ca="1" si="39"/>
        <v>405.08333333333337</v>
      </c>
      <c r="AH173" s="4">
        <f t="shared" si="40"/>
        <v>12.480555555555556</v>
      </c>
      <c r="AI173">
        <f t="shared" ca="1" si="41"/>
        <v>27</v>
      </c>
      <c r="AJ173">
        <f t="shared" ca="1" si="42"/>
        <v>21</v>
      </c>
      <c r="AK173">
        <f t="shared" ca="1" si="43"/>
        <v>44</v>
      </c>
      <c r="AL173" t="s">
        <v>326</v>
      </c>
      <c r="AO173" t="s">
        <v>76</v>
      </c>
      <c r="AP173" t="s">
        <v>6510</v>
      </c>
      <c r="AQ173" t="s">
        <v>6510</v>
      </c>
      <c r="AR173" t="s">
        <v>6510</v>
      </c>
      <c r="AS173" t="s">
        <v>6510</v>
      </c>
    </row>
    <row r="174" spans="1:45" x14ac:dyDescent="0.3">
      <c r="A174" t="s">
        <v>5630</v>
      </c>
      <c r="B174">
        <f t="shared" si="30"/>
        <v>200172</v>
      </c>
      <c r="C174">
        <v>200047</v>
      </c>
      <c r="D174" t="str">
        <f t="shared" si="31"/>
        <v>rg:{'id': '200047'}</v>
      </c>
      <c r="E174">
        <f>VLOOKUP(C174,Owners.csv!C:J,6,FALSE)</f>
        <v>200002</v>
      </c>
      <c r="F174" t="str">
        <f>VLOOKUP(VLOOKUP(E174,LocalAreas.csv!I:K,3,FALSE),ServiceAreas.csv!F:J,5,FALSE)</f>
        <v>200009</v>
      </c>
      <c r="G174" t="str">
        <f t="shared" si="32"/>
        <v>rg:{'id': '200002'}</v>
      </c>
      <c r="H174" t="s">
        <v>7650</v>
      </c>
      <c r="I174" t="s">
        <v>5536</v>
      </c>
      <c r="J174">
        <f>VLOOKUP(I174&amp;"-"&amp;F174,DistrictEquipmentTypes.csv!J:K,2,FALSE)</f>
        <v>200000</v>
      </c>
      <c r="K174" t="str">
        <f t="shared" si="33"/>
        <v>rg:{'id': '200000'}</v>
      </c>
      <c r="L174">
        <f t="shared" si="34"/>
        <v>3</v>
      </c>
      <c r="M174" t="str">
        <f>VLOOKUP(C174,Owners.csv!C:K,9,FALSE)&amp;TEXT(Equipment.csv!L174,"0000")</f>
        <v>KINN0003</v>
      </c>
      <c r="N174" t="s">
        <v>5401</v>
      </c>
      <c r="O174" t="s">
        <v>6851</v>
      </c>
      <c r="P174">
        <v>1999</v>
      </c>
      <c r="Q174">
        <v>193</v>
      </c>
      <c r="R174" t="s">
        <v>6663</v>
      </c>
      <c r="S174" s="1">
        <v>38286</v>
      </c>
      <c r="T174" s="1">
        <v>38312</v>
      </c>
      <c r="U174" t="str">
        <f t="shared" ca="1" si="35"/>
        <v>rg:False</v>
      </c>
      <c r="V174" t="str">
        <f t="shared" ca="1" si="36"/>
        <v>rg:None</v>
      </c>
      <c r="W174" t="s">
        <v>7249</v>
      </c>
      <c r="X174" t="s">
        <v>76</v>
      </c>
      <c r="Y174" t="s">
        <v>76</v>
      </c>
      <c r="Z174" t="s">
        <v>76</v>
      </c>
      <c r="AA174" t="s">
        <v>7596</v>
      </c>
      <c r="AB174" t="s">
        <v>7399</v>
      </c>
      <c r="AC174">
        <v>0</v>
      </c>
      <c r="AD174" t="str">
        <f t="shared" ca="1" si="37"/>
        <v>rg:False</v>
      </c>
      <c r="AE174" t="str">
        <f t="shared" ca="1" si="44"/>
        <v>rg:None</v>
      </c>
      <c r="AF174" s="1">
        <v>42483</v>
      </c>
      <c r="AG174" s="4">
        <f t="shared" ca="1" si="39"/>
        <v>443.16666666666663</v>
      </c>
      <c r="AH174" s="4">
        <f t="shared" si="40"/>
        <v>11.361111111111111</v>
      </c>
      <c r="AI174">
        <f t="shared" ca="1" si="41"/>
        <v>136</v>
      </c>
      <c r="AJ174">
        <f t="shared" ca="1" si="42"/>
        <v>103</v>
      </c>
      <c r="AK174">
        <f t="shared" ca="1" si="43"/>
        <v>68</v>
      </c>
      <c r="AL174" t="s">
        <v>326</v>
      </c>
      <c r="AO174" t="s">
        <v>76</v>
      </c>
      <c r="AP174" t="s">
        <v>6510</v>
      </c>
      <c r="AQ174" t="s">
        <v>6510</v>
      </c>
      <c r="AR174" t="s">
        <v>6510</v>
      </c>
      <c r="AS174" t="s">
        <v>6510</v>
      </c>
    </row>
    <row r="175" spans="1:45" x14ac:dyDescent="0.3">
      <c r="A175" t="s">
        <v>5630</v>
      </c>
      <c r="B175">
        <f t="shared" si="30"/>
        <v>200173</v>
      </c>
      <c r="C175">
        <v>200048</v>
      </c>
      <c r="D175" t="str">
        <f t="shared" si="31"/>
        <v>rg:{'id': '200048'}</v>
      </c>
      <c r="E175">
        <f>VLOOKUP(C175,Owners.csv!C:J,6,FALSE)</f>
        <v>200002</v>
      </c>
      <c r="F175" t="str">
        <f>VLOOKUP(VLOOKUP(E175,LocalAreas.csv!I:K,3,FALSE),ServiceAreas.csv!F:J,5,FALSE)</f>
        <v>200009</v>
      </c>
      <c r="G175" t="str">
        <f t="shared" si="32"/>
        <v>rg:{'id': '200002'}</v>
      </c>
      <c r="H175" t="s">
        <v>7743</v>
      </c>
      <c r="I175" t="s">
        <v>5651</v>
      </c>
      <c r="J175">
        <f>VLOOKUP(I175&amp;"-"&amp;F175,DistrictEquipmentTypes.csv!J:K,2,FALSE)</f>
        <v>200006</v>
      </c>
      <c r="K175" t="str">
        <f t="shared" si="33"/>
        <v>rg:{'id': '200006'}</v>
      </c>
      <c r="L175">
        <f t="shared" si="34"/>
        <v>1</v>
      </c>
      <c r="M175" t="str">
        <f>VLOOKUP(C175,Owners.csv!C:K,9,FALSE)&amp;TEXT(Equipment.csv!L175,"0000")</f>
        <v>KNOX0001</v>
      </c>
      <c r="N175" t="s">
        <v>5401</v>
      </c>
      <c r="O175" t="s">
        <v>6806</v>
      </c>
      <c r="P175">
        <v>2006</v>
      </c>
      <c r="Q175">
        <v>148</v>
      </c>
      <c r="R175" t="s">
        <v>6663</v>
      </c>
      <c r="S175" s="1">
        <v>39012</v>
      </c>
      <c r="T175" s="1">
        <v>39030</v>
      </c>
      <c r="U175" t="str">
        <f t="shared" ca="1" si="35"/>
        <v>rg:False</v>
      </c>
      <c r="V175" t="str">
        <f t="shared" ca="1" si="36"/>
        <v>rg:None</v>
      </c>
      <c r="W175" t="s">
        <v>7204</v>
      </c>
      <c r="X175" t="s">
        <v>76</v>
      </c>
      <c r="Y175" t="s">
        <v>76</v>
      </c>
      <c r="Z175" t="s">
        <v>76</v>
      </c>
      <c r="AA175" t="s">
        <v>7551</v>
      </c>
      <c r="AB175" t="s">
        <v>7373</v>
      </c>
      <c r="AC175">
        <v>0</v>
      </c>
      <c r="AD175" t="str">
        <f t="shared" ca="1" si="37"/>
        <v>rg:False</v>
      </c>
      <c r="AE175" t="str">
        <f t="shared" ca="1" si="44"/>
        <v>rg:None</v>
      </c>
      <c r="AF175" s="1">
        <v>42481</v>
      </c>
      <c r="AG175" s="4">
        <f t="shared" ca="1" si="39"/>
        <v>612.33333333333326</v>
      </c>
      <c r="AH175" s="4">
        <f t="shared" si="40"/>
        <v>9.3944444444444439</v>
      </c>
      <c r="AI175">
        <f t="shared" ca="1" si="41"/>
        <v>11</v>
      </c>
      <c r="AJ175">
        <f t="shared" ca="1" si="42"/>
        <v>73</v>
      </c>
      <c r="AK175">
        <f t="shared" ca="1" si="43"/>
        <v>62</v>
      </c>
      <c r="AL175" t="s">
        <v>326</v>
      </c>
      <c r="AO175" t="s">
        <v>76</v>
      </c>
      <c r="AP175" t="s">
        <v>6510</v>
      </c>
      <c r="AQ175" t="s">
        <v>6510</v>
      </c>
      <c r="AR175" t="s">
        <v>6510</v>
      </c>
      <c r="AS175" t="s">
        <v>6510</v>
      </c>
    </row>
    <row r="176" spans="1:45" x14ac:dyDescent="0.3">
      <c r="A176" t="s">
        <v>5630</v>
      </c>
      <c r="B176">
        <f t="shared" si="30"/>
        <v>200174</v>
      </c>
      <c r="C176">
        <v>200048</v>
      </c>
      <c r="D176" t="str">
        <f t="shared" si="31"/>
        <v>rg:{'id': '200048'}</v>
      </c>
      <c r="E176">
        <f>VLOOKUP(C176,Owners.csv!C:J,6,FALSE)</f>
        <v>200002</v>
      </c>
      <c r="F176" t="str">
        <f>VLOOKUP(VLOOKUP(E176,LocalAreas.csv!I:K,3,FALSE),ServiceAreas.csv!F:J,5,FALSE)</f>
        <v>200009</v>
      </c>
      <c r="G176" t="str">
        <f t="shared" si="32"/>
        <v>rg:{'id': '200002'}</v>
      </c>
      <c r="H176" t="s">
        <v>7753</v>
      </c>
      <c r="I176" t="s">
        <v>5637</v>
      </c>
      <c r="J176">
        <f>VLOOKUP(I176&amp;"-"&amp;F176,DistrictEquipmentTypes.csv!J:K,2,FALSE)</f>
        <v>200001</v>
      </c>
      <c r="K176" t="str">
        <f t="shared" si="33"/>
        <v>rg:{'id': '200001'}</v>
      </c>
      <c r="L176">
        <f t="shared" si="34"/>
        <v>2</v>
      </c>
      <c r="M176" t="str">
        <f>VLOOKUP(C176,Owners.csv!C:K,9,FALSE)&amp;TEXT(Equipment.csv!L176,"0000")</f>
        <v>KNOX0002</v>
      </c>
      <c r="N176" t="s">
        <v>5401</v>
      </c>
      <c r="O176" t="s">
        <v>6832</v>
      </c>
      <c r="P176">
        <v>1971</v>
      </c>
      <c r="Q176">
        <v>174</v>
      </c>
      <c r="R176" t="s">
        <v>6663</v>
      </c>
      <c r="S176" s="1">
        <v>39476</v>
      </c>
      <c r="T176" s="1">
        <v>39491</v>
      </c>
      <c r="U176" t="str">
        <f t="shared" ca="1" si="35"/>
        <v>rg:False</v>
      </c>
      <c r="V176" t="str">
        <f t="shared" ca="1" si="36"/>
        <v>rg:None</v>
      </c>
      <c r="W176" t="s">
        <v>7230</v>
      </c>
      <c r="X176" t="s">
        <v>76</v>
      </c>
      <c r="Y176" t="s">
        <v>76</v>
      </c>
      <c r="Z176" t="s">
        <v>76</v>
      </c>
      <c r="AA176" t="s">
        <v>7577</v>
      </c>
      <c r="AB176" t="s">
        <v>7290</v>
      </c>
      <c r="AC176">
        <v>0</v>
      </c>
      <c r="AD176" t="str">
        <f t="shared" ca="1" si="37"/>
        <v>rg:False</v>
      </c>
      <c r="AE176" t="str">
        <f t="shared" ca="1" si="44"/>
        <v>rg:None</v>
      </c>
      <c r="AF176" s="1">
        <v>42481</v>
      </c>
      <c r="AG176" s="4">
        <f t="shared" ca="1" si="39"/>
        <v>301.66666666666669</v>
      </c>
      <c r="AH176" s="4">
        <f t="shared" si="40"/>
        <v>8.1333333333333329</v>
      </c>
      <c r="AI176">
        <f t="shared" ca="1" si="41"/>
        <v>104</v>
      </c>
      <c r="AJ176">
        <f t="shared" ca="1" si="42"/>
        <v>54</v>
      </c>
      <c r="AK176">
        <f t="shared" ca="1" si="43"/>
        <v>15</v>
      </c>
      <c r="AL176" t="s">
        <v>326</v>
      </c>
      <c r="AO176" t="s">
        <v>76</v>
      </c>
      <c r="AP176" t="s">
        <v>6510</v>
      </c>
      <c r="AQ176" t="s">
        <v>6510</v>
      </c>
      <c r="AR176" t="s">
        <v>6510</v>
      </c>
      <c r="AS176" t="s">
        <v>6510</v>
      </c>
    </row>
    <row r="177" spans="1:45" x14ac:dyDescent="0.3">
      <c r="A177" t="s">
        <v>5630</v>
      </c>
      <c r="B177">
        <f t="shared" si="30"/>
        <v>200175</v>
      </c>
      <c r="C177">
        <v>200048</v>
      </c>
      <c r="D177" t="str">
        <f t="shared" si="31"/>
        <v>rg:{'id': '200048'}</v>
      </c>
      <c r="E177">
        <f>VLOOKUP(C177,Owners.csv!C:J,6,FALSE)</f>
        <v>200002</v>
      </c>
      <c r="F177" t="str">
        <f>VLOOKUP(VLOOKUP(E177,LocalAreas.csv!I:K,3,FALSE),ServiceAreas.csv!F:J,5,FALSE)</f>
        <v>200009</v>
      </c>
      <c r="G177" t="str">
        <f t="shared" si="32"/>
        <v>rg:{'id': '200002'}</v>
      </c>
      <c r="H177" t="s">
        <v>7762</v>
      </c>
      <c r="I177" t="s">
        <v>5536</v>
      </c>
      <c r="J177">
        <f>VLOOKUP(I177&amp;"-"&amp;F177,DistrictEquipmentTypes.csv!J:K,2,FALSE)</f>
        <v>200000</v>
      </c>
      <c r="K177" t="str">
        <f t="shared" si="33"/>
        <v>rg:{'id': '200000'}</v>
      </c>
      <c r="L177">
        <f t="shared" si="34"/>
        <v>3</v>
      </c>
      <c r="M177" t="str">
        <f>VLOOKUP(C177,Owners.csv!C:K,9,FALSE)&amp;TEXT(Equipment.csv!L177,"0000")</f>
        <v>KNOX0003</v>
      </c>
      <c r="N177" t="s">
        <v>5401</v>
      </c>
      <c r="O177" t="s">
        <v>6852</v>
      </c>
      <c r="P177">
        <v>1997</v>
      </c>
      <c r="Q177">
        <v>194</v>
      </c>
      <c r="R177" t="s">
        <v>6663</v>
      </c>
      <c r="S177" s="1">
        <v>39547</v>
      </c>
      <c r="T177" s="1">
        <v>39572</v>
      </c>
      <c r="U177" t="str">
        <f t="shared" ca="1" si="35"/>
        <v>rg:False</v>
      </c>
      <c r="V177" t="str">
        <f t="shared" ca="1" si="36"/>
        <v>rg:None</v>
      </c>
      <c r="W177" t="s">
        <v>7250</v>
      </c>
      <c r="X177" t="s">
        <v>76</v>
      </c>
      <c r="Y177" t="s">
        <v>76</v>
      </c>
      <c r="Z177" t="s">
        <v>76</v>
      </c>
      <c r="AA177" t="s">
        <v>7597</v>
      </c>
      <c r="AB177" t="s">
        <v>7400</v>
      </c>
      <c r="AC177">
        <v>0</v>
      </c>
      <c r="AD177" t="str">
        <f t="shared" ca="1" si="37"/>
        <v>rg:False</v>
      </c>
      <c r="AE177" t="str">
        <f t="shared" ca="1" si="44"/>
        <v>rg:None</v>
      </c>
      <c r="AF177" s="1">
        <v>42484</v>
      </c>
      <c r="AG177" s="4">
        <f t="shared" ca="1" si="39"/>
        <v>334.58333333333331</v>
      </c>
      <c r="AH177" s="4">
        <f t="shared" si="40"/>
        <v>7.9083333333333332</v>
      </c>
      <c r="AI177">
        <f t="shared" ca="1" si="41"/>
        <v>79</v>
      </c>
      <c r="AJ177">
        <f t="shared" ca="1" si="42"/>
        <v>129</v>
      </c>
      <c r="AK177">
        <f t="shared" ca="1" si="43"/>
        <v>84</v>
      </c>
      <c r="AL177" t="s">
        <v>326</v>
      </c>
      <c r="AO177" t="s">
        <v>76</v>
      </c>
      <c r="AP177" t="s">
        <v>6510</v>
      </c>
      <c r="AQ177" t="s">
        <v>6510</v>
      </c>
      <c r="AR177" t="s">
        <v>6510</v>
      </c>
      <c r="AS177" t="s">
        <v>6510</v>
      </c>
    </row>
    <row r="178" spans="1:45" x14ac:dyDescent="0.3">
      <c r="A178" t="s">
        <v>5630</v>
      </c>
      <c r="B178">
        <f t="shared" si="30"/>
        <v>200176</v>
      </c>
      <c r="C178">
        <v>200049</v>
      </c>
      <c r="D178" t="str">
        <f t="shared" si="31"/>
        <v>rg:{'id': '200049'}</v>
      </c>
      <c r="E178">
        <f>VLOOKUP(C178,Owners.csv!C:J,6,FALSE)</f>
        <v>200002</v>
      </c>
      <c r="F178" t="str">
        <f>VLOOKUP(VLOOKUP(E178,LocalAreas.csv!I:K,3,FALSE),ServiceAreas.csv!F:J,5,FALSE)</f>
        <v>200009</v>
      </c>
      <c r="G178" t="str">
        <f t="shared" si="32"/>
        <v>rg:{'id': '200002'}</v>
      </c>
      <c r="H178" t="s">
        <v>7702</v>
      </c>
      <c r="I178" t="s">
        <v>5651</v>
      </c>
      <c r="J178">
        <f>VLOOKUP(I178&amp;"-"&amp;F178,DistrictEquipmentTypes.csv!J:K,2,FALSE)</f>
        <v>200006</v>
      </c>
      <c r="K178" t="str">
        <f t="shared" si="33"/>
        <v>rg:{'id': '200006'}</v>
      </c>
      <c r="L178">
        <f t="shared" si="34"/>
        <v>1</v>
      </c>
      <c r="M178" t="str">
        <f>VLOOKUP(C178,Owners.csv!C:K,9,FALSE)&amp;TEXT(Equipment.csv!L178,"0000")</f>
        <v>LAWN0001</v>
      </c>
      <c r="N178" t="s">
        <v>5401</v>
      </c>
      <c r="O178" t="s">
        <v>6807</v>
      </c>
      <c r="P178">
        <v>1975</v>
      </c>
      <c r="Q178">
        <v>149</v>
      </c>
      <c r="R178" t="s">
        <v>6663</v>
      </c>
      <c r="S178" s="1">
        <v>38163</v>
      </c>
      <c r="T178" s="1">
        <v>38179</v>
      </c>
      <c r="U178" t="str">
        <f t="shared" ca="1" si="35"/>
        <v>rg:False</v>
      </c>
      <c r="V178" t="str">
        <f t="shared" ca="1" si="36"/>
        <v>rg:None</v>
      </c>
      <c r="W178" t="s">
        <v>7205</v>
      </c>
      <c r="X178" t="s">
        <v>76</v>
      </c>
      <c r="Y178" t="s">
        <v>76</v>
      </c>
      <c r="Z178" t="s">
        <v>76</v>
      </c>
      <c r="AA178" t="s">
        <v>7552</v>
      </c>
      <c r="AB178" t="s">
        <v>7305</v>
      </c>
      <c r="AC178">
        <v>0</v>
      </c>
      <c r="AD178" t="str">
        <f t="shared" ca="1" si="37"/>
        <v>rg:False</v>
      </c>
      <c r="AE178" t="str">
        <f t="shared" ca="1" si="44"/>
        <v>rg:None</v>
      </c>
      <c r="AF178" s="1">
        <v>42481</v>
      </c>
      <c r="AG178" s="4">
        <f t="shared" ca="1" si="39"/>
        <v>825.99999999999989</v>
      </c>
      <c r="AH178" s="4">
        <f t="shared" si="40"/>
        <v>11.722222222222221</v>
      </c>
      <c r="AI178">
        <f t="shared" ca="1" si="41"/>
        <v>156</v>
      </c>
      <c r="AJ178">
        <f t="shared" ca="1" si="42"/>
        <v>69</v>
      </c>
      <c r="AK178">
        <f t="shared" ca="1" si="43"/>
        <v>143</v>
      </c>
      <c r="AL178" t="s">
        <v>326</v>
      </c>
      <c r="AO178" t="s">
        <v>76</v>
      </c>
      <c r="AP178" t="s">
        <v>6510</v>
      </c>
      <c r="AQ178" t="s">
        <v>6510</v>
      </c>
      <c r="AR178" t="s">
        <v>6510</v>
      </c>
      <c r="AS178" t="s">
        <v>6510</v>
      </c>
    </row>
    <row r="179" spans="1:45" x14ac:dyDescent="0.3">
      <c r="A179" t="s">
        <v>5630</v>
      </c>
      <c r="B179">
        <f t="shared" si="30"/>
        <v>200177</v>
      </c>
      <c r="C179">
        <v>200049</v>
      </c>
      <c r="D179" t="str">
        <f t="shared" si="31"/>
        <v>rg:{'id': '200049'}</v>
      </c>
      <c r="E179">
        <f>VLOOKUP(C179,Owners.csv!C:J,6,FALSE)</f>
        <v>200002</v>
      </c>
      <c r="F179" t="str">
        <f>VLOOKUP(VLOOKUP(E179,LocalAreas.csv!I:K,3,FALSE),ServiceAreas.csv!F:J,5,FALSE)</f>
        <v>200009</v>
      </c>
      <c r="G179" t="str">
        <f t="shared" si="32"/>
        <v>rg:{'id': '200002'}</v>
      </c>
      <c r="H179" t="s">
        <v>7713</v>
      </c>
      <c r="I179" t="s">
        <v>5637</v>
      </c>
      <c r="J179">
        <f>VLOOKUP(I179&amp;"-"&amp;F179,DistrictEquipmentTypes.csv!J:K,2,FALSE)</f>
        <v>200001</v>
      </c>
      <c r="K179" t="str">
        <f t="shared" si="33"/>
        <v>rg:{'id': '200001'}</v>
      </c>
      <c r="L179">
        <f t="shared" si="34"/>
        <v>2</v>
      </c>
      <c r="M179" t="str">
        <f>VLOOKUP(C179,Owners.csv!C:K,9,FALSE)&amp;TEXT(Equipment.csv!L179,"0000")</f>
        <v>LAWN0002</v>
      </c>
      <c r="N179" t="s">
        <v>5401</v>
      </c>
      <c r="O179" t="s">
        <v>6833</v>
      </c>
      <c r="P179">
        <v>2012</v>
      </c>
      <c r="Q179">
        <v>175</v>
      </c>
      <c r="R179" t="s">
        <v>6663</v>
      </c>
      <c r="S179" s="1">
        <v>39043</v>
      </c>
      <c r="T179" s="1">
        <v>39069</v>
      </c>
      <c r="U179" t="str">
        <f t="shared" ca="1" si="35"/>
        <v>rg:False</v>
      </c>
      <c r="V179" t="str">
        <f t="shared" ca="1" si="36"/>
        <v>rg:None</v>
      </c>
      <c r="W179" t="s">
        <v>7231</v>
      </c>
      <c r="X179" t="s">
        <v>76</v>
      </c>
      <c r="Y179" t="s">
        <v>76</v>
      </c>
      <c r="Z179" t="s">
        <v>76</v>
      </c>
      <c r="AA179" t="s">
        <v>7578</v>
      </c>
      <c r="AB179" t="s">
        <v>7389</v>
      </c>
      <c r="AC179">
        <v>0</v>
      </c>
      <c r="AD179" t="str">
        <f t="shared" ca="1" si="37"/>
        <v>rg:False</v>
      </c>
      <c r="AE179" t="str">
        <f t="shared" ca="1" si="44"/>
        <v>rg:None</v>
      </c>
      <c r="AF179" s="1">
        <v>42481</v>
      </c>
      <c r="AG179" s="4">
        <f t="shared" ca="1" si="39"/>
        <v>375.25000000000006</v>
      </c>
      <c r="AH179" s="4">
        <f t="shared" si="40"/>
        <v>9.2861111111111114</v>
      </c>
      <c r="AI179">
        <f t="shared" ca="1" si="41"/>
        <v>132</v>
      </c>
      <c r="AJ179">
        <f t="shared" ca="1" si="42"/>
        <v>15</v>
      </c>
      <c r="AK179">
        <f t="shared" ca="1" si="43"/>
        <v>143</v>
      </c>
      <c r="AL179" t="s">
        <v>326</v>
      </c>
      <c r="AO179" t="s">
        <v>76</v>
      </c>
      <c r="AP179" t="s">
        <v>6510</v>
      </c>
      <c r="AQ179" t="s">
        <v>6510</v>
      </c>
      <c r="AR179" t="s">
        <v>6510</v>
      </c>
      <c r="AS179" t="s">
        <v>6510</v>
      </c>
    </row>
    <row r="180" spans="1:45" x14ac:dyDescent="0.3">
      <c r="A180" t="s">
        <v>5630</v>
      </c>
      <c r="B180">
        <f t="shared" si="30"/>
        <v>200178</v>
      </c>
      <c r="C180">
        <v>200049</v>
      </c>
      <c r="D180" t="str">
        <f t="shared" si="31"/>
        <v>rg:{'id': '200049'}</v>
      </c>
      <c r="E180">
        <f>VLOOKUP(C180,Owners.csv!C:J,6,FALSE)</f>
        <v>200002</v>
      </c>
      <c r="F180" t="str">
        <f>VLOOKUP(VLOOKUP(E180,LocalAreas.csv!I:K,3,FALSE),ServiceAreas.csv!F:J,5,FALSE)</f>
        <v>200009</v>
      </c>
      <c r="G180" t="str">
        <f t="shared" si="32"/>
        <v>rg:{'id': '200002'}</v>
      </c>
      <c r="H180" t="s">
        <v>7756</v>
      </c>
      <c r="I180" t="s">
        <v>5536</v>
      </c>
      <c r="J180">
        <f>VLOOKUP(I180&amp;"-"&amp;F180,DistrictEquipmentTypes.csv!J:K,2,FALSE)</f>
        <v>200000</v>
      </c>
      <c r="K180" t="str">
        <f t="shared" si="33"/>
        <v>rg:{'id': '200000'}</v>
      </c>
      <c r="L180">
        <f t="shared" si="34"/>
        <v>3</v>
      </c>
      <c r="M180" t="str">
        <f>VLOOKUP(C180,Owners.csv!C:K,9,FALSE)&amp;TEXT(Equipment.csv!L180,"0000")</f>
        <v>LAWN0003</v>
      </c>
      <c r="N180" t="s">
        <v>5401</v>
      </c>
      <c r="O180" t="s">
        <v>6853</v>
      </c>
      <c r="P180">
        <v>1997</v>
      </c>
      <c r="Q180">
        <v>195</v>
      </c>
      <c r="R180" t="s">
        <v>6663</v>
      </c>
      <c r="S180" s="1">
        <v>40725</v>
      </c>
      <c r="T180" s="1">
        <v>40726</v>
      </c>
      <c r="U180" t="str">
        <f t="shared" ca="1" si="35"/>
        <v>rg:False</v>
      </c>
      <c r="V180" t="str">
        <f t="shared" ca="1" si="36"/>
        <v>rg:None</v>
      </c>
      <c r="W180" t="s">
        <v>7251</v>
      </c>
      <c r="X180" t="s">
        <v>76</v>
      </c>
      <c r="Y180" t="s">
        <v>76</v>
      </c>
      <c r="Z180" t="s">
        <v>76</v>
      </c>
      <c r="AA180" t="s">
        <v>7598</v>
      </c>
      <c r="AB180" t="s">
        <v>7401</v>
      </c>
      <c r="AC180">
        <v>0</v>
      </c>
      <c r="AD180" t="str">
        <f t="shared" ca="1" si="37"/>
        <v>rg:False</v>
      </c>
      <c r="AE180" t="str">
        <f t="shared" ca="1" si="44"/>
        <v>rg:None</v>
      </c>
      <c r="AF180" s="1">
        <v>42485</v>
      </c>
      <c r="AG180" s="4">
        <f t="shared" ca="1" si="39"/>
        <v>265.41666666666663</v>
      </c>
      <c r="AH180" s="4">
        <f t="shared" si="40"/>
        <v>4.7472222222222218</v>
      </c>
      <c r="AI180">
        <f t="shared" ca="1" si="41"/>
        <v>121</v>
      </c>
      <c r="AJ180">
        <f t="shared" ca="1" si="42"/>
        <v>168</v>
      </c>
      <c r="AK180">
        <f t="shared" ca="1" si="43"/>
        <v>80</v>
      </c>
      <c r="AL180" t="s">
        <v>326</v>
      </c>
      <c r="AO180" t="s">
        <v>76</v>
      </c>
      <c r="AP180" t="s">
        <v>6510</v>
      </c>
      <c r="AQ180" t="s">
        <v>6510</v>
      </c>
      <c r="AR180" t="s">
        <v>6510</v>
      </c>
      <c r="AS180" t="s">
        <v>6510</v>
      </c>
    </row>
    <row r="181" spans="1:45" x14ac:dyDescent="0.3">
      <c r="A181" t="s">
        <v>5630</v>
      </c>
      <c r="B181">
        <f t="shared" si="30"/>
        <v>200179</v>
      </c>
      <c r="C181">
        <v>200050</v>
      </c>
      <c r="D181" t="str">
        <f t="shared" si="31"/>
        <v>rg:{'id': '200050'}</v>
      </c>
      <c r="E181">
        <f>VLOOKUP(C181,Owners.csv!C:J,6,FALSE)</f>
        <v>200002</v>
      </c>
      <c r="F181" t="str">
        <f>VLOOKUP(VLOOKUP(E181,LocalAreas.csv!I:K,3,FALSE),ServiceAreas.csv!F:J,5,FALSE)</f>
        <v>200009</v>
      </c>
      <c r="G181" t="str">
        <f t="shared" si="32"/>
        <v>rg:{'id': '200002'}</v>
      </c>
      <c r="H181" t="s">
        <v>7729</v>
      </c>
      <c r="I181" t="s">
        <v>5651</v>
      </c>
      <c r="J181">
        <f>VLOOKUP(I181&amp;"-"&amp;F181,DistrictEquipmentTypes.csv!J:K,2,FALSE)</f>
        <v>200006</v>
      </c>
      <c r="K181" t="str">
        <f t="shared" si="33"/>
        <v>rg:{'id': '200006'}</v>
      </c>
      <c r="L181">
        <f t="shared" si="34"/>
        <v>1</v>
      </c>
      <c r="M181" t="str">
        <f>VLOOKUP(C181,Owners.csv!C:K,9,FALSE)&amp;TEXT(Equipment.csv!L181,"0000")</f>
        <v>LIND0001</v>
      </c>
      <c r="N181" t="s">
        <v>5401</v>
      </c>
      <c r="O181" t="s">
        <v>6808</v>
      </c>
      <c r="P181">
        <v>1983</v>
      </c>
      <c r="Q181">
        <v>150</v>
      </c>
      <c r="R181" t="s">
        <v>6663</v>
      </c>
      <c r="S181" s="1">
        <v>41555</v>
      </c>
      <c r="T181" s="1">
        <v>41586</v>
      </c>
      <c r="U181" t="str">
        <f t="shared" ca="1" si="35"/>
        <v>rg:False</v>
      </c>
      <c r="V181" t="str">
        <f t="shared" ca="1" si="36"/>
        <v>rg:None</v>
      </c>
      <c r="W181" t="s">
        <v>7206</v>
      </c>
      <c r="X181" t="s">
        <v>76</v>
      </c>
      <c r="Y181" t="s">
        <v>76</v>
      </c>
      <c r="Z181" t="s">
        <v>76</v>
      </c>
      <c r="AA181" t="s">
        <v>7553</v>
      </c>
      <c r="AB181" t="s">
        <v>7262</v>
      </c>
      <c r="AC181">
        <v>0</v>
      </c>
      <c r="AD181" t="str">
        <f t="shared" ca="1" si="37"/>
        <v>rg:False</v>
      </c>
      <c r="AE181" t="str">
        <f t="shared" ca="1" si="44"/>
        <v>rg:None</v>
      </c>
      <c r="AF181" s="1">
        <v>42481</v>
      </c>
      <c r="AG181" s="4">
        <f t="shared" ca="1" si="39"/>
        <v>212.16666666666663</v>
      </c>
      <c r="AH181" s="4">
        <f t="shared" si="40"/>
        <v>2.3972222222222221</v>
      </c>
      <c r="AI181">
        <f t="shared" ca="1" si="41"/>
        <v>132</v>
      </c>
      <c r="AJ181">
        <f t="shared" ca="1" si="42"/>
        <v>73</v>
      </c>
      <c r="AK181">
        <f t="shared" ca="1" si="43"/>
        <v>0</v>
      </c>
      <c r="AL181" t="s">
        <v>326</v>
      </c>
      <c r="AO181" t="s">
        <v>76</v>
      </c>
      <c r="AP181" t="s">
        <v>6510</v>
      </c>
      <c r="AQ181" t="s">
        <v>6510</v>
      </c>
      <c r="AR181" t="s">
        <v>6510</v>
      </c>
      <c r="AS181" t="s">
        <v>6510</v>
      </c>
    </row>
    <row r="182" spans="1:45" x14ac:dyDescent="0.3">
      <c r="A182" t="s">
        <v>5630</v>
      </c>
      <c r="B182">
        <f t="shared" si="30"/>
        <v>200180</v>
      </c>
      <c r="C182">
        <v>200050</v>
      </c>
      <c r="D182" t="str">
        <f t="shared" si="31"/>
        <v>rg:{'id': '200050'}</v>
      </c>
      <c r="E182">
        <f>VLOOKUP(C182,Owners.csv!C:J,6,FALSE)</f>
        <v>200002</v>
      </c>
      <c r="F182" t="str">
        <f>VLOOKUP(VLOOKUP(E182,LocalAreas.csv!I:K,3,FALSE),ServiceAreas.csv!F:J,5,FALSE)</f>
        <v>200009</v>
      </c>
      <c r="G182" t="str">
        <f t="shared" si="32"/>
        <v>rg:{'id': '200002'}</v>
      </c>
      <c r="H182" t="s">
        <v>7754</v>
      </c>
      <c r="I182" t="s">
        <v>5637</v>
      </c>
      <c r="J182">
        <f>VLOOKUP(I182&amp;"-"&amp;F182,DistrictEquipmentTypes.csv!J:K,2,FALSE)</f>
        <v>200001</v>
      </c>
      <c r="K182" t="str">
        <f t="shared" si="33"/>
        <v>rg:{'id': '200001'}</v>
      </c>
      <c r="L182">
        <f t="shared" si="34"/>
        <v>2</v>
      </c>
      <c r="M182" t="str">
        <f>VLOOKUP(C182,Owners.csv!C:K,9,FALSE)&amp;TEXT(Equipment.csv!L182,"0000")</f>
        <v>LIND0002</v>
      </c>
      <c r="N182" t="s">
        <v>5401</v>
      </c>
      <c r="O182" t="s">
        <v>6834</v>
      </c>
      <c r="P182">
        <v>1988</v>
      </c>
      <c r="Q182">
        <v>176</v>
      </c>
      <c r="R182" t="s">
        <v>6663</v>
      </c>
      <c r="S182" s="1">
        <v>37879</v>
      </c>
      <c r="T182" s="1">
        <v>37909</v>
      </c>
      <c r="U182" t="str">
        <f t="shared" ca="1" si="35"/>
        <v>rg:False</v>
      </c>
      <c r="V182" t="str">
        <f t="shared" ca="1" si="36"/>
        <v>rg:None</v>
      </c>
      <c r="W182" t="s">
        <v>7232</v>
      </c>
      <c r="X182" t="s">
        <v>76</v>
      </c>
      <c r="Y182" t="s">
        <v>76</v>
      </c>
      <c r="Z182" t="s">
        <v>76</v>
      </c>
      <c r="AA182" t="s">
        <v>7579</v>
      </c>
      <c r="AB182" t="s">
        <v>7288</v>
      </c>
      <c r="AC182">
        <v>0</v>
      </c>
      <c r="AD182" t="str">
        <f t="shared" ca="1" si="37"/>
        <v>rg:False</v>
      </c>
      <c r="AE182" t="str">
        <f t="shared" ca="1" si="44"/>
        <v>rg:None</v>
      </c>
      <c r="AF182" s="1">
        <v>42481</v>
      </c>
      <c r="AG182" s="4">
        <f t="shared" ca="1" si="39"/>
        <v>510.5</v>
      </c>
      <c r="AH182" s="4">
        <f t="shared" si="40"/>
        <v>12.46111111111111</v>
      </c>
      <c r="AI182">
        <f t="shared" ca="1" si="41"/>
        <v>38</v>
      </c>
      <c r="AJ182">
        <f t="shared" ca="1" si="42"/>
        <v>178</v>
      </c>
      <c r="AK182">
        <f t="shared" ca="1" si="43"/>
        <v>194</v>
      </c>
      <c r="AL182" t="s">
        <v>326</v>
      </c>
      <c r="AO182" t="s">
        <v>76</v>
      </c>
      <c r="AP182" t="s">
        <v>6510</v>
      </c>
      <c r="AQ182" t="s">
        <v>6510</v>
      </c>
      <c r="AR182" t="s">
        <v>6510</v>
      </c>
      <c r="AS182" t="s">
        <v>6510</v>
      </c>
    </row>
    <row r="183" spans="1:45" x14ac:dyDescent="0.3">
      <c r="A183" t="s">
        <v>5630</v>
      </c>
      <c r="B183">
        <f t="shared" si="30"/>
        <v>200181</v>
      </c>
      <c r="C183">
        <v>200050</v>
      </c>
      <c r="D183" t="str">
        <f t="shared" si="31"/>
        <v>rg:{'id': '200050'}</v>
      </c>
      <c r="E183">
        <f>VLOOKUP(C183,Owners.csv!C:J,6,FALSE)</f>
        <v>200002</v>
      </c>
      <c r="F183" t="str">
        <f>VLOOKUP(VLOOKUP(E183,LocalAreas.csv!I:K,3,FALSE),ServiceAreas.csv!F:J,5,FALSE)</f>
        <v>200009</v>
      </c>
      <c r="G183" t="str">
        <f t="shared" si="32"/>
        <v>rg:{'id': '200002'}</v>
      </c>
      <c r="H183" t="s">
        <v>7763</v>
      </c>
      <c r="I183" t="s">
        <v>5536</v>
      </c>
      <c r="J183">
        <f>VLOOKUP(I183&amp;"-"&amp;F183,DistrictEquipmentTypes.csv!J:K,2,FALSE)</f>
        <v>200000</v>
      </c>
      <c r="K183" t="str">
        <f t="shared" si="33"/>
        <v>rg:{'id': '200000'}</v>
      </c>
      <c r="L183">
        <f t="shared" si="34"/>
        <v>3</v>
      </c>
      <c r="M183" t="str">
        <f>VLOOKUP(C183,Owners.csv!C:K,9,FALSE)&amp;TEXT(Equipment.csv!L183,"0000")</f>
        <v>LIND0003</v>
      </c>
      <c r="N183" t="s">
        <v>5401</v>
      </c>
      <c r="O183" t="s">
        <v>6854</v>
      </c>
      <c r="P183">
        <v>1994</v>
      </c>
      <c r="Q183">
        <v>196</v>
      </c>
      <c r="R183" t="s">
        <v>6663</v>
      </c>
      <c r="S183" s="1">
        <v>38957</v>
      </c>
      <c r="T183" s="1">
        <v>38962</v>
      </c>
      <c r="U183" t="str">
        <f t="shared" ca="1" si="35"/>
        <v>rg:False</v>
      </c>
      <c r="V183" t="str">
        <f t="shared" ca="1" si="36"/>
        <v>rg:None</v>
      </c>
      <c r="W183" t="s">
        <v>7252</v>
      </c>
      <c r="X183" t="s">
        <v>76</v>
      </c>
      <c r="Y183" t="s">
        <v>76</v>
      </c>
      <c r="Z183" t="s">
        <v>76</v>
      </c>
      <c r="AA183" t="s">
        <v>7599</v>
      </c>
      <c r="AB183" t="s">
        <v>7389</v>
      </c>
      <c r="AC183">
        <v>0</v>
      </c>
      <c r="AD183" t="str">
        <f t="shared" ca="1" si="37"/>
        <v>rg:False</v>
      </c>
      <c r="AE183" t="str">
        <f t="shared" ca="1" si="44"/>
        <v>rg:None</v>
      </c>
      <c r="AF183" s="1">
        <v>42486</v>
      </c>
      <c r="AG183" s="4">
        <f t="shared" ca="1" si="39"/>
        <v>428.75</v>
      </c>
      <c r="AH183" s="4">
        <f t="shared" si="40"/>
        <v>9.5805555555555557</v>
      </c>
      <c r="AI183">
        <f t="shared" ca="1" si="41"/>
        <v>194</v>
      </c>
      <c r="AJ183">
        <f t="shared" ca="1" si="42"/>
        <v>45</v>
      </c>
      <c r="AK183">
        <f t="shared" ca="1" si="43"/>
        <v>185</v>
      </c>
      <c r="AL183" t="s">
        <v>326</v>
      </c>
      <c r="AO183" t="s">
        <v>76</v>
      </c>
      <c r="AP183" t="s">
        <v>6510</v>
      </c>
      <c r="AQ183" t="s">
        <v>6510</v>
      </c>
      <c r="AR183" t="s">
        <v>6510</v>
      </c>
      <c r="AS183" t="s">
        <v>6510</v>
      </c>
    </row>
    <row r="184" spans="1:45" x14ac:dyDescent="0.3">
      <c r="A184" t="s">
        <v>5630</v>
      </c>
      <c r="B184">
        <f t="shared" si="30"/>
        <v>200182</v>
      </c>
      <c r="C184">
        <v>200051</v>
      </c>
      <c r="D184" t="str">
        <f t="shared" si="31"/>
        <v>rg:{'id': '200051'}</v>
      </c>
      <c r="E184">
        <f>VLOOKUP(C184,Owners.csv!C:J,6,FALSE)</f>
        <v>200002</v>
      </c>
      <c r="F184" t="str">
        <f>VLOOKUP(VLOOKUP(E184,LocalAreas.csv!I:K,3,FALSE),ServiceAreas.csv!F:J,5,FALSE)</f>
        <v>200009</v>
      </c>
      <c r="G184" t="str">
        <f t="shared" si="32"/>
        <v>rg:{'id': '200002'}</v>
      </c>
      <c r="H184" t="s">
        <v>7744</v>
      </c>
      <c r="I184" t="s">
        <v>5651</v>
      </c>
      <c r="J184">
        <f>VLOOKUP(I184&amp;"-"&amp;F184,DistrictEquipmentTypes.csv!J:K,2,FALSE)</f>
        <v>200006</v>
      </c>
      <c r="K184" t="str">
        <f t="shared" si="33"/>
        <v>rg:{'id': '200006'}</v>
      </c>
      <c r="L184">
        <f t="shared" si="34"/>
        <v>1</v>
      </c>
      <c r="M184" t="str">
        <f>VLOOKUP(C184,Owners.csv!C:K,9,FALSE)&amp;TEXT(Equipment.csv!L184,"0000")</f>
        <v>LION0001</v>
      </c>
      <c r="N184" t="s">
        <v>5401</v>
      </c>
      <c r="O184" t="s">
        <v>6809</v>
      </c>
      <c r="P184">
        <v>2005</v>
      </c>
      <c r="Q184">
        <v>151</v>
      </c>
      <c r="R184" t="s">
        <v>6663</v>
      </c>
      <c r="S184" s="1">
        <v>39630</v>
      </c>
      <c r="T184" s="1">
        <v>39659</v>
      </c>
      <c r="U184" t="str">
        <f t="shared" ca="1" si="35"/>
        <v>rg:True</v>
      </c>
      <c r="V184" t="str">
        <f t="shared" ca="1" si="36"/>
        <v>This equipment should be archived</v>
      </c>
      <c r="W184" t="s">
        <v>7207</v>
      </c>
      <c r="X184" t="s">
        <v>76</v>
      </c>
      <c r="Y184" t="s">
        <v>76</v>
      </c>
      <c r="Z184" t="s">
        <v>76</v>
      </c>
      <c r="AA184" t="s">
        <v>7554</v>
      </c>
      <c r="AB184" t="s">
        <v>7374</v>
      </c>
      <c r="AC184">
        <v>0</v>
      </c>
      <c r="AD184" t="str">
        <f t="shared" ca="1" si="37"/>
        <v>rg:True</v>
      </c>
      <c r="AE184" t="str">
        <f t="shared" ca="1" si="44"/>
        <v>Seniority overridden to test things</v>
      </c>
      <c r="AF184" s="1">
        <v>42481</v>
      </c>
      <c r="AG184" s="4">
        <f t="shared" ca="1" si="39"/>
        <v>576.83333333333326</v>
      </c>
      <c r="AH184" s="4">
        <f t="shared" si="40"/>
        <v>7.6694444444444443</v>
      </c>
      <c r="AI184">
        <f t="shared" ca="1" si="41"/>
        <v>153</v>
      </c>
      <c r="AJ184">
        <f t="shared" ca="1" si="42"/>
        <v>123</v>
      </c>
      <c r="AK184">
        <f t="shared" ca="1" si="43"/>
        <v>74</v>
      </c>
      <c r="AL184" t="s">
        <v>326</v>
      </c>
      <c r="AO184" t="s">
        <v>76</v>
      </c>
      <c r="AP184" t="s">
        <v>6510</v>
      </c>
      <c r="AQ184" t="s">
        <v>6510</v>
      </c>
      <c r="AR184" t="s">
        <v>6510</v>
      </c>
      <c r="AS184" t="s">
        <v>6510</v>
      </c>
    </row>
    <row r="185" spans="1:45" x14ac:dyDescent="0.3">
      <c r="A185" t="s">
        <v>5630</v>
      </c>
      <c r="B185">
        <f t="shared" si="30"/>
        <v>200183</v>
      </c>
      <c r="C185">
        <v>200051</v>
      </c>
      <c r="D185" t="str">
        <f t="shared" si="31"/>
        <v>rg:{'id': '200051'}</v>
      </c>
      <c r="E185">
        <f>VLOOKUP(C185,Owners.csv!C:J,6,FALSE)</f>
        <v>200002</v>
      </c>
      <c r="F185" t="str">
        <f>VLOOKUP(VLOOKUP(E185,LocalAreas.csv!I:K,3,FALSE),ServiceAreas.csv!F:J,5,FALSE)</f>
        <v>200009</v>
      </c>
      <c r="G185" t="str">
        <f t="shared" si="32"/>
        <v>rg:{'id': '200002'}</v>
      </c>
      <c r="H185" t="s">
        <v>7730</v>
      </c>
      <c r="I185" t="s">
        <v>5637</v>
      </c>
      <c r="J185">
        <f>VLOOKUP(I185&amp;"-"&amp;F185,DistrictEquipmentTypes.csv!J:K,2,FALSE)</f>
        <v>200001</v>
      </c>
      <c r="K185" t="str">
        <f t="shared" si="33"/>
        <v>rg:{'id': '200001'}</v>
      </c>
      <c r="L185">
        <f t="shared" si="34"/>
        <v>2</v>
      </c>
      <c r="M185" t="str">
        <f>VLOOKUP(C185,Owners.csv!C:K,9,FALSE)&amp;TEXT(Equipment.csv!L185,"0000")</f>
        <v>LION0002</v>
      </c>
      <c r="N185" t="s">
        <v>5401</v>
      </c>
      <c r="O185" t="s">
        <v>6835</v>
      </c>
      <c r="P185">
        <v>2003</v>
      </c>
      <c r="Q185">
        <v>177</v>
      </c>
      <c r="R185" t="s">
        <v>6663</v>
      </c>
      <c r="S185" s="1">
        <v>40663</v>
      </c>
      <c r="T185" s="1">
        <v>40680</v>
      </c>
      <c r="U185" t="str">
        <f t="shared" ca="1" si="35"/>
        <v>rg:False</v>
      </c>
      <c r="V185" t="str">
        <f t="shared" ca="1" si="36"/>
        <v>rg:None</v>
      </c>
      <c r="W185" t="s">
        <v>7233</v>
      </c>
      <c r="X185" t="s">
        <v>76</v>
      </c>
      <c r="Y185" t="s">
        <v>76</v>
      </c>
      <c r="Z185" t="s">
        <v>76</v>
      </c>
      <c r="AA185" t="s">
        <v>7580</v>
      </c>
      <c r="AB185" t="s">
        <v>7390</v>
      </c>
      <c r="AC185">
        <v>0</v>
      </c>
      <c r="AD185" t="str">
        <f t="shared" ca="1" si="37"/>
        <v>rg:False</v>
      </c>
      <c r="AE185" t="str">
        <f t="shared" ca="1" si="44"/>
        <v>rg:None</v>
      </c>
      <c r="AF185" s="1">
        <v>42481</v>
      </c>
      <c r="AG185" s="4">
        <f t="shared" ca="1" si="39"/>
        <v>245.83333333333331</v>
      </c>
      <c r="AH185" s="4">
        <f t="shared" si="40"/>
        <v>4.8722222222222218</v>
      </c>
      <c r="AI185">
        <f t="shared" ca="1" si="41"/>
        <v>94</v>
      </c>
      <c r="AJ185">
        <f t="shared" ca="1" si="42"/>
        <v>160</v>
      </c>
      <c r="AK185">
        <f t="shared" ca="1" si="43"/>
        <v>45</v>
      </c>
      <c r="AL185" t="s">
        <v>326</v>
      </c>
      <c r="AO185" t="s">
        <v>76</v>
      </c>
      <c r="AP185" t="s">
        <v>6510</v>
      </c>
      <c r="AQ185" t="s">
        <v>6510</v>
      </c>
      <c r="AR185" t="s">
        <v>6510</v>
      </c>
      <c r="AS185" t="s">
        <v>6510</v>
      </c>
    </row>
    <row r="186" spans="1:45" x14ac:dyDescent="0.3">
      <c r="A186" t="s">
        <v>5630</v>
      </c>
      <c r="B186">
        <f t="shared" si="30"/>
        <v>200184</v>
      </c>
      <c r="C186">
        <v>200051</v>
      </c>
      <c r="D186" t="str">
        <f t="shared" si="31"/>
        <v>rg:{'id': '200051'}</v>
      </c>
      <c r="E186">
        <f>VLOOKUP(C186,Owners.csv!C:J,6,FALSE)</f>
        <v>200002</v>
      </c>
      <c r="F186" t="str">
        <f>VLOOKUP(VLOOKUP(E186,LocalAreas.csv!I:K,3,FALSE),ServiceAreas.csv!F:J,5,FALSE)</f>
        <v>200009</v>
      </c>
      <c r="G186" t="str">
        <f t="shared" si="32"/>
        <v>rg:{'id': '200002'}</v>
      </c>
      <c r="H186" t="s">
        <v>7679</v>
      </c>
      <c r="I186" t="s">
        <v>5536</v>
      </c>
      <c r="J186">
        <f>VLOOKUP(I186&amp;"-"&amp;F186,DistrictEquipmentTypes.csv!J:K,2,FALSE)</f>
        <v>200000</v>
      </c>
      <c r="K186" t="str">
        <f t="shared" si="33"/>
        <v>rg:{'id': '200000'}</v>
      </c>
      <c r="L186">
        <f t="shared" si="34"/>
        <v>3</v>
      </c>
      <c r="M186" t="str">
        <f>VLOOKUP(C186,Owners.csv!C:K,9,FALSE)&amp;TEXT(Equipment.csv!L186,"0000")</f>
        <v>LION0003</v>
      </c>
      <c r="N186" t="s">
        <v>5401</v>
      </c>
      <c r="O186" t="s">
        <v>6855</v>
      </c>
      <c r="P186">
        <v>1994</v>
      </c>
      <c r="Q186">
        <v>197</v>
      </c>
      <c r="R186" t="s">
        <v>6663</v>
      </c>
      <c r="S186" s="1">
        <v>40088</v>
      </c>
      <c r="T186" s="1">
        <v>40107</v>
      </c>
      <c r="U186" t="str">
        <f t="shared" ca="1" si="35"/>
        <v>rg:False</v>
      </c>
      <c r="V186" t="str">
        <f t="shared" ca="1" si="36"/>
        <v>rg:None</v>
      </c>
      <c r="W186" t="s">
        <v>7253</v>
      </c>
      <c r="X186" t="s">
        <v>76</v>
      </c>
      <c r="Y186" t="s">
        <v>76</v>
      </c>
      <c r="Z186" t="s">
        <v>76</v>
      </c>
      <c r="AA186" t="s">
        <v>7600</v>
      </c>
      <c r="AB186" t="s">
        <v>7402</v>
      </c>
      <c r="AC186">
        <v>0</v>
      </c>
      <c r="AD186" t="str">
        <f t="shared" ca="1" si="37"/>
        <v>rg:False</v>
      </c>
      <c r="AE186" t="str">
        <f t="shared" ca="1" si="44"/>
        <v>rg:None</v>
      </c>
      <c r="AF186" s="1">
        <v>42487</v>
      </c>
      <c r="AG186" s="4">
        <f t="shared" ca="1" si="39"/>
        <v>292.33333333333337</v>
      </c>
      <c r="AH186" s="4">
        <f t="shared" si="40"/>
        <v>6.4444444444444446</v>
      </c>
      <c r="AI186">
        <f t="shared" ca="1" si="41"/>
        <v>91</v>
      </c>
      <c r="AJ186">
        <f t="shared" ca="1" si="42"/>
        <v>134</v>
      </c>
      <c r="AK186">
        <f t="shared" ca="1" si="43"/>
        <v>72</v>
      </c>
      <c r="AL186" t="s">
        <v>326</v>
      </c>
      <c r="AO186" t="s">
        <v>76</v>
      </c>
      <c r="AP186" t="s">
        <v>6510</v>
      </c>
      <c r="AQ186" t="s">
        <v>6510</v>
      </c>
      <c r="AR186" t="s">
        <v>6510</v>
      </c>
      <c r="AS186" t="s">
        <v>6510</v>
      </c>
    </row>
    <row r="187" spans="1:45" x14ac:dyDescent="0.3">
      <c r="A187" t="s">
        <v>5630</v>
      </c>
      <c r="B187">
        <f t="shared" si="30"/>
        <v>200185</v>
      </c>
      <c r="C187">
        <v>200052</v>
      </c>
      <c r="D187" t="str">
        <f t="shared" si="31"/>
        <v>rg:{'id': '200052'}</v>
      </c>
      <c r="E187">
        <f>VLOOKUP(C187,Owners.csv!C:J,6,FALSE)</f>
        <v>200002</v>
      </c>
      <c r="F187" t="str">
        <f>VLOOKUP(VLOOKUP(E187,LocalAreas.csv!I:K,3,FALSE),ServiceAreas.csv!F:J,5,FALSE)</f>
        <v>200009</v>
      </c>
      <c r="G187" t="str">
        <f t="shared" si="32"/>
        <v>rg:{'id': '200002'}</v>
      </c>
      <c r="H187" t="s">
        <v>7745</v>
      </c>
      <c r="I187" t="s">
        <v>5651</v>
      </c>
      <c r="J187">
        <f>VLOOKUP(I187&amp;"-"&amp;F187,DistrictEquipmentTypes.csv!J:K,2,FALSE)</f>
        <v>200006</v>
      </c>
      <c r="K187" t="str">
        <f t="shared" si="33"/>
        <v>rg:{'id': '200006'}</v>
      </c>
      <c r="L187">
        <f t="shared" si="34"/>
        <v>1</v>
      </c>
      <c r="M187" t="str">
        <f>VLOOKUP(C187,Owners.csv!C:K,9,FALSE)&amp;TEXT(Equipment.csv!L187,"0000")</f>
        <v>LITT0001</v>
      </c>
      <c r="N187" t="s">
        <v>5401</v>
      </c>
      <c r="O187" t="s">
        <v>6810</v>
      </c>
      <c r="P187">
        <v>1999</v>
      </c>
      <c r="Q187">
        <v>152</v>
      </c>
      <c r="R187" t="s">
        <v>6663</v>
      </c>
      <c r="S187" s="1">
        <v>41160</v>
      </c>
      <c r="T187" s="1">
        <v>41181</v>
      </c>
      <c r="U187" t="str">
        <f t="shared" ca="1" si="35"/>
        <v>rg:False</v>
      </c>
      <c r="V187" t="str">
        <f t="shared" ca="1" si="36"/>
        <v>rg:None</v>
      </c>
      <c r="W187" t="s">
        <v>7208</v>
      </c>
      <c r="X187" t="s">
        <v>76</v>
      </c>
      <c r="Y187" t="s">
        <v>76</v>
      </c>
      <c r="Z187" t="s">
        <v>76</v>
      </c>
      <c r="AA187" t="s">
        <v>7555</v>
      </c>
      <c r="AB187" t="s">
        <v>7375</v>
      </c>
      <c r="AC187">
        <v>0</v>
      </c>
      <c r="AD187" t="str">
        <f t="shared" ca="1" si="37"/>
        <v>rg:False</v>
      </c>
      <c r="AE187" t="str">
        <f t="shared" ca="1" si="44"/>
        <v>rg:None</v>
      </c>
      <c r="AF187" s="1">
        <v>42481</v>
      </c>
      <c r="AG187" s="4">
        <f t="shared" ca="1" si="39"/>
        <v>286.66666666666669</v>
      </c>
      <c r="AH187" s="4">
        <f t="shared" si="40"/>
        <v>3.5055555555555555</v>
      </c>
      <c r="AI187">
        <f t="shared" ca="1" si="41"/>
        <v>129</v>
      </c>
      <c r="AJ187">
        <f t="shared" ca="1" si="42"/>
        <v>14</v>
      </c>
      <c r="AK187">
        <f t="shared" ca="1" si="43"/>
        <v>86</v>
      </c>
      <c r="AL187" t="s">
        <v>326</v>
      </c>
      <c r="AO187" t="s">
        <v>76</v>
      </c>
      <c r="AP187" t="s">
        <v>6510</v>
      </c>
      <c r="AQ187" t="s">
        <v>6510</v>
      </c>
      <c r="AR187" t="s">
        <v>6510</v>
      </c>
      <c r="AS187" t="s">
        <v>6510</v>
      </c>
    </row>
    <row r="188" spans="1:45" x14ac:dyDescent="0.3">
      <c r="A188" t="s">
        <v>5630</v>
      </c>
      <c r="B188">
        <f t="shared" si="30"/>
        <v>200186</v>
      </c>
      <c r="C188">
        <v>200052</v>
      </c>
      <c r="D188" t="str">
        <f t="shared" si="31"/>
        <v>rg:{'id': '200052'}</v>
      </c>
      <c r="E188">
        <f>VLOOKUP(C188,Owners.csv!C:J,6,FALSE)</f>
        <v>200002</v>
      </c>
      <c r="F188" t="str">
        <f>VLOOKUP(VLOOKUP(E188,LocalAreas.csv!I:K,3,FALSE),ServiceAreas.csv!F:J,5,FALSE)</f>
        <v>200009</v>
      </c>
      <c r="G188" t="str">
        <f t="shared" si="32"/>
        <v>rg:{'id': '200002'}</v>
      </c>
      <c r="H188" t="s">
        <v>7755</v>
      </c>
      <c r="I188" t="s">
        <v>5637</v>
      </c>
      <c r="J188">
        <f>VLOOKUP(I188&amp;"-"&amp;F188,DistrictEquipmentTypes.csv!J:K,2,FALSE)</f>
        <v>200001</v>
      </c>
      <c r="K188" t="str">
        <f t="shared" si="33"/>
        <v>rg:{'id': '200001'}</v>
      </c>
      <c r="L188">
        <f t="shared" si="34"/>
        <v>2</v>
      </c>
      <c r="M188" t="str">
        <f>VLOOKUP(C188,Owners.csv!C:K,9,FALSE)&amp;TEXT(Equipment.csv!L188,"0000")</f>
        <v>LITT0002</v>
      </c>
      <c r="N188" t="s">
        <v>5401</v>
      </c>
      <c r="O188" t="s">
        <v>6836</v>
      </c>
      <c r="P188">
        <v>1995</v>
      </c>
      <c r="Q188">
        <v>178</v>
      </c>
      <c r="R188" t="s">
        <v>6663</v>
      </c>
      <c r="S188" s="1">
        <v>42192</v>
      </c>
      <c r="T188" s="1">
        <v>42194</v>
      </c>
      <c r="U188" t="str">
        <f t="shared" ca="1" si="35"/>
        <v>rg:False</v>
      </c>
      <c r="V188" t="str">
        <f t="shared" ca="1" si="36"/>
        <v>rg:None</v>
      </c>
      <c r="W188" t="s">
        <v>7234</v>
      </c>
      <c r="X188" t="s">
        <v>76</v>
      </c>
      <c r="Y188" t="s">
        <v>76</v>
      </c>
      <c r="Z188" t="s">
        <v>76</v>
      </c>
      <c r="AA188" t="s">
        <v>7581</v>
      </c>
      <c r="AB188" t="s">
        <v>7391</v>
      </c>
      <c r="AC188">
        <v>0</v>
      </c>
      <c r="AD188" t="str">
        <f t="shared" ca="1" si="37"/>
        <v>rg:False</v>
      </c>
      <c r="AE188" t="str">
        <f t="shared" ca="1" si="44"/>
        <v>rg:None</v>
      </c>
      <c r="AF188" s="1">
        <v>42481</v>
      </c>
      <c r="AG188" s="4">
        <f t="shared" ca="1" si="39"/>
        <v>21.833333333333332</v>
      </c>
      <c r="AH188" s="4">
        <f t="shared" si="40"/>
        <v>0.72777777777777775</v>
      </c>
      <c r="AI188">
        <f t="shared" ca="1" si="41"/>
        <v>0</v>
      </c>
      <c r="AJ188">
        <f t="shared" ca="1" si="42"/>
        <v>0</v>
      </c>
      <c r="AK188">
        <f t="shared" ca="1" si="43"/>
        <v>0</v>
      </c>
      <c r="AL188" t="s">
        <v>326</v>
      </c>
      <c r="AO188" t="s">
        <v>76</v>
      </c>
      <c r="AP188" t="s">
        <v>6510</v>
      </c>
      <c r="AQ188" t="s">
        <v>6510</v>
      </c>
      <c r="AR188" t="s">
        <v>6510</v>
      </c>
      <c r="AS188" t="s">
        <v>6510</v>
      </c>
    </row>
    <row r="189" spans="1:45" x14ac:dyDescent="0.3">
      <c r="A189" t="s">
        <v>5630</v>
      </c>
      <c r="B189">
        <f t="shared" si="30"/>
        <v>200187</v>
      </c>
      <c r="C189">
        <v>200052</v>
      </c>
      <c r="D189" t="str">
        <f t="shared" si="31"/>
        <v>rg:{'id': '200052'}</v>
      </c>
      <c r="E189">
        <f>VLOOKUP(C189,Owners.csv!C:J,6,FALSE)</f>
        <v>200002</v>
      </c>
      <c r="F189" t="str">
        <f>VLOOKUP(VLOOKUP(E189,LocalAreas.csv!I:K,3,FALSE),ServiceAreas.csv!F:J,5,FALSE)</f>
        <v>200009</v>
      </c>
      <c r="G189" t="str">
        <f t="shared" si="32"/>
        <v>rg:{'id': '200002'}</v>
      </c>
      <c r="H189" t="s">
        <v>7764</v>
      </c>
      <c r="I189" t="s">
        <v>5536</v>
      </c>
      <c r="J189">
        <f>VLOOKUP(I189&amp;"-"&amp;F189,DistrictEquipmentTypes.csv!J:K,2,FALSE)</f>
        <v>200000</v>
      </c>
      <c r="K189" t="str">
        <f t="shared" si="33"/>
        <v>rg:{'id': '200000'}</v>
      </c>
      <c r="L189">
        <f t="shared" si="34"/>
        <v>3</v>
      </c>
      <c r="M189" t="str">
        <f>VLOOKUP(C189,Owners.csv!C:K,9,FALSE)&amp;TEXT(Equipment.csv!L189,"0000")</f>
        <v>LITT0003</v>
      </c>
      <c r="N189" t="s">
        <v>5401</v>
      </c>
      <c r="O189" t="s">
        <v>6856</v>
      </c>
      <c r="P189">
        <v>2002</v>
      </c>
      <c r="Q189">
        <v>198</v>
      </c>
      <c r="R189" t="s">
        <v>6663</v>
      </c>
      <c r="S189" s="1">
        <v>40388</v>
      </c>
      <c r="T189" s="1">
        <v>40408</v>
      </c>
      <c r="U189" t="str">
        <f t="shared" ca="1" si="35"/>
        <v>rg:False</v>
      </c>
      <c r="V189" t="str">
        <f t="shared" ca="1" si="36"/>
        <v>rg:None</v>
      </c>
      <c r="W189" t="s">
        <v>7254</v>
      </c>
      <c r="X189" t="s">
        <v>76</v>
      </c>
      <c r="Y189" t="s">
        <v>76</v>
      </c>
      <c r="Z189" t="s">
        <v>76</v>
      </c>
      <c r="AA189" t="s">
        <v>7601</v>
      </c>
      <c r="AB189" t="s">
        <v>7403</v>
      </c>
      <c r="AC189">
        <v>0</v>
      </c>
      <c r="AD189" t="str">
        <f t="shared" ca="1" si="37"/>
        <v>rg:False</v>
      </c>
      <c r="AE189" t="str">
        <f t="shared" ca="1" si="44"/>
        <v>rg:None</v>
      </c>
      <c r="AF189" s="1">
        <v>42488</v>
      </c>
      <c r="AG189" s="4">
        <f t="shared" ca="1" si="39"/>
        <v>209.25</v>
      </c>
      <c r="AH189" s="4">
        <f t="shared" si="40"/>
        <v>5.6194444444444445</v>
      </c>
      <c r="AI189">
        <f t="shared" ca="1" si="41"/>
        <v>31</v>
      </c>
      <c r="AJ189">
        <f t="shared" ca="1" si="42"/>
        <v>60</v>
      </c>
      <c r="AK189">
        <f t="shared" ca="1" si="43"/>
        <v>31</v>
      </c>
      <c r="AL189" t="s">
        <v>326</v>
      </c>
      <c r="AO189" t="s">
        <v>76</v>
      </c>
      <c r="AP189" t="s">
        <v>6510</v>
      </c>
      <c r="AQ189" t="s">
        <v>6510</v>
      </c>
      <c r="AR189" t="s">
        <v>6510</v>
      </c>
      <c r="AS189" t="s">
        <v>6510</v>
      </c>
    </row>
    <row r="190" spans="1:45" x14ac:dyDescent="0.3">
      <c r="A190" t="s">
        <v>5630</v>
      </c>
      <c r="B190">
        <f t="shared" si="30"/>
        <v>200188</v>
      </c>
      <c r="C190">
        <v>200053</v>
      </c>
      <c r="D190" t="str">
        <f t="shared" si="31"/>
        <v>rg:{'id': '200053'}</v>
      </c>
      <c r="E190">
        <f>VLOOKUP(C190,Owners.csv!C:J,6,FALSE)</f>
        <v>200002</v>
      </c>
      <c r="F190" t="str">
        <f>VLOOKUP(VLOOKUP(E190,LocalAreas.csv!I:K,3,FALSE),ServiceAreas.csv!F:J,5,FALSE)</f>
        <v>200009</v>
      </c>
      <c r="G190" t="str">
        <f t="shared" si="32"/>
        <v>rg:{'id': '200002'}</v>
      </c>
      <c r="H190" t="s">
        <v>7746</v>
      </c>
      <c r="I190" t="s">
        <v>5651</v>
      </c>
      <c r="J190">
        <f>VLOOKUP(I190&amp;"-"&amp;F190,DistrictEquipmentTypes.csv!J:K,2,FALSE)</f>
        <v>200006</v>
      </c>
      <c r="K190" t="str">
        <f t="shared" si="33"/>
        <v>rg:{'id': '200006'}</v>
      </c>
      <c r="L190">
        <f t="shared" si="34"/>
        <v>1</v>
      </c>
      <c r="M190" t="str">
        <f>VLOOKUP(C190,Owners.csv!C:K,9,FALSE)&amp;TEXT(Equipment.csv!L190,"0000")</f>
        <v>MAGI0001</v>
      </c>
      <c r="N190" t="s">
        <v>5401</v>
      </c>
      <c r="O190" t="s">
        <v>6811</v>
      </c>
      <c r="P190">
        <v>2005</v>
      </c>
      <c r="Q190">
        <v>153</v>
      </c>
      <c r="R190" t="s">
        <v>6663</v>
      </c>
      <c r="S190" s="1">
        <v>40417</v>
      </c>
      <c r="T190" s="1">
        <v>40436</v>
      </c>
      <c r="U190" t="str">
        <f t="shared" ca="1" si="35"/>
        <v>rg:True</v>
      </c>
      <c r="V190" t="str">
        <f t="shared" ca="1" si="36"/>
        <v>This equipment should be archived</v>
      </c>
      <c r="W190" t="s">
        <v>7209</v>
      </c>
      <c r="X190" t="s">
        <v>76</v>
      </c>
      <c r="Y190" t="s">
        <v>76</v>
      </c>
      <c r="Z190" t="s">
        <v>76</v>
      </c>
      <c r="AA190" t="s">
        <v>7556</v>
      </c>
      <c r="AB190" t="s">
        <v>7376</v>
      </c>
      <c r="AC190">
        <v>0</v>
      </c>
      <c r="AD190" t="str">
        <f t="shared" ca="1" si="37"/>
        <v>rg:False</v>
      </c>
      <c r="AE190" t="str">
        <f t="shared" ca="1" si="44"/>
        <v>rg:None</v>
      </c>
      <c r="AF190" s="1">
        <v>42481</v>
      </c>
      <c r="AG190" s="4">
        <f t="shared" ca="1" si="39"/>
        <v>455.33333333333331</v>
      </c>
      <c r="AH190" s="4">
        <f t="shared" si="40"/>
        <v>5.5444444444444443</v>
      </c>
      <c r="AI190">
        <f t="shared" ca="1" si="41"/>
        <v>72</v>
      </c>
      <c r="AJ190">
        <f t="shared" ca="1" si="42"/>
        <v>148</v>
      </c>
      <c r="AK190">
        <f t="shared" ca="1" si="43"/>
        <v>148</v>
      </c>
      <c r="AL190" t="s">
        <v>326</v>
      </c>
      <c r="AO190" t="s">
        <v>76</v>
      </c>
      <c r="AP190" t="s">
        <v>6510</v>
      </c>
      <c r="AQ190" t="s">
        <v>6510</v>
      </c>
      <c r="AR190" t="s">
        <v>6510</v>
      </c>
      <c r="AS190" t="s">
        <v>6510</v>
      </c>
    </row>
    <row r="191" spans="1:45" x14ac:dyDescent="0.3">
      <c r="A191" t="s">
        <v>5630</v>
      </c>
      <c r="B191">
        <f t="shared" si="30"/>
        <v>200189</v>
      </c>
      <c r="C191">
        <v>200053</v>
      </c>
      <c r="D191" t="str">
        <f t="shared" si="31"/>
        <v>rg:{'id': '200053'}</v>
      </c>
      <c r="E191">
        <f>VLOOKUP(C191,Owners.csv!C:J,6,FALSE)</f>
        <v>200002</v>
      </c>
      <c r="F191" t="str">
        <f>VLOOKUP(VLOOKUP(E191,LocalAreas.csv!I:K,3,FALSE),ServiceAreas.csv!F:J,5,FALSE)</f>
        <v>200009</v>
      </c>
      <c r="G191" t="str">
        <f t="shared" si="32"/>
        <v>rg:{'id': '200002'}</v>
      </c>
      <c r="H191" t="s">
        <v>7723</v>
      </c>
      <c r="I191" t="s">
        <v>5637</v>
      </c>
      <c r="J191">
        <f>VLOOKUP(I191&amp;"-"&amp;F191,DistrictEquipmentTypes.csv!J:K,2,FALSE)</f>
        <v>200001</v>
      </c>
      <c r="K191" t="str">
        <f t="shared" si="33"/>
        <v>rg:{'id': '200001'}</v>
      </c>
      <c r="L191">
        <f t="shared" si="34"/>
        <v>2</v>
      </c>
      <c r="M191" t="str">
        <f>VLOOKUP(C191,Owners.csv!C:K,9,FALSE)&amp;TEXT(Equipment.csv!L191,"0000")</f>
        <v>MAGI0002</v>
      </c>
      <c r="N191" t="s">
        <v>5401</v>
      </c>
      <c r="O191" t="s">
        <v>6837</v>
      </c>
      <c r="P191">
        <v>2002</v>
      </c>
      <c r="Q191">
        <v>179</v>
      </c>
      <c r="R191" t="s">
        <v>6663</v>
      </c>
      <c r="S191" s="1">
        <v>42225</v>
      </c>
      <c r="T191" s="1">
        <v>42242</v>
      </c>
      <c r="U191" t="str">
        <f t="shared" ca="1" si="35"/>
        <v>rg:False</v>
      </c>
      <c r="V191" t="str">
        <f t="shared" ca="1" si="36"/>
        <v>rg:None</v>
      </c>
      <c r="W191" t="s">
        <v>7235</v>
      </c>
      <c r="X191" t="s">
        <v>76</v>
      </c>
      <c r="Y191" t="s">
        <v>76</v>
      </c>
      <c r="Z191" t="s">
        <v>76</v>
      </c>
      <c r="AA191" t="s">
        <v>7582</v>
      </c>
      <c r="AB191" t="s">
        <v>7269</v>
      </c>
      <c r="AC191">
        <v>0</v>
      </c>
      <c r="AD191" t="str">
        <f t="shared" ca="1" si="37"/>
        <v>rg:False</v>
      </c>
      <c r="AE191" t="str">
        <f t="shared" ca="1" si="44"/>
        <v>rg:None</v>
      </c>
      <c r="AF191" s="1">
        <v>42481</v>
      </c>
      <c r="AG191" s="4">
        <f t="shared" ca="1" si="39"/>
        <v>17.916666666666668</v>
      </c>
      <c r="AH191" s="4">
        <f t="shared" si="40"/>
        <v>0.59722222222222221</v>
      </c>
      <c r="AI191">
        <f t="shared" ca="1" si="41"/>
        <v>0</v>
      </c>
      <c r="AJ191">
        <f t="shared" ca="1" si="42"/>
        <v>0</v>
      </c>
      <c r="AK191">
        <f t="shared" ca="1" si="43"/>
        <v>0</v>
      </c>
      <c r="AL191" t="s">
        <v>326</v>
      </c>
      <c r="AO191" t="s">
        <v>76</v>
      </c>
      <c r="AP191" t="s">
        <v>6510</v>
      </c>
      <c r="AQ191" t="s">
        <v>6510</v>
      </c>
      <c r="AR191" t="s">
        <v>6510</v>
      </c>
      <c r="AS191" t="s">
        <v>6510</v>
      </c>
    </row>
    <row r="192" spans="1:45" x14ac:dyDescent="0.3">
      <c r="A192" t="s">
        <v>5630</v>
      </c>
      <c r="B192">
        <f t="shared" si="30"/>
        <v>200190</v>
      </c>
      <c r="C192">
        <v>200053</v>
      </c>
      <c r="D192" t="str">
        <f t="shared" si="31"/>
        <v>rg:{'id': '200053'}</v>
      </c>
      <c r="E192">
        <f>VLOOKUP(C192,Owners.csv!C:J,6,FALSE)</f>
        <v>200002</v>
      </c>
      <c r="F192" t="str">
        <f>VLOOKUP(VLOOKUP(E192,LocalAreas.csv!I:K,3,FALSE),ServiceAreas.csv!F:J,5,FALSE)</f>
        <v>200009</v>
      </c>
      <c r="G192" t="str">
        <f t="shared" si="32"/>
        <v>rg:{'id': '200002'}</v>
      </c>
      <c r="H192" t="s">
        <v>7363</v>
      </c>
      <c r="I192" t="s">
        <v>5536</v>
      </c>
      <c r="J192">
        <f>VLOOKUP(I192&amp;"-"&amp;F192,DistrictEquipmentTypes.csv!J:K,2,FALSE)</f>
        <v>200000</v>
      </c>
      <c r="K192" t="str">
        <f t="shared" si="33"/>
        <v>rg:{'id': '200000'}</v>
      </c>
      <c r="L192">
        <f t="shared" si="34"/>
        <v>3</v>
      </c>
      <c r="M192" t="str">
        <f>VLOOKUP(C192,Owners.csv!C:K,9,FALSE)&amp;TEXT(Equipment.csv!L192,"0000")</f>
        <v>MAGI0003</v>
      </c>
      <c r="N192" t="s">
        <v>5658</v>
      </c>
      <c r="O192">
        <v>303</v>
      </c>
      <c r="P192">
        <v>1989</v>
      </c>
      <c r="Q192">
        <v>400</v>
      </c>
      <c r="R192" t="s">
        <v>6663</v>
      </c>
      <c r="S192" s="1">
        <v>40274</v>
      </c>
      <c r="T192" s="1">
        <v>39491</v>
      </c>
      <c r="U192" t="str">
        <f t="shared" ca="1" si="35"/>
        <v>rg:False</v>
      </c>
      <c r="V192" t="str">
        <f t="shared" ca="1" si="36"/>
        <v>rg:None</v>
      </c>
      <c r="W192" t="s">
        <v>7632</v>
      </c>
      <c r="X192" t="s">
        <v>76</v>
      </c>
      <c r="Y192" t="s">
        <v>76</v>
      </c>
      <c r="Z192" t="s">
        <v>76</v>
      </c>
      <c r="AA192" t="s">
        <v>7634</v>
      </c>
      <c r="AB192" s="1">
        <v>43042</v>
      </c>
      <c r="AC192">
        <v>0</v>
      </c>
      <c r="AD192" t="str">
        <f t="shared" ca="1" si="37"/>
        <v>rg:False</v>
      </c>
      <c r="AE192" t="str">
        <f t="shared" ca="1" si="44"/>
        <v>rg:None</v>
      </c>
      <c r="AF192" s="1">
        <v>42489</v>
      </c>
      <c r="AG192" s="4">
        <f t="shared" ca="1" si="39"/>
        <v>358</v>
      </c>
      <c r="AH192" s="4">
        <f t="shared" si="40"/>
        <v>8.1333333333333329</v>
      </c>
      <c r="AI192">
        <f t="shared" ca="1" si="41"/>
        <v>44</v>
      </c>
      <c r="AJ192">
        <f t="shared" ca="1" si="42"/>
        <v>149</v>
      </c>
      <c r="AK192">
        <f t="shared" ca="1" si="43"/>
        <v>149</v>
      </c>
      <c r="AL192" t="s">
        <v>326</v>
      </c>
      <c r="AO192" t="s">
        <v>76</v>
      </c>
      <c r="AP192" t="s">
        <v>6510</v>
      </c>
      <c r="AQ192" t="s">
        <v>6510</v>
      </c>
      <c r="AR192" t="s">
        <v>6510</v>
      </c>
      <c r="AS192" t="s">
        <v>6510</v>
      </c>
    </row>
    <row r="193" spans="1:45" x14ac:dyDescent="0.3">
      <c r="A193" t="s">
        <v>5630</v>
      </c>
      <c r="B193">
        <f t="shared" si="30"/>
        <v>200191</v>
      </c>
      <c r="C193">
        <v>200054</v>
      </c>
      <c r="D193" t="str">
        <f t="shared" si="31"/>
        <v>rg:{'id': '200054'}</v>
      </c>
      <c r="E193">
        <f>VLOOKUP(C193,Owners.csv!C:J,6,FALSE)</f>
        <v>200002</v>
      </c>
      <c r="F193" t="str">
        <f>VLOOKUP(VLOOKUP(E193,LocalAreas.csv!I:K,3,FALSE),ServiceAreas.csv!F:J,5,FALSE)</f>
        <v>200009</v>
      </c>
      <c r="G193" t="str">
        <f t="shared" si="32"/>
        <v>rg:{'id': '200002'}</v>
      </c>
      <c r="H193" t="s">
        <v>7747</v>
      </c>
      <c r="I193" t="s">
        <v>5651</v>
      </c>
      <c r="J193">
        <f>VLOOKUP(I193&amp;"-"&amp;F193,DistrictEquipmentTypes.csv!J:K,2,FALSE)</f>
        <v>200006</v>
      </c>
      <c r="K193" t="str">
        <f t="shared" si="33"/>
        <v>rg:{'id': '200006'}</v>
      </c>
      <c r="L193">
        <f t="shared" si="34"/>
        <v>1</v>
      </c>
      <c r="M193" t="str">
        <f>VLOOKUP(C193,Owners.csv!C:K,9,FALSE)&amp;TEXT(Equipment.csv!L193,"0000")</f>
        <v>MANC0001</v>
      </c>
      <c r="N193" t="s">
        <v>5401</v>
      </c>
      <c r="O193" t="s">
        <v>6812</v>
      </c>
      <c r="P193">
        <v>1996</v>
      </c>
      <c r="Q193">
        <v>154</v>
      </c>
      <c r="R193" t="s">
        <v>6663</v>
      </c>
      <c r="S193" s="1">
        <v>40602</v>
      </c>
      <c r="T193" s="1">
        <v>40604</v>
      </c>
      <c r="U193" t="str">
        <f t="shared" ca="1" si="35"/>
        <v>rg:False</v>
      </c>
      <c r="V193" t="str">
        <f t="shared" ca="1" si="36"/>
        <v>rg:None</v>
      </c>
      <c r="W193" t="s">
        <v>7210</v>
      </c>
      <c r="X193" t="s">
        <v>76</v>
      </c>
      <c r="Y193" t="s">
        <v>76</v>
      </c>
      <c r="Z193" t="s">
        <v>76</v>
      </c>
      <c r="AA193" t="s">
        <v>7557</v>
      </c>
      <c r="AB193" t="s">
        <v>7377</v>
      </c>
      <c r="AC193">
        <v>0</v>
      </c>
      <c r="AD193" t="str">
        <f t="shared" ca="1" si="37"/>
        <v>rg:False</v>
      </c>
      <c r="AE193" t="str">
        <f t="shared" ca="1" si="44"/>
        <v>rg:None</v>
      </c>
      <c r="AF193" s="1">
        <v>42481</v>
      </c>
      <c r="AG193" s="4">
        <f t="shared" ca="1" si="39"/>
        <v>382.83333333333337</v>
      </c>
      <c r="AH193" s="4">
        <f t="shared" si="40"/>
        <v>5.0805555555555557</v>
      </c>
      <c r="AI193">
        <f t="shared" ca="1" si="41"/>
        <v>121</v>
      </c>
      <c r="AJ193">
        <f t="shared" ca="1" si="42"/>
        <v>49</v>
      </c>
      <c r="AK193">
        <f t="shared" ca="1" si="43"/>
        <v>64</v>
      </c>
      <c r="AL193" t="s">
        <v>326</v>
      </c>
      <c r="AO193" t="s">
        <v>76</v>
      </c>
      <c r="AP193" t="s">
        <v>6510</v>
      </c>
      <c r="AQ193" t="s">
        <v>6510</v>
      </c>
      <c r="AR193" t="s">
        <v>6510</v>
      </c>
      <c r="AS193" t="s">
        <v>6510</v>
      </c>
    </row>
    <row r="194" spans="1:45" x14ac:dyDescent="0.3">
      <c r="A194" t="s">
        <v>5630</v>
      </c>
      <c r="B194">
        <f t="shared" ref="B194:B204" si="45">IF(ISNUMBER(B193),B193+1,200000)</f>
        <v>200192</v>
      </c>
      <c r="C194">
        <v>200054</v>
      </c>
      <c r="D194" t="str">
        <f t="shared" ref="D194:D257" si="46">"rg:{'id': '"&amp;C194&amp;"'}"</f>
        <v>rg:{'id': '200054'}</v>
      </c>
      <c r="E194">
        <f>VLOOKUP(C194,Owners.csv!C:J,6,FALSE)</f>
        <v>200002</v>
      </c>
      <c r="F194" t="str">
        <f>VLOOKUP(VLOOKUP(E194,LocalAreas.csv!I:K,3,FALSE),ServiceAreas.csv!F:J,5,FALSE)</f>
        <v>200009</v>
      </c>
      <c r="G194" t="str">
        <f t="shared" ref="G194:G204" si="47">"rg:{'id': '"&amp;E194&amp;"'}"</f>
        <v>rg:{'id': '200002'}</v>
      </c>
      <c r="H194" t="s">
        <v>7743</v>
      </c>
      <c r="I194" t="s">
        <v>5637</v>
      </c>
      <c r="J194">
        <f>VLOOKUP(I194&amp;"-"&amp;F194,DistrictEquipmentTypes.csv!J:K,2,FALSE)</f>
        <v>200001</v>
      </c>
      <c r="K194" t="str">
        <f t="shared" ref="K194:K257" si="48">"rg:{'id': '"&amp;J194&amp;"'}"</f>
        <v>rg:{'id': '200001'}</v>
      </c>
      <c r="L194">
        <f t="shared" ref="L194:L204" si="49">IF(C194=C193,L193+1,1)</f>
        <v>2</v>
      </c>
      <c r="M194" t="str">
        <f>VLOOKUP(C194,Owners.csv!C:K,9,FALSE)&amp;TEXT(Equipment.csv!L194,"0000")</f>
        <v>MANC0002</v>
      </c>
      <c r="N194" t="s">
        <v>5401</v>
      </c>
      <c r="O194" t="s">
        <v>6838</v>
      </c>
      <c r="P194">
        <v>1990</v>
      </c>
      <c r="Q194">
        <v>180</v>
      </c>
      <c r="R194" t="s">
        <v>6663</v>
      </c>
      <c r="S194" s="1">
        <v>40978</v>
      </c>
      <c r="T194" s="1">
        <v>40995</v>
      </c>
      <c r="U194" t="str">
        <f t="shared" ref="U194:U204" ca="1" si="50">IF(RANDBETWEEN(1,10)&gt;1,"rg:False","rg:True")</f>
        <v>rg:False</v>
      </c>
      <c r="V194" t="str">
        <f t="shared" ref="V194:V257" ca="1" si="51">IF(U194="rg:True","This equipment should be archived","rg:None")</f>
        <v>rg:None</v>
      </c>
      <c r="W194" t="s">
        <v>7236</v>
      </c>
      <c r="X194" t="s">
        <v>76</v>
      </c>
      <c r="Y194" t="s">
        <v>76</v>
      </c>
      <c r="Z194" t="s">
        <v>76</v>
      </c>
      <c r="AA194" t="s">
        <v>7583</v>
      </c>
      <c r="AB194" t="s">
        <v>7392</v>
      </c>
      <c r="AC194">
        <v>0</v>
      </c>
      <c r="AD194" t="str">
        <f t="shared" ref="AD194:AD204" ca="1" si="52">IF(RANDBETWEEN(1,20)&gt;1,"rg:False","rg:True")</f>
        <v>rg:False</v>
      </c>
      <c r="AE194" t="str">
        <f t="shared" ref="AE194:AE225" ca="1" si="53">IF(AD194="rg:True","Seniority overridden to test things","rg:None")</f>
        <v>rg:None</v>
      </c>
      <c r="AF194" s="1">
        <v>42481</v>
      </c>
      <c r="AG194" s="4">
        <f t="shared" ref="AG194:AG257" ca="1" si="54">IF(I194="Dump Truck",60,30)*AH194+(AVERAGE(AI194:AK194))</f>
        <v>195.33333333333331</v>
      </c>
      <c r="AH194" s="4">
        <f t="shared" ref="AH194:AH204" si="55">YEARFRAC(DATE("2016","4","1"),T194)</f>
        <v>4.0111111111111111</v>
      </c>
      <c r="AI194">
        <f t="shared" ref="AI194:AI257" ca="1" si="56">IF(AH194&lt;1,0,RANDBETWEEN(0,200))</f>
        <v>133</v>
      </c>
      <c r="AJ194">
        <f t="shared" ref="AJ194:AJ204" ca="1" si="57">IF(AH194&lt;2,0,RANDBETWEEN(0,200))</f>
        <v>38</v>
      </c>
      <c r="AK194">
        <f t="shared" ref="AK194:AK204" ca="1" si="58">IF(AH194&lt;3,0,RANDBETWEEN(0,200))</f>
        <v>54</v>
      </c>
      <c r="AL194" t="s">
        <v>326</v>
      </c>
      <c r="AO194" t="s">
        <v>76</v>
      </c>
      <c r="AP194" t="s">
        <v>6510</v>
      </c>
      <c r="AQ194" t="s">
        <v>6510</v>
      </c>
      <c r="AR194" t="s">
        <v>6510</v>
      </c>
      <c r="AS194" t="s">
        <v>6510</v>
      </c>
    </row>
    <row r="195" spans="1:45" x14ac:dyDescent="0.3">
      <c r="A195" t="s">
        <v>5630</v>
      </c>
      <c r="B195">
        <f t="shared" si="45"/>
        <v>200193</v>
      </c>
      <c r="C195">
        <v>200054</v>
      </c>
      <c r="D195" t="str">
        <f t="shared" si="46"/>
        <v>rg:{'id': '200054'}</v>
      </c>
      <c r="E195">
        <f>VLOOKUP(C195,Owners.csv!C:J,6,FALSE)</f>
        <v>200002</v>
      </c>
      <c r="F195" t="str">
        <f>VLOOKUP(VLOOKUP(E195,LocalAreas.csv!I:K,3,FALSE),ServiceAreas.csv!F:J,5,FALSE)</f>
        <v>200009</v>
      </c>
      <c r="G195" t="str">
        <f t="shared" si="47"/>
        <v>rg:{'id': '200002'}</v>
      </c>
      <c r="H195" t="s">
        <v>7700</v>
      </c>
      <c r="I195" t="s">
        <v>5536</v>
      </c>
      <c r="J195">
        <f>VLOOKUP(I195&amp;"-"&amp;F195,DistrictEquipmentTypes.csv!J:K,2,FALSE)</f>
        <v>200000</v>
      </c>
      <c r="K195" t="str">
        <f t="shared" si="48"/>
        <v>rg:{'id': '200000'}</v>
      </c>
      <c r="L195">
        <f t="shared" si="49"/>
        <v>3</v>
      </c>
      <c r="M195" t="str">
        <f>VLOOKUP(C195,Owners.csv!C:K,9,FALSE)&amp;TEXT(Equipment.csv!L195,"0000")</f>
        <v>MANC0003</v>
      </c>
      <c r="N195" t="s">
        <v>5658</v>
      </c>
      <c r="O195" t="s">
        <v>7631</v>
      </c>
      <c r="P195">
        <v>2008</v>
      </c>
      <c r="Q195">
        <v>700</v>
      </c>
      <c r="R195" t="s">
        <v>6663</v>
      </c>
      <c r="S195" s="1">
        <v>41493</v>
      </c>
      <c r="T195" s="1">
        <v>39069</v>
      </c>
      <c r="U195" t="str">
        <f t="shared" ca="1" si="50"/>
        <v>rg:False</v>
      </c>
      <c r="V195" t="str">
        <f t="shared" ca="1" si="51"/>
        <v>rg:None</v>
      </c>
      <c r="W195" t="s">
        <v>7633</v>
      </c>
      <c r="X195" t="s">
        <v>76</v>
      </c>
      <c r="Y195" t="s">
        <v>76</v>
      </c>
      <c r="Z195" t="s">
        <v>76</v>
      </c>
      <c r="AA195">
        <v>123.456</v>
      </c>
      <c r="AB195" s="1">
        <v>43056</v>
      </c>
      <c r="AC195">
        <v>0</v>
      </c>
      <c r="AD195" t="str">
        <f t="shared" ca="1" si="52"/>
        <v>rg:False</v>
      </c>
      <c r="AE195" t="str">
        <f t="shared" ca="1" si="53"/>
        <v>rg:None</v>
      </c>
      <c r="AF195" s="1">
        <v>42490</v>
      </c>
      <c r="AG195" s="4">
        <f t="shared" ca="1" si="54"/>
        <v>444.58333333333337</v>
      </c>
      <c r="AH195" s="4">
        <f t="shared" si="55"/>
        <v>9.2861111111111114</v>
      </c>
      <c r="AI195">
        <f t="shared" ca="1" si="56"/>
        <v>158</v>
      </c>
      <c r="AJ195">
        <f t="shared" ca="1" si="57"/>
        <v>160</v>
      </c>
      <c r="AK195">
        <f t="shared" ca="1" si="58"/>
        <v>180</v>
      </c>
      <c r="AL195" t="s">
        <v>326</v>
      </c>
      <c r="AO195" t="s">
        <v>76</v>
      </c>
      <c r="AP195" t="s">
        <v>6510</v>
      </c>
      <c r="AQ195" t="s">
        <v>6510</v>
      </c>
      <c r="AR195" t="s">
        <v>6510</v>
      </c>
      <c r="AS195" t="s">
        <v>6510</v>
      </c>
    </row>
    <row r="196" spans="1:45" x14ac:dyDescent="0.3">
      <c r="A196" t="s">
        <v>5630</v>
      </c>
      <c r="B196">
        <f t="shared" si="45"/>
        <v>200194</v>
      </c>
      <c r="C196">
        <v>200055</v>
      </c>
      <c r="D196" t="str">
        <f t="shared" si="46"/>
        <v>rg:{'id': '200055'}</v>
      </c>
      <c r="E196">
        <f>VLOOKUP(C196,Owners.csv!C:J,6,FALSE)</f>
        <v>200002</v>
      </c>
      <c r="F196" t="str">
        <f>VLOOKUP(VLOOKUP(E196,LocalAreas.csv!I:K,3,FALSE),ServiceAreas.csv!F:J,5,FALSE)</f>
        <v>200009</v>
      </c>
      <c r="G196" t="str">
        <f t="shared" si="47"/>
        <v>rg:{'id': '200002'}</v>
      </c>
      <c r="H196" t="s">
        <v>7650</v>
      </c>
      <c r="I196" t="s">
        <v>5651</v>
      </c>
      <c r="J196">
        <f>VLOOKUP(I196&amp;"-"&amp;F196,DistrictEquipmentTypes.csv!J:K,2,FALSE)</f>
        <v>200006</v>
      </c>
      <c r="K196" t="str">
        <f t="shared" si="48"/>
        <v>rg:{'id': '200006'}</v>
      </c>
      <c r="L196">
        <f t="shared" si="49"/>
        <v>1</v>
      </c>
      <c r="M196" t="str">
        <f>VLOOKUP(C196,Owners.csv!C:K,9,FALSE)&amp;TEXT(Equipment.csv!L196,"0000")</f>
        <v>MCDU0001</v>
      </c>
      <c r="N196" t="s">
        <v>5401</v>
      </c>
      <c r="O196" t="s">
        <v>6813</v>
      </c>
      <c r="P196">
        <v>1984</v>
      </c>
      <c r="Q196">
        <v>155</v>
      </c>
      <c r="R196" t="s">
        <v>6663</v>
      </c>
      <c r="S196" s="1">
        <v>40236</v>
      </c>
      <c r="T196" s="1">
        <v>40251</v>
      </c>
      <c r="U196" t="str">
        <f t="shared" ca="1" si="50"/>
        <v>rg:False</v>
      </c>
      <c r="V196" t="str">
        <f t="shared" ca="1" si="51"/>
        <v>rg:None</v>
      </c>
      <c r="W196" t="s">
        <v>7211</v>
      </c>
      <c r="X196" t="s">
        <v>76</v>
      </c>
      <c r="Y196" t="s">
        <v>76</v>
      </c>
      <c r="Z196" t="s">
        <v>76</v>
      </c>
      <c r="AA196" t="s">
        <v>7558</v>
      </c>
      <c r="AB196" t="s">
        <v>7378</v>
      </c>
      <c r="AC196">
        <v>0</v>
      </c>
      <c r="AD196" t="str">
        <f t="shared" ca="1" si="52"/>
        <v>rg:False</v>
      </c>
      <c r="AE196" t="str">
        <f t="shared" ca="1" si="53"/>
        <v>rg:None</v>
      </c>
      <c r="AF196" s="1">
        <v>42481</v>
      </c>
      <c r="AG196" s="4">
        <f t="shared" ca="1" si="54"/>
        <v>425.16666666666669</v>
      </c>
      <c r="AH196" s="4">
        <f t="shared" si="55"/>
        <v>6.0472222222222225</v>
      </c>
      <c r="AI196">
        <f t="shared" ca="1" si="56"/>
        <v>100</v>
      </c>
      <c r="AJ196">
        <f t="shared" ca="1" si="57"/>
        <v>39</v>
      </c>
      <c r="AK196">
        <f t="shared" ca="1" si="58"/>
        <v>48</v>
      </c>
      <c r="AL196" t="s">
        <v>326</v>
      </c>
      <c r="AO196" t="s">
        <v>76</v>
      </c>
      <c r="AP196" t="s">
        <v>6510</v>
      </c>
      <c r="AQ196" t="s">
        <v>6510</v>
      </c>
      <c r="AR196" t="s">
        <v>6510</v>
      </c>
      <c r="AS196" t="s">
        <v>6510</v>
      </c>
    </row>
    <row r="197" spans="1:45" x14ac:dyDescent="0.3">
      <c r="A197" t="s">
        <v>5630</v>
      </c>
      <c r="B197">
        <f t="shared" si="45"/>
        <v>200195</v>
      </c>
      <c r="C197">
        <v>200055</v>
      </c>
      <c r="D197" t="str">
        <f t="shared" si="46"/>
        <v>rg:{'id': '200055'}</v>
      </c>
      <c r="E197">
        <f>VLOOKUP(C197,Owners.csv!C:J,6,FALSE)</f>
        <v>200002</v>
      </c>
      <c r="F197" t="str">
        <f>VLOOKUP(VLOOKUP(E197,LocalAreas.csv!I:K,3,FALSE),ServiceAreas.csv!F:J,5,FALSE)</f>
        <v>200009</v>
      </c>
      <c r="G197" t="str">
        <f t="shared" si="47"/>
        <v>rg:{'id': '200002'}</v>
      </c>
      <c r="H197" t="s">
        <v>7756</v>
      </c>
      <c r="I197" t="s">
        <v>5637</v>
      </c>
      <c r="J197">
        <f>VLOOKUP(I197&amp;"-"&amp;F197,DistrictEquipmentTypes.csv!J:K,2,FALSE)</f>
        <v>200001</v>
      </c>
      <c r="K197" t="str">
        <f t="shared" si="48"/>
        <v>rg:{'id': '200001'}</v>
      </c>
      <c r="L197">
        <f t="shared" si="49"/>
        <v>2</v>
      </c>
      <c r="M197" t="str">
        <f>VLOOKUP(C197,Owners.csv!C:K,9,FALSE)&amp;TEXT(Equipment.csv!L197,"0000")</f>
        <v>MCDU0002</v>
      </c>
      <c r="N197" t="s">
        <v>5401</v>
      </c>
      <c r="O197" t="s">
        <v>6839</v>
      </c>
      <c r="P197">
        <v>1978</v>
      </c>
      <c r="Q197">
        <v>181</v>
      </c>
      <c r="R197" t="s">
        <v>6663</v>
      </c>
      <c r="S197" s="1">
        <v>40190</v>
      </c>
      <c r="T197" s="1">
        <v>40217</v>
      </c>
      <c r="U197" t="str">
        <f t="shared" ca="1" si="50"/>
        <v>rg:False</v>
      </c>
      <c r="V197" t="str">
        <f t="shared" ca="1" si="51"/>
        <v>rg:None</v>
      </c>
      <c r="W197" t="s">
        <v>7237</v>
      </c>
      <c r="X197" t="s">
        <v>76</v>
      </c>
      <c r="Y197" t="s">
        <v>76</v>
      </c>
      <c r="Z197" t="s">
        <v>76</v>
      </c>
      <c r="AA197" t="s">
        <v>7584</v>
      </c>
      <c r="AB197" t="s">
        <v>7393</v>
      </c>
      <c r="AC197">
        <v>0</v>
      </c>
      <c r="AD197" t="str">
        <f t="shared" ca="1" si="52"/>
        <v>rg:False</v>
      </c>
      <c r="AE197" t="str">
        <f t="shared" ca="1" si="53"/>
        <v>rg:None</v>
      </c>
      <c r="AF197" s="1">
        <v>42481</v>
      </c>
      <c r="AG197" s="4">
        <f t="shared" ca="1" si="54"/>
        <v>253.75</v>
      </c>
      <c r="AH197" s="4">
        <f t="shared" si="55"/>
        <v>6.1472222222222221</v>
      </c>
      <c r="AI197">
        <f t="shared" ca="1" si="56"/>
        <v>62</v>
      </c>
      <c r="AJ197">
        <f t="shared" ca="1" si="57"/>
        <v>72</v>
      </c>
      <c r="AK197">
        <f t="shared" ca="1" si="58"/>
        <v>74</v>
      </c>
      <c r="AL197" t="s">
        <v>326</v>
      </c>
      <c r="AO197" t="s">
        <v>76</v>
      </c>
      <c r="AP197" t="s">
        <v>6510</v>
      </c>
      <c r="AQ197" t="s">
        <v>6510</v>
      </c>
      <c r="AR197" t="s">
        <v>6510</v>
      </c>
      <c r="AS197" t="s">
        <v>6510</v>
      </c>
    </row>
    <row r="198" spans="1:45" x14ac:dyDescent="0.3">
      <c r="A198" t="s">
        <v>5630</v>
      </c>
      <c r="B198">
        <f t="shared" si="45"/>
        <v>200196</v>
      </c>
      <c r="C198">
        <v>200055</v>
      </c>
      <c r="D198" t="str">
        <f t="shared" si="46"/>
        <v>rg:{'id': '200055'}</v>
      </c>
      <c r="E198">
        <f>VLOOKUP(C198,Owners.csv!C:J,6,FALSE)</f>
        <v>200002</v>
      </c>
      <c r="F198" t="str">
        <f>VLOOKUP(VLOOKUP(E198,LocalAreas.csv!I:K,3,FALSE),ServiceAreas.csv!F:J,5,FALSE)</f>
        <v>200009</v>
      </c>
      <c r="G198" t="str">
        <f t="shared" si="47"/>
        <v>rg:{'id': '200002'}</v>
      </c>
      <c r="H198" t="s">
        <v>7720</v>
      </c>
      <c r="I198" t="s">
        <v>5536</v>
      </c>
      <c r="J198">
        <f>VLOOKUP(I198&amp;"-"&amp;F198,DistrictEquipmentTypes.csv!J:K,2,FALSE)</f>
        <v>200000</v>
      </c>
      <c r="K198" t="str">
        <f t="shared" si="48"/>
        <v>rg:{'id': '200000'}</v>
      </c>
      <c r="L198">
        <f t="shared" si="49"/>
        <v>3</v>
      </c>
      <c r="M198" t="str">
        <f>VLOOKUP(C198,Owners.csv!C:K,9,FALSE)&amp;TEXT(Equipment.csv!L198,"0000")</f>
        <v>MCDU0003</v>
      </c>
      <c r="N198" t="s">
        <v>5658</v>
      </c>
      <c r="O198" t="s">
        <v>7636</v>
      </c>
      <c r="P198">
        <v>1977</v>
      </c>
      <c r="Q198">
        <v>10</v>
      </c>
      <c r="R198" t="s">
        <v>6663</v>
      </c>
      <c r="S198" s="1">
        <v>39711</v>
      </c>
      <c r="T198" s="1">
        <v>37909</v>
      </c>
      <c r="U198" t="str">
        <f t="shared" ca="1" si="50"/>
        <v>rg:False</v>
      </c>
      <c r="V198" t="str">
        <f t="shared" ca="1" si="51"/>
        <v>rg:None</v>
      </c>
      <c r="W198" t="s">
        <v>7638</v>
      </c>
      <c r="X198" t="s">
        <v>76</v>
      </c>
      <c r="Y198" t="s">
        <v>76</v>
      </c>
      <c r="Z198" t="s">
        <v>76</v>
      </c>
      <c r="AA198" t="s">
        <v>7642</v>
      </c>
      <c r="AB198" t="s">
        <v>7262</v>
      </c>
      <c r="AC198">
        <v>0</v>
      </c>
      <c r="AD198" t="str">
        <f t="shared" ca="1" si="52"/>
        <v>rg:False</v>
      </c>
      <c r="AE198" t="s">
        <v>76</v>
      </c>
      <c r="AF198" s="1">
        <v>42491</v>
      </c>
      <c r="AG198" s="4">
        <f t="shared" ca="1" si="54"/>
        <v>476.5</v>
      </c>
      <c r="AH198" s="4">
        <f t="shared" si="55"/>
        <v>12.46111111111111</v>
      </c>
      <c r="AI198">
        <f t="shared" ca="1" si="56"/>
        <v>102</v>
      </c>
      <c r="AJ198">
        <f t="shared" ca="1" si="57"/>
        <v>82</v>
      </c>
      <c r="AK198">
        <f t="shared" ca="1" si="58"/>
        <v>124</v>
      </c>
      <c r="AL198" t="s">
        <v>326</v>
      </c>
      <c r="AO198" t="s">
        <v>76</v>
      </c>
      <c r="AP198" t="s">
        <v>6510</v>
      </c>
      <c r="AQ198" t="s">
        <v>6510</v>
      </c>
      <c r="AR198" t="s">
        <v>6510</v>
      </c>
      <c r="AS198" t="s">
        <v>6510</v>
      </c>
    </row>
    <row r="199" spans="1:45" x14ac:dyDescent="0.3">
      <c r="A199" t="s">
        <v>5630</v>
      </c>
      <c r="B199">
        <f t="shared" si="45"/>
        <v>200197</v>
      </c>
      <c r="C199">
        <v>200056</v>
      </c>
      <c r="D199" t="str">
        <f t="shared" si="46"/>
        <v>rg:{'id': '200056'}</v>
      </c>
      <c r="E199">
        <f>VLOOKUP(C199,Owners.csv!C:J,6,FALSE)</f>
        <v>200002</v>
      </c>
      <c r="F199" t="str">
        <f>VLOOKUP(VLOOKUP(E199,LocalAreas.csv!I:K,3,FALSE),ServiceAreas.csv!F:J,5,FALSE)</f>
        <v>200009</v>
      </c>
      <c r="G199" t="str">
        <f t="shared" si="47"/>
        <v>rg:{'id': '200002'}</v>
      </c>
      <c r="H199" t="s">
        <v>7748</v>
      </c>
      <c r="I199" t="s">
        <v>5651</v>
      </c>
      <c r="J199">
        <f>VLOOKUP(I199&amp;"-"&amp;F199,DistrictEquipmentTypes.csv!J:K,2,FALSE)</f>
        <v>200006</v>
      </c>
      <c r="K199" t="str">
        <f t="shared" si="48"/>
        <v>rg:{'id': '200006'}</v>
      </c>
      <c r="L199">
        <f t="shared" si="49"/>
        <v>1</v>
      </c>
      <c r="M199" t="str">
        <f>VLOOKUP(C199,Owners.csv!C:K,9,FALSE)&amp;TEXT(Equipment.csv!L199,"0000")</f>
        <v>MEGA0001</v>
      </c>
      <c r="N199" t="s">
        <v>5401</v>
      </c>
      <c r="O199" t="s">
        <v>6814</v>
      </c>
      <c r="P199">
        <v>1991</v>
      </c>
      <c r="Q199">
        <v>156</v>
      </c>
      <c r="R199" t="s">
        <v>6663</v>
      </c>
      <c r="S199" s="1">
        <v>41091</v>
      </c>
      <c r="T199" s="1">
        <v>41110</v>
      </c>
      <c r="U199" t="str">
        <f t="shared" ca="1" si="50"/>
        <v>rg:False</v>
      </c>
      <c r="V199" t="str">
        <f t="shared" ca="1" si="51"/>
        <v>rg:None</v>
      </c>
      <c r="W199" t="s">
        <v>7212</v>
      </c>
      <c r="X199" t="s">
        <v>76</v>
      </c>
      <c r="Y199" t="s">
        <v>76</v>
      </c>
      <c r="Z199" t="s">
        <v>76</v>
      </c>
      <c r="AA199" t="s">
        <v>7559</v>
      </c>
      <c r="AB199" t="s">
        <v>7379</v>
      </c>
      <c r="AC199">
        <v>0</v>
      </c>
      <c r="AD199" t="str">
        <f t="shared" ca="1" si="52"/>
        <v>rg:True</v>
      </c>
      <c r="AE199" t="str">
        <f ca="1">IF(AD199="rg:True","Seniority overridden to test things","rg:None")</f>
        <v>Seniority overridden to test things</v>
      </c>
      <c r="AF199" s="1">
        <v>42481</v>
      </c>
      <c r="AG199" s="4">
        <f t="shared" ca="1" si="54"/>
        <v>337.5</v>
      </c>
      <c r="AH199" s="4">
        <f t="shared" si="55"/>
        <v>3.6972222222222224</v>
      </c>
      <c r="AI199">
        <f t="shared" ca="1" si="56"/>
        <v>97</v>
      </c>
      <c r="AJ199">
        <f t="shared" ca="1" si="57"/>
        <v>86</v>
      </c>
      <c r="AK199">
        <f t="shared" ca="1" si="58"/>
        <v>164</v>
      </c>
      <c r="AL199" t="s">
        <v>326</v>
      </c>
      <c r="AO199" t="s">
        <v>76</v>
      </c>
      <c r="AP199" t="s">
        <v>6510</v>
      </c>
      <c r="AQ199" t="s">
        <v>6510</v>
      </c>
      <c r="AR199" t="s">
        <v>6510</v>
      </c>
      <c r="AS199" t="s">
        <v>6510</v>
      </c>
    </row>
    <row r="200" spans="1:45" x14ac:dyDescent="0.3">
      <c r="A200" t="s">
        <v>5630</v>
      </c>
      <c r="B200">
        <f t="shared" si="45"/>
        <v>200198</v>
      </c>
      <c r="C200">
        <v>200056</v>
      </c>
      <c r="D200" t="str">
        <f t="shared" si="46"/>
        <v>rg:{'id': '200056'}</v>
      </c>
      <c r="E200">
        <f>VLOOKUP(C200,Owners.csv!C:J,6,FALSE)</f>
        <v>200002</v>
      </c>
      <c r="F200" t="str">
        <f>VLOOKUP(VLOOKUP(E200,LocalAreas.csv!I:K,3,FALSE),ServiceAreas.csv!F:J,5,FALSE)</f>
        <v>200009</v>
      </c>
      <c r="G200" t="str">
        <f t="shared" si="47"/>
        <v>rg:{'id': '200002'}</v>
      </c>
      <c r="H200" t="s">
        <v>7665</v>
      </c>
      <c r="I200" t="s">
        <v>5637</v>
      </c>
      <c r="J200">
        <f>VLOOKUP(I200&amp;"-"&amp;F200,DistrictEquipmentTypes.csv!J:K,2,FALSE)</f>
        <v>200001</v>
      </c>
      <c r="K200" t="str">
        <f t="shared" si="48"/>
        <v>rg:{'id': '200001'}</v>
      </c>
      <c r="L200">
        <f t="shared" si="49"/>
        <v>2</v>
      </c>
      <c r="M200" t="str">
        <f>VLOOKUP(C200,Owners.csv!C:K,9,FALSE)&amp;TEXT(Equipment.csv!L200,"0000")</f>
        <v>MEGA0002</v>
      </c>
      <c r="N200" t="s">
        <v>5401</v>
      </c>
      <c r="O200" t="s">
        <v>6840</v>
      </c>
      <c r="P200">
        <v>1975</v>
      </c>
      <c r="Q200">
        <v>182</v>
      </c>
      <c r="R200" t="s">
        <v>6663</v>
      </c>
      <c r="S200" s="1">
        <v>40019</v>
      </c>
      <c r="T200" s="1">
        <v>40041</v>
      </c>
      <c r="U200" t="str">
        <f t="shared" ca="1" si="50"/>
        <v>rg:False</v>
      </c>
      <c r="V200" t="str">
        <f t="shared" ca="1" si="51"/>
        <v>rg:None</v>
      </c>
      <c r="W200" t="s">
        <v>7238</v>
      </c>
      <c r="X200" t="s">
        <v>76</v>
      </c>
      <c r="Y200" t="s">
        <v>76</v>
      </c>
      <c r="Z200" t="s">
        <v>76</v>
      </c>
      <c r="AA200" t="s">
        <v>7585</v>
      </c>
      <c r="AB200" t="s">
        <v>7371</v>
      </c>
      <c r="AC200">
        <v>0</v>
      </c>
      <c r="AD200" t="str">
        <f t="shared" ca="1" si="52"/>
        <v>rg:False</v>
      </c>
      <c r="AE200" t="str">
        <f ca="1">IF(AD200="rg:True","Seniority overridden to test things","rg:None")</f>
        <v>rg:None</v>
      </c>
      <c r="AF200" s="1">
        <v>42481</v>
      </c>
      <c r="AG200" s="4">
        <f t="shared" ca="1" si="54"/>
        <v>301.08333333333331</v>
      </c>
      <c r="AH200" s="4">
        <f t="shared" si="55"/>
        <v>6.625</v>
      </c>
      <c r="AI200">
        <f t="shared" ca="1" si="56"/>
        <v>84</v>
      </c>
      <c r="AJ200">
        <f t="shared" ca="1" si="57"/>
        <v>26</v>
      </c>
      <c r="AK200">
        <f t="shared" ca="1" si="58"/>
        <v>197</v>
      </c>
      <c r="AL200" t="s">
        <v>326</v>
      </c>
      <c r="AO200" t="s">
        <v>76</v>
      </c>
      <c r="AP200" t="s">
        <v>6510</v>
      </c>
      <c r="AQ200" t="s">
        <v>6510</v>
      </c>
      <c r="AR200" t="s">
        <v>6510</v>
      </c>
      <c r="AS200" t="s">
        <v>6510</v>
      </c>
    </row>
    <row r="201" spans="1:45" x14ac:dyDescent="0.3">
      <c r="A201" t="s">
        <v>5630</v>
      </c>
      <c r="B201">
        <f t="shared" si="45"/>
        <v>200199</v>
      </c>
      <c r="C201">
        <v>200056</v>
      </c>
      <c r="D201" t="str">
        <f t="shared" si="46"/>
        <v>rg:{'id': '200056'}</v>
      </c>
      <c r="E201">
        <f>VLOOKUP(C201,Owners.csv!C:J,6,FALSE)</f>
        <v>200002</v>
      </c>
      <c r="F201" t="str">
        <f>VLOOKUP(VLOOKUP(E201,LocalAreas.csv!I:K,3,FALSE),ServiceAreas.csv!F:J,5,FALSE)</f>
        <v>200009</v>
      </c>
      <c r="G201" t="str">
        <f t="shared" si="47"/>
        <v>rg:{'id': '200002'}</v>
      </c>
      <c r="H201" t="s">
        <v>7737</v>
      </c>
      <c r="I201" t="s">
        <v>5536</v>
      </c>
      <c r="J201">
        <f>VLOOKUP(I201&amp;"-"&amp;F201,DistrictEquipmentTypes.csv!J:K,2,FALSE)</f>
        <v>200000</v>
      </c>
      <c r="K201" t="str">
        <f t="shared" si="48"/>
        <v>rg:{'id': '200000'}</v>
      </c>
      <c r="L201">
        <f t="shared" si="49"/>
        <v>3</v>
      </c>
      <c r="M201" t="str">
        <f>VLOOKUP(C201,Owners.csv!C:K,9,FALSE)&amp;TEXT(Equipment.csv!L201,"0000")</f>
        <v>MEGA0003</v>
      </c>
      <c r="N201" t="s">
        <v>5467</v>
      </c>
      <c r="O201" t="s">
        <v>5652</v>
      </c>
      <c r="P201">
        <v>1983</v>
      </c>
      <c r="Q201">
        <v>10</v>
      </c>
      <c r="R201" t="s">
        <v>6663</v>
      </c>
      <c r="S201" s="1">
        <v>41447</v>
      </c>
      <c r="T201" s="1">
        <v>40680</v>
      </c>
      <c r="U201" t="str">
        <f t="shared" ca="1" si="50"/>
        <v>rg:False</v>
      </c>
      <c r="V201" t="str">
        <f t="shared" ca="1" si="51"/>
        <v>rg:None</v>
      </c>
      <c r="W201" t="s">
        <v>7640</v>
      </c>
      <c r="X201" t="s">
        <v>76</v>
      </c>
      <c r="Y201" t="s">
        <v>76</v>
      </c>
      <c r="Z201" t="s">
        <v>76</v>
      </c>
      <c r="AA201" t="s">
        <v>7641</v>
      </c>
      <c r="AB201" t="s">
        <v>7262</v>
      </c>
      <c r="AC201">
        <v>0</v>
      </c>
      <c r="AD201" t="str">
        <f t="shared" ca="1" si="52"/>
        <v>rg:False</v>
      </c>
      <c r="AE201" t="s">
        <v>76</v>
      </c>
      <c r="AF201" s="1">
        <v>42492</v>
      </c>
      <c r="AG201" s="4">
        <f t="shared" ca="1" si="54"/>
        <v>249.16666666666666</v>
      </c>
      <c r="AH201" s="4">
        <f t="shared" si="55"/>
        <v>4.8722222222222218</v>
      </c>
      <c r="AI201">
        <f t="shared" ca="1" si="56"/>
        <v>93</v>
      </c>
      <c r="AJ201">
        <f t="shared" ca="1" si="57"/>
        <v>84</v>
      </c>
      <c r="AK201">
        <f t="shared" ca="1" si="58"/>
        <v>132</v>
      </c>
      <c r="AL201" t="s">
        <v>326</v>
      </c>
      <c r="AO201" t="s">
        <v>76</v>
      </c>
      <c r="AP201" t="s">
        <v>6510</v>
      </c>
      <c r="AQ201" t="s">
        <v>6510</v>
      </c>
      <c r="AR201" t="s">
        <v>6510</v>
      </c>
      <c r="AS201" t="s">
        <v>6510</v>
      </c>
    </row>
    <row r="202" spans="1:45" x14ac:dyDescent="0.3">
      <c r="A202" t="s">
        <v>5630</v>
      </c>
      <c r="B202">
        <f t="shared" si="45"/>
        <v>200200</v>
      </c>
      <c r="C202">
        <v>200057</v>
      </c>
      <c r="D202" t="str">
        <f t="shared" si="46"/>
        <v>rg:{'id': '200057'}</v>
      </c>
      <c r="E202">
        <f>VLOOKUP(C202,Owners.csv!C:J,6,FALSE)</f>
        <v>200002</v>
      </c>
      <c r="F202" t="str">
        <f>VLOOKUP(VLOOKUP(E202,LocalAreas.csv!I:K,3,FALSE),ServiceAreas.csv!F:J,5,FALSE)</f>
        <v>200009</v>
      </c>
      <c r="G202" t="str">
        <f t="shared" si="47"/>
        <v>rg:{'id': '200002'}</v>
      </c>
      <c r="H202" t="s">
        <v>7739</v>
      </c>
      <c r="I202" t="s">
        <v>5651</v>
      </c>
      <c r="J202">
        <f>VLOOKUP(I202&amp;"-"&amp;F202,DistrictEquipmentTypes.csv!J:K,2,FALSE)</f>
        <v>200006</v>
      </c>
      <c r="K202" t="str">
        <f t="shared" si="48"/>
        <v>rg:{'id': '200006'}</v>
      </c>
      <c r="L202">
        <f t="shared" si="49"/>
        <v>1</v>
      </c>
      <c r="M202" t="str">
        <f>VLOOKUP(C202,Owners.csv!C:K,9,FALSE)&amp;TEXT(Equipment.csv!L202,"0000")</f>
        <v>MERV0001</v>
      </c>
      <c r="N202" t="s">
        <v>5401</v>
      </c>
      <c r="O202" t="s">
        <v>6815</v>
      </c>
      <c r="P202">
        <v>2014</v>
      </c>
      <c r="Q202">
        <v>157</v>
      </c>
      <c r="R202" t="s">
        <v>6663</v>
      </c>
      <c r="S202" s="1">
        <v>41329</v>
      </c>
      <c r="T202" s="1">
        <v>41360</v>
      </c>
      <c r="U202" t="str">
        <f t="shared" ca="1" si="50"/>
        <v>rg:False</v>
      </c>
      <c r="V202" t="str">
        <f t="shared" ca="1" si="51"/>
        <v>rg:None</v>
      </c>
      <c r="W202" t="s">
        <v>7213</v>
      </c>
      <c r="X202" t="s">
        <v>76</v>
      </c>
      <c r="Y202" t="s">
        <v>76</v>
      </c>
      <c r="Z202" t="s">
        <v>76</v>
      </c>
      <c r="AA202" t="s">
        <v>7560</v>
      </c>
      <c r="AB202" t="s">
        <v>7380</v>
      </c>
      <c r="AC202">
        <v>0</v>
      </c>
      <c r="AD202" t="str">
        <f t="shared" ca="1" si="52"/>
        <v>rg:False</v>
      </c>
      <c r="AE202" t="str">
        <f ca="1">IF(AD202="rg:True","Seniority overridden to test things","rg:None")</f>
        <v>rg:None</v>
      </c>
      <c r="AF202" s="1">
        <v>42481</v>
      </c>
      <c r="AG202" s="4">
        <f t="shared" ca="1" si="54"/>
        <v>338.66666666666663</v>
      </c>
      <c r="AH202" s="4">
        <f t="shared" si="55"/>
        <v>3.0111111111111111</v>
      </c>
      <c r="AI202">
        <f t="shared" ca="1" si="56"/>
        <v>198</v>
      </c>
      <c r="AJ202">
        <f t="shared" ca="1" si="57"/>
        <v>132</v>
      </c>
      <c r="AK202">
        <f t="shared" ca="1" si="58"/>
        <v>144</v>
      </c>
      <c r="AL202" t="s">
        <v>326</v>
      </c>
      <c r="AO202" t="s">
        <v>76</v>
      </c>
      <c r="AP202" t="s">
        <v>6510</v>
      </c>
      <c r="AQ202" t="s">
        <v>6510</v>
      </c>
      <c r="AR202" t="s">
        <v>6510</v>
      </c>
      <c r="AS202" t="s">
        <v>6510</v>
      </c>
    </row>
    <row r="203" spans="1:45" x14ac:dyDescent="0.3">
      <c r="A203" t="s">
        <v>5630</v>
      </c>
      <c r="B203">
        <f t="shared" si="45"/>
        <v>200201</v>
      </c>
      <c r="C203">
        <v>200057</v>
      </c>
      <c r="D203" t="str">
        <f t="shared" si="46"/>
        <v>rg:{'id': '200057'}</v>
      </c>
      <c r="E203">
        <f>VLOOKUP(C203,Owners.csv!C:J,6,FALSE)</f>
        <v>200002</v>
      </c>
      <c r="F203" t="str">
        <f>VLOOKUP(VLOOKUP(E203,LocalAreas.csv!I:K,3,FALSE),ServiceAreas.csv!F:J,5,FALSE)</f>
        <v>200009</v>
      </c>
      <c r="G203" t="str">
        <f t="shared" si="47"/>
        <v>rg:{'id': '200002'}</v>
      </c>
      <c r="H203" t="s">
        <v>7726</v>
      </c>
      <c r="I203" t="s">
        <v>5637</v>
      </c>
      <c r="J203">
        <f>VLOOKUP(I203&amp;"-"&amp;F203,DistrictEquipmentTypes.csv!J:K,2,FALSE)</f>
        <v>200001</v>
      </c>
      <c r="K203" t="str">
        <f t="shared" si="48"/>
        <v>rg:{'id': '200001'}</v>
      </c>
      <c r="L203">
        <f t="shared" si="49"/>
        <v>2</v>
      </c>
      <c r="M203" t="str">
        <f>VLOOKUP(C203,Owners.csv!C:K,9,FALSE)&amp;TEXT(Equipment.csv!L203,"0000")</f>
        <v>MERV0002</v>
      </c>
      <c r="N203" t="s">
        <v>5401</v>
      </c>
      <c r="O203" t="s">
        <v>6841</v>
      </c>
      <c r="P203">
        <v>2012</v>
      </c>
      <c r="Q203">
        <v>183</v>
      </c>
      <c r="R203" t="s">
        <v>6663</v>
      </c>
      <c r="S203" s="1">
        <v>39711</v>
      </c>
      <c r="T203" s="1">
        <v>39721</v>
      </c>
      <c r="U203" t="str">
        <f t="shared" ca="1" si="50"/>
        <v>rg:False</v>
      </c>
      <c r="V203" t="str">
        <f t="shared" ca="1" si="51"/>
        <v>rg:None</v>
      </c>
      <c r="W203" t="s">
        <v>7239</v>
      </c>
      <c r="X203" t="s">
        <v>76</v>
      </c>
      <c r="Y203" t="s">
        <v>76</v>
      </c>
      <c r="Z203" t="s">
        <v>76</v>
      </c>
      <c r="AA203" t="s">
        <v>7586</v>
      </c>
      <c r="AB203" t="s">
        <v>7348</v>
      </c>
      <c r="AC203">
        <v>0</v>
      </c>
      <c r="AD203" t="str">
        <f t="shared" ca="1" si="52"/>
        <v>rg:False</v>
      </c>
      <c r="AE203" t="str">
        <f ca="1">IF(AD203="rg:True","Seniority overridden to test things","rg:None")</f>
        <v>rg:None</v>
      </c>
      <c r="AF203" s="1">
        <v>42481</v>
      </c>
      <c r="AG203" s="4">
        <f t="shared" ca="1" si="54"/>
        <v>376.41666666666669</v>
      </c>
      <c r="AH203" s="4">
        <f t="shared" si="55"/>
        <v>7.5027777777777782</v>
      </c>
      <c r="AI203">
        <f t="shared" ca="1" si="56"/>
        <v>157</v>
      </c>
      <c r="AJ203">
        <f t="shared" ca="1" si="57"/>
        <v>133</v>
      </c>
      <c r="AK203">
        <f t="shared" ca="1" si="58"/>
        <v>164</v>
      </c>
      <c r="AL203" t="s">
        <v>326</v>
      </c>
      <c r="AO203" t="s">
        <v>76</v>
      </c>
      <c r="AP203" t="s">
        <v>6510</v>
      </c>
      <c r="AQ203" t="s">
        <v>6510</v>
      </c>
      <c r="AR203" t="s">
        <v>6510</v>
      </c>
      <c r="AS203" t="s">
        <v>6510</v>
      </c>
    </row>
    <row r="204" spans="1:45" x14ac:dyDescent="0.3">
      <c r="A204" t="s">
        <v>5630</v>
      </c>
      <c r="B204">
        <f t="shared" si="45"/>
        <v>200202</v>
      </c>
      <c r="C204">
        <v>200057</v>
      </c>
      <c r="D204" t="str">
        <f t="shared" si="46"/>
        <v>rg:{'id': '200057'}</v>
      </c>
      <c r="E204">
        <f>VLOOKUP(C204,Owners.csv!C:J,6,FALSE)</f>
        <v>200002</v>
      </c>
      <c r="F204" t="str">
        <f>VLOOKUP(VLOOKUP(E204,LocalAreas.csv!I:K,3,FALSE),ServiceAreas.csv!F:J,5,FALSE)</f>
        <v>200009</v>
      </c>
      <c r="G204" t="str">
        <f t="shared" si="47"/>
        <v>rg:{'id': '200002'}</v>
      </c>
      <c r="H204" t="s">
        <v>7265</v>
      </c>
      <c r="I204" t="s">
        <v>5536</v>
      </c>
      <c r="J204">
        <f>VLOOKUP(I204&amp;"-"&amp;F204,DistrictEquipmentTypes.csv!J:K,2,FALSE)</f>
        <v>200000</v>
      </c>
      <c r="K204" t="str">
        <f t="shared" si="48"/>
        <v>rg:{'id': '200000'}</v>
      </c>
      <c r="L204">
        <f t="shared" si="49"/>
        <v>3</v>
      </c>
      <c r="M204" t="str">
        <f>VLOOKUP(C204,Owners.csv!C:K,9,FALSE)&amp;TEXT(Equipment.csv!L204,"0000")</f>
        <v>MERV0003</v>
      </c>
      <c r="N204" t="s">
        <v>7635</v>
      </c>
      <c r="O204" t="s">
        <v>7637</v>
      </c>
      <c r="P204">
        <v>1996</v>
      </c>
      <c r="Q204">
        <v>10</v>
      </c>
      <c r="R204" t="s">
        <v>6663</v>
      </c>
      <c r="S204" s="1">
        <v>41678</v>
      </c>
      <c r="T204" s="1">
        <v>42194</v>
      </c>
      <c r="U204" t="str">
        <f t="shared" ca="1" si="50"/>
        <v>rg:False</v>
      </c>
      <c r="V204" t="str">
        <f t="shared" ca="1" si="51"/>
        <v>rg:None</v>
      </c>
      <c r="W204" t="s">
        <v>7639</v>
      </c>
      <c r="X204" t="s">
        <v>76</v>
      </c>
      <c r="Y204" t="s">
        <v>76</v>
      </c>
      <c r="Z204" t="s">
        <v>76</v>
      </c>
      <c r="AA204">
        <v>6665432</v>
      </c>
      <c r="AB204" t="s">
        <v>7262</v>
      </c>
      <c r="AC204">
        <v>0</v>
      </c>
      <c r="AD204" t="str">
        <f t="shared" ca="1" si="52"/>
        <v>rg:False</v>
      </c>
      <c r="AE204" t="s">
        <v>76</v>
      </c>
      <c r="AF204" s="1">
        <v>42493</v>
      </c>
      <c r="AG204" s="4">
        <f t="shared" ca="1" si="54"/>
        <v>21.833333333333332</v>
      </c>
      <c r="AH204" s="4">
        <f t="shared" si="55"/>
        <v>0.72777777777777775</v>
      </c>
      <c r="AI204">
        <f t="shared" ca="1" si="56"/>
        <v>0</v>
      </c>
      <c r="AJ204">
        <f t="shared" ca="1" si="57"/>
        <v>0</v>
      </c>
      <c r="AK204">
        <f t="shared" ca="1" si="58"/>
        <v>0</v>
      </c>
      <c r="AL204" t="s">
        <v>326</v>
      </c>
      <c r="AO204" t="s">
        <v>76</v>
      </c>
      <c r="AP204" t="s">
        <v>6510</v>
      </c>
      <c r="AQ204" t="s">
        <v>6510</v>
      </c>
      <c r="AR204" t="s">
        <v>6510</v>
      </c>
      <c r="AS204" t="s">
        <v>6510</v>
      </c>
    </row>
  </sheetData>
  <autoFilter ref="A1:AS205">
    <sortState ref="A2:AT205">
      <sortCondition ref="C1:C205"/>
    </sortState>
  </autoFilter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A2" sqref="A2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8</v>
      </c>
      <c r="E1" t="str">
        <f ca="1">CONCATR(A1:C1,",")</f>
        <v>Type,,</v>
      </c>
    </row>
    <row r="2" spans="1:5" x14ac:dyDescent="0.3">
      <c r="A2" t="str">
        <f ca="1">VLOOKUP(RANDBETWEEN(1,10),'Lookups (2)'!A:G,7,FALSE)</f>
        <v>Track Excavator</v>
      </c>
      <c r="B2" t="s">
        <v>5383</v>
      </c>
      <c r="C2" t="s">
        <v>5384</v>
      </c>
      <c r="E2" t="str">
        <f ca="1">CONCATR(A2:C2,",")</f>
        <v>Track Excavator,[Edit],[Del]</v>
      </c>
    </row>
    <row r="3" spans="1:5" x14ac:dyDescent="0.3">
      <c r="A3" t="str">
        <f ca="1">VLOOKUP(RANDBETWEEN(1,10),'Lookups (2)'!A:G,7,FALSE)</f>
        <v>18" Dig Bucket</v>
      </c>
      <c r="B3" t="s">
        <v>5383</v>
      </c>
      <c r="C3" t="s">
        <v>5384</v>
      </c>
      <c r="E3" t="str">
        <f ca="1">CONCATR(A3:C3,",")</f>
        <v>18" Dig Bucket,[Edit],[Del]</v>
      </c>
    </row>
    <row r="4" spans="1:5" x14ac:dyDescent="0.3">
      <c r="A4" t="str">
        <f ca="1">VLOOKUP(RANDBETWEEN(1,10),'Lookups (2)'!A:G,7,FALSE)</f>
        <v>Brush Rake</v>
      </c>
      <c r="B4" t="s">
        <v>5383</v>
      </c>
      <c r="C4" t="s">
        <v>5384</v>
      </c>
      <c r="E4" t="str">
        <f ca="1">CONCATR(A4:C4,",")</f>
        <v>Brush Rake,[Edit],[Del]</v>
      </c>
    </row>
    <row r="5" spans="1:5" x14ac:dyDescent="0.3">
      <c r="A5" t="s">
        <v>5381</v>
      </c>
      <c r="B5" t="s">
        <v>5382</v>
      </c>
      <c r="C5" t="s">
        <v>5385</v>
      </c>
      <c r="E5" t="str">
        <f ca="1">CONCATR(A5:C5,",")</f>
        <v>{0,0C,0C}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Q155"/>
  <sheetViews>
    <sheetView tabSelected="1" workbookViewId="0">
      <pane ySplit="1" topLeftCell="A2" activePane="bottomLeft" state="frozen"/>
      <selection pane="bottomLeft" activeCell="H149" sqref="H149"/>
    </sheetView>
  </sheetViews>
  <sheetFormatPr defaultRowHeight="14.4" x14ac:dyDescent="0.3"/>
  <cols>
    <col min="2" max="2" width="17" bestFit="1" customWidth="1"/>
    <col min="3" max="3" width="21" customWidth="1"/>
    <col min="4" max="4" width="14.6640625" bestFit="1" customWidth="1"/>
    <col min="5" max="6" width="20.33203125" customWidth="1"/>
    <col min="7" max="7" width="6" customWidth="1"/>
    <col min="8" max="8" width="21.5546875" bestFit="1" customWidth="1"/>
    <col min="9" max="9" width="14.109375" bestFit="1" customWidth="1"/>
    <col min="10" max="10" width="16.5546875" bestFit="1" customWidth="1"/>
    <col min="11" max="11" width="16.5546875" customWidth="1"/>
    <col min="12" max="12" width="19.44140625" bestFit="1" customWidth="1"/>
    <col min="17" max="17" width="11.6640625" bestFit="1" customWidth="1"/>
  </cols>
  <sheetData>
    <row r="1" spans="1:17" x14ac:dyDescent="0.3">
      <c r="A1" t="s">
        <v>68</v>
      </c>
      <c r="B1" t="s">
        <v>7873</v>
      </c>
      <c r="C1" s="11" t="s">
        <v>7886</v>
      </c>
      <c r="D1" s="11" t="s">
        <v>7887</v>
      </c>
      <c r="E1" s="10" t="s">
        <v>6935</v>
      </c>
      <c r="F1" s="10" t="s">
        <v>73</v>
      </c>
      <c r="G1" t="s">
        <v>3</v>
      </c>
      <c r="H1" s="6" t="s">
        <v>6670</v>
      </c>
      <c r="I1" s="6" t="s">
        <v>6671</v>
      </c>
      <c r="J1" s="7" t="s">
        <v>6672</v>
      </c>
      <c r="K1" s="10" t="s">
        <v>7630</v>
      </c>
      <c r="L1" s="7" t="s">
        <v>5372</v>
      </c>
      <c r="M1" s="7" t="s">
        <v>5373</v>
      </c>
      <c r="N1" s="7" t="s">
        <v>5327</v>
      </c>
      <c r="O1" s="7" t="s">
        <v>5374</v>
      </c>
      <c r="P1" s="7" t="s">
        <v>5375</v>
      </c>
      <c r="Q1" s="10" t="s">
        <v>7888</v>
      </c>
    </row>
    <row r="2" spans="1:17" x14ac:dyDescent="0.3">
      <c r="A2" t="s">
        <v>5386</v>
      </c>
      <c r="B2" t="s">
        <v>2957</v>
      </c>
      <c r="C2" t="str">
        <f>VLOOKUP(B2,ServiceAreas.csv!C:J,8,FALSE)</f>
        <v>200009</v>
      </c>
      <c r="D2" t="str">
        <f>"rg{'id': '"&amp;C2&amp;"'}'"</f>
        <v>rg{'id': '200009'}'</v>
      </c>
      <c r="E2" s="1" t="str">
        <f ca="1">MID(Names!G2,FIND(" ",Names!G2)+1,LEN(Names!G2)-FIND(" ", Names!G2))&amp;" "&amp;INDEX(PROJ_EXT_Name,RANDBETWEEN(2,12))</f>
        <v>Burdett Avenue HOV Lane</v>
      </c>
      <c r="F2" s="1" t="s">
        <v>6936</v>
      </c>
      <c r="G2">
        <v>40000</v>
      </c>
      <c r="H2">
        <f>IF(ISNUMBER(H1),H1+1,500000)</f>
        <v>500000</v>
      </c>
      <c r="I2" t="s">
        <v>6687</v>
      </c>
      <c r="J2" t="s">
        <v>6510</v>
      </c>
      <c r="K2">
        <f>IFERROR(VLOOKUP(F2,Contacts.csv!C:D,2,FALSE),"")</f>
        <v>200105</v>
      </c>
      <c r="L2" t="str">
        <f>IF(ISNUMBER(K2),"rg:{'id':'" &amp; K2 &amp; "'}","rg:None")</f>
        <v>rg:{'id':'200105'}</v>
      </c>
      <c r="M2" s="4" t="str">
        <f>IF(ISNUMBER(K2),"rg:[{'id':'" &amp; K2 &amp; "'}]","rg:[]")</f>
        <v>rg:[{'id':'200105'}]</v>
      </c>
      <c r="N2" t="s">
        <v>6510</v>
      </c>
      <c r="O2" t="s">
        <v>6510</v>
      </c>
      <c r="P2" t="s">
        <v>6510</v>
      </c>
      <c r="Q2" t="str">
        <f t="shared" ref="Q2:Q33" si="0">C2</f>
        <v>200009</v>
      </c>
    </row>
    <row r="3" spans="1:17" x14ac:dyDescent="0.3">
      <c r="A3" t="s">
        <v>5386</v>
      </c>
      <c r="B3" t="s">
        <v>2957</v>
      </c>
      <c r="C3" t="str">
        <f>VLOOKUP(B3,ServiceAreas.csv!C:J,8,FALSE)</f>
        <v>200009</v>
      </c>
      <c r="D3" t="str">
        <f t="shared" ref="D3:D49" si="1">"rg{'id': '"&amp;C3&amp;"'}'"</f>
        <v>rg{'id': '200009'}'</v>
      </c>
      <c r="E3" s="1" t="str">
        <f ca="1">MID(Names!G3,FIND(" ",Names!G3)+1,LEN(Names!G3)-FIND(" ", Names!G3))&amp;" "&amp;INDEX(PROJ_EXT_Name,RANDBETWEEN(2,12))</f>
        <v>Brew Creek Rd HOV Lane</v>
      </c>
      <c r="F3" s="1" t="s">
        <v>6931</v>
      </c>
      <c r="G3">
        <f>G2+1</f>
        <v>40001</v>
      </c>
      <c r="H3">
        <f t="shared" ref="H3:H49" si="2">IF(ISNUMBER(H2),H2+1,500000)</f>
        <v>500001</v>
      </c>
      <c r="I3" t="s">
        <v>6687</v>
      </c>
      <c r="J3" t="s">
        <v>6510</v>
      </c>
      <c r="K3">
        <f>IFERROR(VLOOKUP(F3,Contacts.csv!C:D,2,FALSE),"")</f>
        <v>200106</v>
      </c>
      <c r="L3" t="str">
        <f t="shared" ref="L3:L50" si="3">IF(ISNUMBER(K3),"rg:{'id':'" &amp; K3 &amp; "'}","rg:None")</f>
        <v>rg:{'id':'200106'}</v>
      </c>
      <c r="M3" s="4" t="str">
        <f t="shared" ref="M3:M50" si="4">IF(ISNUMBER(K3),"rg:[{'id':'" &amp; K3 &amp; "'}]","rg:[]")</f>
        <v>rg:[{'id':'200106'}]</v>
      </c>
      <c r="N3" t="s">
        <v>6510</v>
      </c>
      <c r="O3" t="s">
        <v>6510</v>
      </c>
      <c r="P3" t="s">
        <v>6510</v>
      </c>
      <c r="Q3" t="str">
        <f t="shared" si="0"/>
        <v>200009</v>
      </c>
    </row>
    <row r="4" spans="1:17" x14ac:dyDescent="0.3">
      <c r="A4" t="s">
        <v>5386</v>
      </c>
      <c r="B4" t="s">
        <v>2957</v>
      </c>
      <c r="C4" t="str">
        <f>VLOOKUP(B4,ServiceAreas.csv!C:J,8,FALSE)</f>
        <v>200009</v>
      </c>
      <c r="D4" t="str">
        <f t="shared" si="1"/>
        <v>rg{'id': '200009'}'</v>
      </c>
      <c r="E4" s="1" t="str">
        <f ca="1">MID(Names!G4,FIND(" ",Names!G4)+1,LEN(Names!G4)-FIND(" ", Names!G4))&amp;" "&amp;INDEX(PROJ_EXT_Name,RANDBETWEEN(2,12))</f>
        <v>Mesa Vista Drive Express Lane</v>
      </c>
      <c r="F4" s="1" t="s">
        <v>6937</v>
      </c>
      <c r="G4">
        <f t="shared" ref="G4:G67" si="5">G3+1</f>
        <v>40002</v>
      </c>
      <c r="H4">
        <f t="shared" si="2"/>
        <v>500002</v>
      </c>
      <c r="I4" t="s">
        <v>6687</v>
      </c>
      <c r="J4" t="s">
        <v>6510</v>
      </c>
      <c r="K4">
        <f>IFERROR(VLOOKUP(F4,Contacts.csv!C:D,2,FALSE),"")</f>
        <v>200107</v>
      </c>
      <c r="L4" t="str">
        <f t="shared" si="3"/>
        <v>rg:{'id':'200107'}</v>
      </c>
      <c r="M4" s="4" t="str">
        <f t="shared" si="4"/>
        <v>rg:[{'id':'200107'}]</v>
      </c>
      <c r="N4" t="s">
        <v>6510</v>
      </c>
      <c r="O4" t="s">
        <v>6510</v>
      </c>
      <c r="P4" t="s">
        <v>6510</v>
      </c>
      <c r="Q4" t="str">
        <f t="shared" si="0"/>
        <v>200009</v>
      </c>
    </row>
    <row r="5" spans="1:17" x14ac:dyDescent="0.3">
      <c r="A5" t="s">
        <v>5386</v>
      </c>
      <c r="B5" t="s">
        <v>2957</v>
      </c>
      <c r="C5" t="str">
        <f>VLOOKUP(B5,ServiceAreas.csv!C:J,8,FALSE)</f>
        <v>200009</v>
      </c>
      <c r="D5" t="str">
        <f t="shared" si="1"/>
        <v>rg{'id': '200009'}'</v>
      </c>
      <c r="E5" s="1" t="str">
        <f ca="1">MID(Names!G5,FIND(" ",Names!G5)+1,LEN(Names!G5)-FIND(" ", Names!G5))&amp;" "&amp;INDEX(PROJ_EXT_Name,RANDBETWEEN(2,12))</f>
        <v>Burdett Avenue Cloverleaf</v>
      </c>
      <c r="F5" s="1" t="s">
        <v>6938</v>
      </c>
      <c r="G5">
        <f t="shared" si="5"/>
        <v>40003</v>
      </c>
      <c r="H5">
        <f t="shared" si="2"/>
        <v>500003</v>
      </c>
      <c r="I5" t="s">
        <v>6687</v>
      </c>
      <c r="J5" t="s">
        <v>6510</v>
      </c>
      <c r="K5">
        <f>IFERROR(VLOOKUP(F5,Contacts.csv!C:D,2,FALSE),"")</f>
        <v>200108</v>
      </c>
      <c r="L5" t="str">
        <f t="shared" si="3"/>
        <v>rg:{'id':'200108'}</v>
      </c>
      <c r="M5" s="4" t="str">
        <f t="shared" si="4"/>
        <v>rg:[{'id':'200108'}]</v>
      </c>
      <c r="N5" t="s">
        <v>6510</v>
      </c>
      <c r="O5" t="s">
        <v>6510</v>
      </c>
      <c r="P5" t="s">
        <v>6510</v>
      </c>
      <c r="Q5" t="str">
        <f t="shared" si="0"/>
        <v>200009</v>
      </c>
    </row>
    <row r="6" spans="1:17" x14ac:dyDescent="0.3">
      <c r="A6" t="s">
        <v>5386</v>
      </c>
      <c r="B6" t="s">
        <v>2957</v>
      </c>
      <c r="C6" t="str">
        <f>VLOOKUP(B6,ServiceAreas.csv!C:J,8,FALSE)</f>
        <v>200009</v>
      </c>
      <c r="D6" t="str">
        <f t="shared" si="1"/>
        <v>rg{'id': '200009'}'</v>
      </c>
      <c r="E6" s="1" t="str">
        <f ca="1">MID(Names!G6,FIND(" ",Names!G6)+1,LEN(Names!G6)-FIND(" ", Names!G6))&amp;" "&amp;INDEX(PROJ_EXT_Name,RANDBETWEEN(2,12))</f>
        <v>Noble Rd Bridge</v>
      </c>
      <c r="F6" s="1" t="s">
        <v>6939</v>
      </c>
      <c r="G6">
        <f t="shared" si="5"/>
        <v>40004</v>
      </c>
      <c r="H6">
        <f t="shared" si="2"/>
        <v>500004</v>
      </c>
      <c r="I6" t="s">
        <v>6687</v>
      </c>
      <c r="J6" t="s">
        <v>6510</v>
      </c>
      <c r="K6">
        <f>IFERROR(VLOOKUP(F6,Contacts.csv!C:D,2,FALSE),"")</f>
        <v>200109</v>
      </c>
      <c r="L6" t="str">
        <f t="shared" si="3"/>
        <v>rg:{'id':'200109'}</v>
      </c>
      <c r="M6" s="4" t="str">
        <f t="shared" si="4"/>
        <v>rg:[{'id':'200109'}]</v>
      </c>
      <c r="N6" t="s">
        <v>6510</v>
      </c>
      <c r="O6" t="s">
        <v>6510</v>
      </c>
      <c r="P6" t="s">
        <v>6510</v>
      </c>
      <c r="Q6" t="str">
        <f t="shared" si="0"/>
        <v>200009</v>
      </c>
    </row>
    <row r="7" spans="1:17" x14ac:dyDescent="0.3">
      <c r="A7" t="s">
        <v>5386</v>
      </c>
      <c r="B7" t="s">
        <v>2957</v>
      </c>
      <c r="C7" t="str">
        <f>VLOOKUP(B7,ServiceAreas.csv!C:J,8,FALSE)</f>
        <v>200009</v>
      </c>
      <c r="D7" t="str">
        <f t="shared" si="1"/>
        <v>rg{'id': '200009'}'</v>
      </c>
      <c r="E7" s="1" t="str">
        <f ca="1">MID(Names!G7,FIND(" ",Names!G7)+1,LEN(Names!G7)-FIND(" ", Names!G7))&amp;" "&amp;INDEX(PROJ_EXT_Name,RANDBETWEEN(2,12))</f>
        <v>Essendene Avenue Overpass</v>
      </c>
      <c r="F7" s="1" t="s">
        <v>6940</v>
      </c>
      <c r="G7">
        <f t="shared" si="5"/>
        <v>40005</v>
      </c>
      <c r="H7">
        <f t="shared" si="2"/>
        <v>500005</v>
      </c>
      <c r="I7" t="s">
        <v>6687</v>
      </c>
      <c r="J7" t="s">
        <v>6510</v>
      </c>
      <c r="K7">
        <f>IFERROR(VLOOKUP(F7,Contacts.csv!C:D,2,FALSE),"")</f>
        <v>200110</v>
      </c>
      <c r="L7" t="str">
        <f t="shared" si="3"/>
        <v>rg:{'id':'200110'}</v>
      </c>
      <c r="M7" s="4" t="str">
        <f t="shared" si="4"/>
        <v>rg:[{'id':'200110'}]</v>
      </c>
      <c r="N7" t="s">
        <v>6510</v>
      </c>
      <c r="O7" t="s">
        <v>6510</v>
      </c>
      <c r="P7" t="s">
        <v>6510</v>
      </c>
      <c r="Q7" t="str">
        <f t="shared" si="0"/>
        <v>200009</v>
      </c>
    </row>
    <row r="8" spans="1:17" x14ac:dyDescent="0.3">
      <c r="A8" t="s">
        <v>5386</v>
      </c>
      <c r="B8" t="s">
        <v>2957</v>
      </c>
      <c r="C8" t="str">
        <f>VLOOKUP(B8,ServiceAreas.csv!C:J,8,FALSE)</f>
        <v>200009</v>
      </c>
      <c r="D8" t="str">
        <f t="shared" si="1"/>
        <v>rg{'id': '200009'}'</v>
      </c>
      <c r="E8" s="1" t="str">
        <f ca="1">MID(Names!G8,FIND(" ",Names!G8)+1,LEN(Names!G8)-FIND(" ", Names!G8))&amp;" "&amp;INDEX(PROJ_EXT_Name,RANDBETWEEN(2,12))</f>
        <v>Cordova Street HOV Lane</v>
      </c>
      <c r="F8" s="1" t="s">
        <v>6941</v>
      </c>
      <c r="G8">
        <f t="shared" si="5"/>
        <v>40006</v>
      </c>
      <c r="H8">
        <f t="shared" si="2"/>
        <v>500006</v>
      </c>
      <c r="I8" t="s">
        <v>6687</v>
      </c>
      <c r="J8" t="s">
        <v>6510</v>
      </c>
      <c r="K8">
        <f>IFERROR(VLOOKUP(F8,Contacts.csv!C:D,2,FALSE),"")</f>
        <v>200111</v>
      </c>
      <c r="L8" t="str">
        <f t="shared" si="3"/>
        <v>rg:{'id':'200111'}</v>
      </c>
      <c r="M8" s="4" t="str">
        <f t="shared" si="4"/>
        <v>rg:[{'id':'200111'}]</v>
      </c>
      <c r="N8" t="s">
        <v>6510</v>
      </c>
      <c r="O8" t="s">
        <v>6510</v>
      </c>
      <c r="P8" t="s">
        <v>6510</v>
      </c>
      <c r="Q8" t="str">
        <f t="shared" si="0"/>
        <v>200009</v>
      </c>
    </row>
    <row r="9" spans="1:17" x14ac:dyDescent="0.3">
      <c r="A9" t="s">
        <v>5386</v>
      </c>
      <c r="B9" t="s">
        <v>2955</v>
      </c>
      <c r="C9" t="str">
        <f>VLOOKUP(B9,ServiceAreas.csv!C:J,8,FALSE)</f>
        <v>200006</v>
      </c>
      <c r="D9" t="str">
        <f t="shared" si="1"/>
        <v>rg{'id': '200006'}'</v>
      </c>
      <c r="E9" s="1" t="str">
        <f ca="1">MID(Names!G9,FIND(" ",Names!G9)+1,LEN(Names!G9)-FIND(" ", Names!G9))&amp;" "&amp;INDEX(PROJ_EXT_Name,RANDBETWEEN(2,12))</f>
        <v>Hardy Street Bridge</v>
      </c>
      <c r="F9" s="1" t="s">
        <v>6920</v>
      </c>
      <c r="G9">
        <f t="shared" si="5"/>
        <v>40007</v>
      </c>
      <c r="H9">
        <f t="shared" si="2"/>
        <v>500007</v>
      </c>
      <c r="I9" t="s">
        <v>6687</v>
      </c>
      <c r="J9" t="s">
        <v>6510</v>
      </c>
      <c r="K9">
        <f>IFERROR(VLOOKUP(F9,Contacts.csv!C:D,2,FALSE),"")</f>
        <v>200112</v>
      </c>
      <c r="L9" t="str">
        <f t="shared" si="3"/>
        <v>rg:{'id':'200112'}</v>
      </c>
      <c r="M9" s="4" t="str">
        <f t="shared" si="4"/>
        <v>rg:[{'id':'200112'}]</v>
      </c>
      <c r="N9" t="s">
        <v>6510</v>
      </c>
      <c r="O9" t="s">
        <v>6510</v>
      </c>
      <c r="P9" t="s">
        <v>6510</v>
      </c>
      <c r="Q9" t="str">
        <f t="shared" si="0"/>
        <v>200006</v>
      </c>
    </row>
    <row r="10" spans="1:17" x14ac:dyDescent="0.3">
      <c r="A10" t="s">
        <v>5386</v>
      </c>
      <c r="B10" t="s">
        <v>2955</v>
      </c>
      <c r="C10" t="str">
        <f>VLOOKUP(B10,ServiceAreas.csv!C:J,8,FALSE)</f>
        <v>200006</v>
      </c>
      <c r="D10" t="str">
        <f t="shared" si="1"/>
        <v>rg{'id': '200006'}'</v>
      </c>
      <c r="E10" s="1" t="str">
        <f ca="1">MID(Names!G10,FIND(" ",Names!G10)+1,LEN(Names!G10)-FIND(" ", Names!G10))&amp;" "&amp;INDEX(PROJ_EXT_Name,RANDBETWEEN(2,12))</f>
        <v>Robson St Extension</v>
      </c>
      <c r="F10" s="1" t="s">
        <v>6942</v>
      </c>
      <c r="G10">
        <f t="shared" si="5"/>
        <v>40008</v>
      </c>
      <c r="H10">
        <f t="shared" si="2"/>
        <v>500008</v>
      </c>
      <c r="I10" t="s">
        <v>6687</v>
      </c>
      <c r="J10" t="s">
        <v>6510</v>
      </c>
      <c r="K10">
        <f>IFERROR(VLOOKUP(F10,Contacts.csv!C:D,2,FALSE),"")</f>
        <v>200113</v>
      </c>
      <c r="L10" t="str">
        <f t="shared" si="3"/>
        <v>rg:{'id':'200113'}</v>
      </c>
      <c r="M10" s="4" t="str">
        <f t="shared" si="4"/>
        <v>rg:[{'id':'200113'}]</v>
      </c>
      <c r="N10" t="s">
        <v>6510</v>
      </c>
      <c r="O10" t="s">
        <v>6510</v>
      </c>
      <c r="P10" t="s">
        <v>6510</v>
      </c>
      <c r="Q10" t="str">
        <f t="shared" si="0"/>
        <v>200006</v>
      </c>
    </row>
    <row r="11" spans="1:17" x14ac:dyDescent="0.3">
      <c r="A11" t="s">
        <v>5386</v>
      </c>
      <c r="B11" t="s">
        <v>2955</v>
      </c>
      <c r="C11" t="str">
        <f>VLOOKUP(B11,ServiceAreas.csv!C:J,8,FALSE)</f>
        <v>200006</v>
      </c>
      <c r="D11" t="str">
        <f t="shared" si="1"/>
        <v>rg{'id': '200006'}'</v>
      </c>
      <c r="E11" s="1" t="str">
        <f ca="1">MID(Names!G11,FIND(" ",Names!G11)+1,LEN(Names!G11)-FIND(" ", Names!G11))&amp;" "&amp;INDEX(PROJ_EXT_Name,RANDBETWEEN(2,12))</f>
        <v>Wellington Ave Bypass</v>
      </c>
      <c r="F11" s="1" t="s">
        <v>6898</v>
      </c>
      <c r="G11">
        <f t="shared" si="5"/>
        <v>40009</v>
      </c>
      <c r="H11">
        <f t="shared" si="2"/>
        <v>500009</v>
      </c>
      <c r="I11" t="s">
        <v>6687</v>
      </c>
      <c r="J11" t="s">
        <v>6510</v>
      </c>
      <c r="K11">
        <f>IFERROR(VLOOKUP(F11,Contacts.csv!C:D,2,FALSE),"")</f>
        <v>200114</v>
      </c>
      <c r="L11" t="str">
        <f t="shared" si="3"/>
        <v>rg:{'id':'200114'}</v>
      </c>
      <c r="M11" s="4" t="str">
        <f t="shared" si="4"/>
        <v>rg:[{'id':'200114'}]</v>
      </c>
      <c r="N11" t="s">
        <v>6510</v>
      </c>
      <c r="O11" t="s">
        <v>6510</v>
      </c>
      <c r="P11" t="s">
        <v>6510</v>
      </c>
      <c r="Q11" t="str">
        <f t="shared" si="0"/>
        <v>200006</v>
      </c>
    </row>
    <row r="12" spans="1:17" x14ac:dyDescent="0.3">
      <c r="A12" t="s">
        <v>5386</v>
      </c>
      <c r="B12" t="s">
        <v>2955</v>
      </c>
      <c r="C12" t="str">
        <f>VLOOKUP(B12,ServiceAreas.csv!C:J,8,FALSE)</f>
        <v>200006</v>
      </c>
      <c r="D12" t="str">
        <f t="shared" si="1"/>
        <v>rg{'id': '200006'}'</v>
      </c>
      <c r="E12" s="1" t="str">
        <f ca="1">MID(Names!G12,FIND(" ",Names!G12)+1,LEN(Names!G12)-FIND(" ", Names!G12))&amp;" "&amp;INDEX(PROJ_EXT_Name,RANDBETWEEN(2,12))</f>
        <v>Old Spallumcheen Rd Overpass</v>
      </c>
      <c r="F12" s="1" t="s">
        <v>6943</v>
      </c>
      <c r="G12">
        <f t="shared" si="5"/>
        <v>40010</v>
      </c>
      <c r="H12">
        <f t="shared" si="2"/>
        <v>500010</v>
      </c>
      <c r="I12" t="s">
        <v>6687</v>
      </c>
      <c r="J12" t="s">
        <v>6510</v>
      </c>
      <c r="K12">
        <f>IFERROR(VLOOKUP(F12,Contacts.csv!C:D,2,FALSE),"")</f>
        <v>200115</v>
      </c>
      <c r="L12" t="str">
        <f t="shared" si="3"/>
        <v>rg:{'id':'200115'}</v>
      </c>
      <c r="M12" s="4" t="str">
        <f t="shared" si="4"/>
        <v>rg:[{'id':'200115'}]</v>
      </c>
      <c r="N12" t="s">
        <v>6510</v>
      </c>
      <c r="O12" t="s">
        <v>6510</v>
      </c>
      <c r="P12" t="s">
        <v>6510</v>
      </c>
      <c r="Q12" t="str">
        <f t="shared" si="0"/>
        <v>200006</v>
      </c>
    </row>
    <row r="13" spans="1:17" x14ac:dyDescent="0.3">
      <c r="A13" t="s">
        <v>5386</v>
      </c>
      <c r="B13" t="s">
        <v>2955</v>
      </c>
      <c r="C13" t="str">
        <f>VLOOKUP(B13,ServiceAreas.csv!C:J,8,FALSE)</f>
        <v>200006</v>
      </c>
      <c r="D13" t="str">
        <f t="shared" si="1"/>
        <v>rg{'id': '200006'}'</v>
      </c>
      <c r="E13" s="1" t="str">
        <f ca="1">MID(Names!G13,FIND(" ",Names!G13)+1,LEN(Names!G13)-FIND(" ", Names!G13))&amp;" "&amp;INDEX(PROJ_EXT_Name,RANDBETWEEN(2,12))</f>
        <v>Noble Rd Extension</v>
      </c>
      <c r="F13" s="1" t="s">
        <v>6944</v>
      </c>
      <c r="G13">
        <f t="shared" si="5"/>
        <v>40011</v>
      </c>
      <c r="H13">
        <f t="shared" si="2"/>
        <v>500011</v>
      </c>
      <c r="I13" t="s">
        <v>6687</v>
      </c>
      <c r="J13" t="s">
        <v>6510</v>
      </c>
      <c r="K13">
        <f>IFERROR(VLOOKUP(F13,Contacts.csv!C:D,2,FALSE),"")</f>
        <v>200116</v>
      </c>
      <c r="L13" t="str">
        <f t="shared" si="3"/>
        <v>rg:{'id':'200116'}</v>
      </c>
      <c r="M13" s="4" t="str">
        <f t="shared" si="4"/>
        <v>rg:[{'id':'200116'}]</v>
      </c>
      <c r="N13" t="s">
        <v>6510</v>
      </c>
      <c r="O13" t="s">
        <v>6510</v>
      </c>
      <c r="P13" t="s">
        <v>6510</v>
      </c>
      <c r="Q13" t="str">
        <f t="shared" si="0"/>
        <v>200006</v>
      </c>
    </row>
    <row r="14" spans="1:17" x14ac:dyDescent="0.3">
      <c r="A14" t="s">
        <v>5386</v>
      </c>
      <c r="B14" t="s">
        <v>2955</v>
      </c>
      <c r="C14" t="str">
        <f>VLOOKUP(B14,ServiceAreas.csv!C:J,8,FALSE)</f>
        <v>200006</v>
      </c>
      <c r="D14" t="str">
        <f t="shared" si="1"/>
        <v>rg{'id': '200006'}'</v>
      </c>
      <c r="E14" s="1" t="str">
        <f ca="1">MID(Names!G14,FIND(" ",Names!G14)+1,LEN(Names!G14)-FIND(" ", Names!G14))&amp;" "&amp;INDEX(PROJ_EXT_Name,RANDBETWEEN(2,12))</f>
        <v>Jade St Bridge</v>
      </c>
      <c r="F14" s="1" t="s">
        <v>6945</v>
      </c>
      <c r="G14">
        <f t="shared" si="5"/>
        <v>40012</v>
      </c>
      <c r="H14">
        <f t="shared" si="2"/>
        <v>500012</v>
      </c>
      <c r="I14" t="s">
        <v>6687</v>
      </c>
      <c r="J14" t="s">
        <v>6510</v>
      </c>
      <c r="K14">
        <f>IFERROR(VLOOKUP(F14,Contacts.csv!C:D,2,FALSE),"")</f>
        <v>200117</v>
      </c>
      <c r="L14" t="str">
        <f t="shared" si="3"/>
        <v>rg:{'id':'200117'}</v>
      </c>
      <c r="M14" s="4" t="str">
        <f t="shared" si="4"/>
        <v>rg:[{'id':'200117'}]</v>
      </c>
      <c r="N14" t="s">
        <v>6510</v>
      </c>
      <c r="O14" t="s">
        <v>6510</v>
      </c>
      <c r="P14" t="s">
        <v>6510</v>
      </c>
      <c r="Q14" t="str">
        <f t="shared" si="0"/>
        <v>200006</v>
      </c>
    </row>
    <row r="15" spans="1:17" x14ac:dyDescent="0.3">
      <c r="A15" t="s">
        <v>5386</v>
      </c>
      <c r="B15" t="s">
        <v>2955</v>
      </c>
      <c r="C15" t="str">
        <f>VLOOKUP(B15,ServiceAreas.csv!C:J,8,FALSE)</f>
        <v>200006</v>
      </c>
      <c r="D15" t="str">
        <f t="shared" si="1"/>
        <v>rg{'id': '200006'}'</v>
      </c>
      <c r="E15" s="1" t="str">
        <f ca="1">MID(Names!G15,FIND(" ",Names!G15)+1,LEN(Names!G15)-FIND(" ", Names!G15))&amp;" "&amp;INDEX(PROJ_EXT_Name,RANDBETWEEN(2,12))</f>
        <v>Wallace Street Cloverleaf</v>
      </c>
      <c r="F15" s="1" t="s">
        <v>6946</v>
      </c>
      <c r="G15">
        <f t="shared" si="5"/>
        <v>40013</v>
      </c>
      <c r="H15">
        <f t="shared" si="2"/>
        <v>500013</v>
      </c>
      <c r="I15" t="s">
        <v>6687</v>
      </c>
      <c r="J15" t="s">
        <v>6510</v>
      </c>
      <c r="K15">
        <f>IFERROR(VLOOKUP(F15,Contacts.csv!C:D,2,FALSE),"")</f>
        <v>200118</v>
      </c>
      <c r="L15" t="str">
        <f t="shared" si="3"/>
        <v>rg:{'id':'200118'}</v>
      </c>
      <c r="M15" s="4" t="str">
        <f t="shared" si="4"/>
        <v>rg:[{'id':'200118'}]</v>
      </c>
      <c r="N15" t="s">
        <v>6510</v>
      </c>
      <c r="O15" t="s">
        <v>6510</v>
      </c>
      <c r="P15" t="s">
        <v>6510</v>
      </c>
      <c r="Q15" t="str">
        <f t="shared" si="0"/>
        <v>200006</v>
      </c>
    </row>
    <row r="16" spans="1:17" x14ac:dyDescent="0.3">
      <c r="A16" t="s">
        <v>5386</v>
      </c>
      <c r="B16" t="s">
        <v>2955</v>
      </c>
      <c r="C16" t="str">
        <f>VLOOKUP(B16,ServiceAreas.csv!C:J,8,FALSE)</f>
        <v>200006</v>
      </c>
      <c r="D16" t="str">
        <f t="shared" si="1"/>
        <v>rg{'id': '200006'}'</v>
      </c>
      <c r="E16" s="1" t="str">
        <f ca="1">MID(Names!G16,FIND(" ",Names!G16)+1,LEN(Names!G16)-FIND(" ", Names!G16))&amp;" "&amp;INDEX(PROJ_EXT_Name,RANDBETWEEN(2,12))</f>
        <v>James Street Bridge Replacement</v>
      </c>
      <c r="F16" s="1" t="s">
        <v>6933</v>
      </c>
      <c r="G16">
        <f t="shared" si="5"/>
        <v>40014</v>
      </c>
      <c r="H16">
        <f t="shared" si="2"/>
        <v>500014</v>
      </c>
      <c r="I16" t="s">
        <v>6687</v>
      </c>
      <c r="J16" t="s">
        <v>6510</v>
      </c>
      <c r="K16">
        <f>IFERROR(VLOOKUP(F16,Contacts.csv!C:D,2,FALSE),"")</f>
        <v>200119</v>
      </c>
      <c r="L16" t="str">
        <f t="shared" si="3"/>
        <v>rg:{'id':'200119'}</v>
      </c>
      <c r="M16" s="4" t="str">
        <f t="shared" si="4"/>
        <v>rg:[{'id':'200119'}]</v>
      </c>
      <c r="N16" t="s">
        <v>6510</v>
      </c>
      <c r="O16" t="s">
        <v>6510</v>
      </c>
      <c r="P16" t="s">
        <v>6510</v>
      </c>
      <c r="Q16" t="str">
        <f t="shared" si="0"/>
        <v>200006</v>
      </c>
    </row>
    <row r="17" spans="1:17" x14ac:dyDescent="0.3">
      <c r="A17" t="s">
        <v>5386</v>
      </c>
      <c r="B17" t="s">
        <v>2955</v>
      </c>
      <c r="C17" t="str">
        <f>VLOOKUP(B17,ServiceAreas.csv!C:J,8,FALSE)</f>
        <v>200006</v>
      </c>
      <c r="D17" t="str">
        <f t="shared" si="1"/>
        <v>rg{'id': '200006'}'</v>
      </c>
      <c r="E17" s="1" t="str">
        <f ca="1">MID(Names!G17,FIND(" ",Names!G17)+1,LEN(Names!G17)-FIND(" ", Names!G17))&amp;" "&amp;INDEX(PROJ_EXT_Name,RANDBETWEEN(2,12))</f>
        <v>Holdom Avenue Overpass</v>
      </c>
      <c r="F17" s="1" t="s">
        <v>6947</v>
      </c>
      <c r="G17">
        <f t="shared" si="5"/>
        <v>40015</v>
      </c>
      <c r="H17">
        <f t="shared" si="2"/>
        <v>500015</v>
      </c>
      <c r="I17" t="s">
        <v>6687</v>
      </c>
      <c r="J17" t="s">
        <v>6510</v>
      </c>
      <c r="K17">
        <f>IFERROR(VLOOKUP(F17,Contacts.csv!C:D,2,FALSE),"")</f>
        <v>200120</v>
      </c>
      <c r="L17" t="str">
        <f t="shared" si="3"/>
        <v>rg:{'id':'200120'}</v>
      </c>
      <c r="M17" s="4" t="str">
        <f t="shared" si="4"/>
        <v>rg:[{'id':'200120'}]</v>
      </c>
      <c r="N17" t="s">
        <v>6510</v>
      </c>
      <c r="O17" t="s">
        <v>6510</v>
      </c>
      <c r="P17" t="s">
        <v>6510</v>
      </c>
      <c r="Q17" t="str">
        <f t="shared" si="0"/>
        <v>200006</v>
      </c>
    </row>
    <row r="18" spans="1:17" x14ac:dyDescent="0.3">
      <c r="A18" t="s">
        <v>5386</v>
      </c>
      <c r="B18" t="s">
        <v>2955</v>
      </c>
      <c r="C18" t="str">
        <f>VLOOKUP(B18,ServiceAreas.csv!C:J,8,FALSE)</f>
        <v>200006</v>
      </c>
      <c r="D18" t="str">
        <f t="shared" si="1"/>
        <v>rg{'id': '200006'}'</v>
      </c>
      <c r="E18" s="1" t="str">
        <f ca="1">MID(Names!G18,FIND(" ",Names!G18)+1,LEN(Names!G18)-FIND(" ", Names!G18))&amp;" "&amp;INDEX(PROJ_EXT_Name,RANDBETWEEN(2,12))</f>
        <v>Roger Street Bridge Replacement</v>
      </c>
      <c r="F18" s="1" t="s">
        <v>6916</v>
      </c>
      <c r="G18">
        <f t="shared" si="5"/>
        <v>40016</v>
      </c>
      <c r="H18">
        <f t="shared" si="2"/>
        <v>500016</v>
      </c>
      <c r="I18" t="s">
        <v>6687</v>
      </c>
      <c r="J18" t="s">
        <v>6510</v>
      </c>
      <c r="K18">
        <f>IFERROR(VLOOKUP(F18,Contacts.csv!C:D,2,FALSE),"")</f>
        <v>200121</v>
      </c>
      <c r="L18" t="str">
        <f t="shared" si="3"/>
        <v>rg:{'id':'200121'}</v>
      </c>
      <c r="M18" s="4" t="str">
        <f t="shared" si="4"/>
        <v>rg:[{'id':'200121'}]</v>
      </c>
      <c r="N18" t="s">
        <v>6510</v>
      </c>
      <c r="O18" t="s">
        <v>6510</v>
      </c>
      <c r="P18" t="s">
        <v>6510</v>
      </c>
      <c r="Q18" t="str">
        <f t="shared" si="0"/>
        <v>200006</v>
      </c>
    </row>
    <row r="19" spans="1:17" x14ac:dyDescent="0.3">
      <c r="A19" t="s">
        <v>5386</v>
      </c>
      <c r="B19" t="s">
        <v>2955</v>
      </c>
      <c r="C19" t="str">
        <f>VLOOKUP(B19,ServiceAreas.csv!C:J,8,FALSE)</f>
        <v>200006</v>
      </c>
      <c r="D19" t="str">
        <f t="shared" si="1"/>
        <v>rg{'id': '200006'}'</v>
      </c>
      <c r="E19" s="1" t="str">
        <f ca="1">MID(Names!G19,FIND(" ",Names!G19)+1,LEN(Names!G19)-FIND(" ", Names!G19))&amp;" "&amp;INDEX(PROJ_EXT_Name,RANDBETWEEN(2,12))</f>
        <v>Scotts Lane Expressway</v>
      </c>
      <c r="F19" s="1" t="s">
        <v>6948</v>
      </c>
      <c r="G19">
        <f t="shared" si="5"/>
        <v>40017</v>
      </c>
      <c r="H19">
        <f t="shared" si="2"/>
        <v>500017</v>
      </c>
      <c r="I19" t="s">
        <v>6687</v>
      </c>
      <c r="J19" t="s">
        <v>6510</v>
      </c>
      <c r="K19">
        <f>IFERROR(VLOOKUP(F19,Contacts.csv!C:D,2,FALSE),"")</f>
        <v>200122</v>
      </c>
      <c r="L19" t="str">
        <f t="shared" si="3"/>
        <v>rg:{'id':'200122'}</v>
      </c>
      <c r="M19" s="4" t="str">
        <f t="shared" si="4"/>
        <v>rg:[{'id':'200122'}]</v>
      </c>
      <c r="N19" t="s">
        <v>6510</v>
      </c>
      <c r="O19" t="s">
        <v>6510</v>
      </c>
      <c r="P19" t="s">
        <v>6510</v>
      </c>
      <c r="Q19" t="str">
        <f t="shared" si="0"/>
        <v>200006</v>
      </c>
    </row>
    <row r="20" spans="1:17" x14ac:dyDescent="0.3">
      <c r="A20" t="s">
        <v>5386</v>
      </c>
      <c r="B20" t="s">
        <v>2955</v>
      </c>
      <c r="C20" t="str">
        <f>VLOOKUP(B20,ServiceAreas.csv!C:J,8,FALSE)</f>
        <v>200006</v>
      </c>
      <c r="D20" t="str">
        <f t="shared" si="1"/>
        <v>rg{'id': '200006'}'</v>
      </c>
      <c r="E20" s="1" t="str">
        <f ca="1">MID(Names!G20,FIND(" ",Names!G20)+1,LEN(Names!G20)-FIND(" ", Names!G20))&amp;" "&amp;INDEX(PROJ_EXT_Name,RANDBETWEEN(2,12))</f>
        <v>Findlay Creek Road Expressway</v>
      </c>
      <c r="F20" s="1" t="s">
        <v>6893</v>
      </c>
      <c r="G20">
        <f t="shared" si="5"/>
        <v>40018</v>
      </c>
      <c r="H20">
        <f t="shared" si="2"/>
        <v>500018</v>
      </c>
      <c r="I20" t="s">
        <v>6687</v>
      </c>
      <c r="J20" t="s">
        <v>6510</v>
      </c>
      <c r="K20">
        <f>IFERROR(VLOOKUP(F20,Contacts.csv!C:D,2,FALSE),"")</f>
        <v>200123</v>
      </c>
      <c r="L20" t="str">
        <f t="shared" si="3"/>
        <v>rg:{'id':'200123'}</v>
      </c>
      <c r="M20" s="4" t="str">
        <f t="shared" si="4"/>
        <v>rg:[{'id':'200123'}]</v>
      </c>
      <c r="N20" t="s">
        <v>6510</v>
      </c>
      <c r="O20" t="s">
        <v>6510</v>
      </c>
      <c r="P20" t="s">
        <v>6510</v>
      </c>
      <c r="Q20" t="str">
        <f t="shared" si="0"/>
        <v>200006</v>
      </c>
    </row>
    <row r="21" spans="1:17" x14ac:dyDescent="0.3">
      <c r="A21" t="s">
        <v>5386</v>
      </c>
      <c r="B21" t="s">
        <v>2955</v>
      </c>
      <c r="C21" t="str">
        <f>VLOOKUP(B21,ServiceAreas.csv!C:J,8,FALSE)</f>
        <v>200006</v>
      </c>
      <c r="D21" t="str">
        <f t="shared" si="1"/>
        <v>rg{'id': '200006'}'</v>
      </c>
      <c r="E21" s="1" t="str">
        <f ca="1">MID(Names!G21,FIND(" ",Names!G21)+1,LEN(Names!G21)-FIND(" ", Names!G21))&amp;" "&amp;INDEX(PROJ_EXT_Name,RANDBETWEEN(2,12))</f>
        <v>Sixth Street HOV Lane</v>
      </c>
      <c r="F21" s="1" t="s">
        <v>6949</v>
      </c>
      <c r="G21">
        <f t="shared" si="5"/>
        <v>40019</v>
      </c>
      <c r="H21">
        <f t="shared" si="2"/>
        <v>500019</v>
      </c>
      <c r="I21" t="s">
        <v>6687</v>
      </c>
      <c r="J21" t="s">
        <v>6510</v>
      </c>
      <c r="K21">
        <f>IFERROR(VLOOKUP(F21,Contacts.csv!C:D,2,FALSE),"")</f>
        <v>200124</v>
      </c>
      <c r="L21" t="str">
        <f t="shared" si="3"/>
        <v>rg:{'id':'200124'}</v>
      </c>
      <c r="M21" s="4" t="str">
        <f t="shared" si="4"/>
        <v>rg:[{'id':'200124'}]</v>
      </c>
      <c r="N21" t="s">
        <v>6510</v>
      </c>
      <c r="O21" t="s">
        <v>6510</v>
      </c>
      <c r="P21" t="s">
        <v>6510</v>
      </c>
      <c r="Q21" t="str">
        <f t="shared" si="0"/>
        <v>200006</v>
      </c>
    </row>
    <row r="22" spans="1:17" x14ac:dyDescent="0.3">
      <c r="A22" t="s">
        <v>5386</v>
      </c>
      <c r="B22" t="s">
        <v>2955</v>
      </c>
      <c r="C22" t="str">
        <f>VLOOKUP(B22,ServiceAreas.csv!C:J,8,FALSE)</f>
        <v>200006</v>
      </c>
      <c r="D22" t="str">
        <f t="shared" si="1"/>
        <v>rg{'id': '200006'}'</v>
      </c>
      <c r="E22" s="1" t="str">
        <f ca="1">MID(Names!G22,FIND(" ",Names!G22)+1,LEN(Names!G22)-FIND(" ", Names!G22))&amp;" "&amp;INDEX(PROJ_EXT_Name,RANDBETWEEN(2,12))</f>
        <v>Blanshard Extension</v>
      </c>
      <c r="F22" s="1" t="s">
        <v>6900</v>
      </c>
      <c r="G22">
        <f t="shared" si="5"/>
        <v>40020</v>
      </c>
      <c r="H22">
        <f t="shared" si="2"/>
        <v>500020</v>
      </c>
      <c r="I22" t="s">
        <v>6687</v>
      </c>
      <c r="J22" t="s">
        <v>6510</v>
      </c>
      <c r="K22">
        <f>IFERROR(VLOOKUP(F22,Contacts.csv!C:D,2,FALSE),"")</f>
        <v>200125</v>
      </c>
      <c r="L22" t="str">
        <f t="shared" si="3"/>
        <v>rg:{'id':'200125'}</v>
      </c>
      <c r="M22" s="4" t="str">
        <f t="shared" si="4"/>
        <v>rg:[{'id':'200125'}]</v>
      </c>
      <c r="N22" t="s">
        <v>6510</v>
      </c>
      <c r="O22" t="s">
        <v>6510</v>
      </c>
      <c r="P22" t="s">
        <v>6510</v>
      </c>
      <c r="Q22" t="str">
        <f t="shared" si="0"/>
        <v>200006</v>
      </c>
    </row>
    <row r="23" spans="1:17" x14ac:dyDescent="0.3">
      <c r="A23" t="s">
        <v>5386</v>
      </c>
      <c r="B23" t="s">
        <v>2951</v>
      </c>
      <c r="C23" t="str">
        <f>VLOOKUP(B23,ServiceAreas.csv!C:J,8,FALSE)</f>
        <v>200001</v>
      </c>
      <c r="D23" t="str">
        <f t="shared" si="1"/>
        <v>rg{'id': '200001'}'</v>
      </c>
      <c r="E23" s="1" t="str">
        <f ca="1">MID(Names!G23,FIND(" ",Names!G23)+1,LEN(Names!G23)-FIND(" ", Names!G23))&amp;" "&amp;INDEX(PROJ_EXT_Name,RANDBETWEEN(2,12))</f>
        <v>King George Hwy Cloverleaf</v>
      </c>
      <c r="F23" s="1" t="s">
        <v>6950</v>
      </c>
      <c r="G23">
        <f t="shared" si="5"/>
        <v>40021</v>
      </c>
      <c r="H23">
        <f t="shared" si="2"/>
        <v>500021</v>
      </c>
      <c r="I23" t="s">
        <v>6687</v>
      </c>
      <c r="J23" t="s">
        <v>6510</v>
      </c>
      <c r="K23">
        <f>IFERROR(VLOOKUP(F23,Contacts.csv!C:D,2,FALSE),"")</f>
        <v>200126</v>
      </c>
      <c r="L23" t="str">
        <f t="shared" si="3"/>
        <v>rg:{'id':'200126'}</v>
      </c>
      <c r="M23" s="4" t="str">
        <f t="shared" si="4"/>
        <v>rg:[{'id':'200126'}]</v>
      </c>
      <c r="N23" t="s">
        <v>6510</v>
      </c>
      <c r="O23" t="s">
        <v>6510</v>
      </c>
      <c r="P23" t="s">
        <v>6510</v>
      </c>
      <c r="Q23" t="str">
        <f t="shared" si="0"/>
        <v>200001</v>
      </c>
    </row>
    <row r="24" spans="1:17" x14ac:dyDescent="0.3">
      <c r="A24" t="s">
        <v>5386</v>
      </c>
      <c r="B24" t="s">
        <v>2951</v>
      </c>
      <c r="C24" t="str">
        <f>VLOOKUP(B24,ServiceAreas.csv!C:J,8,FALSE)</f>
        <v>200001</v>
      </c>
      <c r="D24" t="str">
        <f t="shared" si="1"/>
        <v>rg{'id': '200001'}'</v>
      </c>
      <c r="E24" s="1" t="str">
        <f ca="1">MID(Names!G24,FIND(" ",Names!G24)+1,LEN(Names!G24)-FIND(" ", Names!G24))&amp;" "&amp;INDEX(PROJ_EXT_Name,RANDBETWEEN(2,12))</f>
        <v>Glover Road Overpass</v>
      </c>
      <c r="F24" s="1" t="s">
        <v>6892</v>
      </c>
      <c r="G24">
        <f t="shared" si="5"/>
        <v>40022</v>
      </c>
      <c r="H24">
        <f t="shared" si="2"/>
        <v>500022</v>
      </c>
      <c r="I24" t="s">
        <v>6687</v>
      </c>
      <c r="J24" t="s">
        <v>6510</v>
      </c>
      <c r="K24">
        <f>IFERROR(VLOOKUP(F24,Contacts.csv!C:D,2,FALSE),"")</f>
        <v>200127</v>
      </c>
      <c r="L24" t="str">
        <f t="shared" si="3"/>
        <v>rg:{'id':'200127'}</v>
      </c>
      <c r="M24" s="4" t="str">
        <f t="shared" si="4"/>
        <v>rg:[{'id':'200127'}]</v>
      </c>
      <c r="N24" t="s">
        <v>6510</v>
      </c>
      <c r="O24" t="s">
        <v>6510</v>
      </c>
      <c r="P24" t="s">
        <v>6510</v>
      </c>
      <c r="Q24" t="str">
        <f t="shared" si="0"/>
        <v>200001</v>
      </c>
    </row>
    <row r="25" spans="1:17" x14ac:dyDescent="0.3">
      <c r="A25" t="s">
        <v>5386</v>
      </c>
      <c r="B25" t="s">
        <v>2951</v>
      </c>
      <c r="C25" t="str">
        <f>VLOOKUP(B25,ServiceAreas.csv!C:J,8,FALSE)</f>
        <v>200001</v>
      </c>
      <c r="D25" t="str">
        <f t="shared" si="1"/>
        <v>rg{'id': '200001'}'</v>
      </c>
      <c r="E25" s="1" t="str">
        <f ca="1">MID(Names!G25,FIND(" ",Names!G25)+1,LEN(Names!G25)-FIND(" ", Names!G25))&amp;" "&amp;INDEX(PROJ_EXT_Name,RANDBETWEEN(2,12))</f>
        <v>Wallace Street HOV Lane</v>
      </c>
      <c r="F25" s="1" t="s">
        <v>6951</v>
      </c>
      <c r="G25">
        <f t="shared" si="5"/>
        <v>40023</v>
      </c>
      <c r="H25">
        <f t="shared" si="2"/>
        <v>500023</v>
      </c>
      <c r="I25" t="s">
        <v>6687</v>
      </c>
      <c r="J25" t="s">
        <v>6510</v>
      </c>
      <c r="K25">
        <f>IFERROR(VLOOKUP(F25,Contacts.csv!C:D,2,FALSE),"")</f>
        <v>200128</v>
      </c>
      <c r="L25" t="str">
        <f t="shared" si="3"/>
        <v>rg:{'id':'200128'}</v>
      </c>
      <c r="M25" s="4" t="str">
        <f t="shared" si="4"/>
        <v>rg:[{'id':'200128'}]</v>
      </c>
      <c r="N25" t="s">
        <v>6510</v>
      </c>
      <c r="O25" t="s">
        <v>6510</v>
      </c>
      <c r="P25" t="s">
        <v>6510</v>
      </c>
      <c r="Q25" t="str">
        <f t="shared" si="0"/>
        <v>200001</v>
      </c>
    </row>
    <row r="26" spans="1:17" x14ac:dyDescent="0.3">
      <c r="A26" t="s">
        <v>5386</v>
      </c>
      <c r="B26" t="s">
        <v>2951</v>
      </c>
      <c r="C26" t="str">
        <f>VLOOKUP(B26,ServiceAreas.csv!C:J,8,FALSE)</f>
        <v>200001</v>
      </c>
      <c r="D26" t="str">
        <f t="shared" si="1"/>
        <v>rg{'id': '200001'}'</v>
      </c>
      <c r="E26" s="1" t="str">
        <f ca="1">MID(Names!G26,FIND(" ",Names!G26)+1,LEN(Names!G26)-FIND(" ", Names!G26))&amp;" "&amp;INDEX(PROJ_EXT_Name,RANDBETWEEN(2,12))</f>
        <v>Yoho Valley Road Expressway</v>
      </c>
      <c r="F26" s="1" t="s">
        <v>6952</v>
      </c>
      <c r="G26">
        <f t="shared" si="5"/>
        <v>40024</v>
      </c>
      <c r="H26">
        <f t="shared" si="2"/>
        <v>500024</v>
      </c>
      <c r="I26" t="s">
        <v>6687</v>
      </c>
      <c r="J26" t="s">
        <v>6510</v>
      </c>
      <c r="K26">
        <f>IFERROR(VLOOKUP(F26,Contacts.csv!C:D,2,FALSE),"")</f>
        <v>200129</v>
      </c>
      <c r="L26" t="str">
        <f t="shared" si="3"/>
        <v>rg:{'id':'200129'}</v>
      </c>
      <c r="M26" s="4" t="str">
        <f t="shared" si="4"/>
        <v>rg:[{'id':'200129'}]</v>
      </c>
      <c r="N26" t="s">
        <v>6510</v>
      </c>
      <c r="O26" t="s">
        <v>6510</v>
      </c>
      <c r="P26" t="s">
        <v>6510</v>
      </c>
      <c r="Q26" t="str">
        <f t="shared" si="0"/>
        <v>200001</v>
      </c>
    </row>
    <row r="27" spans="1:17" x14ac:dyDescent="0.3">
      <c r="A27" t="s">
        <v>5386</v>
      </c>
      <c r="B27" t="s">
        <v>2951</v>
      </c>
      <c r="C27" t="str">
        <f>VLOOKUP(B27,ServiceAreas.csv!C:J,8,FALSE)</f>
        <v>200001</v>
      </c>
      <c r="D27" t="str">
        <f t="shared" si="1"/>
        <v>rg{'id': '200001'}'</v>
      </c>
      <c r="E27" s="1" t="str">
        <f ca="1">MID(Names!G27,FIND(" ",Names!G27)+1,LEN(Names!G27)-FIND(" ", Names!G27))&amp;" "&amp;INDEX(PROJ_EXT_Name,RANDBETWEEN(2,12))</f>
        <v>Burdett Avenue Upgrade</v>
      </c>
      <c r="F27" s="1" t="s">
        <v>6911</v>
      </c>
      <c r="G27">
        <f t="shared" si="5"/>
        <v>40025</v>
      </c>
      <c r="H27">
        <f t="shared" si="2"/>
        <v>500025</v>
      </c>
      <c r="I27" t="s">
        <v>6687</v>
      </c>
      <c r="J27" t="s">
        <v>6510</v>
      </c>
      <c r="K27">
        <f>IFERROR(VLOOKUP(F27,Contacts.csv!C:D,2,FALSE),"")</f>
        <v>200130</v>
      </c>
      <c r="L27" t="str">
        <f t="shared" si="3"/>
        <v>rg:{'id':'200130'}</v>
      </c>
      <c r="M27" s="4" t="str">
        <f t="shared" si="4"/>
        <v>rg:[{'id':'200130'}]</v>
      </c>
      <c r="N27" t="s">
        <v>6510</v>
      </c>
      <c r="O27" t="s">
        <v>6510</v>
      </c>
      <c r="P27" t="s">
        <v>6510</v>
      </c>
      <c r="Q27" t="str">
        <f t="shared" si="0"/>
        <v>200001</v>
      </c>
    </row>
    <row r="28" spans="1:17" x14ac:dyDescent="0.3">
      <c r="A28" t="s">
        <v>5386</v>
      </c>
      <c r="B28" t="s">
        <v>2951</v>
      </c>
      <c r="C28" t="str">
        <f>VLOOKUP(B28,ServiceAreas.csv!C:J,8,FALSE)</f>
        <v>200001</v>
      </c>
      <c r="D28" t="str">
        <f t="shared" si="1"/>
        <v>rg{'id': '200001'}'</v>
      </c>
      <c r="E28" s="1" t="str">
        <f ca="1">MID(Names!G28,FIND(" ",Names!G28)+1,LEN(Names!G28)-FIND(" ", Names!G28))&amp;" "&amp;INDEX(PROJ_EXT_Name,RANDBETWEEN(2,12))</f>
        <v>Cordova Street Express Lane</v>
      </c>
      <c r="F28" s="1" t="s">
        <v>6953</v>
      </c>
      <c r="G28">
        <f t="shared" si="5"/>
        <v>40026</v>
      </c>
      <c r="H28">
        <f t="shared" si="2"/>
        <v>500026</v>
      </c>
      <c r="I28" t="s">
        <v>6687</v>
      </c>
      <c r="J28" t="s">
        <v>6510</v>
      </c>
      <c r="K28">
        <f>IFERROR(VLOOKUP(F28,Contacts.csv!C:D,2,FALSE),"")</f>
        <v>200131</v>
      </c>
      <c r="L28" t="str">
        <f t="shared" si="3"/>
        <v>rg:{'id':'200131'}</v>
      </c>
      <c r="M28" s="4" t="str">
        <f t="shared" si="4"/>
        <v>rg:[{'id':'200131'}]</v>
      </c>
      <c r="N28" t="s">
        <v>6510</v>
      </c>
      <c r="O28" t="s">
        <v>6510</v>
      </c>
      <c r="P28" t="s">
        <v>6510</v>
      </c>
      <c r="Q28" t="str">
        <f t="shared" si="0"/>
        <v>200001</v>
      </c>
    </row>
    <row r="29" spans="1:17" x14ac:dyDescent="0.3">
      <c r="A29" t="s">
        <v>5386</v>
      </c>
      <c r="B29" t="s">
        <v>2951</v>
      </c>
      <c r="C29" t="str">
        <f>VLOOKUP(B29,ServiceAreas.csv!C:J,8,FALSE)</f>
        <v>200001</v>
      </c>
      <c r="D29" t="str">
        <f t="shared" si="1"/>
        <v>rg{'id': '200001'}'</v>
      </c>
      <c r="E29" s="1" t="str">
        <f ca="1">MID(Names!G29,FIND(" ",Names!G29)+1,LEN(Names!G29)-FIND(" ", Names!G29))&amp;" "&amp;INDEX(PROJ_EXT_Name,RANDBETWEEN(2,12))</f>
        <v>Glover Road Bridge</v>
      </c>
      <c r="F29" s="1" t="s">
        <v>6926</v>
      </c>
      <c r="G29">
        <f t="shared" si="5"/>
        <v>40027</v>
      </c>
      <c r="H29">
        <f t="shared" si="2"/>
        <v>500027</v>
      </c>
      <c r="I29" t="s">
        <v>6687</v>
      </c>
      <c r="J29" t="s">
        <v>6510</v>
      </c>
      <c r="K29">
        <f>IFERROR(VLOOKUP(F29,Contacts.csv!C:D,2,FALSE),"")</f>
        <v>200132</v>
      </c>
      <c r="L29" t="str">
        <f t="shared" si="3"/>
        <v>rg:{'id':'200132'}</v>
      </c>
      <c r="M29" s="4" t="str">
        <f t="shared" si="4"/>
        <v>rg:[{'id':'200132'}]</v>
      </c>
      <c r="N29" t="s">
        <v>6510</v>
      </c>
      <c r="O29" t="s">
        <v>6510</v>
      </c>
      <c r="P29" t="s">
        <v>6510</v>
      </c>
      <c r="Q29" t="str">
        <f t="shared" si="0"/>
        <v>200001</v>
      </c>
    </row>
    <row r="30" spans="1:17" x14ac:dyDescent="0.3">
      <c r="A30" t="s">
        <v>5386</v>
      </c>
      <c r="B30" t="s">
        <v>2928</v>
      </c>
      <c r="C30" t="str">
        <f>VLOOKUP(B30,ServiceAreas.csv!C:J,8,FALSE)</f>
        <v>200000</v>
      </c>
      <c r="D30" t="str">
        <f t="shared" si="1"/>
        <v>rg{'id': '200000'}'</v>
      </c>
      <c r="E30" s="1" t="str">
        <f ca="1">MID(Names!G30,FIND(" ",Names!G30)+1,LEN(Names!G30)-FIND(" ", Names!G30))&amp;" "&amp;INDEX(PROJ_EXT_Name,RANDBETWEEN(2,12))</f>
        <v>Scotts Lane Express Lane</v>
      </c>
      <c r="F30" s="1" t="s">
        <v>6954</v>
      </c>
      <c r="G30">
        <f t="shared" si="5"/>
        <v>40028</v>
      </c>
      <c r="H30">
        <f t="shared" si="2"/>
        <v>500028</v>
      </c>
      <c r="I30" t="s">
        <v>6687</v>
      </c>
      <c r="J30" t="s">
        <v>6510</v>
      </c>
      <c r="K30">
        <f>IFERROR(VLOOKUP(F30,Contacts.csv!C:D,2,FALSE),"")</f>
        <v>200133</v>
      </c>
      <c r="L30" t="str">
        <f t="shared" si="3"/>
        <v>rg:{'id':'200133'}</v>
      </c>
      <c r="M30" s="4" t="str">
        <f t="shared" si="4"/>
        <v>rg:[{'id':'200133'}]</v>
      </c>
      <c r="N30" t="s">
        <v>6510</v>
      </c>
      <c r="O30" t="s">
        <v>6510</v>
      </c>
      <c r="P30" t="s">
        <v>6510</v>
      </c>
      <c r="Q30" t="str">
        <f t="shared" si="0"/>
        <v>200000</v>
      </c>
    </row>
    <row r="31" spans="1:17" x14ac:dyDescent="0.3">
      <c r="A31" t="s">
        <v>5386</v>
      </c>
      <c r="B31" t="s">
        <v>2928</v>
      </c>
      <c r="C31" t="str">
        <f>VLOOKUP(B31,ServiceAreas.csv!C:J,8,FALSE)</f>
        <v>200000</v>
      </c>
      <c r="D31" t="str">
        <f t="shared" si="1"/>
        <v>rg{'id': '200000'}'</v>
      </c>
      <c r="E31" s="1" t="str">
        <f ca="1">MID(Names!G31,FIND(" ",Names!G31)+1,LEN(Names!G31)-FIND(" ", Names!G31))&amp;" "&amp;INDEX(PROJ_EXT_Name,RANDBETWEEN(2,12))</f>
        <v>Nootka Street Express Lane</v>
      </c>
      <c r="F31" s="1" t="s">
        <v>6955</v>
      </c>
      <c r="G31">
        <f t="shared" si="5"/>
        <v>40029</v>
      </c>
      <c r="H31">
        <f t="shared" si="2"/>
        <v>500029</v>
      </c>
      <c r="I31" t="s">
        <v>6687</v>
      </c>
      <c r="J31" t="s">
        <v>6510</v>
      </c>
      <c r="K31">
        <f>IFERROR(VLOOKUP(F31,Contacts.csv!C:D,2,FALSE),"")</f>
        <v>200134</v>
      </c>
      <c r="L31" t="str">
        <f t="shared" si="3"/>
        <v>rg:{'id':'200134'}</v>
      </c>
      <c r="M31" s="4" t="str">
        <f t="shared" si="4"/>
        <v>rg:[{'id':'200134'}]</v>
      </c>
      <c r="N31" t="s">
        <v>6510</v>
      </c>
      <c r="O31" t="s">
        <v>6510</v>
      </c>
      <c r="P31" t="s">
        <v>6510</v>
      </c>
      <c r="Q31" t="str">
        <f t="shared" si="0"/>
        <v>200000</v>
      </c>
    </row>
    <row r="32" spans="1:17" x14ac:dyDescent="0.3">
      <c r="A32" t="s">
        <v>5386</v>
      </c>
      <c r="B32" t="s">
        <v>2928</v>
      </c>
      <c r="C32" t="str">
        <f>VLOOKUP(B32,ServiceAreas.csv!C:J,8,FALSE)</f>
        <v>200000</v>
      </c>
      <c r="D32" t="str">
        <f t="shared" si="1"/>
        <v>rg{'id': '200000'}'</v>
      </c>
      <c r="E32" s="1" t="str">
        <f ca="1">MID(Names!G32,FIND(" ",Names!G32)+1,LEN(Names!G32)-FIND(" ", Names!G32))&amp;" "&amp;INDEX(PROJ_EXT_Name,RANDBETWEEN(2,12))</f>
        <v>Nootka Street Bridge</v>
      </c>
      <c r="F32" s="1" t="s">
        <v>6956</v>
      </c>
      <c r="G32">
        <f t="shared" si="5"/>
        <v>40030</v>
      </c>
      <c r="H32">
        <f t="shared" si="2"/>
        <v>500030</v>
      </c>
      <c r="I32" t="s">
        <v>6687</v>
      </c>
      <c r="J32" t="s">
        <v>6510</v>
      </c>
      <c r="K32">
        <f>IFERROR(VLOOKUP(F32,Contacts.csv!C:D,2,FALSE),"")</f>
        <v>200135</v>
      </c>
      <c r="L32" t="str">
        <f t="shared" si="3"/>
        <v>rg:{'id':'200135'}</v>
      </c>
      <c r="M32" s="4" t="str">
        <f t="shared" si="4"/>
        <v>rg:[{'id':'200135'}]</v>
      </c>
      <c r="N32" t="s">
        <v>6510</v>
      </c>
      <c r="O32" t="s">
        <v>6510</v>
      </c>
      <c r="P32" t="s">
        <v>6510</v>
      </c>
      <c r="Q32" t="str">
        <f t="shared" si="0"/>
        <v>200000</v>
      </c>
    </row>
    <row r="33" spans="1:17" x14ac:dyDescent="0.3">
      <c r="A33" t="s">
        <v>5386</v>
      </c>
      <c r="B33" t="s">
        <v>2928</v>
      </c>
      <c r="C33" t="str">
        <f>VLOOKUP(B33,ServiceAreas.csv!C:J,8,FALSE)</f>
        <v>200000</v>
      </c>
      <c r="D33" t="str">
        <f t="shared" si="1"/>
        <v>rg{'id': '200000'}'</v>
      </c>
      <c r="E33" s="1" t="str">
        <f ca="1">MID(Names!G33,FIND(" ",Names!G33)+1,LEN(Names!G33)-FIND(" ", Names!G33))&amp;" "&amp;INDEX(PROJ_EXT_Name,RANDBETWEEN(2,12))</f>
        <v>Kinchant St Building</v>
      </c>
      <c r="F33" s="1" t="s">
        <v>6957</v>
      </c>
      <c r="G33">
        <f t="shared" si="5"/>
        <v>40031</v>
      </c>
      <c r="H33">
        <f t="shared" si="2"/>
        <v>500031</v>
      </c>
      <c r="I33" t="s">
        <v>6687</v>
      </c>
      <c r="J33" t="s">
        <v>6510</v>
      </c>
      <c r="K33">
        <f>IFERROR(VLOOKUP(F33,Contacts.csv!C:D,2,FALSE),"")</f>
        <v>200136</v>
      </c>
      <c r="L33" t="str">
        <f t="shared" si="3"/>
        <v>rg:{'id':'200136'}</v>
      </c>
      <c r="M33" s="4" t="str">
        <f t="shared" si="4"/>
        <v>rg:[{'id':'200136'}]</v>
      </c>
      <c r="N33" t="s">
        <v>6510</v>
      </c>
      <c r="O33" t="s">
        <v>6510</v>
      </c>
      <c r="P33" t="s">
        <v>6510</v>
      </c>
      <c r="Q33" t="str">
        <f t="shared" si="0"/>
        <v>200000</v>
      </c>
    </row>
    <row r="34" spans="1:17" x14ac:dyDescent="0.3">
      <c r="A34" t="s">
        <v>5386</v>
      </c>
      <c r="B34" t="s">
        <v>2928</v>
      </c>
      <c r="C34" t="str">
        <f>VLOOKUP(B34,ServiceAreas.csv!C:J,8,FALSE)</f>
        <v>200000</v>
      </c>
      <c r="D34" t="str">
        <f t="shared" si="1"/>
        <v>rg{'id': '200000'}'</v>
      </c>
      <c r="E34" s="1" t="str">
        <f ca="1">MID(Names!G34,FIND(" ",Names!G34)+1,LEN(Names!G34)-FIND(" ", Names!G34))&amp;" "&amp;INDEX(PROJ_EXT_Name,RANDBETWEEN(2,12))</f>
        <v>Queens Bay Bridge</v>
      </c>
      <c r="F34" s="1" t="s">
        <v>6958</v>
      </c>
      <c r="G34">
        <f t="shared" si="5"/>
        <v>40032</v>
      </c>
      <c r="H34">
        <f t="shared" si="2"/>
        <v>500032</v>
      </c>
      <c r="I34" t="s">
        <v>6687</v>
      </c>
      <c r="J34" t="s">
        <v>6510</v>
      </c>
      <c r="K34">
        <f>IFERROR(VLOOKUP(F34,Contacts.csv!C:D,2,FALSE),"")</f>
        <v>200137</v>
      </c>
      <c r="L34" t="str">
        <f t="shared" si="3"/>
        <v>rg:{'id':'200137'}</v>
      </c>
      <c r="M34" s="4" t="str">
        <f t="shared" si="4"/>
        <v>rg:[{'id':'200137'}]</v>
      </c>
      <c r="N34" t="s">
        <v>6510</v>
      </c>
      <c r="O34" t="s">
        <v>6510</v>
      </c>
      <c r="P34" t="s">
        <v>6510</v>
      </c>
      <c r="Q34" t="str">
        <f t="shared" ref="Q34:Q65" si="6">C34</f>
        <v>200000</v>
      </c>
    </row>
    <row r="35" spans="1:17" x14ac:dyDescent="0.3">
      <c r="A35" t="s">
        <v>5386</v>
      </c>
      <c r="B35" t="s">
        <v>2928</v>
      </c>
      <c r="C35" t="str">
        <f>VLOOKUP(B35,ServiceAreas.csv!C:J,8,FALSE)</f>
        <v>200000</v>
      </c>
      <c r="D35" t="str">
        <f t="shared" si="1"/>
        <v>rg{'id': '200000'}'</v>
      </c>
      <c r="E35" s="1" t="str">
        <f ca="1">MID(Names!G35,FIND(" ",Names!G35)+1,LEN(Names!G35)-FIND(" ", Names!G35))&amp;" "&amp;INDEX(PROJ_EXT_Name,RANDBETWEEN(2,12))</f>
        <v>102nd Avenue Expressway</v>
      </c>
      <c r="F35" s="1" t="s">
        <v>6902</v>
      </c>
      <c r="G35">
        <f t="shared" si="5"/>
        <v>40033</v>
      </c>
      <c r="H35">
        <f t="shared" si="2"/>
        <v>500033</v>
      </c>
      <c r="I35" t="s">
        <v>6687</v>
      </c>
      <c r="J35" t="s">
        <v>6510</v>
      </c>
      <c r="K35" t="str">
        <f>IFERROR(VLOOKUP(F35,Contacts.csv!C:D,2,FALSE),"")</f>
        <v/>
      </c>
      <c r="L35" t="str">
        <f t="shared" si="3"/>
        <v>rg:None</v>
      </c>
      <c r="M35" s="4" t="str">
        <f t="shared" si="4"/>
        <v>rg:[]</v>
      </c>
      <c r="N35" t="s">
        <v>6510</v>
      </c>
      <c r="O35" t="s">
        <v>6510</v>
      </c>
      <c r="P35" t="s">
        <v>6510</v>
      </c>
      <c r="Q35" t="str">
        <f t="shared" si="6"/>
        <v>200000</v>
      </c>
    </row>
    <row r="36" spans="1:17" x14ac:dyDescent="0.3">
      <c r="A36" t="s">
        <v>5386</v>
      </c>
      <c r="B36" t="s">
        <v>2928</v>
      </c>
      <c r="C36" t="str">
        <f>VLOOKUP(B36,ServiceAreas.csv!C:J,8,FALSE)</f>
        <v>200000</v>
      </c>
      <c r="D36" t="str">
        <f t="shared" si="1"/>
        <v>rg{'id': '200000'}'</v>
      </c>
      <c r="E36" s="1" t="str">
        <f ca="1">MID(Names!G37,FIND(" ",Names!G37)+1,LEN(Names!G37)-FIND(" ", Names!G37))&amp;" "&amp;INDEX(PROJ_EXT_Name,RANDBETWEEN(2,12))</f>
        <v>Blanshard HOV Lane</v>
      </c>
      <c r="F36" s="1" t="s">
        <v>6908</v>
      </c>
      <c r="G36">
        <f t="shared" si="5"/>
        <v>40034</v>
      </c>
      <c r="H36">
        <f>IF(ISNUMBER(#REF!),#REF!+1,500000)</f>
        <v>500000</v>
      </c>
      <c r="I36" t="s">
        <v>6687</v>
      </c>
      <c r="J36" t="s">
        <v>6510</v>
      </c>
      <c r="K36" t="str">
        <f>IFERROR(VLOOKUP(F36,Contacts.csv!C:D,2,FALSE),"")</f>
        <v/>
      </c>
      <c r="L36" t="str">
        <f t="shared" si="3"/>
        <v>rg:None</v>
      </c>
      <c r="M36" s="4" t="str">
        <f t="shared" si="4"/>
        <v>rg:[]</v>
      </c>
      <c r="N36" t="s">
        <v>6510</v>
      </c>
      <c r="O36" t="s">
        <v>6510</v>
      </c>
      <c r="P36" t="s">
        <v>6510</v>
      </c>
      <c r="Q36" t="str">
        <f t="shared" si="6"/>
        <v>200000</v>
      </c>
    </row>
    <row r="37" spans="1:17" x14ac:dyDescent="0.3">
      <c r="A37" t="s">
        <v>5386</v>
      </c>
      <c r="B37" t="s">
        <v>2953</v>
      </c>
      <c r="C37" t="str">
        <f>VLOOKUP(B37,ServiceAreas.csv!C:J,8,FALSE)</f>
        <v>200004</v>
      </c>
      <c r="D37" t="str">
        <f t="shared" si="1"/>
        <v>rg{'id': '200004'}'</v>
      </c>
      <c r="E37" s="1" t="str">
        <f ca="1">MID(Names!G41,FIND(" ",Names!G41)+1,LEN(Names!G41)-FIND(" ", Names!G41))&amp;" "&amp;INDEX(PROJ_EXT_Name,RANDBETWEEN(2,12))</f>
        <v>Cardero St Expressway</v>
      </c>
      <c r="F37" s="1" t="s">
        <v>6959</v>
      </c>
      <c r="G37">
        <f t="shared" si="5"/>
        <v>40035</v>
      </c>
      <c r="H37">
        <f>IF(ISNUMBER(#REF!),#REF!+1,500000)</f>
        <v>500000</v>
      </c>
      <c r="I37" t="s">
        <v>6687</v>
      </c>
      <c r="J37" t="s">
        <v>6510</v>
      </c>
      <c r="K37" t="str">
        <f>IFERROR(VLOOKUP(F37,Contacts.csv!C:D,2,FALSE),"")</f>
        <v/>
      </c>
      <c r="L37" t="str">
        <f t="shared" si="3"/>
        <v>rg:None</v>
      </c>
      <c r="M37" s="4" t="str">
        <f t="shared" si="4"/>
        <v>rg:[]</v>
      </c>
      <c r="N37" t="s">
        <v>6510</v>
      </c>
      <c r="O37" t="s">
        <v>6510</v>
      </c>
      <c r="P37" t="s">
        <v>6510</v>
      </c>
      <c r="Q37" t="str">
        <f t="shared" si="6"/>
        <v>200004</v>
      </c>
    </row>
    <row r="38" spans="1:17" x14ac:dyDescent="0.3">
      <c r="A38" t="s">
        <v>5386</v>
      </c>
      <c r="B38" t="s">
        <v>2953</v>
      </c>
      <c r="C38" t="str">
        <f>VLOOKUP(B38,ServiceAreas.csv!C:J,8,FALSE)</f>
        <v>200004</v>
      </c>
      <c r="D38" t="str">
        <f t="shared" si="1"/>
        <v>rg{'id': '200004'}'</v>
      </c>
      <c r="E38" s="1" t="str">
        <f ca="1">MID(Names!G43,FIND(" ",Names!G43)+1,LEN(Names!G43)-FIND(" ", Names!G43))&amp;" "&amp;INDEX(PROJ_EXT_Name,RANDBETWEEN(2,12))</f>
        <v>Old Spallumcheen Rd Overpass</v>
      </c>
      <c r="F38" s="1" t="s">
        <v>6960</v>
      </c>
      <c r="G38">
        <f t="shared" si="5"/>
        <v>40036</v>
      </c>
      <c r="H38">
        <f>IF(ISNUMBER(#REF!),#REF!+1,500000)</f>
        <v>500000</v>
      </c>
      <c r="I38" t="s">
        <v>6687</v>
      </c>
      <c r="J38" t="s">
        <v>6510</v>
      </c>
      <c r="K38" t="str">
        <f>IFERROR(VLOOKUP(F38,Contacts.csv!C:D,2,FALSE),"")</f>
        <v/>
      </c>
      <c r="L38" t="str">
        <f t="shared" si="3"/>
        <v>rg:None</v>
      </c>
      <c r="M38" s="4" t="str">
        <f t="shared" si="4"/>
        <v>rg:[]</v>
      </c>
      <c r="N38" t="s">
        <v>6510</v>
      </c>
      <c r="O38" t="s">
        <v>6510</v>
      </c>
      <c r="P38" t="s">
        <v>6510</v>
      </c>
      <c r="Q38" t="str">
        <f t="shared" si="6"/>
        <v>200004</v>
      </c>
    </row>
    <row r="39" spans="1:17" x14ac:dyDescent="0.3">
      <c r="A39" t="s">
        <v>5386</v>
      </c>
      <c r="B39" t="s">
        <v>2953</v>
      </c>
      <c r="C39" t="str">
        <f>VLOOKUP(B39,ServiceAreas.csv!C:J,8,FALSE)</f>
        <v>200004</v>
      </c>
      <c r="D39" t="str">
        <f t="shared" si="1"/>
        <v>rg{'id': '200004'}'</v>
      </c>
      <c r="E39" s="1" t="str">
        <f ca="1">MID(Names!G45,FIND(" ",Names!G45)+1,LEN(Names!G45)-FIND(" ", Names!G45))&amp;" "&amp;INDEX(PROJ_EXT_Name,RANDBETWEEN(2,12))</f>
        <v>Keith Road Extension</v>
      </c>
      <c r="F39" s="1" t="s">
        <v>6961</v>
      </c>
      <c r="G39">
        <f t="shared" si="5"/>
        <v>40037</v>
      </c>
      <c r="H39">
        <f>IF(ISNUMBER(#REF!),#REF!+1,500000)</f>
        <v>500000</v>
      </c>
      <c r="I39" t="s">
        <v>6687</v>
      </c>
      <c r="J39" t="s">
        <v>6510</v>
      </c>
      <c r="K39" t="str">
        <f>IFERROR(VLOOKUP(F39,Contacts.csv!C:D,2,FALSE),"")</f>
        <v/>
      </c>
      <c r="L39" t="str">
        <f t="shared" si="3"/>
        <v>rg:None</v>
      </c>
      <c r="M39" s="4" t="str">
        <f t="shared" si="4"/>
        <v>rg:[]</v>
      </c>
      <c r="N39" t="s">
        <v>6510</v>
      </c>
      <c r="O39" t="s">
        <v>6510</v>
      </c>
      <c r="P39" t="s">
        <v>6510</v>
      </c>
      <c r="Q39" t="str">
        <f t="shared" si="6"/>
        <v>200004</v>
      </c>
    </row>
    <row r="40" spans="1:17" x14ac:dyDescent="0.3">
      <c r="A40" t="s">
        <v>5386</v>
      </c>
      <c r="B40" t="s">
        <v>2953</v>
      </c>
      <c r="C40" t="str">
        <f>VLOOKUP(B40,ServiceAreas.csv!C:J,8,FALSE)</f>
        <v>200004</v>
      </c>
      <c r="D40" t="str">
        <f t="shared" si="1"/>
        <v>rg{'id': '200004'}'</v>
      </c>
      <c r="E40" s="1" t="str">
        <f ca="1">MID(Names!G46,FIND(" ",Names!G46)+1,LEN(Names!G46)-FIND(" ", Names!G46))&amp;" "&amp;INDEX(PROJ_EXT_Name,RANDBETWEEN(2,12))</f>
        <v>Burdett Avenue Building</v>
      </c>
      <c r="F40" s="1" t="s">
        <v>6928</v>
      </c>
      <c r="G40">
        <f t="shared" si="5"/>
        <v>40038</v>
      </c>
      <c r="H40">
        <f t="shared" si="2"/>
        <v>500001</v>
      </c>
      <c r="I40" t="s">
        <v>6687</v>
      </c>
      <c r="J40" t="s">
        <v>6510</v>
      </c>
      <c r="K40" t="str">
        <f>IFERROR(VLOOKUP(F40,Contacts.csv!C:D,2,FALSE),"")</f>
        <v/>
      </c>
      <c r="L40" t="str">
        <f t="shared" si="3"/>
        <v>rg:None</v>
      </c>
      <c r="M40" s="4" t="str">
        <f t="shared" si="4"/>
        <v>rg:[]</v>
      </c>
      <c r="N40" t="s">
        <v>6510</v>
      </c>
      <c r="O40" t="s">
        <v>6510</v>
      </c>
      <c r="P40" t="s">
        <v>6510</v>
      </c>
      <c r="Q40" t="str">
        <f t="shared" si="6"/>
        <v>200004</v>
      </c>
    </row>
    <row r="41" spans="1:17" x14ac:dyDescent="0.3">
      <c r="A41" t="s">
        <v>5386</v>
      </c>
      <c r="B41" t="s">
        <v>2953</v>
      </c>
      <c r="C41" t="str">
        <f>VLOOKUP(B41,ServiceAreas.csv!C:J,8,FALSE)</f>
        <v>200004</v>
      </c>
      <c r="D41" t="str">
        <f t="shared" si="1"/>
        <v>rg{'id': '200004'}'</v>
      </c>
      <c r="E41" s="1" t="str">
        <f ca="1">MID(Names!G48,FIND(" ",Names!G48)+1,LEN(Names!G48)-FIND(" ", Names!G48))&amp;" "&amp;INDEX(PROJ_EXT_Name,RANDBETWEEN(2,12))</f>
        <v>Coldstream Avenue Upgrade</v>
      </c>
      <c r="F41" s="1" t="s">
        <v>6923</v>
      </c>
      <c r="G41">
        <f t="shared" si="5"/>
        <v>40039</v>
      </c>
      <c r="H41">
        <f>IF(ISNUMBER(#REF!),#REF!+1,500000)</f>
        <v>500000</v>
      </c>
      <c r="I41" t="s">
        <v>6687</v>
      </c>
      <c r="J41" t="s">
        <v>6510</v>
      </c>
      <c r="K41" t="str">
        <f>IFERROR(VLOOKUP(F41,Contacts.csv!C:D,2,FALSE),"")</f>
        <v/>
      </c>
      <c r="L41" t="str">
        <f t="shared" si="3"/>
        <v>rg:None</v>
      </c>
      <c r="M41" s="4" t="str">
        <f t="shared" si="4"/>
        <v>rg:[]</v>
      </c>
      <c r="N41" t="s">
        <v>6510</v>
      </c>
      <c r="O41" t="s">
        <v>6510</v>
      </c>
      <c r="P41" t="s">
        <v>6510</v>
      </c>
      <c r="Q41" t="str">
        <f t="shared" si="6"/>
        <v>200004</v>
      </c>
    </row>
    <row r="42" spans="1:17" x14ac:dyDescent="0.3">
      <c r="A42" t="s">
        <v>5386</v>
      </c>
      <c r="B42" t="s">
        <v>2953</v>
      </c>
      <c r="C42" t="str">
        <f>VLOOKUP(B42,ServiceAreas.csv!C:J,8,FALSE)</f>
        <v>200004</v>
      </c>
      <c r="D42" t="str">
        <f t="shared" si="1"/>
        <v>rg{'id': '200004'}'</v>
      </c>
      <c r="E42" s="1" t="str">
        <f ca="1">MID(Names!G51,FIND(" ",Names!G51)+1,LEN(Names!G51)-FIND(" ", Names!G51))&amp;" "&amp;INDEX(PROJ_EXT_Name,RANDBETWEEN(2,12))</f>
        <v>Hardy Street Upgrade</v>
      </c>
      <c r="F42" s="1" t="s">
        <v>6930</v>
      </c>
      <c r="G42">
        <f t="shared" si="5"/>
        <v>40040</v>
      </c>
      <c r="H42">
        <f>IF(ISNUMBER(#REF!),#REF!+1,500000)</f>
        <v>500000</v>
      </c>
      <c r="I42" t="s">
        <v>6687</v>
      </c>
      <c r="J42" t="s">
        <v>6510</v>
      </c>
      <c r="K42" t="str">
        <f>IFERROR(VLOOKUP(F42,Contacts.csv!C:D,2,FALSE),"")</f>
        <v/>
      </c>
      <c r="L42" t="str">
        <f t="shared" si="3"/>
        <v>rg:None</v>
      </c>
      <c r="M42" s="4" t="str">
        <f t="shared" si="4"/>
        <v>rg:[]</v>
      </c>
      <c r="N42" t="s">
        <v>6510</v>
      </c>
      <c r="O42" t="s">
        <v>6510</v>
      </c>
      <c r="P42" t="s">
        <v>6510</v>
      </c>
      <c r="Q42" t="str">
        <f t="shared" si="6"/>
        <v>200004</v>
      </c>
    </row>
    <row r="43" spans="1:17" x14ac:dyDescent="0.3">
      <c r="A43" t="s">
        <v>5386</v>
      </c>
      <c r="B43" t="s">
        <v>2953</v>
      </c>
      <c r="C43" t="str">
        <f>VLOOKUP(B43,ServiceAreas.csv!C:J,8,FALSE)</f>
        <v>200004</v>
      </c>
      <c r="D43" t="str">
        <f t="shared" si="1"/>
        <v>rg{'id': '200004'}'</v>
      </c>
      <c r="E43" s="1" t="str">
        <f ca="1">MID(Names!G54,FIND(" ",Names!G54)+1,LEN(Names!G54)-FIND(" ", Names!G54))&amp;" "&amp;INDEX(PROJ_EXT_Name,RANDBETWEEN(2,12))</f>
        <v>Hastings Street Cloverleaf</v>
      </c>
      <c r="F43" s="1" t="s">
        <v>6962</v>
      </c>
      <c r="G43">
        <f t="shared" si="5"/>
        <v>40041</v>
      </c>
      <c r="H43">
        <f>IF(ISNUMBER(#REF!),#REF!+1,500000)</f>
        <v>500000</v>
      </c>
      <c r="I43" t="s">
        <v>6687</v>
      </c>
      <c r="J43" t="s">
        <v>6510</v>
      </c>
      <c r="K43" t="str">
        <f>IFERROR(VLOOKUP(F43,Contacts.csv!C:D,2,FALSE),"")</f>
        <v/>
      </c>
      <c r="L43" t="str">
        <f t="shared" si="3"/>
        <v>rg:None</v>
      </c>
      <c r="M43" s="4" t="str">
        <f t="shared" si="4"/>
        <v>rg:[]</v>
      </c>
      <c r="N43" t="s">
        <v>6510</v>
      </c>
      <c r="O43" t="s">
        <v>6510</v>
      </c>
      <c r="P43" t="s">
        <v>6510</v>
      </c>
      <c r="Q43" t="str">
        <f t="shared" si="6"/>
        <v>200004</v>
      </c>
    </row>
    <row r="44" spans="1:17" x14ac:dyDescent="0.3">
      <c r="A44" t="s">
        <v>5386</v>
      </c>
      <c r="B44" t="s">
        <v>22</v>
      </c>
      <c r="C44" t="str">
        <f>VLOOKUP(B44,ServiceAreas.csv!C:J,8,FALSE)</f>
        <v>200003</v>
      </c>
      <c r="D44" t="str">
        <f t="shared" si="1"/>
        <v>rg{'id': '200003'}'</v>
      </c>
      <c r="E44" s="1" t="str">
        <f ca="1">MID(Names!G57,FIND(" ",Names!G57)+1,LEN(Names!G57)-FIND(" ", Names!G57))&amp;" "&amp;INDEX(PROJ_EXT_Name,RANDBETWEEN(2,12))</f>
        <v>Alaska Hwy HOV Lane</v>
      </c>
      <c r="F44" s="1" t="s">
        <v>6913</v>
      </c>
      <c r="G44">
        <f t="shared" si="5"/>
        <v>40042</v>
      </c>
      <c r="H44">
        <f>IF(ISNUMBER(#REF!),#REF!+1,500000)</f>
        <v>500000</v>
      </c>
      <c r="I44" t="s">
        <v>6687</v>
      </c>
      <c r="J44" t="s">
        <v>6510</v>
      </c>
      <c r="K44" t="str">
        <f>IFERROR(VLOOKUP(F44,Contacts.csv!C:D,2,FALSE),"")</f>
        <v/>
      </c>
      <c r="L44" t="str">
        <f t="shared" si="3"/>
        <v>rg:None</v>
      </c>
      <c r="M44" s="4" t="str">
        <f t="shared" si="4"/>
        <v>rg:[]</v>
      </c>
      <c r="N44" t="s">
        <v>6510</v>
      </c>
      <c r="O44" t="s">
        <v>6510</v>
      </c>
      <c r="P44" t="s">
        <v>6510</v>
      </c>
      <c r="Q44" t="str">
        <f t="shared" si="6"/>
        <v>200003</v>
      </c>
    </row>
    <row r="45" spans="1:17" x14ac:dyDescent="0.3">
      <c r="A45" t="s">
        <v>5386</v>
      </c>
      <c r="B45" t="s">
        <v>22</v>
      </c>
      <c r="C45" t="str">
        <f>VLOOKUP(B45,ServiceAreas.csv!C:J,8,FALSE)</f>
        <v>200003</v>
      </c>
      <c r="D45" t="str">
        <f t="shared" si="1"/>
        <v>rg{'id': '200003'}'</v>
      </c>
      <c r="E45" s="1" t="str">
        <f ca="1">MID(Names!G58,FIND(" ",Names!G58)+1,LEN(Names!G58)-FIND(" ", Names!G58))&amp;" "&amp;INDEX(PROJ_EXT_Name,RANDBETWEEN(2,12))</f>
        <v>Burdett Avenue Expressway</v>
      </c>
      <c r="F45" s="1" t="s">
        <v>6963</v>
      </c>
      <c r="G45">
        <f t="shared" si="5"/>
        <v>40043</v>
      </c>
      <c r="H45">
        <f t="shared" si="2"/>
        <v>500001</v>
      </c>
      <c r="I45" t="s">
        <v>6687</v>
      </c>
      <c r="J45" t="s">
        <v>6510</v>
      </c>
      <c r="K45" t="str">
        <f>IFERROR(VLOOKUP(F45,Contacts.csv!C:D,2,FALSE),"")</f>
        <v/>
      </c>
      <c r="L45" t="str">
        <f t="shared" si="3"/>
        <v>rg:None</v>
      </c>
      <c r="M45" s="4" t="str">
        <f t="shared" si="4"/>
        <v>rg:[]</v>
      </c>
      <c r="N45" t="s">
        <v>6510</v>
      </c>
      <c r="O45" t="s">
        <v>6510</v>
      </c>
      <c r="P45" t="s">
        <v>6510</v>
      </c>
      <c r="Q45" t="str">
        <f t="shared" si="6"/>
        <v>200003</v>
      </c>
    </row>
    <row r="46" spans="1:17" x14ac:dyDescent="0.3">
      <c r="A46" t="s">
        <v>5386</v>
      </c>
      <c r="B46" t="s">
        <v>22</v>
      </c>
      <c r="C46" t="str">
        <f>VLOOKUP(B46,ServiceAreas.csv!C:J,8,FALSE)</f>
        <v>200003</v>
      </c>
      <c r="D46" t="str">
        <f t="shared" si="1"/>
        <v>rg{'id': '200003'}'</v>
      </c>
      <c r="E46" s="1" t="str">
        <f ca="1">MID(Names!G59,FIND(" ",Names!G59)+1,LEN(Names!G59)-FIND(" ", Names!G59))&amp;" "&amp;INDEX(PROJ_EXT_Name,RANDBETWEEN(2,12))</f>
        <v>James Street Expressway</v>
      </c>
      <c r="F46" s="1" t="s">
        <v>6964</v>
      </c>
      <c r="G46">
        <f t="shared" si="5"/>
        <v>40044</v>
      </c>
      <c r="H46">
        <f t="shared" si="2"/>
        <v>500002</v>
      </c>
      <c r="I46" t="s">
        <v>6687</v>
      </c>
      <c r="J46" t="s">
        <v>6510</v>
      </c>
      <c r="K46" t="str">
        <f>IFERROR(VLOOKUP(F46,Contacts.csv!C:D,2,FALSE),"")</f>
        <v/>
      </c>
      <c r="L46" t="str">
        <f t="shared" si="3"/>
        <v>rg:None</v>
      </c>
      <c r="M46" s="4" t="str">
        <f t="shared" si="4"/>
        <v>rg:[]</v>
      </c>
      <c r="N46" t="s">
        <v>6510</v>
      </c>
      <c r="O46" t="s">
        <v>6510</v>
      </c>
      <c r="P46" t="s">
        <v>6510</v>
      </c>
      <c r="Q46" t="str">
        <f t="shared" si="6"/>
        <v>200003</v>
      </c>
    </row>
    <row r="47" spans="1:17" x14ac:dyDescent="0.3">
      <c r="A47" t="s">
        <v>5386</v>
      </c>
      <c r="B47" t="s">
        <v>22</v>
      </c>
      <c r="C47" t="str">
        <f>VLOOKUP(B47,ServiceAreas.csv!C:J,8,FALSE)</f>
        <v>200003</v>
      </c>
      <c r="D47" t="str">
        <f t="shared" si="1"/>
        <v>rg{'id': '200003'}'</v>
      </c>
      <c r="E47" s="1" t="str">
        <f ca="1">MID(Names!G60,FIND(" ",Names!G60)+1,LEN(Names!G60)-FIND(" ", Names!G60))&amp;" "&amp;INDEX(PROJ_EXT_Name,RANDBETWEEN(2,12))</f>
        <v>Tolmie St Bypass</v>
      </c>
      <c r="F47" s="1" t="s">
        <v>6965</v>
      </c>
      <c r="G47">
        <f t="shared" si="5"/>
        <v>40045</v>
      </c>
      <c r="H47">
        <f t="shared" si="2"/>
        <v>500003</v>
      </c>
      <c r="I47" t="s">
        <v>6687</v>
      </c>
      <c r="J47" t="s">
        <v>6510</v>
      </c>
      <c r="K47" t="str">
        <f>IFERROR(VLOOKUP(F47,Contacts.csv!C:D,2,FALSE),"")</f>
        <v/>
      </c>
      <c r="L47" t="str">
        <f t="shared" si="3"/>
        <v>rg:None</v>
      </c>
      <c r="M47" s="4" t="str">
        <f t="shared" si="4"/>
        <v>rg:[]</v>
      </c>
      <c r="N47" t="s">
        <v>6510</v>
      </c>
      <c r="O47" t="s">
        <v>6510</v>
      </c>
      <c r="P47" t="s">
        <v>6510</v>
      </c>
      <c r="Q47" t="str">
        <f t="shared" si="6"/>
        <v>200003</v>
      </c>
    </row>
    <row r="48" spans="1:17" x14ac:dyDescent="0.3">
      <c r="A48" t="s">
        <v>5386</v>
      </c>
      <c r="B48" t="s">
        <v>22</v>
      </c>
      <c r="C48" t="str">
        <f>VLOOKUP(B48,ServiceAreas.csv!C:J,8,FALSE)</f>
        <v>200003</v>
      </c>
      <c r="D48" t="str">
        <f t="shared" si="1"/>
        <v>rg{'id': '200003'}'</v>
      </c>
      <c r="E48" s="1" t="str">
        <f ca="1">MID(Names!G64,FIND(" ",Names!G64)+1,LEN(Names!G64)-FIND(" ", Names!G64))&amp;" "&amp;INDEX(PROJ_EXT_Name,RANDBETWEEN(2,12))</f>
        <v>Sixth Street Bridge</v>
      </c>
      <c r="F48" s="1" t="s">
        <v>6966</v>
      </c>
      <c r="G48">
        <f t="shared" si="5"/>
        <v>40046</v>
      </c>
      <c r="H48">
        <f>IF(ISNUMBER(#REF!),#REF!+1,500000)</f>
        <v>500000</v>
      </c>
      <c r="I48" t="s">
        <v>6687</v>
      </c>
      <c r="J48" t="s">
        <v>6510</v>
      </c>
      <c r="K48" t="str">
        <f>IFERROR(VLOOKUP(F48,Contacts.csv!C:D,2,FALSE),"")</f>
        <v/>
      </c>
      <c r="L48" t="str">
        <f t="shared" si="3"/>
        <v>rg:None</v>
      </c>
      <c r="M48" s="4" t="str">
        <f t="shared" si="4"/>
        <v>rg:[]</v>
      </c>
      <c r="N48" t="s">
        <v>6510</v>
      </c>
      <c r="O48" t="s">
        <v>6510</v>
      </c>
      <c r="P48" t="s">
        <v>6510</v>
      </c>
      <c r="Q48" t="str">
        <f t="shared" si="6"/>
        <v>200003</v>
      </c>
    </row>
    <row r="49" spans="1:17" x14ac:dyDescent="0.3">
      <c r="A49" t="s">
        <v>5386</v>
      </c>
      <c r="B49" t="s">
        <v>22</v>
      </c>
      <c r="C49" t="str">
        <f>VLOOKUP(B49,ServiceAreas.csv!C:J,8,FALSE)</f>
        <v>200003</v>
      </c>
      <c r="D49" t="str">
        <f t="shared" si="1"/>
        <v>rg{'id': '200003'}'</v>
      </c>
      <c r="E49" s="1" t="str">
        <f ca="1">MID(Names!G65,FIND(" ",Names!G65)+1,LEN(Names!G65)-FIND(" ", Names!G65))&amp;" "&amp;INDEX(PROJ_EXT_Name,RANDBETWEEN(2,12))</f>
        <v>King George Hwy Extension</v>
      </c>
      <c r="F49" s="1" t="s">
        <v>6905</v>
      </c>
      <c r="G49">
        <f t="shared" si="5"/>
        <v>40047</v>
      </c>
      <c r="H49">
        <f t="shared" si="2"/>
        <v>500001</v>
      </c>
      <c r="I49" t="s">
        <v>6687</v>
      </c>
      <c r="J49" t="s">
        <v>6510</v>
      </c>
      <c r="K49" t="str">
        <f>IFERROR(VLOOKUP(F49,Contacts.csv!C:D,2,FALSE),"")</f>
        <v/>
      </c>
      <c r="L49" t="str">
        <f t="shared" si="3"/>
        <v>rg:None</v>
      </c>
      <c r="M49" s="4" t="str">
        <f t="shared" si="4"/>
        <v>rg:[]</v>
      </c>
      <c r="N49" t="s">
        <v>6510</v>
      </c>
      <c r="O49" t="s">
        <v>6510</v>
      </c>
      <c r="P49" t="s">
        <v>6510</v>
      </c>
      <c r="Q49" t="str">
        <f t="shared" si="6"/>
        <v>200003</v>
      </c>
    </row>
    <row r="50" spans="1:17" x14ac:dyDescent="0.3">
      <c r="A50" t="s">
        <v>5386</v>
      </c>
      <c r="B50" t="s">
        <v>22</v>
      </c>
      <c r="C50" t="str">
        <f>VLOOKUP(B50,ServiceAreas.csv!C:J,8,FALSE)</f>
        <v>200003</v>
      </c>
      <c r="D50" t="str">
        <f t="shared" ref="D50:D78" si="7">"rg{'id': '"&amp;C50&amp;"'}'"</f>
        <v>rg{'id': '200003'}'</v>
      </c>
      <c r="E50" s="1" t="str">
        <f ca="1">MID(Names!G67,FIND(" ",Names!G67)+1,LEN(Names!G67)-FIND(" ", Names!G67))&amp;" "&amp;INDEX(PROJ_EXT_Name,RANDBETWEEN(2,12))</f>
        <v>Stum Lake Road Extension</v>
      </c>
      <c r="F50" s="1" t="s">
        <v>6967</v>
      </c>
      <c r="G50">
        <f t="shared" si="5"/>
        <v>40048</v>
      </c>
      <c r="H50">
        <f>IF(ISNUMBER(#REF!),#REF!+1,500000)</f>
        <v>500000</v>
      </c>
      <c r="I50" t="s">
        <v>6687</v>
      </c>
      <c r="J50" t="s">
        <v>6510</v>
      </c>
      <c r="K50" t="str">
        <f>IFERROR(VLOOKUP(F50,Contacts.csv!C:D,2,FALSE),"")</f>
        <v/>
      </c>
      <c r="L50" t="str">
        <f t="shared" si="3"/>
        <v>rg:None</v>
      </c>
      <c r="M50" s="4" t="str">
        <f t="shared" si="4"/>
        <v>rg:[]</v>
      </c>
      <c r="N50" t="s">
        <v>6510</v>
      </c>
      <c r="O50" t="s">
        <v>6510</v>
      </c>
      <c r="P50" t="s">
        <v>6510</v>
      </c>
      <c r="Q50" t="str">
        <f t="shared" si="6"/>
        <v>200003</v>
      </c>
    </row>
    <row r="51" spans="1:17" x14ac:dyDescent="0.3">
      <c r="A51" t="s">
        <v>5386</v>
      </c>
      <c r="B51" t="s">
        <v>2952</v>
      </c>
      <c r="C51" t="str">
        <f>VLOOKUP(B51,ServiceAreas.csv!C:J,8,FALSE)</f>
        <v>200002</v>
      </c>
      <c r="D51" t="str">
        <f t="shared" si="7"/>
        <v>rg{'id': '200002'}'</v>
      </c>
      <c r="E51" s="1" t="str">
        <f ca="1">MID(Names!G69,FIND(" ",Names!G69)+1,LEN(Names!G69)-FIND(" ", Names!G69))&amp;" "&amp;INDEX(PROJ_EXT_Name,RANDBETWEEN(2,12))</f>
        <v>Tolmie St Bypass</v>
      </c>
      <c r="F51" s="1" t="s">
        <v>6968</v>
      </c>
      <c r="G51">
        <f t="shared" si="5"/>
        <v>40049</v>
      </c>
      <c r="H51">
        <f>IF(ISNUMBER(#REF!),#REF!+1,500000)</f>
        <v>500000</v>
      </c>
      <c r="I51" t="s">
        <v>6687</v>
      </c>
      <c r="J51" t="s">
        <v>6510</v>
      </c>
      <c r="K51" t="str">
        <f>IFERROR(VLOOKUP(F51,Contacts.csv!C:D,2,FALSE),"")</f>
        <v/>
      </c>
      <c r="L51" t="str">
        <f t="shared" ref="L51:L79" si="8">IF(ISNUMBER(K51),"rg:{'id':'" &amp; K51 &amp; "'}","rg:None")</f>
        <v>rg:None</v>
      </c>
      <c r="M51" s="4" t="str">
        <f t="shared" ref="M51:M79" si="9">IF(ISNUMBER(K51),"rg:[{'id':'" &amp; K51 &amp; "'}]","rg:[]")</f>
        <v>rg:[]</v>
      </c>
      <c r="N51" t="s">
        <v>6510</v>
      </c>
      <c r="O51" t="s">
        <v>6510</v>
      </c>
      <c r="P51" t="s">
        <v>6510</v>
      </c>
      <c r="Q51" t="str">
        <f t="shared" si="6"/>
        <v>200002</v>
      </c>
    </row>
    <row r="52" spans="1:17" x14ac:dyDescent="0.3">
      <c r="A52" t="s">
        <v>5386</v>
      </c>
      <c r="B52" t="s">
        <v>2952</v>
      </c>
      <c r="C52" t="str">
        <f>VLOOKUP(B52,ServiceAreas.csv!C:J,8,FALSE)</f>
        <v>200002</v>
      </c>
      <c r="D52" t="str">
        <f t="shared" si="7"/>
        <v>rg{'id': '200002'}'</v>
      </c>
      <c r="E52" s="1" t="str">
        <f ca="1">MID(Names!G72,FIND(" ",Names!G72)+1,LEN(Names!G72)-FIND(" ", Names!G72))&amp;" "&amp;INDEX(PROJ_EXT_Name,RANDBETWEEN(2,12))</f>
        <v>Coldstream Avenue Expressway</v>
      </c>
      <c r="F52" s="1" t="s">
        <v>6969</v>
      </c>
      <c r="G52">
        <f t="shared" si="5"/>
        <v>40050</v>
      </c>
      <c r="H52">
        <f>IF(ISNUMBER(#REF!),#REF!+1,500000)</f>
        <v>500000</v>
      </c>
      <c r="I52" t="s">
        <v>6687</v>
      </c>
      <c r="J52" t="s">
        <v>6510</v>
      </c>
      <c r="K52" t="str">
        <f>IFERROR(VLOOKUP(F52,Contacts.csv!C:D,2,FALSE),"")</f>
        <v/>
      </c>
      <c r="L52" t="str">
        <f t="shared" si="8"/>
        <v>rg:None</v>
      </c>
      <c r="M52" s="4" t="str">
        <f t="shared" si="9"/>
        <v>rg:[]</v>
      </c>
      <c r="N52" t="s">
        <v>6510</v>
      </c>
      <c r="O52" t="s">
        <v>6510</v>
      </c>
      <c r="P52" t="s">
        <v>6510</v>
      </c>
      <c r="Q52" t="str">
        <f t="shared" si="6"/>
        <v>200002</v>
      </c>
    </row>
    <row r="53" spans="1:17" x14ac:dyDescent="0.3">
      <c r="A53" t="s">
        <v>5386</v>
      </c>
      <c r="B53" t="s">
        <v>2952</v>
      </c>
      <c r="C53" t="str">
        <f>VLOOKUP(B53,ServiceAreas.csv!C:J,8,FALSE)</f>
        <v>200002</v>
      </c>
      <c r="D53" t="str">
        <f t="shared" si="7"/>
        <v>rg{'id': '200002'}'</v>
      </c>
      <c r="E53" s="1" t="str">
        <f ca="1">MID(Names!G73,FIND(" ",Names!G73)+1,LEN(Names!G73)-FIND(" ", Names!G73))&amp;" "&amp;INDEX(PROJ_EXT_Name,RANDBETWEEN(2,12))</f>
        <v>Lake City Way Bridge</v>
      </c>
      <c r="F53" s="1" t="s">
        <v>6910</v>
      </c>
      <c r="G53">
        <f t="shared" si="5"/>
        <v>40051</v>
      </c>
      <c r="H53">
        <f t="shared" ref="H53:H75" si="10">IF(ISNUMBER(H52),H52+1,500000)</f>
        <v>500001</v>
      </c>
      <c r="I53" t="s">
        <v>6687</v>
      </c>
      <c r="J53" t="s">
        <v>6510</v>
      </c>
      <c r="K53" t="str">
        <f>IFERROR(VLOOKUP(F53,Contacts.csv!C:D,2,FALSE),"")</f>
        <v/>
      </c>
      <c r="L53" t="str">
        <f t="shared" si="8"/>
        <v>rg:None</v>
      </c>
      <c r="M53" s="4" t="str">
        <f t="shared" si="9"/>
        <v>rg:[]</v>
      </c>
      <c r="N53" t="s">
        <v>6510</v>
      </c>
      <c r="O53" t="s">
        <v>6510</v>
      </c>
      <c r="P53" t="s">
        <v>6510</v>
      </c>
      <c r="Q53" t="str">
        <f t="shared" si="6"/>
        <v>200002</v>
      </c>
    </row>
    <row r="54" spans="1:17" x14ac:dyDescent="0.3">
      <c r="A54" t="s">
        <v>5386</v>
      </c>
      <c r="B54" t="s">
        <v>2952</v>
      </c>
      <c r="C54" t="str">
        <f>VLOOKUP(B54,ServiceAreas.csv!C:J,8,FALSE)</f>
        <v>200002</v>
      </c>
      <c r="D54" t="str">
        <f t="shared" si="7"/>
        <v>rg{'id': '200002'}'</v>
      </c>
      <c r="E54" s="1" t="str">
        <f ca="1">MID(Names!G75,FIND(" ",Names!G75)+1,LEN(Names!G75)-FIND(" ", Names!G75))&amp;" "&amp;INDEX(PROJ_EXT_Name,RANDBETWEEN(2,12))</f>
        <v>Essendene Avenue Overpass</v>
      </c>
      <c r="F54" s="1" t="s">
        <v>6909</v>
      </c>
      <c r="G54">
        <f t="shared" si="5"/>
        <v>40052</v>
      </c>
      <c r="H54">
        <f>IF(ISNUMBER(#REF!),#REF!+1,500000)</f>
        <v>500000</v>
      </c>
      <c r="I54" t="s">
        <v>6687</v>
      </c>
      <c r="J54" t="s">
        <v>6510</v>
      </c>
      <c r="K54" t="str">
        <f>IFERROR(VLOOKUP(F54,Contacts.csv!C:D,2,FALSE),"")</f>
        <v/>
      </c>
      <c r="L54" t="str">
        <f t="shared" si="8"/>
        <v>rg:None</v>
      </c>
      <c r="M54" s="4" t="str">
        <f t="shared" si="9"/>
        <v>rg:[]</v>
      </c>
      <c r="N54" t="s">
        <v>6510</v>
      </c>
      <c r="O54" t="s">
        <v>6510</v>
      </c>
      <c r="P54" t="s">
        <v>6510</v>
      </c>
      <c r="Q54" t="str">
        <f t="shared" si="6"/>
        <v>200002</v>
      </c>
    </row>
    <row r="55" spans="1:17" x14ac:dyDescent="0.3">
      <c r="A55" t="s">
        <v>5386</v>
      </c>
      <c r="B55" t="s">
        <v>2952</v>
      </c>
      <c r="C55" t="str">
        <f>VLOOKUP(B55,ServiceAreas.csv!C:J,8,FALSE)</f>
        <v>200002</v>
      </c>
      <c r="D55" t="str">
        <f t="shared" si="7"/>
        <v>rg{'id': '200002'}'</v>
      </c>
      <c r="E55" s="1" t="str">
        <f ca="1">MID(Names!G77,FIND(" ",Names!G77)+1,LEN(Names!G77)-FIND(" ", Names!G77))&amp;" "&amp;INDEX(PROJ_EXT_Name,RANDBETWEEN(2,12))</f>
        <v>Wallace Street Bypass</v>
      </c>
      <c r="F55" s="1" t="s">
        <v>6970</v>
      </c>
      <c r="G55">
        <f t="shared" si="5"/>
        <v>40053</v>
      </c>
      <c r="H55">
        <f>IF(ISNUMBER(#REF!),#REF!+1,500000)</f>
        <v>500000</v>
      </c>
      <c r="I55" t="s">
        <v>6687</v>
      </c>
      <c r="J55" t="s">
        <v>6510</v>
      </c>
      <c r="K55" t="str">
        <f>IFERROR(VLOOKUP(F55,Contacts.csv!C:D,2,FALSE),"")</f>
        <v/>
      </c>
      <c r="L55" t="str">
        <f t="shared" si="8"/>
        <v>rg:None</v>
      </c>
      <c r="M55" s="4" t="str">
        <f t="shared" si="9"/>
        <v>rg:[]</v>
      </c>
      <c r="N55" t="s">
        <v>6510</v>
      </c>
      <c r="O55" t="s">
        <v>6510</v>
      </c>
      <c r="P55" t="s">
        <v>6510</v>
      </c>
      <c r="Q55" t="str">
        <f t="shared" si="6"/>
        <v>200002</v>
      </c>
    </row>
    <row r="56" spans="1:17" x14ac:dyDescent="0.3">
      <c r="A56" t="s">
        <v>5386</v>
      </c>
      <c r="B56" t="s">
        <v>2952</v>
      </c>
      <c r="C56" t="str">
        <f>VLOOKUP(B56,ServiceAreas.csv!C:J,8,FALSE)</f>
        <v>200002</v>
      </c>
      <c r="D56" t="str">
        <f t="shared" si="7"/>
        <v>rg{'id': '200002'}'</v>
      </c>
      <c r="E56" s="1" t="str">
        <f ca="1">MID(Names!G81,FIND(" ",Names!G81)+1,LEN(Names!G81)-FIND(" ", Names!G81))&amp;" "&amp;INDEX(PROJ_EXT_Name,RANDBETWEEN(2,12))</f>
        <v>Shaughnessy St HOV Lane</v>
      </c>
      <c r="F56" s="1" t="s">
        <v>6971</v>
      </c>
      <c r="G56">
        <f t="shared" si="5"/>
        <v>40054</v>
      </c>
      <c r="H56">
        <f>IF(ISNUMBER(#REF!),#REF!+1,500000)</f>
        <v>500000</v>
      </c>
      <c r="I56" t="s">
        <v>6687</v>
      </c>
      <c r="J56" t="s">
        <v>6510</v>
      </c>
      <c r="K56" t="str">
        <f>IFERROR(VLOOKUP(F56,Contacts.csv!C:D,2,FALSE),"")</f>
        <v/>
      </c>
      <c r="L56" t="str">
        <f t="shared" si="8"/>
        <v>rg:None</v>
      </c>
      <c r="M56" s="4" t="str">
        <f t="shared" si="9"/>
        <v>rg:[]</v>
      </c>
      <c r="N56" t="s">
        <v>6510</v>
      </c>
      <c r="O56" t="s">
        <v>6510</v>
      </c>
      <c r="P56" t="s">
        <v>6510</v>
      </c>
      <c r="Q56" t="str">
        <f t="shared" si="6"/>
        <v>200002</v>
      </c>
    </row>
    <row r="57" spans="1:17" x14ac:dyDescent="0.3">
      <c r="A57" t="s">
        <v>5386</v>
      </c>
      <c r="B57" t="s">
        <v>2952</v>
      </c>
      <c r="C57" t="str">
        <f>VLOOKUP(B57,ServiceAreas.csv!C:J,8,FALSE)</f>
        <v>200002</v>
      </c>
      <c r="D57" t="str">
        <f t="shared" si="7"/>
        <v>rg{'id': '200002'}'</v>
      </c>
      <c r="E57" s="1" t="str">
        <f ca="1">MID(Names!G82,FIND(" ",Names!G82)+1,LEN(Names!G82)-FIND(" ", Names!G82))&amp;" "&amp;INDEX(PROJ_EXT_Name,RANDBETWEEN(2,12))</f>
        <v>Tchesinkut Lake Rd Express Lane</v>
      </c>
      <c r="F57" s="1" t="s">
        <v>6972</v>
      </c>
      <c r="G57">
        <f t="shared" si="5"/>
        <v>40055</v>
      </c>
      <c r="H57">
        <f t="shared" si="10"/>
        <v>500001</v>
      </c>
      <c r="I57" t="s">
        <v>6687</v>
      </c>
      <c r="J57" t="s">
        <v>6510</v>
      </c>
      <c r="K57" t="str">
        <f>IFERROR(VLOOKUP(F57,Contacts.csv!C:D,2,FALSE),"")</f>
        <v/>
      </c>
      <c r="L57" t="str">
        <f t="shared" si="8"/>
        <v>rg:None</v>
      </c>
      <c r="M57" s="4" t="str">
        <f t="shared" si="9"/>
        <v>rg:[]</v>
      </c>
      <c r="N57" t="s">
        <v>6510</v>
      </c>
      <c r="O57" t="s">
        <v>6510</v>
      </c>
      <c r="P57" t="s">
        <v>6510</v>
      </c>
      <c r="Q57" t="str">
        <f t="shared" si="6"/>
        <v>200002</v>
      </c>
    </row>
    <row r="58" spans="1:17" x14ac:dyDescent="0.3">
      <c r="A58" t="s">
        <v>5386</v>
      </c>
      <c r="B58" t="s">
        <v>2956</v>
      </c>
      <c r="C58" t="str">
        <f>VLOOKUP(B58,ServiceAreas.csv!C:J,8,FALSE)</f>
        <v>200007</v>
      </c>
      <c r="D58" t="str">
        <f t="shared" si="7"/>
        <v>rg{'id': '200007'}'</v>
      </c>
      <c r="E58" s="1" t="str">
        <f ca="1">MID(Names!G83,FIND(" ",Names!G83)+1,LEN(Names!G83)-FIND(" ", Names!G83))&amp;" "&amp;INDEX(PROJ_EXT_Name,RANDBETWEEN(2,12))</f>
        <v>Blind Bay Road HOV Lane</v>
      </c>
      <c r="F58" s="1" t="s">
        <v>6973</v>
      </c>
      <c r="G58">
        <f t="shared" si="5"/>
        <v>40056</v>
      </c>
      <c r="H58">
        <f t="shared" si="10"/>
        <v>500002</v>
      </c>
      <c r="I58" t="s">
        <v>6687</v>
      </c>
      <c r="J58" t="s">
        <v>6510</v>
      </c>
      <c r="K58" t="str">
        <f>IFERROR(VLOOKUP(F58,Contacts.csv!C:D,2,FALSE),"")</f>
        <v/>
      </c>
      <c r="L58" t="str">
        <f t="shared" si="8"/>
        <v>rg:None</v>
      </c>
      <c r="M58" s="4" t="str">
        <f t="shared" si="9"/>
        <v>rg:[]</v>
      </c>
      <c r="N58" t="s">
        <v>6510</v>
      </c>
      <c r="O58" t="s">
        <v>6510</v>
      </c>
      <c r="P58" t="s">
        <v>6510</v>
      </c>
      <c r="Q58" t="str">
        <f t="shared" si="6"/>
        <v>200007</v>
      </c>
    </row>
    <row r="59" spans="1:17" x14ac:dyDescent="0.3">
      <c r="A59" t="s">
        <v>5386</v>
      </c>
      <c r="B59" t="s">
        <v>2956</v>
      </c>
      <c r="C59" t="str">
        <f>VLOOKUP(B59,ServiceAreas.csv!C:J,8,FALSE)</f>
        <v>200007</v>
      </c>
      <c r="D59" t="str">
        <f t="shared" si="7"/>
        <v>rg{'id': '200007'}'</v>
      </c>
      <c r="E59" s="1" t="str">
        <f ca="1">MID(Names!G86,FIND(" ",Names!G86)+1,LEN(Names!G86)-FIND(" ", Names!G86))&amp;" "&amp;INDEX(PROJ_EXT_Name,RANDBETWEEN(2,12))</f>
        <v>Glover Road Bridge</v>
      </c>
      <c r="F59" s="1" t="s">
        <v>6974</v>
      </c>
      <c r="G59">
        <f t="shared" si="5"/>
        <v>40057</v>
      </c>
      <c r="H59">
        <f>IF(ISNUMBER(#REF!),#REF!+1,500000)</f>
        <v>500000</v>
      </c>
      <c r="I59" t="s">
        <v>6687</v>
      </c>
      <c r="J59" t="s">
        <v>6510</v>
      </c>
      <c r="K59" t="str">
        <f>IFERROR(VLOOKUP(F59,Contacts.csv!C:D,2,FALSE),"")</f>
        <v/>
      </c>
      <c r="L59" t="str">
        <f t="shared" si="8"/>
        <v>rg:None</v>
      </c>
      <c r="M59" s="4" t="str">
        <f t="shared" si="9"/>
        <v>rg:[]</v>
      </c>
      <c r="N59" t="s">
        <v>6510</v>
      </c>
      <c r="O59" t="s">
        <v>6510</v>
      </c>
      <c r="P59" t="s">
        <v>6510</v>
      </c>
      <c r="Q59" t="str">
        <f t="shared" si="6"/>
        <v>200007</v>
      </c>
    </row>
    <row r="60" spans="1:17" x14ac:dyDescent="0.3">
      <c r="A60" t="s">
        <v>5386</v>
      </c>
      <c r="B60" t="s">
        <v>2956</v>
      </c>
      <c r="C60" t="str">
        <f>VLOOKUP(B60,ServiceAreas.csv!C:J,8,FALSE)</f>
        <v>200007</v>
      </c>
      <c r="D60" t="str">
        <f t="shared" si="7"/>
        <v>rg{'id': '200007'}'</v>
      </c>
      <c r="E60" s="1" t="str">
        <f ca="1">MID(Names!G87,FIND(" ",Names!G87)+1,LEN(Names!G87)-FIND(" ", Names!G87))&amp;" "&amp;INDEX(PROJ_EXT_Name,RANDBETWEEN(2,12))</f>
        <v>Wellington Ave Extension</v>
      </c>
      <c r="F60" s="1" t="s">
        <v>6975</v>
      </c>
      <c r="G60">
        <f t="shared" si="5"/>
        <v>40058</v>
      </c>
      <c r="H60">
        <f t="shared" si="10"/>
        <v>500001</v>
      </c>
      <c r="I60" t="s">
        <v>6687</v>
      </c>
      <c r="J60" t="s">
        <v>6510</v>
      </c>
      <c r="K60" t="str">
        <f>IFERROR(VLOOKUP(F60,Contacts.csv!C:D,2,FALSE),"")</f>
        <v/>
      </c>
      <c r="L60" t="str">
        <f t="shared" si="8"/>
        <v>rg:None</v>
      </c>
      <c r="M60" s="4" t="str">
        <f t="shared" si="9"/>
        <v>rg:[]</v>
      </c>
      <c r="N60" t="s">
        <v>6510</v>
      </c>
      <c r="O60" t="s">
        <v>6510</v>
      </c>
      <c r="P60" t="s">
        <v>6510</v>
      </c>
      <c r="Q60" t="str">
        <f t="shared" si="6"/>
        <v>200007</v>
      </c>
    </row>
    <row r="61" spans="1:17" x14ac:dyDescent="0.3">
      <c r="A61" t="s">
        <v>5386</v>
      </c>
      <c r="B61" t="s">
        <v>2956</v>
      </c>
      <c r="C61" t="str">
        <f>VLOOKUP(B61,ServiceAreas.csv!C:J,8,FALSE)</f>
        <v>200007</v>
      </c>
      <c r="D61" t="str">
        <f t="shared" si="7"/>
        <v>rg{'id': '200007'}'</v>
      </c>
      <c r="E61" s="1" t="str">
        <f ca="1">MID(Names!G89,FIND(" ",Names!G89)+1,LEN(Names!G89)-FIND(" ", Names!G89))&amp;" "&amp;INDEX(PROJ_EXT_Name,RANDBETWEEN(2,12))</f>
        <v>Hastings Street Bridge</v>
      </c>
      <c r="F61" s="1" t="s">
        <v>6976</v>
      </c>
      <c r="G61">
        <f t="shared" si="5"/>
        <v>40059</v>
      </c>
      <c r="H61">
        <f>IF(ISNUMBER(#REF!),#REF!+1,500000)</f>
        <v>500000</v>
      </c>
      <c r="I61" t="s">
        <v>6687</v>
      </c>
      <c r="J61" t="s">
        <v>6510</v>
      </c>
      <c r="K61" t="str">
        <f>IFERROR(VLOOKUP(F61,Contacts.csv!C:D,2,FALSE),"")</f>
        <v/>
      </c>
      <c r="L61" t="str">
        <f t="shared" si="8"/>
        <v>rg:None</v>
      </c>
      <c r="M61" s="4" t="str">
        <f t="shared" si="9"/>
        <v>rg:[]</v>
      </c>
      <c r="N61" t="s">
        <v>6510</v>
      </c>
      <c r="O61" t="s">
        <v>6510</v>
      </c>
      <c r="P61" t="s">
        <v>6510</v>
      </c>
      <c r="Q61" t="str">
        <f t="shared" si="6"/>
        <v>200007</v>
      </c>
    </row>
    <row r="62" spans="1:17" x14ac:dyDescent="0.3">
      <c r="A62" t="s">
        <v>5386</v>
      </c>
      <c r="B62" t="s">
        <v>2956</v>
      </c>
      <c r="C62" t="str">
        <f>VLOOKUP(B62,ServiceAreas.csv!C:J,8,FALSE)</f>
        <v>200007</v>
      </c>
      <c r="D62" t="str">
        <f t="shared" si="7"/>
        <v>rg{'id': '200007'}'</v>
      </c>
      <c r="E62" s="1" t="str">
        <f ca="1">MID(Names!G90,FIND(" ",Names!G90)+1,LEN(Names!G90)-FIND(" ", Names!G90))&amp;" "&amp;INDEX(PROJ_EXT_Name,RANDBETWEEN(2,12))</f>
        <v>Tchesinkut Lake Rd Overpass</v>
      </c>
      <c r="F62" s="1" t="s">
        <v>6977</v>
      </c>
      <c r="G62">
        <f t="shared" si="5"/>
        <v>40060</v>
      </c>
      <c r="H62">
        <f t="shared" si="10"/>
        <v>500001</v>
      </c>
      <c r="I62" t="s">
        <v>6687</v>
      </c>
      <c r="J62" t="s">
        <v>6510</v>
      </c>
      <c r="K62" t="str">
        <f>IFERROR(VLOOKUP(F62,Contacts.csv!C:D,2,FALSE),"")</f>
        <v/>
      </c>
      <c r="L62" t="str">
        <f t="shared" si="8"/>
        <v>rg:None</v>
      </c>
      <c r="M62" s="4" t="str">
        <f t="shared" si="9"/>
        <v>rg:[]</v>
      </c>
      <c r="N62" t="s">
        <v>6510</v>
      </c>
      <c r="O62" t="s">
        <v>6510</v>
      </c>
      <c r="P62" t="s">
        <v>6510</v>
      </c>
      <c r="Q62" t="str">
        <f t="shared" si="6"/>
        <v>200007</v>
      </c>
    </row>
    <row r="63" spans="1:17" x14ac:dyDescent="0.3">
      <c r="A63" t="s">
        <v>5386</v>
      </c>
      <c r="B63" t="s">
        <v>2956</v>
      </c>
      <c r="C63" t="str">
        <f>VLOOKUP(B63,ServiceAreas.csv!C:J,8,FALSE)</f>
        <v>200007</v>
      </c>
      <c r="D63" t="str">
        <f t="shared" si="7"/>
        <v>rg{'id': '200007'}'</v>
      </c>
      <c r="E63" s="1" t="str">
        <f ca="1">MID(Names!G94,FIND(" ",Names!G94)+1,LEN(Names!G94)-FIND(" ", Names!G94))&amp;" "&amp;INDEX(PROJ_EXT_Name,RANDBETWEEN(2,12))</f>
        <v>Yoho Valley Road HOV Lane</v>
      </c>
      <c r="F63" s="1" t="s">
        <v>6978</v>
      </c>
      <c r="G63">
        <f t="shared" si="5"/>
        <v>40061</v>
      </c>
      <c r="H63">
        <f>IF(ISNUMBER(#REF!),#REF!+1,500000)</f>
        <v>500000</v>
      </c>
      <c r="I63" t="s">
        <v>6687</v>
      </c>
      <c r="J63" t="s">
        <v>6510</v>
      </c>
      <c r="K63" t="str">
        <f>IFERROR(VLOOKUP(F63,Contacts.csv!C:D,2,FALSE),"")</f>
        <v/>
      </c>
      <c r="L63" t="str">
        <f t="shared" si="8"/>
        <v>rg:None</v>
      </c>
      <c r="M63" s="4" t="str">
        <f t="shared" si="9"/>
        <v>rg:[]</v>
      </c>
      <c r="N63" t="s">
        <v>6510</v>
      </c>
      <c r="O63" t="s">
        <v>6510</v>
      </c>
      <c r="P63" t="s">
        <v>6510</v>
      </c>
      <c r="Q63" t="str">
        <f t="shared" si="6"/>
        <v>200007</v>
      </c>
    </row>
    <row r="64" spans="1:17" x14ac:dyDescent="0.3">
      <c r="A64" t="s">
        <v>5386</v>
      </c>
      <c r="B64" t="s">
        <v>2956</v>
      </c>
      <c r="C64" t="str">
        <f>VLOOKUP(B64,ServiceAreas.csv!C:J,8,FALSE)</f>
        <v>200007</v>
      </c>
      <c r="D64" t="str">
        <f t="shared" si="7"/>
        <v>rg{'id': '200007'}'</v>
      </c>
      <c r="E64" s="1" t="str">
        <f ca="1">MID(Names!G95,FIND(" ",Names!G95)+1,LEN(Names!G95)-FIND(" ", Names!G95))&amp;" "&amp;INDEX(PROJ_EXT_Name,RANDBETWEEN(2,12))</f>
        <v>Keith Road Upgrade</v>
      </c>
      <c r="F64" s="1" t="s">
        <v>6979</v>
      </c>
      <c r="G64">
        <f t="shared" si="5"/>
        <v>40062</v>
      </c>
      <c r="H64">
        <f t="shared" si="10"/>
        <v>500001</v>
      </c>
      <c r="I64" t="s">
        <v>6687</v>
      </c>
      <c r="J64" t="s">
        <v>6510</v>
      </c>
      <c r="K64" t="str">
        <f>IFERROR(VLOOKUP(F64,Contacts.csv!C:D,2,FALSE),"")</f>
        <v/>
      </c>
      <c r="L64" t="str">
        <f t="shared" si="8"/>
        <v>rg:None</v>
      </c>
      <c r="M64" s="4" t="str">
        <f t="shared" si="9"/>
        <v>rg:[]</v>
      </c>
      <c r="N64" t="s">
        <v>6510</v>
      </c>
      <c r="O64" t="s">
        <v>6510</v>
      </c>
      <c r="P64" t="s">
        <v>6510</v>
      </c>
      <c r="Q64" t="str">
        <f t="shared" si="6"/>
        <v>200007</v>
      </c>
    </row>
    <row r="65" spans="1:17" x14ac:dyDescent="0.3">
      <c r="A65" t="s">
        <v>5386</v>
      </c>
      <c r="B65" t="s">
        <v>2954</v>
      </c>
      <c r="C65" t="str">
        <f>VLOOKUP(B65,ServiceAreas.csv!C:J,8,FALSE)</f>
        <v>200005</v>
      </c>
      <c r="D65" t="str">
        <f t="shared" si="7"/>
        <v>rg{'id': '200005'}'</v>
      </c>
      <c r="E65" s="1" t="str">
        <f ca="1">MID(Names!G98,FIND(" ",Names!G98)+1,LEN(Names!G98)-FIND(" ", Names!G98))&amp;" "&amp;INDEX(PROJ_EXT_Name,RANDBETWEEN(2,12))</f>
        <v>Quayside Dr Bridge</v>
      </c>
      <c r="F65" s="1" t="s">
        <v>6980</v>
      </c>
      <c r="G65">
        <f t="shared" si="5"/>
        <v>40063</v>
      </c>
      <c r="H65">
        <f>IF(ISNUMBER(#REF!),#REF!+1,500000)</f>
        <v>500000</v>
      </c>
      <c r="I65" t="s">
        <v>6687</v>
      </c>
      <c r="J65" t="s">
        <v>6510</v>
      </c>
      <c r="K65" t="str">
        <f>IFERROR(VLOOKUP(F65,Contacts.csv!C:D,2,FALSE),"")</f>
        <v/>
      </c>
      <c r="L65" t="str">
        <f t="shared" si="8"/>
        <v>rg:None</v>
      </c>
      <c r="M65" s="4" t="str">
        <f t="shared" si="9"/>
        <v>rg:[]</v>
      </c>
      <c r="N65" t="s">
        <v>6510</v>
      </c>
      <c r="O65" t="s">
        <v>6510</v>
      </c>
      <c r="P65" t="s">
        <v>6510</v>
      </c>
      <c r="Q65" t="str">
        <f t="shared" si="6"/>
        <v>200005</v>
      </c>
    </row>
    <row r="66" spans="1:17" x14ac:dyDescent="0.3">
      <c r="A66" t="s">
        <v>5386</v>
      </c>
      <c r="B66" t="s">
        <v>2954</v>
      </c>
      <c r="C66" t="str">
        <f>VLOOKUP(B66,ServiceAreas.csv!C:J,8,FALSE)</f>
        <v>200005</v>
      </c>
      <c r="D66" t="str">
        <f t="shared" si="7"/>
        <v>rg{'id': '200005'}'</v>
      </c>
      <c r="E66" s="1" t="str">
        <f ca="1">MID(Names!G99,FIND(" ",Names!G99)+1,LEN(Names!G99)-FIND(" ", Names!G99))&amp;" "&amp;INDEX(PROJ_EXT_Name,RANDBETWEEN(2,12))</f>
        <v>Jade St HOV Lane</v>
      </c>
      <c r="F66" s="1" t="s">
        <v>6981</v>
      </c>
      <c r="G66">
        <f t="shared" si="5"/>
        <v>40064</v>
      </c>
      <c r="H66">
        <f t="shared" si="10"/>
        <v>500001</v>
      </c>
      <c r="I66" t="s">
        <v>6687</v>
      </c>
      <c r="J66" t="s">
        <v>6510</v>
      </c>
      <c r="K66" t="str">
        <f>IFERROR(VLOOKUP(F66,Contacts.csv!C:D,2,FALSE),"")</f>
        <v/>
      </c>
      <c r="L66" t="str">
        <f t="shared" si="8"/>
        <v>rg:None</v>
      </c>
      <c r="M66" s="4" t="str">
        <f t="shared" si="9"/>
        <v>rg:[]</v>
      </c>
      <c r="N66" t="s">
        <v>6510</v>
      </c>
      <c r="O66" t="s">
        <v>6510</v>
      </c>
      <c r="P66" t="s">
        <v>6510</v>
      </c>
      <c r="Q66" t="str">
        <f t="shared" ref="Q66:Q97" si="11">C66</f>
        <v>200005</v>
      </c>
    </row>
    <row r="67" spans="1:17" x14ac:dyDescent="0.3">
      <c r="A67" t="s">
        <v>5386</v>
      </c>
      <c r="B67" t="s">
        <v>2954</v>
      </c>
      <c r="C67" t="str">
        <f>VLOOKUP(B67,ServiceAreas.csv!C:J,8,FALSE)</f>
        <v>200005</v>
      </c>
      <c r="D67" t="str">
        <f t="shared" si="7"/>
        <v>rg{'id': '200005'}'</v>
      </c>
      <c r="E67" s="1" t="str">
        <f ca="1">MID(Names!G101,FIND(" ",Names!G101)+1,LEN(Names!G101)-FIND(" ", Names!G101))&amp;" "&amp;INDEX(PROJ_EXT_Name,RANDBETWEEN(2,12))</f>
        <v>Robson St Overpass</v>
      </c>
      <c r="F67" s="1" t="s">
        <v>6915</v>
      </c>
      <c r="G67">
        <f t="shared" si="5"/>
        <v>40065</v>
      </c>
      <c r="H67">
        <f>IF(ISNUMBER(#REF!),#REF!+1,500000)</f>
        <v>500000</v>
      </c>
      <c r="I67" t="s">
        <v>6687</v>
      </c>
      <c r="J67" t="s">
        <v>6510</v>
      </c>
      <c r="K67" t="str">
        <f>IFERROR(VLOOKUP(F67,Contacts.csv!C:D,2,FALSE),"")</f>
        <v/>
      </c>
      <c r="L67" t="str">
        <f t="shared" si="8"/>
        <v>rg:None</v>
      </c>
      <c r="M67" s="4" t="str">
        <f t="shared" si="9"/>
        <v>rg:[]</v>
      </c>
      <c r="N67" t="s">
        <v>6510</v>
      </c>
      <c r="O67" t="s">
        <v>6510</v>
      </c>
      <c r="P67" t="s">
        <v>6510</v>
      </c>
      <c r="Q67" t="str">
        <f t="shared" si="11"/>
        <v>200005</v>
      </c>
    </row>
    <row r="68" spans="1:17" x14ac:dyDescent="0.3">
      <c r="A68" t="s">
        <v>5386</v>
      </c>
      <c r="B68" t="s">
        <v>2954</v>
      </c>
      <c r="C68" t="str">
        <f>VLOOKUP(B68,ServiceAreas.csv!C:J,8,FALSE)</f>
        <v>200005</v>
      </c>
      <c r="D68" t="str">
        <f t="shared" si="7"/>
        <v>rg{'id': '200005'}'</v>
      </c>
      <c r="E68" s="1" t="str">
        <f ca="1">MID(Names!G104,FIND(" ",Names!G104)+1,LEN(Names!G104)-FIND(" ", Names!G104))&amp;" "&amp;INDEX(PROJ_EXT_Name,RANDBETWEEN(2,12))</f>
        <v>Carlson Road Bridge Replacement</v>
      </c>
      <c r="F68" s="1" t="s">
        <v>6982</v>
      </c>
      <c r="G68">
        <f t="shared" ref="G68:G131" si="12">G67+1</f>
        <v>40066</v>
      </c>
      <c r="H68">
        <f>IF(ISNUMBER(#REF!),#REF!+1,500000)</f>
        <v>500000</v>
      </c>
      <c r="I68" t="s">
        <v>6687</v>
      </c>
      <c r="J68" t="s">
        <v>6510</v>
      </c>
      <c r="K68" t="str">
        <f>IFERROR(VLOOKUP(F68,Contacts.csv!C:D,2,FALSE),"")</f>
        <v/>
      </c>
      <c r="L68" t="str">
        <f t="shared" si="8"/>
        <v>rg:None</v>
      </c>
      <c r="M68" s="4" t="str">
        <f t="shared" si="9"/>
        <v>rg:[]</v>
      </c>
      <c r="N68" t="s">
        <v>6510</v>
      </c>
      <c r="O68" t="s">
        <v>6510</v>
      </c>
      <c r="P68" t="s">
        <v>6510</v>
      </c>
      <c r="Q68" t="str">
        <f t="shared" si="11"/>
        <v>200005</v>
      </c>
    </row>
    <row r="69" spans="1:17" x14ac:dyDescent="0.3">
      <c r="A69" t="s">
        <v>5386</v>
      </c>
      <c r="B69" t="s">
        <v>2954</v>
      </c>
      <c r="C69" t="str">
        <f>VLOOKUP(B69,ServiceAreas.csv!C:J,8,FALSE)</f>
        <v>200005</v>
      </c>
      <c r="D69" t="str">
        <f t="shared" si="7"/>
        <v>rg{'id': '200005'}'</v>
      </c>
      <c r="E69" s="1" t="str">
        <f ca="1">MID(Names!G107,FIND(" ",Names!G107)+1,LEN(Names!G107)-FIND(" ", Names!G107))&amp;" "&amp;INDEX(PROJ_EXT_Name,RANDBETWEEN(2,12))</f>
        <v>McGill Road HOV Lane</v>
      </c>
      <c r="F69" s="1" t="s">
        <v>6983</v>
      </c>
      <c r="G69">
        <f t="shared" si="12"/>
        <v>40067</v>
      </c>
      <c r="H69">
        <f>IF(ISNUMBER(#REF!),#REF!+1,500000)</f>
        <v>500000</v>
      </c>
      <c r="I69" t="s">
        <v>6687</v>
      </c>
      <c r="J69" t="s">
        <v>6510</v>
      </c>
      <c r="K69" t="str">
        <f>IFERROR(VLOOKUP(F69,Contacts.csv!C:D,2,FALSE),"")</f>
        <v/>
      </c>
      <c r="L69" t="str">
        <f t="shared" si="8"/>
        <v>rg:None</v>
      </c>
      <c r="M69" s="4" t="str">
        <f t="shared" si="9"/>
        <v>rg:[]</v>
      </c>
      <c r="N69" t="s">
        <v>6510</v>
      </c>
      <c r="O69" t="s">
        <v>6510</v>
      </c>
      <c r="P69" t="s">
        <v>6510</v>
      </c>
      <c r="Q69" t="str">
        <f t="shared" si="11"/>
        <v>200005</v>
      </c>
    </row>
    <row r="70" spans="1:17" x14ac:dyDescent="0.3">
      <c r="A70" t="s">
        <v>5386</v>
      </c>
      <c r="B70" t="s">
        <v>2954</v>
      </c>
      <c r="C70" t="str">
        <f>VLOOKUP(B70,ServiceAreas.csv!C:J,8,FALSE)</f>
        <v>200005</v>
      </c>
      <c r="D70" t="str">
        <f t="shared" si="7"/>
        <v>rg{'id': '200005'}'</v>
      </c>
      <c r="E70" s="1" t="str">
        <f ca="1">MID(Names!G108,FIND(" ",Names!G108)+1,LEN(Names!G108)-FIND(" ", Names!G108))&amp;" "&amp;INDEX(PROJ_EXT_Name,RANDBETWEEN(2,12))</f>
        <v>Russell Avenue Express Lane</v>
      </c>
      <c r="F70" s="1" t="s">
        <v>6984</v>
      </c>
      <c r="G70">
        <f t="shared" si="12"/>
        <v>40068</v>
      </c>
      <c r="H70">
        <f t="shared" si="10"/>
        <v>500001</v>
      </c>
      <c r="I70" t="s">
        <v>6687</v>
      </c>
      <c r="J70" t="s">
        <v>6510</v>
      </c>
      <c r="K70" t="str">
        <f>IFERROR(VLOOKUP(F70,Contacts.csv!C:D,2,FALSE),"")</f>
        <v/>
      </c>
      <c r="L70" t="str">
        <f t="shared" si="8"/>
        <v>rg:None</v>
      </c>
      <c r="M70" s="4" t="str">
        <f t="shared" si="9"/>
        <v>rg:[]</v>
      </c>
      <c r="N70" t="s">
        <v>6510</v>
      </c>
      <c r="O70" t="s">
        <v>6510</v>
      </c>
      <c r="P70" t="s">
        <v>6510</v>
      </c>
      <c r="Q70" t="str">
        <f t="shared" si="11"/>
        <v>200005</v>
      </c>
    </row>
    <row r="71" spans="1:17" x14ac:dyDescent="0.3">
      <c r="A71" t="s">
        <v>5386</v>
      </c>
      <c r="B71" t="s">
        <v>2954</v>
      </c>
      <c r="C71" t="str">
        <f>VLOOKUP(B71,ServiceAreas.csv!C:J,8,FALSE)</f>
        <v>200005</v>
      </c>
      <c r="D71" t="str">
        <f t="shared" si="7"/>
        <v>rg{'id': '200005'}'</v>
      </c>
      <c r="E71" s="1" t="str">
        <f ca="1">MID(Names!G113,FIND(" ",Names!G113)+1,LEN(Names!G113)-FIND(" ", Names!G113))&amp;" "&amp;INDEX(PROJ_EXT_Name,RANDBETWEEN(2,12))</f>
        <v>Robson St Upgrade</v>
      </c>
      <c r="F71" s="1" t="s">
        <v>6921</v>
      </c>
      <c r="G71">
        <f t="shared" si="12"/>
        <v>40069</v>
      </c>
      <c r="H71">
        <f>IF(ISNUMBER(#REF!),#REF!+1,500000)</f>
        <v>500000</v>
      </c>
      <c r="I71" t="s">
        <v>6687</v>
      </c>
      <c r="J71" t="s">
        <v>6510</v>
      </c>
      <c r="K71" t="str">
        <f>IFERROR(VLOOKUP(F71,Contacts.csv!C:D,2,FALSE),"")</f>
        <v/>
      </c>
      <c r="L71" t="str">
        <f t="shared" si="8"/>
        <v>rg:None</v>
      </c>
      <c r="M71" s="4" t="str">
        <f t="shared" si="9"/>
        <v>rg:[]</v>
      </c>
      <c r="N71" t="s">
        <v>6510</v>
      </c>
      <c r="O71" t="s">
        <v>6510</v>
      </c>
      <c r="P71" t="s">
        <v>6510</v>
      </c>
      <c r="Q71" t="str">
        <f t="shared" si="11"/>
        <v>200005</v>
      </c>
    </row>
    <row r="72" spans="1:17" x14ac:dyDescent="0.3">
      <c r="A72" t="s">
        <v>5386</v>
      </c>
      <c r="B72" t="s">
        <v>2957</v>
      </c>
      <c r="C72" t="str">
        <f>VLOOKUP(B72,ServiceAreas.csv!C:J,8,FALSE)</f>
        <v>200009</v>
      </c>
      <c r="D72" t="str">
        <f t="shared" si="7"/>
        <v>rg{'id': '200009'}'</v>
      </c>
      <c r="E72" s="1" t="str">
        <f ca="1">MID(Names!G120,FIND(" ",Names!G120)+1,LEN(Names!G120)-FIND(" ", Names!G120))&amp;" "&amp;INDEX(PROJ_EXT_Name,RANDBETWEEN(2,12))</f>
        <v>Haaglund Rd Express Lane</v>
      </c>
      <c r="F72" s="1" t="s">
        <v>6985</v>
      </c>
      <c r="G72">
        <f t="shared" si="12"/>
        <v>40070</v>
      </c>
      <c r="H72">
        <f>IF(ISNUMBER(#REF!),#REF!+1,500000)</f>
        <v>500000</v>
      </c>
      <c r="I72" t="s">
        <v>6687</v>
      </c>
      <c r="J72" t="s">
        <v>6510</v>
      </c>
      <c r="K72" t="str">
        <f>IFERROR(VLOOKUP(F72,Contacts.csv!C:D,2,FALSE),"")</f>
        <v/>
      </c>
      <c r="L72" t="str">
        <f t="shared" si="8"/>
        <v>rg:None</v>
      </c>
      <c r="M72" s="4" t="str">
        <f t="shared" si="9"/>
        <v>rg:[]</v>
      </c>
      <c r="N72" t="s">
        <v>6510</v>
      </c>
      <c r="O72" t="s">
        <v>6510</v>
      </c>
      <c r="P72" t="s">
        <v>6510</v>
      </c>
      <c r="Q72" t="str">
        <f t="shared" si="11"/>
        <v>200009</v>
      </c>
    </row>
    <row r="73" spans="1:17" x14ac:dyDescent="0.3">
      <c r="A73" t="s">
        <v>5386</v>
      </c>
      <c r="B73" t="s">
        <v>2957</v>
      </c>
      <c r="C73" t="str">
        <f>VLOOKUP(B73,ServiceAreas.csv!C:J,8,FALSE)</f>
        <v>200009</v>
      </c>
      <c r="D73" t="str">
        <f t="shared" si="7"/>
        <v>rg{'id': '200009'}'</v>
      </c>
      <c r="E73" s="1" t="str">
        <f ca="1">MID(Names!G121,FIND(" ",Names!G121)+1,LEN(Names!G121)-FIND(" ", Names!G121))&amp;" "&amp;INDEX(PROJ_EXT_Name,RANDBETWEEN(2,12))</f>
        <v>Tchesinkut Lake Rd Bypass</v>
      </c>
      <c r="F73" s="1" t="s">
        <v>6986</v>
      </c>
      <c r="G73">
        <f t="shared" si="12"/>
        <v>40071</v>
      </c>
      <c r="H73">
        <f t="shared" si="10"/>
        <v>500001</v>
      </c>
      <c r="I73" t="s">
        <v>6687</v>
      </c>
      <c r="J73" t="s">
        <v>6510</v>
      </c>
      <c r="K73" t="str">
        <f>IFERROR(VLOOKUP(F73,Contacts.csv!C:D,2,FALSE),"")</f>
        <v/>
      </c>
      <c r="L73" t="str">
        <f t="shared" si="8"/>
        <v>rg:None</v>
      </c>
      <c r="M73" s="4" t="str">
        <f t="shared" si="9"/>
        <v>rg:[]</v>
      </c>
      <c r="N73" t="s">
        <v>6510</v>
      </c>
      <c r="O73" t="s">
        <v>6510</v>
      </c>
      <c r="P73" t="s">
        <v>6510</v>
      </c>
      <c r="Q73" t="str">
        <f t="shared" si="11"/>
        <v>200009</v>
      </c>
    </row>
    <row r="74" spans="1:17" x14ac:dyDescent="0.3">
      <c r="A74" t="s">
        <v>5386</v>
      </c>
      <c r="B74" t="s">
        <v>2957</v>
      </c>
      <c r="C74" t="str">
        <f>VLOOKUP(B74,ServiceAreas.csv!C:J,8,FALSE)</f>
        <v>200009</v>
      </c>
      <c r="D74" t="str">
        <f t="shared" si="7"/>
        <v>rg{'id': '200009'}'</v>
      </c>
      <c r="E74" s="1" t="str">
        <f ca="1">MID(Names!G123,FIND(" ",Names!G123)+1,LEN(Names!G123)-FIND(" ", Names!G123))&amp;" "&amp;INDEX(PROJ_EXT_Name,RANDBETWEEN(2,12))</f>
        <v>Glover Road Bridge Replacement</v>
      </c>
      <c r="F74" s="1" t="s">
        <v>6987</v>
      </c>
      <c r="G74">
        <f t="shared" si="12"/>
        <v>40072</v>
      </c>
      <c r="H74">
        <f>IF(ISNUMBER(#REF!),#REF!+1,500000)</f>
        <v>500000</v>
      </c>
      <c r="I74" t="s">
        <v>6687</v>
      </c>
      <c r="J74" t="s">
        <v>6510</v>
      </c>
      <c r="K74" t="str">
        <f>IFERROR(VLOOKUP(F74,Contacts.csv!C:D,2,FALSE),"")</f>
        <v/>
      </c>
      <c r="L74" t="str">
        <f t="shared" si="8"/>
        <v>rg:None</v>
      </c>
      <c r="M74" s="4" t="str">
        <f t="shared" si="9"/>
        <v>rg:[]</v>
      </c>
      <c r="N74" t="s">
        <v>6510</v>
      </c>
      <c r="O74" t="s">
        <v>6510</v>
      </c>
      <c r="P74" t="s">
        <v>6510</v>
      </c>
      <c r="Q74" t="str">
        <f t="shared" si="11"/>
        <v>200009</v>
      </c>
    </row>
    <row r="75" spans="1:17" x14ac:dyDescent="0.3">
      <c r="A75" t="s">
        <v>5386</v>
      </c>
      <c r="B75" t="s">
        <v>2957</v>
      </c>
      <c r="C75" t="str">
        <f>VLOOKUP(B75,ServiceAreas.csv!C:J,8,FALSE)</f>
        <v>200009</v>
      </c>
      <c r="D75" t="str">
        <f t="shared" si="7"/>
        <v>rg{'id': '200009'}'</v>
      </c>
      <c r="E75" s="1" t="str">
        <f ca="1">MID(Names!G124,FIND(" ",Names!G124)+1,LEN(Names!G124)-FIND(" ", Names!G124))&amp;" "&amp;INDEX(PROJ_EXT_Name,RANDBETWEEN(2,12))</f>
        <v>Stum Lake Road Bypass</v>
      </c>
      <c r="F75" s="1" t="s">
        <v>6988</v>
      </c>
      <c r="G75">
        <f t="shared" si="12"/>
        <v>40073</v>
      </c>
      <c r="H75">
        <f t="shared" si="10"/>
        <v>500001</v>
      </c>
      <c r="I75" t="s">
        <v>6687</v>
      </c>
      <c r="J75" t="s">
        <v>6510</v>
      </c>
      <c r="K75" t="str">
        <f>IFERROR(VLOOKUP(F75,Contacts.csv!C:D,2,FALSE),"")</f>
        <v/>
      </c>
      <c r="L75" t="str">
        <f t="shared" si="8"/>
        <v>rg:None</v>
      </c>
      <c r="M75" s="4" t="str">
        <f t="shared" si="9"/>
        <v>rg:[]</v>
      </c>
      <c r="N75" t="s">
        <v>6510</v>
      </c>
      <c r="O75" t="s">
        <v>6510</v>
      </c>
      <c r="P75" t="s">
        <v>6510</v>
      </c>
      <c r="Q75" t="str">
        <f t="shared" si="11"/>
        <v>200009</v>
      </c>
    </row>
    <row r="76" spans="1:17" x14ac:dyDescent="0.3">
      <c r="A76" t="s">
        <v>5386</v>
      </c>
      <c r="B76" t="s">
        <v>2957</v>
      </c>
      <c r="C76" t="str">
        <f>VLOOKUP(B76,ServiceAreas.csv!C:J,8,FALSE)</f>
        <v>200009</v>
      </c>
      <c r="D76" t="str">
        <f t="shared" si="7"/>
        <v>rg{'id': '200009'}'</v>
      </c>
      <c r="E76" s="1" t="str">
        <f ca="1">MID(Names!G126,FIND(" ",Names!G126)+1,LEN(Names!G126)-FIND(" ", Names!G126))&amp;" "&amp;INDEX(PROJ_EXT_Name,RANDBETWEEN(2,12))</f>
        <v>Shaughnessy St Building</v>
      </c>
      <c r="F76" s="1" t="s">
        <v>6989</v>
      </c>
      <c r="G76">
        <f t="shared" si="12"/>
        <v>40074</v>
      </c>
      <c r="H76">
        <f>IF(ISNUMBER(#REF!),#REF!+1,500000)</f>
        <v>500000</v>
      </c>
      <c r="I76" t="s">
        <v>6687</v>
      </c>
      <c r="J76" t="s">
        <v>6510</v>
      </c>
      <c r="K76" t="str">
        <f>IFERROR(VLOOKUP(F76,Contacts.csv!C:D,2,FALSE),"")</f>
        <v/>
      </c>
      <c r="L76" t="str">
        <f t="shared" si="8"/>
        <v>rg:None</v>
      </c>
      <c r="M76" s="4" t="str">
        <f t="shared" si="9"/>
        <v>rg:[]</v>
      </c>
      <c r="N76" t="s">
        <v>6510</v>
      </c>
      <c r="O76" t="s">
        <v>6510</v>
      </c>
      <c r="P76" t="s">
        <v>6510</v>
      </c>
      <c r="Q76" t="str">
        <f t="shared" si="11"/>
        <v>200009</v>
      </c>
    </row>
    <row r="77" spans="1:17" x14ac:dyDescent="0.3">
      <c r="A77" t="s">
        <v>5386</v>
      </c>
      <c r="B77" t="s">
        <v>2957</v>
      </c>
      <c r="C77" t="str">
        <f>VLOOKUP(B77,ServiceAreas.csv!C:J,8,FALSE)</f>
        <v>200009</v>
      </c>
      <c r="D77" t="str">
        <f t="shared" si="7"/>
        <v>rg{'id': '200009'}'</v>
      </c>
      <c r="E77" s="1" t="str">
        <f ca="1">MID(Names!G128,FIND(" ",Names!G128)+1,LEN(Names!G128)-FIND(" ", Names!G128))&amp;" "&amp;INDEX(PROJ_EXT_Name,RANDBETWEEN(2,12))</f>
        <v>Shaughnessy St Upgrade</v>
      </c>
      <c r="F77" s="1" t="s">
        <v>6990</v>
      </c>
      <c r="G77">
        <f t="shared" si="12"/>
        <v>40075</v>
      </c>
      <c r="H77">
        <f>IF(ISNUMBER(#REF!),#REF!+1,500000)</f>
        <v>500000</v>
      </c>
      <c r="I77" t="s">
        <v>6687</v>
      </c>
      <c r="J77" t="s">
        <v>6510</v>
      </c>
      <c r="K77" t="str">
        <f>IFERROR(VLOOKUP(F77,Contacts.csv!C:D,2,FALSE),"")</f>
        <v/>
      </c>
      <c r="L77" t="str">
        <f t="shared" si="8"/>
        <v>rg:None</v>
      </c>
      <c r="M77" s="4" t="str">
        <f t="shared" si="9"/>
        <v>rg:[]</v>
      </c>
      <c r="N77" t="s">
        <v>6510</v>
      </c>
      <c r="O77" t="s">
        <v>6510</v>
      </c>
      <c r="P77" t="s">
        <v>6510</v>
      </c>
      <c r="Q77" t="str">
        <f t="shared" si="11"/>
        <v>200009</v>
      </c>
    </row>
    <row r="78" spans="1:17" x14ac:dyDescent="0.3">
      <c r="A78" t="s">
        <v>5386</v>
      </c>
      <c r="B78" t="s">
        <v>2957</v>
      </c>
      <c r="C78" t="str">
        <f>VLOOKUP(B78,ServiceAreas.csv!C:J,8,FALSE)</f>
        <v>200009</v>
      </c>
      <c r="D78" t="str">
        <f t="shared" si="7"/>
        <v>rg{'id': '200009'}'</v>
      </c>
      <c r="E78" s="1" t="str">
        <f ca="1">MID(Names!G130,FIND(" ",Names!G130)+1,LEN(Names!G130)-FIND(" ", Names!G130))&amp;" "&amp;INDEX(PROJ_EXT_Name,RANDBETWEEN(2,12))</f>
        <v>Mesa Vista Drive Cloverleaf</v>
      </c>
      <c r="F78" s="1" t="s">
        <v>6991</v>
      </c>
      <c r="G78">
        <f t="shared" si="12"/>
        <v>40076</v>
      </c>
      <c r="H78">
        <f>IF(ISNUMBER(#REF!),#REF!+1,500000)</f>
        <v>500000</v>
      </c>
      <c r="I78" t="s">
        <v>6687</v>
      </c>
      <c r="J78" t="s">
        <v>6510</v>
      </c>
      <c r="K78" t="str">
        <f>IFERROR(VLOOKUP(F78,Contacts.csv!C:D,2,FALSE),"")</f>
        <v/>
      </c>
      <c r="L78" t="str">
        <f t="shared" si="8"/>
        <v>rg:None</v>
      </c>
      <c r="M78" s="4" t="str">
        <f t="shared" si="9"/>
        <v>rg:[]</v>
      </c>
      <c r="N78" t="s">
        <v>6510</v>
      </c>
      <c r="O78" t="s">
        <v>6510</v>
      </c>
      <c r="P78" t="s">
        <v>6510</v>
      </c>
      <c r="Q78" t="str">
        <f t="shared" si="11"/>
        <v>200009</v>
      </c>
    </row>
    <row r="79" spans="1:17" x14ac:dyDescent="0.3">
      <c r="A79" t="s">
        <v>5386</v>
      </c>
      <c r="B79" t="s">
        <v>2957</v>
      </c>
      <c r="C79" t="str">
        <f>VLOOKUP(B79,ServiceAreas.csv!C:J,8,FALSE)</f>
        <v>200009</v>
      </c>
      <c r="D79" t="str">
        <f t="shared" ref="D79:D108" si="13">"rg{'id': '"&amp;C79&amp;"'}'"</f>
        <v>rg{'id': '200009'}'</v>
      </c>
      <c r="E79" s="1" t="str">
        <f ca="1">MID(Names!G132,FIND(" ",Names!G132)+1,LEN(Names!G132)-FIND(" ", Names!G132))&amp;" "&amp;INDEX(PROJ_EXT_Name,RANDBETWEEN(2,12))</f>
        <v>Roger Street Extension</v>
      </c>
      <c r="F79" s="1" t="s">
        <v>6901</v>
      </c>
      <c r="G79">
        <f t="shared" si="12"/>
        <v>40077</v>
      </c>
      <c r="H79">
        <f>IF(ISNUMBER(#REF!),#REF!+1,500000)</f>
        <v>500000</v>
      </c>
      <c r="I79" t="s">
        <v>6687</v>
      </c>
      <c r="J79" t="s">
        <v>6510</v>
      </c>
      <c r="K79" t="str">
        <f>IFERROR(VLOOKUP(F79,Contacts.csv!C:D,2,FALSE),"")</f>
        <v/>
      </c>
      <c r="L79" t="str">
        <f t="shared" si="8"/>
        <v>rg:None</v>
      </c>
      <c r="M79" s="4" t="str">
        <f t="shared" si="9"/>
        <v>rg:[]</v>
      </c>
      <c r="N79" t="s">
        <v>6510</v>
      </c>
      <c r="O79" t="s">
        <v>6510</v>
      </c>
      <c r="P79" t="s">
        <v>6510</v>
      </c>
      <c r="Q79" t="str">
        <f t="shared" si="11"/>
        <v>200009</v>
      </c>
    </row>
    <row r="80" spans="1:17" x14ac:dyDescent="0.3">
      <c r="A80" t="s">
        <v>5386</v>
      </c>
      <c r="B80" t="s">
        <v>2957</v>
      </c>
      <c r="C80" t="str">
        <f>VLOOKUP(B80,ServiceAreas.csv!C:J,8,FALSE)</f>
        <v>200009</v>
      </c>
      <c r="D80" t="str">
        <f t="shared" si="13"/>
        <v>rg{'id': '200009'}'</v>
      </c>
      <c r="E80" s="1" t="str">
        <f ca="1">MID(Names!G139,FIND(" ",Names!G139)+1,LEN(Names!G139)-FIND(" ", Names!G139))&amp;" "&amp;INDEX(PROJ_EXT_Name,RANDBETWEEN(2,12))</f>
        <v>Stum Lake Road Bypass</v>
      </c>
      <c r="F80" s="1" t="s">
        <v>6896</v>
      </c>
      <c r="G80">
        <f t="shared" si="12"/>
        <v>40078</v>
      </c>
      <c r="H80">
        <f>IF(ISNUMBER(#REF!),#REF!+1,500000)</f>
        <v>500000</v>
      </c>
      <c r="I80" t="s">
        <v>6687</v>
      </c>
      <c r="J80" t="s">
        <v>6510</v>
      </c>
      <c r="K80" t="str">
        <f>IFERROR(VLOOKUP(F80,Contacts.csv!C:D,2,FALSE),"")</f>
        <v/>
      </c>
      <c r="L80" t="str">
        <f t="shared" ref="L80:L112" si="14">IF(ISNUMBER(K80),"rg:{'id':'" &amp; K80 &amp; "'}","rg:None")</f>
        <v>rg:None</v>
      </c>
      <c r="M80" s="4" t="str">
        <f t="shared" ref="M80:M112" si="15">IF(ISNUMBER(K80),"rg:[{'id':'" &amp; K80 &amp; "'}]","rg:[]")</f>
        <v>rg:[]</v>
      </c>
      <c r="N80" t="s">
        <v>6510</v>
      </c>
      <c r="O80" t="s">
        <v>6510</v>
      </c>
      <c r="P80" t="s">
        <v>6510</v>
      </c>
      <c r="Q80" t="str">
        <f t="shared" si="11"/>
        <v>200009</v>
      </c>
    </row>
    <row r="81" spans="1:17" x14ac:dyDescent="0.3">
      <c r="A81" t="s">
        <v>5386</v>
      </c>
      <c r="B81" t="s">
        <v>2957</v>
      </c>
      <c r="C81" t="str">
        <f>VLOOKUP(B81,ServiceAreas.csv!C:J,8,FALSE)</f>
        <v>200009</v>
      </c>
      <c r="D81" t="str">
        <f t="shared" si="13"/>
        <v>rg{'id': '200009'}'</v>
      </c>
      <c r="E81" s="1" t="str">
        <f ca="1">MID(Names!G140,FIND(" ",Names!G140)+1,LEN(Names!G140)-FIND(" ", Names!G140))&amp;" "&amp;INDEX(PROJ_EXT_Name,RANDBETWEEN(2,12))</f>
        <v>Blind Bay Road Overpass</v>
      </c>
      <c r="F81" s="1" t="s">
        <v>6992</v>
      </c>
      <c r="G81">
        <f t="shared" si="12"/>
        <v>40079</v>
      </c>
      <c r="H81">
        <f t="shared" ref="H81:H107" si="16">IF(ISNUMBER(H80),H80+1,500000)</f>
        <v>500001</v>
      </c>
      <c r="I81" t="s">
        <v>6687</v>
      </c>
      <c r="J81" t="s">
        <v>6510</v>
      </c>
      <c r="K81" t="str">
        <f>IFERROR(VLOOKUP(F81,Contacts.csv!C:D,2,FALSE),"")</f>
        <v/>
      </c>
      <c r="L81" t="str">
        <f t="shared" si="14"/>
        <v>rg:None</v>
      </c>
      <c r="M81" s="4" t="str">
        <f t="shared" si="15"/>
        <v>rg:[]</v>
      </c>
      <c r="N81" t="s">
        <v>6510</v>
      </c>
      <c r="O81" t="s">
        <v>6510</v>
      </c>
      <c r="P81" t="s">
        <v>6510</v>
      </c>
      <c r="Q81" t="str">
        <f t="shared" si="11"/>
        <v>200009</v>
      </c>
    </row>
    <row r="82" spans="1:17" x14ac:dyDescent="0.3">
      <c r="A82" t="s">
        <v>5386</v>
      </c>
      <c r="B82" t="s">
        <v>2957</v>
      </c>
      <c r="C82" t="str">
        <f>VLOOKUP(B82,ServiceAreas.csv!C:J,8,FALSE)</f>
        <v>200009</v>
      </c>
      <c r="D82" t="str">
        <f t="shared" si="13"/>
        <v>rg{'id': '200009'}'</v>
      </c>
      <c r="E82" s="1" t="str">
        <f ca="1">MID(Names!G141,FIND(" ",Names!G141)+1,LEN(Names!G141)-FIND(" ", Names!G141))&amp;" "&amp;INDEX(PROJ_EXT_Name,RANDBETWEEN(2,12))</f>
        <v>Shaughnessy St Extension</v>
      </c>
      <c r="F82" s="1" t="s">
        <v>6993</v>
      </c>
      <c r="G82">
        <f t="shared" si="12"/>
        <v>40080</v>
      </c>
      <c r="H82">
        <f t="shared" si="16"/>
        <v>500002</v>
      </c>
      <c r="I82" t="s">
        <v>6687</v>
      </c>
      <c r="J82" t="s">
        <v>6510</v>
      </c>
      <c r="K82" t="str">
        <f>IFERROR(VLOOKUP(F82,Contacts.csv!C:D,2,FALSE),"")</f>
        <v/>
      </c>
      <c r="L82" t="str">
        <f t="shared" si="14"/>
        <v>rg:None</v>
      </c>
      <c r="M82" s="4" t="str">
        <f t="shared" si="15"/>
        <v>rg:[]</v>
      </c>
      <c r="N82" t="s">
        <v>6510</v>
      </c>
      <c r="O82" t="s">
        <v>6510</v>
      </c>
      <c r="P82" t="s">
        <v>6510</v>
      </c>
      <c r="Q82" t="str">
        <f t="shared" si="11"/>
        <v>200009</v>
      </c>
    </row>
    <row r="83" spans="1:17" x14ac:dyDescent="0.3">
      <c r="A83" t="s">
        <v>5386</v>
      </c>
      <c r="B83" t="s">
        <v>2957</v>
      </c>
      <c r="C83" t="str">
        <f>VLOOKUP(B83,ServiceAreas.csv!C:J,8,FALSE)</f>
        <v>200009</v>
      </c>
      <c r="D83" t="str">
        <f t="shared" si="13"/>
        <v>rg{'id': '200009'}'</v>
      </c>
      <c r="E83" s="1" t="str">
        <f ca="1">MID(Names!G145,FIND(" ",Names!G145)+1,LEN(Names!G145)-FIND(" ", Names!G145))&amp;" "&amp;INDEX(PROJ_EXT_Name,RANDBETWEEN(2,12))</f>
        <v>Yoho Valley Road Cloverleaf</v>
      </c>
      <c r="F83" s="1" t="s">
        <v>6994</v>
      </c>
      <c r="G83">
        <f t="shared" si="12"/>
        <v>40081</v>
      </c>
      <c r="H83">
        <f>IF(ISNUMBER(#REF!),#REF!+1,500000)</f>
        <v>500000</v>
      </c>
      <c r="I83" t="s">
        <v>6687</v>
      </c>
      <c r="J83" t="s">
        <v>6510</v>
      </c>
      <c r="K83" t="str">
        <f>IFERROR(VLOOKUP(F83,Contacts.csv!C:D,2,FALSE),"")</f>
        <v/>
      </c>
      <c r="L83" t="str">
        <f t="shared" si="14"/>
        <v>rg:None</v>
      </c>
      <c r="M83" s="4" t="str">
        <f t="shared" si="15"/>
        <v>rg:[]</v>
      </c>
      <c r="N83" t="s">
        <v>6510</v>
      </c>
      <c r="O83" t="s">
        <v>6510</v>
      </c>
      <c r="P83" t="s">
        <v>6510</v>
      </c>
      <c r="Q83" t="str">
        <f t="shared" si="11"/>
        <v>200009</v>
      </c>
    </row>
    <row r="84" spans="1:17" x14ac:dyDescent="0.3">
      <c r="A84" t="s">
        <v>5386</v>
      </c>
      <c r="B84" t="s">
        <v>2957</v>
      </c>
      <c r="C84" t="str">
        <f>VLOOKUP(B84,ServiceAreas.csv!C:J,8,FALSE)</f>
        <v>200009</v>
      </c>
      <c r="D84" t="str">
        <f t="shared" si="13"/>
        <v>rg{'id': '200009'}'</v>
      </c>
      <c r="E84" s="1" t="str">
        <f ca="1">MID(Names!G147,FIND(" ",Names!G147)+1,LEN(Names!G147)-FIND(" ", Names!G147))&amp;" "&amp;INDEX(PROJ_EXT_Name,RANDBETWEEN(2,12))</f>
        <v>Old Spallumcheen Rd Expressway</v>
      </c>
      <c r="F84" s="1" t="s">
        <v>6995</v>
      </c>
      <c r="G84">
        <f t="shared" si="12"/>
        <v>40082</v>
      </c>
      <c r="H84">
        <f>IF(ISNUMBER(#REF!),#REF!+1,500000)</f>
        <v>500000</v>
      </c>
      <c r="I84" t="s">
        <v>6687</v>
      </c>
      <c r="J84" t="s">
        <v>6510</v>
      </c>
      <c r="K84" t="str">
        <f>IFERROR(VLOOKUP(F84,Contacts.csv!C:D,2,FALSE),"")</f>
        <v/>
      </c>
      <c r="L84" t="str">
        <f t="shared" si="14"/>
        <v>rg:None</v>
      </c>
      <c r="M84" s="4" t="str">
        <f t="shared" si="15"/>
        <v>rg:[]</v>
      </c>
      <c r="N84" t="s">
        <v>6510</v>
      </c>
      <c r="O84" t="s">
        <v>6510</v>
      </c>
      <c r="P84" t="s">
        <v>6510</v>
      </c>
      <c r="Q84" t="str">
        <f t="shared" si="11"/>
        <v>200009</v>
      </c>
    </row>
    <row r="85" spans="1:17" x14ac:dyDescent="0.3">
      <c r="A85" t="s">
        <v>5386</v>
      </c>
      <c r="B85" t="s">
        <v>2957</v>
      </c>
      <c r="C85" t="str">
        <f>VLOOKUP(B85,ServiceAreas.csv!C:J,8,FALSE)</f>
        <v>200009</v>
      </c>
      <c r="D85" t="str">
        <f t="shared" si="13"/>
        <v>rg{'id': '200009'}'</v>
      </c>
      <c r="E85" s="1" t="str">
        <f ca="1">MID(Names!G148,FIND(" ",Names!G148)+1,LEN(Names!G148)-FIND(" ", Names!G148))&amp;" "&amp;INDEX(PROJ_EXT_Name,RANDBETWEEN(2,12))</f>
        <v>Glover Road Extension</v>
      </c>
      <c r="F85" s="1" t="s">
        <v>6895</v>
      </c>
      <c r="G85">
        <f t="shared" si="12"/>
        <v>40083</v>
      </c>
      <c r="H85">
        <f t="shared" si="16"/>
        <v>500001</v>
      </c>
      <c r="I85" t="s">
        <v>6687</v>
      </c>
      <c r="J85" t="s">
        <v>6510</v>
      </c>
      <c r="K85" t="str">
        <f>IFERROR(VLOOKUP(F85,Contacts.csv!C:D,2,FALSE),"")</f>
        <v/>
      </c>
      <c r="L85" t="str">
        <f t="shared" si="14"/>
        <v>rg:None</v>
      </c>
      <c r="M85" s="4" t="str">
        <f t="shared" si="15"/>
        <v>rg:[]</v>
      </c>
      <c r="N85" t="s">
        <v>6510</v>
      </c>
      <c r="O85" t="s">
        <v>6510</v>
      </c>
      <c r="P85" t="s">
        <v>6510</v>
      </c>
      <c r="Q85" t="str">
        <f t="shared" si="11"/>
        <v>200009</v>
      </c>
    </row>
    <row r="86" spans="1:17" x14ac:dyDescent="0.3">
      <c r="A86" t="s">
        <v>5386</v>
      </c>
      <c r="B86" t="s">
        <v>2955</v>
      </c>
      <c r="C86" t="str">
        <f>VLOOKUP(B86,ServiceAreas.csv!C:J,8,FALSE)</f>
        <v>200006</v>
      </c>
      <c r="D86" t="str">
        <f t="shared" si="13"/>
        <v>rg{'id': '200006'}'</v>
      </c>
      <c r="E86" s="1" t="str">
        <f ca="1">MID(Names!G149,FIND(" ",Names!G149)+1,LEN(Names!G149)-FIND(" ", Names!G149))&amp;" "&amp;INDEX(PROJ_EXT_Name,RANDBETWEEN(2,12))</f>
        <v>Coldstream Avenue Cloverleaf</v>
      </c>
      <c r="F86" s="1" t="s">
        <v>6996</v>
      </c>
      <c r="G86">
        <f t="shared" si="12"/>
        <v>40084</v>
      </c>
      <c r="H86">
        <f t="shared" si="16"/>
        <v>500002</v>
      </c>
      <c r="I86" t="s">
        <v>6687</v>
      </c>
      <c r="J86" t="s">
        <v>6510</v>
      </c>
      <c r="K86" t="str">
        <f>IFERROR(VLOOKUP(F86,Contacts.csv!C:D,2,FALSE),"")</f>
        <v/>
      </c>
      <c r="L86" t="str">
        <f t="shared" si="14"/>
        <v>rg:None</v>
      </c>
      <c r="M86" s="4" t="str">
        <f t="shared" si="15"/>
        <v>rg:[]</v>
      </c>
      <c r="N86" t="s">
        <v>6510</v>
      </c>
      <c r="O86" t="s">
        <v>6510</v>
      </c>
      <c r="P86" t="s">
        <v>6510</v>
      </c>
      <c r="Q86" t="str">
        <f t="shared" si="11"/>
        <v>200006</v>
      </c>
    </row>
    <row r="87" spans="1:17" x14ac:dyDescent="0.3">
      <c r="A87" t="s">
        <v>5386</v>
      </c>
      <c r="B87" t="s">
        <v>2955</v>
      </c>
      <c r="C87" t="str">
        <f>VLOOKUP(B87,ServiceAreas.csv!C:J,8,FALSE)</f>
        <v>200006</v>
      </c>
      <c r="D87" t="str">
        <f t="shared" si="13"/>
        <v>rg{'id': '200006'}'</v>
      </c>
      <c r="E87" s="1" t="str">
        <f ca="1">MID(Names!G17,FIND(" ",Names!G17)+1,LEN(Names!G17)-FIND(" ", Names!G17))&amp;" "&amp;INDEX(PROJ_EXT_Name,RANDBETWEEN(2,12))</f>
        <v>Holdom Avenue Bypass</v>
      </c>
      <c r="F87" s="1" t="s">
        <v>6997</v>
      </c>
      <c r="G87">
        <f t="shared" si="12"/>
        <v>40085</v>
      </c>
      <c r="H87">
        <f>IF(ISNUMBER(#REF!),#REF!+1,500000)</f>
        <v>500000</v>
      </c>
      <c r="I87" t="s">
        <v>6687</v>
      </c>
      <c r="J87" t="s">
        <v>6510</v>
      </c>
      <c r="K87" t="str">
        <f>IFERROR(VLOOKUP(F87,Contacts.csv!C:D,2,FALSE),"")</f>
        <v/>
      </c>
      <c r="L87" t="str">
        <f t="shared" si="14"/>
        <v>rg:None</v>
      </c>
      <c r="M87" s="4" t="str">
        <f t="shared" si="15"/>
        <v>rg:[]</v>
      </c>
      <c r="N87" t="s">
        <v>6510</v>
      </c>
      <c r="O87" t="s">
        <v>6510</v>
      </c>
      <c r="P87" t="s">
        <v>6510</v>
      </c>
      <c r="Q87" t="str">
        <f t="shared" si="11"/>
        <v>200006</v>
      </c>
    </row>
    <row r="88" spans="1:17" x14ac:dyDescent="0.3">
      <c r="A88" t="s">
        <v>5386</v>
      </c>
      <c r="B88" t="s">
        <v>2955</v>
      </c>
      <c r="C88" t="str">
        <f>VLOOKUP(B88,ServiceAreas.csv!C:J,8,FALSE)</f>
        <v>200006</v>
      </c>
      <c r="D88" t="str">
        <f t="shared" si="13"/>
        <v>rg{'id': '200006'}'</v>
      </c>
      <c r="E88" s="1" t="str">
        <f ca="1">MID(Names!G19,FIND(" ",Names!G19)+1,LEN(Names!G19)-FIND(" ", Names!G19))&amp;" "&amp;INDEX(PROJ_EXT_Name,RANDBETWEEN(2,12))</f>
        <v>Scotts Lane Upgrade</v>
      </c>
      <c r="F88" s="1" t="s">
        <v>6998</v>
      </c>
      <c r="G88">
        <f t="shared" si="12"/>
        <v>40086</v>
      </c>
      <c r="H88">
        <f>IF(ISNUMBER(#REF!),#REF!+1,500000)</f>
        <v>500000</v>
      </c>
      <c r="I88" t="s">
        <v>6687</v>
      </c>
      <c r="J88" t="s">
        <v>6510</v>
      </c>
      <c r="K88" t="str">
        <f>IFERROR(VLOOKUP(F88,Contacts.csv!C:D,2,FALSE),"")</f>
        <v/>
      </c>
      <c r="L88" t="str">
        <f t="shared" si="14"/>
        <v>rg:None</v>
      </c>
      <c r="M88" s="4" t="str">
        <f t="shared" si="15"/>
        <v>rg:[]</v>
      </c>
      <c r="N88" t="s">
        <v>6510</v>
      </c>
      <c r="O88" t="s">
        <v>6510</v>
      </c>
      <c r="P88" t="s">
        <v>6510</v>
      </c>
      <c r="Q88" t="str">
        <f t="shared" si="11"/>
        <v>200006</v>
      </c>
    </row>
    <row r="89" spans="1:17" x14ac:dyDescent="0.3">
      <c r="A89" t="s">
        <v>5386</v>
      </c>
      <c r="B89" t="s">
        <v>2955</v>
      </c>
      <c r="C89" t="str">
        <f>VLOOKUP(B89,ServiceAreas.csv!C:J,8,FALSE)</f>
        <v>200006</v>
      </c>
      <c r="D89" t="str">
        <f t="shared" si="13"/>
        <v>rg{'id': '200006'}'</v>
      </c>
      <c r="E89" s="1" t="str">
        <f ca="1">MID(Names!G20,FIND(" ",Names!G20)+1,LEN(Names!G20)-FIND(" ", Names!G20))&amp;" "&amp;INDEX(PROJ_EXT_Name,RANDBETWEEN(2,12))</f>
        <v>Findlay Creek Road HOV Lane</v>
      </c>
      <c r="F89" s="1" t="s">
        <v>6907</v>
      </c>
      <c r="G89">
        <f t="shared" si="12"/>
        <v>40087</v>
      </c>
      <c r="H89">
        <f t="shared" si="16"/>
        <v>500001</v>
      </c>
      <c r="I89" t="s">
        <v>6687</v>
      </c>
      <c r="J89" t="s">
        <v>6510</v>
      </c>
      <c r="K89" t="str">
        <f>IFERROR(VLOOKUP(F89,Contacts.csv!C:D,2,FALSE),"")</f>
        <v/>
      </c>
      <c r="L89" t="str">
        <f t="shared" si="14"/>
        <v>rg:None</v>
      </c>
      <c r="M89" s="4" t="str">
        <f t="shared" si="15"/>
        <v>rg:[]</v>
      </c>
      <c r="N89" t="s">
        <v>6510</v>
      </c>
      <c r="O89" t="s">
        <v>6510</v>
      </c>
      <c r="P89" t="s">
        <v>6510</v>
      </c>
      <c r="Q89" t="str">
        <f t="shared" si="11"/>
        <v>200006</v>
      </c>
    </row>
    <row r="90" spans="1:17" x14ac:dyDescent="0.3">
      <c r="A90" t="s">
        <v>5386</v>
      </c>
      <c r="B90" t="s">
        <v>2955</v>
      </c>
      <c r="C90" t="str">
        <f>VLOOKUP(B90,ServiceAreas.csv!C:J,8,FALSE)</f>
        <v>200006</v>
      </c>
      <c r="D90" t="str">
        <f t="shared" si="13"/>
        <v>rg{'id': '200006'}'</v>
      </c>
      <c r="E90" s="1" t="str">
        <f ca="1">MID(Names!G21,FIND(" ",Names!G21)+1,LEN(Names!G21)-FIND(" ", Names!G21))&amp;" "&amp;INDEX(PROJ_EXT_Name,RANDBETWEEN(2,12))</f>
        <v>Sixth Street Building</v>
      </c>
      <c r="F90" s="1" t="s">
        <v>6999</v>
      </c>
      <c r="G90">
        <f t="shared" si="12"/>
        <v>40088</v>
      </c>
      <c r="H90">
        <f t="shared" si="16"/>
        <v>500002</v>
      </c>
      <c r="I90" t="s">
        <v>6687</v>
      </c>
      <c r="J90" t="s">
        <v>6510</v>
      </c>
      <c r="K90" t="str">
        <f>IFERROR(VLOOKUP(F90,Contacts.csv!C:D,2,FALSE),"")</f>
        <v/>
      </c>
      <c r="L90" t="str">
        <f t="shared" si="14"/>
        <v>rg:None</v>
      </c>
      <c r="M90" s="4" t="str">
        <f t="shared" si="15"/>
        <v>rg:[]</v>
      </c>
      <c r="N90" t="s">
        <v>6510</v>
      </c>
      <c r="O90" t="s">
        <v>6510</v>
      </c>
      <c r="P90" t="s">
        <v>6510</v>
      </c>
      <c r="Q90" t="str">
        <f t="shared" si="11"/>
        <v>200006</v>
      </c>
    </row>
    <row r="91" spans="1:17" x14ac:dyDescent="0.3">
      <c r="A91" t="s">
        <v>5386</v>
      </c>
      <c r="B91" t="s">
        <v>2955</v>
      </c>
      <c r="C91" t="str">
        <f>VLOOKUP(B91,ServiceAreas.csv!C:J,8,FALSE)</f>
        <v>200006</v>
      </c>
      <c r="D91" t="str">
        <f t="shared" si="13"/>
        <v>rg{'id': '200006'}'</v>
      </c>
      <c r="E91" s="1" t="str">
        <f ca="1">MID(Names!G23,FIND(" ",Names!G23)+1,LEN(Names!G23)-FIND(" ", Names!G23))&amp;" "&amp;INDEX(PROJ_EXT_Name,RANDBETWEEN(2,12))</f>
        <v>King George Hwy Overpass</v>
      </c>
      <c r="F91" s="1" t="s">
        <v>7000</v>
      </c>
      <c r="G91">
        <f t="shared" si="12"/>
        <v>40089</v>
      </c>
      <c r="H91">
        <f>IF(ISNUMBER(#REF!),#REF!+1,500000)</f>
        <v>500000</v>
      </c>
      <c r="I91" t="s">
        <v>6687</v>
      </c>
      <c r="J91" t="s">
        <v>6510</v>
      </c>
      <c r="K91" t="str">
        <f>IFERROR(VLOOKUP(F91,Contacts.csv!C:D,2,FALSE),"")</f>
        <v/>
      </c>
      <c r="L91" t="str">
        <f t="shared" si="14"/>
        <v>rg:None</v>
      </c>
      <c r="M91" s="4" t="str">
        <f t="shared" si="15"/>
        <v>rg:[]</v>
      </c>
      <c r="N91" t="s">
        <v>6510</v>
      </c>
      <c r="O91" t="s">
        <v>6510</v>
      </c>
      <c r="P91" t="s">
        <v>6510</v>
      </c>
      <c r="Q91" t="str">
        <f t="shared" si="11"/>
        <v>200006</v>
      </c>
    </row>
    <row r="92" spans="1:17" x14ac:dyDescent="0.3">
      <c r="A92" t="s">
        <v>5386</v>
      </c>
      <c r="B92" t="s">
        <v>2955</v>
      </c>
      <c r="C92" t="str">
        <f>VLOOKUP(B92,ServiceAreas.csv!C:J,8,FALSE)</f>
        <v>200006</v>
      </c>
      <c r="D92" t="str">
        <f t="shared" si="13"/>
        <v>rg{'id': '200006'}'</v>
      </c>
      <c r="E92" s="1" t="str">
        <f ca="1">MID(Names!G25,FIND(" ",Names!G25)+1,LEN(Names!G25)-FIND(" ", Names!G25))&amp;" "&amp;INDEX(PROJ_EXT_Name,RANDBETWEEN(2,12))</f>
        <v>Wallace Street HOV Lane</v>
      </c>
      <c r="F92" s="1" t="s">
        <v>7001</v>
      </c>
      <c r="G92">
        <f t="shared" si="12"/>
        <v>40090</v>
      </c>
      <c r="H92">
        <f>IF(ISNUMBER(#REF!),#REF!+1,500000)</f>
        <v>500000</v>
      </c>
      <c r="I92" t="s">
        <v>6687</v>
      </c>
      <c r="J92" t="s">
        <v>6510</v>
      </c>
      <c r="K92" t="str">
        <f>IFERROR(VLOOKUP(F92,Contacts.csv!C:D,2,FALSE),"")</f>
        <v/>
      </c>
      <c r="L92" t="str">
        <f t="shared" si="14"/>
        <v>rg:None</v>
      </c>
      <c r="M92" s="4" t="str">
        <f t="shared" si="15"/>
        <v>rg:[]</v>
      </c>
      <c r="N92" t="s">
        <v>6510</v>
      </c>
      <c r="O92" t="s">
        <v>6510</v>
      </c>
      <c r="P92" t="s">
        <v>6510</v>
      </c>
      <c r="Q92" t="str">
        <f t="shared" si="11"/>
        <v>200006</v>
      </c>
    </row>
    <row r="93" spans="1:17" x14ac:dyDescent="0.3">
      <c r="A93" t="s">
        <v>5386</v>
      </c>
      <c r="B93" t="s">
        <v>2955</v>
      </c>
      <c r="C93" t="str">
        <f>VLOOKUP(B93,ServiceAreas.csv!C:J,8,FALSE)</f>
        <v>200006</v>
      </c>
      <c r="D93" t="str">
        <f t="shared" si="13"/>
        <v>rg{'id': '200006'}'</v>
      </c>
      <c r="E93" s="1" t="str">
        <f ca="1">MID(Names!G30,FIND(" ",Names!G30)+1,LEN(Names!G30)-FIND(" ", Names!G30))&amp;" "&amp;INDEX(PROJ_EXT_Name,RANDBETWEEN(2,12))</f>
        <v>Scotts Lane Express Lane</v>
      </c>
      <c r="F93" s="1" t="s">
        <v>7002</v>
      </c>
      <c r="G93">
        <f t="shared" si="12"/>
        <v>40091</v>
      </c>
      <c r="H93">
        <f>IF(ISNUMBER(#REF!),#REF!+1,500000)</f>
        <v>500000</v>
      </c>
      <c r="I93" t="s">
        <v>6687</v>
      </c>
      <c r="J93" t="s">
        <v>6510</v>
      </c>
      <c r="K93" t="str">
        <f>IFERROR(VLOOKUP(F93,Contacts.csv!C:D,2,FALSE),"")</f>
        <v/>
      </c>
      <c r="L93" t="str">
        <f t="shared" si="14"/>
        <v>rg:None</v>
      </c>
      <c r="M93" s="4" t="str">
        <f t="shared" si="15"/>
        <v>rg:[]</v>
      </c>
      <c r="N93" t="s">
        <v>6510</v>
      </c>
      <c r="O93" t="s">
        <v>6510</v>
      </c>
      <c r="P93" t="s">
        <v>6510</v>
      </c>
      <c r="Q93" t="str">
        <f t="shared" si="11"/>
        <v>200006</v>
      </c>
    </row>
    <row r="94" spans="1:17" x14ac:dyDescent="0.3">
      <c r="A94" t="s">
        <v>5386</v>
      </c>
      <c r="B94" t="s">
        <v>2955</v>
      </c>
      <c r="C94" t="str">
        <f>VLOOKUP(B94,ServiceAreas.csv!C:J,8,FALSE)</f>
        <v>200006</v>
      </c>
      <c r="D94" t="str">
        <f t="shared" si="13"/>
        <v>rg{'id': '200006'}'</v>
      </c>
      <c r="E94" s="1" t="str">
        <f ca="1">MID(Names!G31,FIND(" ",Names!G31)+1,LEN(Names!G31)-FIND(" ", Names!G31))&amp;" "&amp;INDEX(PROJ_EXT_Name,RANDBETWEEN(2,12))</f>
        <v>Nootka Street Expressway</v>
      </c>
      <c r="F94" s="1" t="s">
        <v>7003</v>
      </c>
      <c r="G94">
        <f t="shared" si="12"/>
        <v>40092</v>
      </c>
      <c r="H94">
        <f t="shared" si="16"/>
        <v>500001</v>
      </c>
      <c r="I94" t="s">
        <v>6687</v>
      </c>
      <c r="J94" t="s">
        <v>6510</v>
      </c>
      <c r="K94" t="str">
        <f>IFERROR(VLOOKUP(F94,Contacts.csv!C:D,2,FALSE),"")</f>
        <v/>
      </c>
      <c r="L94" t="str">
        <f t="shared" si="14"/>
        <v>rg:None</v>
      </c>
      <c r="M94" s="4" t="str">
        <f t="shared" si="15"/>
        <v>rg:[]</v>
      </c>
      <c r="N94" t="s">
        <v>6510</v>
      </c>
      <c r="O94" t="s">
        <v>6510</v>
      </c>
      <c r="P94" t="s">
        <v>6510</v>
      </c>
      <c r="Q94" t="str">
        <f t="shared" si="11"/>
        <v>200006</v>
      </c>
    </row>
    <row r="95" spans="1:17" x14ac:dyDescent="0.3">
      <c r="A95" t="s">
        <v>5386</v>
      </c>
      <c r="B95" t="s">
        <v>2955</v>
      </c>
      <c r="C95" t="str">
        <f>VLOOKUP(B95,ServiceAreas.csv!C:J,8,FALSE)</f>
        <v>200006</v>
      </c>
      <c r="D95" t="str">
        <f t="shared" si="13"/>
        <v>rg{'id': '200006'}'</v>
      </c>
      <c r="E95" s="1" t="str">
        <f ca="1">MID(Names!G32,FIND(" ",Names!G32)+1,LEN(Names!G32)-FIND(" ", Names!G32))&amp;" "&amp;INDEX(PROJ_EXT_Name,RANDBETWEEN(2,12))</f>
        <v>Nootka Street Upgrade</v>
      </c>
      <c r="F95" s="1" t="s">
        <v>6912</v>
      </c>
      <c r="G95">
        <f t="shared" si="12"/>
        <v>40093</v>
      </c>
      <c r="H95">
        <f t="shared" si="16"/>
        <v>500002</v>
      </c>
      <c r="I95" t="s">
        <v>6687</v>
      </c>
      <c r="J95" t="s">
        <v>6510</v>
      </c>
      <c r="K95" t="str">
        <f>IFERROR(VLOOKUP(F95,Contacts.csv!C:D,2,FALSE),"")</f>
        <v/>
      </c>
      <c r="L95" t="str">
        <f t="shared" si="14"/>
        <v>rg:None</v>
      </c>
      <c r="M95" s="4" t="str">
        <f t="shared" si="15"/>
        <v>rg:[]</v>
      </c>
      <c r="N95" t="s">
        <v>6510</v>
      </c>
      <c r="O95" t="s">
        <v>6510</v>
      </c>
      <c r="P95" t="s">
        <v>6510</v>
      </c>
      <c r="Q95" t="str">
        <f t="shared" si="11"/>
        <v>200006</v>
      </c>
    </row>
    <row r="96" spans="1:17" x14ac:dyDescent="0.3">
      <c r="A96" t="s">
        <v>5386</v>
      </c>
      <c r="B96" t="s">
        <v>2955</v>
      </c>
      <c r="C96" t="str">
        <f>VLOOKUP(B96,ServiceAreas.csv!C:J,8,FALSE)</f>
        <v>200006</v>
      </c>
      <c r="D96" t="str">
        <f t="shared" si="13"/>
        <v>rg{'id': '200006'}'</v>
      </c>
      <c r="E96" s="1" t="str">
        <f ca="1">MID(Names!G35,FIND(" ",Names!G35)+1,LEN(Names!G35)-FIND(" ", Names!G35))&amp;" "&amp;INDEX(PROJ_EXT_Name,RANDBETWEEN(2,12))</f>
        <v>102nd Avenue Bridge</v>
      </c>
      <c r="F96" s="1" t="s">
        <v>7004</v>
      </c>
      <c r="G96">
        <f t="shared" si="12"/>
        <v>40094</v>
      </c>
      <c r="H96">
        <f>IF(ISNUMBER(#REF!),#REF!+1,500000)</f>
        <v>500000</v>
      </c>
      <c r="I96" t="s">
        <v>6687</v>
      </c>
      <c r="J96" t="s">
        <v>6510</v>
      </c>
      <c r="K96" t="str">
        <f>IFERROR(VLOOKUP(F96,Contacts.csv!C:D,2,FALSE),"")</f>
        <v/>
      </c>
      <c r="L96" t="str">
        <f t="shared" si="14"/>
        <v>rg:None</v>
      </c>
      <c r="M96" s="4" t="str">
        <f t="shared" si="15"/>
        <v>rg:[]</v>
      </c>
      <c r="N96" t="s">
        <v>6510</v>
      </c>
      <c r="O96" t="s">
        <v>6510</v>
      </c>
      <c r="P96" t="s">
        <v>6510</v>
      </c>
      <c r="Q96" t="str">
        <f t="shared" si="11"/>
        <v>200006</v>
      </c>
    </row>
    <row r="97" spans="1:17" x14ac:dyDescent="0.3">
      <c r="A97" t="s">
        <v>5386</v>
      </c>
      <c r="B97" t="s">
        <v>2955</v>
      </c>
      <c r="C97" t="str">
        <f>VLOOKUP(B97,ServiceAreas.csv!C:J,8,FALSE)</f>
        <v>200006</v>
      </c>
      <c r="D97" t="str">
        <f t="shared" si="13"/>
        <v>rg{'id': '200006'}'</v>
      </c>
      <c r="E97" s="1" t="str">
        <f ca="1">MID(Names!G41,FIND(" ",Names!G41)+1,LEN(Names!G41)-FIND(" ", Names!G41))&amp;" "&amp;INDEX(PROJ_EXT_Name,RANDBETWEEN(2,12))</f>
        <v>Cardero St Cloverleaf</v>
      </c>
      <c r="F97" s="1" t="s">
        <v>7005</v>
      </c>
      <c r="G97">
        <f t="shared" si="12"/>
        <v>40095</v>
      </c>
      <c r="H97">
        <f>IF(ISNUMBER(#REF!),#REF!+1,500000)</f>
        <v>500000</v>
      </c>
      <c r="I97" t="s">
        <v>6687</v>
      </c>
      <c r="J97" t="s">
        <v>6510</v>
      </c>
      <c r="K97" t="str">
        <f>IFERROR(VLOOKUP(F97,Contacts.csv!C:D,2,FALSE),"")</f>
        <v/>
      </c>
      <c r="L97" t="str">
        <f t="shared" si="14"/>
        <v>rg:None</v>
      </c>
      <c r="M97" s="4" t="str">
        <f t="shared" si="15"/>
        <v>rg:[]</v>
      </c>
      <c r="N97" t="s">
        <v>6510</v>
      </c>
      <c r="O97" t="s">
        <v>6510</v>
      </c>
      <c r="P97" t="s">
        <v>6510</v>
      </c>
      <c r="Q97" t="str">
        <f t="shared" si="11"/>
        <v>200006</v>
      </c>
    </row>
    <row r="98" spans="1:17" x14ac:dyDescent="0.3">
      <c r="A98" t="s">
        <v>5386</v>
      </c>
      <c r="B98" t="s">
        <v>2955</v>
      </c>
      <c r="C98" t="str">
        <f>VLOOKUP(B98,ServiceAreas.csv!C:J,8,FALSE)</f>
        <v>200006</v>
      </c>
      <c r="D98" t="str">
        <f t="shared" si="13"/>
        <v>rg{'id': '200006'}'</v>
      </c>
      <c r="E98" s="1" t="str">
        <f ca="1">MID(Names!G42,FIND(" ",Names!G42)+1,LEN(Names!G42)-FIND(" ", Names!G42))&amp;" "&amp;INDEX(PROJ_EXT_Name,RANDBETWEEN(2,12))</f>
        <v>Blind Bay Road Overpass</v>
      </c>
      <c r="F98" s="1" t="s">
        <v>7006</v>
      </c>
      <c r="G98">
        <f t="shared" si="12"/>
        <v>40096</v>
      </c>
      <c r="H98">
        <f t="shared" si="16"/>
        <v>500001</v>
      </c>
      <c r="I98" t="s">
        <v>6687</v>
      </c>
      <c r="J98" t="s">
        <v>6510</v>
      </c>
      <c r="K98" t="str">
        <f>IFERROR(VLOOKUP(F98,Contacts.csv!C:D,2,FALSE),"")</f>
        <v/>
      </c>
      <c r="L98" t="str">
        <f t="shared" si="14"/>
        <v>rg:None</v>
      </c>
      <c r="M98" s="4" t="str">
        <f t="shared" si="15"/>
        <v>rg:[]</v>
      </c>
      <c r="N98" t="s">
        <v>6510</v>
      </c>
      <c r="O98" t="s">
        <v>6510</v>
      </c>
      <c r="P98" t="s">
        <v>6510</v>
      </c>
      <c r="Q98" t="str">
        <f t="shared" ref="Q98:Q129" si="17">C98</f>
        <v>200006</v>
      </c>
    </row>
    <row r="99" spans="1:17" x14ac:dyDescent="0.3">
      <c r="A99" t="s">
        <v>5386</v>
      </c>
      <c r="B99" t="s">
        <v>2955</v>
      </c>
      <c r="C99" t="str">
        <f>VLOOKUP(B99,ServiceAreas.csv!C:J,8,FALSE)</f>
        <v>200006</v>
      </c>
      <c r="D99" t="str">
        <f t="shared" si="13"/>
        <v>rg{'id': '200006'}'</v>
      </c>
      <c r="E99" s="1" t="str">
        <f ca="1">MID(Names!G43,FIND(" ",Names!G43)+1,LEN(Names!G43)-FIND(" ", Names!G43))&amp;" "&amp;INDEX(PROJ_EXT_Name,RANDBETWEEN(2,12))</f>
        <v>Old Spallumcheen Rd HOV Lane</v>
      </c>
      <c r="F99" s="1" t="s">
        <v>7007</v>
      </c>
      <c r="G99">
        <f t="shared" si="12"/>
        <v>40097</v>
      </c>
      <c r="H99">
        <f t="shared" si="16"/>
        <v>500002</v>
      </c>
      <c r="I99" t="s">
        <v>6687</v>
      </c>
      <c r="J99" t="s">
        <v>6510</v>
      </c>
      <c r="K99" t="str">
        <f>IFERROR(VLOOKUP(F99,Contacts.csv!C:D,2,FALSE),"")</f>
        <v/>
      </c>
      <c r="L99" t="str">
        <f t="shared" si="14"/>
        <v>rg:None</v>
      </c>
      <c r="M99" s="4" t="str">
        <f t="shared" si="15"/>
        <v>rg:[]</v>
      </c>
      <c r="N99" t="s">
        <v>6510</v>
      </c>
      <c r="O99" t="s">
        <v>6510</v>
      </c>
      <c r="P99" t="s">
        <v>6510</v>
      </c>
      <c r="Q99" t="str">
        <f t="shared" si="17"/>
        <v>200006</v>
      </c>
    </row>
    <row r="100" spans="1:17" x14ac:dyDescent="0.3">
      <c r="A100" t="s">
        <v>5386</v>
      </c>
      <c r="B100" t="s">
        <v>2951</v>
      </c>
      <c r="C100" t="str">
        <f>VLOOKUP(B100,ServiceAreas.csv!C:J,8,FALSE)</f>
        <v>200001</v>
      </c>
      <c r="D100" t="str">
        <f t="shared" si="13"/>
        <v>rg{'id': '200001'}'</v>
      </c>
      <c r="E100" s="1" t="str">
        <f ca="1">MID(Names!G45,FIND(" ",Names!G45)+1,LEN(Names!G45)-FIND(" ", Names!G45))&amp;" "&amp;INDEX(PROJ_EXT_Name,RANDBETWEEN(2,12))</f>
        <v>Keith Road Extension</v>
      </c>
      <c r="F100" s="1" t="s">
        <v>7008</v>
      </c>
      <c r="G100">
        <f t="shared" si="12"/>
        <v>40098</v>
      </c>
      <c r="H100">
        <f>IF(ISNUMBER(#REF!),#REF!+1,500000)</f>
        <v>500000</v>
      </c>
      <c r="I100" t="s">
        <v>6687</v>
      </c>
      <c r="J100" t="s">
        <v>6510</v>
      </c>
      <c r="K100" t="str">
        <f>IFERROR(VLOOKUP(F100,Contacts.csv!C:D,2,FALSE),"")</f>
        <v/>
      </c>
      <c r="L100" t="str">
        <f t="shared" si="14"/>
        <v>rg:None</v>
      </c>
      <c r="M100" s="4" t="str">
        <f t="shared" si="15"/>
        <v>rg:[]</v>
      </c>
      <c r="N100" t="s">
        <v>6510</v>
      </c>
      <c r="O100" t="s">
        <v>6510</v>
      </c>
      <c r="P100" t="s">
        <v>6510</v>
      </c>
      <c r="Q100" t="str">
        <f t="shared" si="17"/>
        <v>200001</v>
      </c>
    </row>
    <row r="101" spans="1:17" x14ac:dyDescent="0.3">
      <c r="A101" t="s">
        <v>5386</v>
      </c>
      <c r="B101" t="s">
        <v>2951</v>
      </c>
      <c r="C101" t="str">
        <f>VLOOKUP(B101,ServiceAreas.csv!C:J,8,FALSE)</f>
        <v>200001</v>
      </c>
      <c r="D101" t="str">
        <f t="shared" si="13"/>
        <v>rg{'id': '200001'}'</v>
      </c>
      <c r="E101" s="1" t="str">
        <f ca="1">MID(Names!G47,FIND(" ",Names!G47)+1,LEN(Names!G47)-FIND(" ", Names!G47))&amp;" "&amp;INDEX(PROJ_EXT_Name,RANDBETWEEN(2,12))</f>
        <v>Brew Creek Rd Bridge</v>
      </c>
      <c r="F101" s="1" t="s">
        <v>6919</v>
      </c>
      <c r="G101">
        <f t="shared" si="12"/>
        <v>40099</v>
      </c>
      <c r="H101">
        <f>IF(ISNUMBER(#REF!),#REF!+1,500000)</f>
        <v>500000</v>
      </c>
      <c r="I101" t="s">
        <v>6687</v>
      </c>
      <c r="J101" t="s">
        <v>6510</v>
      </c>
      <c r="K101" t="str">
        <f>IFERROR(VLOOKUP(F101,Contacts.csv!C:D,2,FALSE),"")</f>
        <v/>
      </c>
      <c r="L101" t="str">
        <f t="shared" si="14"/>
        <v>rg:None</v>
      </c>
      <c r="M101" s="4" t="str">
        <f t="shared" si="15"/>
        <v>rg:[]</v>
      </c>
      <c r="N101" t="s">
        <v>6510</v>
      </c>
      <c r="O101" t="s">
        <v>6510</v>
      </c>
      <c r="P101" t="s">
        <v>6510</v>
      </c>
      <c r="Q101" t="str">
        <f t="shared" si="17"/>
        <v>200001</v>
      </c>
    </row>
    <row r="102" spans="1:17" x14ac:dyDescent="0.3">
      <c r="A102" t="s">
        <v>5386</v>
      </c>
      <c r="B102" t="s">
        <v>2951</v>
      </c>
      <c r="C102" t="str">
        <f>VLOOKUP(B102,ServiceAreas.csv!C:J,8,FALSE)</f>
        <v>200001</v>
      </c>
      <c r="D102" t="str">
        <f t="shared" si="13"/>
        <v>rg{'id': '200001'}'</v>
      </c>
      <c r="E102" s="1" t="str">
        <f ca="1">MID(Names!G48,FIND(" ",Names!G48)+1,LEN(Names!G48)-FIND(" ", Names!G48))&amp;" "&amp;INDEX(PROJ_EXT_Name,RANDBETWEEN(2,12))</f>
        <v>Coldstream Avenue Overpass</v>
      </c>
      <c r="F102" s="1" t="s">
        <v>7009</v>
      </c>
      <c r="G102">
        <f t="shared" si="12"/>
        <v>40100</v>
      </c>
      <c r="H102">
        <f t="shared" si="16"/>
        <v>500001</v>
      </c>
      <c r="I102" t="s">
        <v>6687</v>
      </c>
      <c r="J102" t="s">
        <v>6510</v>
      </c>
      <c r="K102" t="str">
        <f>IFERROR(VLOOKUP(F102,Contacts.csv!C:D,2,FALSE),"")</f>
        <v/>
      </c>
      <c r="L102" t="str">
        <f t="shared" si="14"/>
        <v>rg:None</v>
      </c>
      <c r="M102" s="4" t="str">
        <f t="shared" si="15"/>
        <v>rg:[]</v>
      </c>
      <c r="N102" t="s">
        <v>6510</v>
      </c>
      <c r="O102" t="s">
        <v>6510</v>
      </c>
      <c r="P102" t="s">
        <v>6510</v>
      </c>
      <c r="Q102" t="str">
        <f t="shared" si="17"/>
        <v>200001</v>
      </c>
    </row>
    <row r="103" spans="1:17" x14ac:dyDescent="0.3">
      <c r="A103" t="s">
        <v>5386</v>
      </c>
      <c r="B103" t="s">
        <v>2951</v>
      </c>
      <c r="C103" t="str">
        <f>VLOOKUP(B103,ServiceAreas.csv!C:J,8,FALSE)</f>
        <v>200001</v>
      </c>
      <c r="D103" t="str">
        <f t="shared" si="13"/>
        <v>rg{'id': '200001'}'</v>
      </c>
      <c r="E103" s="1" t="str">
        <f ca="1">MID(Names!G50,FIND(" ",Names!G50)+1,LEN(Names!G50)-FIND(" ", Names!G50))&amp;" "&amp;INDEX(PROJ_EXT_Name,RANDBETWEEN(2,12))</f>
        <v>Wellington Ave Bridge</v>
      </c>
      <c r="F103" s="1" t="s">
        <v>6903</v>
      </c>
      <c r="G103">
        <f t="shared" si="12"/>
        <v>40101</v>
      </c>
      <c r="H103">
        <f>IF(ISNUMBER(#REF!),#REF!+1,500000)</f>
        <v>500000</v>
      </c>
      <c r="I103" t="s">
        <v>6687</v>
      </c>
      <c r="J103" t="s">
        <v>6510</v>
      </c>
      <c r="K103" t="str">
        <f>IFERROR(VLOOKUP(F103,Contacts.csv!C:D,2,FALSE),"")</f>
        <v/>
      </c>
      <c r="L103" t="str">
        <f t="shared" si="14"/>
        <v>rg:None</v>
      </c>
      <c r="M103" s="4" t="str">
        <f t="shared" si="15"/>
        <v>rg:[]</v>
      </c>
      <c r="N103" t="s">
        <v>6510</v>
      </c>
      <c r="O103" t="s">
        <v>6510</v>
      </c>
      <c r="P103" t="s">
        <v>6510</v>
      </c>
      <c r="Q103" t="str">
        <f t="shared" si="17"/>
        <v>200001</v>
      </c>
    </row>
    <row r="104" spans="1:17" x14ac:dyDescent="0.3">
      <c r="A104" t="s">
        <v>5386</v>
      </c>
      <c r="B104" t="s">
        <v>2951</v>
      </c>
      <c r="C104" t="str">
        <f>VLOOKUP(B104,ServiceAreas.csv!C:J,8,FALSE)</f>
        <v>200001</v>
      </c>
      <c r="D104" t="str">
        <f t="shared" si="13"/>
        <v>rg{'id': '200001'}'</v>
      </c>
      <c r="E104" s="1" t="str">
        <f ca="1">MID(Names!G51,FIND(" ",Names!G51)+1,LEN(Names!G51)-FIND(" ", Names!G51))&amp;" "&amp;INDEX(PROJ_EXT_Name,RANDBETWEEN(2,12))</f>
        <v>Hardy Street Cloverleaf</v>
      </c>
      <c r="F104" s="1" t="s">
        <v>7010</v>
      </c>
      <c r="G104">
        <f t="shared" si="12"/>
        <v>40102</v>
      </c>
      <c r="H104">
        <f t="shared" si="16"/>
        <v>500001</v>
      </c>
      <c r="I104" t="s">
        <v>6687</v>
      </c>
      <c r="J104" t="s">
        <v>6510</v>
      </c>
      <c r="K104" t="str">
        <f>IFERROR(VLOOKUP(F104,Contacts.csv!C:D,2,FALSE),"")</f>
        <v/>
      </c>
      <c r="L104" t="str">
        <f t="shared" si="14"/>
        <v>rg:None</v>
      </c>
      <c r="M104" s="4" t="str">
        <f t="shared" si="15"/>
        <v>rg:[]</v>
      </c>
      <c r="N104" t="s">
        <v>6510</v>
      </c>
      <c r="O104" t="s">
        <v>6510</v>
      </c>
      <c r="P104" t="s">
        <v>6510</v>
      </c>
      <c r="Q104" t="str">
        <f t="shared" si="17"/>
        <v>200001</v>
      </c>
    </row>
    <row r="105" spans="1:17" x14ac:dyDescent="0.3">
      <c r="A105" t="s">
        <v>5386</v>
      </c>
      <c r="B105" t="s">
        <v>2951</v>
      </c>
      <c r="C105" t="str">
        <f>VLOOKUP(B105,ServiceAreas.csv!C:J,8,FALSE)</f>
        <v>200001</v>
      </c>
      <c r="D105" t="str">
        <f t="shared" si="13"/>
        <v>rg{'id': '200001'}'</v>
      </c>
      <c r="E105" s="1" t="str">
        <f ca="1">MID(Names!G52,FIND(" ",Names!G52)+1,LEN(Names!G52)-FIND(" ", Names!G52))&amp;" "&amp;INDEX(PROJ_EXT_Name,RANDBETWEEN(2,12))</f>
        <v>Hastings Street Bypass</v>
      </c>
      <c r="F105" s="1" t="s">
        <v>7011</v>
      </c>
      <c r="G105">
        <f t="shared" si="12"/>
        <v>40103</v>
      </c>
      <c r="H105">
        <f t="shared" si="16"/>
        <v>500002</v>
      </c>
      <c r="I105" t="s">
        <v>6687</v>
      </c>
      <c r="J105" t="s">
        <v>6510</v>
      </c>
      <c r="K105" t="str">
        <f>IFERROR(VLOOKUP(F105,Contacts.csv!C:D,2,FALSE),"")</f>
        <v/>
      </c>
      <c r="L105" t="str">
        <f t="shared" si="14"/>
        <v>rg:None</v>
      </c>
      <c r="M105" s="4" t="str">
        <f t="shared" si="15"/>
        <v>rg:[]</v>
      </c>
      <c r="N105" t="s">
        <v>6510</v>
      </c>
      <c r="O105" t="s">
        <v>6510</v>
      </c>
      <c r="P105" t="s">
        <v>6510</v>
      </c>
      <c r="Q105" t="str">
        <f t="shared" si="17"/>
        <v>200001</v>
      </c>
    </row>
    <row r="106" spans="1:17" x14ac:dyDescent="0.3">
      <c r="A106" t="s">
        <v>5386</v>
      </c>
      <c r="B106" t="s">
        <v>2951</v>
      </c>
      <c r="C106" t="str">
        <f>VLOOKUP(B106,ServiceAreas.csv!C:J,8,FALSE)</f>
        <v>200001</v>
      </c>
      <c r="D106" t="str">
        <f t="shared" si="13"/>
        <v>rg{'id': '200001'}'</v>
      </c>
      <c r="E106" s="1" t="str">
        <f ca="1">MID(Names!G55,FIND(" ",Names!G55)+1,LEN(Names!G55)-FIND(" ", Names!G55))&amp;" "&amp;INDEX(PROJ_EXT_Name,RANDBETWEEN(2,12))</f>
        <v>Findlay Creek Road Bridge Replacement</v>
      </c>
      <c r="F106" s="1" t="s">
        <v>6934</v>
      </c>
      <c r="G106">
        <f t="shared" si="12"/>
        <v>40104</v>
      </c>
      <c r="H106">
        <f>IF(ISNUMBER(#REF!),#REF!+1,500000)</f>
        <v>500000</v>
      </c>
      <c r="I106" t="s">
        <v>6687</v>
      </c>
      <c r="J106" t="s">
        <v>6510</v>
      </c>
      <c r="K106" t="str">
        <f>IFERROR(VLOOKUP(F106,Contacts.csv!C:D,2,FALSE),"")</f>
        <v/>
      </c>
      <c r="L106" t="str">
        <f t="shared" si="14"/>
        <v>rg:None</v>
      </c>
      <c r="M106" s="4" t="str">
        <f t="shared" si="15"/>
        <v>rg:[]</v>
      </c>
      <c r="N106" t="s">
        <v>6510</v>
      </c>
      <c r="O106" t="s">
        <v>6510</v>
      </c>
      <c r="P106" t="s">
        <v>6510</v>
      </c>
      <c r="Q106" t="str">
        <f t="shared" si="17"/>
        <v>200001</v>
      </c>
    </row>
    <row r="107" spans="1:17" x14ac:dyDescent="0.3">
      <c r="A107" t="s">
        <v>5386</v>
      </c>
      <c r="B107" t="s">
        <v>2928</v>
      </c>
      <c r="C107" t="str">
        <f>VLOOKUP(B107,ServiceAreas.csv!C:J,8,FALSE)</f>
        <v>200000</v>
      </c>
      <c r="D107" t="str">
        <f t="shared" si="13"/>
        <v>rg{'id': '200000'}'</v>
      </c>
      <c r="E107" s="1" t="str">
        <f ca="1">MID(Names!G56,FIND(" ",Names!G56)+1,LEN(Names!G56)-FIND(" ", Names!G56))&amp;" "&amp;INDEX(PROJ_EXT_Name,RANDBETWEEN(2,12))</f>
        <v>Burdett Avenue Extension</v>
      </c>
      <c r="F107" s="1" t="s">
        <v>6904</v>
      </c>
      <c r="G107">
        <f t="shared" si="12"/>
        <v>40105</v>
      </c>
      <c r="H107">
        <f t="shared" si="16"/>
        <v>500001</v>
      </c>
      <c r="I107" t="s">
        <v>6687</v>
      </c>
      <c r="J107" t="s">
        <v>6510</v>
      </c>
      <c r="K107" t="str">
        <f>IFERROR(VLOOKUP(F107,Contacts.csv!C:D,2,FALSE),"")</f>
        <v/>
      </c>
      <c r="L107" t="str">
        <f t="shared" si="14"/>
        <v>rg:None</v>
      </c>
      <c r="M107" s="4" t="str">
        <f t="shared" si="15"/>
        <v>rg:[]</v>
      </c>
      <c r="N107" t="s">
        <v>6510</v>
      </c>
      <c r="O107" t="s">
        <v>6510</v>
      </c>
      <c r="P107" t="s">
        <v>6510</v>
      </c>
      <c r="Q107" t="str">
        <f t="shared" si="17"/>
        <v>200000</v>
      </c>
    </row>
    <row r="108" spans="1:17" x14ac:dyDescent="0.3">
      <c r="A108" t="s">
        <v>5386</v>
      </c>
      <c r="B108" t="s">
        <v>2928</v>
      </c>
      <c r="C108" t="str">
        <f>VLOOKUP(B108,ServiceAreas.csv!C:J,8,FALSE)</f>
        <v>200000</v>
      </c>
      <c r="D108" t="str">
        <f t="shared" si="13"/>
        <v>rg{'id': '200000'}'</v>
      </c>
      <c r="E108" s="1" t="str">
        <f ca="1">MID(Names!G60,FIND(" ",Names!G60)+1,LEN(Names!G60)-FIND(" ", Names!G60))&amp;" "&amp;INDEX(PROJ_EXT_Name,RANDBETWEEN(2,12))</f>
        <v>Tolmie St Bypass</v>
      </c>
      <c r="F108" s="1" t="s">
        <v>7012</v>
      </c>
      <c r="G108">
        <f t="shared" si="12"/>
        <v>40106</v>
      </c>
      <c r="H108">
        <f>IF(ISNUMBER(#REF!),#REF!+1,500000)</f>
        <v>500000</v>
      </c>
      <c r="I108" t="s">
        <v>6687</v>
      </c>
      <c r="J108" t="s">
        <v>6510</v>
      </c>
      <c r="K108" t="str">
        <f>IFERROR(VLOOKUP(F108,Contacts.csv!C:D,2,FALSE),"")</f>
        <v/>
      </c>
      <c r="L108" t="str">
        <f t="shared" si="14"/>
        <v>rg:None</v>
      </c>
      <c r="M108" s="4" t="str">
        <f t="shared" si="15"/>
        <v>rg:[]</v>
      </c>
      <c r="N108" t="s">
        <v>6510</v>
      </c>
      <c r="O108" t="s">
        <v>6510</v>
      </c>
      <c r="P108" t="s">
        <v>6510</v>
      </c>
      <c r="Q108" t="str">
        <f t="shared" si="17"/>
        <v>200000</v>
      </c>
    </row>
    <row r="109" spans="1:17" x14ac:dyDescent="0.3">
      <c r="A109" t="s">
        <v>5386</v>
      </c>
      <c r="B109" t="s">
        <v>2928</v>
      </c>
      <c r="C109" t="str">
        <f>VLOOKUP(B109,ServiceAreas.csv!C:J,8,FALSE)</f>
        <v>200000</v>
      </c>
      <c r="D109" t="str">
        <f t="shared" ref="D109:D140" si="18">"rg{'id': '"&amp;C109&amp;"'}'"</f>
        <v>rg{'id': '200000'}'</v>
      </c>
      <c r="E109" s="1" t="str">
        <f ca="1">MID(Names!G61,FIND(" ",Names!G61)+1,LEN(Names!G61)-FIND(" ", Names!G61))&amp;" "&amp;INDEX(PROJ_EXT_Name,RANDBETWEEN(2,12))</f>
        <v>Quayside Dr Overpass</v>
      </c>
      <c r="F109" s="1" t="s">
        <v>7013</v>
      </c>
      <c r="G109">
        <f t="shared" si="12"/>
        <v>40107</v>
      </c>
      <c r="H109">
        <f t="shared" ref="H109:H139" si="19">IF(ISNUMBER(H108),H108+1,500000)</f>
        <v>500001</v>
      </c>
      <c r="I109" t="s">
        <v>6687</v>
      </c>
      <c r="J109" t="s">
        <v>6510</v>
      </c>
      <c r="K109" t="str">
        <f>IFERROR(VLOOKUP(F109,Contacts.csv!C:D,2,FALSE),"")</f>
        <v/>
      </c>
      <c r="L109" t="str">
        <f t="shared" si="14"/>
        <v>rg:None</v>
      </c>
      <c r="M109" s="4" t="str">
        <f t="shared" si="15"/>
        <v>rg:[]</v>
      </c>
      <c r="N109" t="s">
        <v>6510</v>
      </c>
      <c r="O109" t="s">
        <v>6510</v>
      </c>
      <c r="P109" t="s">
        <v>6510</v>
      </c>
      <c r="Q109" t="str">
        <f t="shared" si="17"/>
        <v>200000</v>
      </c>
    </row>
    <row r="110" spans="1:17" x14ac:dyDescent="0.3">
      <c r="A110" t="s">
        <v>5386</v>
      </c>
      <c r="B110" t="s">
        <v>2928</v>
      </c>
      <c r="C110" t="str">
        <f>VLOOKUP(B110,ServiceAreas.csv!C:J,8,FALSE)</f>
        <v>200000</v>
      </c>
      <c r="D110" t="str">
        <f t="shared" si="18"/>
        <v>rg{'id': '200000'}'</v>
      </c>
      <c r="E110" s="1" t="str">
        <f ca="1">MID(Names!G64,FIND(" ",Names!G64)+1,LEN(Names!G64)-FIND(" ", Names!G64))&amp;" "&amp;INDEX(PROJ_EXT_Name,RANDBETWEEN(2,12))</f>
        <v>Sixth Street Upgrade</v>
      </c>
      <c r="F110" s="1" t="s">
        <v>7014</v>
      </c>
      <c r="G110">
        <f t="shared" si="12"/>
        <v>40108</v>
      </c>
      <c r="H110">
        <f>IF(ISNUMBER(#REF!),#REF!+1,500000)</f>
        <v>500000</v>
      </c>
      <c r="I110" t="s">
        <v>6687</v>
      </c>
      <c r="J110" t="s">
        <v>6510</v>
      </c>
      <c r="K110" t="str">
        <f>IFERROR(VLOOKUP(F110,Contacts.csv!C:D,2,FALSE),"")</f>
        <v/>
      </c>
      <c r="L110" t="str">
        <f t="shared" si="14"/>
        <v>rg:None</v>
      </c>
      <c r="M110" s="4" t="str">
        <f t="shared" si="15"/>
        <v>rg:[]</v>
      </c>
      <c r="N110" t="s">
        <v>6510</v>
      </c>
      <c r="O110" t="s">
        <v>6510</v>
      </c>
      <c r="P110" t="s">
        <v>6510</v>
      </c>
      <c r="Q110" t="str">
        <f t="shared" si="17"/>
        <v>200000</v>
      </c>
    </row>
    <row r="111" spans="1:17" x14ac:dyDescent="0.3">
      <c r="A111" t="s">
        <v>5386</v>
      </c>
      <c r="B111" t="s">
        <v>2928</v>
      </c>
      <c r="C111" t="str">
        <f>VLOOKUP(B111,ServiceAreas.csv!C:J,8,FALSE)</f>
        <v>200000</v>
      </c>
      <c r="D111" t="str">
        <f t="shared" si="18"/>
        <v>rg{'id': '200000'}'</v>
      </c>
      <c r="E111" s="1" t="str">
        <f ca="1">MID(Names!G68,FIND(" ",Names!G68)+1,LEN(Names!G68)-FIND(" ", Names!G68))&amp;" "&amp;INDEX(PROJ_EXT_Name,RANDBETWEEN(2,12))</f>
        <v>James Street Overpass</v>
      </c>
      <c r="F111" s="1" t="s">
        <v>7015</v>
      </c>
      <c r="G111">
        <f t="shared" si="12"/>
        <v>40109</v>
      </c>
      <c r="H111">
        <f>IF(ISNUMBER(#REF!),#REF!+1,500000)</f>
        <v>500000</v>
      </c>
      <c r="I111" t="s">
        <v>6687</v>
      </c>
      <c r="J111" t="s">
        <v>6510</v>
      </c>
      <c r="K111" t="str">
        <f>IFERROR(VLOOKUP(F111,Contacts.csv!C:D,2,FALSE),"")</f>
        <v/>
      </c>
      <c r="L111" t="str">
        <f t="shared" si="14"/>
        <v>rg:None</v>
      </c>
      <c r="M111" s="4" t="str">
        <f t="shared" si="15"/>
        <v>rg:[]</v>
      </c>
      <c r="N111" t="s">
        <v>6510</v>
      </c>
      <c r="O111" t="s">
        <v>6510</v>
      </c>
      <c r="P111" t="s">
        <v>6510</v>
      </c>
      <c r="Q111" t="str">
        <f t="shared" si="17"/>
        <v>200000</v>
      </c>
    </row>
    <row r="112" spans="1:17" x14ac:dyDescent="0.3">
      <c r="A112" t="s">
        <v>5386</v>
      </c>
      <c r="B112" t="s">
        <v>2928</v>
      </c>
      <c r="C112" t="str">
        <f>VLOOKUP(B112,ServiceAreas.csv!C:J,8,FALSE)</f>
        <v>200000</v>
      </c>
      <c r="D112" t="str">
        <f t="shared" si="18"/>
        <v>rg{'id': '200000'}'</v>
      </c>
      <c r="E112" s="1" t="str">
        <f ca="1">MID(Names!G69,FIND(" ",Names!G69)+1,LEN(Names!G69)-FIND(" ", Names!G69))&amp;" "&amp;INDEX(PROJ_EXT_Name,RANDBETWEEN(2,12))</f>
        <v>Tolmie St HOV Lane</v>
      </c>
      <c r="F112" s="1" t="s">
        <v>7016</v>
      </c>
      <c r="G112">
        <f t="shared" si="12"/>
        <v>40110</v>
      </c>
      <c r="H112">
        <f t="shared" si="19"/>
        <v>500001</v>
      </c>
      <c r="I112" t="s">
        <v>6687</v>
      </c>
      <c r="J112" t="s">
        <v>6510</v>
      </c>
      <c r="K112" t="str">
        <f>IFERROR(VLOOKUP(F112,Contacts.csv!C:D,2,FALSE),"")</f>
        <v/>
      </c>
      <c r="L112" t="str">
        <f t="shared" si="14"/>
        <v>rg:None</v>
      </c>
      <c r="M112" s="4" t="str">
        <f t="shared" si="15"/>
        <v>rg:[]</v>
      </c>
      <c r="N112" t="s">
        <v>6510</v>
      </c>
      <c r="O112" t="s">
        <v>6510</v>
      </c>
      <c r="P112" t="s">
        <v>6510</v>
      </c>
      <c r="Q112" t="str">
        <f t="shared" si="17"/>
        <v>200000</v>
      </c>
    </row>
    <row r="113" spans="1:17" x14ac:dyDescent="0.3">
      <c r="A113" t="s">
        <v>5386</v>
      </c>
      <c r="B113" t="s">
        <v>2928</v>
      </c>
      <c r="C113" t="str">
        <f>VLOOKUP(B113,ServiceAreas.csv!C:J,8,FALSE)</f>
        <v>200000</v>
      </c>
      <c r="D113" t="str">
        <f t="shared" si="18"/>
        <v>rg{'id': '200000'}'</v>
      </c>
      <c r="E113" s="1" t="str">
        <f ca="1">MID(Names!G72,FIND(" ",Names!G72)+1,LEN(Names!G72)-FIND(" ", Names!G72))&amp;" "&amp;INDEX(PROJ_EXT_Name,RANDBETWEEN(2,12))</f>
        <v>Coldstream Avenue Bypass</v>
      </c>
      <c r="F113" s="1" t="s">
        <v>7017</v>
      </c>
      <c r="G113">
        <f t="shared" si="12"/>
        <v>40111</v>
      </c>
      <c r="H113">
        <f>IF(ISNUMBER(#REF!),#REF!+1,500000)</f>
        <v>500000</v>
      </c>
      <c r="I113" t="s">
        <v>6687</v>
      </c>
      <c r="J113" t="s">
        <v>6510</v>
      </c>
      <c r="K113" t="str">
        <f>IFERROR(VLOOKUP(F113,Contacts.csv!C:D,2,FALSE),"")</f>
        <v/>
      </c>
      <c r="L113" t="str">
        <f t="shared" ref="L113:L149" si="20">IF(ISNUMBER(K113),"rg:{'id':'" &amp; K113 &amp; "'}","rg:None")</f>
        <v>rg:None</v>
      </c>
      <c r="M113" s="4" t="str">
        <f t="shared" ref="M113:M149" si="21">IF(ISNUMBER(K113),"rg:[{'id':'" &amp; K113 &amp; "'}]","rg:[]")</f>
        <v>rg:[]</v>
      </c>
      <c r="N113" t="s">
        <v>6510</v>
      </c>
      <c r="O113" t="s">
        <v>6510</v>
      </c>
      <c r="P113" t="s">
        <v>6510</v>
      </c>
      <c r="Q113" t="str">
        <f t="shared" si="17"/>
        <v>200000</v>
      </c>
    </row>
    <row r="114" spans="1:17" x14ac:dyDescent="0.3">
      <c r="A114" t="s">
        <v>5386</v>
      </c>
      <c r="B114" t="s">
        <v>2953</v>
      </c>
      <c r="C114" t="str">
        <f>VLOOKUP(B114,ServiceAreas.csv!C:J,8,FALSE)</f>
        <v>200004</v>
      </c>
      <c r="D114" t="str">
        <f t="shared" si="18"/>
        <v>rg{'id': '200004'}'</v>
      </c>
      <c r="E114" s="1" t="str">
        <f ca="1">MID(Names!G73,FIND(" ",Names!G73)+1,LEN(Names!G73)-FIND(" ", Names!G73))&amp;" "&amp;INDEX(PROJ_EXT_Name,RANDBETWEEN(2,12))</f>
        <v>Lake City Way Building</v>
      </c>
      <c r="F114" s="1" t="s">
        <v>7018</v>
      </c>
      <c r="G114">
        <f t="shared" si="12"/>
        <v>40112</v>
      </c>
      <c r="H114">
        <f t="shared" si="19"/>
        <v>500001</v>
      </c>
      <c r="I114" t="s">
        <v>6687</v>
      </c>
      <c r="J114" t="s">
        <v>6510</v>
      </c>
      <c r="K114" t="str">
        <f>IFERROR(VLOOKUP(F114,Contacts.csv!C:D,2,FALSE),"")</f>
        <v/>
      </c>
      <c r="L114" t="str">
        <f t="shared" si="20"/>
        <v>rg:None</v>
      </c>
      <c r="M114" s="4" t="str">
        <f t="shared" si="21"/>
        <v>rg:[]</v>
      </c>
      <c r="N114" t="s">
        <v>6510</v>
      </c>
      <c r="O114" t="s">
        <v>6510</v>
      </c>
      <c r="P114" t="s">
        <v>6510</v>
      </c>
      <c r="Q114" t="str">
        <f t="shared" si="17"/>
        <v>200004</v>
      </c>
    </row>
    <row r="115" spans="1:17" x14ac:dyDescent="0.3">
      <c r="A115" t="s">
        <v>5386</v>
      </c>
      <c r="B115" t="s">
        <v>2953</v>
      </c>
      <c r="C115" t="str">
        <f>VLOOKUP(B115,ServiceAreas.csv!C:J,8,FALSE)</f>
        <v>200004</v>
      </c>
      <c r="D115" t="str">
        <f t="shared" si="18"/>
        <v>rg{'id': '200004'}'</v>
      </c>
      <c r="E115" s="1" t="str">
        <f ca="1">MID(Names!G74,FIND(" ",Names!G74)+1,LEN(Names!G74)-FIND(" ", Names!G74))&amp;" "&amp;INDEX(PROJ_EXT_Name,RANDBETWEEN(2,12))</f>
        <v>Roger Street Express Lane</v>
      </c>
      <c r="F115" s="1" t="s">
        <v>6897</v>
      </c>
      <c r="G115">
        <f t="shared" si="12"/>
        <v>40113</v>
      </c>
      <c r="H115">
        <f t="shared" si="19"/>
        <v>500002</v>
      </c>
      <c r="I115" t="s">
        <v>6687</v>
      </c>
      <c r="J115" t="s">
        <v>6510</v>
      </c>
      <c r="K115" t="str">
        <f>IFERROR(VLOOKUP(F115,Contacts.csv!C:D,2,FALSE),"")</f>
        <v/>
      </c>
      <c r="L115" t="str">
        <f t="shared" si="20"/>
        <v>rg:None</v>
      </c>
      <c r="M115" s="4" t="str">
        <f t="shared" si="21"/>
        <v>rg:[]</v>
      </c>
      <c r="N115" t="s">
        <v>6510</v>
      </c>
      <c r="O115" t="s">
        <v>6510</v>
      </c>
      <c r="P115" t="s">
        <v>6510</v>
      </c>
      <c r="Q115" t="str">
        <f t="shared" si="17"/>
        <v>200004</v>
      </c>
    </row>
    <row r="116" spans="1:17" x14ac:dyDescent="0.3">
      <c r="A116" t="s">
        <v>5386</v>
      </c>
      <c r="B116" t="s">
        <v>2953</v>
      </c>
      <c r="C116" t="str">
        <f>VLOOKUP(B116,ServiceAreas.csv!C:J,8,FALSE)</f>
        <v>200004</v>
      </c>
      <c r="D116" t="str">
        <f t="shared" si="18"/>
        <v>rg{'id': '200004'}'</v>
      </c>
      <c r="E116" s="1" t="str">
        <f ca="1">MID(Names!G75,FIND(" ",Names!G75)+1,LEN(Names!G75)-FIND(" ", Names!G75))&amp;" "&amp;INDEX(PROJ_EXT_Name,RANDBETWEEN(2,12))</f>
        <v>Essendene Avenue Bridge Replacement</v>
      </c>
      <c r="F116" s="1" t="s">
        <v>7019</v>
      </c>
      <c r="G116">
        <f t="shared" si="12"/>
        <v>40114</v>
      </c>
      <c r="H116">
        <f t="shared" si="19"/>
        <v>500003</v>
      </c>
      <c r="I116" t="s">
        <v>6687</v>
      </c>
      <c r="J116" t="s">
        <v>6510</v>
      </c>
      <c r="K116" t="str">
        <f>IFERROR(VLOOKUP(F116,Contacts.csv!C:D,2,FALSE),"")</f>
        <v/>
      </c>
      <c r="L116" t="str">
        <f t="shared" si="20"/>
        <v>rg:None</v>
      </c>
      <c r="M116" s="4" t="str">
        <f t="shared" si="21"/>
        <v>rg:[]</v>
      </c>
      <c r="N116" t="s">
        <v>6510</v>
      </c>
      <c r="O116" t="s">
        <v>6510</v>
      </c>
      <c r="P116" t="s">
        <v>6510</v>
      </c>
      <c r="Q116" t="str">
        <f t="shared" si="17"/>
        <v>200004</v>
      </c>
    </row>
    <row r="117" spans="1:17" x14ac:dyDescent="0.3">
      <c r="A117" t="s">
        <v>5386</v>
      </c>
      <c r="B117" t="s">
        <v>2953</v>
      </c>
      <c r="C117" t="str">
        <f>VLOOKUP(B117,ServiceAreas.csv!C:J,8,FALSE)</f>
        <v>200004</v>
      </c>
      <c r="D117" t="str">
        <f t="shared" si="18"/>
        <v>rg{'id': '200004'}'</v>
      </c>
      <c r="E117" s="1" t="str">
        <f ca="1">MID(Names!G76,FIND(" ",Names!G76)+1,LEN(Names!G76)-FIND(" ", Names!G76))&amp;" "&amp;INDEX(PROJ_EXT_Name,RANDBETWEEN(2,12))</f>
        <v>Blanshard Bridge</v>
      </c>
      <c r="F117" s="1" t="s">
        <v>6924</v>
      </c>
      <c r="G117">
        <f t="shared" si="12"/>
        <v>40115</v>
      </c>
      <c r="H117">
        <f t="shared" si="19"/>
        <v>500004</v>
      </c>
      <c r="I117" t="s">
        <v>6687</v>
      </c>
      <c r="J117" t="s">
        <v>6510</v>
      </c>
      <c r="K117" t="str">
        <f>IFERROR(VLOOKUP(F117,Contacts.csv!C:D,2,FALSE),"")</f>
        <v/>
      </c>
      <c r="L117" t="str">
        <f t="shared" si="20"/>
        <v>rg:None</v>
      </c>
      <c r="M117" s="4" t="str">
        <f t="shared" si="21"/>
        <v>rg:[]</v>
      </c>
      <c r="N117" t="s">
        <v>6510</v>
      </c>
      <c r="O117" t="s">
        <v>6510</v>
      </c>
      <c r="P117" t="s">
        <v>6510</v>
      </c>
      <c r="Q117" t="str">
        <f t="shared" si="17"/>
        <v>200004</v>
      </c>
    </row>
    <row r="118" spans="1:17" x14ac:dyDescent="0.3">
      <c r="A118" t="s">
        <v>5386</v>
      </c>
      <c r="B118" t="s">
        <v>2953</v>
      </c>
      <c r="C118" t="str">
        <f>VLOOKUP(B118,ServiceAreas.csv!C:J,8,FALSE)</f>
        <v>200004</v>
      </c>
      <c r="D118" t="str">
        <f t="shared" si="18"/>
        <v>rg{'id': '200004'}'</v>
      </c>
      <c r="E118" s="1" t="str">
        <f ca="1">MID(Names!G77,FIND(" ",Names!G77)+1,LEN(Names!G77)-FIND(" ", Names!G77))&amp;" "&amp;INDEX(PROJ_EXT_Name,RANDBETWEEN(2,12))</f>
        <v>Wallace Street Expressway</v>
      </c>
      <c r="F118" s="1" t="s">
        <v>6918</v>
      </c>
      <c r="G118">
        <f t="shared" si="12"/>
        <v>40116</v>
      </c>
      <c r="H118">
        <f t="shared" si="19"/>
        <v>500005</v>
      </c>
      <c r="I118" t="s">
        <v>6687</v>
      </c>
      <c r="J118" t="s">
        <v>6510</v>
      </c>
      <c r="K118" t="str">
        <f>IFERROR(VLOOKUP(F118,Contacts.csv!C:D,2,FALSE),"")</f>
        <v/>
      </c>
      <c r="L118" t="str">
        <f t="shared" si="20"/>
        <v>rg:None</v>
      </c>
      <c r="M118" s="4" t="str">
        <f t="shared" si="21"/>
        <v>rg:[]</v>
      </c>
      <c r="N118" t="s">
        <v>6510</v>
      </c>
      <c r="O118" t="s">
        <v>6510</v>
      </c>
      <c r="P118" t="s">
        <v>6510</v>
      </c>
      <c r="Q118" t="str">
        <f t="shared" si="17"/>
        <v>200004</v>
      </c>
    </row>
    <row r="119" spans="1:17" x14ac:dyDescent="0.3">
      <c r="A119" t="s">
        <v>5386</v>
      </c>
      <c r="B119" t="s">
        <v>2953</v>
      </c>
      <c r="C119" t="str">
        <f>VLOOKUP(B119,ServiceAreas.csv!C:J,8,FALSE)</f>
        <v>200004</v>
      </c>
      <c r="D119" t="str">
        <f t="shared" si="18"/>
        <v>rg{'id': '200004'}'</v>
      </c>
      <c r="E119" s="1" t="str">
        <f ca="1">MID(Names!G80,FIND(" ",Names!G80)+1,LEN(Names!G80)-FIND(" ", Names!G80))&amp;" "&amp;INDEX(PROJ_EXT_Name,RANDBETWEEN(2,12))</f>
        <v>Burdett Avenue Express Lane</v>
      </c>
      <c r="F119" s="1" t="s">
        <v>7020</v>
      </c>
      <c r="G119">
        <f t="shared" si="12"/>
        <v>40117</v>
      </c>
      <c r="H119">
        <f>IF(ISNUMBER(#REF!),#REF!+1,500000)</f>
        <v>500000</v>
      </c>
      <c r="I119" t="s">
        <v>6687</v>
      </c>
      <c r="J119" t="s">
        <v>6510</v>
      </c>
      <c r="K119" t="str">
        <f>IFERROR(VLOOKUP(F119,Contacts.csv!C:D,2,FALSE),"")</f>
        <v/>
      </c>
      <c r="L119" t="str">
        <f t="shared" si="20"/>
        <v>rg:None</v>
      </c>
      <c r="M119" s="4" t="str">
        <f t="shared" si="21"/>
        <v>rg:[]</v>
      </c>
      <c r="N119" t="s">
        <v>6510</v>
      </c>
      <c r="O119" t="s">
        <v>6510</v>
      </c>
      <c r="P119" t="s">
        <v>6510</v>
      </c>
      <c r="Q119" t="str">
        <f t="shared" si="17"/>
        <v>200004</v>
      </c>
    </row>
    <row r="120" spans="1:17" x14ac:dyDescent="0.3">
      <c r="A120" t="s">
        <v>5386</v>
      </c>
      <c r="B120" t="s">
        <v>2953</v>
      </c>
      <c r="C120" t="str">
        <f>VLOOKUP(B120,ServiceAreas.csv!C:J,8,FALSE)</f>
        <v>200004</v>
      </c>
      <c r="D120" t="str">
        <f t="shared" si="18"/>
        <v>rg{'id': '200004'}'</v>
      </c>
      <c r="E120" s="1" t="str">
        <f ca="1">MID(Names!G82,FIND(" ",Names!G82)+1,LEN(Names!G82)-FIND(" ", Names!G82))&amp;" "&amp;INDEX(PROJ_EXT_Name,RANDBETWEEN(2,12))</f>
        <v>Tchesinkut Lake Rd Bypass</v>
      </c>
      <c r="F120" s="1" t="s">
        <v>7021</v>
      </c>
      <c r="G120">
        <f t="shared" si="12"/>
        <v>40118</v>
      </c>
      <c r="H120">
        <f>IF(ISNUMBER(#REF!),#REF!+1,500000)</f>
        <v>500000</v>
      </c>
      <c r="I120" t="s">
        <v>6687</v>
      </c>
      <c r="J120" t="s">
        <v>6510</v>
      </c>
      <c r="K120" t="str">
        <f>IFERROR(VLOOKUP(F120,Contacts.csv!C:D,2,FALSE),"")</f>
        <v/>
      </c>
      <c r="L120" t="str">
        <f t="shared" si="20"/>
        <v>rg:None</v>
      </c>
      <c r="M120" s="4" t="str">
        <f t="shared" si="21"/>
        <v>rg:[]</v>
      </c>
      <c r="N120" t="s">
        <v>6510</v>
      </c>
      <c r="O120" t="s">
        <v>6510</v>
      </c>
      <c r="P120" t="s">
        <v>6510</v>
      </c>
      <c r="Q120" t="str">
        <f t="shared" si="17"/>
        <v>200004</v>
      </c>
    </row>
    <row r="121" spans="1:17" x14ac:dyDescent="0.3">
      <c r="A121" t="s">
        <v>5386</v>
      </c>
      <c r="B121" t="s">
        <v>22</v>
      </c>
      <c r="C121" t="str">
        <f>VLOOKUP(B121,ServiceAreas.csv!C:J,8,FALSE)</f>
        <v>200003</v>
      </c>
      <c r="D121" t="str">
        <f t="shared" si="18"/>
        <v>rg{'id': '200003'}'</v>
      </c>
      <c r="E121" s="1" t="str">
        <f ca="1">MID(Names!G83,FIND(" ",Names!G83)+1,LEN(Names!G83)-FIND(" ", Names!G83))&amp;" "&amp;INDEX(PROJ_EXT_Name,RANDBETWEEN(2,12))</f>
        <v>Blind Bay Road Bridge Replacement</v>
      </c>
      <c r="F121" s="1" t="s">
        <v>6906</v>
      </c>
      <c r="G121">
        <f t="shared" si="12"/>
        <v>40119</v>
      </c>
      <c r="H121">
        <f t="shared" si="19"/>
        <v>500001</v>
      </c>
      <c r="I121" t="s">
        <v>6687</v>
      </c>
      <c r="J121" t="s">
        <v>6510</v>
      </c>
      <c r="K121" t="str">
        <f>IFERROR(VLOOKUP(F121,Contacts.csv!C:D,2,FALSE),"")</f>
        <v/>
      </c>
      <c r="L121" t="str">
        <f t="shared" si="20"/>
        <v>rg:None</v>
      </c>
      <c r="M121" s="4" t="str">
        <f t="shared" si="21"/>
        <v>rg:[]</v>
      </c>
      <c r="N121" t="s">
        <v>6510</v>
      </c>
      <c r="O121" t="s">
        <v>6510</v>
      </c>
      <c r="P121" t="s">
        <v>6510</v>
      </c>
      <c r="Q121" t="str">
        <f t="shared" si="17"/>
        <v>200003</v>
      </c>
    </row>
    <row r="122" spans="1:17" x14ac:dyDescent="0.3">
      <c r="A122" t="s">
        <v>5386</v>
      </c>
      <c r="B122" t="s">
        <v>22</v>
      </c>
      <c r="C122" t="str">
        <f>VLOOKUP(B122,ServiceAreas.csv!C:J,8,FALSE)</f>
        <v>200003</v>
      </c>
      <c r="D122" t="str">
        <f t="shared" si="18"/>
        <v>rg{'id': '200003'}'</v>
      </c>
      <c r="E122" s="1" t="str">
        <f ca="1">MID(Names!G90,FIND(" ",Names!G90)+1,LEN(Names!G90)-FIND(" ", Names!G90))&amp;" "&amp;INDEX(PROJ_EXT_Name,RANDBETWEEN(2,12))</f>
        <v>Tchesinkut Lake Rd Bypass</v>
      </c>
      <c r="F122" s="1" t="s">
        <v>7022</v>
      </c>
      <c r="G122">
        <f t="shared" si="12"/>
        <v>40120</v>
      </c>
      <c r="H122">
        <f>IF(ISNUMBER(#REF!),#REF!+1,500000)</f>
        <v>500000</v>
      </c>
      <c r="I122" t="s">
        <v>6687</v>
      </c>
      <c r="J122" t="s">
        <v>6510</v>
      </c>
      <c r="K122" t="str">
        <f>IFERROR(VLOOKUP(F122,Contacts.csv!C:D,2,FALSE),"")</f>
        <v/>
      </c>
      <c r="L122" t="str">
        <f t="shared" si="20"/>
        <v>rg:None</v>
      </c>
      <c r="M122" s="4" t="str">
        <f t="shared" si="21"/>
        <v>rg:[]</v>
      </c>
      <c r="N122" t="s">
        <v>6510</v>
      </c>
      <c r="O122" t="s">
        <v>6510</v>
      </c>
      <c r="P122" t="s">
        <v>6510</v>
      </c>
      <c r="Q122" t="str">
        <f t="shared" si="17"/>
        <v>200003</v>
      </c>
    </row>
    <row r="123" spans="1:17" x14ac:dyDescent="0.3">
      <c r="A123" t="s">
        <v>5386</v>
      </c>
      <c r="B123" t="s">
        <v>22</v>
      </c>
      <c r="C123" t="str">
        <f>VLOOKUP(B123,ServiceAreas.csv!C:J,8,FALSE)</f>
        <v>200003</v>
      </c>
      <c r="D123" t="str">
        <f t="shared" si="18"/>
        <v>rg{'id': '200003'}'</v>
      </c>
      <c r="E123" s="1" t="str">
        <f ca="1">MID(Names!G93,FIND(" ",Names!G93)+1,LEN(Names!G93)-FIND(" ", Names!G93))&amp;" "&amp;INDEX(PROJ_EXT_Name,RANDBETWEEN(2,12))</f>
        <v>Stum Lake Road Bypass</v>
      </c>
      <c r="F123" s="1" t="s">
        <v>7023</v>
      </c>
      <c r="G123">
        <f t="shared" si="12"/>
        <v>40121</v>
      </c>
      <c r="H123">
        <f>IF(ISNUMBER(#REF!),#REF!+1,500000)</f>
        <v>500000</v>
      </c>
      <c r="I123" t="s">
        <v>6687</v>
      </c>
      <c r="J123" t="s">
        <v>6510</v>
      </c>
      <c r="K123" t="str">
        <f>IFERROR(VLOOKUP(F123,Contacts.csv!C:D,2,FALSE),"")</f>
        <v/>
      </c>
      <c r="L123" t="str">
        <f t="shared" si="20"/>
        <v>rg:None</v>
      </c>
      <c r="M123" s="4" t="str">
        <f t="shared" si="21"/>
        <v>rg:[]</v>
      </c>
      <c r="N123" t="s">
        <v>6510</v>
      </c>
      <c r="O123" t="s">
        <v>6510</v>
      </c>
      <c r="P123" t="s">
        <v>6510</v>
      </c>
      <c r="Q123" t="str">
        <f t="shared" si="17"/>
        <v>200003</v>
      </c>
    </row>
    <row r="124" spans="1:17" x14ac:dyDescent="0.3">
      <c r="A124" t="s">
        <v>5386</v>
      </c>
      <c r="B124" t="s">
        <v>22</v>
      </c>
      <c r="C124" t="str">
        <f>VLOOKUP(B124,ServiceAreas.csv!C:J,8,FALSE)</f>
        <v>200003</v>
      </c>
      <c r="D124" t="str">
        <f t="shared" si="18"/>
        <v>rg{'id': '200003'}'</v>
      </c>
      <c r="E124" s="1" t="str">
        <f ca="1">MID(Names!G94,FIND(" ",Names!G94)+1,LEN(Names!G94)-FIND(" ", Names!G94))&amp;" "&amp;INDEX(PROJ_EXT_Name,RANDBETWEEN(2,12))</f>
        <v>Yoho Valley Road Cloverleaf</v>
      </c>
      <c r="F124" s="1" t="s">
        <v>7024</v>
      </c>
      <c r="G124">
        <f t="shared" si="12"/>
        <v>40122</v>
      </c>
      <c r="H124">
        <f t="shared" si="19"/>
        <v>500001</v>
      </c>
      <c r="I124" t="s">
        <v>6687</v>
      </c>
      <c r="J124" t="s">
        <v>6510</v>
      </c>
      <c r="K124" t="str">
        <f>IFERROR(VLOOKUP(F124,Contacts.csv!C:D,2,FALSE),"")</f>
        <v/>
      </c>
      <c r="L124" t="str">
        <f t="shared" si="20"/>
        <v>rg:None</v>
      </c>
      <c r="M124" s="4" t="str">
        <f t="shared" si="21"/>
        <v>rg:[]</v>
      </c>
      <c r="N124" t="s">
        <v>6510</v>
      </c>
      <c r="O124" t="s">
        <v>6510</v>
      </c>
      <c r="P124" t="s">
        <v>6510</v>
      </c>
      <c r="Q124" t="str">
        <f t="shared" si="17"/>
        <v>200003</v>
      </c>
    </row>
    <row r="125" spans="1:17" x14ac:dyDescent="0.3">
      <c r="A125" t="s">
        <v>5386</v>
      </c>
      <c r="B125" t="s">
        <v>22</v>
      </c>
      <c r="C125" t="str">
        <f>VLOOKUP(B125,ServiceAreas.csv!C:J,8,FALSE)</f>
        <v>200003</v>
      </c>
      <c r="D125" t="str">
        <f t="shared" si="18"/>
        <v>rg{'id': '200003'}'</v>
      </c>
      <c r="E125" s="1" t="str">
        <f ca="1">MID(Names!G95,FIND(" ",Names!G95)+1,LEN(Names!G95)-FIND(" ", Names!G95))&amp;" "&amp;INDEX(PROJ_EXT_Name,RANDBETWEEN(2,12))</f>
        <v>Keith Road Bridge</v>
      </c>
      <c r="F125" s="1" t="s">
        <v>6922</v>
      </c>
      <c r="G125">
        <f t="shared" si="12"/>
        <v>40123</v>
      </c>
      <c r="H125">
        <f t="shared" si="19"/>
        <v>500002</v>
      </c>
      <c r="I125" t="s">
        <v>6687</v>
      </c>
      <c r="J125" t="s">
        <v>6510</v>
      </c>
      <c r="K125" t="str">
        <f>IFERROR(VLOOKUP(F125,Contacts.csv!C:D,2,FALSE),"")</f>
        <v/>
      </c>
      <c r="L125" t="str">
        <f t="shared" si="20"/>
        <v>rg:None</v>
      </c>
      <c r="M125" s="4" t="str">
        <f t="shared" si="21"/>
        <v>rg:[]</v>
      </c>
      <c r="N125" t="s">
        <v>6510</v>
      </c>
      <c r="O125" t="s">
        <v>6510</v>
      </c>
      <c r="P125" t="s">
        <v>6510</v>
      </c>
      <c r="Q125" t="str">
        <f t="shared" si="17"/>
        <v>200003</v>
      </c>
    </row>
    <row r="126" spans="1:17" x14ac:dyDescent="0.3">
      <c r="A126" t="s">
        <v>5386</v>
      </c>
      <c r="B126" t="s">
        <v>22</v>
      </c>
      <c r="C126" t="str">
        <f>VLOOKUP(B126,ServiceAreas.csv!C:J,8,FALSE)</f>
        <v>200003</v>
      </c>
      <c r="D126" t="str">
        <f t="shared" si="18"/>
        <v>rg{'id': '200003'}'</v>
      </c>
      <c r="E126" s="1" t="str">
        <f ca="1">MID(Names!G96,FIND(" ",Names!G96)+1,LEN(Names!G96)-FIND(" ", Names!G96))&amp;" "&amp;INDEX(PROJ_EXT_Name,RANDBETWEEN(2,12))</f>
        <v>Burdett Avenue Bypass</v>
      </c>
      <c r="F126" s="1" t="s">
        <v>7025</v>
      </c>
      <c r="G126">
        <f t="shared" si="12"/>
        <v>40124</v>
      </c>
      <c r="H126">
        <f t="shared" si="19"/>
        <v>500003</v>
      </c>
      <c r="I126" t="s">
        <v>6687</v>
      </c>
      <c r="J126" t="s">
        <v>6510</v>
      </c>
      <c r="K126" t="str">
        <f>IFERROR(VLOOKUP(F126,Contacts.csv!C:D,2,FALSE),"")</f>
        <v/>
      </c>
      <c r="L126" t="str">
        <f t="shared" si="20"/>
        <v>rg:None</v>
      </c>
      <c r="M126" s="4" t="str">
        <f t="shared" si="21"/>
        <v>rg:[]</v>
      </c>
      <c r="N126" t="s">
        <v>6510</v>
      </c>
      <c r="O126" t="s">
        <v>6510</v>
      </c>
      <c r="P126" t="s">
        <v>6510</v>
      </c>
      <c r="Q126" t="str">
        <f t="shared" si="17"/>
        <v>200003</v>
      </c>
    </row>
    <row r="127" spans="1:17" x14ac:dyDescent="0.3">
      <c r="A127" t="s">
        <v>5386</v>
      </c>
      <c r="B127" t="s">
        <v>22</v>
      </c>
      <c r="C127" t="str">
        <f>VLOOKUP(B127,ServiceAreas.csv!C:J,8,FALSE)</f>
        <v>200003</v>
      </c>
      <c r="D127" t="str">
        <f t="shared" si="18"/>
        <v>rg{'id': '200003'}'</v>
      </c>
      <c r="E127" s="1" t="str">
        <f ca="1">MID(Names!G98,FIND(" ",Names!G98)+1,LEN(Names!G98)-FIND(" ", Names!G98))&amp;" "&amp;INDEX(PROJ_EXT_Name,RANDBETWEEN(2,12))</f>
        <v>Quayside Dr Extension</v>
      </c>
      <c r="F127" s="1" t="s">
        <v>7026</v>
      </c>
      <c r="G127">
        <f t="shared" si="12"/>
        <v>40125</v>
      </c>
      <c r="H127">
        <f>IF(ISNUMBER(#REF!),#REF!+1,500000)</f>
        <v>500000</v>
      </c>
      <c r="I127" t="s">
        <v>6687</v>
      </c>
      <c r="J127" t="s">
        <v>6510</v>
      </c>
      <c r="K127" t="str">
        <f>IFERROR(VLOOKUP(F127,Contacts.csv!C:D,2,FALSE),"")</f>
        <v/>
      </c>
      <c r="L127" t="str">
        <f t="shared" si="20"/>
        <v>rg:None</v>
      </c>
      <c r="M127" s="4" t="str">
        <f t="shared" si="21"/>
        <v>rg:[]</v>
      </c>
      <c r="N127" t="s">
        <v>6510</v>
      </c>
      <c r="O127" t="s">
        <v>6510</v>
      </c>
      <c r="P127" t="s">
        <v>6510</v>
      </c>
      <c r="Q127" t="str">
        <f t="shared" si="17"/>
        <v>200003</v>
      </c>
    </row>
    <row r="128" spans="1:17" x14ac:dyDescent="0.3">
      <c r="A128" t="s">
        <v>5386</v>
      </c>
      <c r="B128" t="s">
        <v>2952</v>
      </c>
      <c r="C128" t="str">
        <f>VLOOKUP(B128,ServiceAreas.csv!C:J,8,FALSE)</f>
        <v>200002</v>
      </c>
      <c r="D128" t="str">
        <f t="shared" si="18"/>
        <v>rg{'id': '200002'}'</v>
      </c>
      <c r="E128" s="1" t="str">
        <f ca="1">MID(Names!G99,FIND(" ",Names!G99)+1,LEN(Names!G99)-FIND(" ", Names!G99))&amp;" "&amp;INDEX(PROJ_EXT_Name,RANDBETWEEN(2,12))</f>
        <v>Jade St Express Lane</v>
      </c>
      <c r="F128" s="1" t="s">
        <v>6929</v>
      </c>
      <c r="G128">
        <f t="shared" si="12"/>
        <v>40126</v>
      </c>
      <c r="H128">
        <f t="shared" si="19"/>
        <v>500001</v>
      </c>
      <c r="I128" t="s">
        <v>6687</v>
      </c>
      <c r="J128" t="s">
        <v>6510</v>
      </c>
      <c r="K128" t="str">
        <f>IFERROR(VLOOKUP(F128,Contacts.csv!C:D,2,FALSE),"")</f>
        <v/>
      </c>
      <c r="L128" t="str">
        <f t="shared" si="20"/>
        <v>rg:None</v>
      </c>
      <c r="M128" s="4" t="str">
        <f t="shared" si="21"/>
        <v>rg:[]</v>
      </c>
      <c r="N128" t="s">
        <v>6510</v>
      </c>
      <c r="O128" t="s">
        <v>6510</v>
      </c>
      <c r="P128" t="s">
        <v>6510</v>
      </c>
      <c r="Q128" t="str">
        <f t="shared" si="17"/>
        <v>200002</v>
      </c>
    </row>
    <row r="129" spans="1:17" x14ac:dyDescent="0.3">
      <c r="A129" t="s">
        <v>5386</v>
      </c>
      <c r="B129" t="s">
        <v>2952</v>
      </c>
      <c r="C129" t="str">
        <f>VLOOKUP(B129,ServiceAreas.csv!C:J,8,FALSE)</f>
        <v>200002</v>
      </c>
      <c r="D129" t="str">
        <f t="shared" si="18"/>
        <v>rg{'id': '200002'}'</v>
      </c>
      <c r="E129" s="1" t="str">
        <f ca="1">MID(Names!G100,FIND(" ",Names!G100)+1,LEN(Names!G100)-FIND(" ", Names!G100))&amp;" "&amp;INDEX(PROJ_EXT_Name,RANDBETWEEN(2,12))</f>
        <v>Robson St Cloverleaf</v>
      </c>
      <c r="F129" s="1" t="s">
        <v>7027</v>
      </c>
      <c r="G129">
        <f t="shared" si="12"/>
        <v>40127</v>
      </c>
      <c r="H129">
        <f t="shared" si="19"/>
        <v>500002</v>
      </c>
      <c r="I129" t="s">
        <v>6687</v>
      </c>
      <c r="J129" t="s">
        <v>6510</v>
      </c>
      <c r="K129" t="str">
        <f>IFERROR(VLOOKUP(F129,Contacts.csv!C:D,2,FALSE),"")</f>
        <v/>
      </c>
      <c r="L129" t="str">
        <f t="shared" si="20"/>
        <v>rg:None</v>
      </c>
      <c r="M129" s="4" t="str">
        <f t="shared" si="21"/>
        <v>rg:[]</v>
      </c>
      <c r="N129" t="s">
        <v>6510</v>
      </c>
      <c r="O129" t="s">
        <v>6510</v>
      </c>
      <c r="P129" t="s">
        <v>6510</v>
      </c>
      <c r="Q129" t="str">
        <f t="shared" si="17"/>
        <v>200002</v>
      </c>
    </row>
    <row r="130" spans="1:17" x14ac:dyDescent="0.3">
      <c r="A130" t="s">
        <v>5386</v>
      </c>
      <c r="B130" t="s">
        <v>2952</v>
      </c>
      <c r="C130" t="str">
        <f>VLOOKUP(B130,ServiceAreas.csv!C:J,8,FALSE)</f>
        <v>200002</v>
      </c>
      <c r="D130" t="str">
        <f t="shared" si="18"/>
        <v>rg{'id': '200002'}'</v>
      </c>
      <c r="E130" s="1" t="str">
        <f ca="1">MID(Names!G101,FIND(" ",Names!G101)+1,LEN(Names!G101)-FIND(" ", Names!G101))&amp;" "&amp;INDEX(PROJ_EXT_Name,RANDBETWEEN(2,12))</f>
        <v>Robson St Expressway</v>
      </c>
      <c r="F130" s="1" t="s">
        <v>7028</v>
      </c>
      <c r="G130">
        <f t="shared" si="12"/>
        <v>40128</v>
      </c>
      <c r="H130">
        <f t="shared" si="19"/>
        <v>500003</v>
      </c>
      <c r="I130" t="s">
        <v>6687</v>
      </c>
      <c r="J130" t="s">
        <v>6510</v>
      </c>
      <c r="K130" t="str">
        <f>IFERROR(VLOOKUP(F130,Contacts.csv!C:D,2,FALSE),"")</f>
        <v/>
      </c>
      <c r="L130" t="str">
        <f t="shared" si="20"/>
        <v>rg:None</v>
      </c>
      <c r="M130" s="4" t="str">
        <f t="shared" si="21"/>
        <v>rg:[]</v>
      </c>
      <c r="N130" t="s">
        <v>6510</v>
      </c>
      <c r="O130" t="s">
        <v>6510</v>
      </c>
      <c r="P130" t="s">
        <v>6510</v>
      </c>
      <c r="Q130" t="str">
        <f t="shared" ref="Q130:Q155" si="22">C130</f>
        <v>200002</v>
      </c>
    </row>
    <row r="131" spans="1:17" x14ac:dyDescent="0.3">
      <c r="A131" t="s">
        <v>5386</v>
      </c>
      <c r="B131" t="s">
        <v>2952</v>
      </c>
      <c r="C131" t="str">
        <f>VLOOKUP(B131,ServiceAreas.csv!C:J,8,FALSE)</f>
        <v>200002</v>
      </c>
      <c r="D131" t="str">
        <f t="shared" si="18"/>
        <v>rg{'id': '200002'}'</v>
      </c>
      <c r="E131" s="1" t="str">
        <f ca="1">MID(Names!G104,FIND(" ",Names!G104)+1,LEN(Names!G104)-FIND(" ", Names!G104))&amp;" "&amp;INDEX(PROJ_EXT_Name,RANDBETWEEN(2,12))</f>
        <v>Carlson Road Bridge</v>
      </c>
      <c r="F131" s="1" t="s">
        <v>7029</v>
      </c>
      <c r="G131">
        <f t="shared" si="12"/>
        <v>40129</v>
      </c>
      <c r="H131">
        <f>IF(ISNUMBER(#REF!),#REF!+1,500000)</f>
        <v>500000</v>
      </c>
      <c r="I131" t="s">
        <v>6687</v>
      </c>
      <c r="J131" t="s">
        <v>6510</v>
      </c>
      <c r="K131" t="str">
        <f>IFERROR(VLOOKUP(F131,Contacts.csv!C:D,2,FALSE),"")</f>
        <v/>
      </c>
      <c r="L131" t="str">
        <f t="shared" si="20"/>
        <v>rg:None</v>
      </c>
      <c r="M131" s="4" t="str">
        <f t="shared" si="21"/>
        <v>rg:[]</v>
      </c>
      <c r="N131" t="s">
        <v>6510</v>
      </c>
      <c r="O131" t="s">
        <v>6510</v>
      </c>
      <c r="P131" t="s">
        <v>6510</v>
      </c>
      <c r="Q131" t="str">
        <f t="shared" si="22"/>
        <v>200002</v>
      </c>
    </row>
    <row r="132" spans="1:17" x14ac:dyDescent="0.3">
      <c r="A132" t="s">
        <v>5386</v>
      </c>
      <c r="B132" t="s">
        <v>2952</v>
      </c>
      <c r="C132" t="str">
        <f>VLOOKUP(B132,ServiceAreas.csv!C:J,8,FALSE)</f>
        <v>200002</v>
      </c>
      <c r="D132" t="str">
        <f t="shared" si="18"/>
        <v>rg{'id': '200002'}'</v>
      </c>
      <c r="E132" s="1" t="str">
        <f ca="1">MID(Names!G107,FIND(" ",Names!G107)+1,LEN(Names!G107)-FIND(" ", Names!G107))&amp;" "&amp;INDEX(PROJ_EXT_Name,RANDBETWEEN(2,12))</f>
        <v>McGill Road Express Lane</v>
      </c>
      <c r="F132" s="1" t="s">
        <v>7030</v>
      </c>
      <c r="G132">
        <f t="shared" ref="G132:G155" si="23">G131+1</f>
        <v>40130</v>
      </c>
      <c r="H132">
        <f>IF(ISNUMBER(#REF!),#REF!+1,500000)</f>
        <v>500000</v>
      </c>
      <c r="I132" t="s">
        <v>6687</v>
      </c>
      <c r="J132" t="s">
        <v>6510</v>
      </c>
      <c r="K132" t="str">
        <f>IFERROR(VLOOKUP(F132,Contacts.csv!C:D,2,FALSE),"")</f>
        <v/>
      </c>
      <c r="L132" t="str">
        <f t="shared" si="20"/>
        <v>rg:None</v>
      </c>
      <c r="M132" s="4" t="str">
        <f t="shared" si="21"/>
        <v>rg:[]</v>
      </c>
      <c r="N132" t="s">
        <v>6510</v>
      </c>
      <c r="O132" t="s">
        <v>6510</v>
      </c>
      <c r="P132" t="s">
        <v>6510</v>
      </c>
      <c r="Q132" t="str">
        <f t="shared" si="22"/>
        <v>200002</v>
      </c>
    </row>
    <row r="133" spans="1:17" x14ac:dyDescent="0.3">
      <c r="A133" t="s">
        <v>5386</v>
      </c>
      <c r="B133" t="s">
        <v>2952</v>
      </c>
      <c r="C133" t="str">
        <f>VLOOKUP(B133,ServiceAreas.csv!C:J,8,FALSE)</f>
        <v>200002</v>
      </c>
      <c r="D133" t="str">
        <f t="shared" si="18"/>
        <v>rg{'id': '200002'}'</v>
      </c>
      <c r="E133" s="1" t="str">
        <f ca="1">MID(Names!G108,FIND(" ",Names!G108)+1,LEN(Names!G108)-FIND(" ", Names!G108))&amp;" "&amp;INDEX(PROJ_EXT_Name,RANDBETWEEN(2,12))</f>
        <v>Russell Avenue Building</v>
      </c>
      <c r="F133" s="1" t="s">
        <v>7031</v>
      </c>
      <c r="G133">
        <f t="shared" si="23"/>
        <v>40131</v>
      </c>
      <c r="H133">
        <f t="shared" si="19"/>
        <v>500001</v>
      </c>
      <c r="I133" t="s">
        <v>6687</v>
      </c>
      <c r="J133" t="s">
        <v>6510</v>
      </c>
      <c r="K133" t="str">
        <f>IFERROR(VLOOKUP(F133,Contacts.csv!C:D,2,FALSE),"")</f>
        <v/>
      </c>
      <c r="L133" t="str">
        <f t="shared" si="20"/>
        <v>rg:None</v>
      </c>
      <c r="M133" s="4" t="str">
        <f t="shared" si="21"/>
        <v>rg:[]</v>
      </c>
      <c r="N133" t="s">
        <v>6510</v>
      </c>
      <c r="O133" t="s">
        <v>6510</v>
      </c>
      <c r="P133" t="s">
        <v>6510</v>
      </c>
      <c r="Q133" t="str">
        <f t="shared" si="22"/>
        <v>200002</v>
      </c>
    </row>
    <row r="134" spans="1:17" x14ac:dyDescent="0.3">
      <c r="A134" t="s">
        <v>5386</v>
      </c>
      <c r="B134" t="s">
        <v>2952</v>
      </c>
      <c r="C134" t="str">
        <f>VLOOKUP(B134,ServiceAreas.csv!C:J,8,FALSE)</f>
        <v>200002</v>
      </c>
      <c r="D134" t="str">
        <f t="shared" si="18"/>
        <v>rg{'id': '200002'}'</v>
      </c>
      <c r="E134" s="1" t="str">
        <f ca="1">MID(Names!G110,FIND(" ",Names!G110)+1,LEN(Names!G110)-FIND(" ", Names!G110))&amp;" "&amp;INDEX(PROJ_EXT_Name,RANDBETWEEN(2,12))</f>
        <v>Findlay Creek Road Bridge Replacement</v>
      </c>
      <c r="F134" s="1" t="s">
        <v>7032</v>
      </c>
      <c r="G134">
        <f t="shared" si="23"/>
        <v>40132</v>
      </c>
      <c r="H134">
        <f>IF(ISNUMBER(#REF!),#REF!+1,500000)</f>
        <v>500000</v>
      </c>
      <c r="I134" t="s">
        <v>6687</v>
      </c>
      <c r="J134" t="s">
        <v>6510</v>
      </c>
      <c r="K134" t="str">
        <f>IFERROR(VLOOKUP(F134,Contacts.csv!C:D,2,FALSE),"")</f>
        <v/>
      </c>
      <c r="L134" t="str">
        <f t="shared" si="20"/>
        <v>rg:None</v>
      </c>
      <c r="M134" s="4" t="str">
        <f t="shared" si="21"/>
        <v>rg:[]</v>
      </c>
      <c r="N134" t="s">
        <v>6510</v>
      </c>
      <c r="O134" t="s">
        <v>6510</v>
      </c>
      <c r="P134" t="s">
        <v>6510</v>
      </c>
      <c r="Q134" t="str">
        <f t="shared" si="22"/>
        <v>200002</v>
      </c>
    </row>
    <row r="135" spans="1:17" x14ac:dyDescent="0.3">
      <c r="A135" t="s">
        <v>5386</v>
      </c>
      <c r="B135" t="s">
        <v>2956</v>
      </c>
      <c r="C135" t="str">
        <f>VLOOKUP(B135,ServiceAreas.csv!C:J,8,FALSE)</f>
        <v>200007</v>
      </c>
      <c r="D135" t="str">
        <f t="shared" si="18"/>
        <v>rg{'id': '200007'}'</v>
      </c>
      <c r="E135" s="1" t="str">
        <f ca="1">MID(Names!G117,FIND(" ",Names!G117)+1,LEN(Names!G117)-FIND(" ", Names!G117))&amp;" "&amp;INDEX(PROJ_EXT_Name,RANDBETWEEN(2,12))</f>
        <v>Brew Creek Rd Cloverleaf</v>
      </c>
      <c r="F135" s="1" t="s">
        <v>7033</v>
      </c>
      <c r="G135">
        <f t="shared" si="23"/>
        <v>40133</v>
      </c>
      <c r="H135">
        <f>IF(ISNUMBER(#REF!),#REF!+1,500000)</f>
        <v>500000</v>
      </c>
      <c r="I135" t="s">
        <v>6687</v>
      </c>
      <c r="J135" t="s">
        <v>6510</v>
      </c>
      <c r="K135" t="str">
        <f>IFERROR(VLOOKUP(F135,Contacts.csv!C:D,2,FALSE),"")</f>
        <v/>
      </c>
      <c r="L135" t="str">
        <f t="shared" si="20"/>
        <v>rg:None</v>
      </c>
      <c r="M135" s="4" t="str">
        <f t="shared" si="21"/>
        <v>rg:[]</v>
      </c>
      <c r="N135" t="s">
        <v>6510</v>
      </c>
      <c r="O135" t="s">
        <v>6510</v>
      </c>
      <c r="P135" t="s">
        <v>6510</v>
      </c>
      <c r="Q135" t="str">
        <f t="shared" si="22"/>
        <v>200007</v>
      </c>
    </row>
    <row r="136" spans="1:17" x14ac:dyDescent="0.3">
      <c r="A136" t="s">
        <v>5386</v>
      </c>
      <c r="B136" t="s">
        <v>2956</v>
      </c>
      <c r="C136" t="str">
        <f>VLOOKUP(B136,ServiceAreas.csv!C:J,8,FALSE)</f>
        <v>200007</v>
      </c>
      <c r="D136" t="str">
        <f t="shared" si="18"/>
        <v>rg{'id': '200007'}'</v>
      </c>
      <c r="E136" s="1" t="str">
        <f ca="1">MID(Names!G118,FIND(" ",Names!G118)+1,LEN(Names!G118)-FIND(" ", Names!G118))&amp;" "&amp;INDEX(PROJ_EXT_Name,RANDBETWEEN(2,12))</f>
        <v>Roger Street Express Lane</v>
      </c>
      <c r="F136" s="1" t="s">
        <v>6894</v>
      </c>
      <c r="G136">
        <f t="shared" si="23"/>
        <v>40134</v>
      </c>
      <c r="H136">
        <f t="shared" si="19"/>
        <v>500001</v>
      </c>
      <c r="I136" t="s">
        <v>6687</v>
      </c>
      <c r="J136" t="s">
        <v>6510</v>
      </c>
      <c r="K136" t="str">
        <f>IFERROR(VLOOKUP(F136,Contacts.csv!C:D,2,FALSE),"")</f>
        <v/>
      </c>
      <c r="L136" t="str">
        <f t="shared" si="20"/>
        <v>rg:None</v>
      </c>
      <c r="M136" s="4" t="str">
        <f t="shared" si="21"/>
        <v>rg:[]</v>
      </c>
      <c r="N136" t="s">
        <v>6510</v>
      </c>
      <c r="O136" t="s">
        <v>6510</v>
      </c>
      <c r="P136" t="s">
        <v>6510</v>
      </c>
      <c r="Q136" t="str">
        <f t="shared" si="22"/>
        <v>200007</v>
      </c>
    </row>
    <row r="137" spans="1:17" x14ac:dyDescent="0.3">
      <c r="A137" t="s">
        <v>5386</v>
      </c>
      <c r="B137" t="s">
        <v>2956</v>
      </c>
      <c r="C137" t="str">
        <f>VLOOKUP(B137,ServiceAreas.csv!C:J,8,FALSE)</f>
        <v>200007</v>
      </c>
      <c r="D137" t="str">
        <f t="shared" si="18"/>
        <v>rg{'id': '200007'}'</v>
      </c>
      <c r="E137" s="1" t="str">
        <f ca="1">MID(Names!G119,FIND(" ",Names!G119)+1,LEN(Names!G119)-FIND(" ", Names!G119))&amp;" "&amp;INDEX(PROJ_EXT_Name,RANDBETWEEN(2,12))</f>
        <v>Quayside Dr Cloverleaf</v>
      </c>
      <c r="F137" s="1" t="s">
        <v>7034</v>
      </c>
      <c r="G137">
        <f t="shared" si="23"/>
        <v>40135</v>
      </c>
      <c r="H137">
        <f t="shared" si="19"/>
        <v>500002</v>
      </c>
      <c r="I137" t="s">
        <v>6687</v>
      </c>
      <c r="J137" t="s">
        <v>6510</v>
      </c>
      <c r="K137" t="str">
        <f>IFERROR(VLOOKUP(F137,Contacts.csv!C:D,2,FALSE),"")</f>
        <v/>
      </c>
      <c r="L137" t="str">
        <f t="shared" si="20"/>
        <v>rg:None</v>
      </c>
      <c r="M137" s="4" t="str">
        <f t="shared" si="21"/>
        <v>rg:[]</v>
      </c>
      <c r="N137" t="s">
        <v>6510</v>
      </c>
      <c r="O137" t="s">
        <v>6510</v>
      </c>
      <c r="P137" t="s">
        <v>6510</v>
      </c>
      <c r="Q137" t="str">
        <f t="shared" si="22"/>
        <v>200007</v>
      </c>
    </row>
    <row r="138" spans="1:17" x14ac:dyDescent="0.3">
      <c r="A138" t="s">
        <v>5386</v>
      </c>
      <c r="B138" t="s">
        <v>2956</v>
      </c>
      <c r="C138" t="str">
        <f>VLOOKUP(B138,ServiceAreas.csv!C:J,8,FALSE)</f>
        <v>200007</v>
      </c>
      <c r="D138" t="str">
        <f t="shared" si="18"/>
        <v>rg{'id': '200007'}'</v>
      </c>
      <c r="E138" s="1" t="str">
        <f ca="1">MID(Names!G120,FIND(" ",Names!G120)+1,LEN(Names!G120)-FIND(" ", Names!G120))&amp;" "&amp;INDEX(PROJ_EXT_Name,RANDBETWEEN(2,12))</f>
        <v>Haaglund Rd Extension</v>
      </c>
      <c r="F138" s="1" t="s">
        <v>6932</v>
      </c>
      <c r="G138">
        <f t="shared" si="23"/>
        <v>40136</v>
      </c>
      <c r="H138">
        <f t="shared" si="19"/>
        <v>500003</v>
      </c>
      <c r="I138" t="s">
        <v>6687</v>
      </c>
      <c r="J138" t="s">
        <v>6510</v>
      </c>
      <c r="K138" t="str">
        <f>IFERROR(VLOOKUP(F138,Contacts.csv!C:D,2,FALSE),"")</f>
        <v/>
      </c>
      <c r="L138" t="str">
        <f t="shared" si="20"/>
        <v>rg:None</v>
      </c>
      <c r="M138" s="4" t="str">
        <f t="shared" si="21"/>
        <v>rg:[]</v>
      </c>
      <c r="N138" t="s">
        <v>6510</v>
      </c>
      <c r="O138" t="s">
        <v>6510</v>
      </c>
      <c r="P138" t="s">
        <v>6510</v>
      </c>
      <c r="Q138" t="str">
        <f t="shared" si="22"/>
        <v>200007</v>
      </c>
    </row>
    <row r="139" spans="1:17" x14ac:dyDescent="0.3">
      <c r="A139" t="s">
        <v>5386</v>
      </c>
      <c r="B139" t="s">
        <v>2956</v>
      </c>
      <c r="C139" t="str">
        <f>VLOOKUP(B139,ServiceAreas.csv!C:J,8,FALSE)</f>
        <v>200007</v>
      </c>
      <c r="D139" t="str">
        <f t="shared" si="18"/>
        <v>rg{'id': '200007'}'</v>
      </c>
      <c r="E139" s="1" t="str">
        <f ca="1">MID(Names!G121,FIND(" ",Names!G121)+1,LEN(Names!G121)-FIND(" ", Names!G121))&amp;" "&amp;INDEX(PROJ_EXT_Name,RANDBETWEEN(2,12))</f>
        <v>Tchesinkut Lake Rd Upgrade</v>
      </c>
      <c r="F139" s="1" t="s">
        <v>7035</v>
      </c>
      <c r="G139">
        <f t="shared" si="23"/>
        <v>40137</v>
      </c>
      <c r="H139">
        <f t="shared" si="19"/>
        <v>500004</v>
      </c>
      <c r="I139" t="s">
        <v>6687</v>
      </c>
      <c r="J139" t="s">
        <v>6510</v>
      </c>
      <c r="K139" t="str">
        <f>IFERROR(VLOOKUP(F139,Contacts.csv!C:D,2,FALSE),"")</f>
        <v/>
      </c>
      <c r="L139" t="str">
        <f t="shared" si="20"/>
        <v>rg:None</v>
      </c>
      <c r="M139" s="4" t="str">
        <f t="shared" si="21"/>
        <v>rg:[]</v>
      </c>
      <c r="N139" t="s">
        <v>6510</v>
      </c>
      <c r="O139" t="s">
        <v>6510</v>
      </c>
      <c r="P139" t="s">
        <v>6510</v>
      </c>
      <c r="Q139" t="str">
        <f t="shared" si="22"/>
        <v>200007</v>
      </c>
    </row>
    <row r="140" spans="1:17" x14ac:dyDescent="0.3">
      <c r="A140" t="s">
        <v>5386</v>
      </c>
      <c r="B140" t="s">
        <v>2956</v>
      </c>
      <c r="C140" t="str">
        <f>VLOOKUP(B140,ServiceAreas.csv!C:J,8,FALSE)</f>
        <v>200007</v>
      </c>
      <c r="D140" t="str">
        <f t="shared" si="18"/>
        <v>rg{'id': '200007'}'</v>
      </c>
      <c r="E140" s="1" t="str">
        <f ca="1">MID(Names!G124,FIND(" ",Names!G124)+1,LEN(Names!G124)-FIND(" ", Names!G124))&amp;" "&amp;INDEX(PROJ_EXT_Name,RANDBETWEEN(2,12))</f>
        <v>Stum Lake Road Express Lane</v>
      </c>
      <c r="F140" s="1" t="s">
        <v>7036</v>
      </c>
      <c r="G140">
        <f t="shared" si="23"/>
        <v>40138</v>
      </c>
      <c r="H140">
        <f>IF(ISNUMBER(#REF!),#REF!+1,500000)</f>
        <v>500000</v>
      </c>
      <c r="I140" t="s">
        <v>6687</v>
      </c>
      <c r="J140" t="s">
        <v>6510</v>
      </c>
      <c r="K140" t="str">
        <f>IFERROR(VLOOKUP(F140,Contacts.csv!C:D,2,FALSE),"")</f>
        <v/>
      </c>
      <c r="L140" t="str">
        <f t="shared" si="20"/>
        <v>rg:None</v>
      </c>
      <c r="M140" s="4" t="str">
        <f t="shared" si="21"/>
        <v>rg:[]</v>
      </c>
      <c r="N140" t="s">
        <v>6510</v>
      </c>
      <c r="O140" t="s">
        <v>6510</v>
      </c>
      <c r="P140" t="s">
        <v>6510</v>
      </c>
      <c r="Q140" t="str">
        <f t="shared" si="22"/>
        <v>200007</v>
      </c>
    </row>
    <row r="141" spans="1:17" x14ac:dyDescent="0.3">
      <c r="A141" t="s">
        <v>5386</v>
      </c>
      <c r="B141" t="s">
        <v>2956</v>
      </c>
      <c r="C141" t="str">
        <f>VLOOKUP(B141,ServiceAreas.csv!C:J,8,FALSE)</f>
        <v>200007</v>
      </c>
      <c r="D141" t="str">
        <f t="shared" ref="D141:D155" si="24">"rg{'id': '"&amp;C141&amp;"'}'"</f>
        <v>rg{'id': '200007'}'</v>
      </c>
      <c r="E141" s="1" t="str">
        <f ca="1">MID(Names!G126,FIND(" ",Names!G126)+1,LEN(Names!G126)-FIND(" ", Names!G126))&amp;" "&amp;INDEX(PROJ_EXT_Name,RANDBETWEEN(2,12))</f>
        <v>Shaughnessy St Expressway</v>
      </c>
      <c r="F141" s="1" t="s">
        <v>7037</v>
      </c>
      <c r="G141">
        <f t="shared" si="23"/>
        <v>40139</v>
      </c>
      <c r="H141">
        <f>IF(ISNUMBER(#REF!),#REF!+1,500000)</f>
        <v>500000</v>
      </c>
      <c r="I141" t="s">
        <v>6687</v>
      </c>
      <c r="J141" t="s">
        <v>6510</v>
      </c>
      <c r="K141" t="str">
        <f>IFERROR(VLOOKUP(F141,Contacts.csv!C:D,2,FALSE),"")</f>
        <v/>
      </c>
      <c r="L141" t="str">
        <f t="shared" si="20"/>
        <v>rg:None</v>
      </c>
      <c r="M141" s="4" t="str">
        <f t="shared" si="21"/>
        <v>rg:[]</v>
      </c>
      <c r="N141" t="s">
        <v>6510</v>
      </c>
      <c r="O141" t="s">
        <v>6510</v>
      </c>
      <c r="P141" t="s">
        <v>6510</v>
      </c>
      <c r="Q141" t="str">
        <f t="shared" si="22"/>
        <v>200007</v>
      </c>
    </row>
    <row r="142" spans="1:17" x14ac:dyDescent="0.3">
      <c r="A142" t="s">
        <v>5386</v>
      </c>
      <c r="B142" t="s">
        <v>2954</v>
      </c>
      <c r="C142" t="str">
        <f>VLOOKUP(B142,ServiceAreas.csv!C:J,8,FALSE)</f>
        <v>200005</v>
      </c>
      <c r="D142" t="str">
        <f t="shared" si="24"/>
        <v>rg{'id': '200005'}'</v>
      </c>
      <c r="E142" s="1" t="str">
        <f ca="1">MID(Names!G128,FIND(" ",Names!G128)+1,LEN(Names!G128)-FIND(" ", Names!G128))&amp;" "&amp;INDEX(PROJ_EXT_Name,RANDBETWEEN(2,12))</f>
        <v>Shaughnessy St Extension</v>
      </c>
      <c r="F142" s="1" t="s">
        <v>6925</v>
      </c>
      <c r="G142">
        <f t="shared" si="23"/>
        <v>40140</v>
      </c>
      <c r="H142">
        <f>IF(ISNUMBER(#REF!),#REF!+1,500000)</f>
        <v>500000</v>
      </c>
      <c r="I142" t="s">
        <v>6687</v>
      </c>
      <c r="J142" t="s">
        <v>6510</v>
      </c>
      <c r="K142" t="str">
        <f>IFERROR(VLOOKUP(F142,Contacts.csv!C:D,2,FALSE),"")</f>
        <v/>
      </c>
      <c r="L142" t="str">
        <f t="shared" si="20"/>
        <v>rg:None</v>
      </c>
      <c r="M142" s="4" t="str">
        <f t="shared" si="21"/>
        <v>rg:[]</v>
      </c>
      <c r="N142" t="s">
        <v>6510</v>
      </c>
      <c r="O142" t="s">
        <v>6510</v>
      </c>
      <c r="P142" t="s">
        <v>6510</v>
      </c>
      <c r="Q142" t="str">
        <f t="shared" si="22"/>
        <v>200005</v>
      </c>
    </row>
    <row r="143" spans="1:17" x14ac:dyDescent="0.3">
      <c r="A143" t="s">
        <v>5386</v>
      </c>
      <c r="B143" t="s">
        <v>2954</v>
      </c>
      <c r="C143" t="str">
        <f>VLOOKUP(B143,ServiceAreas.csv!C:J,8,FALSE)</f>
        <v>200005</v>
      </c>
      <c r="D143" t="str">
        <f t="shared" si="24"/>
        <v>rg{'id': '200005'}'</v>
      </c>
      <c r="E143" s="1" t="str">
        <f ca="1">MID(Names!G129,FIND(" ",Names!G129)+1,LEN(Names!G129)-FIND(" ", Names!G129))&amp;" "&amp;INDEX(PROJ_EXT_Name,RANDBETWEEN(2,12))</f>
        <v>Cordova Street Building</v>
      </c>
      <c r="F143" s="1" t="s">
        <v>7038</v>
      </c>
      <c r="G143">
        <f t="shared" si="23"/>
        <v>40141</v>
      </c>
      <c r="H143">
        <f t="shared" ref="H143:H153" si="25">IF(ISNUMBER(H142),H142+1,500000)</f>
        <v>500001</v>
      </c>
      <c r="I143" t="s">
        <v>6687</v>
      </c>
      <c r="J143" t="s">
        <v>6510</v>
      </c>
      <c r="K143" t="str">
        <f>IFERROR(VLOOKUP(F143,Contacts.csv!C:D,2,FALSE),"")</f>
        <v/>
      </c>
      <c r="L143" t="str">
        <f t="shared" si="20"/>
        <v>rg:None</v>
      </c>
      <c r="M143" s="4" t="str">
        <f t="shared" si="21"/>
        <v>rg:[]</v>
      </c>
      <c r="N143" t="s">
        <v>6510</v>
      </c>
      <c r="O143" t="s">
        <v>6510</v>
      </c>
      <c r="P143" t="s">
        <v>6510</v>
      </c>
      <c r="Q143" t="str">
        <f t="shared" si="22"/>
        <v>200005</v>
      </c>
    </row>
    <row r="144" spans="1:17" x14ac:dyDescent="0.3">
      <c r="A144" t="s">
        <v>5386</v>
      </c>
      <c r="B144" t="s">
        <v>2954</v>
      </c>
      <c r="C144" t="str">
        <f>VLOOKUP(B144,ServiceAreas.csv!C:J,8,FALSE)</f>
        <v>200005</v>
      </c>
      <c r="D144" t="str">
        <f t="shared" si="24"/>
        <v>rg{'id': '200005'}'</v>
      </c>
      <c r="E144" s="1" t="str">
        <f ca="1">MID(Names!G130,FIND(" ",Names!G130)+1,LEN(Names!G130)-FIND(" ", Names!G130))&amp;" "&amp;INDEX(PROJ_EXT_Name,RANDBETWEEN(2,12))</f>
        <v>Mesa Vista Drive Overpass</v>
      </c>
      <c r="F144" s="1" t="s">
        <v>7039</v>
      </c>
      <c r="G144">
        <f t="shared" si="23"/>
        <v>40142</v>
      </c>
      <c r="H144">
        <f t="shared" si="25"/>
        <v>500002</v>
      </c>
      <c r="I144" t="s">
        <v>6687</v>
      </c>
      <c r="J144" t="s">
        <v>6510</v>
      </c>
      <c r="K144" t="str">
        <f>IFERROR(VLOOKUP(F144,Contacts.csv!C:D,2,FALSE),"")</f>
        <v/>
      </c>
      <c r="L144" t="str">
        <f t="shared" si="20"/>
        <v>rg:None</v>
      </c>
      <c r="M144" s="4" t="str">
        <f t="shared" si="21"/>
        <v>rg:[]</v>
      </c>
      <c r="N144" t="s">
        <v>6510</v>
      </c>
      <c r="O144" t="s">
        <v>6510</v>
      </c>
      <c r="P144" t="s">
        <v>6510</v>
      </c>
      <c r="Q144" t="str">
        <f t="shared" si="22"/>
        <v>200005</v>
      </c>
    </row>
    <row r="145" spans="1:17" x14ac:dyDescent="0.3">
      <c r="A145" t="s">
        <v>5386</v>
      </c>
      <c r="B145" t="s">
        <v>2954</v>
      </c>
      <c r="C145" t="str">
        <f>VLOOKUP(B145,ServiceAreas.csv!C:J,8,FALSE)</f>
        <v>200005</v>
      </c>
      <c r="D145" t="str">
        <f t="shared" si="24"/>
        <v>rg{'id': '200005'}'</v>
      </c>
      <c r="E145" s="1" t="str">
        <f ca="1">MID(Names!G131,FIND(" ",Names!G131)+1,LEN(Names!G131)-FIND(" ", Names!G131))&amp;" "&amp;INDEX(PROJ_EXT_Name,RANDBETWEEN(2,12))</f>
        <v>Blanshard Cloverleaf</v>
      </c>
      <c r="F145" s="1" t="s">
        <v>7040</v>
      </c>
      <c r="G145">
        <f t="shared" si="23"/>
        <v>40143</v>
      </c>
      <c r="H145">
        <f t="shared" si="25"/>
        <v>500003</v>
      </c>
      <c r="I145" t="s">
        <v>6687</v>
      </c>
      <c r="J145" t="s">
        <v>6510</v>
      </c>
      <c r="K145" t="str">
        <f>IFERROR(VLOOKUP(F145,Contacts.csv!C:D,2,FALSE),"")</f>
        <v/>
      </c>
      <c r="L145" t="str">
        <f t="shared" si="20"/>
        <v>rg:None</v>
      </c>
      <c r="M145" s="4" t="str">
        <f t="shared" si="21"/>
        <v>rg:[]</v>
      </c>
      <c r="N145" t="s">
        <v>6510</v>
      </c>
      <c r="O145" t="s">
        <v>6510</v>
      </c>
      <c r="P145" t="s">
        <v>6510</v>
      </c>
      <c r="Q145" t="str">
        <f t="shared" si="22"/>
        <v>200005</v>
      </c>
    </row>
    <row r="146" spans="1:17" x14ac:dyDescent="0.3">
      <c r="A146" t="s">
        <v>5386</v>
      </c>
      <c r="B146" t="s">
        <v>2954</v>
      </c>
      <c r="C146" t="str">
        <f>VLOOKUP(B146,ServiceAreas.csv!C:J,8,FALSE)</f>
        <v>200005</v>
      </c>
      <c r="D146" t="str">
        <f t="shared" si="24"/>
        <v>rg{'id': '200005'}'</v>
      </c>
      <c r="E146" s="1" t="str">
        <f ca="1">MID(Names!G133,FIND(" ",Names!G133)+1,LEN(Names!G133)-FIND(" ", Names!G133))&amp;" "&amp;INDEX(PROJ_EXT_Name,RANDBETWEEN(2,12))</f>
        <v>Cordova Street Building</v>
      </c>
      <c r="F146" s="1" t="s">
        <v>7041</v>
      </c>
      <c r="G146">
        <f t="shared" si="23"/>
        <v>40144</v>
      </c>
      <c r="H146">
        <f>IF(ISNUMBER(#REF!),#REF!+1,500000)</f>
        <v>500000</v>
      </c>
      <c r="I146" t="s">
        <v>6687</v>
      </c>
      <c r="J146" t="s">
        <v>6510</v>
      </c>
      <c r="K146" t="str">
        <f>IFERROR(VLOOKUP(F146,Contacts.csv!C:D,2,FALSE),"")</f>
        <v/>
      </c>
      <c r="L146" t="str">
        <f t="shared" si="20"/>
        <v>rg:None</v>
      </c>
      <c r="M146" s="4" t="str">
        <f t="shared" si="21"/>
        <v>rg:[]</v>
      </c>
      <c r="N146" t="s">
        <v>6510</v>
      </c>
      <c r="O146" t="s">
        <v>6510</v>
      </c>
      <c r="P146" t="s">
        <v>6510</v>
      </c>
      <c r="Q146" t="str">
        <f t="shared" si="22"/>
        <v>200005</v>
      </c>
    </row>
    <row r="147" spans="1:17" x14ac:dyDescent="0.3">
      <c r="A147" t="s">
        <v>5386</v>
      </c>
      <c r="B147" t="s">
        <v>2954</v>
      </c>
      <c r="C147" t="str">
        <f>VLOOKUP(B147,ServiceAreas.csv!C:J,8,FALSE)</f>
        <v>200005</v>
      </c>
      <c r="D147" t="str">
        <f t="shared" si="24"/>
        <v>rg{'id': '200005'}'</v>
      </c>
      <c r="E147" s="1" t="str">
        <f ca="1">MID(Names!G134,FIND(" ",Names!G134)+1,LEN(Names!G134)-FIND(" ", Names!G134))&amp;" "&amp;INDEX(PROJ_EXT_Name,RANDBETWEEN(2,12))</f>
        <v>Kinchant St Bypass</v>
      </c>
      <c r="F147" s="1" t="s">
        <v>7042</v>
      </c>
      <c r="G147">
        <f t="shared" si="23"/>
        <v>40145</v>
      </c>
      <c r="H147">
        <f t="shared" si="25"/>
        <v>500001</v>
      </c>
      <c r="I147" t="s">
        <v>6687</v>
      </c>
      <c r="J147" t="s">
        <v>6510</v>
      </c>
      <c r="K147" t="str">
        <f>IFERROR(VLOOKUP(F147,Contacts.csv!C:D,2,FALSE),"")</f>
        <v/>
      </c>
      <c r="L147" t="str">
        <f t="shared" si="20"/>
        <v>rg:None</v>
      </c>
      <c r="M147" s="4" t="str">
        <f t="shared" si="21"/>
        <v>rg:[]</v>
      </c>
      <c r="N147" t="s">
        <v>6510</v>
      </c>
      <c r="O147" t="s">
        <v>6510</v>
      </c>
      <c r="P147" t="s">
        <v>6510</v>
      </c>
      <c r="Q147" t="str">
        <f t="shared" si="22"/>
        <v>200005</v>
      </c>
    </row>
    <row r="148" spans="1:17" x14ac:dyDescent="0.3">
      <c r="A148" t="s">
        <v>5386</v>
      </c>
      <c r="B148" t="s">
        <v>2954</v>
      </c>
      <c r="C148" t="str">
        <f>VLOOKUP(B148,ServiceAreas.csv!C:J,8,FALSE)</f>
        <v>200005</v>
      </c>
      <c r="D148" t="str">
        <f t="shared" si="24"/>
        <v>rg{'id': '200005'}'</v>
      </c>
      <c r="E148" s="1" t="str">
        <f ca="1">MID(Names!G138,FIND(" ",Names!G138)+1,LEN(Names!G138)-FIND(" ", Names!G138))&amp;" "&amp;INDEX(PROJ_EXT_Name,RANDBETWEEN(2,12))</f>
        <v>Alaska Hwy Cloverleaf</v>
      </c>
      <c r="F148" s="1" t="s">
        <v>7043</v>
      </c>
      <c r="G148">
        <f t="shared" si="23"/>
        <v>40146</v>
      </c>
      <c r="H148">
        <f>IF(ISNUMBER(#REF!),#REF!+1,500000)</f>
        <v>500000</v>
      </c>
      <c r="I148" t="s">
        <v>6687</v>
      </c>
      <c r="J148" t="s">
        <v>6510</v>
      </c>
      <c r="K148" t="str">
        <f>IFERROR(VLOOKUP(F148,Contacts.csv!C:D,2,FALSE),"")</f>
        <v/>
      </c>
      <c r="L148" t="str">
        <f t="shared" si="20"/>
        <v>rg:None</v>
      </c>
      <c r="M148" s="4" t="str">
        <f t="shared" si="21"/>
        <v>rg:[]</v>
      </c>
      <c r="N148" t="s">
        <v>6510</v>
      </c>
      <c r="O148" t="s">
        <v>6510</v>
      </c>
      <c r="P148" t="s">
        <v>6510</v>
      </c>
      <c r="Q148" t="str">
        <f t="shared" si="22"/>
        <v>200005</v>
      </c>
    </row>
    <row r="149" spans="1:17" x14ac:dyDescent="0.3">
      <c r="A149" t="s">
        <v>5386</v>
      </c>
      <c r="B149" t="s">
        <v>2957</v>
      </c>
      <c r="C149" t="str">
        <f>VLOOKUP(B149,ServiceAreas.csv!C:J,8,FALSE)</f>
        <v>200009</v>
      </c>
      <c r="D149" t="str">
        <f t="shared" si="24"/>
        <v>rg{'id': '200009'}'</v>
      </c>
      <c r="E149" s="1" t="str">
        <f ca="1">MID(Names!G139,FIND(" ",Names!G139)+1,LEN(Names!G139)-FIND(" ", Names!G139))&amp;" "&amp;INDEX(PROJ_EXT_Name,RANDBETWEEN(2,12))</f>
        <v>Stum Lake Road Bridge</v>
      </c>
      <c r="F149" s="1" t="s">
        <v>6914</v>
      </c>
      <c r="G149">
        <f t="shared" si="23"/>
        <v>40147</v>
      </c>
      <c r="H149">
        <f t="shared" si="25"/>
        <v>500001</v>
      </c>
      <c r="I149" t="s">
        <v>6687</v>
      </c>
      <c r="J149" t="s">
        <v>6510</v>
      </c>
      <c r="K149" t="str">
        <f>IFERROR(VLOOKUP(F149,Contacts.csv!C:D,2,FALSE),"")</f>
        <v/>
      </c>
      <c r="L149" t="str">
        <f t="shared" si="20"/>
        <v>rg:None</v>
      </c>
      <c r="M149" s="4" t="str">
        <f t="shared" si="21"/>
        <v>rg:[]</v>
      </c>
      <c r="N149" t="s">
        <v>6510</v>
      </c>
      <c r="O149" t="s">
        <v>6510</v>
      </c>
      <c r="P149" t="s">
        <v>6510</v>
      </c>
      <c r="Q149" t="str">
        <f t="shared" si="22"/>
        <v>200009</v>
      </c>
    </row>
    <row r="150" spans="1:17" x14ac:dyDescent="0.3">
      <c r="A150" t="s">
        <v>5386</v>
      </c>
      <c r="B150" t="s">
        <v>2957</v>
      </c>
      <c r="C150" t="str">
        <f>VLOOKUP(B150,ServiceAreas.csv!C:J,8,FALSE)</f>
        <v>200009</v>
      </c>
      <c r="D150" t="str">
        <f t="shared" si="24"/>
        <v>rg{'id': '200009'}'</v>
      </c>
      <c r="E150" s="1" t="str">
        <f ca="1">MID(Names!G142,FIND(" ",Names!G142)+1,LEN(Names!G142)-FIND(" ", Names!G142))&amp;" "&amp;INDEX(PROJ_EXT_Name,RANDBETWEEN(2,12))</f>
        <v>King George Hwy Expressway</v>
      </c>
      <c r="F150" s="1" t="s">
        <v>7044</v>
      </c>
      <c r="G150">
        <f t="shared" si="23"/>
        <v>40148</v>
      </c>
      <c r="H150">
        <f>IF(ISNUMBER(#REF!),#REF!+1,500000)</f>
        <v>500000</v>
      </c>
      <c r="I150" t="s">
        <v>6687</v>
      </c>
      <c r="J150" t="s">
        <v>6510</v>
      </c>
      <c r="K150" t="str">
        <f>IFERROR(VLOOKUP(F150,Contacts.csv!C:D,2,FALSE),"")</f>
        <v/>
      </c>
      <c r="L150" t="str">
        <f t="shared" ref="L150:L155" si="26">IF(ISNUMBER(K150),"rg:{'id':'" &amp; K150 &amp; "'}","rg:None")</f>
        <v>rg:None</v>
      </c>
      <c r="M150" s="4" t="str">
        <f t="shared" ref="M150:M155" si="27">IF(ISNUMBER(K150),"rg:[{'id':'" &amp; K150 &amp; "'}]","rg:[]")</f>
        <v>rg:[]</v>
      </c>
      <c r="N150" t="s">
        <v>6510</v>
      </c>
      <c r="O150" t="s">
        <v>6510</v>
      </c>
      <c r="P150" t="s">
        <v>6510</v>
      </c>
      <c r="Q150" t="str">
        <f t="shared" si="22"/>
        <v>200009</v>
      </c>
    </row>
    <row r="151" spans="1:17" x14ac:dyDescent="0.3">
      <c r="A151" t="s">
        <v>5386</v>
      </c>
      <c r="B151" t="s">
        <v>2957</v>
      </c>
      <c r="C151" t="str">
        <f>VLOOKUP(B151,ServiceAreas.csv!C:J,8,FALSE)</f>
        <v>200009</v>
      </c>
      <c r="D151" t="str">
        <f t="shared" si="24"/>
        <v>rg{'id': '200009'}'</v>
      </c>
      <c r="E151" s="1" t="str">
        <f ca="1">MID(Names!G144,FIND(" ",Names!G144)+1,LEN(Names!G144)-FIND(" ", Names!G144))&amp;" "&amp;INDEX(PROJ_EXT_Name,RANDBETWEEN(2,12))</f>
        <v>Burdett Avenue Bypass</v>
      </c>
      <c r="F151" s="1" t="s">
        <v>6899</v>
      </c>
      <c r="G151">
        <f t="shared" si="23"/>
        <v>40149</v>
      </c>
      <c r="H151">
        <f>IF(ISNUMBER(#REF!),#REF!+1,500000)</f>
        <v>500000</v>
      </c>
      <c r="I151" t="s">
        <v>6687</v>
      </c>
      <c r="J151" t="s">
        <v>6510</v>
      </c>
      <c r="K151" t="str">
        <f>IFERROR(VLOOKUP(F151,Contacts.csv!C:D,2,FALSE),"")</f>
        <v/>
      </c>
      <c r="L151" t="str">
        <f t="shared" si="26"/>
        <v>rg:None</v>
      </c>
      <c r="M151" s="4" t="str">
        <f t="shared" si="27"/>
        <v>rg:[]</v>
      </c>
      <c r="N151" t="s">
        <v>6510</v>
      </c>
      <c r="O151" t="s">
        <v>6510</v>
      </c>
      <c r="P151" t="s">
        <v>6510</v>
      </c>
      <c r="Q151" t="str">
        <f t="shared" si="22"/>
        <v>200009</v>
      </c>
    </row>
    <row r="152" spans="1:17" x14ac:dyDescent="0.3">
      <c r="A152" t="s">
        <v>5386</v>
      </c>
      <c r="B152" t="s">
        <v>2957</v>
      </c>
      <c r="C152" t="str">
        <f>VLOOKUP(B152,ServiceAreas.csv!C:J,8,FALSE)</f>
        <v>200009</v>
      </c>
      <c r="D152" t="str">
        <f t="shared" si="24"/>
        <v>rg{'id': '200009'}'</v>
      </c>
      <c r="E152" s="1" t="str">
        <f ca="1">MID(Names!G146,FIND(" ",Names!G146)+1,LEN(Names!G146)-FIND(" ", Names!G146))&amp;" "&amp;INDEX(PROJ_EXT_Name,RANDBETWEEN(2,12))</f>
        <v>Hastings Street Extension</v>
      </c>
      <c r="F152" s="1" t="s">
        <v>6917</v>
      </c>
      <c r="G152">
        <f t="shared" si="23"/>
        <v>40150</v>
      </c>
      <c r="H152">
        <f>IF(ISNUMBER(#REF!),#REF!+1,500000)</f>
        <v>500000</v>
      </c>
      <c r="I152" t="s">
        <v>6687</v>
      </c>
      <c r="J152" t="s">
        <v>6510</v>
      </c>
      <c r="K152" t="str">
        <f>IFERROR(VLOOKUP(F152,Contacts.csv!C:D,2,FALSE),"")</f>
        <v/>
      </c>
      <c r="L152" t="str">
        <f t="shared" si="26"/>
        <v>rg:None</v>
      </c>
      <c r="M152" s="4" t="str">
        <f t="shared" si="27"/>
        <v>rg:[]</v>
      </c>
      <c r="N152" t="s">
        <v>6510</v>
      </c>
      <c r="O152" t="s">
        <v>6510</v>
      </c>
      <c r="P152" t="s">
        <v>6510</v>
      </c>
      <c r="Q152" t="str">
        <f t="shared" si="22"/>
        <v>200009</v>
      </c>
    </row>
    <row r="153" spans="1:17" x14ac:dyDescent="0.3">
      <c r="A153" t="s">
        <v>5386</v>
      </c>
      <c r="B153" t="s">
        <v>2957</v>
      </c>
      <c r="C153" t="str">
        <f>VLOOKUP(B153,ServiceAreas.csv!C:J,8,FALSE)</f>
        <v>200009</v>
      </c>
      <c r="D153" t="str">
        <f t="shared" si="24"/>
        <v>rg{'id': '200009'}'</v>
      </c>
      <c r="E153" s="1" t="str">
        <f ca="1">MID(Names!G147,FIND(" ",Names!G147)+1,LEN(Names!G147)-FIND(" ", Names!G147))&amp;" "&amp;INDEX(PROJ_EXT_Name,RANDBETWEEN(2,12))</f>
        <v>Old Spallumcheen Rd Building</v>
      </c>
      <c r="F153" s="1" t="s">
        <v>7045</v>
      </c>
      <c r="G153">
        <f t="shared" si="23"/>
        <v>40151</v>
      </c>
      <c r="H153">
        <f t="shared" si="25"/>
        <v>500001</v>
      </c>
      <c r="I153" t="s">
        <v>6687</v>
      </c>
      <c r="J153" t="s">
        <v>6510</v>
      </c>
      <c r="K153" t="str">
        <f>IFERROR(VLOOKUP(F153,Contacts.csv!C:D,2,FALSE),"")</f>
        <v/>
      </c>
      <c r="L153" t="str">
        <f t="shared" si="26"/>
        <v>rg:None</v>
      </c>
      <c r="M153" s="4" t="str">
        <f t="shared" si="27"/>
        <v>rg:[]</v>
      </c>
      <c r="N153" t="s">
        <v>6510</v>
      </c>
      <c r="O153" t="s">
        <v>6510</v>
      </c>
      <c r="P153" t="s">
        <v>6510</v>
      </c>
      <c r="Q153" t="str">
        <f t="shared" si="22"/>
        <v>200009</v>
      </c>
    </row>
    <row r="154" spans="1:17" x14ac:dyDescent="0.3">
      <c r="A154" t="s">
        <v>5386</v>
      </c>
      <c r="B154" t="s">
        <v>2957</v>
      </c>
      <c r="C154" t="str">
        <f>VLOOKUP(B154,ServiceAreas.csv!C:J,8,FALSE)</f>
        <v>200009</v>
      </c>
      <c r="D154" t="str">
        <f t="shared" si="24"/>
        <v>rg{'id': '200009'}'</v>
      </c>
      <c r="E154" s="1" t="str">
        <f ca="1">MID(Names!G149,FIND(" ",Names!G149)+1,LEN(Names!G149)-FIND(" ", Names!G149))&amp;" "&amp;INDEX(PROJ_EXT_Name,RANDBETWEEN(2,12))</f>
        <v>Coldstream Avenue Overpass</v>
      </c>
      <c r="F154" s="1" t="s">
        <v>7046</v>
      </c>
      <c r="G154">
        <f t="shared" si="23"/>
        <v>40152</v>
      </c>
      <c r="H154">
        <f>IF(ISNUMBER(#REF!),#REF!+1,500000)</f>
        <v>500000</v>
      </c>
      <c r="I154" t="s">
        <v>6687</v>
      </c>
      <c r="J154" t="s">
        <v>6510</v>
      </c>
      <c r="K154" t="str">
        <f>IFERROR(VLOOKUP(F154,Contacts.csv!C:D,2,FALSE),"")</f>
        <v/>
      </c>
      <c r="L154" t="str">
        <f t="shared" si="26"/>
        <v>rg:None</v>
      </c>
      <c r="M154" s="4" t="str">
        <f t="shared" si="27"/>
        <v>rg:[]</v>
      </c>
      <c r="N154" t="s">
        <v>6510</v>
      </c>
      <c r="O154" t="s">
        <v>6510</v>
      </c>
      <c r="P154" t="s">
        <v>6510</v>
      </c>
      <c r="Q154" t="str">
        <f t="shared" si="22"/>
        <v>200009</v>
      </c>
    </row>
    <row r="155" spans="1:17" x14ac:dyDescent="0.3">
      <c r="A155" t="s">
        <v>5386</v>
      </c>
      <c r="B155" t="s">
        <v>2957</v>
      </c>
      <c r="C155" t="str">
        <f>VLOOKUP(B155,ServiceAreas.csv!C:J,8,FALSE)</f>
        <v>200009</v>
      </c>
      <c r="D155" t="str">
        <f t="shared" si="24"/>
        <v>rg{'id': '200009'}'</v>
      </c>
      <c r="E155" s="1" t="str">
        <f ca="1">MID(Names!G101,FIND(" ",Names!G101)+1,LEN(Names!G101)-FIND(" ", Names!G101))&amp;" "&amp;INDEX(PROJ_EXT_Name,RANDBETWEEN(2,12))</f>
        <v>Robson St Bridge Replacement</v>
      </c>
      <c r="F155" s="1" t="s">
        <v>7047</v>
      </c>
      <c r="G155">
        <f t="shared" si="23"/>
        <v>40153</v>
      </c>
      <c r="H155">
        <f>IF(ISNUMBER(#REF!),#REF!+1,500000)</f>
        <v>500000</v>
      </c>
      <c r="I155" t="s">
        <v>6687</v>
      </c>
      <c r="J155" t="s">
        <v>6510</v>
      </c>
      <c r="K155" t="str">
        <f>IFERROR(VLOOKUP(F155,Contacts.csv!C:D,2,FALSE),"")</f>
        <v/>
      </c>
      <c r="L155" t="str">
        <f t="shared" si="26"/>
        <v>rg:None</v>
      </c>
      <c r="M155" s="4" t="str">
        <f t="shared" si="27"/>
        <v>rg:[]</v>
      </c>
      <c r="N155" t="s">
        <v>6510</v>
      </c>
      <c r="O155" t="s">
        <v>6510</v>
      </c>
      <c r="P155" t="s">
        <v>6510</v>
      </c>
      <c r="Q155" t="str">
        <f t="shared" si="22"/>
        <v>200009</v>
      </c>
    </row>
  </sheetData>
  <autoFilter ref="A1:P155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3.33203125" bestFit="1" customWidth="1"/>
    <col min="3" max="3" width="27.88671875" bestFit="1" customWidth="1"/>
    <col min="8" max="8" width="11.88671875" bestFit="1" customWidth="1"/>
    <col min="19" max="19" width="15.21875" bestFit="1" customWidth="1"/>
  </cols>
  <sheetData>
    <row r="1" spans="1:20" x14ac:dyDescent="0.3">
      <c r="A1" t="s">
        <v>68</v>
      </c>
      <c r="B1" t="s">
        <v>7628</v>
      </c>
      <c r="C1" t="s">
        <v>6935</v>
      </c>
      <c r="D1" t="s">
        <v>5325</v>
      </c>
      <c r="E1" t="s">
        <v>7616</v>
      </c>
      <c r="F1" t="s">
        <v>7617</v>
      </c>
      <c r="G1" t="s">
        <v>6498</v>
      </c>
      <c r="H1" t="s">
        <v>7618</v>
      </c>
      <c r="I1" t="s">
        <v>5327</v>
      </c>
      <c r="J1" t="s">
        <v>7619</v>
      </c>
      <c r="K1" t="s">
        <v>7620</v>
      </c>
      <c r="L1" t="s">
        <v>7621</v>
      </c>
      <c r="M1" t="s">
        <v>7622</v>
      </c>
      <c r="N1" t="s">
        <v>7623</v>
      </c>
      <c r="O1" t="s">
        <v>7624</v>
      </c>
      <c r="P1" t="s">
        <v>7625</v>
      </c>
      <c r="Q1" t="s">
        <v>7626</v>
      </c>
      <c r="R1" t="s">
        <v>7627</v>
      </c>
      <c r="S1" t="s">
        <v>7765</v>
      </c>
      <c r="T1" t="s">
        <v>7766</v>
      </c>
    </row>
    <row r="2" spans="1:20" x14ac:dyDescent="0.3">
      <c r="A2" t="s">
        <v>54</v>
      </c>
      <c r="B2" t="s">
        <v>7</v>
      </c>
      <c r="C2" t="s">
        <v>4837</v>
      </c>
      <c r="D2">
        <f>IF(ISNUMBER(D1),D1+1,200000)</f>
        <v>200000</v>
      </c>
      <c r="E2" t="str">
        <f>Names!D2</f>
        <v>Brad</v>
      </c>
      <c r="F2" t="str">
        <f>Names!F2</f>
        <v>Smith</v>
      </c>
      <c r="G2" t="str">
        <f>Names!AA2</f>
        <v>The Original House of Pies</v>
      </c>
      <c r="H2" t="s">
        <v>7629</v>
      </c>
      <c r="I2" t="s">
        <v>76</v>
      </c>
      <c r="J2" t="str">
        <f>Names!M2</f>
        <v>BradJSmith@cuvox.de</v>
      </c>
      <c r="K2" t="str">
        <f ca="1">IF(RANDBETWEEN(1,2) &gt; 1, "rg:None", Names!P2)</f>
        <v>rg:None</v>
      </c>
      <c r="L2" t="str">
        <f ca="1">IF(K2="rg:None",Names!P2,"rg:None")</f>
        <v>250-479-5055</v>
      </c>
      <c r="M2" t="s">
        <v>76</v>
      </c>
      <c r="N2" t="str">
        <f>Names!G2</f>
        <v>2262 Burdett Avenue</v>
      </c>
      <c r="O2" t="s">
        <v>76</v>
      </c>
      <c r="P2" t="str">
        <f>Names!H2</f>
        <v>Victoria</v>
      </c>
      <c r="Q2" t="str">
        <f>Names!I2</f>
        <v>BC</v>
      </c>
      <c r="R2" t="str">
        <f>Names!J2</f>
        <v>V8Z 2J8</v>
      </c>
      <c r="S2" t="str">
        <f>IF(B2="Owner","rg:{'id': '"&amp;D2&amp;"'}","rg:None")</f>
        <v>rg:{'id': '200000'}</v>
      </c>
      <c r="T2" t="s">
        <v>76</v>
      </c>
    </row>
    <row r="3" spans="1:20" x14ac:dyDescent="0.3">
      <c r="A3" t="s">
        <v>54</v>
      </c>
      <c r="B3" t="s">
        <v>7</v>
      </c>
      <c r="C3" t="s">
        <v>4809</v>
      </c>
      <c r="D3">
        <f t="shared" ref="D3:D66" si="0">IF(ISNUMBER(D2),D2+1,200000)</f>
        <v>200001</v>
      </c>
      <c r="E3" t="str">
        <f>Names!D3</f>
        <v>Judy</v>
      </c>
      <c r="F3" t="str">
        <f>Names!F3</f>
        <v>Holbert</v>
      </c>
      <c r="G3" t="str">
        <f>Names!AA3</f>
        <v>Asian Junction</v>
      </c>
      <c r="H3" t="s">
        <v>7629</v>
      </c>
      <c r="I3" t="s">
        <v>76</v>
      </c>
      <c r="J3" t="str">
        <f>Names!M3</f>
        <v>JudyHHolbert@gustr.com</v>
      </c>
      <c r="K3" t="str">
        <f ca="1">IF(RANDBETWEEN(1,2) &gt; 1, "rg:None", Names!P3)</f>
        <v>604-902-3027</v>
      </c>
      <c r="L3" t="str">
        <f ca="1">IF(K3="rg:None",Names!P3,"rg:None")</f>
        <v>rg:None</v>
      </c>
      <c r="M3" t="s">
        <v>76</v>
      </c>
      <c r="N3" t="str">
        <f>Names!G3</f>
        <v>223 Brew Creek Rd</v>
      </c>
      <c r="O3" t="s">
        <v>76</v>
      </c>
      <c r="P3" t="str">
        <f>Names!H3</f>
        <v>Whistler</v>
      </c>
      <c r="Q3" t="str">
        <f>Names!I3</f>
        <v>BC</v>
      </c>
      <c r="R3" t="str">
        <f>Names!J3</f>
        <v>V0N 1B0</v>
      </c>
      <c r="S3" t="str">
        <f t="shared" ref="S3:S66" si="1">IF(B3="Owner","rg:{'id': '"&amp;D3&amp;"'}","rg:None")</f>
        <v>rg:{'id': '200001'}</v>
      </c>
      <c r="T3" t="s">
        <v>76</v>
      </c>
    </row>
    <row r="4" spans="1:20" x14ac:dyDescent="0.3">
      <c r="A4" t="s">
        <v>54</v>
      </c>
      <c r="B4" t="s">
        <v>7</v>
      </c>
      <c r="C4" t="s">
        <v>4245</v>
      </c>
      <c r="D4">
        <f t="shared" si="0"/>
        <v>200002</v>
      </c>
      <c r="E4" t="str">
        <f>Names!D4</f>
        <v>Clayton</v>
      </c>
      <c r="F4" t="str">
        <f>Names!F4</f>
        <v>McCullough</v>
      </c>
      <c r="G4" t="str">
        <f>Names!AA4</f>
        <v>Price Savers</v>
      </c>
      <c r="H4" t="s">
        <v>7629</v>
      </c>
      <c r="I4" t="s">
        <v>76</v>
      </c>
      <c r="J4" t="str">
        <f>Names!M4</f>
        <v>ClaytonSMcCullough@fleckens.hu</v>
      </c>
      <c r="K4" t="str">
        <f ca="1">IF(RANDBETWEEN(1,2) &gt; 1, "rg:None", Names!P4)</f>
        <v>604-867-8081</v>
      </c>
      <c r="L4" t="str">
        <f ca="1">IF(K4="rg:None",Names!P4,"rg:None")</f>
        <v>rg:None</v>
      </c>
      <c r="M4" t="s">
        <v>76</v>
      </c>
      <c r="N4" t="str">
        <f>Names!G4</f>
        <v>2310 Mesa Vista Drive</v>
      </c>
      <c r="O4" t="s">
        <v>76</v>
      </c>
      <c r="P4" t="str">
        <f>Names!H4</f>
        <v>Boston Bar</v>
      </c>
      <c r="Q4" t="str">
        <f>Names!I4</f>
        <v>BC</v>
      </c>
      <c r="R4" t="str">
        <f>Names!J4</f>
        <v>V0K 1C0</v>
      </c>
      <c r="S4" t="str">
        <f t="shared" si="1"/>
        <v>rg:{'id': '200002'}</v>
      </c>
      <c r="T4" t="s">
        <v>76</v>
      </c>
    </row>
    <row r="5" spans="1:20" x14ac:dyDescent="0.3">
      <c r="A5" t="s">
        <v>54</v>
      </c>
      <c r="B5" t="s">
        <v>7</v>
      </c>
      <c r="C5" t="s">
        <v>4510</v>
      </c>
      <c r="D5">
        <f t="shared" si="0"/>
        <v>200003</v>
      </c>
      <c r="E5" t="str">
        <f>Names!D5</f>
        <v>Betty</v>
      </c>
      <c r="F5" t="str">
        <f>Names!F5</f>
        <v>Tacker</v>
      </c>
      <c r="G5" t="str">
        <f>Names!AA5</f>
        <v>Best Products</v>
      </c>
      <c r="H5" t="s">
        <v>7629</v>
      </c>
      <c r="I5" t="s">
        <v>76</v>
      </c>
      <c r="J5" t="str">
        <f>Names!M5</f>
        <v>BettyJTacker@gustr.com</v>
      </c>
      <c r="K5" t="str">
        <f ca="1">IF(RANDBETWEEN(1,2) &gt; 1, "rg:None", Names!P5)</f>
        <v>250-658-6228</v>
      </c>
      <c r="L5" t="str">
        <f ca="1">IF(K5="rg:None",Names!P5,"rg:None")</f>
        <v>rg:None</v>
      </c>
      <c r="M5" t="s">
        <v>76</v>
      </c>
      <c r="N5" t="str">
        <f>Names!G5</f>
        <v>3795 Burdett Avenue</v>
      </c>
      <c r="O5" t="s">
        <v>76</v>
      </c>
      <c r="P5" t="str">
        <f>Names!H5</f>
        <v>Victoria</v>
      </c>
      <c r="Q5" t="str">
        <f>Names!I5</f>
        <v>BC</v>
      </c>
      <c r="R5" t="str">
        <f>Names!J5</f>
        <v>V8Y 1Y7</v>
      </c>
      <c r="S5" t="str">
        <f t="shared" si="1"/>
        <v>rg:{'id': '200003'}</v>
      </c>
      <c r="T5" t="s">
        <v>76</v>
      </c>
    </row>
    <row r="6" spans="1:20" x14ac:dyDescent="0.3">
      <c r="A6" t="s">
        <v>54</v>
      </c>
      <c r="B6" t="s">
        <v>7</v>
      </c>
      <c r="C6" t="s">
        <v>3037</v>
      </c>
      <c r="D6">
        <f t="shared" si="0"/>
        <v>200004</v>
      </c>
      <c r="E6" t="str">
        <f>Names!D6</f>
        <v>Gayle</v>
      </c>
      <c r="F6" t="str">
        <f>Names!F6</f>
        <v>York</v>
      </c>
      <c r="G6" t="str">
        <f>Names!AA6</f>
        <v>McDuff</v>
      </c>
      <c r="H6" t="s">
        <v>7629</v>
      </c>
      <c r="I6" t="s">
        <v>76</v>
      </c>
      <c r="J6" t="str">
        <f>Names!M6</f>
        <v>GayleCYork@dayrep.com</v>
      </c>
      <c r="K6" t="str">
        <f ca="1">IF(RANDBETWEEN(1,2) &gt; 1, "rg:None", Names!P6)</f>
        <v>rg:None</v>
      </c>
      <c r="L6" t="str">
        <f ca="1">IF(K6="rg:None",Names!P6,"rg:None")</f>
        <v>250-935-6749</v>
      </c>
      <c r="M6" t="s">
        <v>76</v>
      </c>
      <c r="N6" t="str">
        <f>Names!G6</f>
        <v>3746 Noble Rd</v>
      </c>
      <c r="O6" t="s">
        <v>76</v>
      </c>
      <c r="P6" t="str">
        <f>Names!H6</f>
        <v>Cortes Island</v>
      </c>
      <c r="Q6" t="str">
        <f>Names!I6</f>
        <v>BC</v>
      </c>
      <c r="R6" t="str">
        <f>Names!J6</f>
        <v>V0P 1T0</v>
      </c>
      <c r="S6" t="str">
        <f t="shared" si="1"/>
        <v>rg:{'id': '200004'}</v>
      </c>
      <c r="T6" t="s">
        <v>76</v>
      </c>
    </row>
    <row r="7" spans="1:20" x14ac:dyDescent="0.3">
      <c r="A7" t="s">
        <v>54</v>
      </c>
      <c r="B7" t="s">
        <v>7</v>
      </c>
      <c r="C7" t="s">
        <v>4039</v>
      </c>
      <c r="D7">
        <f t="shared" si="0"/>
        <v>200005</v>
      </c>
      <c r="E7" t="str">
        <f>Names!D7</f>
        <v>Brian</v>
      </c>
      <c r="F7" t="str">
        <f>Names!F7</f>
        <v>Healey</v>
      </c>
      <c r="G7" t="str">
        <f>Names!AA7</f>
        <v>Muirhead's</v>
      </c>
      <c r="H7" t="s">
        <v>7629</v>
      </c>
      <c r="I7" t="s">
        <v>76</v>
      </c>
      <c r="J7" t="str">
        <f>Names!M7</f>
        <v>BrianBHealey@jourrapide.com</v>
      </c>
      <c r="K7" t="str">
        <f ca="1">IF(RANDBETWEEN(1,2) &gt; 1, "rg:None", Names!P7)</f>
        <v>rg:None</v>
      </c>
      <c r="L7" t="str">
        <f ca="1">IF(K7="rg:None",Names!P7,"rg:None")</f>
        <v>604-850-1074</v>
      </c>
      <c r="M7" t="s">
        <v>76</v>
      </c>
      <c r="N7" t="str">
        <f>Names!G7</f>
        <v>3617 Essendene Avenue</v>
      </c>
      <c r="O7" t="s">
        <v>76</v>
      </c>
      <c r="P7" t="str">
        <f>Names!H7</f>
        <v>Abbotsford</v>
      </c>
      <c r="Q7" t="str">
        <f>Names!I7</f>
        <v>BC</v>
      </c>
      <c r="R7" t="str">
        <f>Names!J7</f>
        <v>V2S 2H7</v>
      </c>
      <c r="S7" t="str">
        <f t="shared" si="1"/>
        <v>rg:{'id': '200005'}</v>
      </c>
      <c r="T7" t="s">
        <v>76</v>
      </c>
    </row>
    <row r="8" spans="1:20" x14ac:dyDescent="0.3">
      <c r="A8" t="s">
        <v>54</v>
      </c>
      <c r="B8" t="s">
        <v>7</v>
      </c>
      <c r="C8" t="s">
        <v>3699</v>
      </c>
      <c r="D8">
        <f t="shared" si="0"/>
        <v>200006</v>
      </c>
      <c r="E8" t="str">
        <f>Names!D8</f>
        <v>Rosa</v>
      </c>
      <c r="F8" t="str">
        <f>Names!F8</f>
        <v>Mayer</v>
      </c>
      <c r="G8" t="str">
        <f>Names!AA8</f>
        <v>Jeans Unlimited</v>
      </c>
      <c r="H8" t="s">
        <v>7629</v>
      </c>
      <c r="I8" t="s">
        <v>76</v>
      </c>
      <c r="J8" t="str">
        <f>Names!M8</f>
        <v>RosaDMayer@cuvox.de</v>
      </c>
      <c r="K8" t="str">
        <f ca="1">IF(RANDBETWEEN(1,2) &gt; 1, "rg:None", Names!P8)</f>
        <v>rg:None</v>
      </c>
      <c r="L8" t="str">
        <f ca="1">IF(K8="rg:None",Names!P8,"rg:None")</f>
        <v>778-239-8094</v>
      </c>
      <c r="M8" t="s">
        <v>76</v>
      </c>
      <c r="N8" t="str">
        <f>Names!G8</f>
        <v>2426 Cordova Street</v>
      </c>
      <c r="O8" t="s">
        <v>76</v>
      </c>
      <c r="P8" t="str">
        <f>Names!H8</f>
        <v>Vancouver</v>
      </c>
      <c r="Q8" t="str">
        <f>Names!I8</f>
        <v>BC</v>
      </c>
      <c r="R8" t="str">
        <f>Names!J8</f>
        <v>V6B 1E1</v>
      </c>
      <c r="S8" t="str">
        <f t="shared" si="1"/>
        <v>rg:{'id': '200006'}</v>
      </c>
      <c r="T8" t="s">
        <v>76</v>
      </c>
    </row>
    <row r="9" spans="1:20" x14ac:dyDescent="0.3">
      <c r="A9" t="s">
        <v>54</v>
      </c>
      <c r="B9" t="s">
        <v>7</v>
      </c>
      <c r="C9" t="s">
        <v>3076</v>
      </c>
      <c r="D9">
        <f t="shared" si="0"/>
        <v>200007</v>
      </c>
      <c r="E9" t="str">
        <f>Names!D9</f>
        <v>Albert</v>
      </c>
      <c r="F9" t="str">
        <f>Names!F9</f>
        <v>Mills</v>
      </c>
      <c r="G9" t="str">
        <f>Names!AA9</f>
        <v>Museum Company</v>
      </c>
      <c r="H9" t="s">
        <v>7629</v>
      </c>
      <c r="I9" t="s">
        <v>76</v>
      </c>
      <c r="J9" t="str">
        <f>Names!M9</f>
        <v>AlbertAMills@superrito.com</v>
      </c>
      <c r="K9" t="str">
        <f ca="1">IF(RANDBETWEEN(1,2) &gt; 1, "rg:None", Names!P9)</f>
        <v>rg:None</v>
      </c>
      <c r="L9" t="str">
        <f ca="1">IF(K9="rg:None",Names!P9,"rg:None")</f>
        <v>250-762-1075</v>
      </c>
      <c r="M9" t="s">
        <v>76</v>
      </c>
      <c r="N9" t="str">
        <f>Names!G9</f>
        <v>1019 Hardy Street</v>
      </c>
      <c r="O9" t="s">
        <v>76</v>
      </c>
      <c r="P9" t="str">
        <f>Names!H9</f>
        <v>Kelowna</v>
      </c>
      <c r="Q9" t="str">
        <f>Names!I9</f>
        <v>BC</v>
      </c>
      <c r="R9" t="str">
        <f>Names!J9</f>
        <v>V1Y 8H2</v>
      </c>
      <c r="S9" t="str">
        <f t="shared" si="1"/>
        <v>rg:{'id': '200007'}</v>
      </c>
      <c r="T9" t="s">
        <v>76</v>
      </c>
    </row>
    <row r="10" spans="1:20" x14ac:dyDescent="0.3">
      <c r="A10" t="s">
        <v>54</v>
      </c>
      <c r="B10" t="s">
        <v>7</v>
      </c>
      <c r="C10" t="s">
        <v>3186</v>
      </c>
      <c r="D10">
        <f t="shared" si="0"/>
        <v>200008</v>
      </c>
      <c r="E10" t="str">
        <f>Names!D10</f>
        <v>Cynthia</v>
      </c>
      <c r="F10" t="str">
        <f>Names!F10</f>
        <v>Whipple</v>
      </c>
      <c r="G10" t="str">
        <f>Names!AA10</f>
        <v>Henry's Hamburgers</v>
      </c>
      <c r="H10" t="s">
        <v>7629</v>
      </c>
      <c r="I10" t="s">
        <v>76</v>
      </c>
      <c r="J10" t="str">
        <f>Names!M10</f>
        <v>CynthiaKWhipple@einrot.com</v>
      </c>
      <c r="K10" t="str">
        <f ca="1">IF(RANDBETWEEN(1,2) &gt; 1, "rg:None", Names!P10)</f>
        <v>604-608-7622</v>
      </c>
      <c r="L10" t="str">
        <f ca="1">IF(K10="rg:None",Names!P10,"rg:None")</f>
        <v>rg:None</v>
      </c>
      <c r="M10" t="s">
        <v>76</v>
      </c>
      <c r="N10" t="str">
        <f>Names!G10</f>
        <v>1004 Robson St</v>
      </c>
      <c r="O10" t="s">
        <v>76</v>
      </c>
      <c r="P10" t="str">
        <f>Names!H10</f>
        <v>Vancouver</v>
      </c>
      <c r="Q10" t="str">
        <f>Names!I10</f>
        <v>BC</v>
      </c>
      <c r="R10" t="str">
        <f>Names!J10</f>
        <v>V6B 3K9</v>
      </c>
      <c r="S10" t="str">
        <f t="shared" si="1"/>
        <v>rg:{'id': '200008'}</v>
      </c>
      <c r="T10" t="s">
        <v>76</v>
      </c>
    </row>
    <row r="11" spans="1:20" x14ac:dyDescent="0.3">
      <c r="A11" t="s">
        <v>54</v>
      </c>
      <c r="B11" t="s">
        <v>7</v>
      </c>
      <c r="C11" t="s">
        <v>3223</v>
      </c>
      <c r="D11">
        <f t="shared" si="0"/>
        <v>200009</v>
      </c>
      <c r="E11" t="str">
        <f>Names!D11</f>
        <v>Michael</v>
      </c>
      <c r="F11" t="str">
        <f>Names!F11</f>
        <v>Washington</v>
      </c>
      <c r="G11" t="str">
        <f>Names!AA11</f>
        <v>Body Toning</v>
      </c>
      <c r="H11" t="s">
        <v>7629</v>
      </c>
      <c r="I11" t="s">
        <v>76</v>
      </c>
      <c r="J11" t="str">
        <f>Names!M11</f>
        <v>MichaelDWashington@dayrep.com</v>
      </c>
      <c r="K11" t="str">
        <f ca="1">IF(RANDBETWEEN(1,2) &gt; 1, "rg:None", Names!P11)</f>
        <v>rg:None</v>
      </c>
      <c r="L11" t="str">
        <f ca="1">IF(K11="rg:None",Names!P11,"rg:None")</f>
        <v>604-702-5984</v>
      </c>
      <c r="M11" t="s">
        <v>76</v>
      </c>
      <c r="N11" t="str">
        <f>Names!G11</f>
        <v>3561 Wellington Ave</v>
      </c>
      <c r="O11" t="s">
        <v>76</v>
      </c>
      <c r="P11" t="str">
        <f>Names!H11</f>
        <v>Chilliwack</v>
      </c>
      <c r="Q11" t="str">
        <f>Names!I11</f>
        <v>BC</v>
      </c>
      <c r="R11" t="str">
        <f>Names!J11</f>
        <v>V2P 2M1</v>
      </c>
      <c r="S11" t="str">
        <f t="shared" si="1"/>
        <v>rg:{'id': '200009'}</v>
      </c>
      <c r="T11" t="s">
        <v>76</v>
      </c>
    </row>
    <row r="12" spans="1:20" x14ac:dyDescent="0.3">
      <c r="A12" t="s">
        <v>54</v>
      </c>
      <c r="B12" t="s">
        <v>7</v>
      </c>
      <c r="C12" t="s">
        <v>3239</v>
      </c>
      <c r="D12">
        <f t="shared" si="0"/>
        <v>200010</v>
      </c>
      <c r="E12" t="str">
        <f>Names!D12</f>
        <v>Sarah</v>
      </c>
      <c r="F12" t="str">
        <f>Names!F12</f>
        <v>Ward</v>
      </c>
      <c r="G12" t="str">
        <f>Names!AA12</f>
        <v>Wells &amp; Wade</v>
      </c>
      <c r="H12" t="s">
        <v>7629</v>
      </c>
      <c r="I12" t="s">
        <v>76</v>
      </c>
      <c r="J12" t="str">
        <f>Names!M12</f>
        <v>SarahKWard@teleworm.us</v>
      </c>
      <c r="K12" t="str">
        <f ca="1">IF(RANDBETWEEN(1,2) &gt; 1, "rg:None", Names!P12)</f>
        <v>rg:None</v>
      </c>
      <c r="L12" t="str">
        <f ca="1">IF(K12="rg:None",Names!P12,"rg:None")</f>
        <v>604-869-9584</v>
      </c>
      <c r="M12" t="s">
        <v>76</v>
      </c>
      <c r="N12" t="str">
        <f>Names!G12</f>
        <v>365 Old Spallumcheen Rd</v>
      </c>
      <c r="O12" t="s">
        <v>76</v>
      </c>
      <c r="P12" t="str">
        <f>Names!H12</f>
        <v>Hope</v>
      </c>
      <c r="Q12" t="str">
        <f>Names!I12</f>
        <v>BC</v>
      </c>
      <c r="R12" t="str">
        <f>Names!J12</f>
        <v>V0X 1L0</v>
      </c>
      <c r="S12" t="str">
        <f t="shared" si="1"/>
        <v>rg:{'id': '200010'}</v>
      </c>
      <c r="T12" t="s">
        <v>76</v>
      </c>
    </row>
    <row r="13" spans="1:20" x14ac:dyDescent="0.3">
      <c r="A13" t="s">
        <v>54</v>
      </c>
      <c r="B13" t="s">
        <v>7</v>
      </c>
      <c r="C13" t="s">
        <v>4054</v>
      </c>
      <c r="D13">
        <f t="shared" si="0"/>
        <v>200011</v>
      </c>
      <c r="E13" t="str">
        <f>Names!D13</f>
        <v>Harry</v>
      </c>
      <c r="F13" t="str">
        <f>Names!F13</f>
        <v>Solomon</v>
      </c>
      <c r="G13" t="str">
        <f>Names!AA13</f>
        <v>Brendle's</v>
      </c>
      <c r="H13" t="s">
        <v>7629</v>
      </c>
      <c r="I13" t="s">
        <v>76</v>
      </c>
      <c r="J13" t="str">
        <f>Names!M13</f>
        <v>HarryDSolomon@armyspy.com</v>
      </c>
      <c r="K13" t="str">
        <f ca="1">IF(RANDBETWEEN(1,2) &gt; 1, "rg:None", Names!P13)</f>
        <v>rg:None</v>
      </c>
      <c r="L13" t="str">
        <f ca="1">IF(K13="rg:None",Names!P13,"rg:None")</f>
        <v>250-282-6217</v>
      </c>
      <c r="M13" t="s">
        <v>76</v>
      </c>
      <c r="N13" t="str">
        <f>Names!G13</f>
        <v>47 Noble Rd</v>
      </c>
      <c r="O13" t="s">
        <v>76</v>
      </c>
      <c r="P13" t="str">
        <f>Names!H13</f>
        <v>Sayward</v>
      </c>
      <c r="Q13" t="str">
        <f>Names!I13</f>
        <v>BC</v>
      </c>
      <c r="R13" t="str">
        <f>Names!J13</f>
        <v>V0P 1R0</v>
      </c>
      <c r="S13" t="str">
        <f t="shared" si="1"/>
        <v>rg:{'id': '200011'}</v>
      </c>
      <c r="T13" t="s">
        <v>76</v>
      </c>
    </row>
    <row r="14" spans="1:20" x14ac:dyDescent="0.3">
      <c r="A14" t="s">
        <v>54</v>
      </c>
      <c r="B14" t="s">
        <v>7</v>
      </c>
      <c r="C14" t="s">
        <v>3871</v>
      </c>
      <c r="D14">
        <f t="shared" si="0"/>
        <v>200012</v>
      </c>
      <c r="E14" t="str">
        <f>Names!D14</f>
        <v>Cheryl</v>
      </c>
      <c r="F14" t="str">
        <f>Names!F14</f>
        <v>Mills</v>
      </c>
      <c r="G14" t="str">
        <f>Names!AA14</f>
        <v>Britling Cafeterias</v>
      </c>
      <c r="H14" t="s">
        <v>7629</v>
      </c>
      <c r="I14" t="s">
        <v>76</v>
      </c>
      <c r="J14" t="str">
        <f>Names!M14</f>
        <v>CherylGMills@armyspy.com</v>
      </c>
      <c r="K14" t="str">
        <f ca="1">IF(RANDBETWEEN(1,2) &gt; 1, "rg:None", Names!P14)</f>
        <v>rg:None</v>
      </c>
      <c r="L14" t="str">
        <f ca="1">IF(K14="rg:None",Names!P14,"rg:None")</f>
        <v>604-277-2069</v>
      </c>
      <c r="M14" t="s">
        <v>76</v>
      </c>
      <c r="N14" t="str">
        <f>Names!G14</f>
        <v>4764 Jade St</v>
      </c>
      <c r="O14" t="s">
        <v>76</v>
      </c>
      <c r="P14" t="str">
        <f>Names!H14</f>
        <v>Richmond</v>
      </c>
      <c r="Q14" t="str">
        <f>Names!I14</f>
        <v>BC</v>
      </c>
      <c r="R14" t="str">
        <f>Names!J14</f>
        <v>V7E 2E4</v>
      </c>
      <c r="S14" t="str">
        <f t="shared" si="1"/>
        <v>rg:{'id': '200012'}</v>
      </c>
      <c r="T14" t="s">
        <v>76</v>
      </c>
    </row>
    <row r="15" spans="1:20" x14ac:dyDescent="0.3">
      <c r="A15" t="s">
        <v>54</v>
      </c>
      <c r="B15" t="s">
        <v>7</v>
      </c>
      <c r="C15" t="s">
        <v>4432</v>
      </c>
      <c r="D15">
        <f t="shared" si="0"/>
        <v>200013</v>
      </c>
      <c r="E15" t="str">
        <f>Names!D15</f>
        <v>Michael</v>
      </c>
      <c r="F15" t="str">
        <f>Names!F15</f>
        <v>Wilkerson</v>
      </c>
      <c r="G15" t="str">
        <f>Names!AA15</f>
        <v>Harold's</v>
      </c>
      <c r="H15" t="s">
        <v>7629</v>
      </c>
      <c r="I15" t="s">
        <v>76</v>
      </c>
      <c r="J15" t="str">
        <f>Names!M15</f>
        <v>MichaelGWilkerson@gustr.com</v>
      </c>
      <c r="K15" t="str">
        <f ca="1">IF(RANDBETWEEN(1,2) &gt; 1, "rg:None", Names!P15)</f>
        <v>rg:None</v>
      </c>
      <c r="L15" t="str">
        <f ca="1">IF(K15="rg:None",Names!P15,"rg:None")</f>
        <v>250-668-9856</v>
      </c>
      <c r="M15" t="s">
        <v>76</v>
      </c>
      <c r="N15" t="str">
        <f>Names!G15</f>
        <v>3356 Wallace Street</v>
      </c>
      <c r="O15" t="s">
        <v>76</v>
      </c>
      <c r="P15" t="str">
        <f>Names!H15</f>
        <v>Nanaimo</v>
      </c>
      <c r="Q15" t="str">
        <f>Names!I15</f>
        <v>BC</v>
      </c>
      <c r="R15" t="str">
        <f>Names!J15</f>
        <v>V9R 3A8</v>
      </c>
      <c r="S15" t="str">
        <f t="shared" si="1"/>
        <v>rg:{'id': '200013'}</v>
      </c>
      <c r="T15" t="s">
        <v>76</v>
      </c>
    </row>
    <row r="16" spans="1:20" x14ac:dyDescent="0.3">
      <c r="A16" t="s">
        <v>54</v>
      </c>
      <c r="B16" t="s">
        <v>7</v>
      </c>
      <c r="C16" t="s">
        <v>3667</v>
      </c>
      <c r="D16">
        <f t="shared" si="0"/>
        <v>200014</v>
      </c>
      <c r="E16" t="str">
        <f>Names!D16</f>
        <v>Celia</v>
      </c>
      <c r="F16" t="str">
        <f>Names!F16</f>
        <v>Schreier</v>
      </c>
      <c r="G16" t="str">
        <f>Names!AA16</f>
        <v>Record World</v>
      </c>
      <c r="H16" t="s">
        <v>7629</v>
      </c>
      <c r="I16" t="s">
        <v>76</v>
      </c>
      <c r="J16" t="str">
        <f>Names!M16</f>
        <v>CeliaWSchreier@jourrapide.com</v>
      </c>
      <c r="K16" t="str">
        <f ca="1">IF(RANDBETWEEN(1,2) &gt; 1, "rg:None", Names!P16)</f>
        <v>rg:None</v>
      </c>
      <c r="L16" t="str">
        <f ca="1">IF(K16="rg:None",Names!P16,"rg:None")</f>
        <v>604-830-6654</v>
      </c>
      <c r="M16" t="s">
        <v>76</v>
      </c>
      <c r="N16" t="str">
        <f>Names!G16</f>
        <v>4173 James Street</v>
      </c>
      <c r="O16" t="s">
        <v>76</v>
      </c>
      <c r="P16" t="str">
        <f>Names!H16</f>
        <v>Burnaby</v>
      </c>
      <c r="Q16" t="str">
        <f>Names!I16</f>
        <v>BC</v>
      </c>
      <c r="R16" t="str">
        <f>Names!J16</f>
        <v>V5G 4W7</v>
      </c>
      <c r="S16" t="str">
        <f t="shared" si="1"/>
        <v>rg:{'id': '200014'}</v>
      </c>
      <c r="T16" t="s">
        <v>76</v>
      </c>
    </row>
    <row r="17" spans="1:20" x14ac:dyDescent="0.3">
      <c r="A17" t="s">
        <v>54</v>
      </c>
      <c r="B17" t="s">
        <v>7</v>
      </c>
      <c r="C17" t="s">
        <v>4158</v>
      </c>
      <c r="D17">
        <f t="shared" si="0"/>
        <v>200015</v>
      </c>
      <c r="E17" t="str">
        <f>Names!D17</f>
        <v>Lillian</v>
      </c>
      <c r="F17" t="str">
        <f>Names!F17</f>
        <v>Warner</v>
      </c>
      <c r="G17" t="str">
        <f>Names!AA17</f>
        <v xml:space="preserve">The Fox and Hound </v>
      </c>
      <c r="H17" t="s">
        <v>7629</v>
      </c>
      <c r="I17" t="s">
        <v>76</v>
      </c>
      <c r="J17" t="str">
        <f>Names!M17</f>
        <v>LillianJWarner@teleworm.us</v>
      </c>
      <c r="K17" t="str">
        <f ca="1">IF(RANDBETWEEN(1,2) &gt; 1, "rg:None", Names!P17)</f>
        <v>604-585-0804</v>
      </c>
      <c r="L17" t="str">
        <f ca="1">IF(K17="rg:None",Names!P17,"rg:None")</f>
        <v>rg:None</v>
      </c>
      <c r="M17" t="s">
        <v>76</v>
      </c>
      <c r="N17" t="str">
        <f>Names!G17</f>
        <v>2553 Holdom Avenue</v>
      </c>
      <c r="O17" t="s">
        <v>76</v>
      </c>
      <c r="P17" t="str">
        <f>Names!H17</f>
        <v>Surrey</v>
      </c>
      <c r="Q17" t="str">
        <f>Names!I17</f>
        <v>BC</v>
      </c>
      <c r="R17" t="str">
        <f>Names!J17</f>
        <v>V3T 4Y5</v>
      </c>
      <c r="S17" t="str">
        <f t="shared" si="1"/>
        <v>rg:{'id': '200015'}</v>
      </c>
      <c r="T17" t="s">
        <v>76</v>
      </c>
    </row>
    <row r="18" spans="1:20" x14ac:dyDescent="0.3">
      <c r="A18" t="s">
        <v>54</v>
      </c>
      <c r="B18" t="s">
        <v>7</v>
      </c>
      <c r="C18" t="s">
        <v>4880</v>
      </c>
      <c r="D18">
        <f t="shared" si="0"/>
        <v>200016</v>
      </c>
      <c r="E18" t="str">
        <f>Names!D18</f>
        <v>Marilyn</v>
      </c>
      <c r="F18" t="str">
        <f>Names!F18</f>
        <v>Novak</v>
      </c>
      <c r="G18" t="str">
        <f>Names!AA18</f>
        <v>Edwards</v>
      </c>
      <c r="H18" t="s">
        <v>7629</v>
      </c>
      <c r="I18" t="s">
        <v>76</v>
      </c>
      <c r="J18" t="str">
        <f>Names!M18</f>
        <v>MarilynBNovak@jourrapide.com</v>
      </c>
      <c r="K18" t="str">
        <f ca="1">IF(RANDBETWEEN(1,2) &gt; 1, "rg:None", Names!P18)</f>
        <v>250-715-8418</v>
      </c>
      <c r="L18" t="str">
        <f ca="1">IF(K18="rg:None",Names!P18,"rg:None")</f>
        <v>rg:None</v>
      </c>
      <c r="M18" t="s">
        <v>76</v>
      </c>
      <c r="N18" t="str">
        <f>Names!G18</f>
        <v>3924 Roger Street</v>
      </c>
      <c r="O18" t="s">
        <v>76</v>
      </c>
      <c r="P18" t="str">
        <f>Names!H18</f>
        <v>Duncan</v>
      </c>
      <c r="Q18" t="str">
        <f>Names!I18</f>
        <v>BC</v>
      </c>
      <c r="R18" t="str">
        <f>Names!J18</f>
        <v>V9L 1P1</v>
      </c>
      <c r="S18" t="str">
        <f t="shared" si="1"/>
        <v>rg:{'id': '200016'}</v>
      </c>
      <c r="T18" t="s">
        <v>76</v>
      </c>
    </row>
    <row r="19" spans="1:20" x14ac:dyDescent="0.3">
      <c r="A19" t="s">
        <v>54</v>
      </c>
      <c r="B19" t="s">
        <v>7</v>
      </c>
      <c r="C19" t="s">
        <v>4734</v>
      </c>
      <c r="D19">
        <f t="shared" si="0"/>
        <v>200017</v>
      </c>
      <c r="E19" t="str">
        <f>Names!D19</f>
        <v>Joshua</v>
      </c>
      <c r="F19" t="str">
        <f>Names!F19</f>
        <v>Bjork</v>
      </c>
      <c r="G19" t="str">
        <f>Names!AA19</f>
        <v>Grass Roots Yard Services</v>
      </c>
      <c r="H19" t="s">
        <v>7629</v>
      </c>
      <c r="I19" t="s">
        <v>76</v>
      </c>
      <c r="J19" t="str">
        <f>Names!M19</f>
        <v>JoshuaKBjork@jourrapide.com</v>
      </c>
      <c r="K19" t="str">
        <f ca="1">IF(RANDBETWEEN(1,2) &gt; 1, "rg:None", Names!P19)</f>
        <v>250-764-6277</v>
      </c>
      <c r="L19" t="str">
        <f ca="1">IF(K19="rg:None",Names!P19,"rg:None")</f>
        <v>rg:None</v>
      </c>
      <c r="M19" t="s">
        <v>76</v>
      </c>
      <c r="N19" t="str">
        <f>Names!G19</f>
        <v>616 Scotts Lane</v>
      </c>
      <c r="O19" t="s">
        <v>76</v>
      </c>
      <c r="P19" t="str">
        <f>Names!H19</f>
        <v>Okanagan Mission</v>
      </c>
      <c r="Q19" t="str">
        <f>Names!I19</f>
        <v>BC</v>
      </c>
      <c r="R19" t="str">
        <f>Names!J19</f>
        <v>V0R 1S0</v>
      </c>
      <c r="S19" t="str">
        <f t="shared" si="1"/>
        <v>rg:{'id': '200017'}</v>
      </c>
      <c r="T19" t="s">
        <v>76</v>
      </c>
    </row>
    <row r="20" spans="1:20" x14ac:dyDescent="0.3">
      <c r="A20" t="s">
        <v>54</v>
      </c>
      <c r="B20" t="s">
        <v>7</v>
      </c>
      <c r="C20" t="s">
        <v>3979</v>
      </c>
      <c r="D20">
        <f t="shared" si="0"/>
        <v>200018</v>
      </c>
      <c r="E20" t="str">
        <f>Names!D20</f>
        <v>Patricia</v>
      </c>
      <c r="F20" t="str">
        <f>Names!F20</f>
        <v>Riley</v>
      </c>
      <c r="G20" t="str">
        <f>Names!AA20</f>
        <v>Pantry Food Stores</v>
      </c>
      <c r="H20" t="s">
        <v>7629</v>
      </c>
      <c r="I20" t="s">
        <v>76</v>
      </c>
      <c r="J20" t="str">
        <f>Names!M20</f>
        <v>PatriciaJRiley@dayrep.com</v>
      </c>
      <c r="K20" t="str">
        <f ca="1">IF(RANDBETWEEN(1,2) &gt; 1, "rg:None", Names!P20)</f>
        <v>250-345-1717</v>
      </c>
      <c r="L20" t="str">
        <f ca="1">IF(K20="rg:None",Names!P20,"rg:None")</f>
        <v>rg:None</v>
      </c>
      <c r="M20" t="s">
        <v>76</v>
      </c>
      <c r="N20" t="str">
        <f>Names!G20</f>
        <v>3690 Findlay Creek Road</v>
      </c>
      <c r="O20" t="s">
        <v>76</v>
      </c>
      <c r="P20" t="str">
        <f>Names!H20</f>
        <v>Fairmont Hot Springs</v>
      </c>
      <c r="Q20" t="str">
        <f>Names!I20</f>
        <v>BC</v>
      </c>
      <c r="R20" t="str">
        <f>Names!J20</f>
        <v>V0B 1L0</v>
      </c>
      <c r="S20" t="str">
        <f t="shared" si="1"/>
        <v>rg:{'id': '200018'}</v>
      </c>
      <c r="T20" t="s">
        <v>76</v>
      </c>
    </row>
    <row r="21" spans="1:20" x14ac:dyDescent="0.3">
      <c r="A21" t="s">
        <v>54</v>
      </c>
      <c r="B21" t="s">
        <v>7</v>
      </c>
      <c r="C21" t="s">
        <v>3884</v>
      </c>
      <c r="D21">
        <f t="shared" si="0"/>
        <v>200019</v>
      </c>
      <c r="E21" t="str">
        <f>Names!D21</f>
        <v>Beverly</v>
      </c>
      <c r="F21" t="str">
        <f>Names!F21</f>
        <v>Clyde</v>
      </c>
      <c r="G21" t="str">
        <f>Names!AA21</f>
        <v>Magik Grey</v>
      </c>
      <c r="H21" t="s">
        <v>7629</v>
      </c>
      <c r="I21" t="s">
        <v>76</v>
      </c>
      <c r="J21" t="str">
        <f>Names!M21</f>
        <v>BeverlyWClyde@rhyta.com</v>
      </c>
      <c r="K21" t="str">
        <f ca="1">IF(RANDBETWEEN(1,2) &gt; 1, "rg:None", Names!P21)</f>
        <v>604-516-1604</v>
      </c>
      <c r="L21" t="str">
        <f ca="1">IF(K21="rg:None",Names!P21,"rg:None")</f>
        <v>rg:None</v>
      </c>
      <c r="M21" t="s">
        <v>76</v>
      </c>
      <c r="N21" t="str">
        <f>Names!G21</f>
        <v>1065 Sixth Street</v>
      </c>
      <c r="O21" t="s">
        <v>76</v>
      </c>
      <c r="P21" t="str">
        <f>Names!H21</f>
        <v>New Westminster</v>
      </c>
      <c r="Q21" t="str">
        <f>Names!I21</f>
        <v>BC</v>
      </c>
      <c r="R21" t="str">
        <f>Names!J21</f>
        <v>V3L 3C1</v>
      </c>
      <c r="S21" t="str">
        <f t="shared" si="1"/>
        <v>rg:{'id': '200019'}</v>
      </c>
      <c r="T21" t="s">
        <v>76</v>
      </c>
    </row>
    <row r="22" spans="1:20" x14ac:dyDescent="0.3">
      <c r="A22" t="s">
        <v>54</v>
      </c>
      <c r="B22" t="s">
        <v>7</v>
      </c>
      <c r="C22" t="s">
        <v>4538</v>
      </c>
      <c r="D22">
        <f t="shared" si="0"/>
        <v>200020</v>
      </c>
      <c r="E22" t="str">
        <f>Names!D22</f>
        <v>Bill</v>
      </c>
      <c r="F22" t="str">
        <f>Names!F22</f>
        <v>Finley</v>
      </c>
      <c r="G22" t="str">
        <f>Names!AA22</f>
        <v>Pantry Pride</v>
      </c>
      <c r="H22" t="s">
        <v>7629</v>
      </c>
      <c r="I22" t="s">
        <v>76</v>
      </c>
      <c r="J22" t="str">
        <f>Names!M22</f>
        <v>BillMFinley@gustr.com</v>
      </c>
      <c r="K22" t="str">
        <f ca="1">IF(RANDBETWEEN(1,2) &gt; 1, "rg:None", Names!P22)</f>
        <v>250-858-1942</v>
      </c>
      <c r="L22" t="str">
        <f ca="1">IF(K22="rg:None",Names!P22,"rg:None")</f>
        <v>rg:None</v>
      </c>
      <c r="M22" t="s">
        <v>76</v>
      </c>
      <c r="N22" t="str">
        <f>Names!G22</f>
        <v>2261 Blanshard</v>
      </c>
      <c r="O22" t="s">
        <v>76</v>
      </c>
      <c r="P22" t="str">
        <f>Names!H22</f>
        <v>Victoria</v>
      </c>
      <c r="Q22" t="str">
        <f>Names!I22</f>
        <v>BC</v>
      </c>
      <c r="R22" t="str">
        <f>Names!J22</f>
        <v>V8W 2H9</v>
      </c>
      <c r="S22" t="str">
        <f t="shared" si="1"/>
        <v>rg:{'id': '200020'}</v>
      </c>
      <c r="T22" t="s">
        <v>76</v>
      </c>
    </row>
    <row r="23" spans="1:20" x14ac:dyDescent="0.3">
      <c r="A23" t="s">
        <v>54</v>
      </c>
      <c r="B23" t="s">
        <v>7</v>
      </c>
      <c r="C23" t="s">
        <v>4401</v>
      </c>
      <c r="D23">
        <f t="shared" si="0"/>
        <v>200021</v>
      </c>
      <c r="E23" t="str">
        <f>Names!D23</f>
        <v>Charles</v>
      </c>
      <c r="F23" t="str">
        <f>Names!F23</f>
        <v>Seng</v>
      </c>
      <c r="G23" t="str">
        <f>Names!AA23</f>
        <v>Sandy's</v>
      </c>
      <c r="H23" t="s">
        <v>7629</v>
      </c>
      <c r="I23" t="s">
        <v>76</v>
      </c>
      <c r="J23" t="str">
        <f>Names!M23</f>
        <v>CharlesJSeng@armyspy.com</v>
      </c>
      <c r="K23" t="str">
        <f ca="1">IF(RANDBETWEEN(1,2) &gt; 1, "rg:None", Names!P23)</f>
        <v>604-572-8640</v>
      </c>
      <c r="L23" t="str">
        <f ca="1">IF(K23="rg:None",Names!P23,"rg:None")</f>
        <v>rg:None</v>
      </c>
      <c r="M23" t="s">
        <v>76</v>
      </c>
      <c r="N23" t="str">
        <f>Names!G23</f>
        <v>4761 King George Hwy</v>
      </c>
      <c r="O23" t="s">
        <v>76</v>
      </c>
      <c r="P23" t="str">
        <f>Names!H23</f>
        <v>Surrey</v>
      </c>
      <c r="Q23" t="str">
        <f>Names!I23</f>
        <v>BC</v>
      </c>
      <c r="R23" t="str">
        <f>Names!J23</f>
        <v>V3W 4E3</v>
      </c>
      <c r="S23" t="str">
        <f t="shared" si="1"/>
        <v>rg:{'id': '200021'}</v>
      </c>
      <c r="T23" t="s">
        <v>76</v>
      </c>
    </row>
    <row r="24" spans="1:20" x14ac:dyDescent="0.3">
      <c r="A24" t="s">
        <v>54</v>
      </c>
      <c r="B24" t="s">
        <v>7</v>
      </c>
      <c r="C24" t="s">
        <v>3650</v>
      </c>
      <c r="D24">
        <f t="shared" si="0"/>
        <v>200022</v>
      </c>
      <c r="E24" t="str">
        <f>Names!D24</f>
        <v>Robert</v>
      </c>
      <c r="F24" t="str">
        <f>Names!F24</f>
        <v>Miller</v>
      </c>
      <c r="G24" t="str">
        <f>Names!AA24</f>
        <v>Earthworks Garden Kare</v>
      </c>
      <c r="H24" t="s">
        <v>7629</v>
      </c>
      <c r="I24" t="s">
        <v>76</v>
      </c>
      <c r="J24" t="str">
        <f>Names!M24</f>
        <v>RobertGMiller@teleworm.us</v>
      </c>
      <c r="K24" t="str">
        <f ca="1">IF(RANDBETWEEN(1,2) &gt; 1, "rg:None", Names!P24)</f>
        <v>rg:None</v>
      </c>
      <c r="L24" t="str">
        <f ca="1">IF(K24="rg:None",Names!P24,"rg:None")</f>
        <v>778-240-3830</v>
      </c>
      <c r="M24" t="s">
        <v>76</v>
      </c>
      <c r="N24" t="str">
        <f>Names!G24</f>
        <v>4136 Glover Road</v>
      </c>
      <c r="O24" t="s">
        <v>76</v>
      </c>
      <c r="P24" t="str">
        <f>Names!H24</f>
        <v>Langley</v>
      </c>
      <c r="Q24" t="str">
        <f>Names!I24</f>
        <v>BC</v>
      </c>
      <c r="R24" t="str">
        <f>Names!J24</f>
        <v>V3A 4P6</v>
      </c>
      <c r="S24" t="str">
        <f t="shared" si="1"/>
        <v>rg:{'id': '200022'}</v>
      </c>
      <c r="T24" t="s">
        <v>76</v>
      </c>
    </row>
    <row r="25" spans="1:20" x14ac:dyDescent="0.3">
      <c r="A25" t="s">
        <v>54</v>
      </c>
      <c r="B25" t="s">
        <v>7</v>
      </c>
      <c r="C25" t="s">
        <v>3409</v>
      </c>
      <c r="D25">
        <f t="shared" si="0"/>
        <v>200023</v>
      </c>
      <c r="E25" t="str">
        <f>Names!D25</f>
        <v>David</v>
      </c>
      <c r="F25" t="str">
        <f>Names!F25</f>
        <v>Kelly</v>
      </c>
      <c r="G25" t="str">
        <f>Names!AA25</f>
        <v>Gamma Gas</v>
      </c>
      <c r="H25" t="s">
        <v>7629</v>
      </c>
      <c r="I25" t="s">
        <v>76</v>
      </c>
      <c r="J25" t="str">
        <f>Names!M25</f>
        <v>DavidBKelly@gustr.com</v>
      </c>
      <c r="K25" t="str">
        <f ca="1">IF(RANDBETWEEN(1,2) &gt; 1, "rg:None", Names!P25)</f>
        <v>250-754-4189</v>
      </c>
      <c r="L25" t="str">
        <f ca="1">IF(K25="rg:None",Names!P25,"rg:None")</f>
        <v>rg:None</v>
      </c>
      <c r="M25" t="s">
        <v>76</v>
      </c>
      <c r="N25" t="str">
        <f>Names!G25</f>
        <v>735 Wallace Street</v>
      </c>
      <c r="O25" t="s">
        <v>76</v>
      </c>
      <c r="P25" t="str">
        <f>Names!H25</f>
        <v>Nanaimo</v>
      </c>
      <c r="Q25" t="str">
        <f>Names!I25</f>
        <v>BC</v>
      </c>
      <c r="R25" t="str">
        <f>Names!J25</f>
        <v>V9R 3A8</v>
      </c>
      <c r="S25" t="str">
        <f t="shared" si="1"/>
        <v>rg:{'id': '200023'}</v>
      </c>
      <c r="T25" t="s">
        <v>76</v>
      </c>
    </row>
    <row r="26" spans="1:20" x14ac:dyDescent="0.3">
      <c r="A26" t="s">
        <v>54</v>
      </c>
      <c r="B26" t="s">
        <v>7</v>
      </c>
      <c r="C26" t="s">
        <v>3307</v>
      </c>
      <c r="D26">
        <f t="shared" si="0"/>
        <v>200024</v>
      </c>
      <c r="E26" t="str">
        <f>Names!D26</f>
        <v>Emory</v>
      </c>
      <c r="F26" t="str">
        <f>Names!F26</f>
        <v>Hanson</v>
      </c>
      <c r="G26" t="str">
        <f>Names!AA26</f>
        <v>Universo Realtors</v>
      </c>
      <c r="H26" t="s">
        <v>7629</v>
      </c>
      <c r="I26" t="s">
        <v>76</v>
      </c>
      <c r="J26" t="str">
        <f>Names!M26</f>
        <v>EmoryCHanson@armyspy.com</v>
      </c>
      <c r="K26" t="str">
        <f ca="1">IF(RANDBETWEEN(1,2) &gt; 1, "rg:None", Names!P26)</f>
        <v>250-346-8870</v>
      </c>
      <c r="L26" t="str">
        <f ca="1">IF(K26="rg:None",Names!P26,"rg:None")</f>
        <v>rg:None</v>
      </c>
      <c r="M26" t="s">
        <v>76</v>
      </c>
      <c r="N26" t="str">
        <f>Names!G26</f>
        <v>4359 Yoho Valley Road</v>
      </c>
      <c r="O26" t="s">
        <v>76</v>
      </c>
      <c r="P26" t="str">
        <f>Names!H26</f>
        <v>Spillimacheen</v>
      </c>
      <c r="Q26" t="str">
        <f>Names!I26</f>
        <v>BC</v>
      </c>
      <c r="R26" t="str">
        <f>Names!J26</f>
        <v>V0A 1P0</v>
      </c>
      <c r="S26" t="str">
        <f t="shared" si="1"/>
        <v>rg:{'id': '200024'}</v>
      </c>
      <c r="T26" t="s">
        <v>76</v>
      </c>
    </row>
    <row r="27" spans="1:20" x14ac:dyDescent="0.3">
      <c r="A27" t="s">
        <v>54</v>
      </c>
      <c r="B27" t="s">
        <v>7</v>
      </c>
      <c r="C27" t="s">
        <v>4702</v>
      </c>
      <c r="D27">
        <f t="shared" si="0"/>
        <v>200025</v>
      </c>
      <c r="E27" t="str">
        <f>Names!D27</f>
        <v>Richard</v>
      </c>
      <c r="F27" t="str">
        <f>Names!F27</f>
        <v>Turner</v>
      </c>
      <c r="G27" t="str">
        <f>Names!AA27</f>
        <v>Gas Depot</v>
      </c>
      <c r="H27" t="s">
        <v>7629</v>
      </c>
      <c r="I27" t="s">
        <v>76</v>
      </c>
      <c r="J27" t="str">
        <f>Names!M27</f>
        <v>RichardETurner@jourrapide.com</v>
      </c>
      <c r="K27" t="str">
        <f ca="1">IF(RANDBETWEEN(1,2) &gt; 1, "rg:None", Names!P27)</f>
        <v>250-658-1819</v>
      </c>
      <c r="L27" t="str">
        <f ca="1">IF(K27="rg:None",Names!P27,"rg:None")</f>
        <v>rg:None</v>
      </c>
      <c r="M27" t="s">
        <v>76</v>
      </c>
      <c r="N27" t="str">
        <f>Names!G27</f>
        <v>2890 Burdett Avenue</v>
      </c>
      <c r="O27" t="s">
        <v>76</v>
      </c>
      <c r="P27" t="str">
        <f>Names!H27</f>
        <v>Victoria</v>
      </c>
      <c r="Q27" t="str">
        <f>Names!I27</f>
        <v>BC</v>
      </c>
      <c r="R27" t="str">
        <f>Names!J27</f>
        <v>V8Y 1Y7</v>
      </c>
      <c r="S27" t="str">
        <f t="shared" si="1"/>
        <v>rg:{'id': '200025'}</v>
      </c>
      <c r="T27" t="s">
        <v>76</v>
      </c>
    </row>
    <row r="28" spans="1:20" x14ac:dyDescent="0.3">
      <c r="A28" t="s">
        <v>54</v>
      </c>
      <c r="B28" t="s">
        <v>7</v>
      </c>
      <c r="C28" t="s">
        <v>3917</v>
      </c>
      <c r="D28">
        <f t="shared" si="0"/>
        <v>200026</v>
      </c>
      <c r="E28" t="str">
        <f>Names!D28</f>
        <v>Cletus</v>
      </c>
      <c r="F28" t="str">
        <f>Names!F28</f>
        <v>Hill</v>
      </c>
      <c r="G28" t="str">
        <f>Names!AA28</f>
        <v>Service Merchandise</v>
      </c>
      <c r="H28" t="s">
        <v>7629</v>
      </c>
      <c r="I28" t="s">
        <v>76</v>
      </c>
      <c r="J28" t="str">
        <f>Names!M28</f>
        <v>CletusDHill@gustr.com</v>
      </c>
      <c r="K28" t="str">
        <f ca="1">IF(RANDBETWEEN(1,2) &gt; 1, "rg:None", Names!P28)</f>
        <v>778-288-6748</v>
      </c>
      <c r="L28" t="str">
        <f ca="1">IF(K28="rg:None",Names!P28,"rg:None")</f>
        <v>rg:None</v>
      </c>
      <c r="M28" t="s">
        <v>76</v>
      </c>
      <c r="N28" t="str">
        <f>Names!G28</f>
        <v>1323 Cordova Street</v>
      </c>
      <c r="O28" t="s">
        <v>76</v>
      </c>
      <c r="P28" t="str">
        <f>Names!H28</f>
        <v>Vancouver</v>
      </c>
      <c r="Q28" t="str">
        <f>Names!I28</f>
        <v>BC</v>
      </c>
      <c r="R28" t="str">
        <f>Names!J28</f>
        <v>V6B 1E1</v>
      </c>
      <c r="S28" t="str">
        <f t="shared" si="1"/>
        <v>rg:{'id': '200026'}</v>
      </c>
      <c r="T28" t="s">
        <v>76</v>
      </c>
    </row>
    <row r="29" spans="1:20" x14ac:dyDescent="0.3">
      <c r="A29" t="s">
        <v>54</v>
      </c>
      <c r="B29" t="s">
        <v>7</v>
      </c>
      <c r="C29" t="s">
        <v>4342</v>
      </c>
      <c r="D29">
        <f t="shared" si="0"/>
        <v>200027</v>
      </c>
      <c r="E29" t="str">
        <f>Names!D29</f>
        <v>Nancy</v>
      </c>
      <c r="F29" t="str">
        <f>Names!F29</f>
        <v>Foley</v>
      </c>
      <c r="G29" t="str">
        <f>Names!AA29</f>
        <v>Lionel Playworld</v>
      </c>
      <c r="H29" t="s">
        <v>7629</v>
      </c>
      <c r="I29" t="s">
        <v>76</v>
      </c>
      <c r="J29" t="str">
        <f>Names!M29</f>
        <v>NancyFFoley@cuvox.de</v>
      </c>
      <c r="K29" t="str">
        <f ca="1">IF(RANDBETWEEN(1,2) &gt; 1, "rg:None", Names!P29)</f>
        <v>rg:None</v>
      </c>
      <c r="L29" t="str">
        <f ca="1">IF(K29="rg:None",Names!P29,"rg:None")</f>
        <v>604-614-7032</v>
      </c>
      <c r="M29" t="s">
        <v>76</v>
      </c>
      <c r="N29" t="str">
        <f>Names!G29</f>
        <v>727 Glover Road</v>
      </c>
      <c r="O29" t="s">
        <v>76</v>
      </c>
      <c r="P29" t="str">
        <f>Names!H29</f>
        <v>Langley</v>
      </c>
      <c r="Q29" t="str">
        <f>Names!I29</f>
        <v>BC</v>
      </c>
      <c r="R29" t="str">
        <f>Names!J29</f>
        <v>V3A 4P6</v>
      </c>
      <c r="S29" t="str">
        <f t="shared" si="1"/>
        <v>rg:{'id': '200027'}</v>
      </c>
      <c r="T29" t="s">
        <v>76</v>
      </c>
    </row>
    <row r="30" spans="1:20" x14ac:dyDescent="0.3">
      <c r="A30" t="s">
        <v>54</v>
      </c>
      <c r="B30" t="s">
        <v>7</v>
      </c>
      <c r="C30" t="s">
        <v>4480</v>
      </c>
      <c r="D30">
        <f t="shared" si="0"/>
        <v>200028</v>
      </c>
      <c r="E30" t="str">
        <f>Names!D30</f>
        <v>Nichole</v>
      </c>
      <c r="F30" t="str">
        <f>Names!F30</f>
        <v>Mitchell</v>
      </c>
      <c r="G30" t="str">
        <f>Names!AA30</f>
        <v>Success Is Yours</v>
      </c>
      <c r="H30" t="s">
        <v>7629</v>
      </c>
      <c r="I30" t="s">
        <v>76</v>
      </c>
      <c r="J30" t="str">
        <f>Names!M30</f>
        <v>NicholeDMitchell@fleckens.hu</v>
      </c>
      <c r="K30" t="str">
        <f ca="1">IF(RANDBETWEEN(1,2) &gt; 1, "rg:None", Names!P30)</f>
        <v>rg:None</v>
      </c>
      <c r="L30" t="str">
        <f ca="1">IF(K30="rg:None",Names!P30,"rg:None")</f>
        <v>250-745-8192</v>
      </c>
      <c r="M30" t="s">
        <v>76</v>
      </c>
      <c r="N30" t="str">
        <f>Names!G30</f>
        <v>2814 Scotts Lane</v>
      </c>
      <c r="O30" t="s">
        <v>76</v>
      </c>
      <c r="P30" t="str">
        <f>Names!H30</f>
        <v>Youbou</v>
      </c>
      <c r="Q30" t="str">
        <f>Names!I30</f>
        <v>BC</v>
      </c>
      <c r="R30" t="str">
        <f>Names!J30</f>
        <v>V0R 3E0</v>
      </c>
      <c r="S30" t="str">
        <f t="shared" si="1"/>
        <v>rg:{'id': '200028'}</v>
      </c>
      <c r="T30" t="s">
        <v>76</v>
      </c>
    </row>
    <row r="31" spans="1:20" x14ac:dyDescent="0.3">
      <c r="A31" t="s">
        <v>54</v>
      </c>
      <c r="B31" t="s">
        <v>7</v>
      </c>
      <c r="C31" t="s">
        <v>3854</v>
      </c>
      <c r="D31">
        <f t="shared" si="0"/>
        <v>200029</v>
      </c>
      <c r="E31" t="str">
        <f>Names!D31</f>
        <v>Ricky</v>
      </c>
      <c r="F31" t="str">
        <f>Names!F31</f>
        <v>Nestor</v>
      </c>
      <c r="G31" t="str">
        <f>Names!AA31</f>
        <v>Stratacard</v>
      </c>
      <c r="H31" t="s">
        <v>7629</v>
      </c>
      <c r="I31" t="s">
        <v>76</v>
      </c>
      <c r="J31" t="str">
        <f>Names!M31</f>
        <v>RickyFNestor@rhyta.com</v>
      </c>
      <c r="K31" t="str">
        <f ca="1">IF(RANDBETWEEN(1,2) &gt; 1, "rg:None", Names!P31)</f>
        <v>rg:None</v>
      </c>
      <c r="L31" t="str">
        <f ca="1">IF(K31="rg:None",Names!P31,"rg:None")</f>
        <v>778-228-2363</v>
      </c>
      <c r="M31" t="s">
        <v>76</v>
      </c>
      <c r="N31" t="str">
        <f>Names!G31</f>
        <v>907 Nootka Street</v>
      </c>
      <c r="O31" t="s">
        <v>76</v>
      </c>
      <c r="P31" t="str">
        <f>Names!H31</f>
        <v>Vancouver</v>
      </c>
      <c r="Q31" t="str">
        <f>Names!I31</f>
        <v>BC</v>
      </c>
      <c r="R31" t="str">
        <f>Names!J31</f>
        <v>V5M 3M5</v>
      </c>
      <c r="S31" t="str">
        <f t="shared" si="1"/>
        <v>rg:{'id': '200029'}</v>
      </c>
      <c r="T31" t="s">
        <v>76</v>
      </c>
    </row>
    <row r="32" spans="1:20" x14ac:dyDescent="0.3">
      <c r="A32" t="s">
        <v>54</v>
      </c>
      <c r="B32" t="s">
        <v>7</v>
      </c>
      <c r="C32" t="s">
        <v>3424</v>
      </c>
      <c r="D32">
        <f t="shared" si="0"/>
        <v>200030</v>
      </c>
      <c r="E32" t="str">
        <f>Names!D32</f>
        <v>Dorothy</v>
      </c>
      <c r="F32" t="str">
        <f>Names!F32</f>
        <v>Fisher</v>
      </c>
      <c r="G32" t="str">
        <f>Names!AA32</f>
        <v>J. Brannam</v>
      </c>
      <c r="H32" t="s">
        <v>7629</v>
      </c>
      <c r="I32" t="s">
        <v>76</v>
      </c>
      <c r="J32" t="str">
        <f>Names!M32</f>
        <v>DorothyJFisher@dayrep.com</v>
      </c>
      <c r="K32" t="str">
        <f ca="1">IF(RANDBETWEEN(1,2) &gt; 1, "rg:None", Names!P32)</f>
        <v>778-839-6472</v>
      </c>
      <c r="L32" t="str">
        <f ca="1">IF(K32="rg:None",Names!P32,"rg:None")</f>
        <v>rg:None</v>
      </c>
      <c r="M32" t="s">
        <v>76</v>
      </c>
      <c r="N32" t="str">
        <f>Names!G32</f>
        <v>4528 Nootka Street</v>
      </c>
      <c r="O32" t="s">
        <v>76</v>
      </c>
      <c r="P32" t="str">
        <f>Names!H32</f>
        <v>Vancouver</v>
      </c>
      <c r="Q32" t="str">
        <f>Names!I32</f>
        <v>BC</v>
      </c>
      <c r="R32" t="str">
        <f>Names!J32</f>
        <v>V5M 3M5</v>
      </c>
      <c r="S32" t="str">
        <f t="shared" si="1"/>
        <v>rg:{'id': '200030'}</v>
      </c>
      <c r="T32" t="s">
        <v>76</v>
      </c>
    </row>
    <row r="33" spans="1:20" x14ac:dyDescent="0.3">
      <c r="A33" t="s">
        <v>54</v>
      </c>
      <c r="B33" t="s">
        <v>7</v>
      </c>
      <c r="C33" t="s">
        <v>4292</v>
      </c>
      <c r="D33">
        <f t="shared" si="0"/>
        <v>200031</v>
      </c>
      <c r="E33" t="str">
        <f>Names!D33</f>
        <v>Bruce</v>
      </c>
      <c r="F33" t="str">
        <f>Names!F33</f>
        <v>Welsh</v>
      </c>
      <c r="G33" t="str">
        <f>Names!AA33</f>
        <v>Happy Family</v>
      </c>
      <c r="H33" t="s">
        <v>7629</v>
      </c>
      <c r="I33" t="s">
        <v>76</v>
      </c>
      <c r="J33" t="str">
        <f>Names!M33</f>
        <v>BruceIWelsh@teleworm.us</v>
      </c>
      <c r="K33" t="str">
        <f ca="1">IF(RANDBETWEEN(1,2) &gt; 1, "rg:None", Names!P33)</f>
        <v>250-962-7752</v>
      </c>
      <c r="L33" t="str">
        <f ca="1">IF(K33="rg:None",Names!P33,"rg:None")</f>
        <v>rg:None</v>
      </c>
      <c r="M33" t="s">
        <v>76</v>
      </c>
      <c r="N33" t="str">
        <f>Names!G33</f>
        <v>2183 Kinchant St</v>
      </c>
      <c r="O33" t="s">
        <v>76</v>
      </c>
      <c r="P33" t="str">
        <f>Names!H33</f>
        <v>Prince George</v>
      </c>
      <c r="Q33" t="str">
        <f>Names!I33</f>
        <v>BC</v>
      </c>
      <c r="R33" t="str">
        <f>Names!J33</f>
        <v>V2N 2S6</v>
      </c>
      <c r="S33" t="str">
        <f t="shared" si="1"/>
        <v>rg:{'id': '200031'}</v>
      </c>
      <c r="T33" t="s">
        <v>76</v>
      </c>
    </row>
    <row r="34" spans="1:20" x14ac:dyDescent="0.3">
      <c r="A34" t="s">
        <v>54</v>
      </c>
      <c r="B34" t="s">
        <v>7</v>
      </c>
      <c r="C34" t="s">
        <v>3456</v>
      </c>
      <c r="D34">
        <f t="shared" si="0"/>
        <v>200032</v>
      </c>
      <c r="E34" t="str">
        <f>Names!D34</f>
        <v>Alma</v>
      </c>
      <c r="F34" t="str">
        <f>Names!F34</f>
        <v>Sterling</v>
      </c>
      <c r="G34" t="str">
        <f>Names!AA34</f>
        <v>Reliable Guidance</v>
      </c>
      <c r="H34" t="s">
        <v>7629</v>
      </c>
      <c r="I34" t="s">
        <v>76</v>
      </c>
      <c r="J34" t="str">
        <f>Names!M34</f>
        <v>AlmaTSterling@gustr.com</v>
      </c>
      <c r="K34" t="str">
        <f ca="1">IF(RANDBETWEEN(1,2) &gt; 1, "rg:None", Names!P34)</f>
        <v>rg:None</v>
      </c>
      <c r="L34" t="str">
        <f ca="1">IF(K34="rg:None",Names!P34,"rg:None")</f>
        <v>250-265-8522</v>
      </c>
      <c r="M34" t="s">
        <v>76</v>
      </c>
      <c r="N34" t="str">
        <f>Names!G34</f>
        <v>4297 Queens Bay</v>
      </c>
      <c r="O34" t="s">
        <v>76</v>
      </c>
      <c r="P34" t="str">
        <f>Names!H34</f>
        <v>Nakusp</v>
      </c>
      <c r="Q34" t="str">
        <f>Names!I34</f>
        <v>BC</v>
      </c>
      <c r="R34" t="str">
        <f>Names!J34</f>
        <v>V0G 1R0</v>
      </c>
      <c r="S34" t="str">
        <f t="shared" si="1"/>
        <v>rg:{'id': '200032'}</v>
      </c>
      <c r="T34" t="s">
        <v>76</v>
      </c>
    </row>
    <row r="35" spans="1:20" x14ac:dyDescent="0.3">
      <c r="A35" t="s">
        <v>54</v>
      </c>
      <c r="B35" t="s">
        <v>7</v>
      </c>
      <c r="C35" t="s">
        <v>4009</v>
      </c>
      <c r="D35">
        <f t="shared" si="0"/>
        <v>200033</v>
      </c>
      <c r="E35" t="str">
        <f>Names!D35</f>
        <v>Robert</v>
      </c>
      <c r="F35" t="str">
        <f>Names!F35</f>
        <v>Hunt</v>
      </c>
      <c r="G35" t="str">
        <f>Names!AA35</f>
        <v>Witmark</v>
      </c>
      <c r="H35" t="s">
        <v>7629</v>
      </c>
      <c r="I35" t="s">
        <v>76</v>
      </c>
      <c r="J35" t="str">
        <f>Names!M35</f>
        <v>RobertLHunt@teleworm.us</v>
      </c>
      <c r="K35" t="str">
        <f ca="1">IF(RANDBETWEEN(1,2) &gt; 1, "rg:None", Names!P35)</f>
        <v>rg:None</v>
      </c>
      <c r="L35" t="str">
        <f ca="1">IF(K35="rg:None",Names!P35,"rg:None")</f>
        <v>250-423-0364</v>
      </c>
      <c r="M35" t="s">
        <v>76</v>
      </c>
      <c r="N35" t="str">
        <f>Names!G35</f>
        <v>2644 102nd Avenue</v>
      </c>
      <c r="O35" t="s">
        <v>76</v>
      </c>
      <c r="P35" t="str">
        <f>Names!H35</f>
        <v>Cranbrook</v>
      </c>
      <c r="Q35" t="str">
        <f>Names!I35</f>
        <v>BC</v>
      </c>
      <c r="R35" t="str">
        <f>Names!J35</f>
        <v>V1C 2R9</v>
      </c>
      <c r="S35" t="str">
        <f t="shared" si="1"/>
        <v>rg:{'id': '200033'}</v>
      </c>
      <c r="T35" t="s">
        <v>76</v>
      </c>
    </row>
    <row r="36" spans="1:20" x14ac:dyDescent="0.3">
      <c r="A36" t="s">
        <v>54</v>
      </c>
      <c r="B36" t="s">
        <v>7</v>
      </c>
      <c r="C36" t="s">
        <v>3325</v>
      </c>
      <c r="D36">
        <f t="shared" si="0"/>
        <v>200034</v>
      </c>
      <c r="E36" t="str">
        <f>Names!D36</f>
        <v>Stephanie</v>
      </c>
      <c r="F36" t="str">
        <f>Names!F36</f>
        <v>Young</v>
      </c>
      <c r="G36" t="str">
        <f>Names!AA36</f>
        <v>Warehouse Club Inc.</v>
      </c>
      <c r="H36" t="s">
        <v>7629</v>
      </c>
      <c r="I36" t="s">
        <v>76</v>
      </c>
      <c r="J36" t="str">
        <f>Names!M36</f>
        <v>StephanieJYoung@jourrapide.com</v>
      </c>
      <c r="K36" t="str">
        <f ca="1">IF(RANDBETWEEN(1,2) &gt; 1, "rg:None", Names!P36)</f>
        <v>rg:None</v>
      </c>
      <c r="L36" t="str">
        <f ca="1">IF(K36="rg:None",Names!P36,"rg:None")</f>
        <v>604-824-5554</v>
      </c>
      <c r="M36" t="s">
        <v>76</v>
      </c>
      <c r="N36" t="str">
        <f>Names!G36</f>
        <v>3273 Kinchant St</v>
      </c>
      <c r="O36" t="s">
        <v>76</v>
      </c>
      <c r="P36" t="str">
        <f>Names!H36</f>
        <v>Sardis</v>
      </c>
      <c r="Q36" t="str">
        <f>Names!I36</f>
        <v>BC</v>
      </c>
      <c r="R36" t="str">
        <f>Names!J36</f>
        <v>V2R 1C8</v>
      </c>
      <c r="S36" t="str">
        <f t="shared" si="1"/>
        <v>rg:{'id': '200034'}</v>
      </c>
      <c r="T36" t="s">
        <v>76</v>
      </c>
    </row>
    <row r="37" spans="1:20" x14ac:dyDescent="0.3">
      <c r="A37" t="s">
        <v>54</v>
      </c>
      <c r="B37" t="s">
        <v>7</v>
      </c>
      <c r="C37" t="s">
        <v>4069</v>
      </c>
      <c r="D37">
        <f t="shared" si="0"/>
        <v>200035</v>
      </c>
      <c r="E37" t="str">
        <f>Names!D37</f>
        <v>Wilma</v>
      </c>
      <c r="F37" t="str">
        <f>Names!F37</f>
        <v>Urbanski</v>
      </c>
      <c r="G37" t="str">
        <f>Names!AA37</f>
        <v>Indiewealth</v>
      </c>
      <c r="H37" t="s">
        <v>7629</v>
      </c>
      <c r="I37" t="s">
        <v>76</v>
      </c>
      <c r="J37" t="str">
        <f>Names!M37</f>
        <v>WilmaCUrbanski@teleworm.us</v>
      </c>
      <c r="K37" t="str">
        <f ca="1">IF(RANDBETWEEN(1,2) &gt; 1, "rg:None", Names!P37)</f>
        <v>250-360-5236</v>
      </c>
      <c r="L37" t="str">
        <f ca="1">IF(K37="rg:None",Names!P37,"rg:None")</f>
        <v>rg:None</v>
      </c>
      <c r="M37" t="s">
        <v>76</v>
      </c>
      <c r="N37" t="str">
        <f>Names!G37</f>
        <v>735 Blanshard</v>
      </c>
      <c r="O37" t="s">
        <v>76</v>
      </c>
      <c r="P37" t="str">
        <f>Names!H37</f>
        <v>Victoria</v>
      </c>
      <c r="Q37" t="str">
        <f>Names!I37</f>
        <v>BC</v>
      </c>
      <c r="R37" t="str">
        <f>Names!J37</f>
        <v>V8W 2H9</v>
      </c>
      <c r="S37" t="str">
        <f t="shared" si="1"/>
        <v>rg:{'id': '200035'}</v>
      </c>
      <c r="T37" t="s">
        <v>76</v>
      </c>
    </row>
    <row r="38" spans="1:20" x14ac:dyDescent="0.3">
      <c r="A38" t="s">
        <v>54</v>
      </c>
      <c r="B38" t="s">
        <v>7</v>
      </c>
      <c r="C38" t="s">
        <v>3554</v>
      </c>
      <c r="D38">
        <f t="shared" si="0"/>
        <v>200036</v>
      </c>
      <c r="E38" t="str">
        <f>Names!D38</f>
        <v>Keli</v>
      </c>
      <c r="F38" t="str">
        <f>Names!F38</f>
        <v>Warren</v>
      </c>
      <c r="G38" t="str">
        <f>Names!AA38</f>
        <v>Asian Junction</v>
      </c>
      <c r="H38" t="s">
        <v>7629</v>
      </c>
      <c r="I38" t="s">
        <v>76</v>
      </c>
      <c r="J38" t="str">
        <f>Names!M38</f>
        <v>KeliHWarren@rhyta.com</v>
      </c>
      <c r="K38" t="str">
        <f ca="1">IF(RANDBETWEEN(1,2) &gt; 1, "rg:None", Names!P38)</f>
        <v>604-646-2730</v>
      </c>
      <c r="L38" t="str">
        <f ca="1">IF(K38="rg:None",Names!P38,"rg:None")</f>
        <v>rg:None</v>
      </c>
      <c r="M38" t="s">
        <v>76</v>
      </c>
      <c r="N38" t="str">
        <f>Names!G38</f>
        <v>4216 Robson St</v>
      </c>
      <c r="O38" t="s">
        <v>76</v>
      </c>
      <c r="P38" t="str">
        <f>Names!H38</f>
        <v>Vancouver</v>
      </c>
      <c r="Q38" t="str">
        <f>Names!I38</f>
        <v>BC</v>
      </c>
      <c r="R38" t="str">
        <f>Names!J38</f>
        <v>V6B 3K9</v>
      </c>
      <c r="S38" t="str">
        <f t="shared" si="1"/>
        <v>rg:{'id': '200036'}</v>
      </c>
      <c r="T38" t="s">
        <v>76</v>
      </c>
    </row>
    <row r="39" spans="1:20" x14ac:dyDescent="0.3">
      <c r="A39" t="s">
        <v>54</v>
      </c>
      <c r="B39" t="s">
        <v>7</v>
      </c>
      <c r="C39" t="s">
        <v>3255</v>
      </c>
      <c r="D39">
        <f t="shared" si="0"/>
        <v>200037</v>
      </c>
      <c r="E39" t="str">
        <f>Names!D39</f>
        <v>Ralph</v>
      </c>
      <c r="F39" t="str">
        <f>Names!F39</f>
        <v>Graham</v>
      </c>
      <c r="G39" t="str">
        <f>Names!AA39</f>
        <v>Destiny Realty</v>
      </c>
      <c r="H39" t="s">
        <v>7629</v>
      </c>
      <c r="I39" t="s">
        <v>76</v>
      </c>
      <c r="J39" t="str">
        <f>Names!M39</f>
        <v>RalphKGraham@rhyta.com</v>
      </c>
      <c r="K39" t="str">
        <f ca="1">IF(RANDBETWEEN(1,2) &gt; 1, "rg:None", Names!P39)</f>
        <v>rg:None</v>
      </c>
      <c r="L39" t="str">
        <f ca="1">IF(K39="rg:None",Names!P39,"rg:None")</f>
        <v>250-529-8172</v>
      </c>
      <c r="M39" t="s">
        <v>76</v>
      </c>
      <c r="N39" t="str">
        <f>Names!G39</f>
        <v>3162 Findlay Creek Road</v>
      </c>
      <c r="O39" t="s">
        <v>76</v>
      </c>
      <c r="P39" t="str">
        <f>Names!H39</f>
        <v>Elko</v>
      </c>
      <c r="Q39" t="str">
        <f>Names!I39</f>
        <v>BC</v>
      </c>
      <c r="R39" t="str">
        <f>Names!J39</f>
        <v>V0B 1J0</v>
      </c>
      <c r="S39" t="str">
        <f t="shared" si="1"/>
        <v>rg:{'id': '200037'}</v>
      </c>
      <c r="T39" t="s">
        <v>76</v>
      </c>
    </row>
    <row r="40" spans="1:20" x14ac:dyDescent="0.3">
      <c r="A40" t="s">
        <v>54</v>
      </c>
      <c r="B40" t="s">
        <v>7</v>
      </c>
      <c r="C40" t="s">
        <v>3168</v>
      </c>
      <c r="D40">
        <f t="shared" si="0"/>
        <v>200038</v>
      </c>
      <c r="E40" t="str">
        <f>Names!D40</f>
        <v>Margaret</v>
      </c>
      <c r="F40" t="str">
        <f>Names!F40</f>
        <v>Greene</v>
      </c>
      <c r="G40" t="str">
        <f>Names!AA40</f>
        <v>Casual Corner</v>
      </c>
      <c r="H40" t="s">
        <v>7629</v>
      </c>
      <c r="I40" t="s">
        <v>76</v>
      </c>
      <c r="J40" t="str">
        <f>Names!M40</f>
        <v>MargaretRGreene@armyspy.com</v>
      </c>
      <c r="K40" t="str">
        <f ca="1">IF(RANDBETWEEN(1,2) &gt; 1, "rg:None", Names!P40)</f>
        <v>rg:None</v>
      </c>
      <c r="L40" t="str">
        <f ca="1">IF(K40="rg:None",Names!P40,"rg:None")</f>
        <v>250-478-0854</v>
      </c>
      <c r="M40" t="s">
        <v>76</v>
      </c>
      <c r="N40" t="str">
        <f>Names!G40</f>
        <v>3832 Roger Street</v>
      </c>
      <c r="O40" t="s">
        <v>76</v>
      </c>
      <c r="P40" t="str">
        <f>Names!H40</f>
        <v>Victoria</v>
      </c>
      <c r="Q40" t="str">
        <f>Names!I40</f>
        <v>BC</v>
      </c>
      <c r="R40" t="str">
        <f>Names!J40</f>
        <v>V9B 1X2</v>
      </c>
      <c r="S40" t="str">
        <f t="shared" si="1"/>
        <v>rg:{'id': '200038'}</v>
      </c>
      <c r="T40" t="s">
        <v>76</v>
      </c>
    </row>
    <row r="41" spans="1:20" x14ac:dyDescent="0.3">
      <c r="A41" t="s">
        <v>54</v>
      </c>
      <c r="B41" t="s">
        <v>7</v>
      </c>
      <c r="C41" t="s">
        <v>4552</v>
      </c>
      <c r="D41">
        <f t="shared" si="0"/>
        <v>200039</v>
      </c>
      <c r="E41" t="str">
        <f>Names!D41</f>
        <v>William</v>
      </c>
      <c r="F41" t="str">
        <f>Names!F41</f>
        <v>Perreault</v>
      </c>
      <c r="G41" t="str">
        <f>Names!AA41</f>
        <v>Parts America</v>
      </c>
      <c r="H41" t="s">
        <v>7629</v>
      </c>
      <c r="I41" t="s">
        <v>76</v>
      </c>
      <c r="J41" t="str">
        <f>Names!M41</f>
        <v>WilliamJPerreault@einrot.com</v>
      </c>
      <c r="K41" t="str">
        <f ca="1">IF(RANDBETWEEN(1,2) &gt; 1, "rg:None", Names!P41)</f>
        <v>rg:None</v>
      </c>
      <c r="L41" t="str">
        <f ca="1">IF(K41="rg:None",Names!P41,"rg:None")</f>
        <v>604-280-1127</v>
      </c>
      <c r="M41" t="s">
        <v>76</v>
      </c>
      <c r="N41" t="str">
        <f>Names!G41</f>
        <v>3239 Cardero St</v>
      </c>
      <c r="O41" t="s">
        <v>76</v>
      </c>
      <c r="P41" t="str">
        <f>Names!H41</f>
        <v>Vancouver</v>
      </c>
      <c r="Q41" t="str">
        <f>Names!I41</f>
        <v>BC</v>
      </c>
      <c r="R41" t="str">
        <f>Names!J41</f>
        <v>S4P 3Y2</v>
      </c>
      <c r="S41" t="str">
        <f t="shared" si="1"/>
        <v>rg:{'id': '200039'}</v>
      </c>
      <c r="T41" t="s">
        <v>76</v>
      </c>
    </row>
    <row r="42" spans="1:20" x14ac:dyDescent="0.3">
      <c r="A42" t="s">
        <v>54</v>
      </c>
      <c r="B42" t="s">
        <v>7</v>
      </c>
      <c r="C42" t="s">
        <v>4213</v>
      </c>
      <c r="D42">
        <f t="shared" si="0"/>
        <v>200040</v>
      </c>
      <c r="E42" t="str">
        <f>Names!D42</f>
        <v>Kelly</v>
      </c>
      <c r="F42" t="str">
        <f>Names!F42</f>
        <v>Torrence</v>
      </c>
      <c r="G42" t="str">
        <f>Names!AA42</f>
        <v>Best Biz Survis</v>
      </c>
      <c r="H42" t="s">
        <v>7629</v>
      </c>
      <c r="I42" t="s">
        <v>76</v>
      </c>
      <c r="J42" t="str">
        <f>Names!M42</f>
        <v>KellyRTorrence@teleworm.us</v>
      </c>
      <c r="K42" t="str">
        <f ca="1">IF(RANDBETWEEN(1,2) &gt; 1, "rg:None", Names!P42)</f>
        <v>250-674-1387</v>
      </c>
      <c r="L42" t="str">
        <f ca="1">IF(K42="rg:None",Names!P42,"rg:None")</f>
        <v>rg:None</v>
      </c>
      <c r="M42" t="s">
        <v>76</v>
      </c>
      <c r="N42" t="str">
        <f>Names!G42</f>
        <v>2191 Blind Bay Road</v>
      </c>
      <c r="O42" t="s">
        <v>76</v>
      </c>
      <c r="P42" t="str">
        <f>Names!H42</f>
        <v>Clearwater</v>
      </c>
      <c r="Q42" t="str">
        <f>Names!I42</f>
        <v>BC</v>
      </c>
      <c r="R42" t="str">
        <f>Names!J42</f>
        <v>V0E 1N0</v>
      </c>
      <c r="S42" t="str">
        <f t="shared" si="1"/>
        <v>rg:{'id': '200040'}</v>
      </c>
      <c r="T42" t="s">
        <v>76</v>
      </c>
    </row>
    <row r="43" spans="1:20" x14ac:dyDescent="0.3">
      <c r="A43" t="s">
        <v>54</v>
      </c>
      <c r="B43" t="s">
        <v>7</v>
      </c>
      <c r="C43" t="s">
        <v>4864</v>
      </c>
      <c r="D43">
        <f t="shared" si="0"/>
        <v>200041</v>
      </c>
      <c r="E43" t="str">
        <f>Names!D43</f>
        <v>Antonio</v>
      </c>
      <c r="F43" t="str">
        <f>Names!F43</f>
        <v>Mitchell</v>
      </c>
      <c r="G43" t="str">
        <f>Names!AA43</f>
        <v>Universal Design Partners</v>
      </c>
      <c r="H43" t="s">
        <v>7629</v>
      </c>
      <c r="I43" t="s">
        <v>76</v>
      </c>
      <c r="J43" t="str">
        <f>Names!M43</f>
        <v>AntonioEMitchell@fleckens.hu</v>
      </c>
      <c r="K43" t="str">
        <f ca="1">IF(RANDBETWEEN(1,2) &gt; 1, "rg:None", Names!P43)</f>
        <v>rg:None</v>
      </c>
      <c r="L43" t="str">
        <f ca="1">IF(K43="rg:None",Names!P43,"rg:None")</f>
        <v>250-651-0742</v>
      </c>
      <c r="M43" t="s">
        <v>76</v>
      </c>
      <c r="N43" t="str">
        <f>Names!G43</f>
        <v>2919 Old Spallumcheen Rd</v>
      </c>
      <c r="O43" t="s">
        <v>76</v>
      </c>
      <c r="P43" t="str">
        <f>Names!H43</f>
        <v>Atlin</v>
      </c>
      <c r="Q43" t="str">
        <f>Names!I43</f>
        <v>BC</v>
      </c>
      <c r="R43" t="str">
        <f>Names!J43</f>
        <v>V0W 1A0</v>
      </c>
      <c r="S43" t="str">
        <f t="shared" si="1"/>
        <v>rg:{'id': '200041'}</v>
      </c>
      <c r="T43" t="s">
        <v>76</v>
      </c>
    </row>
    <row r="44" spans="1:20" x14ac:dyDescent="0.3">
      <c r="A44" t="s">
        <v>54</v>
      </c>
      <c r="B44" t="s">
        <v>7</v>
      </c>
      <c r="C44" t="s">
        <v>3619</v>
      </c>
      <c r="D44">
        <f t="shared" si="0"/>
        <v>200042</v>
      </c>
      <c r="E44" t="str">
        <f>Names!D44</f>
        <v>Todd</v>
      </c>
      <c r="F44" t="str">
        <f>Names!F44</f>
        <v>Daniels</v>
      </c>
      <c r="G44" t="str">
        <f>Names!AA44</f>
        <v>ManCharm</v>
      </c>
      <c r="H44" t="s">
        <v>7629</v>
      </c>
      <c r="I44" t="s">
        <v>76</v>
      </c>
      <c r="J44" t="str">
        <f>Names!M44</f>
        <v>ToddSDaniels@einrot.com</v>
      </c>
      <c r="K44" t="str">
        <f ca="1">IF(RANDBETWEEN(1,2) &gt; 1, "rg:None", Names!P44)</f>
        <v>rg:None</v>
      </c>
      <c r="L44" t="str">
        <f ca="1">IF(K44="rg:None",Names!P44,"rg:None")</f>
        <v>250-731-5024</v>
      </c>
      <c r="M44" t="s">
        <v>76</v>
      </c>
      <c r="N44" t="str">
        <f>Names!G44</f>
        <v>1547 Roger Street</v>
      </c>
      <c r="O44" t="s">
        <v>76</v>
      </c>
      <c r="P44" t="str">
        <f>Names!H44</f>
        <v>Port Alberni</v>
      </c>
      <c r="Q44" t="str">
        <f>Names!I44</f>
        <v>BC</v>
      </c>
      <c r="R44" t="str">
        <f>Names!J44</f>
        <v>V9Y 4M8</v>
      </c>
      <c r="S44" t="str">
        <f t="shared" si="1"/>
        <v>rg:{'id': '200042'}</v>
      </c>
      <c r="T44" t="s">
        <v>76</v>
      </c>
    </row>
    <row r="45" spans="1:20" x14ac:dyDescent="0.3">
      <c r="A45" t="s">
        <v>54</v>
      </c>
      <c r="B45" t="s">
        <v>7</v>
      </c>
      <c r="C45" t="s">
        <v>3537</v>
      </c>
      <c r="D45">
        <f t="shared" si="0"/>
        <v>200043</v>
      </c>
      <c r="E45" t="str">
        <f>Names!D45</f>
        <v>Maggie</v>
      </c>
      <c r="F45" t="str">
        <f>Names!F45</f>
        <v>Massey</v>
      </c>
      <c r="G45" t="str">
        <f>Names!AA45</f>
        <v>Monk House Sales</v>
      </c>
      <c r="H45" t="s">
        <v>7629</v>
      </c>
      <c r="I45" t="s">
        <v>76</v>
      </c>
      <c r="J45" t="str">
        <f>Names!M45</f>
        <v>MaggieRMassey@jourrapide.com</v>
      </c>
      <c r="K45" t="str">
        <f ca="1">IF(RANDBETWEEN(1,2) &gt; 1, "rg:None", Names!P45)</f>
        <v>rg:None</v>
      </c>
      <c r="L45" t="str">
        <f ca="1">IF(K45="rg:None",Names!P45,"rg:None")</f>
        <v>604-903-9393</v>
      </c>
      <c r="M45" t="s">
        <v>76</v>
      </c>
      <c r="N45" t="str">
        <f>Names!G45</f>
        <v>4228 Keith Road</v>
      </c>
      <c r="O45" t="s">
        <v>76</v>
      </c>
      <c r="P45" t="str">
        <f>Names!H45</f>
        <v>North Vancouver</v>
      </c>
      <c r="Q45" t="str">
        <f>Names!I45</f>
        <v>BC</v>
      </c>
      <c r="R45" t="str">
        <f>Names!J45</f>
        <v>V5T 2C1</v>
      </c>
      <c r="S45" t="str">
        <f t="shared" si="1"/>
        <v>rg:{'id': '200043'}</v>
      </c>
      <c r="T45" t="s">
        <v>76</v>
      </c>
    </row>
    <row r="46" spans="1:20" x14ac:dyDescent="0.3">
      <c r="A46" t="s">
        <v>54</v>
      </c>
      <c r="B46" t="s">
        <v>7</v>
      </c>
      <c r="C46" t="s">
        <v>3130</v>
      </c>
      <c r="D46">
        <f t="shared" si="0"/>
        <v>200044</v>
      </c>
      <c r="E46" t="str">
        <f>Names!D46</f>
        <v>Esteban</v>
      </c>
      <c r="F46" t="str">
        <f>Names!F46</f>
        <v>Zavala</v>
      </c>
      <c r="G46" t="str">
        <f>Names!AA46</f>
        <v>Brendle's</v>
      </c>
      <c r="H46" t="s">
        <v>7629</v>
      </c>
      <c r="I46" t="s">
        <v>76</v>
      </c>
      <c r="J46" t="str">
        <f>Names!M46</f>
        <v>EstebanRZavala@superrito.com</v>
      </c>
      <c r="K46" t="str">
        <f ca="1">IF(RANDBETWEEN(1,2) &gt; 1, "rg:None", Names!P46)</f>
        <v>250-412-4504</v>
      </c>
      <c r="L46" t="str">
        <f ca="1">IF(K46="rg:None",Names!P46,"rg:None")</f>
        <v>rg:None</v>
      </c>
      <c r="M46" t="s">
        <v>76</v>
      </c>
      <c r="N46" t="str">
        <f>Names!G46</f>
        <v>3420 Burdett Avenue</v>
      </c>
      <c r="O46" t="s">
        <v>76</v>
      </c>
      <c r="P46" t="str">
        <f>Names!H46</f>
        <v>Victoria</v>
      </c>
      <c r="Q46" t="str">
        <f>Names!I46</f>
        <v>BC</v>
      </c>
      <c r="R46" t="str">
        <f>Names!J46</f>
        <v>V8W IE9</v>
      </c>
      <c r="S46" t="str">
        <f t="shared" si="1"/>
        <v>rg:{'id': '200044'}</v>
      </c>
      <c r="T46" t="s">
        <v>76</v>
      </c>
    </row>
    <row r="47" spans="1:20" x14ac:dyDescent="0.3">
      <c r="A47" t="s">
        <v>54</v>
      </c>
      <c r="B47" t="s">
        <v>7</v>
      </c>
      <c r="C47" t="s">
        <v>4896</v>
      </c>
      <c r="D47">
        <f t="shared" si="0"/>
        <v>200045</v>
      </c>
      <c r="E47" t="str">
        <f>Names!D47</f>
        <v>Bruce</v>
      </c>
      <c r="F47" t="str">
        <f>Names!F47</f>
        <v>Knuth</v>
      </c>
      <c r="G47" t="str">
        <f>Names!AA47</f>
        <v>Rossi Auto Parts</v>
      </c>
      <c r="H47" t="s">
        <v>7629</v>
      </c>
      <c r="I47" t="s">
        <v>76</v>
      </c>
      <c r="J47" t="str">
        <f>Names!M47</f>
        <v>BruceCKnuth@einrot.com</v>
      </c>
      <c r="K47" t="str">
        <f ca="1">IF(RANDBETWEEN(1,2) &gt; 1, "rg:None", Names!P47)</f>
        <v>rg:None</v>
      </c>
      <c r="L47" t="str">
        <f ca="1">IF(K47="rg:None",Names!P47,"rg:None")</f>
        <v>250-949-8320</v>
      </c>
      <c r="M47" t="s">
        <v>76</v>
      </c>
      <c r="N47" t="str">
        <f>Names!G47</f>
        <v>4536 Brew Creek Rd</v>
      </c>
      <c r="O47" t="s">
        <v>76</v>
      </c>
      <c r="P47" t="str">
        <f>Names!H47</f>
        <v>Port Hardy</v>
      </c>
      <c r="Q47" t="str">
        <f>Names!I47</f>
        <v>BC</v>
      </c>
      <c r="R47" t="str">
        <f>Names!J47</f>
        <v>V0N 2P0</v>
      </c>
      <c r="S47" t="str">
        <f t="shared" si="1"/>
        <v>rg:{'id': '200045'}</v>
      </c>
      <c r="T47" t="s">
        <v>76</v>
      </c>
    </row>
    <row r="48" spans="1:20" x14ac:dyDescent="0.3">
      <c r="A48" t="s">
        <v>54</v>
      </c>
      <c r="B48" t="s">
        <v>7</v>
      </c>
      <c r="C48" t="s">
        <v>4101</v>
      </c>
      <c r="D48">
        <f t="shared" si="0"/>
        <v>200046</v>
      </c>
      <c r="E48" t="str">
        <f>Names!D48</f>
        <v>Norman</v>
      </c>
      <c r="F48" t="str">
        <f>Names!F48</f>
        <v>Owens</v>
      </c>
      <c r="G48" t="str">
        <f>Names!AA48</f>
        <v>Oranges Records &amp; Tapes</v>
      </c>
      <c r="H48" t="s">
        <v>7629</v>
      </c>
      <c r="I48" t="s">
        <v>76</v>
      </c>
      <c r="J48" t="str">
        <f>Names!M48</f>
        <v>NormanLOwens@fleckens.hu</v>
      </c>
      <c r="K48" t="str">
        <f ca="1">IF(RANDBETWEEN(1,2) &gt; 1, "rg:None", Names!P48)</f>
        <v>250-306-2422</v>
      </c>
      <c r="L48" t="str">
        <f ca="1">IF(K48="rg:None",Names!P48,"rg:None")</f>
        <v>rg:None</v>
      </c>
      <c r="M48" t="s">
        <v>76</v>
      </c>
      <c r="N48" t="str">
        <f>Names!G48</f>
        <v>127 Coldstream Avenue</v>
      </c>
      <c r="O48" t="s">
        <v>76</v>
      </c>
      <c r="P48" t="str">
        <f>Names!H48</f>
        <v>Vernon</v>
      </c>
      <c r="Q48" t="str">
        <f>Names!I48</f>
        <v>BC</v>
      </c>
      <c r="R48" t="str">
        <f>Names!J48</f>
        <v>V1T 6N1</v>
      </c>
      <c r="S48" t="str">
        <f t="shared" si="1"/>
        <v>rg:{'id': '200046'}</v>
      </c>
      <c r="T48" t="s">
        <v>76</v>
      </c>
    </row>
    <row r="49" spans="1:20" x14ac:dyDescent="0.3">
      <c r="A49" t="s">
        <v>54</v>
      </c>
      <c r="B49" t="s">
        <v>7</v>
      </c>
      <c r="C49" t="s">
        <v>4626</v>
      </c>
      <c r="D49">
        <f t="shared" si="0"/>
        <v>200047</v>
      </c>
      <c r="E49" t="str">
        <f>Names!D49</f>
        <v>Hilary</v>
      </c>
      <c r="F49" t="str">
        <f>Names!F49</f>
        <v>Williams</v>
      </c>
      <c r="G49" t="str">
        <f>Names!AA49</f>
        <v>Strongbod</v>
      </c>
      <c r="H49" t="s">
        <v>7629</v>
      </c>
      <c r="I49" t="s">
        <v>76</v>
      </c>
      <c r="J49" t="str">
        <f>Names!M49</f>
        <v>HilaryJWilliams@fleckens.hu</v>
      </c>
      <c r="K49" t="str">
        <f ca="1">IF(RANDBETWEEN(1,2) &gt; 1, "rg:None", Names!P49)</f>
        <v>250-760-4303</v>
      </c>
      <c r="L49" t="str">
        <f ca="1">IF(K49="rg:None",Names!P49,"rg:None")</f>
        <v>rg:None</v>
      </c>
      <c r="M49" t="s">
        <v>76</v>
      </c>
      <c r="N49" t="str">
        <f>Names!G49</f>
        <v>896 Roger Street</v>
      </c>
      <c r="O49" t="s">
        <v>76</v>
      </c>
      <c r="P49" t="str">
        <f>Names!H49</f>
        <v>Nanaimo</v>
      </c>
      <c r="Q49" t="str">
        <f>Names!I49</f>
        <v>BC</v>
      </c>
      <c r="R49" t="str">
        <f>Names!J49</f>
        <v>V9R 5H9</v>
      </c>
      <c r="S49" t="str">
        <f t="shared" si="1"/>
        <v>rg:{'id': '200047'}</v>
      </c>
      <c r="T49" t="s">
        <v>76</v>
      </c>
    </row>
    <row r="50" spans="1:20" x14ac:dyDescent="0.3">
      <c r="A50" t="s">
        <v>54</v>
      </c>
      <c r="B50" t="s">
        <v>7</v>
      </c>
      <c r="C50" t="s">
        <v>4309</v>
      </c>
      <c r="D50">
        <f t="shared" si="0"/>
        <v>200048</v>
      </c>
      <c r="E50" t="str">
        <f>Names!D50</f>
        <v>Laree</v>
      </c>
      <c r="F50" t="str">
        <f>Names!F50</f>
        <v>Knoll</v>
      </c>
      <c r="G50" t="str">
        <f>Names!AA50</f>
        <v>The Goose and Duck</v>
      </c>
      <c r="H50" t="s">
        <v>7629</v>
      </c>
      <c r="I50" t="s">
        <v>76</v>
      </c>
      <c r="J50" t="str">
        <f>Names!M50</f>
        <v>LareeMKnoll@superrito.com</v>
      </c>
      <c r="K50" t="str">
        <f ca="1">IF(RANDBETWEEN(1,2) &gt; 1, "rg:None", Names!P50)</f>
        <v>rg:None</v>
      </c>
      <c r="L50" t="str">
        <f ca="1">IF(K50="rg:None",Names!P50,"rg:None")</f>
        <v>604-798-1909</v>
      </c>
      <c r="M50" t="s">
        <v>76</v>
      </c>
      <c r="N50" t="str">
        <f>Names!G50</f>
        <v>2657 Wellington Ave</v>
      </c>
      <c r="O50" t="s">
        <v>76</v>
      </c>
      <c r="P50" t="str">
        <f>Names!H50</f>
        <v>Chilliwack</v>
      </c>
      <c r="Q50" t="str">
        <f>Names!I50</f>
        <v>BC</v>
      </c>
      <c r="R50" t="str">
        <f>Names!J50</f>
        <v>V2P 2M1</v>
      </c>
      <c r="S50" t="str">
        <f t="shared" si="1"/>
        <v>rg:{'id': '200048'}</v>
      </c>
      <c r="T50" t="s">
        <v>76</v>
      </c>
    </row>
    <row r="51" spans="1:20" x14ac:dyDescent="0.3">
      <c r="A51" t="s">
        <v>54</v>
      </c>
      <c r="B51" t="s">
        <v>7</v>
      </c>
      <c r="C51" t="s">
        <v>4371</v>
      </c>
      <c r="D51">
        <f t="shared" si="0"/>
        <v>200049</v>
      </c>
      <c r="E51" t="str">
        <f>Names!D51</f>
        <v>Timothy</v>
      </c>
      <c r="F51" t="str">
        <f>Names!F51</f>
        <v>McCullough</v>
      </c>
      <c r="G51" t="str">
        <f>Names!AA51</f>
        <v>Mervyn's</v>
      </c>
      <c r="H51" t="s">
        <v>7629</v>
      </c>
      <c r="I51" t="s">
        <v>76</v>
      </c>
      <c r="J51" t="str">
        <f>Names!M51</f>
        <v>TimothyMMcCullough@gustr.com</v>
      </c>
      <c r="K51" t="str">
        <f ca="1">IF(RANDBETWEEN(1,2) &gt; 1, "rg:None", Names!P51)</f>
        <v>250-826-0194</v>
      </c>
      <c r="L51" t="str">
        <f ca="1">IF(K51="rg:None",Names!P51,"rg:None")</f>
        <v>rg:None</v>
      </c>
      <c r="M51" t="s">
        <v>76</v>
      </c>
      <c r="N51" t="str">
        <f>Names!G51</f>
        <v>830 Hardy Street</v>
      </c>
      <c r="O51" t="s">
        <v>76</v>
      </c>
      <c r="P51" t="str">
        <f>Names!H51</f>
        <v>Kelowna</v>
      </c>
      <c r="Q51" t="str">
        <f>Names!I51</f>
        <v>BC</v>
      </c>
      <c r="R51" t="str">
        <f>Names!J51</f>
        <v>V1Y 8H2</v>
      </c>
      <c r="S51" t="str">
        <f t="shared" si="1"/>
        <v>rg:{'id': '200049'}</v>
      </c>
      <c r="T51" t="s">
        <v>76</v>
      </c>
    </row>
    <row r="52" spans="1:20" x14ac:dyDescent="0.3">
      <c r="A52" t="s">
        <v>54</v>
      </c>
      <c r="B52" t="s">
        <v>7</v>
      </c>
      <c r="C52" t="s">
        <v>3949</v>
      </c>
      <c r="D52">
        <f t="shared" si="0"/>
        <v>200050</v>
      </c>
      <c r="E52" t="str">
        <f>Names!D52</f>
        <v>Deborah</v>
      </c>
      <c r="F52" t="str">
        <f>Names!F52</f>
        <v>McMillian</v>
      </c>
      <c r="G52" t="str">
        <f>Names!AA52</f>
        <v>Foot Quarters</v>
      </c>
      <c r="H52" t="s">
        <v>7629</v>
      </c>
      <c r="I52" t="s">
        <v>76</v>
      </c>
      <c r="J52" t="str">
        <f>Names!M52</f>
        <v>DeborahAMcMillian@jourrapide.com</v>
      </c>
      <c r="K52" t="str">
        <f ca="1">IF(RANDBETWEEN(1,2) &gt; 1, "rg:None", Names!P52)</f>
        <v>rg:None</v>
      </c>
      <c r="L52" t="str">
        <f ca="1">IF(K52="rg:None",Names!P52,"rg:None")</f>
        <v>604-720-7885</v>
      </c>
      <c r="M52" t="s">
        <v>76</v>
      </c>
      <c r="N52" t="str">
        <f>Names!G52</f>
        <v>4580 Hastings Street</v>
      </c>
      <c r="O52" t="s">
        <v>76</v>
      </c>
      <c r="P52" t="str">
        <f>Names!H52</f>
        <v>Vancouver</v>
      </c>
      <c r="Q52" t="str">
        <f>Names!I52</f>
        <v>BC</v>
      </c>
      <c r="R52" t="str">
        <f>Names!J52</f>
        <v>V6C 1B4</v>
      </c>
      <c r="S52" t="str">
        <f t="shared" si="1"/>
        <v>rg:{'id': '200050'}</v>
      </c>
      <c r="T52" t="s">
        <v>76</v>
      </c>
    </row>
    <row r="53" spans="1:20" x14ac:dyDescent="0.3">
      <c r="A53" t="s">
        <v>54</v>
      </c>
      <c r="B53" t="s">
        <v>7</v>
      </c>
      <c r="C53" t="s">
        <v>3488</v>
      </c>
      <c r="D53">
        <f t="shared" si="0"/>
        <v>200051</v>
      </c>
      <c r="E53" t="str">
        <f>Names!D53</f>
        <v>Pauline</v>
      </c>
      <c r="F53" t="str">
        <f>Names!F53</f>
        <v>Benfield</v>
      </c>
      <c r="G53" t="str">
        <f>Names!AA53</f>
        <v>Cardinal Stores</v>
      </c>
      <c r="H53" t="s">
        <v>7629</v>
      </c>
      <c r="I53" t="s">
        <v>76</v>
      </c>
      <c r="J53" t="str">
        <f>Names!M53</f>
        <v>PaulineDBenfield@gustr.com</v>
      </c>
      <c r="K53" t="str">
        <f ca="1">IF(RANDBETWEEN(1,2) &gt; 1, "rg:None", Names!P53)</f>
        <v>rg:None</v>
      </c>
      <c r="L53" t="str">
        <f ca="1">IF(K53="rg:None",Names!P53,"rg:None")</f>
        <v>250-269-2963</v>
      </c>
      <c r="M53" t="s">
        <v>76</v>
      </c>
      <c r="N53" t="str">
        <f>Names!G53</f>
        <v>3967 Queens Bay</v>
      </c>
      <c r="O53" t="s">
        <v>76</v>
      </c>
      <c r="P53" t="str">
        <f>Names!H53</f>
        <v>Fauquier</v>
      </c>
      <c r="Q53" t="str">
        <f>Names!I53</f>
        <v>BC</v>
      </c>
      <c r="R53" t="str">
        <f>Names!J53</f>
        <v>V0G 1K0</v>
      </c>
      <c r="S53" t="str">
        <f t="shared" si="1"/>
        <v>rg:{'id': '200051'}</v>
      </c>
      <c r="T53" t="s">
        <v>76</v>
      </c>
    </row>
    <row r="54" spans="1:20" x14ac:dyDescent="0.3">
      <c r="A54" t="s">
        <v>54</v>
      </c>
      <c r="B54" t="s">
        <v>7</v>
      </c>
      <c r="C54" t="s">
        <v>4385</v>
      </c>
      <c r="D54">
        <f t="shared" si="0"/>
        <v>200052</v>
      </c>
      <c r="E54" t="str">
        <f>Names!D54</f>
        <v>Cortney</v>
      </c>
      <c r="F54" t="str">
        <f>Names!F54</f>
        <v>Smith</v>
      </c>
      <c r="G54" t="str">
        <f>Names!AA54</f>
        <v>Coconut's</v>
      </c>
      <c r="H54" t="s">
        <v>7629</v>
      </c>
      <c r="I54" t="s">
        <v>76</v>
      </c>
      <c r="J54" t="str">
        <f>Names!M54</f>
        <v>CortneyBSmith@dayrep.com</v>
      </c>
      <c r="K54" t="str">
        <f ca="1">IF(RANDBETWEEN(1,2) &gt; 1, "rg:None", Names!P54)</f>
        <v>604-722-4537</v>
      </c>
      <c r="L54" t="str">
        <f ca="1">IF(K54="rg:None",Names!P54,"rg:None")</f>
        <v>rg:None</v>
      </c>
      <c r="M54" t="s">
        <v>76</v>
      </c>
      <c r="N54" t="str">
        <f>Names!G54</f>
        <v>4357 Hastings Street</v>
      </c>
      <c r="O54" t="s">
        <v>76</v>
      </c>
      <c r="P54" t="str">
        <f>Names!H54</f>
        <v>Vancouver</v>
      </c>
      <c r="Q54" t="str">
        <f>Names!I54</f>
        <v>BC</v>
      </c>
      <c r="R54" t="str">
        <f>Names!J54</f>
        <v>V6C 1B4</v>
      </c>
      <c r="S54" t="str">
        <f t="shared" si="1"/>
        <v>rg:{'id': '200052'}</v>
      </c>
      <c r="T54" t="s">
        <v>76</v>
      </c>
    </row>
    <row r="55" spans="1:20" x14ac:dyDescent="0.3">
      <c r="A55" t="s">
        <v>54</v>
      </c>
      <c r="B55" t="s">
        <v>7</v>
      </c>
      <c r="C55" t="s">
        <v>3359</v>
      </c>
      <c r="D55">
        <f t="shared" si="0"/>
        <v>200053</v>
      </c>
      <c r="E55" t="str">
        <f>Names!D55</f>
        <v>John</v>
      </c>
      <c r="F55" t="str">
        <f>Names!F55</f>
        <v>Key</v>
      </c>
      <c r="G55" t="str">
        <f>Names!AA55</f>
        <v>Specialty Restaurant Group</v>
      </c>
      <c r="H55" t="s">
        <v>7629</v>
      </c>
      <c r="I55" t="s">
        <v>76</v>
      </c>
      <c r="J55" t="str">
        <f>Names!M55</f>
        <v>JohnLKey@armyspy.com</v>
      </c>
      <c r="K55" t="str">
        <f ca="1">IF(RANDBETWEEN(1,2) &gt; 1, "rg:None", Names!P55)</f>
        <v>250-531-4874</v>
      </c>
      <c r="L55" t="str">
        <f ca="1">IF(K55="rg:None",Names!P55,"rg:None")</f>
        <v>rg:None</v>
      </c>
      <c r="M55" t="s">
        <v>76</v>
      </c>
      <c r="N55" t="str">
        <f>Names!G55</f>
        <v>1967 Findlay Creek Road</v>
      </c>
      <c r="O55" t="s">
        <v>76</v>
      </c>
      <c r="P55" t="str">
        <f>Names!H55</f>
        <v>Fernie</v>
      </c>
      <c r="Q55" t="str">
        <f>Names!I55</f>
        <v>BC</v>
      </c>
      <c r="R55" t="str">
        <f>Names!J55</f>
        <v>V0B 1M1</v>
      </c>
      <c r="S55" t="str">
        <f t="shared" si="1"/>
        <v>rg:{'id': '200053'}</v>
      </c>
      <c r="T55" t="s">
        <v>76</v>
      </c>
    </row>
    <row r="56" spans="1:20" x14ac:dyDescent="0.3">
      <c r="A56" t="s">
        <v>54</v>
      </c>
      <c r="B56" t="s">
        <v>7</v>
      </c>
      <c r="C56" t="s">
        <v>3731</v>
      </c>
      <c r="D56">
        <f t="shared" si="0"/>
        <v>200054</v>
      </c>
      <c r="E56" t="str">
        <f>Names!D56</f>
        <v>Edna</v>
      </c>
      <c r="F56" t="str">
        <f>Names!F56</f>
        <v>Fitz</v>
      </c>
      <c r="G56" t="str">
        <f>Names!AA56</f>
        <v>Family Toy</v>
      </c>
      <c r="H56" t="s">
        <v>7629</v>
      </c>
      <c r="I56" t="s">
        <v>76</v>
      </c>
      <c r="J56" t="str">
        <f>Names!M56</f>
        <v>EdnaRFitz@teleworm.us</v>
      </c>
      <c r="K56" t="str">
        <f ca="1">IF(RANDBETWEEN(1,2) &gt; 1, "rg:None", Names!P56)</f>
        <v>250-415-1488</v>
      </c>
      <c r="L56" t="str">
        <f ca="1">IF(K56="rg:None",Names!P56,"rg:None")</f>
        <v>rg:None</v>
      </c>
      <c r="M56" t="s">
        <v>76</v>
      </c>
      <c r="N56" t="str">
        <f>Names!G56</f>
        <v>3815 Burdett Avenue</v>
      </c>
      <c r="O56" t="s">
        <v>76</v>
      </c>
      <c r="P56" t="str">
        <f>Names!H56</f>
        <v>Victoria</v>
      </c>
      <c r="Q56" t="str">
        <f>Names!I56</f>
        <v>BC</v>
      </c>
      <c r="R56" t="str">
        <f>Names!J56</f>
        <v>V8W 1B2</v>
      </c>
      <c r="S56" t="str">
        <f t="shared" si="1"/>
        <v>rg:{'id': '200054'}</v>
      </c>
      <c r="T56" t="s">
        <v>76</v>
      </c>
    </row>
    <row r="57" spans="1:20" x14ac:dyDescent="0.3">
      <c r="A57" t="s">
        <v>54</v>
      </c>
      <c r="B57" t="s">
        <v>7</v>
      </c>
      <c r="C57" t="s">
        <v>3094</v>
      </c>
      <c r="D57">
        <f t="shared" si="0"/>
        <v>200055</v>
      </c>
      <c r="E57" t="str">
        <f>Names!D57</f>
        <v>Dorothy</v>
      </c>
      <c r="F57" t="str">
        <f>Names!F57</f>
        <v>Petit</v>
      </c>
      <c r="G57" t="str">
        <f>Names!AA57</f>
        <v>National Shirt Shop</v>
      </c>
      <c r="H57" t="s">
        <v>7629</v>
      </c>
      <c r="I57" t="s">
        <v>76</v>
      </c>
      <c r="J57" t="str">
        <f>Names!M57</f>
        <v>DorothyJPetit@teleworm.us</v>
      </c>
      <c r="K57" t="str">
        <f ca="1">IF(RANDBETWEEN(1,2) &gt; 1, "rg:None", Names!P57)</f>
        <v>867-333-4517</v>
      </c>
      <c r="L57" t="str">
        <f ca="1">IF(K57="rg:None",Names!P57,"rg:None")</f>
        <v>rg:None</v>
      </c>
      <c r="M57" t="s">
        <v>76</v>
      </c>
      <c r="N57" t="str">
        <f>Names!G57</f>
        <v>3246 Alaska Hwy</v>
      </c>
      <c r="O57" t="s">
        <v>76</v>
      </c>
      <c r="P57" t="str">
        <f>Names!H57</f>
        <v>Fort Nelson</v>
      </c>
      <c r="Q57" t="str">
        <f>Names!I57</f>
        <v>BC</v>
      </c>
      <c r="R57" t="str">
        <f>Names!J57</f>
        <v>V0C 1C0</v>
      </c>
      <c r="S57" t="str">
        <f t="shared" si="1"/>
        <v>rg:{'id': '200055'}</v>
      </c>
      <c r="T57" t="s">
        <v>76</v>
      </c>
    </row>
    <row r="58" spans="1:20" x14ac:dyDescent="0.3">
      <c r="A58" t="s">
        <v>54</v>
      </c>
      <c r="B58" t="s">
        <v>7</v>
      </c>
      <c r="C58" t="s">
        <v>4173</v>
      </c>
      <c r="D58">
        <f t="shared" si="0"/>
        <v>200056</v>
      </c>
      <c r="E58" t="str">
        <f>Names!D58</f>
        <v>Ben</v>
      </c>
      <c r="F58" t="str">
        <f>Names!F58</f>
        <v>Spear</v>
      </c>
      <c r="G58" t="str">
        <f>Names!AA58</f>
        <v>Lindsley's Lumber</v>
      </c>
      <c r="H58" t="s">
        <v>7629</v>
      </c>
      <c r="I58" t="s">
        <v>76</v>
      </c>
      <c r="J58" t="str">
        <f>Names!M58</f>
        <v>BenRSpear@gustr.com</v>
      </c>
      <c r="K58" t="str">
        <f ca="1">IF(RANDBETWEEN(1,2) &gt; 1, "rg:None", Names!P58)</f>
        <v>rg:None</v>
      </c>
      <c r="L58" t="str">
        <f ca="1">IF(K58="rg:None",Names!P58,"rg:None")</f>
        <v>250-885-8043</v>
      </c>
      <c r="M58" t="s">
        <v>76</v>
      </c>
      <c r="N58" t="str">
        <f>Names!G58</f>
        <v>4283 Burdett Avenue</v>
      </c>
      <c r="O58" t="s">
        <v>76</v>
      </c>
      <c r="P58" t="str">
        <f>Names!H58</f>
        <v>Victoria</v>
      </c>
      <c r="Q58" t="str">
        <f>Names!I58</f>
        <v>BC</v>
      </c>
      <c r="R58" t="str">
        <f>Names!J58</f>
        <v>V8W 1L6</v>
      </c>
      <c r="S58" t="str">
        <f t="shared" si="1"/>
        <v>rg:{'id': '200056'}</v>
      </c>
      <c r="T58" t="s">
        <v>76</v>
      </c>
    </row>
    <row r="59" spans="1:20" x14ac:dyDescent="0.3">
      <c r="A59" t="s">
        <v>54</v>
      </c>
      <c r="B59" t="s">
        <v>7</v>
      </c>
      <c r="C59" t="s">
        <v>3838</v>
      </c>
      <c r="D59">
        <f t="shared" si="0"/>
        <v>200057</v>
      </c>
      <c r="E59" t="str">
        <f>Names!D59</f>
        <v>Alice</v>
      </c>
      <c r="F59" t="str">
        <f>Names!F59</f>
        <v>Bill</v>
      </c>
      <c r="G59" t="str">
        <f>Names!AA59</f>
        <v>Record Bar</v>
      </c>
      <c r="H59" t="s">
        <v>7629</v>
      </c>
      <c r="I59" t="s">
        <v>76</v>
      </c>
      <c r="J59" t="str">
        <f>Names!M59</f>
        <v>AliceFBill@teleworm.us</v>
      </c>
      <c r="K59" t="str">
        <f ca="1">IF(RANDBETWEEN(1,2) &gt; 1, "rg:None", Names!P59)</f>
        <v>rg:None</v>
      </c>
      <c r="L59" t="str">
        <f ca="1">IF(K59="rg:None",Names!P59,"rg:None")</f>
        <v>604-830-6510</v>
      </c>
      <c r="M59" t="s">
        <v>76</v>
      </c>
      <c r="N59" t="str">
        <f>Names!G59</f>
        <v>2549 James Street</v>
      </c>
      <c r="O59" t="s">
        <v>76</v>
      </c>
      <c r="P59" t="str">
        <f>Names!H59</f>
        <v>Burnaby</v>
      </c>
      <c r="Q59" t="str">
        <f>Names!I59</f>
        <v>BC</v>
      </c>
      <c r="R59" t="str">
        <f>Names!J59</f>
        <v>V5G 4W7</v>
      </c>
      <c r="S59" t="str">
        <f t="shared" si="1"/>
        <v>rg:{'id': '200057'}</v>
      </c>
      <c r="T59" t="s">
        <v>76</v>
      </c>
    </row>
    <row r="60" spans="1:20" x14ac:dyDescent="0.3">
      <c r="A60" t="s">
        <v>54</v>
      </c>
      <c r="B60" t="s">
        <v>7</v>
      </c>
      <c r="C60" t="s">
        <v>3748</v>
      </c>
      <c r="D60">
        <f t="shared" si="0"/>
        <v>200058</v>
      </c>
      <c r="E60" t="str">
        <f>Names!D60</f>
        <v>Martin</v>
      </c>
      <c r="F60" t="str">
        <f>Names!F60</f>
        <v>Fields</v>
      </c>
      <c r="G60" t="str">
        <f>Names!AA60</f>
        <v>Circuit Design</v>
      </c>
      <c r="H60" t="s">
        <v>7629</v>
      </c>
      <c r="I60" t="s">
        <v>76</v>
      </c>
      <c r="J60" t="str">
        <f>Names!M60</f>
        <v>MartinNFields@teleworm.us</v>
      </c>
      <c r="K60" t="str">
        <f ca="1">IF(RANDBETWEEN(1,2) &gt; 1, "rg:None", Names!P60)</f>
        <v>rg:None</v>
      </c>
      <c r="L60" t="str">
        <f ca="1">IF(K60="rg:None",Names!P60,"rg:None")</f>
        <v>604-267-2720</v>
      </c>
      <c r="M60" t="s">
        <v>76</v>
      </c>
      <c r="N60" t="str">
        <f>Names!G60</f>
        <v>1234 Tolmie St</v>
      </c>
      <c r="O60" t="s">
        <v>76</v>
      </c>
      <c r="P60" t="str">
        <f>Names!H60</f>
        <v>Vancouver</v>
      </c>
      <c r="Q60" t="str">
        <f>Names!I60</f>
        <v>BC</v>
      </c>
      <c r="R60" t="str">
        <f>Names!J60</f>
        <v>V6M 1Y8</v>
      </c>
      <c r="S60" t="str">
        <f t="shared" si="1"/>
        <v>rg:{'id': '200058'}</v>
      </c>
      <c r="T60" t="s">
        <v>76</v>
      </c>
    </row>
    <row r="61" spans="1:20" x14ac:dyDescent="0.3">
      <c r="A61" t="s">
        <v>54</v>
      </c>
      <c r="B61" t="s">
        <v>7</v>
      </c>
      <c r="C61" t="s">
        <v>4583</v>
      </c>
      <c r="D61">
        <f t="shared" si="0"/>
        <v>200059</v>
      </c>
      <c r="E61" t="str">
        <f>Names!D61</f>
        <v>Keith</v>
      </c>
      <c r="F61" t="str">
        <f>Names!F61</f>
        <v>Shepherd</v>
      </c>
      <c r="G61" t="str">
        <f>Names!AA61</f>
        <v>The Wiz</v>
      </c>
      <c r="H61" t="s">
        <v>7629</v>
      </c>
      <c r="I61" t="s">
        <v>76</v>
      </c>
      <c r="J61" t="str">
        <f>Names!M61</f>
        <v>KeithDShepherd@dayrep.com</v>
      </c>
      <c r="K61" t="str">
        <f ca="1">IF(RANDBETWEEN(1,2) &gt; 1, "rg:None", Names!P61)</f>
        <v>rg:None</v>
      </c>
      <c r="L61" t="str">
        <f ca="1">IF(K61="rg:None",Names!P61,"rg:None")</f>
        <v>778-688-2229</v>
      </c>
      <c r="M61" t="s">
        <v>76</v>
      </c>
      <c r="N61" t="str">
        <f>Names!G61</f>
        <v>3056 Quayside Dr</v>
      </c>
      <c r="O61" t="s">
        <v>76</v>
      </c>
      <c r="P61" t="str">
        <f>Names!H61</f>
        <v>New Westminster</v>
      </c>
      <c r="Q61" t="str">
        <f>Names!I61</f>
        <v>BC</v>
      </c>
      <c r="R61" t="str">
        <f>Names!J61</f>
        <v>V3M 6A1</v>
      </c>
      <c r="S61" t="str">
        <f t="shared" si="1"/>
        <v>rg:{'id': '200059'}</v>
      </c>
      <c r="T61" t="s">
        <v>76</v>
      </c>
    </row>
    <row r="62" spans="1:20" x14ac:dyDescent="0.3">
      <c r="A62" t="s">
        <v>54</v>
      </c>
      <c r="B62" t="s">
        <v>7</v>
      </c>
      <c r="C62" t="s">
        <v>4463</v>
      </c>
      <c r="D62">
        <f t="shared" si="0"/>
        <v>200060</v>
      </c>
      <c r="E62" t="str">
        <f>Names!D62</f>
        <v>Margaret</v>
      </c>
      <c r="F62" t="str">
        <f>Names!F62</f>
        <v>Roberts</v>
      </c>
      <c r="G62" t="str">
        <f>Names!AA62</f>
        <v>Geri's Hamburgers</v>
      </c>
      <c r="H62" t="s">
        <v>7629</v>
      </c>
      <c r="I62" t="s">
        <v>76</v>
      </c>
      <c r="J62" t="str">
        <f>Names!M62</f>
        <v>MargaretCRoberts@dayrep.com</v>
      </c>
      <c r="K62" t="str">
        <f ca="1">IF(RANDBETWEEN(1,2) &gt; 1, "rg:None", Names!P62)</f>
        <v>604-204-5042</v>
      </c>
      <c r="L62" t="str">
        <f ca="1">IF(K62="rg:None",Names!P62,"rg:None")</f>
        <v>rg:None</v>
      </c>
      <c r="M62" t="s">
        <v>76</v>
      </c>
      <c r="N62" t="str">
        <f>Names!G62</f>
        <v>608 Jade St</v>
      </c>
      <c r="O62" t="s">
        <v>76</v>
      </c>
      <c r="P62" t="str">
        <f>Names!H62</f>
        <v>Richmond</v>
      </c>
      <c r="Q62" t="str">
        <f>Names!I62</f>
        <v>BC</v>
      </c>
      <c r="R62" t="str">
        <f>Names!J62</f>
        <v>V7E 2E4</v>
      </c>
      <c r="S62" t="str">
        <f t="shared" si="1"/>
        <v>rg:{'id': '200060'}</v>
      </c>
      <c r="T62" t="s">
        <v>76</v>
      </c>
    </row>
    <row r="63" spans="1:20" x14ac:dyDescent="0.3">
      <c r="A63" t="s">
        <v>54</v>
      </c>
      <c r="B63" t="s">
        <v>7</v>
      </c>
      <c r="C63" t="s">
        <v>4275</v>
      </c>
      <c r="D63">
        <f t="shared" si="0"/>
        <v>200061</v>
      </c>
      <c r="E63" t="str">
        <f>Names!D63</f>
        <v>Muriel</v>
      </c>
      <c r="F63" t="str">
        <f>Names!F63</f>
        <v>Johnson</v>
      </c>
      <c r="G63" t="str">
        <f>Names!AA63</f>
        <v>National Record Mart</v>
      </c>
      <c r="H63" t="s">
        <v>7629</v>
      </c>
      <c r="I63" t="s">
        <v>76</v>
      </c>
      <c r="J63" t="str">
        <f>Names!M63</f>
        <v>MurielCJohnson@einrot.com</v>
      </c>
      <c r="K63" t="str">
        <f ca="1">IF(RANDBETWEEN(1,2) &gt; 1, "rg:None", Names!P63)</f>
        <v>rg:None</v>
      </c>
      <c r="L63" t="str">
        <f ca="1">IF(K63="rg:None",Names!P63,"rg:None")</f>
        <v>250-233-3780</v>
      </c>
      <c r="M63" t="s">
        <v>76</v>
      </c>
      <c r="N63" t="str">
        <f>Names!G63</f>
        <v>1696 Alaska Hwy</v>
      </c>
      <c r="O63" t="s">
        <v>76</v>
      </c>
      <c r="P63" t="str">
        <f>Names!H63</f>
        <v>Fort Nelson</v>
      </c>
      <c r="Q63" t="str">
        <f>Names!I63</f>
        <v>BC</v>
      </c>
      <c r="R63" t="str">
        <f>Names!J63</f>
        <v>V0C 1C0</v>
      </c>
      <c r="S63" t="str">
        <f t="shared" si="1"/>
        <v>rg:{'id': '200061'}</v>
      </c>
      <c r="T63" t="s">
        <v>76</v>
      </c>
    </row>
    <row r="64" spans="1:20" x14ac:dyDescent="0.3">
      <c r="A64" t="s">
        <v>54</v>
      </c>
      <c r="B64" t="s">
        <v>7</v>
      </c>
      <c r="C64" t="s">
        <v>3114</v>
      </c>
      <c r="D64">
        <f t="shared" si="0"/>
        <v>200062</v>
      </c>
      <c r="E64" t="str">
        <f>Names!D64</f>
        <v>Morgan</v>
      </c>
      <c r="F64" t="str">
        <f>Names!F64</f>
        <v>Snider</v>
      </c>
      <c r="G64" t="str">
        <f>Names!AA64</f>
        <v>Auto Palace</v>
      </c>
      <c r="H64" t="s">
        <v>7629</v>
      </c>
      <c r="I64" t="s">
        <v>76</v>
      </c>
      <c r="J64" t="str">
        <f>Names!M64</f>
        <v>MorganTSnider@superrito.com</v>
      </c>
      <c r="K64" t="str">
        <f ca="1">IF(RANDBETWEEN(1,2) &gt; 1, "rg:None", Names!P64)</f>
        <v>rg:None</v>
      </c>
      <c r="L64" t="str">
        <f ca="1">IF(K64="rg:None",Names!P64,"rg:None")</f>
        <v>604-862-3218</v>
      </c>
      <c r="M64" t="s">
        <v>76</v>
      </c>
      <c r="N64" t="str">
        <f>Names!G64</f>
        <v>1140 Sixth Street</v>
      </c>
      <c r="O64" t="s">
        <v>76</v>
      </c>
      <c r="P64" t="str">
        <f>Names!H64</f>
        <v>New Westminister</v>
      </c>
      <c r="Q64" t="str">
        <f>Names!I64</f>
        <v>BC</v>
      </c>
      <c r="R64" t="str">
        <f>Names!J64</f>
        <v>V3L 3C1</v>
      </c>
      <c r="S64" t="str">
        <f t="shared" si="1"/>
        <v>rg:{'id': '200062'}</v>
      </c>
      <c r="T64" t="s">
        <v>76</v>
      </c>
    </row>
    <row r="65" spans="1:20" x14ac:dyDescent="0.3">
      <c r="A65" t="s">
        <v>54</v>
      </c>
      <c r="B65" t="s">
        <v>7</v>
      </c>
      <c r="C65" t="s">
        <v>3150</v>
      </c>
      <c r="D65">
        <f t="shared" si="0"/>
        <v>200063</v>
      </c>
      <c r="E65" t="str">
        <f>Names!D65</f>
        <v>Ronda</v>
      </c>
      <c r="F65" t="str">
        <f>Names!F65</f>
        <v>Carter</v>
      </c>
      <c r="G65" t="str">
        <f>Names!AA65</f>
        <v>Builders Square</v>
      </c>
      <c r="H65" t="s">
        <v>7629</v>
      </c>
      <c r="I65" t="s">
        <v>76</v>
      </c>
      <c r="J65" t="str">
        <f>Names!M65</f>
        <v>RondaCCarter@cuvox.de</v>
      </c>
      <c r="K65" t="str">
        <f ca="1">IF(RANDBETWEEN(1,2) &gt; 1, "rg:None", Names!P65)</f>
        <v>604-507-0528</v>
      </c>
      <c r="L65" t="str">
        <f ca="1">IF(K65="rg:None",Names!P65,"rg:None")</f>
        <v>rg:None</v>
      </c>
      <c r="M65" t="s">
        <v>76</v>
      </c>
      <c r="N65" t="str">
        <f>Names!G65</f>
        <v>1979 King George Hwy</v>
      </c>
      <c r="O65" t="s">
        <v>76</v>
      </c>
      <c r="P65" t="str">
        <f>Names!H65</f>
        <v>Surrey</v>
      </c>
      <c r="Q65" t="str">
        <f>Names!I65</f>
        <v>BC</v>
      </c>
      <c r="R65" t="str">
        <f>Names!J65</f>
        <v>V3W 4E3</v>
      </c>
      <c r="S65" t="str">
        <f t="shared" si="1"/>
        <v>rg:{'id': '200063'}</v>
      </c>
      <c r="T65" t="s">
        <v>76</v>
      </c>
    </row>
    <row r="66" spans="1:20" x14ac:dyDescent="0.3">
      <c r="A66" t="s">
        <v>54</v>
      </c>
      <c r="B66" t="s">
        <v>7</v>
      </c>
      <c r="C66" t="s">
        <v>4611</v>
      </c>
      <c r="D66">
        <f t="shared" si="0"/>
        <v>200064</v>
      </c>
      <c r="E66" t="str">
        <f>Names!D66</f>
        <v>Joseph</v>
      </c>
      <c r="F66" t="str">
        <f>Names!F66</f>
        <v>Womack</v>
      </c>
      <c r="G66" t="str">
        <f>Names!AA66</f>
        <v>Great American Music</v>
      </c>
      <c r="H66" t="s">
        <v>7629</v>
      </c>
      <c r="I66" t="s">
        <v>76</v>
      </c>
      <c r="J66" t="str">
        <f>Names!M66</f>
        <v>JosephKWomack@armyspy.com</v>
      </c>
      <c r="K66" t="str">
        <f ca="1">IF(RANDBETWEEN(1,2) &gt; 1, "rg:None", Names!P66)</f>
        <v>rg:None</v>
      </c>
      <c r="L66" t="str">
        <f ca="1">IF(K66="rg:None",Names!P66,"rg:None")</f>
        <v>250-216-0951</v>
      </c>
      <c r="M66" t="s">
        <v>76</v>
      </c>
      <c r="N66" t="str">
        <f>Names!G66</f>
        <v>510 Burdett Avenue</v>
      </c>
      <c r="O66" t="s">
        <v>76</v>
      </c>
      <c r="P66" t="str">
        <f>Names!H66</f>
        <v>Victoria</v>
      </c>
      <c r="Q66" t="str">
        <f>Names!I66</f>
        <v>BC</v>
      </c>
      <c r="R66" t="str">
        <f>Names!J66</f>
        <v>V8W 1B2</v>
      </c>
      <c r="S66" t="str">
        <f t="shared" si="1"/>
        <v>rg:{'id': '200064'}</v>
      </c>
      <c r="T66" t="s">
        <v>76</v>
      </c>
    </row>
    <row r="67" spans="1:20" x14ac:dyDescent="0.3">
      <c r="A67" t="s">
        <v>54</v>
      </c>
      <c r="B67" t="s">
        <v>7</v>
      </c>
      <c r="C67" t="s">
        <v>4023</v>
      </c>
      <c r="D67">
        <f t="shared" ref="D67:D130" si="2">IF(ISNUMBER(D66),D66+1,200000)</f>
        <v>200065</v>
      </c>
      <c r="E67" t="str">
        <f>Names!D67</f>
        <v>Michael</v>
      </c>
      <c r="F67" t="str">
        <f>Names!F67</f>
        <v>Pack</v>
      </c>
      <c r="G67" t="str">
        <f>Names!AA67</f>
        <v>Waccamaw's Homeplace</v>
      </c>
      <c r="H67" t="s">
        <v>7629</v>
      </c>
      <c r="I67" t="s">
        <v>76</v>
      </c>
      <c r="J67" t="str">
        <f>Names!M67</f>
        <v>MichaelMPack@cuvox.de</v>
      </c>
      <c r="K67" t="str">
        <f ca="1">IF(RANDBETWEEN(1,2) &gt; 1, "rg:None", Names!P67)</f>
        <v>250-476-9160</v>
      </c>
      <c r="L67" t="str">
        <f ca="1">IF(K67="rg:None",Names!P67,"rg:None")</f>
        <v>rg:None</v>
      </c>
      <c r="M67" t="s">
        <v>76</v>
      </c>
      <c r="N67" t="str">
        <f>Names!G67</f>
        <v>4923 Stum Lake Road</v>
      </c>
      <c r="O67" t="s">
        <v>76</v>
      </c>
      <c r="P67" t="str">
        <f>Names!H67</f>
        <v>Tatla Lake</v>
      </c>
      <c r="Q67" t="str">
        <f>Names!I67</f>
        <v>BC</v>
      </c>
      <c r="R67" t="str">
        <f>Names!J67</f>
        <v>V0L 1V0</v>
      </c>
      <c r="S67" t="str">
        <f t="shared" ref="S67:S130" si="3">IF(B67="Owner","rg:{'id': '"&amp;D67&amp;"'}","rg:None")</f>
        <v>rg:{'id': '200065'}</v>
      </c>
      <c r="T67" t="s">
        <v>76</v>
      </c>
    </row>
    <row r="68" spans="1:20" x14ac:dyDescent="0.3">
      <c r="A68" t="s">
        <v>54</v>
      </c>
      <c r="B68" t="s">
        <v>7</v>
      </c>
      <c r="C68" t="s">
        <v>3933</v>
      </c>
      <c r="D68">
        <f t="shared" si="2"/>
        <v>200066</v>
      </c>
      <c r="E68" t="str">
        <f>Names!D68</f>
        <v>Lee</v>
      </c>
      <c r="F68" t="str">
        <f>Names!F68</f>
        <v>Arrington</v>
      </c>
      <c r="G68" t="str">
        <f>Names!AA68</f>
        <v>Kids Mart</v>
      </c>
      <c r="H68" t="s">
        <v>7629</v>
      </c>
      <c r="I68" t="s">
        <v>76</v>
      </c>
      <c r="J68" t="str">
        <f>Names!M68</f>
        <v>LeeJArrington@armyspy.com</v>
      </c>
      <c r="K68" t="str">
        <f ca="1">IF(RANDBETWEEN(1,2) &gt; 1, "rg:None", Names!P68)</f>
        <v>rg:None</v>
      </c>
      <c r="L68" t="str">
        <f ca="1">IF(K68="rg:None",Names!P68,"rg:None")</f>
        <v>604-996-9971</v>
      </c>
      <c r="M68" t="s">
        <v>76</v>
      </c>
      <c r="N68" t="str">
        <f>Names!G68</f>
        <v>2277 James Street</v>
      </c>
      <c r="O68" t="s">
        <v>76</v>
      </c>
      <c r="P68" t="str">
        <f>Names!H68</f>
        <v>Aldergrove</v>
      </c>
      <c r="Q68" t="str">
        <f>Names!I68</f>
        <v>BC</v>
      </c>
      <c r="R68" t="str">
        <f>Names!J68</f>
        <v>V5G 4S4</v>
      </c>
      <c r="S68" t="str">
        <f t="shared" si="3"/>
        <v>rg:{'id': '200066'}</v>
      </c>
      <c r="T68" t="s">
        <v>76</v>
      </c>
    </row>
    <row r="69" spans="1:20" x14ac:dyDescent="0.3">
      <c r="A69" t="s">
        <v>54</v>
      </c>
      <c r="B69" t="s">
        <v>7</v>
      </c>
      <c r="C69" t="s">
        <v>4447</v>
      </c>
      <c r="D69">
        <f t="shared" si="2"/>
        <v>200067</v>
      </c>
      <c r="E69" t="str">
        <f>Names!D69</f>
        <v>Darlene</v>
      </c>
      <c r="F69" t="str">
        <f>Names!F69</f>
        <v>Garcia</v>
      </c>
      <c r="G69" t="str">
        <f>Names!AA69</f>
        <v>Red Fox Tavern</v>
      </c>
      <c r="H69" t="s">
        <v>7629</v>
      </c>
      <c r="I69" t="s">
        <v>76</v>
      </c>
      <c r="J69" t="str">
        <f>Names!M69</f>
        <v>DarleneSGarcia@einrot.com</v>
      </c>
      <c r="K69" t="str">
        <f ca="1">IF(RANDBETWEEN(1,2) &gt; 1, "rg:None", Names!P69)</f>
        <v>rg:None</v>
      </c>
      <c r="L69" t="str">
        <f ca="1">IF(K69="rg:None",Names!P69,"rg:None")</f>
        <v>604-266-2345</v>
      </c>
      <c r="M69" t="s">
        <v>76</v>
      </c>
      <c r="N69" t="str">
        <f>Names!G69</f>
        <v>1369 Tolmie St</v>
      </c>
      <c r="O69" t="s">
        <v>76</v>
      </c>
      <c r="P69" t="str">
        <f>Names!H69</f>
        <v>Vancouver</v>
      </c>
      <c r="Q69" t="str">
        <f>Names!I69</f>
        <v>BC</v>
      </c>
      <c r="R69" t="str">
        <f>Names!J69</f>
        <v>V6M 1Y8</v>
      </c>
      <c r="S69" t="str">
        <f t="shared" si="3"/>
        <v>rg:{'id': '200067'}</v>
      </c>
      <c r="T69" t="s">
        <v>76</v>
      </c>
    </row>
    <row r="70" spans="1:20" x14ac:dyDescent="0.3">
      <c r="A70" t="s">
        <v>54</v>
      </c>
      <c r="B70" t="s">
        <v>7</v>
      </c>
      <c r="C70" t="s">
        <v>4569</v>
      </c>
      <c r="D70">
        <f t="shared" si="2"/>
        <v>200068</v>
      </c>
      <c r="E70" t="str">
        <f>Names!D70</f>
        <v>Mattie</v>
      </c>
      <c r="F70" t="str">
        <f>Names!F70</f>
        <v>Brown</v>
      </c>
      <c r="G70" t="str">
        <f>Names!AA70</f>
        <v>Red Owl</v>
      </c>
      <c r="H70" t="s">
        <v>7629</v>
      </c>
      <c r="I70" t="s">
        <v>76</v>
      </c>
      <c r="J70" t="str">
        <f>Names!M70</f>
        <v>MattieRBrown@teleworm.us</v>
      </c>
      <c r="K70" t="str">
        <f ca="1">IF(RANDBETWEEN(1,2) &gt; 1, "rg:None", Names!P70)</f>
        <v>250-858-4353</v>
      </c>
      <c r="L70" t="str">
        <f ca="1">IF(K70="rg:None",Names!P70,"rg:None")</f>
        <v>rg:None</v>
      </c>
      <c r="M70" t="s">
        <v>76</v>
      </c>
      <c r="N70" t="str">
        <f>Names!G70</f>
        <v>1166 Blanshard</v>
      </c>
      <c r="O70" t="s">
        <v>76</v>
      </c>
      <c r="P70" t="str">
        <f>Names!H70</f>
        <v>Victoria</v>
      </c>
      <c r="Q70" t="str">
        <f>Names!I70</f>
        <v>BC</v>
      </c>
      <c r="R70" t="str">
        <f>Names!J70</f>
        <v>V8W 2H9</v>
      </c>
      <c r="S70" t="str">
        <f t="shared" si="3"/>
        <v>rg:{'id': '200068'}</v>
      </c>
      <c r="T70" t="s">
        <v>76</v>
      </c>
    </row>
    <row r="71" spans="1:20" x14ac:dyDescent="0.3">
      <c r="A71" t="s">
        <v>54</v>
      </c>
      <c r="B71" t="s">
        <v>7</v>
      </c>
      <c r="C71" t="s">
        <v>3795</v>
      </c>
      <c r="D71">
        <f t="shared" si="2"/>
        <v>200069</v>
      </c>
      <c r="E71" t="str">
        <f>Names!D71</f>
        <v>Aron</v>
      </c>
      <c r="F71" t="str">
        <f>Names!F71</f>
        <v>McDonald</v>
      </c>
      <c r="G71" t="str">
        <f>Names!AA71</f>
        <v>The Wall</v>
      </c>
      <c r="H71" t="s">
        <v>7629</v>
      </c>
      <c r="I71" t="s">
        <v>76</v>
      </c>
      <c r="J71" t="str">
        <f>Names!M71</f>
        <v>AronJMcDonald@dayrep.com</v>
      </c>
      <c r="K71" t="str">
        <f ca="1">IF(RANDBETWEEN(1,2) &gt; 1, "rg:None", Names!P71)</f>
        <v>rg:None</v>
      </c>
      <c r="L71" t="str">
        <f ca="1">IF(K71="rg:None",Names!P71,"rg:None")</f>
        <v>604-939-4719</v>
      </c>
      <c r="M71" t="s">
        <v>76</v>
      </c>
      <c r="N71" t="str">
        <f>Names!G71</f>
        <v>4526 Glover Road</v>
      </c>
      <c r="O71" t="s">
        <v>76</v>
      </c>
      <c r="P71" t="str">
        <f>Names!H71</f>
        <v>Coquitlam</v>
      </c>
      <c r="Q71" t="str">
        <f>Names!I71</f>
        <v>BC</v>
      </c>
      <c r="R71" t="str">
        <f>Names!J71</f>
        <v>V3J 4S1</v>
      </c>
      <c r="S71" t="str">
        <f t="shared" si="3"/>
        <v>rg:{'id': '200069'}</v>
      </c>
      <c r="T71" t="s">
        <v>76</v>
      </c>
    </row>
    <row r="72" spans="1:20" x14ac:dyDescent="0.3">
      <c r="A72" t="s">
        <v>54</v>
      </c>
      <c r="B72" t="s">
        <v>7</v>
      </c>
      <c r="C72" t="s">
        <v>4415</v>
      </c>
      <c r="D72">
        <f t="shared" si="2"/>
        <v>200070</v>
      </c>
      <c r="E72" t="str">
        <f>Names!D72</f>
        <v>Dianna</v>
      </c>
      <c r="F72" t="str">
        <f>Names!F72</f>
        <v>Cook</v>
      </c>
      <c r="G72" t="str">
        <f>Names!AA72</f>
        <v>Chase Pitkin</v>
      </c>
      <c r="H72" t="s">
        <v>7629</v>
      </c>
      <c r="I72" t="s">
        <v>76</v>
      </c>
      <c r="J72" t="str">
        <f>Names!M72</f>
        <v>DiannaJCook@gustr.com</v>
      </c>
      <c r="K72" t="str">
        <f ca="1">IF(RANDBETWEEN(1,2) &gt; 1, "rg:None", Names!P72)</f>
        <v>rg:None</v>
      </c>
      <c r="L72" t="str">
        <f ca="1">IF(K72="rg:None",Names!P72,"rg:None")</f>
        <v>250-260-5412</v>
      </c>
      <c r="M72" t="s">
        <v>76</v>
      </c>
      <c r="N72" t="str">
        <f>Names!G72</f>
        <v>936 Coldstream Avenue</v>
      </c>
      <c r="O72" t="s">
        <v>76</v>
      </c>
      <c r="P72" t="str">
        <f>Names!H72</f>
        <v>Vernon</v>
      </c>
      <c r="Q72" t="str">
        <f>Names!I72</f>
        <v>BC</v>
      </c>
      <c r="R72" t="str">
        <f>Names!J72</f>
        <v>V1T 6N1</v>
      </c>
      <c r="S72" t="str">
        <f t="shared" si="3"/>
        <v>rg:{'id': '200070'}</v>
      </c>
      <c r="T72" t="s">
        <v>76</v>
      </c>
    </row>
    <row r="73" spans="1:20" x14ac:dyDescent="0.3">
      <c r="A73" t="s">
        <v>54</v>
      </c>
      <c r="B73" t="s">
        <v>7</v>
      </c>
      <c r="C73" t="s">
        <v>3342</v>
      </c>
      <c r="D73">
        <f t="shared" si="2"/>
        <v>200071</v>
      </c>
      <c r="E73" t="str">
        <f>Names!D73</f>
        <v>Tommy</v>
      </c>
      <c r="F73" t="str">
        <f>Names!F73</f>
        <v>Laboy</v>
      </c>
      <c r="G73" t="str">
        <f>Names!AA73</f>
        <v>MegaSolutions</v>
      </c>
      <c r="H73" t="s">
        <v>7629</v>
      </c>
      <c r="I73" t="s">
        <v>76</v>
      </c>
      <c r="J73" t="str">
        <f>Names!M73</f>
        <v>TommyKLaboy@superrito.com</v>
      </c>
      <c r="K73" t="str">
        <f ca="1">IF(RANDBETWEEN(1,2) &gt; 1, "rg:None", Names!P73)</f>
        <v>778-867-2691</v>
      </c>
      <c r="L73" t="str">
        <f ca="1">IF(K73="rg:None",Names!P73,"rg:None")</f>
        <v>rg:None</v>
      </c>
      <c r="M73" t="s">
        <v>76</v>
      </c>
      <c r="N73" t="str">
        <f>Names!G73</f>
        <v>3694 Lake City Way</v>
      </c>
      <c r="O73" t="s">
        <v>76</v>
      </c>
      <c r="P73" t="str">
        <f>Names!H73</f>
        <v>Burnaby</v>
      </c>
      <c r="Q73" t="str">
        <f>Names!I73</f>
        <v>BC</v>
      </c>
      <c r="R73" t="str">
        <f>Names!J73</f>
        <v>V5A 2Z6</v>
      </c>
      <c r="S73" t="str">
        <f t="shared" si="3"/>
        <v>rg:{'id': '200071'}</v>
      </c>
      <c r="T73" t="s">
        <v>76</v>
      </c>
    </row>
    <row r="74" spans="1:20" x14ac:dyDescent="0.3">
      <c r="A74" t="s">
        <v>54</v>
      </c>
      <c r="B74" t="s">
        <v>7</v>
      </c>
      <c r="C74" t="s">
        <v>3376</v>
      </c>
      <c r="D74">
        <f t="shared" si="2"/>
        <v>200072</v>
      </c>
      <c r="E74" t="str">
        <f>Names!D74</f>
        <v>Clarence</v>
      </c>
      <c r="F74" t="str">
        <f>Names!F74</f>
        <v>McKenzie</v>
      </c>
      <c r="G74" t="str">
        <f>Names!AA74</f>
        <v>Indiewealth</v>
      </c>
      <c r="H74" t="s">
        <v>7629</v>
      </c>
      <c r="I74" t="s">
        <v>76</v>
      </c>
      <c r="J74" t="str">
        <f>Names!M74</f>
        <v>ClarencePMcKenzie@teleworm.us</v>
      </c>
      <c r="K74" t="str">
        <f ca="1">IF(RANDBETWEEN(1,2) &gt; 1, "rg:None", Names!P74)</f>
        <v>250-756-7281</v>
      </c>
      <c r="L74" t="str">
        <f ca="1">IF(K74="rg:None",Names!P74,"rg:None")</f>
        <v>rg:None</v>
      </c>
      <c r="M74" t="s">
        <v>76</v>
      </c>
      <c r="N74" t="str">
        <f>Names!G74</f>
        <v>3644 Roger Street</v>
      </c>
      <c r="O74" t="s">
        <v>76</v>
      </c>
      <c r="P74" t="str">
        <f>Names!H74</f>
        <v>Nanaimo</v>
      </c>
      <c r="Q74" t="str">
        <f>Names!I74</f>
        <v>BC</v>
      </c>
      <c r="R74" t="str">
        <f>Names!J74</f>
        <v>V9R 5H9</v>
      </c>
      <c r="S74" t="str">
        <f t="shared" si="3"/>
        <v>rg:{'id': '200072'}</v>
      </c>
      <c r="T74" t="s">
        <v>76</v>
      </c>
    </row>
    <row r="75" spans="1:20" x14ac:dyDescent="0.3">
      <c r="A75" t="s">
        <v>54</v>
      </c>
      <c r="B75" t="s">
        <v>7</v>
      </c>
      <c r="C75" t="s">
        <v>3683</v>
      </c>
      <c r="D75">
        <f t="shared" si="2"/>
        <v>200073</v>
      </c>
      <c r="E75" t="str">
        <f>Names!D75</f>
        <v>Margaret</v>
      </c>
      <c r="F75" t="str">
        <f>Names!F75</f>
        <v>Reynolds</v>
      </c>
      <c r="G75" t="str">
        <f>Names!AA75</f>
        <v>The Flying Bear</v>
      </c>
      <c r="H75" t="s">
        <v>7629</v>
      </c>
      <c r="I75" t="s">
        <v>76</v>
      </c>
      <c r="J75" t="str">
        <f>Names!M75</f>
        <v>MargaretJReynolds@rhyta.com</v>
      </c>
      <c r="K75" t="str">
        <f ca="1">IF(RANDBETWEEN(1,2) &gt; 1, "rg:None", Names!P75)</f>
        <v>604-556-6977</v>
      </c>
      <c r="L75" t="str">
        <f ca="1">IF(K75="rg:None",Names!P75,"rg:None")</f>
        <v>rg:None</v>
      </c>
      <c r="M75" t="s">
        <v>76</v>
      </c>
      <c r="N75" t="str">
        <f>Names!G75</f>
        <v>4305 Essendene Avenue</v>
      </c>
      <c r="O75" t="s">
        <v>76</v>
      </c>
      <c r="P75" t="str">
        <f>Names!H75</f>
        <v>Abbotsford</v>
      </c>
      <c r="Q75" t="str">
        <f>Names!I75</f>
        <v>BC</v>
      </c>
      <c r="R75" t="str">
        <f>Names!J75</f>
        <v>V2S 2H7</v>
      </c>
      <c r="S75" t="str">
        <f t="shared" si="3"/>
        <v>rg:{'id': '200073'}</v>
      </c>
      <c r="T75" t="s">
        <v>76</v>
      </c>
    </row>
    <row r="76" spans="1:20" x14ac:dyDescent="0.3">
      <c r="A76" t="s">
        <v>54</v>
      </c>
      <c r="B76" t="s">
        <v>7</v>
      </c>
      <c r="C76" t="s">
        <v>4326</v>
      </c>
      <c r="D76">
        <f t="shared" si="2"/>
        <v>200074</v>
      </c>
      <c r="E76" t="str">
        <f>Names!D76</f>
        <v>Marilyn</v>
      </c>
      <c r="F76" t="str">
        <f>Names!F76</f>
        <v>Wright</v>
      </c>
      <c r="G76" t="str">
        <f>Names!AA76</f>
        <v>Hugh M. Woods</v>
      </c>
      <c r="H76" t="s">
        <v>7629</v>
      </c>
      <c r="I76" t="s">
        <v>76</v>
      </c>
      <c r="J76" t="str">
        <f>Names!M76</f>
        <v>MarilynHWright@einrot.com</v>
      </c>
      <c r="K76" t="str">
        <f ca="1">IF(RANDBETWEEN(1,2) &gt; 1, "rg:None", Names!P76)</f>
        <v>250-383-7975</v>
      </c>
      <c r="L76" t="str">
        <f ca="1">IF(K76="rg:None",Names!P76,"rg:None")</f>
        <v>rg:None</v>
      </c>
      <c r="M76" t="s">
        <v>76</v>
      </c>
      <c r="N76" t="str">
        <f>Names!G76</f>
        <v>4347 Blanshard</v>
      </c>
      <c r="O76" t="s">
        <v>76</v>
      </c>
      <c r="P76" t="str">
        <f>Names!H76</f>
        <v>Victoria</v>
      </c>
      <c r="Q76" t="str">
        <f>Names!I76</f>
        <v>BC</v>
      </c>
      <c r="R76" t="str">
        <f>Names!J76</f>
        <v>V8W 2H9</v>
      </c>
      <c r="S76" t="str">
        <f t="shared" si="3"/>
        <v>rg:{'id': '200074'}</v>
      </c>
      <c r="T76" t="s">
        <v>76</v>
      </c>
    </row>
    <row r="77" spans="1:20" x14ac:dyDescent="0.3">
      <c r="A77" t="s">
        <v>54</v>
      </c>
      <c r="B77" t="s">
        <v>7</v>
      </c>
      <c r="C77" t="s">
        <v>3056</v>
      </c>
      <c r="D77">
        <f t="shared" si="2"/>
        <v>200075</v>
      </c>
      <c r="E77" t="str">
        <f>Names!D77</f>
        <v>Renee</v>
      </c>
      <c r="F77" t="str">
        <f>Names!F77</f>
        <v>Smith</v>
      </c>
      <c r="G77" t="str">
        <f>Names!AA77</f>
        <v>Showbiz Pizza Place</v>
      </c>
      <c r="H77" t="s">
        <v>7629</v>
      </c>
      <c r="I77" t="s">
        <v>76</v>
      </c>
      <c r="J77" t="str">
        <f>Names!M77</f>
        <v>ReneeMSmith@jourrapide.com</v>
      </c>
      <c r="K77" t="str">
        <f ca="1">IF(RANDBETWEEN(1,2) &gt; 1, "rg:None", Names!P77)</f>
        <v>250-716-1092</v>
      </c>
      <c r="L77" t="str">
        <f ca="1">IF(K77="rg:None",Names!P77,"rg:None")</f>
        <v>rg:None</v>
      </c>
      <c r="M77" t="s">
        <v>76</v>
      </c>
      <c r="N77" t="str">
        <f>Names!G77</f>
        <v>4819 Wallace Street</v>
      </c>
      <c r="O77" t="s">
        <v>76</v>
      </c>
      <c r="P77" t="str">
        <f>Names!H77</f>
        <v>Nanaimo</v>
      </c>
      <c r="Q77" t="str">
        <f>Names!I77</f>
        <v>BC</v>
      </c>
      <c r="R77" t="str">
        <f>Names!J77</f>
        <v>V9R 3A8</v>
      </c>
      <c r="S77" t="str">
        <f t="shared" si="3"/>
        <v>rg:{'id': '200075'}</v>
      </c>
      <c r="T77" t="s">
        <v>76</v>
      </c>
    </row>
    <row r="78" spans="1:20" x14ac:dyDescent="0.3">
      <c r="A78" t="s">
        <v>54</v>
      </c>
      <c r="B78" t="s">
        <v>7</v>
      </c>
      <c r="C78" t="s">
        <v>4793</v>
      </c>
      <c r="D78">
        <f t="shared" si="2"/>
        <v>200076</v>
      </c>
      <c r="E78" t="str">
        <f>Names!D78</f>
        <v>Carlton</v>
      </c>
      <c r="F78" t="str">
        <f>Names!F78</f>
        <v>Perez</v>
      </c>
      <c r="G78" t="str">
        <f>Names!AA78</f>
        <v>Allied Radio</v>
      </c>
      <c r="H78" t="s">
        <v>7629</v>
      </c>
      <c r="I78" t="s">
        <v>76</v>
      </c>
      <c r="J78" t="str">
        <f>Names!M78</f>
        <v>CarltonKPerez@einrot.com</v>
      </c>
      <c r="K78" t="str">
        <f ca="1">IF(RANDBETWEEN(1,2) &gt; 1, "rg:None", Names!P78)</f>
        <v>604-455-2092</v>
      </c>
      <c r="L78" t="str">
        <f ca="1">IF(K78="rg:None",Names!P78,"rg:None")</f>
        <v>rg:None</v>
      </c>
      <c r="M78" t="s">
        <v>76</v>
      </c>
      <c r="N78" t="str">
        <f>Names!G78</f>
        <v>2578 Glover Road</v>
      </c>
      <c r="O78" t="s">
        <v>76</v>
      </c>
      <c r="P78" t="str">
        <f>Names!H78</f>
        <v>Fort Langley</v>
      </c>
      <c r="Q78" t="str">
        <f>Names!I78</f>
        <v>BC</v>
      </c>
      <c r="R78" t="str">
        <f>Names!J78</f>
        <v>V3A 6X5</v>
      </c>
      <c r="S78" t="str">
        <f t="shared" si="3"/>
        <v>rg:{'id': '200076'}</v>
      </c>
      <c r="T78" t="s">
        <v>76</v>
      </c>
    </row>
    <row r="79" spans="1:20" x14ac:dyDescent="0.3">
      <c r="A79" t="s">
        <v>54</v>
      </c>
      <c r="B79" t="s">
        <v>7</v>
      </c>
      <c r="C79" t="s">
        <v>4687</v>
      </c>
      <c r="D79">
        <f t="shared" si="2"/>
        <v>200077</v>
      </c>
      <c r="E79" t="str">
        <f>Names!D79</f>
        <v>Joseph</v>
      </c>
      <c r="F79" t="str">
        <f>Names!F79</f>
        <v>Jones</v>
      </c>
      <c r="G79" t="str">
        <f>Names!AA79</f>
        <v>Road Runner Lawn Services</v>
      </c>
      <c r="H79" t="s">
        <v>7629</v>
      </c>
      <c r="I79" t="s">
        <v>76</v>
      </c>
      <c r="J79" t="str">
        <f>Names!M79</f>
        <v>JosephVJones@cuvox.de</v>
      </c>
      <c r="K79" t="str">
        <f ca="1">IF(RANDBETWEEN(1,2) &gt; 1, "rg:None", Names!P79)</f>
        <v>250-631-4643</v>
      </c>
      <c r="L79" t="str">
        <f ca="1">IF(K79="rg:None",Names!P79,"rg:None")</f>
        <v>rg:None</v>
      </c>
      <c r="M79" t="s">
        <v>76</v>
      </c>
      <c r="N79" t="str">
        <f>Names!G79</f>
        <v>4397 Burdett Avenue</v>
      </c>
      <c r="O79" t="s">
        <v>76</v>
      </c>
      <c r="P79" t="str">
        <f>Names!H79</f>
        <v>Terrace</v>
      </c>
      <c r="Q79" t="str">
        <f>Names!I79</f>
        <v>BC</v>
      </c>
      <c r="R79" t="str">
        <f>Names!J79</f>
        <v>V8G 1S2</v>
      </c>
      <c r="S79" t="str">
        <f t="shared" si="3"/>
        <v>rg:{'id': '200077'}</v>
      </c>
      <c r="T79" t="s">
        <v>76</v>
      </c>
    </row>
    <row r="80" spans="1:20" x14ac:dyDescent="0.3">
      <c r="A80" t="s">
        <v>54</v>
      </c>
      <c r="B80" t="s">
        <v>7</v>
      </c>
      <c r="C80" t="s">
        <v>3963</v>
      </c>
      <c r="D80">
        <f t="shared" si="2"/>
        <v>200078</v>
      </c>
      <c r="E80" t="str">
        <f>Names!D80</f>
        <v>Patricia</v>
      </c>
      <c r="F80" t="str">
        <f>Names!F80</f>
        <v>Baker</v>
      </c>
      <c r="G80" t="str">
        <f>Names!AA80</f>
        <v>Mr. AG's</v>
      </c>
      <c r="H80" t="s">
        <v>7629</v>
      </c>
      <c r="I80" t="s">
        <v>76</v>
      </c>
      <c r="J80" t="str">
        <f>Names!M80</f>
        <v>PatriciaJBaker@armyspy.com</v>
      </c>
      <c r="K80" t="str">
        <f ca="1">IF(RANDBETWEEN(1,2) &gt; 1, "rg:None", Names!P80)</f>
        <v>rg:None</v>
      </c>
      <c r="L80" t="str">
        <f ca="1">IF(K80="rg:None",Names!P80,"rg:None")</f>
        <v>250-514-1183</v>
      </c>
      <c r="M80" t="s">
        <v>76</v>
      </c>
      <c r="N80" t="str">
        <f>Names!G80</f>
        <v>4112 Burdett Avenue</v>
      </c>
      <c r="O80" t="s">
        <v>76</v>
      </c>
      <c r="P80" t="str">
        <f>Names!H80</f>
        <v>Victoria</v>
      </c>
      <c r="Q80" t="str">
        <f>Names!I80</f>
        <v>BC</v>
      </c>
      <c r="R80" t="str">
        <f>Names!J80</f>
        <v>V8W 1B2</v>
      </c>
      <c r="S80" t="str">
        <f t="shared" si="3"/>
        <v>rg:{'id': '200078'}</v>
      </c>
      <c r="T80" t="s">
        <v>76</v>
      </c>
    </row>
    <row r="81" spans="1:20" x14ac:dyDescent="0.3">
      <c r="A81" t="s">
        <v>54</v>
      </c>
      <c r="B81" t="s">
        <v>7</v>
      </c>
      <c r="C81" t="s">
        <v>3273</v>
      </c>
      <c r="D81">
        <f t="shared" si="2"/>
        <v>200079</v>
      </c>
      <c r="E81" t="str">
        <f>Names!D81</f>
        <v>Darryl</v>
      </c>
      <c r="F81" t="str">
        <f>Names!F81</f>
        <v>Delaney</v>
      </c>
      <c r="G81" t="str">
        <f>Names!AA81</f>
        <v>Garden Guru</v>
      </c>
      <c r="H81" t="s">
        <v>7629</v>
      </c>
      <c r="I81" t="s">
        <v>76</v>
      </c>
      <c r="J81" t="str">
        <f>Names!M81</f>
        <v>DarrylDDelaney@rhyta.com</v>
      </c>
      <c r="K81" t="str">
        <f ca="1">IF(RANDBETWEEN(1,2) &gt; 1, "rg:None", Names!P81)</f>
        <v>604-942-1232</v>
      </c>
      <c r="L81" t="str">
        <f ca="1">IF(K81="rg:None",Names!P81,"rg:None")</f>
        <v>rg:None</v>
      </c>
      <c r="M81" t="s">
        <v>76</v>
      </c>
      <c r="N81" t="str">
        <f>Names!G81</f>
        <v>2956 Shaughnessy St</v>
      </c>
      <c r="O81" t="s">
        <v>76</v>
      </c>
      <c r="P81" t="str">
        <f>Names!H81</f>
        <v>Port Coquitlam</v>
      </c>
      <c r="Q81" t="str">
        <f>Names!I81</f>
        <v>BC</v>
      </c>
      <c r="R81" t="str">
        <f>Names!J81</f>
        <v>V3C 4S7</v>
      </c>
      <c r="S81" t="str">
        <f t="shared" si="3"/>
        <v>rg:{'id': '200079'}</v>
      </c>
      <c r="T81" t="s">
        <v>76</v>
      </c>
    </row>
    <row r="82" spans="1:20" x14ac:dyDescent="0.3">
      <c r="A82" t="s">
        <v>54</v>
      </c>
      <c r="B82" t="s">
        <v>7</v>
      </c>
      <c r="C82" t="s">
        <v>4357</v>
      </c>
      <c r="D82">
        <f t="shared" si="2"/>
        <v>200080</v>
      </c>
      <c r="E82" t="str">
        <f>Names!D82</f>
        <v>Louie</v>
      </c>
      <c r="F82" t="str">
        <f>Names!F82</f>
        <v>Gust</v>
      </c>
      <c r="G82" t="str">
        <f>Names!AA82</f>
        <v>Knox Lumber</v>
      </c>
      <c r="H82" t="s">
        <v>7629</v>
      </c>
      <c r="I82" t="s">
        <v>76</v>
      </c>
      <c r="J82" t="str">
        <f>Names!M82</f>
        <v>LouieJGust@jourrapide.com</v>
      </c>
      <c r="K82" t="str">
        <f ca="1">IF(RANDBETWEEN(1,2) &gt; 1, "rg:None", Names!P82)</f>
        <v>250-968-6960</v>
      </c>
      <c r="L82" t="str">
        <f ca="1">IF(K82="rg:None",Names!P82,"rg:None")</f>
        <v>rg:None</v>
      </c>
      <c r="M82" t="s">
        <v>76</v>
      </c>
      <c r="N82" t="str">
        <f>Names!G82</f>
        <v>2565 Tchesinkut Lake Rd</v>
      </c>
      <c r="O82" t="s">
        <v>76</v>
      </c>
      <c r="P82" t="str">
        <f>Names!H82</f>
        <v>Mcbride</v>
      </c>
      <c r="Q82" t="str">
        <f>Names!I82</f>
        <v>BC</v>
      </c>
      <c r="R82" t="str">
        <f>Names!J82</f>
        <v>V0J 2E0</v>
      </c>
      <c r="S82" t="str">
        <f t="shared" si="3"/>
        <v>rg:{'id': '200080'}</v>
      </c>
      <c r="T82" t="s">
        <v>76</v>
      </c>
    </row>
    <row r="83" spans="1:20" x14ac:dyDescent="0.3">
      <c r="A83" t="s">
        <v>54</v>
      </c>
      <c r="B83" t="s">
        <v>7</v>
      </c>
      <c r="C83" t="s">
        <v>4115</v>
      </c>
      <c r="D83">
        <f t="shared" si="2"/>
        <v>200081</v>
      </c>
      <c r="E83" t="str">
        <f>Names!D83</f>
        <v>Tabitha</v>
      </c>
      <c r="F83" t="str">
        <f>Names!F83</f>
        <v>Simpson</v>
      </c>
      <c r="G83" t="str">
        <f>Names!AA83</f>
        <v>Piccolo Mondo</v>
      </c>
      <c r="H83" t="s">
        <v>7629</v>
      </c>
      <c r="I83" t="s">
        <v>76</v>
      </c>
      <c r="J83" t="str">
        <f>Names!M83</f>
        <v>TabithaVSimpson@fleckens.hu</v>
      </c>
      <c r="K83" t="str">
        <f ca="1">IF(RANDBETWEEN(1,2) &gt; 1, "rg:None", Names!P83)</f>
        <v>rg:None</v>
      </c>
      <c r="L83" t="str">
        <f ca="1">IF(K83="rg:None",Names!P83,"rg:None")</f>
        <v>250-673-4340</v>
      </c>
      <c r="M83" t="s">
        <v>76</v>
      </c>
      <c r="N83" t="str">
        <f>Names!G83</f>
        <v>2913 Blind Bay Road</v>
      </c>
      <c r="O83" t="s">
        <v>76</v>
      </c>
      <c r="P83" t="str">
        <f>Names!H83</f>
        <v>Blue River</v>
      </c>
      <c r="Q83" t="str">
        <f>Names!I83</f>
        <v>BC</v>
      </c>
      <c r="R83" t="str">
        <f>Names!J83</f>
        <v>V0E 1J0</v>
      </c>
      <c r="S83" t="str">
        <f t="shared" si="3"/>
        <v>rg:{'id': '200081'}</v>
      </c>
      <c r="T83" t="s">
        <v>76</v>
      </c>
    </row>
    <row r="84" spans="1:20" x14ac:dyDescent="0.3">
      <c r="A84" t="s">
        <v>54</v>
      </c>
      <c r="B84" t="s">
        <v>7</v>
      </c>
      <c r="C84" t="s">
        <v>4128</v>
      </c>
      <c r="D84">
        <f t="shared" si="2"/>
        <v>200082</v>
      </c>
      <c r="E84" t="str">
        <f>Names!D84</f>
        <v>Richard</v>
      </c>
      <c r="F84" t="str">
        <f>Names!F84</f>
        <v>Dobbins</v>
      </c>
      <c r="G84" t="str">
        <f>Names!AA84</f>
        <v>First Choice Yard Help</v>
      </c>
      <c r="H84" t="s">
        <v>7629</v>
      </c>
      <c r="I84" t="s">
        <v>76</v>
      </c>
      <c r="J84" t="str">
        <f>Names!M84</f>
        <v>RichardMDobbins@rhyta.com</v>
      </c>
      <c r="K84" t="str">
        <f ca="1">IF(RANDBETWEEN(1,2) &gt; 1, "rg:None", Names!P84)</f>
        <v>rg:None</v>
      </c>
      <c r="L84" t="str">
        <f ca="1">IF(K84="rg:None",Names!P84,"rg:None")</f>
        <v>250-836-0067</v>
      </c>
      <c r="M84" t="s">
        <v>76</v>
      </c>
      <c r="N84" t="str">
        <f>Names!G84</f>
        <v>2031 Blind Bay Road</v>
      </c>
      <c r="O84" t="s">
        <v>76</v>
      </c>
      <c r="P84" t="str">
        <f>Names!H84</f>
        <v>Sicamous</v>
      </c>
      <c r="Q84" t="str">
        <f>Names!I84</f>
        <v>BC</v>
      </c>
      <c r="R84" t="str">
        <f>Names!J84</f>
        <v>V0E 2V0</v>
      </c>
      <c r="S84" t="str">
        <f t="shared" si="3"/>
        <v>rg:{'id': '200082'}</v>
      </c>
      <c r="T84" t="s">
        <v>76</v>
      </c>
    </row>
    <row r="85" spans="1:20" x14ac:dyDescent="0.3">
      <c r="A85" t="s">
        <v>54</v>
      </c>
      <c r="B85" t="s">
        <v>7</v>
      </c>
      <c r="C85" t="s">
        <v>3572</v>
      </c>
      <c r="D85">
        <f t="shared" si="2"/>
        <v>200083</v>
      </c>
      <c r="E85" t="str">
        <f>Names!D85</f>
        <v>Jessica</v>
      </c>
      <c r="F85" t="str">
        <f>Names!F85</f>
        <v>Taylor</v>
      </c>
      <c r="G85" t="str">
        <f>Names!AA85</f>
        <v>Red Food</v>
      </c>
      <c r="H85" t="s">
        <v>7629</v>
      </c>
      <c r="I85" t="s">
        <v>76</v>
      </c>
      <c r="J85" t="str">
        <f>Names!M85</f>
        <v>JessicaJTaylor@teleworm.us</v>
      </c>
      <c r="K85" t="str">
        <f ca="1">IF(RANDBETWEEN(1,2) &gt; 1, "rg:None", Names!P85)</f>
        <v>rg:None</v>
      </c>
      <c r="L85" t="str">
        <f ca="1">IF(K85="rg:None",Names!P85,"rg:None")</f>
        <v>604-309-1080</v>
      </c>
      <c r="M85" t="s">
        <v>76</v>
      </c>
      <c r="N85" t="str">
        <f>Names!G85</f>
        <v>2076 James Street</v>
      </c>
      <c r="O85" t="s">
        <v>76</v>
      </c>
      <c r="P85" t="str">
        <f>Names!H85</f>
        <v>Aldergrove</v>
      </c>
      <c r="Q85" t="str">
        <f>Names!I85</f>
        <v>BC</v>
      </c>
      <c r="R85" t="str">
        <f>Names!J85</f>
        <v>V5G 4S4</v>
      </c>
      <c r="S85" t="str">
        <f t="shared" si="3"/>
        <v>rg:{'id': '200083'}</v>
      </c>
      <c r="T85" t="s">
        <v>76</v>
      </c>
    </row>
    <row r="86" spans="1:20" x14ac:dyDescent="0.3">
      <c r="A86" t="s">
        <v>54</v>
      </c>
      <c r="B86" t="s">
        <v>7</v>
      </c>
      <c r="C86" t="s">
        <v>4261</v>
      </c>
      <c r="D86">
        <f t="shared" si="2"/>
        <v>200084</v>
      </c>
      <c r="E86" t="str">
        <f>Names!D86</f>
        <v>Thomas</v>
      </c>
      <c r="F86" t="str">
        <f>Names!F86</f>
        <v>England</v>
      </c>
      <c r="G86" t="str">
        <f>Names!AA86</f>
        <v>Lawnscape Garden Maintenance</v>
      </c>
      <c r="H86" t="s">
        <v>7629</v>
      </c>
      <c r="I86" t="s">
        <v>76</v>
      </c>
      <c r="J86" t="str">
        <f>Names!M86</f>
        <v>ThomasFEngland@jourrapide.com</v>
      </c>
      <c r="K86" t="str">
        <f ca="1">IF(RANDBETWEEN(1,2) &gt; 1, "rg:None", Names!P86)</f>
        <v>rg:None</v>
      </c>
      <c r="L86" t="str">
        <f ca="1">IF(K86="rg:None",Names!P86,"rg:None")</f>
        <v>604-530-5394</v>
      </c>
      <c r="M86" t="s">
        <v>76</v>
      </c>
      <c r="N86" t="str">
        <f>Names!G86</f>
        <v>1028 Glover Road</v>
      </c>
      <c r="O86" t="s">
        <v>76</v>
      </c>
      <c r="P86" t="str">
        <f>Names!H86</f>
        <v>Langley</v>
      </c>
      <c r="Q86" t="str">
        <f>Names!I86</f>
        <v>BC</v>
      </c>
      <c r="R86" t="str">
        <f>Names!J86</f>
        <v>V3A 1Z3</v>
      </c>
      <c r="S86" t="str">
        <f t="shared" si="3"/>
        <v>rg:{'id': '200084'}</v>
      </c>
      <c r="T86" t="s">
        <v>76</v>
      </c>
    </row>
    <row r="87" spans="1:20" x14ac:dyDescent="0.3">
      <c r="A87" t="s">
        <v>54</v>
      </c>
      <c r="B87" t="s">
        <v>7</v>
      </c>
      <c r="C87" t="s">
        <v>3779</v>
      </c>
      <c r="D87">
        <f t="shared" si="2"/>
        <v>200085</v>
      </c>
      <c r="E87" t="str">
        <f>Names!D87</f>
        <v>Lashawn</v>
      </c>
      <c r="F87" t="str">
        <f>Names!F87</f>
        <v>Matthew</v>
      </c>
      <c r="G87" t="str">
        <f>Names!AA87</f>
        <v>Little Tavern</v>
      </c>
      <c r="H87" t="s">
        <v>7629</v>
      </c>
      <c r="I87" t="s">
        <v>76</v>
      </c>
      <c r="J87" t="str">
        <f>Names!M87</f>
        <v>LashawnBMatthew@einrot.com</v>
      </c>
      <c r="K87" t="str">
        <f ca="1">IF(RANDBETWEEN(1,2) &gt; 1, "rg:None", Names!P87)</f>
        <v>604-845-4055</v>
      </c>
      <c r="L87" t="str">
        <f ca="1">IF(K87="rg:None",Names!P87,"rg:None")</f>
        <v>rg:None</v>
      </c>
      <c r="M87" t="s">
        <v>76</v>
      </c>
      <c r="N87" t="str">
        <f>Names!G87</f>
        <v>3109 Wellington Ave</v>
      </c>
      <c r="O87" t="s">
        <v>76</v>
      </c>
      <c r="P87" t="str">
        <f>Names!H87</f>
        <v>Chilliwack</v>
      </c>
      <c r="Q87" t="str">
        <f>Names!I87</f>
        <v>BC</v>
      </c>
      <c r="R87" t="str">
        <f>Names!J87</f>
        <v>V2P 2M1</v>
      </c>
      <c r="S87" t="str">
        <f t="shared" si="3"/>
        <v>rg:{'id': '200085'}</v>
      </c>
      <c r="T87" t="s">
        <v>76</v>
      </c>
    </row>
    <row r="88" spans="1:20" x14ac:dyDescent="0.3">
      <c r="A88" t="s">
        <v>54</v>
      </c>
      <c r="B88" t="s">
        <v>7</v>
      </c>
      <c r="C88" t="s">
        <v>3392</v>
      </c>
      <c r="D88">
        <f t="shared" si="2"/>
        <v>200086</v>
      </c>
      <c r="E88" t="str">
        <f>Names!D88</f>
        <v>Tangela</v>
      </c>
      <c r="F88" t="str">
        <f>Names!F88</f>
        <v>Townsend</v>
      </c>
      <c r="G88" t="str">
        <f>Names!AA88</f>
        <v>Desmonds Formal Wear</v>
      </c>
      <c r="H88" t="s">
        <v>7629</v>
      </c>
      <c r="I88" t="s">
        <v>76</v>
      </c>
      <c r="J88" t="str">
        <f>Names!M88</f>
        <v>TangelaPTownsend@armyspy.com</v>
      </c>
      <c r="K88" t="str">
        <f ca="1">IF(RANDBETWEEN(1,2) &gt; 1, "rg:None", Names!P88)</f>
        <v>rg:None</v>
      </c>
      <c r="L88" t="str">
        <f ca="1">IF(K88="rg:None",Names!P88,"rg:None")</f>
        <v>250-732-0946</v>
      </c>
      <c r="M88" t="s">
        <v>76</v>
      </c>
      <c r="N88" t="str">
        <f>Names!G88</f>
        <v>2420 Roger Street</v>
      </c>
      <c r="O88" t="s">
        <v>76</v>
      </c>
      <c r="P88" t="str">
        <f>Names!H88</f>
        <v>Duncan</v>
      </c>
      <c r="Q88" t="str">
        <f>Names!I88</f>
        <v>BC</v>
      </c>
      <c r="R88" t="str">
        <f>Names!J88</f>
        <v>V9L 1E5</v>
      </c>
      <c r="S88" t="str">
        <f t="shared" si="3"/>
        <v>rg:{'id': '200086'}</v>
      </c>
      <c r="T88" t="s">
        <v>76</v>
      </c>
    </row>
    <row r="89" spans="1:20" x14ac:dyDescent="0.3">
      <c r="A89" t="s">
        <v>54</v>
      </c>
      <c r="B89" t="s">
        <v>7</v>
      </c>
      <c r="C89" t="s">
        <v>3471</v>
      </c>
      <c r="D89">
        <f t="shared" si="2"/>
        <v>200087</v>
      </c>
      <c r="E89" t="str">
        <f>Names!D89</f>
        <v>Amanda</v>
      </c>
      <c r="F89" t="str">
        <f>Names!F89</f>
        <v>Perkins</v>
      </c>
      <c r="G89" t="str">
        <f>Names!AA89</f>
        <v>P. Samuels Men's Clothiers</v>
      </c>
      <c r="H89" t="s">
        <v>7629</v>
      </c>
      <c r="I89" t="s">
        <v>76</v>
      </c>
      <c r="J89" t="str">
        <f>Names!M89</f>
        <v>AmandaDPerkins@dayrep.com</v>
      </c>
      <c r="K89" t="str">
        <f ca="1">IF(RANDBETWEEN(1,2) &gt; 1, "rg:None", Names!P89)</f>
        <v>rg:None</v>
      </c>
      <c r="L89" t="str">
        <f ca="1">IF(K89="rg:None",Names!P89,"rg:None")</f>
        <v>778-881-0796</v>
      </c>
      <c r="M89" t="s">
        <v>76</v>
      </c>
      <c r="N89" t="str">
        <f>Names!G89</f>
        <v>1477 Hastings Street</v>
      </c>
      <c r="O89" t="s">
        <v>76</v>
      </c>
      <c r="P89" t="str">
        <f>Names!H89</f>
        <v>Vancouver</v>
      </c>
      <c r="Q89" t="str">
        <f>Names!I89</f>
        <v>BC</v>
      </c>
      <c r="R89" t="str">
        <f>Names!J89</f>
        <v>V6C 1B4</v>
      </c>
      <c r="S89" t="str">
        <f t="shared" si="3"/>
        <v>rg:{'id': '200087'}</v>
      </c>
      <c r="T89" t="s">
        <v>76</v>
      </c>
    </row>
    <row r="90" spans="1:20" x14ac:dyDescent="0.3">
      <c r="A90" t="s">
        <v>54</v>
      </c>
      <c r="B90" t="s">
        <v>7</v>
      </c>
      <c r="C90" t="s">
        <v>4228</v>
      </c>
      <c r="D90">
        <f t="shared" si="2"/>
        <v>200088</v>
      </c>
      <c r="E90" t="str">
        <f>Names!D90</f>
        <v>Helen</v>
      </c>
      <c r="F90" t="str">
        <f>Names!F90</f>
        <v>Machado</v>
      </c>
      <c r="G90" t="str">
        <f>Names!AA90</f>
        <v>Castle Realty</v>
      </c>
      <c r="H90" t="s">
        <v>7629</v>
      </c>
      <c r="I90" t="s">
        <v>76</v>
      </c>
      <c r="J90" t="str">
        <f>Names!M90</f>
        <v>HelenBMachado@fleckens.hu</v>
      </c>
      <c r="K90" t="str">
        <f ca="1">IF(RANDBETWEEN(1,2) &gt; 1, "rg:None", Names!P90)</f>
        <v>250-845-6937</v>
      </c>
      <c r="L90" t="str">
        <f ca="1">IF(K90="rg:None",Names!P90,"rg:None")</f>
        <v>rg:None</v>
      </c>
      <c r="M90" t="s">
        <v>76</v>
      </c>
      <c r="N90" t="str">
        <f>Names!G90</f>
        <v>2038 Tchesinkut Lake Rd</v>
      </c>
      <c r="O90" t="s">
        <v>76</v>
      </c>
      <c r="P90" t="str">
        <f>Names!H90</f>
        <v>Houston</v>
      </c>
      <c r="Q90" t="str">
        <f>Names!I90</f>
        <v>BC</v>
      </c>
      <c r="R90" t="str">
        <f>Names!J90</f>
        <v>V0J 1Z0</v>
      </c>
      <c r="S90" t="str">
        <f t="shared" si="3"/>
        <v>rg:{'id': '200088'}</v>
      </c>
      <c r="T90" t="s">
        <v>76</v>
      </c>
    </row>
    <row r="91" spans="1:20" x14ac:dyDescent="0.3">
      <c r="A91" t="s">
        <v>54</v>
      </c>
      <c r="B91" t="s">
        <v>7</v>
      </c>
      <c r="C91" t="s">
        <v>3901</v>
      </c>
      <c r="D91">
        <f t="shared" si="2"/>
        <v>200089</v>
      </c>
      <c r="E91" t="str">
        <f>Names!D91</f>
        <v>Doris</v>
      </c>
      <c r="F91" t="str">
        <f>Names!F91</f>
        <v>Nickens</v>
      </c>
      <c r="G91" t="str">
        <f>Names!AA91</f>
        <v>Newmark &amp; Lewis</v>
      </c>
      <c r="H91" t="s">
        <v>7629</v>
      </c>
      <c r="I91" t="s">
        <v>76</v>
      </c>
      <c r="J91" t="str">
        <f>Names!M91</f>
        <v>DorisDNickens@dayrep.com</v>
      </c>
      <c r="K91" t="str">
        <f ca="1">IF(RANDBETWEEN(1,2) &gt; 1, "rg:None", Names!P91)</f>
        <v>rg:None</v>
      </c>
      <c r="L91" t="str">
        <f ca="1">IF(K91="rg:None",Names!P91,"rg:None")</f>
        <v>250-380-2994</v>
      </c>
      <c r="M91" t="s">
        <v>76</v>
      </c>
      <c r="N91" t="str">
        <f>Names!G91</f>
        <v>2867 Blanshard</v>
      </c>
      <c r="O91" t="s">
        <v>76</v>
      </c>
      <c r="P91" t="str">
        <f>Names!H91</f>
        <v>Victoria</v>
      </c>
      <c r="Q91" t="str">
        <f>Names!I91</f>
        <v>BC</v>
      </c>
      <c r="R91" t="str">
        <f>Names!J91</f>
        <v>V8W 2H9</v>
      </c>
      <c r="S91" t="str">
        <f t="shared" si="3"/>
        <v>rg:{'id': '200089'}</v>
      </c>
      <c r="T91" t="s">
        <v>76</v>
      </c>
    </row>
    <row r="92" spans="1:20" x14ac:dyDescent="0.3">
      <c r="A92" t="s">
        <v>54</v>
      </c>
      <c r="B92" t="s">
        <v>7</v>
      </c>
      <c r="C92" t="s">
        <v>3522</v>
      </c>
      <c r="D92">
        <f t="shared" si="2"/>
        <v>200090</v>
      </c>
      <c r="E92" t="str">
        <f>Names!D92</f>
        <v>Pearl</v>
      </c>
      <c r="F92" t="str">
        <f>Names!F92</f>
        <v>Rice</v>
      </c>
      <c r="G92" t="str">
        <f>Names!AA92</f>
        <v>Morrie Mages</v>
      </c>
      <c r="H92" t="s">
        <v>7629</v>
      </c>
      <c r="I92" t="s">
        <v>76</v>
      </c>
      <c r="J92" t="str">
        <f>Names!M92</f>
        <v>PearlRRice@cuvox.de</v>
      </c>
      <c r="K92" t="str">
        <f ca="1">IF(RANDBETWEEN(1,2) &gt; 1, "rg:None", Names!P92)</f>
        <v>604-871-8799</v>
      </c>
      <c r="L92" t="str">
        <f ca="1">IF(K92="rg:None",Names!P92,"rg:None")</f>
        <v>rg:None</v>
      </c>
      <c r="M92" t="s">
        <v>76</v>
      </c>
      <c r="N92" t="str">
        <f>Names!G92</f>
        <v>4537 St George Street</v>
      </c>
      <c r="O92" t="s">
        <v>76</v>
      </c>
      <c r="P92" t="str">
        <f>Names!H92</f>
        <v>Vancouver</v>
      </c>
      <c r="Q92" t="str">
        <f>Names!I92</f>
        <v>BC</v>
      </c>
      <c r="R92" t="str">
        <f>Names!J92</f>
        <v>V5T 1Z7</v>
      </c>
      <c r="S92" t="str">
        <f t="shared" si="3"/>
        <v>rg:{'id': '200090'}</v>
      </c>
      <c r="T92" t="s">
        <v>76</v>
      </c>
    </row>
    <row r="93" spans="1:20" x14ac:dyDescent="0.3">
      <c r="A93" t="s">
        <v>54</v>
      </c>
      <c r="B93" t="s">
        <v>7</v>
      </c>
      <c r="C93" t="s">
        <v>4823</v>
      </c>
      <c r="D93">
        <f t="shared" si="2"/>
        <v>200091</v>
      </c>
      <c r="E93" t="str">
        <f>Names!D93</f>
        <v>Eleanor</v>
      </c>
      <c r="F93" t="str">
        <f>Names!F93</f>
        <v>Ballesteros</v>
      </c>
      <c r="G93" t="str">
        <f>Names!AA93</f>
        <v>Fisher Foods</v>
      </c>
      <c r="H93" t="s">
        <v>7629</v>
      </c>
      <c r="I93" t="s">
        <v>76</v>
      </c>
      <c r="J93" t="str">
        <f>Names!M93</f>
        <v>EleanorMBallesteros@jourrapide.com</v>
      </c>
      <c r="K93" t="str">
        <f ca="1">IF(RANDBETWEEN(1,2) &gt; 1, "rg:None", Names!P93)</f>
        <v>250-659-5830</v>
      </c>
      <c r="L93" t="str">
        <f ca="1">IF(K93="rg:None",Names!P93,"rg:None")</f>
        <v>rg:None</v>
      </c>
      <c r="M93" t="s">
        <v>76</v>
      </c>
      <c r="N93" t="str">
        <f>Names!G93</f>
        <v>3711 Stum Lake Road</v>
      </c>
      <c r="O93" t="s">
        <v>76</v>
      </c>
      <c r="P93" t="str">
        <f>Names!H93</f>
        <v>Riske Creek</v>
      </c>
      <c r="Q93" t="str">
        <f>Names!I93</f>
        <v>BC</v>
      </c>
      <c r="R93" t="str">
        <f>Names!J93</f>
        <v>V0L 1T0</v>
      </c>
      <c r="S93" t="str">
        <f t="shared" si="3"/>
        <v>rg:{'id': '200091'}</v>
      </c>
      <c r="T93" t="s">
        <v>76</v>
      </c>
    </row>
    <row r="94" spans="1:20" x14ac:dyDescent="0.3">
      <c r="A94" t="s">
        <v>54</v>
      </c>
      <c r="B94" t="s">
        <v>7</v>
      </c>
      <c r="C94" t="s">
        <v>4717</v>
      </c>
      <c r="D94">
        <f t="shared" si="2"/>
        <v>200092</v>
      </c>
      <c r="E94" t="str">
        <f>Names!D94</f>
        <v>Jessie</v>
      </c>
      <c r="F94" t="str">
        <f>Names!F94</f>
        <v>Green</v>
      </c>
      <c r="G94" t="str">
        <f>Names!AA94</f>
        <v>Lawnscape Garden Maintenance</v>
      </c>
      <c r="H94" t="s">
        <v>7629</v>
      </c>
      <c r="I94" t="s">
        <v>76</v>
      </c>
      <c r="J94" t="str">
        <f>Names!M94</f>
        <v>JessieEGreen@superrito.com</v>
      </c>
      <c r="K94" t="str">
        <f ca="1">IF(RANDBETWEEN(1,2) &gt; 1, "rg:None", Names!P94)</f>
        <v>rg:None</v>
      </c>
      <c r="L94" t="str">
        <f ca="1">IF(K94="rg:None",Names!P94,"rg:None")</f>
        <v>250-688-2790</v>
      </c>
      <c r="M94" t="s">
        <v>76</v>
      </c>
      <c r="N94" t="str">
        <f>Names!G94</f>
        <v>914 Yoho Valley Road</v>
      </c>
      <c r="O94" t="s">
        <v>76</v>
      </c>
      <c r="P94" t="str">
        <f>Names!H94</f>
        <v>Invermere</v>
      </c>
      <c r="Q94" t="str">
        <f>Names!I94</f>
        <v>BC</v>
      </c>
      <c r="R94" t="str">
        <f>Names!J94</f>
        <v>V0A 1K0</v>
      </c>
      <c r="S94" t="str">
        <f t="shared" si="3"/>
        <v>rg:{'id': '200092'}</v>
      </c>
      <c r="T94" t="s">
        <v>76</v>
      </c>
    </row>
    <row r="95" spans="1:20" x14ac:dyDescent="0.3">
      <c r="A95" t="s">
        <v>54</v>
      </c>
      <c r="B95" t="s">
        <v>7</v>
      </c>
      <c r="C95" t="s">
        <v>3809</v>
      </c>
      <c r="D95">
        <f t="shared" si="2"/>
        <v>200093</v>
      </c>
      <c r="E95" t="str">
        <f>Names!D95</f>
        <v>Ty</v>
      </c>
      <c r="F95" t="str">
        <f>Names!F95</f>
        <v>Coats</v>
      </c>
      <c r="G95" t="str">
        <f>Names!AA95</f>
        <v>American Wholesale Club</v>
      </c>
      <c r="H95" t="s">
        <v>7629</v>
      </c>
      <c r="I95" t="s">
        <v>76</v>
      </c>
      <c r="J95" t="str">
        <f>Names!M95</f>
        <v>TyMCoats@einrot.com</v>
      </c>
      <c r="K95" t="str">
        <f ca="1">IF(RANDBETWEEN(1,2) &gt; 1, "rg:None", Names!P95)</f>
        <v>rg:None</v>
      </c>
      <c r="L95" t="str">
        <f ca="1">IF(K95="rg:None",Names!P95,"rg:None")</f>
        <v>604-988-5640</v>
      </c>
      <c r="M95" t="s">
        <v>76</v>
      </c>
      <c r="N95" t="str">
        <f>Names!G95</f>
        <v>3760 Keith Road</v>
      </c>
      <c r="O95" t="s">
        <v>76</v>
      </c>
      <c r="P95" t="str">
        <f>Names!H95</f>
        <v>North Vancouver</v>
      </c>
      <c r="Q95" t="str">
        <f>Names!I95</f>
        <v>BC</v>
      </c>
      <c r="R95" t="str">
        <f>Names!J95</f>
        <v>V5T 2C1</v>
      </c>
      <c r="S95" t="str">
        <f t="shared" si="3"/>
        <v>rg:{'id': '200093'}</v>
      </c>
      <c r="T95" t="s">
        <v>76</v>
      </c>
    </row>
    <row r="96" spans="1:20" x14ac:dyDescent="0.3">
      <c r="A96" t="s">
        <v>54</v>
      </c>
      <c r="B96" t="s">
        <v>7</v>
      </c>
      <c r="C96" t="s">
        <v>4852</v>
      </c>
      <c r="D96">
        <f t="shared" si="2"/>
        <v>200094</v>
      </c>
      <c r="E96" t="str">
        <f>Names!D96</f>
        <v>Claudine</v>
      </c>
      <c r="F96" t="str">
        <f>Names!F96</f>
        <v>Henry</v>
      </c>
      <c r="G96" t="str">
        <f>Names!AA96</f>
        <v>Warehouse Club Inc.</v>
      </c>
      <c r="H96" t="s">
        <v>7629</v>
      </c>
      <c r="I96" t="s">
        <v>76</v>
      </c>
      <c r="J96" t="str">
        <f>Names!M96</f>
        <v>ClaudineRHenry@superrito.com</v>
      </c>
      <c r="K96" t="str">
        <f ca="1">IF(RANDBETWEEN(1,2) &gt; 1, "rg:None", Names!P96)</f>
        <v>250-885-6704</v>
      </c>
      <c r="L96" t="str">
        <f ca="1">IF(K96="rg:None",Names!P96,"rg:None")</f>
        <v>rg:None</v>
      </c>
      <c r="M96" t="s">
        <v>76</v>
      </c>
      <c r="N96" t="str">
        <f>Names!G96</f>
        <v>2120 Burdett Avenue</v>
      </c>
      <c r="O96" t="s">
        <v>76</v>
      </c>
      <c r="P96" t="str">
        <f>Names!H96</f>
        <v>Victoria</v>
      </c>
      <c r="Q96" t="str">
        <f>Names!I96</f>
        <v>BC</v>
      </c>
      <c r="R96" t="str">
        <f>Names!J96</f>
        <v>V8W 1L6</v>
      </c>
      <c r="S96" t="str">
        <f t="shared" si="3"/>
        <v>rg:{'id': '200094'}</v>
      </c>
      <c r="T96" t="s">
        <v>76</v>
      </c>
    </row>
    <row r="97" spans="1:20" x14ac:dyDescent="0.3">
      <c r="A97" t="s">
        <v>54</v>
      </c>
      <c r="B97" t="s">
        <v>7</v>
      </c>
      <c r="C97" t="s">
        <v>3505</v>
      </c>
      <c r="D97">
        <f t="shared" si="2"/>
        <v>200095</v>
      </c>
      <c r="E97" t="str">
        <f>Names!D97</f>
        <v>Mary</v>
      </c>
      <c r="F97" t="str">
        <f>Names!F97</f>
        <v>Saephan</v>
      </c>
      <c r="G97" t="str">
        <f>Names!AA97</f>
        <v>Dave Cooks</v>
      </c>
      <c r="H97" t="s">
        <v>7629</v>
      </c>
      <c r="I97" t="s">
        <v>76</v>
      </c>
      <c r="J97" t="str">
        <f>Names!M97</f>
        <v>MaryTSaephan@jourrapide.com</v>
      </c>
      <c r="K97" t="str">
        <f ca="1">IF(RANDBETWEEN(1,2) &gt; 1, "rg:None", Names!P97)</f>
        <v>250-882-6070</v>
      </c>
      <c r="L97" t="str">
        <f ca="1">IF(K97="rg:None",Names!P97,"rg:None")</f>
        <v>rg:None</v>
      </c>
      <c r="M97" t="s">
        <v>76</v>
      </c>
      <c r="N97" t="str">
        <f>Names!G97</f>
        <v>729 Blanshard</v>
      </c>
      <c r="O97" t="s">
        <v>76</v>
      </c>
      <c r="P97" t="str">
        <f>Names!H97</f>
        <v>Victoria</v>
      </c>
      <c r="Q97" t="str">
        <f>Names!I97</f>
        <v>BC</v>
      </c>
      <c r="R97" t="str">
        <f>Names!J97</f>
        <v>V8W 2H9</v>
      </c>
      <c r="S97" t="str">
        <f t="shared" si="3"/>
        <v>rg:{'id': '200095'}</v>
      </c>
      <c r="T97" t="s">
        <v>76</v>
      </c>
    </row>
    <row r="98" spans="1:20" x14ac:dyDescent="0.3">
      <c r="A98" t="s">
        <v>54</v>
      </c>
      <c r="B98" t="s">
        <v>7</v>
      </c>
      <c r="C98" t="s">
        <v>4200</v>
      </c>
      <c r="D98">
        <f t="shared" si="2"/>
        <v>200096</v>
      </c>
      <c r="E98" t="str">
        <f>Names!D98</f>
        <v>Mildred</v>
      </c>
      <c r="F98" t="str">
        <f>Names!F98</f>
        <v>Trevino</v>
      </c>
      <c r="G98" t="str">
        <f>Names!AA98</f>
        <v>Highland Appliance</v>
      </c>
      <c r="H98" t="s">
        <v>7629</v>
      </c>
      <c r="I98" t="s">
        <v>76</v>
      </c>
      <c r="J98" t="str">
        <f>Names!M98</f>
        <v>MildredJTrevino@superrito.com</v>
      </c>
      <c r="K98" t="str">
        <f ca="1">IF(RANDBETWEEN(1,2) &gt; 1, "rg:None", Names!P98)</f>
        <v>rg:None</v>
      </c>
      <c r="L98" t="str">
        <f ca="1">IF(K98="rg:None",Names!P98,"rg:None")</f>
        <v>778-688-4239</v>
      </c>
      <c r="M98" t="s">
        <v>76</v>
      </c>
      <c r="N98" t="str">
        <f>Names!G98</f>
        <v>396 Quayside Dr</v>
      </c>
      <c r="O98" t="s">
        <v>76</v>
      </c>
      <c r="P98" t="str">
        <f>Names!H98</f>
        <v>New Westminster</v>
      </c>
      <c r="Q98" t="str">
        <f>Names!I98</f>
        <v>BC</v>
      </c>
      <c r="R98" t="str">
        <f>Names!J98</f>
        <v>V3M 6A1</v>
      </c>
      <c r="S98" t="str">
        <f t="shared" si="3"/>
        <v>rg:{'id': '200096'}</v>
      </c>
      <c r="T98" t="s">
        <v>76</v>
      </c>
    </row>
    <row r="99" spans="1:20" x14ac:dyDescent="0.3">
      <c r="A99" t="s">
        <v>54</v>
      </c>
      <c r="B99" t="s">
        <v>7</v>
      </c>
      <c r="C99" t="s">
        <v>3290</v>
      </c>
      <c r="D99">
        <f t="shared" si="2"/>
        <v>200097</v>
      </c>
      <c r="E99" t="str">
        <f>Names!D99</f>
        <v>Peter</v>
      </c>
      <c r="F99" t="str">
        <f>Names!F99</f>
        <v>Murray</v>
      </c>
      <c r="G99" t="str">
        <f>Names!AA99</f>
        <v>Old America Stores</v>
      </c>
      <c r="H99" t="s">
        <v>7629</v>
      </c>
      <c r="I99" t="s">
        <v>76</v>
      </c>
      <c r="J99" t="str">
        <f>Names!M99</f>
        <v>PeterNMurray@superrito.com</v>
      </c>
      <c r="K99" t="str">
        <f ca="1">IF(RANDBETWEEN(1,2) &gt; 1, "rg:None", Names!P99)</f>
        <v>604-213-0728</v>
      </c>
      <c r="L99" t="str">
        <f ca="1">IF(K99="rg:None",Names!P99,"rg:None")</f>
        <v>rg:None</v>
      </c>
      <c r="M99" t="s">
        <v>76</v>
      </c>
      <c r="N99" t="str">
        <f>Names!G99</f>
        <v>1730 Jade St</v>
      </c>
      <c r="O99" t="s">
        <v>76</v>
      </c>
      <c r="P99" t="str">
        <f>Names!H99</f>
        <v>West Vancouver</v>
      </c>
      <c r="Q99" t="str">
        <f>Names!I99</f>
        <v>BC</v>
      </c>
      <c r="R99" t="str">
        <f>Names!J99</f>
        <v>V7T 2W4</v>
      </c>
      <c r="S99" t="str">
        <f t="shared" si="3"/>
        <v>rg:{'id': '200097'}</v>
      </c>
      <c r="T99" t="s">
        <v>76</v>
      </c>
    </row>
    <row r="100" spans="1:20" x14ac:dyDescent="0.3">
      <c r="A100" t="s">
        <v>54</v>
      </c>
      <c r="B100" t="s">
        <v>7</v>
      </c>
      <c r="C100" t="s">
        <v>3824</v>
      </c>
      <c r="D100">
        <f t="shared" si="2"/>
        <v>200098</v>
      </c>
      <c r="E100" t="str">
        <f>Names!D100</f>
        <v>Evelyn</v>
      </c>
      <c r="F100" t="str">
        <f>Names!F100</f>
        <v>Taylor</v>
      </c>
      <c r="G100" t="str">
        <f>Names!AA100</f>
        <v>Monsource</v>
      </c>
      <c r="H100" t="s">
        <v>7629</v>
      </c>
      <c r="I100" t="s">
        <v>76</v>
      </c>
      <c r="J100" t="str">
        <f>Names!M100</f>
        <v>EvelynJTaylor@teleworm.us</v>
      </c>
      <c r="K100" t="str">
        <f ca="1">IF(RANDBETWEEN(1,2) &gt; 1, "rg:None", Names!P100)</f>
        <v>rg:None</v>
      </c>
      <c r="L100" t="str">
        <f ca="1">IF(K100="rg:None",Names!P100,"rg:None")</f>
        <v>604-632-0078</v>
      </c>
      <c r="M100" t="s">
        <v>76</v>
      </c>
      <c r="N100" t="str">
        <f>Names!G100</f>
        <v>4638 Robson St</v>
      </c>
      <c r="O100" t="s">
        <v>76</v>
      </c>
      <c r="P100" t="str">
        <f>Names!H100</f>
        <v>Vancouver</v>
      </c>
      <c r="Q100" t="str">
        <f>Names!I100</f>
        <v>BC</v>
      </c>
      <c r="R100" t="str">
        <f>Names!J100</f>
        <v>V6B 3K9</v>
      </c>
      <c r="S100" t="str">
        <f t="shared" si="3"/>
        <v>rg:{'id': '200098'}</v>
      </c>
      <c r="T100" t="s">
        <v>76</v>
      </c>
    </row>
    <row r="101" spans="1:20" x14ac:dyDescent="0.3">
      <c r="A101" t="s">
        <v>54</v>
      </c>
      <c r="B101" t="s">
        <v>7</v>
      </c>
      <c r="C101" t="s">
        <v>3014</v>
      </c>
      <c r="D101">
        <f t="shared" si="2"/>
        <v>200099</v>
      </c>
      <c r="E101" t="str">
        <f>Names!D101</f>
        <v>Francesco</v>
      </c>
      <c r="F101" t="str">
        <f>Names!F101</f>
        <v>Mullins</v>
      </c>
      <c r="G101" t="str">
        <f>Names!AA101</f>
        <v>Destiny Realty</v>
      </c>
      <c r="H101" t="s">
        <v>7629</v>
      </c>
      <c r="I101" t="s">
        <v>76</v>
      </c>
      <c r="J101" t="str">
        <f>Names!M101</f>
        <v>FrancescoJMullins@gustr.com</v>
      </c>
      <c r="K101" t="str">
        <f ca="1">IF(RANDBETWEEN(1,2) &gt; 1, "rg:None", Names!P101)</f>
        <v>rg:None</v>
      </c>
      <c r="L101" t="str">
        <f ca="1">IF(K101="rg:None",Names!P101,"rg:None")</f>
        <v>604-974-7099</v>
      </c>
      <c r="M101" t="s">
        <v>76</v>
      </c>
      <c r="N101" t="str">
        <f>Names!G101</f>
        <v>3643 Robson St</v>
      </c>
      <c r="O101" t="s">
        <v>76</v>
      </c>
      <c r="P101" t="str">
        <f>Names!H101</f>
        <v>Vancouver</v>
      </c>
      <c r="Q101" t="str">
        <f>Names!I101</f>
        <v>BC</v>
      </c>
      <c r="R101" t="str">
        <f>Names!J101</f>
        <v>V6B 3K9</v>
      </c>
      <c r="S101" t="str">
        <f t="shared" si="3"/>
        <v>rg:{'id': '200099'}</v>
      </c>
      <c r="T101" t="s">
        <v>76</v>
      </c>
    </row>
    <row r="102" spans="1:20" x14ac:dyDescent="0.3">
      <c r="A102" t="s">
        <v>54</v>
      </c>
      <c r="B102" t="s">
        <v>7</v>
      </c>
      <c r="C102" t="s">
        <v>4144</v>
      </c>
      <c r="D102">
        <f t="shared" si="2"/>
        <v>200100</v>
      </c>
      <c r="E102" t="str">
        <f>Names!D102</f>
        <v>Thomas</v>
      </c>
      <c r="F102" t="str">
        <f>Names!F102</f>
        <v>Mills</v>
      </c>
      <c r="G102" t="str">
        <f>Names!AA102</f>
        <v>Music Plus</v>
      </c>
      <c r="H102" t="s">
        <v>7629</v>
      </c>
      <c r="I102" t="s">
        <v>76</v>
      </c>
      <c r="J102" t="str">
        <f>Names!M102</f>
        <v>ThomasAMills@rhyta.com</v>
      </c>
      <c r="K102" t="str">
        <f ca="1">IF(RANDBETWEEN(1,2) &gt; 1, "rg:None", Names!P102)</f>
        <v>250-572-2948</v>
      </c>
      <c r="L102" t="str">
        <f ca="1">IF(K102="rg:None",Names!P102,"rg:None")</f>
        <v>rg:None</v>
      </c>
      <c r="M102" t="s">
        <v>76</v>
      </c>
      <c r="N102" t="str">
        <f>Names!G102</f>
        <v>4963 Kinchant St</v>
      </c>
      <c r="O102" t="s">
        <v>76</v>
      </c>
      <c r="P102" t="str">
        <f>Names!H102</f>
        <v>Kamloops</v>
      </c>
      <c r="Q102" t="str">
        <f>Names!I102</f>
        <v>BC</v>
      </c>
      <c r="R102" t="str">
        <f>Names!J102</f>
        <v>V2C 1Y1</v>
      </c>
      <c r="S102" t="str">
        <f t="shared" si="3"/>
        <v>rg:{'id': '200100'}</v>
      </c>
      <c r="T102" t="s">
        <v>76</v>
      </c>
    </row>
    <row r="103" spans="1:20" x14ac:dyDescent="0.3">
      <c r="A103" t="s">
        <v>54</v>
      </c>
      <c r="B103" t="s">
        <v>7</v>
      </c>
      <c r="C103" t="s">
        <v>3995</v>
      </c>
      <c r="D103">
        <f t="shared" si="2"/>
        <v>200101</v>
      </c>
      <c r="E103" t="str">
        <f>Names!D103</f>
        <v>Marla</v>
      </c>
      <c r="F103" t="str">
        <f>Names!F103</f>
        <v>Schreffler</v>
      </c>
      <c r="G103" t="str">
        <f>Names!AA103</f>
        <v>Kinney Shoes</v>
      </c>
      <c r="H103" t="s">
        <v>7629</v>
      </c>
      <c r="I103" t="s">
        <v>76</v>
      </c>
      <c r="J103" t="str">
        <f>Names!M103</f>
        <v>MarlaJSchreffler@gustr.com</v>
      </c>
      <c r="K103" t="str">
        <f ca="1">IF(RANDBETWEEN(1,2) &gt; 1, "rg:None", Names!P103)</f>
        <v>867-444-0382</v>
      </c>
      <c r="L103" t="str">
        <f ca="1">IF(K103="rg:None",Names!P103,"rg:None")</f>
        <v>rg:None</v>
      </c>
      <c r="M103" t="s">
        <v>76</v>
      </c>
      <c r="N103" t="str">
        <f>Names!G103</f>
        <v>2881 Alaska Hwy</v>
      </c>
      <c r="O103" t="s">
        <v>76</v>
      </c>
      <c r="P103" t="str">
        <f>Names!H103</f>
        <v>Fort Nelson</v>
      </c>
      <c r="Q103" t="str">
        <f>Names!I103</f>
        <v>BC</v>
      </c>
      <c r="R103" t="str">
        <f>Names!J103</f>
        <v>V0C 1C0</v>
      </c>
      <c r="S103" t="str">
        <f t="shared" si="3"/>
        <v>rg:{'id': '200101'}</v>
      </c>
      <c r="T103" t="s">
        <v>76</v>
      </c>
    </row>
    <row r="104" spans="1:20" x14ac:dyDescent="0.3">
      <c r="A104" t="s">
        <v>54</v>
      </c>
      <c r="B104" t="s">
        <v>7</v>
      </c>
      <c r="C104" t="s">
        <v>3715</v>
      </c>
      <c r="D104">
        <f t="shared" si="2"/>
        <v>200102</v>
      </c>
      <c r="E104" t="str">
        <f>Names!D104</f>
        <v>Mark</v>
      </c>
      <c r="F104" t="str">
        <f>Names!F104</f>
        <v>Lindsey</v>
      </c>
      <c r="G104" t="str">
        <f>Names!AA104</f>
        <v>Western Auto</v>
      </c>
      <c r="H104" t="s">
        <v>7629</v>
      </c>
      <c r="I104" t="s">
        <v>76</v>
      </c>
      <c r="J104" t="str">
        <f>Names!M104</f>
        <v>MarkLLindsey@superrito.com</v>
      </c>
      <c r="K104" t="str">
        <f ca="1">IF(RANDBETWEEN(1,2) &gt; 1, "rg:None", Names!P104)</f>
        <v>rg:None</v>
      </c>
      <c r="L104" t="str">
        <f ca="1">IF(K104="rg:None",Names!P104,"rg:None")</f>
        <v>250-617-8892</v>
      </c>
      <c r="M104" t="s">
        <v>76</v>
      </c>
      <c r="N104" t="str">
        <f>Names!G104</f>
        <v>2882 Carlson Road</v>
      </c>
      <c r="O104" t="s">
        <v>76</v>
      </c>
      <c r="P104" t="str">
        <f>Names!H104</f>
        <v>Prince George</v>
      </c>
      <c r="Q104" t="str">
        <f>Names!I104</f>
        <v>BC</v>
      </c>
      <c r="R104" t="str">
        <f>Names!J104</f>
        <v>V2L 5E5</v>
      </c>
      <c r="S104" t="str">
        <f t="shared" si="3"/>
        <v>rg:{'id': '200102'}</v>
      </c>
      <c r="T104" t="s">
        <v>76</v>
      </c>
    </row>
    <row r="105" spans="1:20" x14ac:dyDescent="0.3">
      <c r="A105" t="s">
        <v>54</v>
      </c>
      <c r="B105" t="s">
        <v>7</v>
      </c>
      <c r="C105" t="s">
        <v>3440</v>
      </c>
      <c r="D105">
        <f t="shared" si="2"/>
        <v>200103</v>
      </c>
      <c r="E105" t="str">
        <f>Names!D105</f>
        <v>Anita</v>
      </c>
      <c r="F105" t="str">
        <f>Names!F105</f>
        <v>Fernandez</v>
      </c>
      <c r="G105" t="str">
        <f>Names!AA105</f>
        <v>The Original House of Pies</v>
      </c>
      <c r="H105" t="s">
        <v>7629</v>
      </c>
      <c r="I105" t="s">
        <v>76</v>
      </c>
      <c r="J105" t="str">
        <f>Names!M105</f>
        <v>AnitaDFernandez@cuvox.de</v>
      </c>
      <c r="K105" t="str">
        <f ca="1">IF(RANDBETWEEN(1,2) &gt; 1, "rg:None", Names!P105)</f>
        <v>250-783-6772</v>
      </c>
      <c r="L105" t="str">
        <f ca="1">IF(K105="rg:None",Names!P105,"rg:None")</f>
        <v>rg:None</v>
      </c>
      <c r="M105" t="s">
        <v>76</v>
      </c>
      <c r="N105" t="str">
        <f>Names!G105</f>
        <v>1593 102nd Avenue</v>
      </c>
      <c r="O105" t="s">
        <v>76</v>
      </c>
      <c r="P105" t="str">
        <f>Names!H105</f>
        <v>Fort St John</v>
      </c>
      <c r="Q105" t="str">
        <f>Names!I105</f>
        <v>BC</v>
      </c>
      <c r="R105" t="str">
        <f>Names!J105</f>
        <v>V1J 3Y7</v>
      </c>
      <c r="S105" t="str">
        <f t="shared" si="3"/>
        <v>rg:{'id': '200103'}</v>
      </c>
      <c r="T105" t="s">
        <v>76</v>
      </c>
    </row>
    <row r="106" spans="1:20" x14ac:dyDescent="0.3">
      <c r="A106" t="s">
        <v>54</v>
      </c>
      <c r="B106" t="s">
        <v>7</v>
      </c>
      <c r="C106" t="s">
        <v>4763</v>
      </c>
      <c r="D106">
        <f t="shared" si="2"/>
        <v>200104</v>
      </c>
      <c r="E106" t="str">
        <f>Names!D106</f>
        <v>Cory</v>
      </c>
      <c r="F106" t="str">
        <f>Names!F106</f>
        <v>Streeter</v>
      </c>
      <c r="G106" t="str">
        <f>Names!AA106</f>
        <v>J. Brannam</v>
      </c>
      <c r="H106" t="s">
        <v>7629</v>
      </c>
      <c r="I106" t="s">
        <v>76</v>
      </c>
      <c r="J106" t="str">
        <f>Names!M106</f>
        <v>CoryAStreeter@teleworm.us</v>
      </c>
      <c r="K106" t="str">
        <f ca="1">IF(RANDBETWEEN(1,2) &gt; 1, "rg:None", Names!P106)</f>
        <v>250-797-4938</v>
      </c>
      <c r="L106" t="str">
        <f ca="1">IF(K106="rg:None",Names!P106,"rg:None")</f>
        <v>rg:None</v>
      </c>
      <c r="M106" t="s">
        <v>76</v>
      </c>
      <c r="N106" t="str">
        <f>Names!G106</f>
        <v>4879 Roger Street</v>
      </c>
      <c r="O106" t="s">
        <v>76</v>
      </c>
      <c r="P106" t="str">
        <f>Names!H106</f>
        <v>Nanaimo</v>
      </c>
      <c r="Q106" t="str">
        <f>Names!I106</f>
        <v>BC</v>
      </c>
      <c r="R106" t="str">
        <f>Names!J106</f>
        <v>V9R 5H4</v>
      </c>
      <c r="S106" t="str">
        <f t="shared" si="3"/>
        <v>rg:{'id': '200104'}</v>
      </c>
      <c r="T106" t="s">
        <v>76</v>
      </c>
    </row>
    <row r="107" spans="1:20" x14ac:dyDescent="0.3">
      <c r="A107" t="s">
        <v>54</v>
      </c>
      <c r="B107" t="s">
        <v>5386</v>
      </c>
      <c r="C107" s="1" t="s">
        <v>6936</v>
      </c>
      <c r="D107">
        <f t="shared" si="2"/>
        <v>200105</v>
      </c>
      <c r="E107" t="str">
        <f>Names!D113</f>
        <v>Nicholas</v>
      </c>
      <c r="F107" t="str">
        <f>Names!F113</f>
        <v>Smith</v>
      </c>
      <c r="G107" t="str">
        <f>Names!AA113</f>
        <v>Weathervane</v>
      </c>
      <c r="H107" t="s">
        <v>7629</v>
      </c>
      <c r="I107" t="s">
        <v>76</v>
      </c>
      <c r="J107" t="str">
        <f>Names!M113</f>
        <v>NicholasMSmith@cuvox.de</v>
      </c>
      <c r="K107" t="str">
        <f ca="1">IF(RANDBETWEEN(1,2) &gt; 1, "rg:None", Names!P113)</f>
        <v>rg:None</v>
      </c>
      <c r="L107" t="str">
        <f ca="1">IF(K107="rg:None",Names!P113,"rg:None")</f>
        <v>604-660-3393</v>
      </c>
      <c r="M107" t="s">
        <v>76</v>
      </c>
      <c r="N107" t="str">
        <f>Names!G113</f>
        <v>4904 Robson St</v>
      </c>
      <c r="O107" t="s">
        <v>76</v>
      </c>
      <c r="P107" t="str">
        <f>Names!H113</f>
        <v>Vancouver</v>
      </c>
      <c r="Q107" t="str">
        <f>Names!I113</f>
        <v>BC</v>
      </c>
      <c r="R107" t="str">
        <f>Names!J113</f>
        <v>V6B 3K9</v>
      </c>
      <c r="S107" t="str">
        <f t="shared" si="3"/>
        <v>rg:None</v>
      </c>
      <c r="T107" t="s">
        <v>76</v>
      </c>
    </row>
    <row r="108" spans="1:20" x14ac:dyDescent="0.3">
      <c r="A108" t="s">
        <v>54</v>
      </c>
      <c r="B108" t="s">
        <v>5386</v>
      </c>
      <c r="C108" s="1" t="s">
        <v>6931</v>
      </c>
      <c r="D108">
        <f t="shared" si="2"/>
        <v>200106</v>
      </c>
      <c r="E108" t="str">
        <f>Names!D114</f>
        <v>William</v>
      </c>
      <c r="F108" t="str">
        <f>Names!F114</f>
        <v>Henthorn</v>
      </c>
      <c r="G108" t="str">
        <f>Names!AA114</f>
        <v>Price's Electronics</v>
      </c>
      <c r="H108" t="s">
        <v>7629</v>
      </c>
      <c r="I108" t="s">
        <v>76</v>
      </c>
      <c r="J108" t="str">
        <f>Names!M114</f>
        <v>WilliamJHenthorn@jourrapide.com</v>
      </c>
      <c r="K108" t="str">
        <f ca="1">IF(RANDBETWEEN(1,2) &gt; 1, "rg:None", Names!P114)</f>
        <v>250-898-1318</v>
      </c>
      <c r="L108" t="str">
        <f ca="1">IF(K108="rg:None",Names!P114,"rg:None")</f>
        <v>rg:None</v>
      </c>
      <c r="M108" t="s">
        <v>76</v>
      </c>
      <c r="N108" t="str">
        <f>Names!G114</f>
        <v>1654 Roger Street</v>
      </c>
      <c r="O108" t="s">
        <v>76</v>
      </c>
      <c r="P108" t="str">
        <f>Names!H114</f>
        <v>Courtenay</v>
      </c>
      <c r="Q108" t="str">
        <f>Names!I114</f>
        <v>BC</v>
      </c>
      <c r="R108" t="str">
        <f>Names!J114</f>
        <v>V9N 2J6</v>
      </c>
      <c r="S108" t="str">
        <f t="shared" si="3"/>
        <v>rg:None</v>
      </c>
      <c r="T108" t="s">
        <v>76</v>
      </c>
    </row>
    <row r="109" spans="1:20" x14ac:dyDescent="0.3">
      <c r="A109" t="s">
        <v>54</v>
      </c>
      <c r="B109" t="s">
        <v>5386</v>
      </c>
      <c r="C109" s="1" t="s">
        <v>6937</v>
      </c>
      <c r="D109">
        <f t="shared" si="2"/>
        <v>200107</v>
      </c>
      <c r="E109" t="str">
        <f>Names!D115</f>
        <v>Richard</v>
      </c>
      <c r="F109" t="str">
        <f>Names!F115</f>
        <v>Kline</v>
      </c>
      <c r="G109" t="str">
        <f>Names!AA115</f>
        <v>Alert Alarm Company</v>
      </c>
      <c r="H109" t="s">
        <v>7629</v>
      </c>
      <c r="I109" t="s">
        <v>76</v>
      </c>
      <c r="J109" t="str">
        <f>Names!M115</f>
        <v>RichardLKline@fleckens.hu</v>
      </c>
      <c r="K109" t="str">
        <f ca="1">IF(RANDBETWEEN(1,2) &gt; 1, "rg:None", Names!P115)</f>
        <v>rg:None</v>
      </c>
      <c r="L109" t="str">
        <f ca="1">IF(K109="rg:None",Names!P115,"rg:None")</f>
        <v>250-357-1332</v>
      </c>
      <c r="M109" t="s">
        <v>76</v>
      </c>
      <c r="N109" t="str">
        <f>Names!G115</f>
        <v>3618 Queens Bay</v>
      </c>
      <c r="O109" t="s">
        <v>76</v>
      </c>
      <c r="P109" t="str">
        <f>Names!H115</f>
        <v>Salmo</v>
      </c>
      <c r="Q109" t="str">
        <f>Names!I115</f>
        <v>BC</v>
      </c>
      <c r="R109" t="str">
        <f>Names!J115</f>
        <v>V0G 1Z0</v>
      </c>
      <c r="S109" t="str">
        <f t="shared" si="3"/>
        <v>rg:None</v>
      </c>
      <c r="T109" t="s">
        <v>76</v>
      </c>
    </row>
    <row r="110" spans="1:20" x14ac:dyDescent="0.3">
      <c r="A110" t="s">
        <v>54</v>
      </c>
      <c r="B110" t="s">
        <v>5386</v>
      </c>
      <c r="C110" s="1" t="s">
        <v>6938</v>
      </c>
      <c r="D110">
        <f t="shared" si="2"/>
        <v>200108</v>
      </c>
      <c r="E110" t="str">
        <f>Names!D116</f>
        <v>Emma</v>
      </c>
      <c r="F110" t="str">
        <f>Names!F116</f>
        <v>Baylor</v>
      </c>
      <c r="G110" t="str">
        <f>Names!AA116</f>
        <v>Strategy Consulting</v>
      </c>
      <c r="H110" t="s">
        <v>7629</v>
      </c>
      <c r="I110" t="s">
        <v>76</v>
      </c>
      <c r="J110" t="str">
        <f>Names!M116</f>
        <v>EmmaFBaylor@rhyta.com</v>
      </c>
      <c r="K110" t="str">
        <f ca="1">IF(RANDBETWEEN(1,2) &gt; 1, "rg:None", Names!P116)</f>
        <v>604-925-0310</v>
      </c>
      <c r="L110" t="str">
        <f ca="1">IF(K110="rg:None",Names!P116,"rg:None")</f>
        <v>rg:None</v>
      </c>
      <c r="M110" t="s">
        <v>76</v>
      </c>
      <c r="N110" t="str">
        <f>Names!G116</f>
        <v>4201 Jade St</v>
      </c>
      <c r="O110" t="s">
        <v>76</v>
      </c>
      <c r="P110" t="str">
        <f>Names!H116</f>
        <v>West Vancouver</v>
      </c>
      <c r="Q110" t="str">
        <f>Names!I116</f>
        <v>BC</v>
      </c>
      <c r="R110" t="str">
        <f>Names!J116</f>
        <v>V7V 1Y8</v>
      </c>
      <c r="S110" t="str">
        <f t="shared" si="3"/>
        <v>rg:None</v>
      </c>
      <c r="T110" t="s">
        <v>76</v>
      </c>
    </row>
    <row r="111" spans="1:20" x14ac:dyDescent="0.3">
      <c r="A111" t="s">
        <v>54</v>
      </c>
      <c r="B111" t="s">
        <v>5386</v>
      </c>
      <c r="C111" s="1" t="s">
        <v>6939</v>
      </c>
      <c r="D111">
        <f t="shared" si="2"/>
        <v>200109</v>
      </c>
      <c r="E111" t="str">
        <f>Names!D117</f>
        <v>Mary</v>
      </c>
      <c r="F111" t="str">
        <f>Names!F117</f>
        <v>Pointer</v>
      </c>
      <c r="G111" t="str">
        <f>Names!AA117</f>
        <v>Accord Investments</v>
      </c>
      <c r="H111" t="s">
        <v>7629</v>
      </c>
      <c r="I111" t="s">
        <v>76</v>
      </c>
      <c r="J111" t="str">
        <f>Names!M117</f>
        <v>MaryJPointer@cuvox.de</v>
      </c>
      <c r="K111" t="str">
        <f ca="1">IF(RANDBETWEEN(1,2) &gt; 1, "rg:None", Names!P117)</f>
        <v>rg:None</v>
      </c>
      <c r="L111" t="str">
        <f ca="1">IF(K111="rg:None",Names!P117,"rg:None")</f>
        <v>250-969-0438</v>
      </c>
      <c r="M111" t="s">
        <v>76</v>
      </c>
      <c r="N111" t="str">
        <f>Names!G117</f>
        <v>3418 Brew Creek Rd</v>
      </c>
      <c r="O111" t="s">
        <v>76</v>
      </c>
      <c r="P111" t="str">
        <f>Names!H117</f>
        <v>Port Hardy</v>
      </c>
      <c r="Q111" t="str">
        <f>Names!I117</f>
        <v>BC</v>
      </c>
      <c r="R111" t="str">
        <f>Names!J117</f>
        <v>V0N 2P0</v>
      </c>
      <c r="S111" t="str">
        <f t="shared" si="3"/>
        <v>rg:None</v>
      </c>
      <c r="T111" t="s">
        <v>76</v>
      </c>
    </row>
    <row r="112" spans="1:20" x14ac:dyDescent="0.3">
      <c r="A112" t="s">
        <v>54</v>
      </c>
      <c r="B112" t="s">
        <v>5386</v>
      </c>
      <c r="C112" s="1" t="s">
        <v>6940</v>
      </c>
      <c r="D112">
        <f t="shared" si="2"/>
        <v>200110</v>
      </c>
      <c r="E112" t="str">
        <f>Names!D118</f>
        <v>Robert</v>
      </c>
      <c r="F112" t="str">
        <f>Names!F118</f>
        <v>Anderson</v>
      </c>
      <c r="G112" t="str">
        <f>Names!AA118</f>
        <v>Suadela Investment</v>
      </c>
      <c r="H112" t="s">
        <v>7629</v>
      </c>
      <c r="I112" t="s">
        <v>76</v>
      </c>
      <c r="J112" t="str">
        <f>Names!M118</f>
        <v>RobertPAnderson@jourrapide.com</v>
      </c>
      <c r="K112" t="str">
        <f ca="1">IF(RANDBETWEEN(1,2) &gt; 1, "rg:None", Names!P118)</f>
        <v>250-792-3179</v>
      </c>
      <c r="L112" t="str">
        <f ca="1">IF(K112="rg:None",Names!P118,"rg:None")</f>
        <v>rg:None</v>
      </c>
      <c r="M112" t="s">
        <v>76</v>
      </c>
      <c r="N112" t="str">
        <f>Names!G118</f>
        <v>104 Roger Street</v>
      </c>
      <c r="O112" t="s">
        <v>76</v>
      </c>
      <c r="P112" t="str">
        <f>Names!H118</f>
        <v>Comox</v>
      </c>
      <c r="Q112" t="str">
        <f>Names!I118</f>
        <v>BC</v>
      </c>
      <c r="R112" t="str">
        <f>Names!J118</f>
        <v>V9N 6A1</v>
      </c>
      <c r="S112" t="str">
        <f t="shared" si="3"/>
        <v>rg:None</v>
      </c>
      <c r="T112" t="s">
        <v>76</v>
      </c>
    </row>
    <row r="113" spans="1:20" x14ac:dyDescent="0.3">
      <c r="A113" t="s">
        <v>54</v>
      </c>
      <c r="B113" t="s">
        <v>5386</v>
      </c>
      <c r="C113" s="1" t="s">
        <v>6941</v>
      </c>
      <c r="D113">
        <f t="shared" si="2"/>
        <v>200111</v>
      </c>
      <c r="E113" t="str">
        <f>Names!D119</f>
        <v>Ralph</v>
      </c>
      <c r="F113" t="str">
        <f>Names!F119</f>
        <v>Smith</v>
      </c>
      <c r="G113" t="str">
        <f>Names!AA119</f>
        <v>Hughes Markets</v>
      </c>
      <c r="H113" t="s">
        <v>7629</v>
      </c>
      <c r="I113" t="s">
        <v>76</v>
      </c>
      <c r="J113" t="str">
        <f>Names!M119</f>
        <v>RalphJSmith@rhyta.com</v>
      </c>
      <c r="K113" t="str">
        <f ca="1">IF(RANDBETWEEN(1,2) &gt; 1, "rg:None", Names!P119)</f>
        <v>604-617-9493</v>
      </c>
      <c r="L113" t="str">
        <f ca="1">IF(K113="rg:None",Names!P119,"rg:None")</f>
        <v>rg:None</v>
      </c>
      <c r="M113" t="s">
        <v>76</v>
      </c>
      <c r="N113" t="str">
        <f>Names!G119</f>
        <v>4436 Quayside Dr</v>
      </c>
      <c r="O113" t="s">
        <v>76</v>
      </c>
      <c r="P113" t="str">
        <f>Names!H119</f>
        <v>New Westminster</v>
      </c>
      <c r="Q113" t="str">
        <f>Names!I119</f>
        <v>BC</v>
      </c>
      <c r="R113" t="str">
        <f>Names!J119</f>
        <v>V3M 6A1</v>
      </c>
      <c r="S113" t="str">
        <f t="shared" si="3"/>
        <v>rg:None</v>
      </c>
      <c r="T113" t="s">
        <v>76</v>
      </c>
    </row>
    <row r="114" spans="1:20" x14ac:dyDescent="0.3">
      <c r="A114" t="s">
        <v>54</v>
      </c>
      <c r="B114" t="s">
        <v>5386</v>
      </c>
      <c r="C114" s="1" t="s">
        <v>6920</v>
      </c>
      <c r="D114">
        <f t="shared" si="2"/>
        <v>200112</v>
      </c>
      <c r="E114" t="str">
        <f>Names!D120</f>
        <v>Renaldo</v>
      </c>
      <c r="F114" t="str">
        <f>Names!F120</f>
        <v>Gerber</v>
      </c>
      <c r="G114" t="str">
        <f>Names!AA120</f>
        <v>Child World</v>
      </c>
      <c r="H114" t="s">
        <v>7629</v>
      </c>
      <c r="I114" t="s">
        <v>76</v>
      </c>
      <c r="J114" t="str">
        <f>Names!M120</f>
        <v>RenaldoAGerber@superrito.com</v>
      </c>
      <c r="K114" t="str">
        <f ca="1">IF(RANDBETWEEN(1,2) &gt; 1, "rg:None", Names!P120)</f>
        <v>rg:None</v>
      </c>
      <c r="L114" t="str">
        <f ca="1">IF(K114="rg:None",Names!P120,"rg:None")</f>
        <v>250-779-3169</v>
      </c>
      <c r="M114" t="s">
        <v>76</v>
      </c>
      <c r="N114" t="str">
        <f>Names!G120</f>
        <v>959 Haaglund Rd</v>
      </c>
      <c r="O114" t="s">
        <v>76</v>
      </c>
      <c r="P114" t="str">
        <f>Names!H120</f>
        <v>Lower Post</v>
      </c>
      <c r="Q114" t="str">
        <f>Names!I120</f>
        <v>BC</v>
      </c>
      <c r="R114" t="str">
        <f>Names!J120</f>
        <v>V0H 0H0</v>
      </c>
      <c r="S114" t="str">
        <f t="shared" si="3"/>
        <v>rg:None</v>
      </c>
      <c r="T114" t="s">
        <v>76</v>
      </c>
    </row>
    <row r="115" spans="1:20" x14ac:dyDescent="0.3">
      <c r="A115" t="s">
        <v>54</v>
      </c>
      <c r="B115" t="s">
        <v>5386</v>
      </c>
      <c r="C115" s="1" t="s">
        <v>6942</v>
      </c>
      <c r="D115">
        <f t="shared" si="2"/>
        <v>200113</v>
      </c>
      <c r="E115" t="str">
        <f>Names!D121</f>
        <v>Billy</v>
      </c>
      <c r="F115" t="str">
        <f>Names!F121</f>
        <v>Jones</v>
      </c>
      <c r="G115" t="str">
        <f>Names!AA121</f>
        <v>KB Toys</v>
      </c>
      <c r="H115" t="s">
        <v>7629</v>
      </c>
      <c r="I115" t="s">
        <v>76</v>
      </c>
      <c r="J115" t="str">
        <f>Names!M121</f>
        <v>BillyKJones@rhyta.com</v>
      </c>
      <c r="K115" t="str">
        <f ca="1">IF(RANDBETWEEN(1,2) &gt; 1, "rg:None", Names!P121)</f>
        <v>250-691-3814</v>
      </c>
      <c r="L115" t="str">
        <f ca="1">IF(K115="rg:None",Names!P121,"rg:None")</f>
        <v>rg:None</v>
      </c>
      <c r="M115" t="s">
        <v>76</v>
      </c>
      <c r="N115" t="str">
        <f>Names!G121</f>
        <v>900 Tchesinkut Lake Rd</v>
      </c>
      <c r="O115" t="s">
        <v>76</v>
      </c>
      <c r="P115" t="str">
        <f>Names!H121</f>
        <v>Burns Lake</v>
      </c>
      <c r="Q115" t="str">
        <f>Names!I121</f>
        <v>BC</v>
      </c>
      <c r="R115" t="str">
        <f>Names!J121</f>
        <v>V0J 1E0</v>
      </c>
      <c r="S115" t="str">
        <f t="shared" si="3"/>
        <v>rg:None</v>
      </c>
      <c r="T115" t="s">
        <v>76</v>
      </c>
    </row>
    <row r="116" spans="1:20" x14ac:dyDescent="0.3">
      <c r="A116" t="s">
        <v>54</v>
      </c>
      <c r="B116" t="s">
        <v>5386</v>
      </c>
      <c r="C116" s="1" t="s">
        <v>6898</v>
      </c>
      <c r="D116">
        <f t="shared" si="2"/>
        <v>200114</v>
      </c>
      <c r="E116" t="str">
        <f>Names!D122</f>
        <v>Charles</v>
      </c>
      <c r="F116" t="str">
        <f>Names!F122</f>
        <v>Garcia</v>
      </c>
      <c r="G116" t="str">
        <f>Names!AA122</f>
        <v>Integra Design</v>
      </c>
      <c r="H116" t="s">
        <v>7629</v>
      </c>
      <c r="I116" t="s">
        <v>76</v>
      </c>
      <c r="J116" t="str">
        <f>Names!M122</f>
        <v>CharlesNGarcia@fleckens.hu</v>
      </c>
      <c r="K116" t="str">
        <f ca="1">IF(RANDBETWEEN(1,2) &gt; 1, "rg:None", Names!P122)</f>
        <v>rg:None</v>
      </c>
      <c r="L116" t="str">
        <f ca="1">IF(K116="rg:None",Names!P122,"rg:None")</f>
        <v>250-746-0545</v>
      </c>
      <c r="M116" t="s">
        <v>76</v>
      </c>
      <c r="N116" t="str">
        <f>Names!G122</f>
        <v>684 Roger Street</v>
      </c>
      <c r="O116" t="s">
        <v>76</v>
      </c>
      <c r="P116" t="str">
        <f>Names!H122</f>
        <v>Duncan</v>
      </c>
      <c r="Q116" t="str">
        <f>Names!I122</f>
        <v>BC</v>
      </c>
      <c r="R116" t="str">
        <f>Names!J122</f>
        <v>V9L 1P1</v>
      </c>
      <c r="S116" t="str">
        <f t="shared" si="3"/>
        <v>rg:None</v>
      </c>
      <c r="T116" t="s">
        <v>76</v>
      </c>
    </row>
    <row r="117" spans="1:20" x14ac:dyDescent="0.3">
      <c r="A117" t="s">
        <v>54</v>
      </c>
      <c r="B117" t="s">
        <v>5386</v>
      </c>
      <c r="C117" s="1" t="s">
        <v>6943</v>
      </c>
      <c r="D117">
        <f t="shared" si="2"/>
        <v>200115</v>
      </c>
      <c r="E117" t="str">
        <f>Names!D123</f>
        <v>Wayne</v>
      </c>
      <c r="F117" t="str">
        <f>Names!F123</f>
        <v>Anderson</v>
      </c>
      <c r="G117" t="str">
        <f>Names!AA123</f>
        <v>Kenny Rogers Roasters</v>
      </c>
      <c r="H117" t="s">
        <v>7629</v>
      </c>
      <c r="I117" t="s">
        <v>76</v>
      </c>
      <c r="J117" t="str">
        <f>Names!M123</f>
        <v>WayneKAnderson@rhyta.com</v>
      </c>
      <c r="K117" t="str">
        <f ca="1">IF(RANDBETWEEN(1,2) &gt; 1, "rg:None", Names!P123)</f>
        <v>604-939-0629</v>
      </c>
      <c r="L117" t="str">
        <f ca="1">IF(K117="rg:None",Names!P123,"rg:None")</f>
        <v>rg:None</v>
      </c>
      <c r="M117" t="s">
        <v>76</v>
      </c>
      <c r="N117" t="str">
        <f>Names!G123</f>
        <v>2558 Glover Road</v>
      </c>
      <c r="O117" t="s">
        <v>76</v>
      </c>
      <c r="P117" t="str">
        <f>Names!H123</f>
        <v>Coquitlam</v>
      </c>
      <c r="Q117" t="str">
        <f>Names!I123</f>
        <v>BC</v>
      </c>
      <c r="R117" t="str">
        <f>Names!J123</f>
        <v>V3J 4S1</v>
      </c>
      <c r="S117" t="str">
        <f t="shared" si="3"/>
        <v>rg:None</v>
      </c>
      <c r="T117" t="s">
        <v>76</v>
      </c>
    </row>
    <row r="118" spans="1:20" x14ac:dyDescent="0.3">
      <c r="A118" t="s">
        <v>54</v>
      </c>
      <c r="B118" t="s">
        <v>5386</v>
      </c>
      <c r="C118" s="1" t="s">
        <v>6944</v>
      </c>
      <c r="D118">
        <f t="shared" si="2"/>
        <v>200116</v>
      </c>
      <c r="E118" t="str">
        <f>Names!D124</f>
        <v>Peter</v>
      </c>
      <c r="F118" t="str">
        <f>Names!F124</f>
        <v>Miner</v>
      </c>
      <c r="G118" t="str">
        <f>Names!AA124</f>
        <v>Integra Design</v>
      </c>
      <c r="H118" t="s">
        <v>7629</v>
      </c>
      <c r="I118" t="s">
        <v>76</v>
      </c>
      <c r="J118" t="str">
        <f>Names!M124</f>
        <v>PeterUMiner@dayrep.com</v>
      </c>
      <c r="K118" t="str">
        <f ca="1">IF(RANDBETWEEN(1,2) &gt; 1, "rg:None", Names!P124)</f>
        <v>250-620-1802</v>
      </c>
      <c r="L118" t="str">
        <f ca="1">IF(K118="rg:None",Names!P124,"rg:None")</f>
        <v>rg:None</v>
      </c>
      <c r="M118" t="s">
        <v>76</v>
      </c>
      <c r="N118" t="str">
        <f>Names!G124</f>
        <v>1231 Stum Lake Road</v>
      </c>
      <c r="O118" t="s">
        <v>76</v>
      </c>
      <c r="P118" t="str">
        <f>Names!H124</f>
        <v>Horsefly</v>
      </c>
      <c r="Q118" t="str">
        <f>Names!I124</f>
        <v>BC</v>
      </c>
      <c r="R118" t="str">
        <f>Names!J124</f>
        <v>V0L 1L0</v>
      </c>
      <c r="S118" t="str">
        <f t="shared" si="3"/>
        <v>rg:None</v>
      </c>
      <c r="T118" t="s">
        <v>76</v>
      </c>
    </row>
    <row r="119" spans="1:20" x14ac:dyDescent="0.3">
      <c r="A119" t="s">
        <v>54</v>
      </c>
      <c r="B119" t="s">
        <v>5386</v>
      </c>
      <c r="C119" s="1" t="s">
        <v>6945</v>
      </c>
      <c r="D119">
        <f t="shared" si="2"/>
        <v>200117</v>
      </c>
      <c r="E119" t="str">
        <f>Names!D125</f>
        <v>Frances</v>
      </c>
      <c r="F119" t="str">
        <f>Names!F125</f>
        <v>Williams</v>
      </c>
      <c r="G119" t="str">
        <f>Names!AA125</f>
        <v>Thorofare</v>
      </c>
      <c r="H119" t="s">
        <v>7629</v>
      </c>
      <c r="I119" t="s">
        <v>76</v>
      </c>
      <c r="J119" t="str">
        <f>Names!M125</f>
        <v>FrancesMWilliams@teleworm.us</v>
      </c>
      <c r="K119" t="str">
        <f ca="1">IF(RANDBETWEEN(1,2) &gt; 1, "rg:None", Names!P125)</f>
        <v>250-365-2113</v>
      </c>
      <c r="L119" t="str">
        <f ca="1">IF(K119="rg:None",Names!P125,"rg:None")</f>
        <v>rg:None</v>
      </c>
      <c r="M119" t="s">
        <v>76</v>
      </c>
      <c r="N119" t="str">
        <f>Names!G125</f>
        <v>4834 Queens Bay</v>
      </c>
      <c r="O119" t="s">
        <v>76</v>
      </c>
      <c r="P119" t="str">
        <f>Names!H125</f>
        <v>Castlegar</v>
      </c>
      <c r="Q119" t="str">
        <f>Names!I125</f>
        <v>BC</v>
      </c>
      <c r="R119" t="str">
        <f>Names!J125</f>
        <v>V0G 2G0</v>
      </c>
      <c r="S119" t="str">
        <f t="shared" si="3"/>
        <v>rg:None</v>
      </c>
      <c r="T119" t="s">
        <v>76</v>
      </c>
    </row>
    <row r="120" spans="1:20" x14ac:dyDescent="0.3">
      <c r="A120" t="s">
        <v>54</v>
      </c>
      <c r="B120" t="s">
        <v>5386</v>
      </c>
      <c r="C120" s="1" t="s">
        <v>6946</v>
      </c>
      <c r="D120">
        <f t="shared" si="2"/>
        <v>200118</v>
      </c>
      <c r="E120" t="str">
        <f>Names!D126</f>
        <v>Steve</v>
      </c>
      <c r="F120" t="str">
        <f>Names!F126</f>
        <v>Brantley</v>
      </c>
      <c r="G120" t="str">
        <f>Names!AA126</f>
        <v>The Original House of Pies</v>
      </c>
      <c r="H120" t="s">
        <v>7629</v>
      </c>
      <c r="I120" t="s">
        <v>76</v>
      </c>
      <c r="J120" t="str">
        <f>Names!M126</f>
        <v>SteveLBrantley@gustr.com</v>
      </c>
      <c r="K120" t="str">
        <f ca="1">IF(RANDBETWEEN(1,2) &gt; 1, "rg:None", Names!P126)</f>
        <v>604-949-6562</v>
      </c>
      <c r="L120" t="str">
        <f ca="1">IF(K120="rg:None",Names!P126,"rg:None")</f>
        <v>rg:None</v>
      </c>
      <c r="M120" t="s">
        <v>76</v>
      </c>
      <c r="N120" t="str">
        <f>Names!G126</f>
        <v>101 Shaughnessy St</v>
      </c>
      <c r="O120" t="s">
        <v>76</v>
      </c>
      <c r="P120" t="str">
        <f>Names!H126</f>
        <v>Port Coquitlam</v>
      </c>
      <c r="Q120" t="str">
        <f>Names!I126</f>
        <v>BC</v>
      </c>
      <c r="R120" t="str">
        <f>Names!J126</f>
        <v>V3C 4S7</v>
      </c>
      <c r="S120" t="str">
        <f t="shared" si="3"/>
        <v>rg:None</v>
      </c>
      <c r="T120" t="s">
        <v>76</v>
      </c>
    </row>
    <row r="121" spans="1:20" x14ac:dyDescent="0.3">
      <c r="A121" t="s">
        <v>54</v>
      </c>
      <c r="B121" t="s">
        <v>5386</v>
      </c>
      <c r="C121" s="1" t="s">
        <v>6933</v>
      </c>
      <c r="D121">
        <f t="shared" si="2"/>
        <v>200119</v>
      </c>
      <c r="E121" t="str">
        <f>Names!D127</f>
        <v>Jimmy</v>
      </c>
      <c r="F121" t="str">
        <f>Names!F127</f>
        <v>Innocent</v>
      </c>
      <c r="G121" t="str">
        <f>Names!AA127</f>
        <v>Modern Architecture Design</v>
      </c>
      <c r="H121" t="s">
        <v>7629</v>
      </c>
      <c r="I121" t="s">
        <v>76</v>
      </c>
      <c r="J121" t="str">
        <f>Names!M127</f>
        <v>JimmyJInnocent@rhyta.com</v>
      </c>
      <c r="K121" t="str">
        <f ca="1">IF(RANDBETWEEN(1,2) &gt; 1, "rg:None", Names!P127)</f>
        <v>250-588-8563</v>
      </c>
      <c r="L121" t="str">
        <f ca="1">IF(K121="rg:None",Names!P127,"rg:None")</f>
        <v>rg:None</v>
      </c>
      <c r="M121" t="s">
        <v>76</v>
      </c>
      <c r="N121" t="str">
        <f>Names!G127</f>
        <v>332 Burdett Avenue</v>
      </c>
      <c r="O121" t="s">
        <v>76</v>
      </c>
      <c r="P121" t="str">
        <f>Names!H127</f>
        <v>Victoria</v>
      </c>
      <c r="Q121" t="str">
        <f>Names!I127</f>
        <v>BC</v>
      </c>
      <c r="R121" t="str">
        <f>Names!J127</f>
        <v>V8W 1B2</v>
      </c>
      <c r="S121" t="str">
        <f t="shared" si="3"/>
        <v>rg:None</v>
      </c>
      <c r="T121" t="s">
        <v>76</v>
      </c>
    </row>
    <row r="122" spans="1:20" x14ac:dyDescent="0.3">
      <c r="A122" t="s">
        <v>54</v>
      </c>
      <c r="B122" t="s">
        <v>5386</v>
      </c>
      <c r="C122" s="1" t="s">
        <v>6947</v>
      </c>
      <c r="D122">
        <f t="shared" si="2"/>
        <v>200120</v>
      </c>
      <c r="E122" t="str">
        <f>Names!D128</f>
        <v>Travis</v>
      </c>
      <c r="F122" t="str">
        <f>Names!F128</f>
        <v>Jackson</v>
      </c>
      <c r="G122" t="str">
        <f>Names!AA128</f>
        <v>Mr. Clark's Appliances</v>
      </c>
      <c r="H122" t="s">
        <v>7629</v>
      </c>
      <c r="I122" t="s">
        <v>76</v>
      </c>
      <c r="J122" t="str">
        <f>Names!M128</f>
        <v>TravisSJackson@rhyta.com</v>
      </c>
      <c r="K122" t="str">
        <f ca="1">IF(RANDBETWEEN(1,2) &gt; 1, "rg:None", Names!P128)</f>
        <v>rg:None</v>
      </c>
      <c r="L122" t="str">
        <f ca="1">IF(K122="rg:None",Names!P128,"rg:None")</f>
        <v>604-472-0286</v>
      </c>
      <c r="M122" t="s">
        <v>76</v>
      </c>
      <c r="N122" t="str">
        <f>Names!G128</f>
        <v>1115 Shaughnessy St</v>
      </c>
      <c r="O122" t="s">
        <v>76</v>
      </c>
      <c r="P122" t="str">
        <f>Names!H128</f>
        <v>Port Coquitlam</v>
      </c>
      <c r="Q122" t="str">
        <f>Names!I128</f>
        <v>BC</v>
      </c>
      <c r="R122" t="str">
        <f>Names!J128</f>
        <v>V3C 4S7</v>
      </c>
      <c r="S122" t="str">
        <f t="shared" si="3"/>
        <v>rg:None</v>
      </c>
      <c r="T122" t="s">
        <v>76</v>
      </c>
    </row>
    <row r="123" spans="1:20" x14ac:dyDescent="0.3">
      <c r="A123" t="s">
        <v>54</v>
      </c>
      <c r="B123" t="s">
        <v>5386</v>
      </c>
      <c r="C123" s="1" t="s">
        <v>6916</v>
      </c>
      <c r="D123">
        <f t="shared" si="2"/>
        <v>200121</v>
      </c>
      <c r="E123" t="str">
        <f>Names!D129</f>
        <v>Sue</v>
      </c>
      <c r="F123" t="str">
        <f>Names!F129</f>
        <v>Shores</v>
      </c>
      <c r="G123" t="str">
        <f>Names!AA129</f>
        <v>World of Fun</v>
      </c>
      <c r="H123" t="s">
        <v>7629</v>
      </c>
      <c r="I123" t="s">
        <v>76</v>
      </c>
      <c r="J123" t="str">
        <f>Names!M129</f>
        <v>SueDShores@teleworm.us</v>
      </c>
      <c r="K123" t="str">
        <f ca="1">IF(RANDBETWEEN(1,2) &gt; 1, "rg:None", Names!P129)</f>
        <v>604-961-2980</v>
      </c>
      <c r="L123" t="str">
        <f ca="1">IF(K123="rg:None",Names!P129,"rg:None")</f>
        <v>rg:None</v>
      </c>
      <c r="M123" t="s">
        <v>76</v>
      </c>
      <c r="N123" t="str">
        <f>Names!G129</f>
        <v>3600 Cordova Street</v>
      </c>
      <c r="O123" t="s">
        <v>76</v>
      </c>
      <c r="P123" t="str">
        <f>Names!H129</f>
        <v>Vancouver</v>
      </c>
      <c r="Q123" t="str">
        <f>Names!I129</f>
        <v>BC</v>
      </c>
      <c r="R123" t="str">
        <f>Names!J129</f>
        <v>V6B 1E1</v>
      </c>
      <c r="S123" t="str">
        <f t="shared" si="3"/>
        <v>rg:None</v>
      </c>
      <c r="T123" t="s">
        <v>76</v>
      </c>
    </row>
    <row r="124" spans="1:20" x14ac:dyDescent="0.3">
      <c r="A124" t="s">
        <v>54</v>
      </c>
      <c r="B124" t="s">
        <v>5386</v>
      </c>
      <c r="C124" s="1" t="s">
        <v>6948</v>
      </c>
      <c r="D124">
        <f t="shared" si="2"/>
        <v>200122</v>
      </c>
      <c r="E124" t="str">
        <f>Names!D130</f>
        <v>Robert</v>
      </c>
      <c r="F124" t="str">
        <f>Names!F130</f>
        <v>Goodson</v>
      </c>
      <c r="G124" t="str">
        <f>Names!AA130</f>
        <v>Franklin Simon</v>
      </c>
      <c r="H124" t="s">
        <v>7629</v>
      </c>
      <c r="I124" t="s">
        <v>76</v>
      </c>
      <c r="J124" t="str">
        <f>Names!M130</f>
        <v>RobertDGoodson@superrito.com</v>
      </c>
      <c r="K124" t="str">
        <f ca="1">IF(RANDBETWEEN(1,2) &gt; 1, "rg:None", Names!P130)</f>
        <v>rg:None</v>
      </c>
      <c r="L124" t="str">
        <f ca="1">IF(K124="rg:None",Names!P130,"rg:None")</f>
        <v>250-458-2169</v>
      </c>
      <c r="M124" t="s">
        <v>76</v>
      </c>
      <c r="N124" t="str">
        <f>Names!G130</f>
        <v>3758 Mesa Vista Drive</v>
      </c>
      <c r="O124" t="s">
        <v>76</v>
      </c>
      <c r="P124" t="str">
        <f>Names!H130</f>
        <v>Spences Bridge</v>
      </c>
      <c r="Q124" t="str">
        <f>Names!I130</f>
        <v>BC</v>
      </c>
      <c r="R124" t="str">
        <f>Names!J130</f>
        <v>V0K 2L0</v>
      </c>
      <c r="S124" t="str">
        <f t="shared" si="3"/>
        <v>rg:None</v>
      </c>
      <c r="T124" t="s">
        <v>76</v>
      </c>
    </row>
    <row r="125" spans="1:20" x14ac:dyDescent="0.3">
      <c r="A125" t="s">
        <v>54</v>
      </c>
      <c r="B125" t="s">
        <v>5386</v>
      </c>
      <c r="C125" s="1" t="s">
        <v>6893</v>
      </c>
      <c r="D125">
        <f t="shared" si="2"/>
        <v>200123</v>
      </c>
      <c r="E125" t="str">
        <f>Names!D131</f>
        <v>Elaine</v>
      </c>
      <c r="F125" t="str">
        <f>Names!F131</f>
        <v>Stewart</v>
      </c>
      <c r="G125" t="str">
        <f>Names!AA131</f>
        <v>Parade of Shoes</v>
      </c>
      <c r="H125" t="s">
        <v>7629</v>
      </c>
      <c r="I125" t="s">
        <v>76</v>
      </c>
      <c r="J125" t="str">
        <f>Names!M131</f>
        <v>ElaineLStewart@einrot.com</v>
      </c>
      <c r="K125" t="str">
        <f ca="1">IF(RANDBETWEEN(1,2) &gt; 1, "rg:None", Names!P131)</f>
        <v>rg:None</v>
      </c>
      <c r="L125" t="str">
        <f ca="1">IF(K125="rg:None",Names!P131,"rg:None")</f>
        <v>250-385-2736</v>
      </c>
      <c r="M125" t="s">
        <v>76</v>
      </c>
      <c r="N125" t="str">
        <f>Names!G131</f>
        <v>1059 Blanshard</v>
      </c>
      <c r="O125" t="s">
        <v>76</v>
      </c>
      <c r="P125" t="str">
        <f>Names!H131</f>
        <v>Victoria</v>
      </c>
      <c r="Q125" t="str">
        <f>Names!I131</f>
        <v>BC</v>
      </c>
      <c r="R125" t="str">
        <f>Names!J131</f>
        <v>V8W 2H9</v>
      </c>
      <c r="S125" t="str">
        <f t="shared" si="3"/>
        <v>rg:None</v>
      </c>
      <c r="T125" t="s">
        <v>76</v>
      </c>
    </row>
    <row r="126" spans="1:20" x14ac:dyDescent="0.3">
      <c r="A126" t="s">
        <v>54</v>
      </c>
      <c r="B126" t="s">
        <v>5386</v>
      </c>
      <c r="C126" s="1" t="s">
        <v>6949</v>
      </c>
      <c r="D126">
        <f t="shared" si="2"/>
        <v>200124</v>
      </c>
      <c r="E126" t="str">
        <f>Names!D132</f>
        <v>Richard</v>
      </c>
      <c r="F126" t="str">
        <f>Names!F132</f>
        <v>Forrester</v>
      </c>
      <c r="G126" t="str">
        <f>Names!AA132</f>
        <v>Balanced Fortune</v>
      </c>
      <c r="H126" t="s">
        <v>7629</v>
      </c>
      <c r="I126" t="s">
        <v>76</v>
      </c>
      <c r="J126" t="str">
        <f>Names!M132</f>
        <v>RichardLForrester@jourrapide.com</v>
      </c>
      <c r="K126" t="str">
        <f ca="1">IF(RANDBETWEEN(1,2) &gt; 1, "rg:None", Names!P132)</f>
        <v>250-751-4611</v>
      </c>
      <c r="L126" t="str">
        <f ca="1">IF(K126="rg:None",Names!P132,"rg:None")</f>
        <v>rg:None</v>
      </c>
      <c r="M126" t="s">
        <v>76</v>
      </c>
      <c r="N126" t="str">
        <f>Names!G132</f>
        <v>4600 Roger Street</v>
      </c>
      <c r="O126" t="s">
        <v>76</v>
      </c>
      <c r="P126" t="str">
        <f>Names!H132</f>
        <v>Nanaimo</v>
      </c>
      <c r="Q126" t="str">
        <f>Names!I132</f>
        <v>BC</v>
      </c>
      <c r="R126" t="str">
        <f>Names!J132</f>
        <v>V9R 5H9</v>
      </c>
      <c r="S126" t="str">
        <f t="shared" si="3"/>
        <v>rg:None</v>
      </c>
      <c r="T126" t="s">
        <v>76</v>
      </c>
    </row>
    <row r="127" spans="1:20" x14ac:dyDescent="0.3">
      <c r="A127" t="s">
        <v>54</v>
      </c>
      <c r="B127" t="s">
        <v>5386</v>
      </c>
      <c r="C127" s="1" t="s">
        <v>6900</v>
      </c>
      <c r="D127">
        <f t="shared" si="2"/>
        <v>200125</v>
      </c>
      <c r="E127" t="str">
        <f>Names!D133</f>
        <v>Michael</v>
      </c>
      <c r="F127" t="str">
        <f>Names!F133</f>
        <v>White</v>
      </c>
      <c r="G127" t="str">
        <f>Names!AA133</f>
        <v>Omni Source</v>
      </c>
      <c r="H127" t="s">
        <v>7629</v>
      </c>
      <c r="I127" t="s">
        <v>76</v>
      </c>
      <c r="J127" t="str">
        <f>Names!M133</f>
        <v>MichaelSWhite@fleckens.hu</v>
      </c>
      <c r="K127" t="str">
        <f ca="1">IF(RANDBETWEEN(1,2) &gt; 1, "rg:None", Names!P133)</f>
        <v>604-417-6963</v>
      </c>
      <c r="L127" t="str">
        <f ca="1">IF(K127="rg:None",Names!P133,"rg:None")</f>
        <v>rg:None</v>
      </c>
      <c r="M127" t="s">
        <v>76</v>
      </c>
      <c r="N127" t="str">
        <f>Names!G133</f>
        <v>232 Cordova Street</v>
      </c>
      <c r="O127" t="s">
        <v>76</v>
      </c>
      <c r="P127" t="str">
        <f>Names!H133</f>
        <v>Vancouver</v>
      </c>
      <c r="Q127" t="str">
        <f>Names!I133</f>
        <v>BC</v>
      </c>
      <c r="R127" t="str">
        <f>Names!J133</f>
        <v>V6B 1E1</v>
      </c>
      <c r="S127" t="str">
        <f t="shared" si="3"/>
        <v>rg:None</v>
      </c>
      <c r="T127" t="s">
        <v>76</v>
      </c>
    </row>
    <row r="128" spans="1:20" x14ac:dyDescent="0.3">
      <c r="A128" t="s">
        <v>54</v>
      </c>
      <c r="B128" t="s">
        <v>5386</v>
      </c>
      <c r="C128" s="1" t="s">
        <v>6950</v>
      </c>
      <c r="D128">
        <f t="shared" si="2"/>
        <v>200126</v>
      </c>
      <c r="E128" t="str">
        <f>Names!D134</f>
        <v>Robert</v>
      </c>
      <c r="F128" t="str">
        <f>Names!F134</f>
        <v>Millard</v>
      </c>
      <c r="G128" t="str">
        <f>Names!AA134</f>
        <v>E.J. Korvette</v>
      </c>
      <c r="H128" t="s">
        <v>7629</v>
      </c>
      <c r="I128" t="s">
        <v>76</v>
      </c>
      <c r="J128" t="str">
        <f>Names!M134</f>
        <v>RobertVMillard@fleckens.hu</v>
      </c>
      <c r="K128" t="str">
        <f ca="1">IF(RANDBETWEEN(1,2) &gt; 1, "rg:None", Names!P134)</f>
        <v>rg:None</v>
      </c>
      <c r="L128" t="str">
        <f ca="1">IF(K128="rg:None",Names!P134,"rg:None")</f>
        <v>250-434-0217</v>
      </c>
      <c r="M128" t="s">
        <v>76</v>
      </c>
      <c r="N128" t="str">
        <f>Names!G134</f>
        <v>2487 Kinchant St</v>
      </c>
      <c r="O128" t="s">
        <v>76</v>
      </c>
      <c r="P128" t="str">
        <f>Names!H134</f>
        <v>Kamloops</v>
      </c>
      <c r="Q128" t="str">
        <f>Names!I134</f>
        <v>BC</v>
      </c>
      <c r="R128" t="str">
        <f>Names!J134</f>
        <v>V2S 5R8</v>
      </c>
      <c r="S128" t="str">
        <f t="shared" si="3"/>
        <v>rg:None</v>
      </c>
      <c r="T128" t="s">
        <v>76</v>
      </c>
    </row>
    <row r="129" spans="1:20" x14ac:dyDescent="0.3">
      <c r="A129" t="s">
        <v>54</v>
      </c>
      <c r="B129" t="s">
        <v>5386</v>
      </c>
      <c r="C129" s="1" t="s">
        <v>6892</v>
      </c>
      <c r="D129">
        <f t="shared" si="2"/>
        <v>200127</v>
      </c>
      <c r="E129" t="str">
        <f>Names!D135</f>
        <v>Brandon</v>
      </c>
      <c r="F129" t="str">
        <f>Names!F135</f>
        <v>Smith</v>
      </c>
      <c r="G129" t="str">
        <f>Names!AA135</f>
        <v>Sam Goody</v>
      </c>
      <c r="H129" t="s">
        <v>7629</v>
      </c>
      <c r="I129" t="s">
        <v>76</v>
      </c>
      <c r="J129" t="str">
        <f>Names!M135</f>
        <v>BrandonDSmith@einrot.com</v>
      </c>
      <c r="K129" t="str">
        <f ca="1">IF(RANDBETWEEN(1,2) &gt; 1, "rg:None", Names!P135)</f>
        <v>250-356-1413</v>
      </c>
      <c r="L129" t="str">
        <f ca="1">IF(K129="rg:None",Names!P135,"rg:None")</f>
        <v>rg:None</v>
      </c>
      <c r="M129" t="s">
        <v>76</v>
      </c>
      <c r="N129" t="str">
        <f>Names!G135</f>
        <v>3121 Blanshard</v>
      </c>
      <c r="O129" t="s">
        <v>76</v>
      </c>
      <c r="P129" t="str">
        <f>Names!H135</f>
        <v>Victoria</v>
      </c>
      <c r="Q129" t="str">
        <f>Names!I135</f>
        <v>BC</v>
      </c>
      <c r="R129" t="str">
        <f>Names!J135</f>
        <v>V8W 2H9</v>
      </c>
      <c r="S129" t="str">
        <f t="shared" si="3"/>
        <v>rg:None</v>
      </c>
      <c r="T129" t="s">
        <v>76</v>
      </c>
    </row>
    <row r="130" spans="1:20" x14ac:dyDescent="0.3">
      <c r="A130" t="s">
        <v>54</v>
      </c>
      <c r="B130" t="s">
        <v>5386</v>
      </c>
      <c r="C130" s="1" t="s">
        <v>6951</v>
      </c>
      <c r="D130">
        <f t="shared" si="2"/>
        <v>200128</v>
      </c>
      <c r="E130" t="str">
        <f>Names!D136</f>
        <v>Stacy</v>
      </c>
      <c r="F130" t="str">
        <f>Names!F136</f>
        <v>Peavy</v>
      </c>
      <c r="G130" t="str">
        <f>Names!AA136</f>
        <v>Square Circle</v>
      </c>
      <c r="H130" t="s">
        <v>7629</v>
      </c>
      <c r="I130" t="s">
        <v>76</v>
      </c>
      <c r="J130" t="str">
        <f>Names!M136</f>
        <v>StacyPPeavy@cuvox.de</v>
      </c>
      <c r="K130" t="str">
        <f ca="1">IF(RANDBETWEEN(1,2) &gt; 1, "rg:None", Names!P136)</f>
        <v>rg:None</v>
      </c>
      <c r="L130" t="str">
        <f ca="1">IF(K130="rg:None",Names!P136,"rg:None")</f>
        <v>604-875-9413</v>
      </c>
      <c r="M130" t="s">
        <v>76</v>
      </c>
      <c r="N130" t="str">
        <f>Names!G136</f>
        <v>2519 St George Street</v>
      </c>
      <c r="O130" t="s">
        <v>76</v>
      </c>
      <c r="P130" t="str">
        <f>Names!H136</f>
        <v>Vancouver</v>
      </c>
      <c r="Q130" t="str">
        <f>Names!I136</f>
        <v>BC</v>
      </c>
      <c r="R130" t="str">
        <f>Names!J136</f>
        <v>V5T 1Z7</v>
      </c>
      <c r="S130" t="str">
        <f t="shared" si="3"/>
        <v>rg:None</v>
      </c>
      <c r="T130" t="s">
        <v>76</v>
      </c>
    </row>
    <row r="131" spans="1:20" x14ac:dyDescent="0.3">
      <c r="A131" t="s">
        <v>54</v>
      </c>
      <c r="B131" t="s">
        <v>5386</v>
      </c>
      <c r="C131" s="1" t="s">
        <v>6952</v>
      </c>
      <c r="D131">
        <f t="shared" ref="D131:D139" si="4">IF(ISNUMBER(D130),D130+1,200000)</f>
        <v>200129</v>
      </c>
      <c r="E131" t="str">
        <f>Names!D137</f>
        <v>Kevin</v>
      </c>
      <c r="F131" t="str">
        <f>Names!F137</f>
        <v>Smith</v>
      </c>
      <c r="G131" t="str">
        <f>Names!AA137</f>
        <v>Builderama</v>
      </c>
      <c r="H131" t="s">
        <v>7629</v>
      </c>
      <c r="I131" t="s">
        <v>76</v>
      </c>
      <c r="J131" t="str">
        <f>Names!M137</f>
        <v>KevinDSmith@dayrep.com</v>
      </c>
      <c r="K131" t="str">
        <f ca="1">IF(RANDBETWEEN(1,2) &gt; 1, "rg:None", Names!P137)</f>
        <v>rg:None</v>
      </c>
      <c r="L131" t="str">
        <f ca="1">IF(K131="rg:None",Names!P137,"rg:None")</f>
        <v>604-452-2413</v>
      </c>
      <c r="M131" t="s">
        <v>76</v>
      </c>
      <c r="N131" t="str">
        <f>Names!G137</f>
        <v>3053 Brew Creek Rd</v>
      </c>
      <c r="O131" t="s">
        <v>76</v>
      </c>
      <c r="P131" t="str">
        <f>Names!H137</f>
        <v>D'arcy</v>
      </c>
      <c r="Q131" t="str">
        <f>Names!I137</f>
        <v>BC</v>
      </c>
      <c r="R131" t="str">
        <f>Names!J137</f>
        <v>V0N 1L0</v>
      </c>
      <c r="S131" t="str">
        <f t="shared" ref="S131:S139" si="5">IF(B131="Owner","rg:{'id': '"&amp;D131&amp;"'}","rg:None")</f>
        <v>rg:None</v>
      </c>
      <c r="T131" t="s">
        <v>76</v>
      </c>
    </row>
    <row r="132" spans="1:20" x14ac:dyDescent="0.3">
      <c r="A132" t="s">
        <v>54</v>
      </c>
      <c r="B132" t="s">
        <v>5386</v>
      </c>
      <c r="C132" s="1" t="s">
        <v>6911</v>
      </c>
      <c r="D132">
        <f t="shared" si="4"/>
        <v>200130</v>
      </c>
      <c r="E132" t="str">
        <f>Names!D138</f>
        <v>Cynthia</v>
      </c>
      <c r="F132" t="str">
        <f>Names!F138</f>
        <v>Buckley</v>
      </c>
      <c r="G132" t="str">
        <f>Names!AA138</f>
        <v>American Wholesale Club</v>
      </c>
      <c r="H132" t="s">
        <v>7629</v>
      </c>
      <c r="I132" t="s">
        <v>76</v>
      </c>
      <c r="J132" t="str">
        <f>Names!M138</f>
        <v>CynthiaJBuckley@teleworm.us</v>
      </c>
      <c r="K132" t="str">
        <f ca="1">IF(RANDBETWEEN(1,2) &gt; 1, "rg:None", Names!P138)</f>
        <v>250-788-9041</v>
      </c>
      <c r="L132" t="str">
        <f ca="1">IF(K132="rg:None",Names!P138,"rg:None")</f>
        <v>rg:None</v>
      </c>
      <c r="M132" t="s">
        <v>76</v>
      </c>
      <c r="N132" t="str">
        <f>Names!G138</f>
        <v>34 Alaska Hwy</v>
      </c>
      <c r="O132" t="s">
        <v>76</v>
      </c>
      <c r="P132" t="str">
        <f>Names!H138</f>
        <v>Chetwynd</v>
      </c>
      <c r="Q132" t="str">
        <f>Names!I138</f>
        <v>BC</v>
      </c>
      <c r="R132" t="str">
        <f>Names!J138</f>
        <v>V0C 1J0</v>
      </c>
      <c r="S132" t="str">
        <f t="shared" si="5"/>
        <v>rg:None</v>
      </c>
      <c r="T132" t="s">
        <v>76</v>
      </c>
    </row>
    <row r="133" spans="1:20" x14ac:dyDescent="0.3">
      <c r="A133" t="s">
        <v>54</v>
      </c>
      <c r="B133" t="s">
        <v>5386</v>
      </c>
      <c r="C133" s="1" t="s">
        <v>6953</v>
      </c>
      <c r="D133">
        <f t="shared" si="4"/>
        <v>200131</v>
      </c>
      <c r="E133" t="str">
        <f>Names!D139</f>
        <v>Cynthia</v>
      </c>
      <c r="F133" t="str">
        <f>Names!F139</f>
        <v>Smith</v>
      </c>
      <c r="G133" t="str">
        <f>Names!AA139</f>
        <v>Plan Smart</v>
      </c>
      <c r="H133" t="s">
        <v>7629</v>
      </c>
      <c r="I133" t="s">
        <v>76</v>
      </c>
      <c r="J133" t="str">
        <f>Names!M139</f>
        <v>CynthiaESmith@dayrep.com</v>
      </c>
      <c r="K133" t="str">
        <f ca="1">IF(RANDBETWEEN(1,2) &gt; 1, "rg:None", Names!P139)</f>
        <v>250-243-0497</v>
      </c>
      <c r="L133" t="str">
        <f ca="1">IF(K133="rg:None",Names!P139,"rg:None")</f>
        <v>rg:None</v>
      </c>
      <c r="M133" t="s">
        <v>76</v>
      </c>
      <c r="N133" t="str">
        <f>Names!G139</f>
        <v>599 Stum Lake Road</v>
      </c>
      <c r="O133" t="s">
        <v>76</v>
      </c>
      <c r="P133" t="str">
        <f>Names!H139</f>
        <v>Beaver Valley</v>
      </c>
      <c r="Q133" t="str">
        <f>Names!I139</f>
        <v>BC</v>
      </c>
      <c r="R133" t="str">
        <f>Names!J139</f>
        <v>V0L 1G0</v>
      </c>
      <c r="S133" t="str">
        <f t="shared" si="5"/>
        <v>rg:None</v>
      </c>
      <c r="T133" t="s">
        <v>76</v>
      </c>
    </row>
    <row r="134" spans="1:20" x14ac:dyDescent="0.3">
      <c r="A134" t="s">
        <v>54</v>
      </c>
      <c r="B134" t="s">
        <v>5386</v>
      </c>
      <c r="C134" s="1" t="s">
        <v>6926</v>
      </c>
      <c r="D134">
        <f t="shared" si="4"/>
        <v>200132</v>
      </c>
      <c r="E134" t="str">
        <f>Names!D140</f>
        <v>Edward</v>
      </c>
      <c r="F134" t="str">
        <f>Names!F140</f>
        <v>McDonald</v>
      </c>
      <c r="G134" t="str">
        <f>Names!AA140</f>
        <v>Tradewell</v>
      </c>
      <c r="H134" t="s">
        <v>7629</v>
      </c>
      <c r="I134" t="s">
        <v>76</v>
      </c>
      <c r="J134" t="str">
        <f>Names!M140</f>
        <v>EdwardEMcDonald@jourrapide.com</v>
      </c>
      <c r="K134" t="str">
        <f ca="1">IF(RANDBETWEEN(1,2) &gt; 1, "rg:None", Names!P140)</f>
        <v>250-676-7685</v>
      </c>
      <c r="L134" t="str">
        <f ca="1">IF(K134="rg:None",Names!P140,"rg:None")</f>
        <v>rg:None</v>
      </c>
      <c r="M134" t="s">
        <v>76</v>
      </c>
      <c r="N134" t="str">
        <f>Names!G140</f>
        <v>1719 Blind Bay Road</v>
      </c>
      <c r="O134" t="s">
        <v>76</v>
      </c>
      <c r="P134" t="str">
        <f>Names!H140</f>
        <v>Vavenby</v>
      </c>
      <c r="Q134" t="str">
        <f>Names!I140</f>
        <v>BC</v>
      </c>
      <c r="R134" t="str">
        <f>Names!J140</f>
        <v>V0E 3A0</v>
      </c>
      <c r="S134" t="str">
        <f t="shared" si="5"/>
        <v>rg:None</v>
      </c>
      <c r="T134" t="s">
        <v>76</v>
      </c>
    </row>
    <row r="135" spans="1:20" x14ac:dyDescent="0.3">
      <c r="A135" t="s">
        <v>54</v>
      </c>
      <c r="B135" t="s">
        <v>5386</v>
      </c>
      <c r="C135" s="1" t="s">
        <v>6954</v>
      </c>
      <c r="D135">
        <f t="shared" si="4"/>
        <v>200133</v>
      </c>
      <c r="E135" t="str">
        <f>Names!D141</f>
        <v>Derrick</v>
      </c>
      <c r="F135" t="str">
        <f>Names!F141</f>
        <v>Key</v>
      </c>
      <c r="G135" t="str">
        <f>Names!AA141</f>
        <v>Magik Lamp</v>
      </c>
      <c r="H135" t="s">
        <v>7629</v>
      </c>
      <c r="I135" t="s">
        <v>76</v>
      </c>
      <c r="J135" t="str">
        <f>Names!M141</f>
        <v>DerrickBKey@rhyta.com</v>
      </c>
      <c r="K135" t="str">
        <f ca="1">IF(RANDBETWEEN(1,2) &gt; 1, "rg:None", Names!P141)</f>
        <v>rg:None</v>
      </c>
      <c r="L135" t="str">
        <f ca="1">IF(K135="rg:None",Names!P141,"rg:None")</f>
        <v>604-472-8005</v>
      </c>
      <c r="M135" t="s">
        <v>76</v>
      </c>
      <c r="N135" t="str">
        <f>Names!G141</f>
        <v>3100 Shaughnessy St</v>
      </c>
      <c r="O135" t="s">
        <v>76</v>
      </c>
      <c r="P135" t="str">
        <f>Names!H141</f>
        <v>Port Coquitlam</v>
      </c>
      <c r="Q135" t="str">
        <f>Names!I141</f>
        <v>BC</v>
      </c>
      <c r="R135" t="str">
        <f>Names!J141</f>
        <v>V3C 4S7</v>
      </c>
      <c r="S135" t="str">
        <f t="shared" si="5"/>
        <v>rg:None</v>
      </c>
      <c r="T135" t="s">
        <v>76</v>
      </c>
    </row>
    <row r="136" spans="1:20" x14ac:dyDescent="0.3">
      <c r="A136" t="s">
        <v>54</v>
      </c>
      <c r="B136" t="s">
        <v>5386</v>
      </c>
      <c r="C136" s="1" t="s">
        <v>6955</v>
      </c>
      <c r="D136">
        <f t="shared" si="4"/>
        <v>200134</v>
      </c>
      <c r="E136" t="str">
        <f>Names!D142</f>
        <v>Alma</v>
      </c>
      <c r="F136" t="str">
        <f>Names!F142</f>
        <v>Huerta</v>
      </c>
      <c r="G136" t="str">
        <f>Names!AA142</f>
        <v>Rossi Auto Parts</v>
      </c>
      <c r="H136" t="s">
        <v>7629</v>
      </c>
      <c r="I136" t="s">
        <v>76</v>
      </c>
      <c r="J136" t="str">
        <f>Names!M142</f>
        <v>AlmaDHuerta@armyspy.com</v>
      </c>
      <c r="K136" t="str">
        <f ca="1">IF(RANDBETWEEN(1,2) &gt; 1, "rg:None", Names!P142)</f>
        <v>604-598-4904</v>
      </c>
      <c r="L136" t="str">
        <f ca="1">IF(K136="rg:None",Names!P142,"rg:None")</f>
        <v>rg:None</v>
      </c>
      <c r="M136" t="s">
        <v>76</v>
      </c>
      <c r="N136" t="str">
        <f>Names!G142</f>
        <v>2162 King George Hwy</v>
      </c>
      <c r="O136" t="s">
        <v>76</v>
      </c>
      <c r="P136" t="str">
        <f>Names!H142</f>
        <v>Surrey</v>
      </c>
      <c r="Q136" t="str">
        <f>Names!I142</f>
        <v>BC</v>
      </c>
      <c r="R136" t="str">
        <f>Names!J142</f>
        <v>V3W 4E3</v>
      </c>
      <c r="S136" t="str">
        <f t="shared" si="5"/>
        <v>rg:None</v>
      </c>
      <c r="T136" t="s">
        <v>76</v>
      </c>
    </row>
    <row r="137" spans="1:20" x14ac:dyDescent="0.3">
      <c r="A137" t="s">
        <v>54</v>
      </c>
      <c r="B137" t="s">
        <v>5386</v>
      </c>
      <c r="C137" s="1" t="s">
        <v>6956</v>
      </c>
      <c r="D137">
        <f t="shared" si="4"/>
        <v>200135</v>
      </c>
      <c r="E137" t="str">
        <f>Names!D143</f>
        <v>John</v>
      </c>
      <c r="F137" t="str">
        <f>Names!F143</f>
        <v>Shaffer</v>
      </c>
      <c r="G137" t="str">
        <f>Names!AA143</f>
        <v>Future Bright</v>
      </c>
      <c r="H137" t="s">
        <v>7629</v>
      </c>
      <c r="I137" t="s">
        <v>76</v>
      </c>
      <c r="J137" t="str">
        <f>Names!M143</f>
        <v>JohnAShaffer@fleckens.hu</v>
      </c>
      <c r="K137" t="str">
        <f ca="1">IF(RANDBETWEEN(1,2) &gt; 1, "rg:None", Names!P143)</f>
        <v>604-932-1761</v>
      </c>
      <c r="L137" t="str">
        <f ca="1">IF(K137="rg:None",Names!P143,"rg:None")</f>
        <v>rg:None</v>
      </c>
      <c r="M137" t="s">
        <v>76</v>
      </c>
      <c r="N137" t="str">
        <f>Names!G143</f>
        <v>4403 Brew Creek Rd</v>
      </c>
      <c r="O137" t="s">
        <v>76</v>
      </c>
      <c r="P137" t="str">
        <f>Names!H143</f>
        <v>Whistler</v>
      </c>
      <c r="Q137" t="str">
        <f>Names!I143</f>
        <v>BC</v>
      </c>
      <c r="R137" t="str">
        <f>Names!J143</f>
        <v>V0N 1B0</v>
      </c>
      <c r="S137" t="str">
        <f t="shared" si="5"/>
        <v>rg:None</v>
      </c>
      <c r="T137" t="s">
        <v>76</v>
      </c>
    </row>
    <row r="138" spans="1:20" x14ac:dyDescent="0.3">
      <c r="A138" t="s">
        <v>54</v>
      </c>
      <c r="B138" t="s">
        <v>5386</v>
      </c>
      <c r="C138" s="1" t="s">
        <v>6957</v>
      </c>
      <c r="D138">
        <f t="shared" si="4"/>
        <v>200136</v>
      </c>
      <c r="E138" t="str">
        <f>Names!D144</f>
        <v>Lucille</v>
      </c>
      <c r="F138" t="str">
        <f>Names!F144</f>
        <v>Robbins</v>
      </c>
      <c r="G138" t="str">
        <f>Names!AA144</f>
        <v>Ardan's</v>
      </c>
      <c r="H138" t="s">
        <v>7629</v>
      </c>
      <c r="I138" t="s">
        <v>76</v>
      </c>
      <c r="J138" t="str">
        <f>Names!M144</f>
        <v>LucilleSRobbins@jourrapide.com</v>
      </c>
      <c r="K138" t="str">
        <f ca="1">IF(RANDBETWEEN(1,2) &gt; 1, "rg:None", Names!P144)</f>
        <v>rg:None</v>
      </c>
      <c r="L138" t="str">
        <f ca="1">IF(K138="rg:None",Names!P144,"rg:None")</f>
        <v>250-217-6715</v>
      </c>
      <c r="M138" t="s">
        <v>76</v>
      </c>
      <c r="N138" t="str">
        <f>Names!G144</f>
        <v>2805 Burdett Avenue</v>
      </c>
      <c r="O138" t="s">
        <v>76</v>
      </c>
      <c r="P138" t="str">
        <f>Names!H144</f>
        <v>Victoria</v>
      </c>
      <c r="Q138" t="str">
        <f>Names!I144</f>
        <v>BC</v>
      </c>
      <c r="R138" t="str">
        <f>Names!J144</f>
        <v>V8W 1B2</v>
      </c>
      <c r="S138" t="str">
        <f t="shared" si="5"/>
        <v>rg:None</v>
      </c>
      <c r="T138" t="s">
        <v>76</v>
      </c>
    </row>
    <row r="139" spans="1:20" x14ac:dyDescent="0.3">
      <c r="A139" t="s">
        <v>54</v>
      </c>
      <c r="B139" t="s">
        <v>5386</v>
      </c>
      <c r="C139" s="1" t="s">
        <v>6958</v>
      </c>
      <c r="D139">
        <f t="shared" si="4"/>
        <v>200137</v>
      </c>
      <c r="E139" t="str">
        <f>Names!D145</f>
        <v>Anita</v>
      </c>
      <c r="F139" t="str">
        <f>Names!F145</f>
        <v>Lozano</v>
      </c>
      <c r="G139" t="str">
        <f>Names!AA145</f>
        <v>Robinson Furniture</v>
      </c>
      <c r="H139" t="s">
        <v>7629</v>
      </c>
      <c r="I139" t="s">
        <v>76</v>
      </c>
      <c r="J139" t="str">
        <f>Names!M145</f>
        <v>AnitaJLozano@fleckens.hu</v>
      </c>
      <c r="K139" t="str">
        <f ca="1">IF(RANDBETWEEN(1,2) &gt; 1, "rg:None", Names!P145)</f>
        <v>rg:None</v>
      </c>
      <c r="L139" t="str">
        <f ca="1">IF(K139="rg:None",Names!P145,"rg:None")</f>
        <v>250-344-7155</v>
      </c>
      <c r="M139" t="s">
        <v>76</v>
      </c>
      <c r="N139" t="str">
        <f>Names!G145</f>
        <v>1710 Yoho Valley Road</v>
      </c>
      <c r="O139" t="s">
        <v>76</v>
      </c>
      <c r="P139" t="str">
        <f>Names!H145</f>
        <v>Golden</v>
      </c>
      <c r="Q139" t="str">
        <f>Names!I145</f>
        <v>BC</v>
      </c>
      <c r="R139" t="str">
        <f>Names!J145</f>
        <v>V0A 1H0</v>
      </c>
      <c r="S139" t="str">
        <f t="shared" si="5"/>
        <v>rg:None</v>
      </c>
      <c r="T139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325"/>
  <sheetViews>
    <sheetView workbookViewId="0">
      <selection activeCell="F325" sqref="F325"/>
    </sheetView>
  </sheetViews>
  <sheetFormatPr defaultColWidth="9.109375" defaultRowHeight="14.4" x14ac:dyDescent="0.3"/>
  <cols>
    <col min="1" max="2" width="15.6640625" style="8" customWidth="1"/>
    <col min="3" max="3" width="23" style="8" customWidth="1"/>
    <col min="4" max="4" width="9" style="8" customWidth="1"/>
    <col min="5" max="5" width="16" style="8" customWidth="1"/>
    <col min="6" max="6" width="11.33203125" style="8" customWidth="1"/>
    <col min="7" max="7" width="15.5546875" style="8" customWidth="1"/>
    <col min="8" max="8" width="16.6640625" style="8" customWidth="1"/>
    <col min="9" max="9" width="15.6640625" style="8" customWidth="1"/>
    <col min="10" max="10" width="14" style="8" customWidth="1"/>
    <col min="11" max="11" width="17.88671875" style="8" customWidth="1"/>
    <col min="12" max="12" width="16.109375" style="8" customWidth="1"/>
    <col min="13" max="16384" width="9.109375" style="8"/>
  </cols>
  <sheetData>
    <row r="1" spans="1:12" x14ac:dyDescent="0.3">
      <c r="A1" s="8" t="s">
        <v>68</v>
      </c>
      <c r="B1" s="8" t="s">
        <v>5325</v>
      </c>
      <c r="C1" s="8" t="s">
        <v>6886</v>
      </c>
      <c r="D1" s="8" t="s">
        <v>6494</v>
      </c>
      <c r="E1" s="8" t="s">
        <v>5634</v>
      </c>
      <c r="F1" s="8" t="s">
        <v>333</v>
      </c>
      <c r="G1" s="9" t="s">
        <v>5645</v>
      </c>
      <c r="H1" s="9" t="s">
        <v>5644</v>
      </c>
      <c r="I1" s="8" t="s">
        <v>6887</v>
      </c>
      <c r="J1" s="8" t="s">
        <v>6888</v>
      </c>
      <c r="K1" s="8" t="s">
        <v>6889</v>
      </c>
      <c r="L1" s="8" t="s">
        <v>6890</v>
      </c>
    </row>
    <row r="2" spans="1:12" x14ac:dyDescent="0.3">
      <c r="A2" s="8" t="s">
        <v>5668</v>
      </c>
      <c r="B2" s="8">
        <f>IF(ISNUMBER(B1),B1+1,600000)</f>
        <v>600000</v>
      </c>
      <c r="C2" s="1" t="s">
        <v>6936</v>
      </c>
      <c r="D2" s="9" t="str">
        <f>IFERROR(VLOOKUP(VLOOKUP(VLOOKUP(C2,Project.csv!F:Q,12,FALSE),ServiceAreas.csv!B:I,8,FALSE),LocalAreas.csv!B:I,7,FALSE),200029)</f>
        <v>rg:None</v>
      </c>
      <c r="E2" s="8" t="str">
        <f xml:space="preserve"> "rg:{'id':'" &amp; D2 &amp; "'}"</f>
        <v>rg:{'id':'rg:None'}</v>
      </c>
      <c r="F2" s="9" t="s">
        <v>7054</v>
      </c>
      <c r="G2" s="9" t="str">
        <f ca="1">INDEX(DistrictEquipmentTypes.csv!F:F,RANDBETWEEN(2,COUNTA(DistrictEquipmentTypes.csv!D:D)),1)</f>
        <v>200007</v>
      </c>
      <c r="H2" s="8" t="str">
        <f ca="1">"rg:{ 'id': '"&amp;G2&amp;"'}"</f>
        <v>rg:{ 'id': '200007'}</v>
      </c>
      <c r="I2" s="8">
        <f ca="1">IF(RANDBETWEEN(1,5)&gt;1,1,RANDBETWEEN(2,5))</f>
        <v>1</v>
      </c>
      <c r="J2" s="8">
        <f ca="1">RANDBETWEEN(4,100)</f>
        <v>61</v>
      </c>
      <c r="K2" s="8" t="str">
        <f ca="1">TEXT(TODAY()+RANDBETWEEN(1,56),"YYYY-MM-DD")</f>
        <v>2017-04-22</v>
      </c>
      <c r="L2" s="8" t="str">
        <f ca="1">TEXT(K2+(I2*J2)/8,"YYYY-MM-DD")</f>
        <v>2017-04-29</v>
      </c>
    </row>
    <row r="3" spans="1:12" x14ac:dyDescent="0.3">
      <c r="A3" s="8" t="s">
        <v>5668</v>
      </c>
      <c r="B3" s="8">
        <f t="shared" ref="B3:B66" si="0">IF(ISNUMBER(B2),B2+1,600000)</f>
        <v>600001</v>
      </c>
      <c r="C3" s="1" t="s">
        <v>6931</v>
      </c>
      <c r="D3" s="9" t="str">
        <f>IFERROR(VLOOKUP(VLOOKUP(VLOOKUP(C3,Project.csv!F:Q,12,FALSE),ServiceAreas.csv!B:I,8,FALSE),LocalAreas.csv!B:I,7,FALSE),200029)</f>
        <v>rg:None</v>
      </c>
      <c r="E3" s="8" t="str">
        <f t="shared" ref="E3:E66" si="1" xml:space="preserve"> "rg:{'id':'" &amp; D3 &amp; "'}"</f>
        <v>rg:{'id':'rg:None'}</v>
      </c>
      <c r="F3" s="9" t="s">
        <v>7055</v>
      </c>
      <c r="G3" s="9" t="str">
        <f ca="1">INDEX(DistrictEquipmentTypes.csv!F:F,RANDBETWEEN(2,COUNTA(DistrictEquipmentTypes.csv!D:D)),1)</f>
        <v>200001</v>
      </c>
      <c r="H3" s="8" t="str">
        <f t="shared" ref="H3:H66" ca="1" si="2">"rg:{ 'id': '"&amp;G3&amp;"'}"</f>
        <v>rg:{ 'id': '200001'}</v>
      </c>
      <c r="I3" s="8">
        <f t="shared" ref="I3:I66" ca="1" si="3">IF(RANDBETWEEN(1,5)&gt;1,1,RANDBETWEEN(2,5))</f>
        <v>1</v>
      </c>
      <c r="J3" s="8">
        <f t="shared" ref="J3:J66" ca="1" si="4">RANDBETWEEN(4,100)</f>
        <v>21</v>
      </c>
      <c r="K3" s="8" t="str">
        <f t="shared" ref="K3:K66" ca="1" si="5">TEXT(TODAY()+RANDBETWEEN(1,56),"YYYY-MM-DD")</f>
        <v>2017-04-11</v>
      </c>
      <c r="L3" s="8" t="str">
        <f t="shared" ref="L3:L66" ca="1" si="6">TEXT(K3+(I3*J3)/8,"YYYY-MM-DD")</f>
        <v>2017-04-13</v>
      </c>
    </row>
    <row r="4" spans="1:12" x14ac:dyDescent="0.3">
      <c r="A4" s="8" t="s">
        <v>5668</v>
      </c>
      <c r="B4" s="8">
        <f t="shared" si="0"/>
        <v>600002</v>
      </c>
      <c r="C4" s="1" t="s">
        <v>6937</v>
      </c>
      <c r="D4" s="9" t="str">
        <f>IFERROR(VLOOKUP(VLOOKUP(VLOOKUP(C4,Project.csv!F:Q,12,FALSE),ServiceAreas.csv!B:I,8,FALSE),LocalAreas.csv!B:I,7,FALSE),200029)</f>
        <v>rg:None</v>
      </c>
      <c r="E4" s="8" t="str">
        <f t="shared" si="1"/>
        <v>rg:{'id':'rg:None'}</v>
      </c>
      <c r="F4" s="9" t="s">
        <v>7054</v>
      </c>
      <c r="G4" s="9" t="str">
        <f ca="1">INDEX(DistrictEquipmentTypes.csv!F:F,RANDBETWEEN(2,COUNTA(DistrictEquipmentTypes.csv!D:D)),1)</f>
        <v>200009</v>
      </c>
      <c r="H4" s="8" t="str">
        <f t="shared" ca="1" si="2"/>
        <v>rg:{ 'id': '200009'}</v>
      </c>
      <c r="I4" s="8">
        <f t="shared" ca="1" si="3"/>
        <v>1</v>
      </c>
      <c r="J4" s="8">
        <f t="shared" ca="1" si="4"/>
        <v>25</v>
      </c>
      <c r="K4" s="8" t="str">
        <f t="shared" ca="1" si="5"/>
        <v>2017-05-17</v>
      </c>
      <c r="L4" s="8" t="str">
        <f t="shared" ca="1" si="6"/>
        <v>2017-05-20</v>
      </c>
    </row>
    <row r="5" spans="1:12" x14ac:dyDescent="0.3">
      <c r="A5" s="8" t="s">
        <v>5668</v>
      </c>
      <c r="B5" s="8">
        <f t="shared" si="0"/>
        <v>600003</v>
      </c>
      <c r="C5" s="1" t="s">
        <v>6938</v>
      </c>
      <c r="D5" s="9" t="str">
        <f>IFERROR(VLOOKUP(VLOOKUP(VLOOKUP(C5,Project.csv!F:Q,12,FALSE),ServiceAreas.csv!B:I,8,FALSE),LocalAreas.csv!B:I,7,FALSE),200029)</f>
        <v>rg:None</v>
      </c>
      <c r="E5" s="8" t="str">
        <f t="shared" si="1"/>
        <v>rg:{'id':'rg:None'}</v>
      </c>
      <c r="F5" s="9" t="s">
        <v>7054</v>
      </c>
      <c r="G5" s="9" t="str">
        <f ca="1">INDEX(DistrictEquipmentTypes.csv!F:F,RANDBETWEEN(2,COUNTA(DistrictEquipmentTypes.csv!D:D)),1)</f>
        <v>200006</v>
      </c>
      <c r="H5" s="8" t="str">
        <f t="shared" ca="1" si="2"/>
        <v>rg:{ 'id': '200006'}</v>
      </c>
      <c r="I5" s="8">
        <f t="shared" ca="1" si="3"/>
        <v>1</v>
      </c>
      <c r="J5" s="8">
        <f t="shared" ca="1" si="4"/>
        <v>43</v>
      </c>
      <c r="K5" s="8" t="str">
        <f t="shared" ca="1" si="5"/>
        <v>2017-05-08</v>
      </c>
      <c r="L5" s="8" t="str">
        <f t="shared" ca="1" si="6"/>
        <v>2017-05-13</v>
      </c>
    </row>
    <row r="6" spans="1:12" x14ac:dyDescent="0.3">
      <c r="A6" s="8" t="s">
        <v>5668</v>
      </c>
      <c r="B6" s="8">
        <f t="shared" si="0"/>
        <v>600004</v>
      </c>
      <c r="C6" s="1" t="s">
        <v>6939</v>
      </c>
      <c r="D6" s="9" t="str">
        <f>IFERROR(VLOOKUP(VLOOKUP(VLOOKUP(C6,Project.csv!F:Q,12,FALSE),ServiceAreas.csv!B:I,8,FALSE),LocalAreas.csv!B:I,7,FALSE),200029)</f>
        <v>rg:None</v>
      </c>
      <c r="E6" s="8" t="str">
        <f t="shared" si="1"/>
        <v>rg:{'id':'rg:None'}</v>
      </c>
      <c r="F6" s="9" t="s">
        <v>7054</v>
      </c>
      <c r="G6" s="9" t="str">
        <f ca="1">INDEX(DistrictEquipmentTypes.csv!F:F,RANDBETWEEN(2,COUNTA(DistrictEquipmentTypes.csv!D:D)),1)</f>
        <v>200006</v>
      </c>
      <c r="H6" s="8" t="str">
        <f t="shared" ca="1" si="2"/>
        <v>rg:{ 'id': '200006'}</v>
      </c>
      <c r="I6" s="8">
        <f t="shared" ca="1" si="3"/>
        <v>3</v>
      </c>
      <c r="J6" s="8">
        <f t="shared" ca="1" si="4"/>
        <v>22</v>
      </c>
      <c r="K6" s="8" t="str">
        <f t="shared" ca="1" si="5"/>
        <v>2017-05-23</v>
      </c>
      <c r="L6" s="8" t="str">
        <f t="shared" ca="1" si="6"/>
        <v>2017-05-31</v>
      </c>
    </row>
    <row r="7" spans="1:12" x14ac:dyDescent="0.3">
      <c r="A7" s="8" t="s">
        <v>5668</v>
      </c>
      <c r="B7" s="8">
        <f t="shared" si="0"/>
        <v>600005</v>
      </c>
      <c r="C7" s="1" t="s">
        <v>6940</v>
      </c>
      <c r="D7" s="9" t="str">
        <f>IFERROR(VLOOKUP(VLOOKUP(VLOOKUP(C7,Project.csv!F:Q,12,FALSE),ServiceAreas.csv!B:I,8,FALSE),LocalAreas.csv!B:I,7,FALSE),200029)</f>
        <v>rg:None</v>
      </c>
      <c r="E7" s="8" t="str">
        <f t="shared" si="1"/>
        <v>rg:{'id':'rg:None'}</v>
      </c>
      <c r="F7" s="9" t="s">
        <v>7055</v>
      </c>
      <c r="G7" s="9" t="str">
        <f ca="1">INDEX(DistrictEquipmentTypes.csv!F:F,RANDBETWEEN(2,COUNTA(DistrictEquipmentTypes.csv!D:D)),1)</f>
        <v>200006</v>
      </c>
      <c r="H7" s="8" t="str">
        <f t="shared" ca="1" si="2"/>
        <v>rg:{ 'id': '200006'}</v>
      </c>
      <c r="I7" s="8">
        <f t="shared" ca="1" si="3"/>
        <v>1</v>
      </c>
      <c r="J7" s="8">
        <f t="shared" ca="1" si="4"/>
        <v>64</v>
      </c>
      <c r="K7" s="8" t="str">
        <f t="shared" ca="1" si="5"/>
        <v>2017-05-22</v>
      </c>
      <c r="L7" s="8" t="str">
        <f t="shared" ca="1" si="6"/>
        <v>2017-05-30</v>
      </c>
    </row>
    <row r="8" spans="1:12" x14ac:dyDescent="0.3">
      <c r="A8" s="8" t="s">
        <v>5668</v>
      </c>
      <c r="B8" s="8">
        <f t="shared" si="0"/>
        <v>600006</v>
      </c>
      <c r="C8" s="1" t="s">
        <v>6941</v>
      </c>
      <c r="D8" s="9" t="str">
        <f>IFERROR(VLOOKUP(VLOOKUP(VLOOKUP(C8,Project.csv!F:Q,12,FALSE),ServiceAreas.csv!B:I,8,FALSE),LocalAreas.csv!B:I,7,FALSE),200029)</f>
        <v>rg:None</v>
      </c>
      <c r="E8" s="8" t="str">
        <f t="shared" si="1"/>
        <v>rg:{'id':'rg:None'}</v>
      </c>
      <c r="F8" s="9" t="s">
        <v>7055</v>
      </c>
      <c r="G8" s="9" t="str">
        <f ca="1">INDEX(DistrictEquipmentTypes.csv!F:F,RANDBETWEEN(2,COUNTA(DistrictEquipmentTypes.csv!D:D)),1)</f>
        <v>200002</v>
      </c>
      <c r="H8" s="8" t="str">
        <f t="shared" ca="1" si="2"/>
        <v>rg:{ 'id': '200002'}</v>
      </c>
      <c r="I8" s="8">
        <f t="shared" ca="1" si="3"/>
        <v>1</v>
      </c>
      <c r="J8" s="8">
        <f t="shared" ca="1" si="4"/>
        <v>88</v>
      </c>
      <c r="K8" s="8" t="str">
        <f t="shared" ca="1" si="5"/>
        <v>2017-05-05</v>
      </c>
      <c r="L8" s="8" t="str">
        <f t="shared" ca="1" si="6"/>
        <v>2017-05-16</v>
      </c>
    </row>
    <row r="9" spans="1:12" x14ac:dyDescent="0.3">
      <c r="A9" s="8" t="s">
        <v>5668</v>
      </c>
      <c r="B9" s="8">
        <f t="shared" si="0"/>
        <v>600007</v>
      </c>
      <c r="C9" s="1" t="s">
        <v>6920</v>
      </c>
      <c r="D9" s="9" t="str">
        <f>IFERROR(VLOOKUP(VLOOKUP(VLOOKUP(C9,Project.csv!F:Q,12,FALSE),ServiceAreas.csv!B:I,8,FALSE),LocalAreas.csv!B:I,7,FALSE),200029)</f>
        <v>rg:None</v>
      </c>
      <c r="E9" s="8" t="str">
        <f t="shared" si="1"/>
        <v>rg:{'id':'rg:None'}</v>
      </c>
      <c r="F9" s="9" t="s">
        <v>7055</v>
      </c>
      <c r="G9" s="9" t="str">
        <f ca="1">INDEX(DistrictEquipmentTypes.csv!F:F,RANDBETWEEN(2,COUNTA(DistrictEquipmentTypes.csv!D:D)),1)</f>
        <v>200007</v>
      </c>
      <c r="H9" s="8" t="str">
        <f t="shared" ca="1" si="2"/>
        <v>rg:{ 'id': '200007'}</v>
      </c>
      <c r="I9" s="8">
        <f t="shared" ca="1" si="3"/>
        <v>1</v>
      </c>
      <c r="J9" s="8">
        <f t="shared" ca="1" si="4"/>
        <v>33</v>
      </c>
      <c r="K9" s="8" t="str">
        <f t="shared" ca="1" si="5"/>
        <v>2017-05-18</v>
      </c>
      <c r="L9" s="8" t="str">
        <f t="shared" ca="1" si="6"/>
        <v>2017-05-22</v>
      </c>
    </row>
    <row r="10" spans="1:12" x14ac:dyDescent="0.3">
      <c r="A10" s="8" t="s">
        <v>5668</v>
      </c>
      <c r="B10" s="8">
        <f t="shared" si="0"/>
        <v>600008</v>
      </c>
      <c r="C10" s="1" t="s">
        <v>6942</v>
      </c>
      <c r="D10" s="9" t="str">
        <f>IFERROR(VLOOKUP(VLOOKUP(VLOOKUP(C10,Project.csv!F:Q,12,FALSE),ServiceAreas.csv!B:I,8,FALSE),LocalAreas.csv!B:I,7,FALSE),200029)</f>
        <v>rg:None</v>
      </c>
      <c r="E10" s="8" t="str">
        <f t="shared" si="1"/>
        <v>rg:{'id':'rg:None'}</v>
      </c>
      <c r="F10" s="9" t="s">
        <v>7055</v>
      </c>
      <c r="G10" s="9" t="str">
        <f ca="1">INDEX(DistrictEquipmentTypes.csv!F:F,RANDBETWEEN(2,COUNTA(DistrictEquipmentTypes.csv!D:D)),1)</f>
        <v>200005</v>
      </c>
      <c r="H10" s="8" t="str">
        <f t="shared" ca="1" si="2"/>
        <v>rg:{ 'id': '200005'}</v>
      </c>
      <c r="I10" s="8">
        <f t="shared" ca="1" si="3"/>
        <v>1</v>
      </c>
      <c r="J10" s="8">
        <f t="shared" ca="1" si="4"/>
        <v>67</v>
      </c>
      <c r="K10" s="8" t="str">
        <f t="shared" ca="1" si="5"/>
        <v>2017-05-04</v>
      </c>
      <c r="L10" s="8" t="str">
        <f t="shared" ca="1" si="6"/>
        <v>2017-05-12</v>
      </c>
    </row>
    <row r="11" spans="1:12" x14ac:dyDescent="0.3">
      <c r="A11" s="8" t="s">
        <v>5668</v>
      </c>
      <c r="B11" s="8">
        <f t="shared" si="0"/>
        <v>600009</v>
      </c>
      <c r="C11" s="1" t="s">
        <v>6898</v>
      </c>
      <c r="D11" s="9" t="str">
        <f>IFERROR(VLOOKUP(VLOOKUP(VLOOKUP(C11,Project.csv!F:Q,12,FALSE),ServiceAreas.csv!B:I,8,FALSE),LocalAreas.csv!B:I,7,FALSE),200029)</f>
        <v>rg:None</v>
      </c>
      <c r="E11" s="8" t="str">
        <f t="shared" si="1"/>
        <v>rg:{'id':'rg:None'}</v>
      </c>
      <c r="F11" s="9" t="s">
        <v>7054</v>
      </c>
      <c r="G11" s="9" t="str">
        <f ca="1">INDEX(DistrictEquipmentTypes.csv!F:F,RANDBETWEEN(2,COUNTA(DistrictEquipmentTypes.csv!D:D)),1)</f>
        <v>200009</v>
      </c>
      <c r="H11" s="8" t="str">
        <f t="shared" ca="1" si="2"/>
        <v>rg:{ 'id': '200009'}</v>
      </c>
      <c r="I11" s="8">
        <f t="shared" ca="1" si="3"/>
        <v>4</v>
      </c>
      <c r="J11" s="8">
        <f t="shared" ca="1" si="4"/>
        <v>15</v>
      </c>
      <c r="K11" s="8" t="str">
        <f t="shared" ca="1" si="5"/>
        <v>2017-04-12</v>
      </c>
      <c r="L11" s="8" t="str">
        <f t="shared" ca="1" si="6"/>
        <v>2017-04-19</v>
      </c>
    </row>
    <row r="12" spans="1:12" x14ac:dyDescent="0.3">
      <c r="A12" s="8" t="s">
        <v>5668</v>
      </c>
      <c r="B12" s="8">
        <f t="shared" si="0"/>
        <v>600010</v>
      </c>
      <c r="C12" s="1" t="s">
        <v>6943</v>
      </c>
      <c r="D12" s="9" t="str">
        <f>IFERROR(VLOOKUP(VLOOKUP(VLOOKUP(C12,Project.csv!F:Q,12,FALSE),ServiceAreas.csv!B:I,8,FALSE),LocalAreas.csv!B:I,7,FALSE),200029)</f>
        <v>rg:None</v>
      </c>
      <c r="E12" s="8" t="str">
        <f t="shared" si="1"/>
        <v>rg:{'id':'rg:None'}</v>
      </c>
      <c r="F12" s="9" t="s">
        <v>7054</v>
      </c>
      <c r="G12" s="9" t="str">
        <f ca="1">INDEX(DistrictEquipmentTypes.csv!F:F,RANDBETWEEN(2,COUNTA(DistrictEquipmentTypes.csv!D:D)),1)</f>
        <v>200002</v>
      </c>
      <c r="H12" s="8" t="str">
        <f t="shared" ca="1" si="2"/>
        <v>rg:{ 'id': '200002'}</v>
      </c>
      <c r="I12" s="8">
        <f t="shared" ca="1" si="3"/>
        <v>1</v>
      </c>
      <c r="J12" s="8">
        <f t="shared" ca="1" si="4"/>
        <v>23</v>
      </c>
      <c r="K12" s="8" t="str">
        <f t="shared" ca="1" si="5"/>
        <v>2017-05-13</v>
      </c>
      <c r="L12" s="8" t="str">
        <f t="shared" ca="1" si="6"/>
        <v>2017-05-15</v>
      </c>
    </row>
    <row r="13" spans="1:12" x14ac:dyDescent="0.3">
      <c r="A13" s="8" t="s">
        <v>5668</v>
      </c>
      <c r="B13" s="8">
        <f t="shared" si="0"/>
        <v>600011</v>
      </c>
      <c r="C13" s="1" t="s">
        <v>6944</v>
      </c>
      <c r="D13" s="9" t="str">
        <f>IFERROR(VLOOKUP(VLOOKUP(VLOOKUP(C13,Project.csv!F:Q,12,FALSE),ServiceAreas.csv!B:I,8,FALSE),LocalAreas.csv!B:I,7,FALSE),200029)</f>
        <v>rg:None</v>
      </c>
      <c r="E13" s="8" t="str">
        <f t="shared" si="1"/>
        <v>rg:{'id':'rg:None'}</v>
      </c>
      <c r="F13" s="9" t="s">
        <v>7054</v>
      </c>
      <c r="G13" s="9" t="str">
        <f ca="1">INDEX(DistrictEquipmentTypes.csv!F:F,RANDBETWEEN(2,COUNTA(DistrictEquipmentTypes.csv!D:D)),1)</f>
        <v>200000</v>
      </c>
      <c r="H13" s="8" t="str">
        <f t="shared" ca="1" si="2"/>
        <v>rg:{ 'id': '200000'}</v>
      </c>
      <c r="I13" s="8">
        <f t="shared" ca="1" si="3"/>
        <v>1</v>
      </c>
      <c r="J13" s="8">
        <f t="shared" ca="1" si="4"/>
        <v>40</v>
      </c>
      <c r="K13" s="8" t="str">
        <f t="shared" ca="1" si="5"/>
        <v>2017-05-07</v>
      </c>
      <c r="L13" s="8" t="str">
        <f t="shared" ca="1" si="6"/>
        <v>2017-05-12</v>
      </c>
    </row>
    <row r="14" spans="1:12" x14ac:dyDescent="0.3">
      <c r="A14" s="8" t="s">
        <v>5668</v>
      </c>
      <c r="B14" s="8">
        <f t="shared" si="0"/>
        <v>600012</v>
      </c>
      <c r="C14" s="1" t="s">
        <v>6945</v>
      </c>
      <c r="D14" s="9" t="str">
        <f>IFERROR(VLOOKUP(VLOOKUP(VLOOKUP(C14,Project.csv!F:Q,12,FALSE),ServiceAreas.csv!B:I,8,FALSE),LocalAreas.csv!B:I,7,FALSE),200029)</f>
        <v>rg:None</v>
      </c>
      <c r="E14" s="8" t="str">
        <f t="shared" si="1"/>
        <v>rg:{'id':'rg:None'}</v>
      </c>
      <c r="F14" s="9" t="s">
        <v>7054</v>
      </c>
      <c r="G14" s="9" t="str">
        <f ca="1">INDEX(DistrictEquipmentTypes.csv!F:F,RANDBETWEEN(2,COUNTA(DistrictEquipmentTypes.csv!D:D)),1)</f>
        <v>200003</v>
      </c>
      <c r="H14" s="8" t="str">
        <f t="shared" ca="1" si="2"/>
        <v>rg:{ 'id': '200003'}</v>
      </c>
      <c r="I14" s="8">
        <f t="shared" ca="1" si="3"/>
        <v>5</v>
      </c>
      <c r="J14" s="8">
        <f t="shared" ca="1" si="4"/>
        <v>49</v>
      </c>
      <c r="K14" s="8" t="str">
        <f t="shared" ca="1" si="5"/>
        <v>2017-04-28</v>
      </c>
      <c r="L14" s="8" t="str">
        <f t="shared" ca="1" si="6"/>
        <v>2017-05-28</v>
      </c>
    </row>
    <row r="15" spans="1:12" x14ac:dyDescent="0.3">
      <c r="A15" s="8" t="s">
        <v>5668</v>
      </c>
      <c r="B15" s="8">
        <f t="shared" si="0"/>
        <v>600013</v>
      </c>
      <c r="C15" s="1" t="s">
        <v>6946</v>
      </c>
      <c r="D15" s="9" t="str">
        <f>IFERROR(VLOOKUP(VLOOKUP(VLOOKUP(C15,Project.csv!F:Q,12,FALSE),ServiceAreas.csv!B:I,8,FALSE),LocalAreas.csv!B:I,7,FALSE),200029)</f>
        <v>rg:None</v>
      </c>
      <c r="E15" s="8" t="str">
        <f t="shared" si="1"/>
        <v>rg:{'id':'rg:None'}</v>
      </c>
      <c r="F15" s="9" t="s">
        <v>7054</v>
      </c>
      <c r="G15" s="9" t="str">
        <f ca="1">INDEX(DistrictEquipmentTypes.csv!F:F,RANDBETWEEN(2,COUNTA(DistrictEquipmentTypes.csv!D:D)),1)</f>
        <v>200005</v>
      </c>
      <c r="H15" s="8" t="str">
        <f t="shared" ca="1" si="2"/>
        <v>rg:{ 'id': '200005'}</v>
      </c>
      <c r="I15" s="8">
        <f t="shared" ca="1" si="3"/>
        <v>1</v>
      </c>
      <c r="J15" s="8">
        <f t="shared" ca="1" si="4"/>
        <v>55</v>
      </c>
      <c r="K15" s="8" t="str">
        <f t="shared" ca="1" si="5"/>
        <v>2017-04-11</v>
      </c>
      <c r="L15" s="8" t="str">
        <f t="shared" ca="1" si="6"/>
        <v>2017-04-17</v>
      </c>
    </row>
    <row r="16" spans="1:12" x14ac:dyDescent="0.3">
      <c r="A16" s="8" t="s">
        <v>5668</v>
      </c>
      <c r="B16" s="8">
        <f t="shared" si="0"/>
        <v>600014</v>
      </c>
      <c r="C16" s="1" t="s">
        <v>6933</v>
      </c>
      <c r="D16" s="9" t="str">
        <f>IFERROR(VLOOKUP(VLOOKUP(VLOOKUP(C16,Project.csv!F:Q,12,FALSE),ServiceAreas.csv!B:I,8,FALSE),LocalAreas.csv!B:I,7,FALSE),200029)</f>
        <v>rg:None</v>
      </c>
      <c r="E16" s="8" t="str">
        <f t="shared" si="1"/>
        <v>rg:{'id':'rg:None'}</v>
      </c>
      <c r="F16" s="9" t="s">
        <v>7054</v>
      </c>
      <c r="G16" s="9" t="str">
        <f ca="1">INDEX(DistrictEquipmentTypes.csv!F:F,RANDBETWEEN(2,COUNTA(DistrictEquipmentTypes.csv!D:D)),1)</f>
        <v>200003</v>
      </c>
      <c r="H16" s="8" t="str">
        <f t="shared" ca="1" si="2"/>
        <v>rg:{ 'id': '200003'}</v>
      </c>
      <c r="I16" s="8">
        <f t="shared" ca="1" si="3"/>
        <v>1</v>
      </c>
      <c r="J16" s="8">
        <f t="shared" ca="1" si="4"/>
        <v>20</v>
      </c>
      <c r="K16" s="8" t="str">
        <f t="shared" ca="1" si="5"/>
        <v>2017-05-10</v>
      </c>
      <c r="L16" s="8" t="str">
        <f t="shared" ca="1" si="6"/>
        <v>2017-05-12</v>
      </c>
    </row>
    <row r="17" spans="1:12" x14ac:dyDescent="0.3">
      <c r="A17" s="8" t="s">
        <v>5668</v>
      </c>
      <c r="B17" s="8">
        <f t="shared" si="0"/>
        <v>600015</v>
      </c>
      <c r="C17" s="1" t="s">
        <v>6947</v>
      </c>
      <c r="D17" s="9" t="str">
        <f>IFERROR(VLOOKUP(VLOOKUP(VLOOKUP(C17,Project.csv!F:Q,12,FALSE),ServiceAreas.csv!B:I,8,FALSE),LocalAreas.csv!B:I,7,FALSE),200029)</f>
        <v>rg:None</v>
      </c>
      <c r="E17" s="8" t="str">
        <f t="shared" si="1"/>
        <v>rg:{'id':'rg:None'}</v>
      </c>
      <c r="F17" s="9" t="s">
        <v>7054</v>
      </c>
      <c r="G17" s="9" t="str">
        <f ca="1">INDEX(DistrictEquipmentTypes.csv!F:F,RANDBETWEEN(2,COUNTA(DistrictEquipmentTypes.csv!D:D)),1)</f>
        <v>200005</v>
      </c>
      <c r="H17" s="8" t="str">
        <f t="shared" ca="1" si="2"/>
        <v>rg:{ 'id': '200005'}</v>
      </c>
      <c r="I17" s="8">
        <f t="shared" ca="1" si="3"/>
        <v>3</v>
      </c>
      <c r="J17" s="8">
        <f t="shared" ca="1" si="4"/>
        <v>77</v>
      </c>
      <c r="K17" s="8" t="str">
        <f t="shared" ca="1" si="5"/>
        <v>2017-04-07</v>
      </c>
      <c r="L17" s="8" t="str">
        <f t="shared" ca="1" si="6"/>
        <v>2017-05-05</v>
      </c>
    </row>
    <row r="18" spans="1:12" x14ac:dyDescent="0.3">
      <c r="A18" s="8" t="s">
        <v>5668</v>
      </c>
      <c r="B18" s="8">
        <f t="shared" si="0"/>
        <v>600016</v>
      </c>
      <c r="C18" s="1" t="s">
        <v>6916</v>
      </c>
      <c r="D18" s="9" t="str">
        <f>IFERROR(VLOOKUP(VLOOKUP(VLOOKUP(C18,Project.csv!F:Q,12,FALSE),ServiceAreas.csv!B:I,8,FALSE),LocalAreas.csv!B:I,7,FALSE),200029)</f>
        <v>rg:None</v>
      </c>
      <c r="E18" s="8" t="str">
        <f t="shared" si="1"/>
        <v>rg:{'id':'rg:None'}</v>
      </c>
      <c r="F18" s="9" t="s">
        <v>7054</v>
      </c>
      <c r="G18" s="9" t="str">
        <f ca="1">INDEX(DistrictEquipmentTypes.csv!F:F,RANDBETWEEN(2,COUNTA(DistrictEquipmentTypes.csv!D:D)),1)</f>
        <v>200006</v>
      </c>
      <c r="H18" s="8" t="str">
        <f t="shared" ca="1" si="2"/>
        <v>rg:{ 'id': '200006'}</v>
      </c>
      <c r="I18" s="8">
        <f t="shared" ca="1" si="3"/>
        <v>4</v>
      </c>
      <c r="J18" s="8">
        <f t="shared" ca="1" si="4"/>
        <v>31</v>
      </c>
      <c r="K18" s="8" t="str">
        <f t="shared" ca="1" si="5"/>
        <v>2017-04-14</v>
      </c>
      <c r="L18" s="8" t="str">
        <f t="shared" ca="1" si="6"/>
        <v>2017-04-29</v>
      </c>
    </row>
    <row r="19" spans="1:12" x14ac:dyDescent="0.3">
      <c r="A19" s="8" t="s">
        <v>5668</v>
      </c>
      <c r="B19" s="8">
        <f t="shared" si="0"/>
        <v>600017</v>
      </c>
      <c r="C19" s="1" t="s">
        <v>6948</v>
      </c>
      <c r="D19" s="9" t="str">
        <f>IFERROR(VLOOKUP(VLOOKUP(VLOOKUP(C19,Project.csv!F:Q,12,FALSE),ServiceAreas.csv!B:I,8,FALSE),LocalAreas.csv!B:I,7,FALSE),200029)</f>
        <v>rg:None</v>
      </c>
      <c r="E19" s="8" t="str">
        <f t="shared" si="1"/>
        <v>rg:{'id':'rg:None'}</v>
      </c>
      <c r="F19" s="9" t="s">
        <v>7054</v>
      </c>
      <c r="G19" s="9" t="str">
        <f ca="1">INDEX(DistrictEquipmentTypes.csv!F:F,RANDBETWEEN(2,COUNTA(DistrictEquipmentTypes.csv!D:D)),1)</f>
        <v>200002</v>
      </c>
      <c r="H19" s="8" t="str">
        <f t="shared" ca="1" si="2"/>
        <v>rg:{ 'id': '200002'}</v>
      </c>
      <c r="I19" s="8">
        <f t="shared" ca="1" si="3"/>
        <v>1</v>
      </c>
      <c r="J19" s="8">
        <f t="shared" ca="1" si="4"/>
        <v>52</v>
      </c>
      <c r="K19" s="8" t="str">
        <f t="shared" ca="1" si="5"/>
        <v>2017-04-16</v>
      </c>
      <c r="L19" s="8" t="str">
        <f t="shared" ca="1" si="6"/>
        <v>2017-04-22</v>
      </c>
    </row>
    <row r="20" spans="1:12" x14ac:dyDescent="0.3">
      <c r="A20" s="8" t="s">
        <v>5668</v>
      </c>
      <c r="B20" s="8">
        <f t="shared" si="0"/>
        <v>600018</v>
      </c>
      <c r="C20" s="1" t="s">
        <v>6893</v>
      </c>
      <c r="D20" s="9" t="str">
        <f>IFERROR(VLOOKUP(VLOOKUP(VLOOKUP(C20,Project.csv!F:Q,12,FALSE),ServiceAreas.csv!B:I,8,FALSE),LocalAreas.csv!B:I,7,FALSE),200029)</f>
        <v>rg:None</v>
      </c>
      <c r="E20" s="8" t="str">
        <f t="shared" si="1"/>
        <v>rg:{'id':'rg:None'}</v>
      </c>
      <c r="F20" s="9" t="s">
        <v>7054</v>
      </c>
      <c r="G20" s="9" t="str">
        <f ca="1">INDEX(DistrictEquipmentTypes.csv!F:F,RANDBETWEEN(2,COUNTA(DistrictEquipmentTypes.csv!D:D)),1)</f>
        <v>200005</v>
      </c>
      <c r="H20" s="8" t="str">
        <f t="shared" ca="1" si="2"/>
        <v>rg:{ 'id': '200005'}</v>
      </c>
      <c r="I20" s="8">
        <f t="shared" ca="1" si="3"/>
        <v>1</v>
      </c>
      <c r="J20" s="8">
        <f t="shared" ca="1" si="4"/>
        <v>46</v>
      </c>
      <c r="K20" s="8" t="str">
        <f t="shared" ca="1" si="5"/>
        <v>2017-04-08</v>
      </c>
      <c r="L20" s="8" t="str">
        <f t="shared" ca="1" si="6"/>
        <v>2017-04-13</v>
      </c>
    </row>
    <row r="21" spans="1:12" x14ac:dyDescent="0.3">
      <c r="A21" s="8" t="s">
        <v>5668</v>
      </c>
      <c r="B21" s="8">
        <f t="shared" si="0"/>
        <v>600019</v>
      </c>
      <c r="C21" s="1" t="s">
        <v>6949</v>
      </c>
      <c r="D21" s="9" t="str">
        <f>IFERROR(VLOOKUP(VLOOKUP(VLOOKUP(C21,Project.csv!F:Q,12,FALSE),ServiceAreas.csv!B:I,8,FALSE),LocalAreas.csv!B:I,7,FALSE),200029)</f>
        <v>rg:None</v>
      </c>
      <c r="E21" s="8" t="str">
        <f t="shared" si="1"/>
        <v>rg:{'id':'rg:None'}</v>
      </c>
      <c r="F21" s="9" t="s">
        <v>7054</v>
      </c>
      <c r="G21" s="9" t="str">
        <f ca="1">INDEX(DistrictEquipmentTypes.csv!F:F,RANDBETWEEN(2,COUNTA(DistrictEquipmentTypes.csv!D:D)),1)</f>
        <v>200005</v>
      </c>
      <c r="H21" s="8" t="str">
        <f t="shared" ca="1" si="2"/>
        <v>rg:{ 'id': '200005'}</v>
      </c>
      <c r="I21" s="8">
        <f t="shared" ca="1" si="3"/>
        <v>1</v>
      </c>
      <c r="J21" s="8">
        <f t="shared" ca="1" si="4"/>
        <v>27</v>
      </c>
      <c r="K21" s="8" t="str">
        <f t="shared" ca="1" si="5"/>
        <v>2017-04-07</v>
      </c>
      <c r="L21" s="8" t="str">
        <f t="shared" ca="1" si="6"/>
        <v>2017-04-10</v>
      </c>
    </row>
    <row r="22" spans="1:12" x14ac:dyDescent="0.3">
      <c r="A22" s="8" t="s">
        <v>5668</v>
      </c>
      <c r="B22" s="8">
        <f t="shared" si="0"/>
        <v>600020</v>
      </c>
      <c r="C22" s="1" t="s">
        <v>6900</v>
      </c>
      <c r="D22" s="9" t="str">
        <f>IFERROR(VLOOKUP(VLOOKUP(VLOOKUP(C22,Project.csv!F:Q,12,FALSE),ServiceAreas.csv!B:I,8,FALSE),LocalAreas.csv!B:I,7,FALSE),200029)</f>
        <v>rg:None</v>
      </c>
      <c r="E22" s="8" t="str">
        <f t="shared" si="1"/>
        <v>rg:{'id':'rg:None'}</v>
      </c>
      <c r="F22" s="9" t="s">
        <v>7054</v>
      </c>
      <c r="G22" s="9" t="str">
        <f ca="1">INDEX(DistrictEquipmentTypes.csv!F:F,RANDBETWEEN(2,COUNTA(DistrictEquipmentTypes.csv!D:D)),1)</f>
        <v>200004</v>
      </c>
      <c r="H22" s="8" t="str">
        <f t="shared" ca="1" si="2"/>
        <v>rg:{ 'id': '200004'}</v>
      </c>
      <c r="I22" s="8">
        <f t="shared" ca="1" si="3"/>
        <v>1</v>
      </c>
      <c r="J22" s="8">
        <f t="shared" ca="1" si="4"/>
        <v>22</v>
      </c>
      <c r="K22" s="8" t="str">
        <f t="shared" ca="1" si="5"/>
        <v>2017-05-02</v>
      </c>
      <c r="L22" s="8" t="str">
        <f t="shared" ca="1" si="6"/>
        <v>2017-05-04</v>
      </c>
    </row>
    <row r="23" spans="1:12" x14ac:dyDescent="0.3">
      <c r="A23" s="8" t="s">
        <v>5668</v>
      </c>
      <c r="B23" s="8">
        <f t="shared" si="0"/>
        <v>600021</v>
      </c>
      <c r="C23" s="1" t="s">
        <v>6950</v>
      </c>
      <c r="D23" s="9" t="str">
        <f>IFERROR(VLOOKUP(VLOOKUP(VLOOKUP(C23,Project.csv!F:Q,12,FALSE),ServiceAreas.csv!B:I,8,FALSE),LocalAreas.csv!B:I,7,FALSE),200029)</f>
        <v>rg:None</v>
      </c>
      <c r="E23" s="8" t="str">
        <f t="shared" si="1"/>
        <v>rg:{'id':'rg:None'}</v>
      </c>
      <c r="F23" s="9" t="s">
        <v>7054</v>
      </c>
      <c r="G23" s="9" t="str">
        <f ca="1">INDEX(DistrictEquipmentTypes.csv!F:F,RANDBETWEEN(2,COUNTA(DistrictEquipmentTypes.csv!D:D)),1)</f>
        <v>200006</v>
      </c>
      <c r="H23" s="8" t="str">
        <f t="shared" ca="1" si="2"/>
        <v>rg:{ 'id': '200006'}</v>
      </c>
      <c r="I23" s="8">
        <f t="shared" ca="1" si="3"/>
        <v>1</v>
      </c>
      <c r="J23" s="8">
        <f t="shared" ca="1" si="4"/>
        <v>51</v>
      </c>
      <c r="K23" s="8" t="str">
        <f t="shared" ca="1" si="5"/>
        <v>2017-05-20</v>
      </c>
      <c r="L23" s="8" t="str">
        <f t="shared" ca="1" si="6"/>
        <v>2017-05-26</v>
      </c>
    </row>
    <row r="24" spans="1:12" x14ac:dyDescent="0.3">
      <c r="A24" s="8" t="s">
        <v>5668</v>
      </c>
      <c r="B24" s="8">
        <f t="shared" si="0"/>
        <v>600022</v>
      </c>
      <c r="C24" s="1" t="s">
        <v>6892</v>
      </c>
      <c r="D24" s="9" t="str">
        <f>IFERROR(VLOOKUP(VLOOKUP(VLOOKUP(C24,Project.csv!F:Q,12,FALSE),ServiceAreas.csv!B:I,8,FALSE),LocalAreas.csv!B:I,7,FALSE),200029)</f>
        <v>rg:None</v>
      </c>
      <c r="E24" s="8" t="str">
        <f t="shared" si="1"/>
        <v>rg:{'id':'rg:None'}</v>
      </c>
      <c r="F24" s="9" t="s">
        <v>7054</v>
      </c>
      <c r="G24" s="9" t="str">
        <f ca="1">INDEX(DistrictEquipmentTypes.csv!F:F,RANDBETWEEN(2,COUNTA(DistrictEquipmentTypes.csv!D:D)),1)</f>
        <v>200004</v>
      </c>
      <c r="H24" s="8" t="str">
        <f t="shared" ca="1" si="2"/>
        <v>rg:{ 'id': '200004'}</v>
      </c>
      <c r="I24" s="8">
        <f t="shared" ca="1" si="3"/>
        <v>1</v>
      </c>
      <c r="J24" s="8">
        <f t="shared" ca="1" si="4"/>
        <v>44</v>
      </c>
      <c r="K24" s="8" t="str">
        <f t="shared" ca="1" si="5"/>
        <v>2017-04-02</v>
      </c>
      <c r="L24" s="8" t="str">
        <f t="shared" ca="1" si="6"/>
        <v>2017-04-07</v>
      </c>
    </row>
    <row r="25" spans="1:12" x14ac:dyDescent="0.3">
      <c r="A25" s="8" t="s">
        <v>5668</v>
      </c>
      <c r="B25" s="8">
        <f t="shared" si="0"/>
        <v>600023</v>
      </c>
      <c r="C25" s="1" t="s">
        <v>6951</v>
      </c>
      <c r="D25" s="9" t="str">
        <f>IFERROR(VLOOKUP(VLOOKUP(VLOOKUP(C25,Project.csv!F:Q,12,FALSE),ServiceAreas.csv!B:I,8,FALSE),LocalAreas.csv!B:I,7,FALSE),200029)</f>
        <v>rg:None</v>
      </c>
      <c r="E25" s="8" t="str">
        <f t="shared" si="1"/>
        <v>rg:{'id':'rg:None'}</v>
      </c>
      <c r="F25" s="9" t="s">
        <v>7054</v>
      </c>
      <c r="G25" s="9" t="str">
        <f ca="1">INDEX(DistrictEquipmentTypes.csv!F:F,RANDBETWEEN(2,COUNTA(DistrictEquipmentTypes.csv!D:D)),1)</f>
        <v>200000</v>
      </c>
      <c r="H25" s="8" t="str">
        <f t="shared" ca="1" si="2"/>
        <v>rg:{ 'id': '200000'}</v>
      </c>
      <c r="I25" s="8">
        <f t="shared" ca="1" si="3"/>
        <v>1</v>
      </c>
      <c r="J25" s="8">
        <f t="shared" ca="1" si="4"/>
        <v>28</v>
      </c>
      <c r="K25" s="8" t="str">
        <f t="shared" ca="1" si="5"/>
        <v>2017-04-27</v>
      </c>
      <c r="L25" s="8" t="str">
        <f t="shared" ca="1" si="6"/>
        <v>2017-04-30</v>
      </c>
    </row>
    <row r="26" spans="1:12" x14ac:dyDescent="0.3">
      <c r="A26" s="8" t="s">
        <v>5668</v>
      </c>
      <c r="B26" s="8">
        <f t="shared" si="0"/>
        <v>600024</v>
      </c>
      <c r="C26" s="1" t="s">
        <v>6952</v>
      </c>
      <c r="D26" s="9" t="str">
        <f>IFERROR(VLOOKUP(VLOOKUP(VLOOKUP(C26,Project.csv!F:Q,12,FALSE),ServiceAreas.csv!B:I,8,FALSE),LocalAreas.csv!B:I,7,FALSE),200029)</f>
        <v>rg:None</v>
      </c>
      <c r="E26" s="8" t="str">
        <f t="shared" si="1"/>
        <v>rg:{'id':'rg:None'}</v>
      </c>
      <c r="F26" s="9" t="s">
        <v>7054</v>
      </c>
      <c r="G26" s="9" t="str">
        <f ca="1">INDEX(DistrictEquipmentTypes.csv!F:F,RANDBETWEEN(2,COUNTA(DistrictEquipmentTypes.csv!D:D)),1)</f>
        <v>200000</v>
      </c>
      <c r="H26" s="8" t="str">
        <f t="shared" ca="1" si="2"/>
        <v>rg:{ 'id': '200000'}</v>
      </c>
      <c r="I26" s="8">
        <f t="shared" ca="1" si="3"/>
        <v>1</v>
      </c>
      <c r="J26" s="8">
        <f t="shared" ca="1" si="4"/>
        <v>83</v>
      </c>
      <c r="K26" s="8" t="str">
        <f t="shared" ca="1" si="5"/>
        <v>2017-04-20</v>
      </c>
      <c r="L26" s="8" t="str">
        <f t="shared" ca="1" si="6"/>
        <v>2017-04-30</v>
      </c>
    </row>
    <row r="27" spans="1:12" x14ac:dyDescent="0.3">
      <c r="A27" s="8" t="s">
        <v>5668</v>
      </c>
      <c r="B27" s="8">
        <f t="shared" si="0"/>
        <v>600025</v>
      </c>
      <c r="C27" s="1" t="s">
        <v>6911</v>
      </c>
      <c r="D27" s="9" t="str">
        <f>IFERROR(VLOOKUP(VLOOKUP(VLOOKUP(C27,Project.csv!F:Q,12,FALSE),ServiceAreas.csv!B:I,8,FALSE),LocalAreas.csv!B:I,7,FALSE),200029)</f>
        <v>rg:None</v>
      </c>
      <c r="E27" s="8" t="str">
        <f t="shared" si="1"/>
        <v>rg:{'id':'rg:None'}</v>
      </c>
      <c r="F27" s="9" t="s">
        <v>7054</v>
      </c>
      <c r="G27" s="9" t="str">
        <f ca="1">INDEX(DistrictEquipmentTypes.csv!F:F,RANDBETWEEN(2,COUNTA(DistrictEquipmentTypes.csv!D:D)),1)</f>
        <v>200007</v>
      </c>
      <c r="H27" s="8" t="str">
        <f t="shared" ca="1" si="2"/>
        <v>rg:{ 'id': '200007'}</v>
      </c>
      <c r="I27" s="8">
        <f t="shared" ca="1" si="3"/>
        <v>2</v>
      </c>
      <c r="J27" s="8">
        <f t="shared" ca="1" si="4"/>
        <v>84</v>
      </c>
      <c r="K27" s="8" t="str">
        <f t="shared" ca="1" si="5"/>
        <v>2017-05-16</v>
      </c>
      <c r="L27" s="8" t="str">
        <f t="shared" ca="1" si="6"/>
        <v>2017-06-06</v>
      </c>
    </row>
    <row r="28" spans="1:12" x14ac:dyDescent="0.3">
      <c r="A28" s="8" t="s">
        <v>5668</v>
      </c>
      <c r="B28" s="8">
        <f t="shared" si="0"/>
        <v>600026</v>
      </c>
      <c r="C28" s="1" t="s">
        <v>6953</v>
      </c>
      <c r="D28" s="9" t="str">
        <f>IFERROR(VLOOKUP(VLOOKUP(VLOOKUP(C28,Project.csv!F:Q,12,FALSE),ServiceAreas.csv!B:I,8,FALSE),LocalAreas.csv!B:I,7,FALSE),200029)</f>
        <v>rg:None</v>
      </c>
      <c r="E28" s="8" t="str">
        <f t="shared" si="1"/>
        <v>rg:{'id':'rg:None'}</v>
      </c>
      <c r="F28" s="9" t="s">
        <v>7054</v>
      </c>
      <c r="G28" s="9" t="str">
        <f ca="1">INDEX(DistrictEquipmentTypes.csv!F:F,RANDBETWEEN(2,COUNTA(DistrictEquipmentTypes.csv!D:D)),1)</f>
        <v>200009</v>
      </c>
      <c r="H28" s="8" t="str">
        <f t="shared" ca="1" si="2"/>
        <v>rg:{ 'id': '200009'}</v>
      </c>
      <c r="I28" s="8">
        <f t="shared" ca="1" si="3"/>
        <v>1</v>
      </c>
      <c r="J28" s="8">
        <f t="shared" ca="1" si="4"/>
        <v>75</v>
      </c>
      <c r="K28" s="8" t="str">
        <f t="shared" ca="1" si="5"/>
        <v>2017-05-13</v>
      </c>
      <c r="L28" s="8" t="str">
        <f t="shared" ca="1" si="6"/>
        <v>2017-05-22</v>
      </c>
    </row>
    <row r="29" spans="1:12" x14ac:dyDescent="0.3">
      <c r="A29" s="8" t="s">
        <v>5668</v>
      </c>
      <c r="B29" s="8">
        <f t="shared" si="0"/>
        <v>600027</v>
      </c>
      <c r="C29" s="1" t="s">
        <v>6926</v>
      </c>
      <c r="D29" s="9" t="str">
        <f>IFERROR(VLOOKUP(VLOOKUP(VLOOKUP(C29,Project.csv!F:Q,12,FALSE),ServiceAreas.csv!B:I,8,FALSE),LocalAreas.csv!B:I,7,FALSE),200029)</f>
        <v>rg:None</v>
      </c>
      <c r="E29" s="8" t="str">
        <f t="shared" si="1"/>
        <v>rg:{'id':'rg:None'}</v>
      </c>
      <c r="F29" s="9" t="s">
        <v>7054</v>
      </c>
      <c r="G29" s="9" t="str">
        <f ca="1">INDEX(DistrictEquipmentTypes.csv!F:F,RANDBETWEEN(2,COUNTA(DistrictEquipmentTypes.csv!D:D)),1)</f>
        <v>200007</v>
      </c>
      <c r="H29" s="8" t="str">
        <f t="shared" ca="1" si="2"/>
        <v>rg:{ 'id': '200007'}</v>
      </c>
      <c r="I29" s="8">
        <f t="shared" ca="1" si="3"/>
        <v>1</v>
      </c>
      <c r="J29" s="8">
        <f t="shared" ca="1" si="4"/>
        <v>73</v>
      </c>
      <c r="K29" s="8" t="str">
        <f t="shared" ca="1" si="5"/>
        <v>2017-05-04</v>
      </c>
      <c r="L29" s="8" t="str">
        <f t="shared" ca="1" si="6"/>
        <v>2017-05-13</v>
      </c>
    </row>
    <row r="30" spans="1:12" x14ac:dyDescent="0.3">
      <c r="A30" s="8" t="s">
        <v>5668</v>
      </c>
      <c r="B30" s="8">
        <f t="shared" si="0"/>
        <v>600028</v>
      </c>
      <c r="C30" s="1" t="s">
        <v>6954</v>
      </c>
      <c r="D30" s="9">
        <f>IFERROR(VLOOKUP(VLOOKUP(VLOOKUP(C30,Project.csv!F:Q,12,FALSE),ServiceAreas.csv!B:I,8,FALSE),LocalAreas.csv!B:I,7,FALSE),200029)</f>
        <v>200029</v>
      </c>
      <c r="E30" s="8" t="str">
        <f t="shared" si="1"/>
        <v>rg:{'id':'200029'}</v>
      </c>
      <c r="F30" s="9" t="s">
        <v>7054</v>
      </c>
      <c r="G30" s="9" t="str">
        <f ca="1">INDEX(DistrictEquipmentTypes.csv!F:F,RANDBETWEEN(2,COUNTA(DistrictEquipmentTypes.csv!D:D)),1)</f>
        <v>200006</v>
      </c>
      <c r="H30" s="8" t="str">
        <f t="shared" ca="1" si="2"/>
        <v>rg:{ 'id': '200006'}</v>
      </c>
      <c r="I30" s="8">
        <f t="shared" ca="1" si="3"/>
        <v>1</v>
      </c>
      <c r="J30" s="8">
        <f t="shared" ca="1" si="4"/>
        <v>7</v>
      </c>
      <c r="K30" s="8" t="str">
        <f t="shared" ca="1" si="5"/>
        <v>2017-05-25</v>
      </c>
      <c r="L30" s="8" t="str">
        <f t="shared" ca="1" si="6"/>
        <v>2017-05-25</v>
      </c>
    </row>
    <row r="31" spans="1:12" x14ac:dyDescent="0.3">
      <c r="A31" s="8" t="s">
        <v>5668</v>
      </c>
      <c r="B31" s="8">
        <f t="shared" si="0"/>
        <v>600029</v>
      </c>
      <c r="C31" s="1" t="s">
        <v>6955</v>
      </c>
      <c r="D31" s="9">
        <f>IFERROR(VLOOKUP(VLOOKUP(VLOOKUP(C31,Project.csv!F:Q,12,FALSE),ServiceAreas.csv!B:I,8,FALSE),LocalAreas.csv!B:I,7,FALSE),200029)</f>
        <v>200029</v>
      </c>
      <c r="E31" s="8" t="str">
        <f t="shared" si="1"/>
        <v>rg:{'id':'200029'}</v>
      </c>
      <c r="F31" s="9" t="s">
        <v>7054</v>
      </c>
      <c r="G31" s="9" t="str">
        <f ca="1">INDEX(DistrictEquipmentTypes.csv!F:F,RANDBETWEEN(2,COUNTA(DistrictEquipmentTypes.csv!D:D)),1)</f>
        <v>200006</v>
      </c>
      <c r="H31" s="8" t="str">
        <f t="shared" ca="1" si="2"/>
        <v>rg:{ 'id': '200006'}</v>
      </c>
      <c r="I31" s="8">
        <f t="shared" ca="1" si="3"/>
        <v>1</v>
      </c>
      <c r="J31" s="8">
        <f t="shared" ca="1" si="4"/>
        <v>74</v>
      </c>
      <c r="K31" s="8" t="str">
        <f t="shared" ca="1" si="5"/>
        <v>2017-04-15</v>
      </c>
      <c r="L31" s="8" t="str">
        <f t="shared" ca="1" si="6"/>
        <v>2017-04-24</v>
      </c>
    </row>
    <row r="32" spans="1:12" x14ac:dyDescent="0.3">
      <c r="A32" s="8" t="s">
        <v>5668</v>
      </c>
      <c r="B32" s="8">
        <f t="shared" si="0"/>
        <v>600030</v>
      </c>
      <c r="C32" s="1" t="s">
        <v>6956</v>
      </c>
      <c r="D32" s="9">
        <f>IFERROR(VLOOKUP(VLOOKUP(VLOOKUP(C32,Project.csv!F:Q,12,FALSE),ServiceAreas.csv!B:I,8,FALSE),LocalAreas.csv!B:I,7,FALSE),200029)</f>
        <v>200029</v>
      </c>
      <c r="E32" s="8" t="str">
        <f t="shared" si="1"/>
        <v>rg:{'id':'200029'}</v>
      </c>
      <c r="F32" s="9" t="s">
        <v>7054</v>
      </c>
      <c r="G32" s="9" t="str">
        <f ca="1">INDEX(DistrictEquipmentTypes.csv!F:F,RANDBETWEEN(2,COUNTA(DistrictEquipmentTypes.csv!D:D)),1)</f>
        <v>200001</v>
      </c>
      <c r="H32" s="8" t="str">
        <f t="shared" ca="1" si="2"/>
        <v>rg:{ 'id': '200001'}</v>
      </c>
      <c r="I32" s="8">
        <f t="shared" ca="1" si="3"/>
        <v>1</v>
      </c>
      <c r="J32" s="8">
        <f t="shared" ca="1" si="4"/>
        <v>20</v>
      </c>
      <c r="K32" s="8" t="str">
        <f t="shared" ca="1" si="5"/>
        <v>2017-05-02</v>
      </c>
      <c r="L32" s="8" t="str">
        <f t="shared" ca="1" si="6"/>
        <v>2017-05-04</v>
      </c>
    </row>
    <row r="33" spans="1:12" x14ac:dyDescent="0.3">
      <c r="A33" s="8" t="s">
        <v>5668</v>
      </c>
      <c r="B33" s="8">
        <f t="shared" si="0"/>
        <v>600031</v>
      </c>
      <c r="C33" s="1" t="s">
        <v>6957</v>
      </c>
      <c r="D33" s="9">
        <f>IFERROR(VLOOKUP(VLOOKUP(VLOOKUP(C33,Project.csv!F:Q,12,FALSE),ServiceAreas.csv!B:I,8,FALSE),LocalAreas.csv!B:I,7,FALSE),200029)</f>
        <v>200029</v>
      </c>
      <c r="E33" s="8" t="str">
        <f t="shared" si="1"/>
        <v>rg:{'id':'200029'}</v>
      </c>
      <c r="F33" s="9" t="s">
        <v>7054</v>
      </c>
      <c r="G33" s="9" t="str">
        <f ca="1">INDEX(DistrictEquipmentTypes.csv!F:F,RANDBETWEEN(2,COUNTA(DistrictEquipmentTypes.csv!D:D)),1)</f>
        <v>200009</v>
      </c>
      <c r="H33" s="8" t="str">
        <f t="shared" ca="1" si="2"/>
        <v>rg:{ 'id': '200009'}</v>
      </c>
      <c r="I33" s="8">
        <f t="shared" ca="1" si="3"/>
        <v>1</v>
      </c>
      <c r="J33" s="8">
        <f t="shared" ca="1" si="4"/>
        <v>84</v>
      </c>
      <c r="K33" s="8" t="str">
        <f t="shared" ca="1" si="5"/>
        <v>2017-04-03</v>
      </c>
      <c r="L33" s="8" t="str">
        <f t="shared" ca="1" si="6"/>
        <v>2017-04-13</v>
      </c>
    </row>
    <row r="34" spans="1:12" x14ac:dyDescent="0.3">
      <c r="A34" s="8" t="s">
        <v>5668</v>
      </c>
      <c r="B34" s="8">
        <f t="shared" si="0"/>
        <v>600032</v>
      </c>
      <c r="C34" s="1" t="s">
        <v>6958</v>
      </c>
      <c r="D34" s="9">
        <f>IFERROR(VLOOKUP(VLOOKUP(VLOOKUP(C34,Project.csv!F:Q,12,FALSE),ServiceAreas.csv!B:I,8,FALSE),LocalAreas.csv!B:I,7,FALSE),200029)</f>
        <v>200029</v>
      </c>
      <c r="E34" s="8" t="str">
        <f t="shared" si="1"/>
        <v>rg:{'id':'200029'}</v>
      </c>
      <c r="F34" s="9" t="s">
        <v>7054</v>
      </c>
      <c r="G34" s="9" t="str">
        <f ca="1">INDEX(DistrictEquipmentTypes.csv!F:F,RANDBETWEEN(2,COUNTA(DistrictEquipmentTypes.csv!D:D)),1)</f>
        <v>200009</v>
      </c>
      <c r="H34" s="8" t="str">
        <f t="shared" ca="1" si="2"/>
        <v>rg:{ 'id': '200009'}</v>
      </c>
      <c r="I34" s="8">
        <f t="shared" ca="1" si="3"/>
        <v>1</v>
      </c>
      <c r="J34" s="8">
        <f t="shared" ca="1" si="4"/>
        <v>72</v>
      </c>
      <c r="K34" s="8" t="str">
        <f t="shared" ca="1" si="5"/>
        <v>2017-04-12</v>
      </c>
      <c r="L34" s="8" t="str">
        <f t="shared" ca="1" si="6"/>
        <v>2017-04-21</v>
      </c>
    </row>
    <row r="35" spans="1:12" x14ac:dyDescent="0.3">
      <c r="A35" s="8" t="s">
        <v>5668</v>
      </c>
      <c r="B35" s="8">
        <f t="shared" si="0"/>
        <v>600033</v>
      </c>
      <c r="C35" s="1" t="s">
        <v>6902</v>
      </c>
      <c r="D35" s="9">
        <f>IFERROR(VLOOKUP(VLOOKUP(VLOOKUP(C35,Project.csv!F:Q,12,FALSE),ServiceAreas.csv!B:I,8,FALSE),LocalAreas.csv!B:I,7,FALSE),200029)</f>
        <v>200029</v>
      </c>
      <c r="E35" s="8" t="str">
        <f t="shared" si="1"/>
        <v>rg:{'id':'200029'}</v>
      </c>
      <c r="F35" s="9" t="s">
        <v>7054</v>
      </c>
      <c r="G35" s="9" t="str">
        <f ca="1">INDEX(DistrictEquipmentTypes.csv!F:F,RANDBETWEEN(2,COUNTA(DistrictEquipmentTypes.csv!D:D)),1)</f>
        <v>200006</v>
      </c>
      <c r="H35" s="8" t="str">
        <f t="shared" ca="1" si="2"/>
        <v>rg:{ 'id': '200006'}</v>
      </c>
      <c r="I35" s="8">
        <f t="shared" ca="1" si="3"/>
        <v>4</v>
      </c>
      <c r="J35" s="8">
        <f t="shared" ca="1" si="4"/>
        <v>34</v>
      </c>
      <c r="K35" s="8" t="str">
        <f t="shared" ca="1" si="5"/>
        <v>2017-05-12</v>
      </c>
      <c r="L35" s="8" t="str">
        <f t="shared" ca="1" si="6"/>
        <v>2017-05-29</v>
      </c>
    </row>
    <row r="36" spans="1:12" x14ac:dyDescent="0.3">
      <c r="A36" s="8" t="s">
        <v>5668</v>
      </c>
      <c r="B36" s="8">
        <f t="shared" si="0"/>
        <v>600034</v>
      </c>
      <c r="C36" s="1" t="s">
        <v>6908</v>
      </c>
      <c r="D36" s="9">
        <f>IFERROR(VLOOKUP(VLOOKUP(VLOOKUP(C36,Project.csv!F:Q,12,FALSE),ServiceAreas.csv!B:I,8,FALSE),LocalAreas.csv!B:I,7,FALSE),200029)</f>
        <v>200029</v>
      </c>
      <c r="E36" s="8" t="str">
        <f t="shared" si="1"/>
        <v>rg:{'id':'200029'}</v>
      </c>
      <c r="F36" s="9" t="s">
        <v>7055</v>
      </c>
      <c r="G36" s="9" t="str">
        <f ca="1">INDEX(DistrictEquipmentTypes.csv!F:F,RANDBETWEEN(2,COUNTA(DistrictEquipmentTypes.csv!D:D)),1)</f>
        <v>200000</v>
      </c>
      <c r="H36" s="8" t="str">
        <f t="shared" ca="1" si="2"/>
        <v>rg:{ 'id': '200000'}</v>
      </c>
      <c r="I36" s="8">
        <f t="shared" ca="1" si="3"/>
        <v>1</v>
      </c>
      <c r="J36" s="8">
        <f t="shared" ca="1" si="4"/>
        <v>38</v>
      </c>
      <c r="K36" s="8" t="str">
        <f t="shared" ca="1" si="5"/>
        <v>2017-04-06</v>
      </c>
      <c r="L36" s="8" t="str">
        <f t="shared" ca="1" si="6"/>
        <v>2017-04-10</v>
      </c>
    </row>
    <row r="37" spans="1:12" x14ac:dyDescent="0.3">
      <c r="A37" s="8" t="s">
        <v>5668</v>
      </c>
      <c r="B37" s="8">
        <f t="shared" si="0"/>
        <v>600035</v>
      </c>
      <c r="C37" s="1" t="s">
        <v>6959</v>
      </c>
      <c r="D37" s="9" t="str">
        <f>IFERROR(VLOOKUP(VLOOKUP(VLOOKUP(C37,Project.csv!F:Q,12,FALSE),ServiceAreas.csv!B:I,8,FALSE),LocalAreas.csv!B:I,7,FALSE),200029)</f>
        <v>rg:None</v>
      </c>
      <c r="E37" s="8" t="str">
        <f t="shared" si="1"/>
        <v>rg:{'id':'rg:None'}</v>
      </c>
      <c r="F37" s="9" t="s">
        <v>7055</v>
      </c>
      <c r="G37" s="9" t="str">
        <f ca="1">INDEX(DistrictEquipmentTypes.csv!F:F,RANDBETWEEN(2,COUNTA(DistrictEquipmentTypes.csv!D:D)),1)</f>
        <v>200002</v>
      </c>
      <c r="H37" s="8" t="str">
        <f t="shared" ca="1" si="2"/>
        <v>rg:{ 'id': '200002'}</v>
      </c>
      <c r="I37" s="8">
        <f t="shared" ca="1" si="3"/>
        <v>1</v>
      </c>
      <c r="J37" s="8">
        <f t="shared" ca="1" si="4"/>
        <v>91</v>
      </c>
      <c r="K37" s="8" t="str">
        <f t="shared" ca="1" si="5"/>
        <v>2017-04-09</v>
      </c>
      <c r="L37" s="8" t="str">
        <f t="shared" ca="1" si="6"/>
        <v>2017-04-20</v>
      </c>
    </row>
    <row r="38" spans="1:12" x14ac:dyDescent="0.3">
      <c r="A38" s="8" t="s">
        <v>5668</v>
      </c>
      <c r="B38" s="8">
        <f t="shared" si="0"/>
        <v>600036</v>
      </c>
      <c r="C38" s="1" t="s">
        <v>6960</v>
      </c>
      <c r="D38" s="9" t="str">
        <f>IFERROR(VLOOKUP(VLOOKUP(VLOOKUP(C38,Project.csv!F:Q,12,FALSE),ServiceAreas.csv!B:I,8,FALSE),LocalAreas.csv!B:I,7,FALSE),200029)</f>
        <v>rg:None</v>
      </c>
      <c r="E38" s="8" t="str">
        <f t="shared" si="1"/>
        <v>rg:{'id':'rg:None'}</v>
      </c>
      <c r="F38" s="9" t="s">
        <v>7054</v>
      </c>
      <c r="G38" s="9" t="str">
        <f ca="1">INDEX(DistrictEquipmentTypes.csv!F:F,RANDBETWEEN(2,COUNTA(DistrictEquipmentTypes.csv!D:D)),1)</f>
        <v>200003</v>
      </c>
      <c r="H38" s="8" t="str">
        <f t="shared" ca="1" si="2"/>
        <v>rg:{ 'id': '200003'}</v>
      </c>
      <c r="I38" s="8">
        <f t="shared" ca="1" si="3"/>
        <v>2</v>
      </c>
      <c r="J38" s="8">
        <f t="shared" ca="1" si="4"/>
        <v>59</v>
      </c>
      <c r="K38" s="8" t="str">
        <f t="shared" ca="1" si="5"/>
        <v>2017-05-09</v>
      </c>
      <c r="L38" s="8" t="str">
        <f t="shared" ca="1" si="6"/>
        <v>2017-05-23</v>
      </c>
    </row>
    <row r="39" spans="1:12" x14ac:dyDescent="0.3">
      <c r="A39" s="8" t="s">
        <v>5668</v>
      </c>
      <c r="B39" s="8">
        <f t="shared" si="0"/>
        <v>600037</v>
      </c>
      <c r="C39" s="1" t="s">
        <v>6961</v>
      </c>
      <c r="D39" s="9" t="str">
        <f>IFERROR(VLOOKUP(VLOOKUP(VLOOKUP(C39,Project.csv!F:Q,12,FALSE),ServiceAreas.csv!B:I,8,FALSE),LocalAreas.csv!B:I,7,FALSE),200029)</f>
        <v>rg:None</v>
      </c>
      <c r="E39" s="8" t="str">
        <f t="shared" si="1"/>
        <v>rg:{'id':'rg:None'}</v>
      </c>
      <c r="F39" s="9" t="s">
        <v>7054</v>
      </c>
      <c r="G39" s="9" t="str">
        <f ca="1">INDEX(DistrictEquipmentTypes.csv!F:F,RANDBETWEEN(2,COUNTA(DistrictEquipmentTypes.csv!D:D)),1)</f>
        <v>200000</v>
      </c>
      <c r="H39" s="8" t="str">
        <f t="shared" ca="1" si="2"/>
        <v>rg:{ 'id': '200000'}</v>
      </c>
      <c r="I39" s="8">
        <f t="shared" ca="1" si="3"/>
        <v>1</v>
      </c>
      <c r="J39" s="8">
        <f t="shared" ca="1" si="4"/>
        <v>37</v>
      </c>
      <c r="K39" s="8" t="str">
        <f t="shared" ca="1" si="5"/>
        <v>2017-05-05</v>
      </c>
      <c r="L39" s="8" t="str">
        <f t="shared" ca="1" si="6"/>
        <v>2017-05-09</v>
      </c>
    </row>
    <row r="40" spans="1:12" x14ac:dyDescent="0.3">
      <c r="A40" s="8" t="s">
        <v>5668</v>
      </c>
      <c r="B40" s="8">
        <f t="shared" si="0"/>
        <v>600038</v>
      </c>
      <c r="C40" s="1" t="s">
        <v>6928</v>
      </c>
      <c r="D40" s="9" t="str">
        <f>IFERROR(VLOOKUP(VLOOKUP(VLOOKUP(C40,Project.csv!F:Q,12,FALSE),ServiceAreas.csv!B:I,8,FALSE),LocalAreas.csv!B:I,7,FALSE),200029)</f>
        <v>rg:None</v>
      </c>
      <c r="E40" s="8" t="str">
        <f t="shared" si="1"/>
        <v>rg:{'id':'rg:None'}</v>
      </c>
      <c r="F40" s="9" t="s">
        <v>7054</v>
      </c>
      <c r="G40" s="9" t="str">
        <f ca="1">INDEX(DistrictEquipmentTypes.csv!F:F,RANDBETWEEN(2,COUNTA(DistrictEquipmentTypes.csv!D:D)),1)</f>
        <v>200009</v>
      </c>
      <c r="H40" s="8" t="str">
        <f t="shared" ca="1" si="2"/>
        <v>rg:{ 'id': '200009'}</v>
      </c>
      <c r="I40" s="8">
        <f t="shared" ca="1" si="3"/>
        <v>1</v>
      </c>
      <c r="J40" s="8">
        <f t="shared" ca="1" si="4"/>
        <v>58</v>
      </c>
      <c r="K40" s="8" t="str">
        <f t="shared" ca="1" si="5"/>
        <v>2017-04-30</v>
      </c>
      <c r="L40" s="8" t="str">
        <f t="shared" ca="1" si="6"/>
        <v>2017-05-07</v>
      </c>
    </row>
    <row r="41" spans="1:12" x14ac:dyDescent="0.3">
      <c r="A41" s="8" t="s">
        <v>5668</v>
      </c>
      <c r="B41" s="8">
        <f t="shared" si="0"/>
        <v>600039</v>
      </c>
      <c r="C41" s="1" t="s">
        <v>6923</v>
      </c>
      <c r="D41" s="9" t="str">
        <f>IFERROR(VLOOKUP(VLOOKUP(VLOOKUP(C41,Project.csv!F:Q,12,FALSE),ServiceAreas.csv!B:I,8,FALSE),LocalAreas.csv!B:I,7,FALSE),200029)</f>
        <v>rg:None</v>
      </c>
      <c r="E41" s="8" t="str">
        <f t="shared" si="1"/>
        <v>rg:{'id':'rg:None'}</v>
      </c>
      <c r="F41" s="9" t="s">
        <v>7054</v>
      </c>
      <c r="G41" s="9" t="str">
        <f ca="1">INDEX(DistrictEquipmentTypes.csv!F:F,RANDBETWEEN(2,COUNTA(DistrictEquipmentTypes.csv!D:D)),1)</f>
        <v>200006</v>
      </c>
      <c r="H41" s="8" t="str">
        <f t="shared" ca="1" si="2"/>
        <v>rg:{ 'id': '200006'}</v>
      </c>
      <c r="I41" s="8">
        <f t="shared" ca="1" si="3"/>
        <v>1</v>
      </c>
      <c r="J41" s="8">
        <f t="shared" ca="1" si="4"/>
        <v>9</v>
      </c>
      <c r="K41" s="8" t="str">
        <f t="shared" ca="1" si="5"/>
        <v>2017-05-07</v>
      </c>
      <c r="L41" s="8" t="str">
        <f t="shared" ca="1" si="6"/>
        <v>2017-05-08</v>
      </c>
    </row>
    <row r="42" spans="1:12" x14ac:dyDescent="0.3">
      <c r="A42" s="8" t="s">
        <v>5668</v>
      </c>
      <c r="B42" s="8">
        <f t="shared" si="0"/>
        <v>600040</v>
      </c>
      <c r="C42" s="1" t="s">
        <v>6930</v>
      </c>
      <c r="D42" s="9" t="str">
        <f>IFERROR(VLOOKUP(VLOOKUP(VLOOKUP(C42,Project.csv!F:Q,12,FALSE),ServiceAreas.csv!B:I,8,FALSE),LocalAreas.csv!B:I,7,FALSE),200029)</f>
        <v>rg:None</v>
      </c>
      <c r="E42" s="8" t="str">
        <f t="shared" si="1"/>
        <v>rg:{'id':'rg:None'}</v>
      </c>
      <c r="F42" s="9" t="s">
        <v>7054</v>
      </c>
      <c r="G42" s="9" t="str">
        <f ca="1">INDEX(DistrictEquipmentTypes.csv!F:F,RANDBETWEEN(2,COUNTA(DistrictEquipmentTypes.csv!D:D)),1)</f>
        <v>200002</v>
      </c>
      <c r="H42" s="8" t="str">
        <f t="shared" ca="1" si="2"/>
        <v>rg:{ 'id': '200002'}</v>
      </c>
      <c r="I42" s="8">
        <f t="shared" ca="1" si="3"/>
        <v>1</v>
      </c>
      <c r="J42" s="8">
        <f t="shared" ca="1" si="4"/>
        <v>98</v>
      </c>
      <c r="K42" s="8" t="str">
        <f t="shared" ca="1" si="5"/>
        <v>2017-04-20</v>
      </c>
      <c r="L42" s="8" t="str">
        <f t="shared" ca="1" si="6"/>
        <v>2017-05-02</v>
      </c>
    </row>
    <row r="43" spans="1:12" x14ac:dyDescent="0.3">
      <c r="A43" s="8" t="s">
        <v>5668</v>
      </c>
      <c r="B43" s="8">
        <f t="shared" si="0"/>
        <v>600041</v>
      </c>
      <c r="C43" s="1" t="s">
        <v>6962</v>
      </c>
      <c r="D43" s="9" t="str">
        <f>IFERROR(VLOOKUP(VLOOKUP(VLOOKUP(C43,Project.csv!F:Q,12,FALSE),ServiceAreas.csv!B:I,8,FALSE),LocalAreas.csv!B:I,7,FALSE),200029)</f>
        <v>rg:None</v>
      </c>
      <c r="E43" s="8" t="str">
        <f t="shared" si="1"/>
        <v>rg:{'id':'rg:None'}</v>
      </c>
      <c r="F43" s="9" t="s">
        <v>7054</v>
      </c>
      <c r="G43" s="9" t="str">
        <f ca="1">INDEX(DistrictEquipmentTypes.csv!F:F,RANDBETWEEN(2,COUNTA(DistrictEquipmentTypes.csv!D:D)),1)</f>
        <v>200009</v>
      </c>
      <c r="H43" s="8" t="str">
        <f t="shared" ca="1" si="2"/>
        <v>rg:{ 'id': '200009'}</v>
      </c>
      <c r="I43" s="8">
        <f t="shared" ca="1" si="3"/>
        <v>1</v>
      </c>
      <c r="J43" s="8">
        <f t="shared" ca="1" si="4"/>
        <v>16</v>
      </c>
      <c r="K43" s="8" t="str">
        <f t="shared" ca="1" si="5"/>
        <v>2017-04-23</v>
      </c>
      <c r="L43" s="8" t="str">
        <f t="shared" ca="1" si="6"/>
        <v>2017-04-25</v>
      </c>
    </row>
    <row r="44" spans="1:12" x14ac:dyDescent="0.3">
      <c r="A44" s="8" t="s">
        <v>5668</v>
      </c>
      <c r="B44" s="8">
        <f t="shared" si="0"/>
        <v>600042</v>
      </c>
      <c r="C44" s="1" t="s">
        <v>6913</v>
      </c>
      <c r="D44" s="9" t="str">
        <f>IFERROR(VLOOKUP(VLOOKUP(VLOOKUP(C44,Project.csv!F:Q,12,FALSE),ServiceAreas.csv!B:I,8,FALSE),LocalAreas.csv!B:I,7,FALSE),200029)</f>
        <v>rg:None</v>
      </c>
      <c r="E44" s="8" t="str">
        <f t="shared" si="1"/>
        <v>rg:{'id':'rg:None'}</v>
      </c>
      <c r="F44" s="9" t="s">
        <v>7055</v>
      </c>
      <c r="G44" s="9" t="str">
        <f ca="1">INDEX(DistrictEquipmentTypes.csv!F:F,RANDBETWEEN(2,COUNTA(DistrictEquipmentTypes.csv!D:D)),1)</f>
        <v>200004</v>
      </c>
      <c r="H44" s="8" t="str">
        <f t="shared" ca="1" si="2"/>
        <v>rg:{ 'id': '200004'}</v>
      </c>
      <c r="I44" s="8">
        <f t="shared" ca="1" si="3"/>
        <v>1</v>
      </c>
      <c r="J44" s="8">
        <f t="shared" ca="1" si="4"/>
        <v>8</v>
      </c>
      <c r="K44" s="8" t="str">
        <f t="shared" ca="1" si="5"/>
        <v>2017-04-03</v>
      </c>
      <c r="L44" s="8" t="str">
        <f t="shared" ca="1" si="6"/>
        <v>2017-04-04</v>
      </c>
    </row>
    <row r="45" spans="1:12" x14ac:dyDescent="0.3">
      <c r="A45" s="8" t="s">
        <v>5668</v>
      </c>
      <c r="B45" s="8">
        <f t="shared" si="0"/>
        <v>600043</v>
      </c>
      <c r="C45" s="1" t="s">
        <v>6963</v>
      </c>
      <c r="D45" s="9" t="str">
        <f>IFERROR(VLOOKUP(VLOOKUP(VLOOKUP(C45,Project.csv!F:Q,12,FALSE),ServiceAreas.csv!B:I,8,FALSE),LocalAreas.csv!B:I,7,FALSE),200029)</f>
        <v>rg:None</v>
      </c>
      <c r="E45" s="8" t="str">
        <f t="shared" si="1"/>
        <v>rg:{'id':'rg:None'}</v>
      </c>
      <c r="F45" s="9" t="s">
        <v>7054</v>
      </c>
      <c r="G45" s="9" t="str">
        <f ca="1">INDEX(DistrictEquipmentTypes.csv!F:F,RANDBETWEEN(2,COUNTA(DistrictEquipmentTypes.csv!D:D)),1)</f>
        <v>200001</v>
      </c>
      <c r="H45" s="8" t="str">
        <f t="shared" ca="1" si="2"/>
        <v>rg:{ 'id': '200001'}</v>
      </c>
      <c r="I45" s="8">
        <f t="shared" ca="1" si="3"/>
        <v>1</v>
      </c>
      <c r="J45" s="8">
        <f t="shared" ca="1" si="4"/>
        <v>77</v>
      </c>
      <c r="K45" s="8" t="str">
        <f t="shared" ca="1" si="5"/>
        <v>2017-04-29</v>
      </c>
      <c r="L45" s="8" t="str">
        <f t="shared" ca="1" si="6"/>
        <v>2017-05-08</v>
      </c>
    </row>
    <row r="46" spans="1:12" x14ac:dyDescent="0.3">
      <c r="A46" s="8" t="s">
        <v>5668</v>
      </c>
      <c r="B46" s="8">
        <f t="shared" si="0"/>
        <v>600044</v>
      </c>
      <c r="C46" s="1" t="s">
        <v>6964</v>
      </c>
      <c r="D46" s="9" t="str">
        <f>IFERROR(VLOOKUP(VLOOKUP(VLOOKUP(C46,Project.csv!F:Q,12,FALSE),ServiceAreas.csv!B:I,8,FALSE),LocalAreas.csv!B:I,7,FALSE),200029)</f>
        <v>rg:None</v>
      </c>
      <c r="E46" s="8" t="str">
        <f t="shared" si="1"/>
        <v>rg:{'id':'rg:None'}</v>
      </c>
      <c r="F46" s="9" t="s">
        <v>7054</v>
      </c>
      <c r="G46" s="9" t="str">
        <f ca="1">INDEX(DistrictEquipmentTypes.csv!F:F,RANDBETWEEN(2,COUNTA(DistrictEquipmentTypes.csv!D:D)),1)</f>
        <v>200009</v>
      </c>
      <c r="H46" s="8" t="str">
        <f t="shared" ca="1" si="2"/>
        <v>rg:{ 'id': '200009'}</v>
      </c>
      <c r="I46" s="8">
        <f t="shared" ca="1" si="3"/>
        <v>1</v>
      </c>
      <c r="J46" s="8">
        <f t="shared" ca="1" si="4"/>
        <v>30</v>
      </c>
      <c r="K46" s="8" t="str">
        <f t="shared" ca="1" si="5"/>
        <v>2017-05-08</v>
      </c>
      <c r="L46" s="8" t="str">
        <f t="shared" ca="1" si="6"/>
        <v>2017-05-11</v>
      </c>
    </row>
    <row r="47" spans="1:12" x14ac:dyDescent="0.3">
      <c r="A47" s="8" t="s">
        <v>5668</v>
      </c>
      <c r="B47" s="8">
        <f t="shared" si="0"/>
        <v>600045</v>
      </c>
      <c r="C47" s="1" t="s">
        <v>6965</v>
      </c>
      <c r="D47" s="9" t="str">
        <f>IFERROR(VLOOKUP(VLOOKUP(VLOOKUP(C47,Project.csv!F:Q,12,FALSE),ServiceAreas.csv!B:I,8,FALSE),LocalAreas.csv!B:I,7,FALSE),200029)</f>
        <v>rg:None</v>
      </c>
      <c r="E47" s="8" t="str">
        <f t="shared" si="1"/>
        <v>rg:{'id':'rg:None'}</v>
      </c>
      <c r="F47" s="9" t="s">
        <v>7054</v>
      </c>
      <c r="G47" s="9" t="str">
        <f ca="1">INDEX(DistrictEquipmentTypes.csv!F:F,RANDBETWEEN(2,COUNTA(DistrictEquipmentTypes.csv!D:D)),1)</f>
        <v>200003</v>
      </c>
      <c r="H47" s="8" t="str">
        <f t="shared" ca="1" si="2"/>
        <v>rg:{ 'id': '200003'}</v>
      </c>
      <c r="I47" s="8">
        <f t="shared" ca="1" si="3"/>
        <v>1</v>
      </c>
      <c r="J47" s="8">
        <f t="shared" ca="1" si="4"/>
        <v>37</v>
      </c>
      <c r="K47" s="8" t="str">
        <f t="shared" ca="1" si="5"/>
        <v>2017-05-10</v>
      </c>
      <c r="L47" s="8" t="str">
        <f t="shared" ca="1" si="6"/>
        <v>2017-05-14</v>
      </c>
    </row>
    <row r="48" spans="1:12" x14ac:dyDescent="0.3">
      <c r="A48" s="8" t="s">
        <v>5668</v>
      </c>
      <c r="B48" s="8">
        <f t="shared" si="0"/>
        <v>600046</v>
      </c>
      <c r="C48" s="1" t="s">
        <v>6966</v>
      </c>
      <c r="D48" s="9" t="str">
        <f>IFERROR(VLOOKUP(VLOOKUP(VLOOKUP(C48,Project.csv!F:Q,12,FALSE),ServiceAreas.csv!B:I,8,FALSE),LocalAreas.csv!B:I,7,FALSE),200029)</f>
        <v>rg:None</v>
      </c>
      <c r="E48" s="8" t="str">
        <f t="shared" si="1"/>
        <v>rg:{'id':'rg:None'}</v>
      </c>
      <c r="F48" s="9" t="s">
        <v>7054</v>
      </c>
      <c r="G48" s="9" t="str">
        <f ca="1">INDEX(DistrictEquipmentTypes.csv!F:F,RANDBETWEEN(2,COUNTA(DistrictEquipmentTypes.csv!D:D)),1)</f>
        <v>200009</v>
      </c>
      <c r="H48" s="8" t="str">
        <f t="shared" ca="1" si="2"/>
        <v>rg:{ 'id': '200009'}</v>
      </c>
      <c r="I48" s="8">
        <f t="shared" ca="1" si="3"/>
        <v>1</v>
      </c>
      <c r="J48" s="8">
        <f t="shared" ca="1" si="4"/>
        <v>20</v>
      </c>
      <c r="K48" s="8" t="str">
        <f t="shared" ca="1" si="5"/>
        <v>2017-04-04</v>
      </c>
      <c r="L48" s="8" t="str">
        <f t="shared" ca="1" si="6"/>
        <v>2017-04-06</v>
      </c>
    </row>
    <row r="49" spans="1:12" x14ac:dyDescent="0.3">
      <c r="A49" s="8" t="s">
        <v>5668</v>
      </c>
      <c r="B49" s="8">
        <f t="shared" si="0"/>
        <v>600047</v>
      </c>
      <c r="C49" s="1" t="s">
        <v>6905</v>
      </c>
      <c r="D49" s="9" t="str">
        <f>IFERROR(VLOOKUP(VLOOKUP(VLOOKUP(C49,Project.csv!F:Q,12,FALSE),ServiceAreas.csv!B:I,8,FALSE),LocalAreas.csv!B:I,7,FALSE),200029)</f>
        <v>rg:None</v>
      </c>
      <c r="E49" s="8" t="str">
        <f t="shared" si="1"/>
        <v>rg:{'id':'rg:None'}</v>
      </c>
      <c r="F49" s="9" t="s">
        <v>7054</v>
      </c>
      <c r="G49" s="9" t="str">
        <f ca="1">INDEX(DistrictEquipmentTypes.csv!F:F,RANDBETWEEN(2,COUNTA(DistrictEquipmentTypes.csv!D:D)),1)</f>
        <v>200000</v>
      </c>
      <c r="H49" s="8" t="str">
        <f t="shared" ca="1" si="2"/>
        <v>rg:{ 'id': '200000'}</v>
      </c>
      <c r="I49" s="8">
        <f t="shared" ca="1" si="3"/>
        <v>1</v>
      </c>
      <c r="J49" s="8">
        <f t="shared" ca="1" si="4"/>
        <v>39</v>
      </c>
      <c r="K49" s="8" t="str">
        <f t="shared" ca="1" si="5"/>
        <v>2017-04-29</v>
      </c>
      <c r="L49" s="8" t="str">
        <f t="shared" ca="1" si="6"/>
        <v>2017-05-03</v>
      </c>
    </row>
    <row r="50" spans="1:12" x14ac:dyDescent="0.3">
      <c r="A50" s="8" t="s">
        <v>5668</v>
      </c>
      <c r="B50" s="8">
        <f t="shared" si="0"/>
        <v>600048</v>
      </c>
      <c r="C50" s="1" t="s">
        <v>6967</v>
      </c>
      <c r="D50" s="9" t="str">
        <f>IFERROR(VLOOKUP(VLOOKUP(VLOOKUP(C50,Project.csv!F:Q,12,FALSE),ServiceAreas.csv!B:I,8,FALSE),LocalAreas.csv!B:I,7,FALSE),200029)</f>
        <v>rg:None</v>
      </c>
      <c r="E50" s="8" t="str">
        <f t="shared" si="1"/>
        <v>rg:{'id':'rg:None'}</v>
      </c>
      <c r="F50" s="9" t="s">
        <v>7054</v>
      </c>
      <c r="G50" s="9" t="str">
        <f ca="1">INDEX(DistrictEquipmentTypes.csv!F:F,RANDBETWEEN(2,COUNTA(DistrictEquipmentTypes.csv!D:D)),1)</f>
        <v>200005</v>
      </c>
      <c r="H50" s="8" t="str">
        <f t="shared" ca="1" si="2"/>
        <v>rg:{ 'id': '200005'}</v>
      </c>
      <c r="I50" s="8">
        <f t="shared" ca="1" si="3"/>
        <v>2</v>
      </c>
      <c r="J50" s="8">
        <f t="shared" ca="1" si="4"/>
        <v>14</v>
      </c>
      <c r="K50" s="8" t="str">
        <f t="shared" ca="1" si="5"/>
        <v>2017-04-04</v>
      </c>
      <c r="L50" s="8" t="str">
        <f t="shared" ca="1" si="6"/>
        <v>2017-04-07</v>
      </c>
    </row>
    <row r="51" spans="1:12" x14ac:dyDescent="0.3">
      <c r="A51" s="8" t="s">
        <v>5668</v>
      </c>
      <c r="B51" s="8">
        <f t="shared" si="0"/>
        <v>600049</v>
      </c>
      <c r="C51" s="1" t="s">
        <v>6968</v>
      </c>
      <c r="D51" s="9" t="str">
        <f>IFERROR(VLOOKUP(VLOOKUP(VLOOKUP(C51,Project.csv!F:Q,12,FALSE),ServiceAreas.csv!B:I,8,FALSE),LocalAreas.csv!B:I,7,FALSE),200029)</f>
        <v>rg:None</v>
      </c>
      <c r="E51" s="8" t="str">
        <f t="shared" si="1"/>
        <v>rg:{'id':'rg:None'}</v>
      </c>
      <c r="F51" s="9" t="s">
        <v>7055</v>
      </c>
      <c r="G51" s="9" t="str">
        <f ca="1">INDEX(DistrictEquipmentTypes.csv!F:F,RANDBETWEEN(2,COUNTA(DistrictEquipmentTypes.csv!D:D)),1)</f>
        <v>200002</v>
      </c>
      <c r="H51" s="8" t="str">
        <f t="shared" ca="1" si="2"/>
        <v>rg:{ 'id': '200002'}</v>
      </c>
      <c r="I51" s="8">
        <f t="shared" ca="1" si="3"/>
        <v>1</v>
      </c>
      <c r="J51" s="8">
        <f t="shared" ca="1" si="4"/>
        <v>57</v>
      </c>
      <c r="K51" s="8" t="str">
        <f t="shared" ca="1" si="5"/>
        <v>2017-04-15</v>
      </c>
      <c r="L51" s="8" t="str">
        <f t="shared" ca="1" si="6"/>
        <v>2017-04-22</v>
      </c>
    </row>
    <row r="52" spans="1:12" x14ac:dyDescent="0.3">
      <c r="A52" s="8" t="s">
        <v>5668</v>
      </c>
      <c r="B52" s="8">
        <f t="shared" si="0"/>
        <v>600050</v>
      </c>
      <c r="C52" s="1" t="s">
        <v>6969</v>
      </c>
      <c r="D52" s="9" t="str">
        <f>IFERROR(VLOOKUP(VLOOKUP(VLOOKUP(C52,Project.csv!F:Q,12,FALSE),ServiceAreas.csv!B:I,8,FALSE),LocalAreas.csv!B:I,7,FALSE),200029)</f>
        <v>rg:None</v>
      </c>
      <c r="E52" s="8" t="str">
        <f t="shared" si="1"/>
        <v>rg:{'id':'rg:None'}</v>
      </c>
      <c r="F52" s="9" t="s">
        <v>7054</v>
      </c>
      <c r="G52" s="9" t="str">
        <f ca="1">INDEX(DistrictEquipmentTypes.csv!F:F,RANDBETWEEN(2,COUNTA(DistrictEquipmentTypes.csv!D:D)),1)</f>
        <v>200002</v>
      </c>
      <c r="H52" s="8" t="str">
        <f t="shared" ca="1" si="2"/>
        <v>rg:{ 'id': '200002'}</v>
      </c>
      <c r="I52" s="8">
        <f t="shared" ca="1" si="3"/>
        <v>1</v>
      </c>
      <c r="J52" s="8">
        <f t="shared" ca="1" si="4"/>
        <v>48</v>
      </c>
      <c r="K52" s="8" t="str">
        <f t="shared" ca="1" si="5"/>
        <v>2017-04-26</v>
      </c>
      <c r="L52" s="8" t="str">
        <f t="shared" ca="1" si="6"/>
        <v>2017-05-02</v>
      </c>
    </row>
    <row r="53" spans="1:12" x14ac:dyDescent="0.3">
      <c r="A53" s="8" t="s">
        <v>5668</v>
      </c>
      <c r="B53" s="8">
        <f t="shared" si="0"/>
        <v>600051</v>
      </c>
      <c r="C53" s="1" t="s">
        <v>6910</v>
      </c>
      <c r="D53" s="9" t="str">
        <f>IFERROR(VLOOKUP(VLOOKUP(VLOOKUP(C53,Project.csv!F:Q,12,FALSE),ServiceAreas.csv!B:I,8,FALSE),LocalAreas.csv!B:I,7,FALSE),200029)</f>
        <v>rg:None</v>
      </c>
      <c r="E53" s="8" t="str">
        <f t="shared" si="1"/>
        <v>rg:{'id':'rg:None'}</v>
      </c>
      <c r="F53" s="9" t="s">
        <v>7054</v>
      </c>
      <c r="G53" s="9" t="str">
        <f ca="1">INDEX(DistrictEquipmentTypes.csv!F:F,RANDBETWEEN(2,COUNTA(DistrictEquipmentTypes.csv!D:D)),1)</f>
        <v>200006</v>
      </c>
      <c r="H53" s="8" t="str">
        <f t="shared" ca="1" si="2"/>
        <v>rg:{ 'id': '200006'}</v>
      </c>
      <c r="I53" s="8">
        <f t="shared" ca="1" si="3"/>
        <v>2</v>
      </c>
      <c r="J53" s="8">
        <f t="shared" ca="1" si="4"/>
        <v>6</v>
      </c>
      <c r="K53" s="8" t="str">
        <f t="shared" ca="1" si="5"/>
        <v>2017-04-02</v>
      </c>
      <c r="L53" s="8" t="str">
        <f t="shared" ca="1" si="6"/>
        <v>2017-04-03</v>
      </c>
    </row>
    <row r="54" spans="1:12" x14ac:dyDescent="0.3">
      <c r="A54" s="8" t="s">
        <v>5668</v>
      </c>
      <c r="B54" s="8">
        <f t="shared" si="0"/>
        <v>600052</v>
      </c>
      <c r="C54" s="1" t="s">
        <v>6909</v>
      </c>
      <c r="D54" s="9" t="str">
        <f>IFERROR(VLOOKUP(VLOOKUP(VLOOKUP(C54,Project.csv!F:Q,12,FALSE),ServiceAreas.csv!B:I,8,FALSE),LocalAreas.csv!B:I,7,FALSE),200029)</f>
        <v>rg:None</v>
      </c>
      <c r="E54" s="8" t="str">
        <f t="shared" si="1"/>
        <v>rg:{'id':'rg:None'}</v>
      </c>
      <c r="F54" s="9" t="s">
        <v>7054</v>
      </c>
      <c r="G54" s="9" t="str">
        <f ca="1">INDEX(DistrictEquipmentTypes.csv!F:F,RANDBETWEEN(2,COUNTA(DistrictEquipmentTypes.csv!D:D)),1)</f>
        <v>200003</v>
      </c>
      <c r="H54" s="8" t="str">
        <f t="shared" ca="1" si="2"/>
        <v>rg:{ 'id': '200003'}</v>
      </c>
      <c r="I54" s="8">
        <f t="shared" ca="1" si="3"/>
        <v>1</v>
      </c>
      <c r="J54" s="8">
        <f t="shared" ca="1" si="4"/>
        <v>33</v>
      </c>
      <c r="K54" s="8" t="str">
        <f t="shared" ca="1" si="5"/>
        <v>2017-04-25</v>
      </c>
      <c r="L54" s="8" t="str">
        <f t="shared" ca="1" si="6"/>
        <v>2017-04-29</v>
      </c>
    </row>
    <row r="55" spans="1:12" x14ac:dyDescent="0.3">
      <c r="A55" s="8" t="s">
        <v>5668</v>
      </c>
      <c r="B55" s="8">
        <f t="shared" si="0"/>
        <v>600053</v>
      </c>
      <c r="C55" s="1" t="s">
        <v>6970</v>
      </c>
      <c r="D55" s="9" t="str">
        <f>IFERROR(VLOOKUP(VLOOKUP(VLOOKUP(C55,Project.csv!F:Q,12,FALSE),ServiceAreas.csv!B:I,8,FALSE),LocalAreas.csv!B:I,7,FALSE),200029)</f>
        <v>rg:None</v>
      </c>
      <c r="E55" s="8" t="str">
        <f t="shared" si="1"/>
        <v>rg:{'id':'rg:None'}</v>
      </c>
      <c r="F55" s="9" t="s">
        <v>7054</v>
      </c>
      <c r="G55" s="9" t="str">
        <f ca="1">INDEX(DistrictEquipmentTypes.csv!F:F,RANDBETWEEN(2,COUNTA(DistrictEquipmentTypes.csv!D:D)),1)</f>
        <v>200006</v>
      </c>
      <c r="H55" s="8" t="str">
        <f t="shared" ca="1" si="2"/>
        <v>rg:{ 'id': '200006'}</v>
      </c>
      <c r="I55" s="8">
        <f t="shared" ca="1" si="3"/>
        <v>1</v>
      </c>
      <c r="J55" s="8">
        <f t="shared" ca="1" si="4"/>
        <v>84</v>
      </c>
      <c r="K55" s="8" t="str">
        <f t="shared" ca="1" si="5"/>
        <v>2017-05-07</v>
      </c>
      <c r="L55" s="8" t="str">
        <f t="shared" ca="1" si="6"/>
        <v>2017-05-17</v>
      </c>
    </row>
    <row r="56" spans="1:12" x14ac:dyDescent="0.3">
      <c r="A56" s="8" t="s">
        <v>5668</v>
      </c>
      <c r="B56" s="8">
        <f t="shared" si="0"/>
        <v>600054</v>
      </c>
      <c r="C56" s="1" t="s">
        <v>6971</v>
      </c>
      <c r="D56" s="9" t="str">
        <f>IFERROR(VLOOKUP(VLOOKUP(VLOOKUP(C56,Project.csv!F:Q,12,FALSE),ServiceAreas.csv!B:I,8,FALSE),LocalAreas.csv!B:I,7,FALSE),200029)</f>
        <v>rg:None</v>
      </c>
      <c r="E56" s="8" t="str">
        <f t="shared" si="1"/>
        <v>rg:{'id':'rg:None'}</v>
      </c>
      <c r="F56" s="9" t="s">
        <v>7056</v>
      </c>
      <c r="G56" s="9" t="str">
        <f ca="1">INDEX(DistrictEquipmentTypes.csv!F:F,RANDBETWEEN(2,COUNTA(DistrictEquipmentTypes.csv!D:D)),1)</f>
        <v>200002</v>
      </c>
      <c r="H56" s="8" t="str">
        <f t="shared" ca="1" si="2"/>
        <v>rg:{ 'id': '200002'}</v>
      </c>
      <c r="I56" s="8">
        <f t="shared" ca="1" si="3"/>
        <v>1</v>
      </c>
      <c r="J56" s="8">
        <f t="shared" ca="1" si="4"/>
        <v>88</v>
      </c>
      <c r="K56" s="8" t="str">
        <f t="shared" ca="1" si="5"/>
        <v>2017-05-05</v>
      </c>
      <c r="L56" s="8" t="str">
        <f t="shared" ca="1" si="6"/>
        <v>2017-05-16</v>
      </c>
    </row>
    <row r="57" spans="1:12" x14ac:dyDescent="0.3">
      <c r="A57" s="8" t="s">
        <v>5668</v>
      </c>
      <c r="B57" s="8">
        <f t="shared" si="0"/>
        <v>600055</v>
      </c>
      <c r="C57" s="1" t="s">
        <v>6972</v>
      </c>
      <c r="D57" s="9" t="str">
        <f>IFERROR(VLOOKUP(VLOOKUP(VLOOKUP(C57,Project.csv!F:Q,12,FALSE),ServiceAreas.csv!B:I,8,FALSE),LocalAreas.csv!B:I,7,FALSE),200029)</f>
        <v>rg:None</v>
      </c>
      <c r="E57" s="8" t="str">
        <f t="shared" si="1"/>
        <v>rg:{'id':'rg:None'}</v>
      </c>
      <c r="F57" s="9" t="s">
        <v>7056</v>
      </c>
      <c r="G57" s="9" t="str">
        <f ca="1">INDEX(DistrictEquipmentTypes.csv!F:F,RANDBETWEEN(2,COUNTA(DistrictEquipmentTypes.csv!D:D)),1)</f>
        <v>200009</v>
      </c>
      <c r="H57" s="8" t="str">
        <f t="shared" ca="1" si="2"/>
        <v>rg:{ 'id': '200009'}</v>
      </c>
      <c r="I57" s="8">
        <f t="shared" ca="1" si="3"/>
        <v>1</v>
      </c>
      <c r="J57" s="8">
        <f t="shared" ca="1" si="4"/>
        <v>74</v>
      </c>
      <c r="K57" s="8" t="str">
        <f t="shared" ca="1" si="5"/>
        <v>2017-04-14</v>
      </c>
      <c r="L57" s="8" t="str">
        <f t="shared" ca="1" si="6"/>
        <v>2017-04-23</v>
      </c>
    </row>
    <row r="58" spans="1:12" x14ac:dyDescent="0.3">
      <c r="A58" s="8" t="s">
        <v>5668</v>
      </c>
      <c r="B58" s="8">
        <f t="shared" si="0"/>
        <v>600056</v>
      </c>
      <c r="C58" s="1" t="s">
        <v>6973</v>
      </c>
      <c r="D58" s="9" t="str">
        <f>IFERROR(VLOOKUP(VLOOKUP(VLOOKUP(C58,Project.csv!F:Q,12,FALSE),ServiceAreas.csv!B:I,8,FALSE),LocalAreas.csv!B:I,7,FALSE),200029)</f>
        <v>rg:None</v>
      </c>
      <c r="E58" s="8" t="str">
        <f t="shared" si="1"/>
        <v>rg:{'id':'rg:None'}</v>
      </c>
      <c r="F58" s="9" t="s">
        <v>7054</v>
      </c>
      <c r="G58" s="9" t="str">
        <f ca="1">INDEX(DistrictEquipmentTypes.csv!F:F,RANDBETWEEN(2,COUNTA(DistrictEquipmentTypes.csv!D:D)),1)</f>
        <v>200003</v>
      </c>
      <c r="H58" s="8" t="str">
        <f t="shared" ca="1" si="2"/>
        <v>rg:{ 'id': '200003'}</v>
      </c>
      <c r="I58" s="8">
        <f t="shared" ca="1" si="3"/>
        <v>1</v>
      </c>
      <c r="J58" s="8">
        <f t="shared" ca="1" si="4"/>
        <v>52</v>
      </c>
      <c r="K58" s="8" t="str">
        <f t="shared" ca="1" si="5"/>
        <v>2017-05-03</v>
      </c>
      <c r="L58" s="8" t="str">
        <f t="shared" ca="1" si="6"/>
        <v>2017-05-09</v>
      </c>
    </row>
    <row r="59" spans="1:12" x14ac:dyDescent="0.3">
      <c r="A59" s="8" t="s">
        <v>5668</v>
      </c>
      <c r="B59" s="8">
        <f t="shared" si="0"/>
        <v>600057</v>
      </c>
      <c r="C59" s="1" t="s">
        <v>6974</v>
      </c>
      <c r="D59" s="9" t="str">
        <f>IFERROR(VLOOKUP(VLOOKUP(VLOOKUP(C59,Project.csv!F:Q,12,FALSE),ServiceAreas.csv!B:I,8,FALSE),LocalAreas.csv!B:I,7,FALSE),200029)</f>
        <v>rg:None</v>
      </c>
      <c r="E59" s="8" t="str">
        <f t="shared" si="1"/>
        <v>rg:{'id':'rg:None'}</v>
      </c>
      <c r="F59" s="9" t="s">
        <v>7054</v>
      </c>
      <c r="G59" s="9" t="str">
        <f ca="1">INDEX(DistrictEquipmentTypes.csv!F:F,RANDBETWEEN(2,COUNTA(DistrictEquipmentTypes.csv!D:D)),1)</f>
        <v>200005</v>
      </c>
      <c r="H59" s="8" t="str">
        <f t="shared" ca="1" si="2"/>
        <v>rg:{ 'id': '200005'}</v>
      </c>
      <c r="I59" s="8">
        <f t="shared" ca="1" si="3"/>
        <v>1</v>
      </c>
      <c r="J59" s="8">
        <f t="shared" ca="1" si="4"/>
        <v>81</v>
      </c>
      <c r="K59" s="8" t="str">
        <f t="shared" ca="1" si="5"/>
        <v>2017-04-14</v>
      </c>
      <c r="L59" s="8" t="str">
        <f t="shared" ca="1" si="6"/>
        <v>2017-04-24</v>
      </c>
    </row>
    <row r="60" spans="1:12" x14ac:dyDescent="0.3">
      <c r="A60" s="8" t="s">
        <v>5668</v>
      </c>
      <c r="B60" s="8">
        <f t="shared" si="0"/>
        <v>600058</v>
      </c>
      <c r="C60" s="1" t="s">
        <v>6975</v>
      </c>
      <c r="D60" s="9" t="str">
        <f>IFERROR(VLOOKUP(VLOOKUP(VLOOKUP(C60,Project.csv!F:Q,12,FALSE),ServiceAreas.csv!B:I,8,FALSE),LocalAreas.csv!B:I,7,FALSE),200029)</f>
        <v>rg:None</v>
      </c>
      <c r="E60" s="8" t="str">
        <f t="shared" si="1"/>
        <v>rg:{'id':'rg:None'}</v>
      </c>
      <c r="F60" s="9" t="s">
        <v>7054</v>
      </c>
      <c r="G60" s="9" t="str">
        <f ca="1">INDEX(DistrictEquipmentTypes.csv!F:F,RANDBETWEEN(2,COUNTA(DistrictEquipmentTypes.csv!D:D)),1)</f>
        <v>200007</v>
      </c>
      <c r="H60" s="8" t="str">
        <f t="shared" ca="1" si="2"/>
        <v>rg:{ 'id': '200007'}</v>
      </c>
      <c r="I60" s="8">
        <f t="shared" ca="1" si="3"/>
        <v>1</v>
      </c>
      <c r="J60" s="8">
        <f t="shared" ca="1" si="4"/>
        <v>87</v>
      </c>
      <c r="K60" s="8" t="str">
        <f t="shared" ca="1" si="5"/>
        <v>2017-05-13</v>
      </c>
      <c r="L60" s="8" t="str">
        <f t="shared" ca="1" si="6"/>
        <v>2017-05-23</v>
      </c>
    </row>
    <row r="61" spans="1:12" x14ac:dyDescent="0.3">
      <c r="A61" s="8" t="s">
        <v>5668</v>
      </c>
      <c r="B61" s="8">
        <f t="shared" si="0"/>
        <v>600059</v>
      </c>
      <c r="C61" s="1" t="s">
        <v>6976</v>
      </c>
      <c r="D61" s="9" t="str">
        <f>IFERROR(VLOOKUP(VLOOKUP(VLOOKUP(C61,Project.csv!F:Q,12,FALSE),ServiceAreas.csv!B:I,8,FALSE),LocalAreas.csv!B:I,7,FALSE),200029)</f>
        <v>rg:None</v>
      </c>
      <c r="E61" s="8" t="str">
        <f t="shared" si="1"/>
        <v>rg:{'id':'rg:None'}</v>
      </c>
      <c r="F61" s="9" t="s">
        <v>7056</v>
      </c>
      <c r="G61" s="9" t="str">
        <f ca="1">INDEX(DistrictEquipmentTypes.csv!F:F,RANDBETWEEN(2,COUNTA(DistrictEquipmentTypes.csv!D:D)),1)</f>
        <v>200003</v>
      </c>
      <c r="H61" s="8" t="str">
        <f t="shared" ca="1" si="2"/>
        <v>rg:{ 'id': '200003'}</v>
      </c>
      <c r="I61" s="8">
        <f t="shared" ca="1" si="3"/>
        <v>1</v>
      </c>
      <c r="J61" s="8">
        <f t="shared" ca="1" si="4"/>
        <v>4</v>
      </c>
      <c r="K61" s="8" t="str">
        <f t="shared" ca="1" si="5"/>
        <v>2017-04-28</v>
      </c>
      <c r="L61" s="8" t="str">
        <f t="shared" ca="1" si="6"/>
        <v>2017-04-28</v>
      </c>
    </row>
    <row r="62" spans="1:12" x14ac:dyDescent="0.3">
      <c r="A62" s="8" t="s">
        <v>5668</v>
      </c>
      <c r="B62" s="8">
        <f t="shared" si="0"/>
        <v>600060</v>
      </c>
      <c r="C62" s="1" t="s">
        <v>6977</v>
      </c>
      <c r="D62" s="9" t="str">
        <f>IFERROR(VLOOKUP(VLOOKUP(VLOOKUP(C62,Project.csv!F:Q,12,FALSE),ServiceAreas.csv!B:I,8,FALSE),LocalAreas.csv!B:I,7,FALSE),200029)</f>
        <v>rg:None</v>
      </c>
      <c r="E62" s="8" t="str">
        <f t="shared" si="1"/>
        <v>rg:{'id':'rg:None'}</v>
      </c>
      <c r="F62" s="9" t="s">
        <v>7054</v>
      </c>
      <c r="G62" s="9" t="str">
        <f ca="1">INDEX(DistrictEquipmentTypes.csv!F:F,RANDBETWEEN(2,COUNTA(DistrictEquipmentTypes.csv!D:D)),1)</f>
        <v>200004</v>
      </c>
      <c r="H62" s="8" t="str">
        <f t="shared" ca="1" si="2"/>
        <v>rg:{ 'id': '200004'}</v>
      </c>
      <c r="I62" s="8">
        <f t="shared" ca="1" si="3"/>
        <v>1</v>
      </c>
      <c r="J62" s="8">
        <f t="shared" ca="1" si="4"/>
        <v>5</v>
      </c>
      <c r="K62" s="8" t="str">
        <f t="shared" ca="1" si="5"/>
        <v>2017-04-19</v>
      </c>
      <c r="L62" s="8" t="str">
        <f t="shared" ca="1" si="6"/>
        <v>2017-04-19</v>
      </c>
    </row>
    <row r="63" spans="1:12" x14ac:dyDescent="0.3">
      <c r="A63" s="8" t="s">
        <v>5668</v>
      </c>
      <c r="B63" s="8">
        <f t="shared" si="0"/>
        <v>600061</v>
      </c>
      <c r="C63" s="1" t="s">
        <v>6978</v>
      </c>
      <c r="D63" s="9" t="str">
        <f>IFERROR(VLOOKUP(VLOOKUP(VLOOKUP(C63,Project.csv!F:Q,12,FALSE),ServiceAreas.csv!B:I,8,FALSE),LocalAreas.csv!B:I,7,FALSE),200029)</f>
        <v>rg:None</v>
      </c>
      <c r="E63" s="8" t="str">
        <f t="shared" si="1"/>
        <v>rg:{'id':'rg:None'}</v>
      </c>
      <c r="F63" s="9" t="s">
        <v>7054</v>
      </c>
      <c r="G63" s="9" t="str">
        <f ca="1">INDEX(DistrictEquipmentTypes.csv!F:F,RANDBETWEEN(2,COUNTA(DistrictEquipmentTypes.csv!D:D)),1)</f>
        <v>200009</v>
      </c>
      <c r="H63" s="8" t="str">
        <f t="shared" ca="1" si="2"/>
        <v>rg:{ 'id': '200009'}</v>
      </c>
      <c r="I63" s="8">
        <f t="shared" ca="1" si="3"/>
        <v>1</v>
      </c>
      <c r="J63" s="8">
        <f t="shared" ca="1" si="4"/>
        <v>90</v>
      </c>
      <c r="K63" s="8" t="str">
        <f t="shared" ca="1" si="5"/>
        <v>2017-04-28</v>
      </c>
      <c r="L63" s="8" t="str">
        <f t="shared" ca="1" si="6"/>
        <v>2017-05-09</v>
      </c>
    </row>
    <row r="64" spans="1:12" x14ac:dyDescent="0.3">
      <c r="A64" s="8" t="s">
        <v>5668</v>
      </c>
      <c r="B64" s="8">
        <f t="shared" si="0"/>
        <v>600062</v>
      </c>
      <c r="C64" s="1" t="s">
        <v>6979</v>
      </c>
      <c r="D64" s="9" t="str">
        <f>IFERROR(VLOOKUP(VLOOKUP(VLOOKUP(C64,Project.csv!F:Q,12,FALSE),ServiceAreas.csv!B:I,8,FALSE),LocalAreas.csv!B:I,7,FALSE),200029)</f>
        <v>rg:None</v>
      </c>
      <c r="E64" s="8" t="str">
        <f t="shared" si="1"/>
        <v>rg:{'id':'rg:None'}</v>
      </c>
      <c r="F64" s="9" t="s">
        <v>7056</v>
      </c>
      <c r="G64" s="9" t="str">
        <f ca="1">INDEX(DistrictEquipmentTypes.csv!F:F,RANDBETWEEN(2,COUNTA(DistrictEquipmentTypes.csv!D:D)),1)</f>
        <v>200006</v>
      </c>
      <c r="H64" s="8" t="str">
        <f t="shared" ca="1" si="2"/>
        <v>rg:{ 'id': '200006'}</v>
      </c>
      <c r="I64" s="8">
        <f t="shared" ca="1" si="3"/>
        <v>1</v>
      </c>
      <c r="J64" s="8">
        <f t="shared" ca="1" si="4"/>
        <v>60</v>
      </c>
      <c r="K64" s="8" t="str">
        <f t="shared" ca="1" si="5"/>
        <v>2017-05-17</v>
      </c>
      <c r="L64" s="8" t="str">
        <f t="shared" ca="1" si="6"/>
        <v>2017-05-24</v>
      </c>
    </row>
    <row r="65" spans="1:12" x14ac:dyDescent="0.3">
      <c r="A65" s="8" t="s">
        <v>5668</v>
      </c>
      <c r="B65" s="8">
        <f t="shared" si="0"/>
        <v>600063</v>
      </c>
      <c r="C65" s="1" t="s">
        <v>6980</v>
      </c>
      <c r="D65" s="9" t="str">
        <f>IFERROR(VLOOKUP(VLOOKUP(VLOOKUP(C65,Project.csv!F:Q,12,FALSE),ServiceAreas.csv!B:I,8,FALSE),LocalAreas.csv!B:I,7,FALSE),200029)</f>
        <v>rg:None</v>
      </c>
      <c r="E65" s="8" t="str">
        <f t="shared" si="1"/>
        <v>rg:{'id':'rg:None'}</v>
      </c>
      <c r="F65" s="9" t="s">
        <v>7054</v>
      </c>
      <c r="G65" s="9" t="str">
        <f ca="1">INDEX(DistrictEquipmentTypes.csv!F:F,RANDBETWEEN(2,COUNTA(DistrictEquipmentTypes.csv!D:D)),1)</f>
        <v>200005</v>
      </c>
      <c r="H65" s="8" t="str">
        <f t="shared" ca="1" si="2"/>
        <v>rg:{ 'id': '200005'}</v>
      </c>
      <c r="I65" s="8">
        <f t="shared" ca="1" si="3"/>
        <v>1</v>
      </c>
      <c r="J65" s="8">
        <f t="shared" ca="1" si="4"/>
        <v>73</v>
      </c>
      <c r="K65" s="8" t="str">
        <f t="shared" ca="1" si="5"/>
        <v>2017-05-05</v>
      </c>
      <c r="L65" s="8" t="str">
        <f t="shared" ca="1" si="6"/>
        <v>2017-05-14</v>
      </c>
    </row>
    <row r="66" spans="1:12" x14ac:dyDescent="0.3">
      <c r="A66" s="8" t="s">
        <v>5668</v>
      </c>
      <c r="B66" s="8">
        <f t="shared" si="0"/>
        <v>600064</v>
      </c>
      <c r="C66" s="1" t="s">
        <v>6981</v>
      </c>
      <c r="D66" s="9" t="str">
        <f>IFERROR(VLOOKUP(VLOOKUP(VLOOKUP(C66,Project.csv!F:Q,12,FALSE),ServiceAreas.csv!B:I,8,FALSE),LocalAreas.csv!B:I,7,FALSE),200029)</f>
        <v>rg:None</v>
      </c>
      <c r="E66" s="8" t="str">
        <f t="shared" si="1"/>
        <v>rg:{'id':'rg:None'}</v>
      </c>
      <c r="F66" s="9" t="s">
        <v>7054</v>
      </c>
      <c r="G66" s="9" t="str">
        <f ca="1">INDEX(DistrictEquipmentTypes.csv!F:F,RANDBETWEEN(2,COUNTA(DistrictEquipmentTypes.csv!D:D)),1)</f>
        <v>200000</v>
      </c>
      <c r="H66" s="8" t="str">
        <f t="shared" ca="1" si="2"/>
        <v>rg:{ 'id': '200000'}</v>
      </c>
      <c r="I66" s="8">
        <f t="shared" ca="1" si="3"/>
        <v>1</v>
      </c>
      <c r="J66" s="8">
        <f t="shared" ca="1" si="4"/>
        <v>30</v>
      </c>
      <c r="K66" s="8" t="str">
        <f t="shared" ca="1" si="5"/>
        <v>2017-04-11</v>
      </c>
      <c r="L66" s="8" t="str">
        <f t="shared" ca="1" si="6"/>
        <v>2017-04-14</v>
      </c>
    </row>
    <row r="67" spans="1:12" x14ac:dyDescent="0.3">
      <c r="A67" s="8" t="s">
        <v>5668</v>
      </c>
      <c r="B67" s="8">
        <f t="shared" ref="B67:B130" si="7">IF(ISNUMBER(B66),B66+1,600000)</f>
        <v>600065</v>
      </c>
      <c r="C67" s="1" t="s">
        <v>6915</v>
      </c>
      <c r="D67" s="9" t="str">
        <f>IFERROR(VLOOKUP(VLOOKUP(VLOOKUP(C67,Project.csv!F:Q,12,FALSE),ServiceAreas.csv!B:I,8,FALSE),LocalAreas.csv!B:I,7,FALSE),200029)</f>
        <v>rg:None</v>
      </c>
      <c r="E67" s="8" t="str">
        <f t="shared" ref="E67:E130" si="8" xml:space="preserve"> "rg:{'id':'" &amp; D67 &amp; "'}"</f>
        <v>rg:{'id':'rg:None'}</v>
      </c>
      <c r="F67" s="9" t="s">
        <v>7054</v>
      </c>
      <c r="G67" s="9" t="str">
        <f ca="1">INDEX(DistrictEquipmentTypes.csv!F:F,RANDBETWEEN(2,COUNTA(DistrictEquipmentTypes.csv!D:D)),1)</f>
        <v>200001</v>
      </c>
      <c r="H67" s="8" t="str">
        <f t="shared" ref="H67:H130" ca="1" si="9">"rg:{ 'id': '"&amp;G67&amp;"'}"</f>
        <v>rg:{ 'id': '200001'}</v>
      </c>
      <c r="I67" s="8">
        <f t="shared" ref="I67:I130" ca="1" si="10">IF(RANDBETWEEN(1,5)&gt;1,1,RANDBETWEEN(2,5))</f>
        <v>1</v>
      </c>
      <c r="J67" s="8">
        <f t="shared" ref="J67:J130" ca="1" si="11">RANDBETWEEN(4,100)</f>
        <v>32</v>
      </c>
      <c r="K67" s="8" t="str">
        <f t="shared" ref="K67:K130" ca="1" si="12">TEXT(TODAY()+RANDBETWEEN(1,56),"YYYY-MM-DD")</f>
        <v>2017-05-04</v>
      </c>
      <c r="L67" s="8" t="str">
        <f t="shared" ref="L67:L130" ca="1" si="13">TEXT(K67+(I67*J67)/8,"YYYY-MM-DD")</f>
        <v>2017-05-08</v>
      </c>
    </row>
    <row r="68" spans="1:12" x14ac:dyDescent="0.3">
      <c r="A68" s="8" t="s">
        <v>5668</v>
      </c>
      <c r="B68" s="8">
        <f t="shared" si="7"/>
        <v>600066</v>
      </c>
      <c r="C68" s="1" t="s">
        <v>6982</v>
      </c>
      <c r="D68" s="9" t="str">
        <f>IFERROR(VLOOKUP(VLOOKUP(VLOOKUP(C68,Project.csv!F:Q,12,FALSE),ServiceAreas.csv!B:I,8,FALSE),LocalAreas.csv!B:I,7,FALSE),200029)</f>
        <v>rg:None</v>
      </c>
      <c r="E68" s="8" t="str">
        <f t="shared" si="8"/>
        <v>rg:{'id':'rg:None'}</v>
      </c>
      <c r="F68" s="9" t="s">
        <v>7054</v>
      </c>
      <c r="G68" s="9" t="str">
        <f ca="1">INDEX(DistrictEquipmentTypes.csv!F:F,RANDBETWEEN(2,COUNTA(DistrictEquipmentTypes.csv!D:D)),1)</f>
        <v>200006</v>
      </c>
      <c r="H68" s="8" t="str">
        <f t="shared" ca="1" si="9"/>
        <v>rg:{ 'id': '200006'}</v>
      </c>
      <c r="I68" s="8">
        <f t="shared" ca="1" si="10"/>
        <v>1</v>
      </c>
      <c r="J68" s="8">
        <f t="shared" ca="1" si="11"/>
        <v>10</v>
      </c>
      <c r="K68" s="8" t="str">
        <f t="shared" ca="1" si="12"/>
        <v>2017-04-13</v>
      </c>
      <c r="L68" s="8" t="str">
        <f t="shared" ca="1" si="13"/>
        <v>2017-04-14</v>
      </c>
    </row>
    <row r="69" spans="1:12" x14ac:dyDescent="0.3">
      <c r="A69" s="8" t="s">
        <v>5668</v>
      </c>
      <c r="B69" s="8">
        <f t="shared" si="7"/>
        <v>600067</v>
      </c>
      <c r="C69" s="1" t="s">
        <v>6983</v>
      </c>
      <c r="D69" s="9" t="str">
        <f>IFERROR(VLOOKUP(VLOOKUP(VLOOKUP(C69,Project.csv!F:Q,12,FALSE),ServiceAreas.csv!B:I,8,FALSE),LocalAreas.csv!B:I,7,FALSE),200029)</f>
        <v>rg:None</v>
      </c>
      <c r="E69" s="8" t="str">
        <f t="shared" si="8"/>
        <v>rg:{'id':'rg:None'}</v>
      </c>
      <c r="F69" s="9" t="s">
        <v>7056</v>
      </c>
      <c r="G69" s="9" t="str">
        <f ca="1">INDEX(DistrictEquipmentTypes.csv!F:F,RANDBETWEEN(2,COUNTA(DistrictEquipmentTypes.csv!D:D)),1)</f>
        <v>200009</v>
      </c>
      <c r="H69" s="8" t="str">
        <f t="shared" ca="1" si="9"/>
        <v>rg:{ 'id': '200009'}</v>
      </c>
      <c r="I69" s="8">
        <f t="shared" ca="1" si="10"/>
        <v>1</v>
      </c>
      <c r="J69" s="8">
        <f t="shared" ca="1" si="11"/>
        <v>22</v>
      </c>
      <c r="K69" s="8" t="str">
        <f t="shared" ca="1" si="12"/>
        <v>2017-05-11</v>
      </c>
      <c r="L69" s="8" t="str">
        <f t="shared" ca="1" si="13"/>
        <v>2017-05-13</v>
      </c>
    </row>
    <row r="70" spans="1:12" x14ac:dyDescent="0.3">
      <c r="A70" s="8" t="s">
        <v>5668</v>
      </c>
      <c r="B70" s="8">
        <f t="shared" si="7"/>
        <v>600068</v>
      </c>
      <c r="C70" s="1" t="s">
        <v>6984</v>
      </c>
      <c r="D70" s="9" t="str">
        <f>IFERROR(VLOOKUP(VLOOKUP(VLOOKUP(C70,Project.csv!F:Q,12,FALSE),ServiceAreas.csv!B:I,8,FALSE),LocalAreas.csv!B:I,7,FALSE),200029)</f>
        <v>rg:None</v>
      </c>
      <c r="E70" s="8" t="str">
        <f t="shared" si="8"/>
        <v>rg:{'id':'rg:None'}</v>
      </c>
      <c r="F70" s="9" t="s">
        <v>7054</v>
      </c>
      <c r="G70" s="9" t="str">
        <f ca="1">INDEX(DistrictEquipmentTypes.csv!F:F,RANDBETWEEN(2,COUNTA(DistrictEquipmentTypes.csv!D:D)),1)</f>
        <v>200000</v>
      </c>
      <c r="H70" s="8" t="str">
        <f t="shared" ca="1" si="9"/>
        <v>rg:{ 'id': '200000'}</v>
      </c>
      <c r="I70" s="8">
        <f t="shared" ca="1" si="10"/>
        <v>1</v>
      </c>
      <c r="J70" s="8">
        <f t="shared" ca="1" si="11"/>
        <v>44</v>
      </c>
      <c r="K70" s="8" t="str">
        <f t="shared" ca="1" si="12"/>
        <v>2017-05-25</v>
      </c>
      <c r="L70" s="8" t="str">
        <f t="shared" ca="1" si="13"/>
        <v>2017-05-30</v>
      </c>
    </row>
    <row r="71" spans="1:12" x14ac:dyDescent="0.3">
      <c r="A71" s="8" t="s">
        <v>5668</v>
      </c>
      <c r="B71" s="8">
        <f t="shared" si="7"/>
        <v>600069</v>
      </c>
      <c r="C71" s="1" t="s">
        <v>6921</v>
      </c>
      <c r="D71" s="9" t="str">
        <f>IFERROR(VLOOKUP(VLOOKUP(VLOOKUP(C71,Project.csv!F:Q,12,FALSE),ServiceAreas.csv!B:I,8,FALSE),LocalAreas.csv!B:I,7,FALSE),200029)</f>
        <v>rg:None</v>
      </c>
      <c r="E71" s="8" t="str">
        <f t="shared" si="8"/>
        <v>rg:{'id':'rg:None'}</v>
      </c>
      <c r="F71" s="9" t="s">
        <v>7054</v>
      </c>
      <c r="G71" s="9" t="str">
        <f ca="1">INDEX(DistrictEquipmentTypes.csv!F:F,RANDBETWEEN(2,COUNTA(DistrictEquipmentTypes.csv!D:D)),1)</f>
        <v>200000</v>
      </c>
      <c r="H71" s="8" t="str">
        <f t="shared" ca="1" si="9"/>
        <v>rg:{ 'id': '200000'}</v>
      </c>
      <c r="I71" s="8">
        <f t="shared" ca="1" si="10"/>
        <v>1</v>
      </c>
      <c r="J71" s="8">
        <f t="shared" ca="1" si="11"/>
        <v>79</v>
      </c>
      <c r="K71" s="8" t="str">
        <f t="shared" ca="1" si="12"/>
        <v>2017-04-22</v>
      </c>
      <c r="L71" s="8" t="str">
        <f t="shared" ca="1" si="13"/>
        <v>2017-05-01</v>
      </c>
    </row>
    <row r="72" spans="1:12" x14ac:dyDescent="0.3">
      <c r="A72" s="8" t="s">
        <v>5668</v>
      </c>
      <c r="B72" s="8">
        <f t="shared" si="7"/>
        <v>600070</v>
      </c>
      <c r="C72" s="1" t="s">
        <v>6985</v>
      </c>
      <c r="D72" s="9" t="str">
        <f>IFERROR(VLOOKUP(VLOOKUP(VLOOKUP(C72,Project.csv!F:Q,12,FALSE),ServiceAreas.csv!B:I,8,FALSE),LocalAreas.csv!B:I,7,FALSE),200029)</f>
        <v>rg:None</v>
      </c>
      <c r="E72" s="8" t="str">
        <f t="shared" si="8"/>
        <v>rg:{'id':'rg:None'}</v>
      </c>
      <c r="F72" s="9" t="s">
        <v>7054</v>
      </c>
      <c r="G72" s="9" t="str">
        <f ca="1">INDEX(DistrictEquipmentTypes.csv!F:F,RANDBETWEEN(2,COUNTA(DistrictEquipmentTypes.csv!D:D)),1)</f>
        <v>200003</v>
      </c>
      <c r="H72" s="8" t="str">
        <f t="shared" ca="1" si="9"/>
        <v>rg:{ 'id': '200003'}</v>
      </c>
      <c r="I72" s="8">
        <f t="shared" ca="1" si="10"/>
        <v>1</v>
      </c>
      <c r="J72" s="8">
        <f t="shared" ca="1" si="11"/>
        <v>90</v>
      </c>
      <c r="K72" s="8" t="str">
        <f t="shared" ca="1" si="12"/>
        <v>2017-04-28</v>
      </c>
      <c r="L72" s="8" t="str">
        <f t="shared" ca="1" si="13"/>
        <v>2017-05-09</v>
      </c>
    </row>
    <row r="73" spans="1:12" x14ac:dyDescent="0.3">
      <c r="A73" s="8" t="s">
        <v>5668</v>
      </c>
      <c r="B73" s="8">
        <f t="shared" si="7"/>
        <v>600071</v>
      </c>
      <c r="C73" s="1" t="s">
        <v>6986</v>
      </c>
      <c r="D73" s="9" t="str">
        <f>IFERROR(VLOOKUP(VLOOKUP(VLOOKUP(C73,Project.csv!F:Q,12,FALSE),ServiceAreas.csv!B:I,8,FALSE),LocalAreas.csv!B:I,7,FALSE),200029)</f>
        <v>rg:None</v>
      </c>
      <c r="E73" s="8" t="str">
        <f t="shared" si="8"/>
        <v>rg:{'id':'rg:None'}</v>
      </c>
      <c r="F73" s="9" t="s">
        <v>7056</v>
      </c>
      <c r="G73" s="9" t="str">
        <f ca="1">INDEX(DistrictEquipmentTypes.csv!F:F,RANDBETWEEN(2,COUNTA(DistrictEquipmentTypes.csv!D:D)),1)</f>
        <v>200005</v>
      </c>
      <c r="H73" s="8" t="str">
        <f t="shared" ca="1" si="9"/>
        <v>rg:{ 'id': '200005'}</v>
      </c>
      <c r="I73" s="8">
        <f t="shared" ca="1" si="10"/>
        <v>1</v>
      </c>
      <c r="J73" s="8">
        <f t="shared" ca="1" si="11"/>
        <v>44</v>
      </c>
      <c r="K73" s="8" t="str">
        <f t="shared" ca="1" si="12"/>
        <v>2017-05-24</v>
      </c>
      <c r="L73" s="8" t="str">
        <f t="shared" ca="1" si="13"/>
        <v>2017-05-29</v>
      </c>
    </row>
    <row r="74" spans="1:12" x14ac:dyDescent="0.3">
      <c r="A74" s="8" t="s">
        <v>5668</v>
      </c>
      <c r="B74" s="8">
        <f t="shared" si="7"/>
        <v>600072</v>
      </c>
      <c r="C74" s="1" t="s">
        <v>6987</v>
      </c>
      <c r="D74" s="9" t="str">
        <f>IFERROR(VLOOKUP(VLOOKUP(VLOOKUP(C74,Project.csv!F:Q,12,FALSE),ServiceAreas.csv!B:I,8,FALSE),LocalAreas.csv!B:I,7,FALSE),200029)</f>
        <v>rg:None</v>
      </c>
      <c r="E74" s="8" t="str">
        <f t="shared" si="8"/>
        <v>rg:{'id':'rg:None'}</v>
      </c>
      <c r="F74" s="9" t="s">
        <v>7054</v>
      </c>
      <c r="G74" s="9" t="str">
        <f ca="1">INDEX(DistrictEquipmentTypes.csv!F:F,RANDBETWEEN(2,COUNTA(DistrictEquipmentTypes.csv!D:D)),1)</f>
        <v>200007</v>
      </c>
      <c r="H74" s="8" t="str">
        <f t="shared" ca="1" si="9"/>
        <v>rg:{ 'id': '200007'}</v>
      </c>
      <c r="I74" s="8">
        <f t="shared" ca="1" si="10"/>
        <v>1</v>
      </c>
      <c r="J74" s="8">
        <f t="shared" ca="1" si="11"/>
        <v>88</v>
      </c>
      <c r="K74" s="8" t="str">
        <f t="shared" ca="1" si="12"/>
        <v>2017-04-11</v>
      </c>
      <c r="L74" s="8" t="str">
        <f t="shared" ca="1" si="13"/>
        <v>2017-04-22</v>
      </c>
    </row>
    <row r="75" spans="1:12" x14ac:dyDescent="0.3">
      <c r="A75" s="8" t="s">
        <v>5668</v>
      </c>
      <c r="B75" s="8">
        <f t="shared" si="7"/>
        <v>600073</v>
      </c>
      <c r="C75" s="1" t="s">
        <v>6988</v>
      </c>
      <c r="D75" s="9" t="str">
        <f>IFERROR(VLOOKUP(VLOOKUP(VLOOKUP(C75,Project.csv!F:Q,12,FALSE),ServiceAreas.csv!B:I,8,FALSE),LocalAreas.csv!B:I,7,FALSE),200029)</f>
        <v>rg:None</v>
      </c>
      <c r="E75" s="8" t="str">
        <f t="shared" si="8"/>
        <v>rg:{'id':'rg:None'}</v>
      </c>
      <c r="F75" s="9" t="s">
        <v>7054</v>
      </c>
      <c r="G75" s="9" t="str">
        <f ca="1">INDEX(DistrictEquipmentTypes.csv!F:F,RANDBETWEEN(2,COUNTA(DistrictEquipmentTypes.csv!D:D)),1)</f>
        <v>200002</v>
      </c>
      <c r="H75" s="8" t="str">
        <f t="shared" ca="1" si="9"/>
        <v>rg:{ 'id': '200002'}</v>
      </c>
      <c r="I75" s="8">
        <f t="shared" ca="1" si="10"/>
        <v>1</v>
      </c>
      <c r="J75" s="8">
        <f t="shared" ca="1" si="11"/>
        <v>37</v>
      </c>
      <c r="K75" s="8" t="str">
        <f t="shared" ca="1" si="12"/>
        <v>2017-04-16</v>
      </c>
      <c r="L75" s="8" t="str">
        <f t="shared" ca="1" si="13"/>
        <v>2017-04-20</v>
      </c>
    </row>
    <row r="76" spans="1:12" x14ac:dyDescent="0.3">
      <c r="A76" s="8" t="s">
        <v>5668</v>
      </c>
      <c r="B76" s="8">
        <f t="shared" si="7"/>
        <v>600074</v>
      </c>
      <c r="C76" s="1" t="s">
        <v>6989</v>
      </c>
      <c r="D76" s="9" t="str">
        <f>IFERROR(VLOOKUP(VLOOKUP(VLOOKUP(C76,Project.csv!F:Q,12,FALSE),ServiceAreas.csv!B:I,8,FALSE),LocalAreas.csv!B:I,7,FALSE),200029)</f>
        <v>rg:None</v>
      </c>
      <c r="E76" s="8" t="str">
        <f t="shared" si="8"/>
        <v>rg:{'id':'rg:None'}</v>
      </c>
      <c r="F76" s="9" t="s">
        <v>7054</v>
      </c>
      <c r="G76" s="9" t="str">
        <f ca="1">INDEX(DistrictEquipmentTypes.csv!F:F,RANDBETWEEN(2,COUNTA(DistrictEquipmentTypes.csv!D:D)),1)</f>
        <v>200003</v>
      </c>
      <c r="H76" s="8" t="str">
        <f t="shared" ca="1" si="9"/>
        <v>rg:{ 'id': '200003'}</v>
      </c>
      <c r="I76" s="8">
        <f t="shared" ca="1" si="10"/>
        <v>3</v>
      </c>
      <c r="J76" s="8">
        <f t="shared" ca="1" si="11"/>
        <v>74</v>
      </c>
      <c r="K76" s="8" t="str">
        <f t="shared" ca="1" si="12"/>
        <v>2017-05-09</v>
      </c>
      <c r="L76" s="8" t="str">
        <f t="shared" ca="1" si="13"/>
        <v>2017-06-05</v>
      </c>
    </row>
    <row r="77" spans="1:12" x14ac:dyDescent="0.3">
      <c r="A77" s="8" t="s">
        <v>5668</v>
      </c>
      <c r="B77" s="8">
        <f t="shared" si="7"/>
        <v>600075</v>
      </c>
      <c r="C77" s="1" t="s">
        <v>6990</v>
      </c>
      <c r="D77" s="9" t="str">
        <f>IFERROR(VLOOKUP(VLOOKUP(VLOOKUP(C77,Project.csv!F:Q,12,FALSE),ServiceAreas.csv!B:I,8,FALSE),LocalAreas.csv!B:I,7,FALSE),200029)</f>
        <v>rg:None</v>
      </c>
      <c r="E77" s="8" t="str">
        <f t="shared" si="8"/>
        <v>rg:{'id':'rg:None'}</v>
      </c>
      <c r="F77" s="9" t="s">
        <v>7054</v>
      </c>
      <c r="G77" s="9" t="str">
        <f ca="1">INDEX(DistrictEquipmentTypes.csv!F:F,RANDBETWEEN(2,COUNTA(DistrictEquipmentTypes.csv!D:D)),1)</f>
        <v>200006</v>
      </c>
      <c r="H77" s="8" t="str">
        <f t="shared" ca="1" si="9"/>
        <v>rg:{ 'id': '200006'}</v>
      </c>
      <c r="I77" s="8">
        <f t="shared" ca="1" si="10"/>
        <v>1</v>
      </c>
      <c r="J77" s="8">
        <f t="shared" ca="1" si="11"/>
        <v>58</v>
      </c>
      <c r="K77" s="8" t="str">
        <f t="shared" ca="1" si="12"/>
        <v>2017-04-26</v>
      </c>
      <c r="L77" s="8" t="str">
        <f t="shared" ca="1" si="13"/>
        <v>2017-05-03</v>
      </c>
    </row>
    <row r="78" spans="1:12" x14ac:dyDescent="0.3">
      <c r="A78" s="8" t="s">
        <v>5668</v>
      </c>
      <c r="B78" s="8">
        <f t="shared" si="7"/>
        <v>600076</v>
      </c>
      <c r="C78" s="1" t="s">
        <v>6991</v>
      </c>
      <c r="D78" s="9" t="str">
        <f>IFERROR(VLOOKUP(VLOOKUP(VLOOKUP(C78,Project.csv!F:Q,12,FALSE),ServiceAreas.csv!B:I,8,FALSE),LocalAreas.csv!B:I,7,FALSE),200029)</f>
        <v>rg:None</v>
      </c>
      <c r="E78" s="8" t="str">
        <f t="shared" si="8"/>
        <v>rg:{'id':'rg:None'}</v>
      </c>
      <c r="F78" s="9" t="s">
        <v>7054</v>
      </c>
      <c r="G78" s="9" t="str">
        <f ca="1">INDEX(DistrictEquipmentTypes.csv!F:F,RANDBETWEEN(2,COUNTA(DistrictEquipmentTypes.csv!D:D)),1)</f>
        <v>200009</v>
      </c>
      <c r="H78" s="8" t="str">
        <f t="shared" ca="1" si="9"/>
        <v>rg:{ 'id': '200009'}</v>
      </c>
      <c r="I78" s="8">
        <f t="shared" ca="1" si="10"/>
        <v>2</v>
      </c>
      <c r="J78" s="8">
        <f t="shared" ca="1" si="11"/>
        <v>37</v>
      </c>
      <c r="K78" s="8" t="str">
        <f t="shared" ca="1" si="12"/>
        <v>2017-05-18</v>
      </c>
      <c r="L78" s="8" t="str">
        <f t="shared" ca="1" si="13"/>
        <v>2017-05-27</v>
      </c>
    </row>
    <row r="79" spans="1:12" x14ac:dyDescent="0.3">
      <c r="A79" s="8" t="s">
        <v>5668</v>
      </c>
      <c r="B79" s="8">
        <f t="shared" si="7"/>
        <v>600077</v>
      </c>
      <c r="C79" s="1" t="s">
        <v>6901</v>
      </c>
      <c r="D79" s="9" t="str">
        <f>IFERROR(VLOOKUP(VLOOKUP(VLOOKUP(C79,Project.csv!F:Q,12,FALSE),ServiceAreas.csv!B:I,8,FALSE),LocalAreas.csv!B:I,7,FALSE),200029)</f>
        <v>rg:None</v>
      </c>
      <c r="E79" s="8" t="str">
        <f t="shared" si="8"/>
        <v>rg:{'id':'rg:None'}</v>
      </c>
      <c r="F79" s="9" t="s">
        <v>7056</v>
      </c>
      <c r="G79" s="9" t="str">
        <f ca="1">INDEX(DistrictEquipmentTypes.csv!F:F,RANDBETWEEN(2,COUNTA(DistrictEquipmentTypes.csv!D:D)),1)</f>
        <v>200006</v>
      </c>
      <c r="H79" s="8" t="str">
        <f t="shared" ca="1" si="9"/>
        <v>rg:{ 'id': '200006'}</v>
      </c>
      <c r="I79" s="8">
        <f t="shared" ca="1" si="10"/>
        <v>1</v>
      </c>
      <c r="J79" s="8">
        <f t="shared" ca="1" si="11"/>
        <v>57</v>
      </c>
      <c r="K79" s="8" t="str">
        <f t="shared" ca="1" si="12"/>
        <v>2017-04-18</v>
      </c>
      <c r="L79" s="8" t="str">
        <f t="shared" ca="1" si="13"/>
        <v>2017-04-25</v>
      </c>
    </row>
    <row r="80" spans="1:12" x14ac:dyDescent="0.3">
      <c r="A80" s="8" t="s">
        <v>5668</v>
      </c>
      <c r="B80" s="8">
        <f t="shared" si="7"/>
        <v>600078</v>
      </c>
      <c r="C80" s="1" t="s">
        <v>6896</v>
      </c>
      <c r="D80" s="9" t="str">
        <f>IFERROR(VLOOKUP(VLOOKUP(VLOOKUP(C80,Project.csv!F:Q,12,FALSE),ServiceAreas.csv!B:I,8,FALSE),LocalAreas.csv!B:I,7,FALSE),200029)</f>
        <v>rg:None</v>
      </c>
      <c r="E80" s="8" t="str">
        <f t="shared" si="8"/>
        <v>rg:{'id':'rg:None'}</v>
      </c>
      <c r="F80" s="9" t="s">
        <v>7054</v>
      </c>
      <c r="G80" s="9" t="str">
        <f ca="1">INDEX(DistrictEquipmentTypes.csv!F:F,RANDBETWEEN(2,COUNTA(DistrictEquipmentTypes.csv!D:D)),1)</f>
        <v>200006</v>
      </c>
      <c r="H80" s="8" t="str">
        <f t="shared" ca="1" si="9"/>
        <v>rg:{ 'id': '200006'}</v>
      </c>
      <c r="I80" s="8">
        <f t="shared" ca="1" si="10"/>
        <v>1</v>
      </c>
      <c r="J80" s="8">
        <f t="shared" ca="1" si="11"/>
        <v>20</v>
      </c>
      <c r="K80" s="8" t="str">
        <f t="shared" ca="1" si="12"/>
        <v>2017-04-01</v>
      </c>
      <c r="L80" s="8" t="str">
        <f t="shared" ca="1" si="13"/>
        <v>2017-04-03</v>
      </c>
    </row>
    <row r="81" spans="1:12" x14ac:dyDescent="0.3">
      <c r="A81" s="8" t="s">
        <v>5668</v>
      </c>
      <c r="B81" s="8">
        <f t="shared" si="7"/>
        <v>600079</v>
      </c>
      <c r="C81" s="1" t="s">
        <v>6992</v>
      </c>
      <c r="D81" s="9" t="str">
        <f>IFERROR(VLOOKUP(VLOOKUP(VLOOKUP(C81,Project.csv!F:Q,12,FALSE),ServiceAreas.csv!B:I,8,FALSE),LocalAreas.csv!B:I,7,FALSE),200029)</f>
        <v>rg:None</v>
      </c>
      <c r="E81" s="8" t="str">
        <f t="shared" si="8"/>
        <v>rg:{'id':'rg:None'}</v>
      </c>
      <c r="F81" s="9" t="s">
        <v>7054</v>
      </c>
      <c r="G81" s="9" t="str">
        <f ca="1">INDEX(DistrictEquipmentTypes.csv!F:F,RANDBETWEEN(2,COUNTA(DistrictEquipmentTypes.csv!D:D)),1)</f>
        <v>200000</v>
      </c>
      <c r="H81" s="8" t="str">
        <f t="shared" ca="1" si="9"/>
        <v>rg:{ 'id': '200000'}</v>
      </c>
      <c r="I81" s="8">
        <f t="shared" ca="1" si="10"/>
        <v>2</v>
      </c>
      <c r="J81" s="8">
        <f t="shared" ca="1" si="11"/>
        <v>56</v>
      </c>
      <c r="K81" s="8" t="str">
        <f t="shared" ca="1" si="12"/>
        <v>2017-04-01</v>
      </c>
      <c r="L81" s="8" t="str">
        <f t="shared" ca="1" si="13"/>
        <v>2017-04-15</v>
      </c>
    </row>
    <row r="82" spans="1:12" x14ac:dyDescent="0.3">
      <c r="A82" s="8" t="s">
        <v>5668</v>
      </c>
      <c r="B82" s="8">
        <f t="shared" si="7"/>
        <v>600080</v>
      </c>
      <c r="C82" s="1" t="s">
        <v>6993</v>
      </c>
      <c r="D82" s="9" t="str">
        <f>IFERROR(VLOOKUP(VLOOKUP(VLOOKUP(C82,Project.csv!F:Q,12,FALSE),ServiceAreas.csv!B:I,8,FALSE),LocalAreas.csv!B:I,7,FALSE),200029)</f>
        <v>rg:None</v>
      </c>
      <c r="E82" s="8" t="str">
        <f t="shared" si="8"/>
        <v>rg:{'id':'rg:None'}</v>
      </c>
      <c r="F82" s="9" t="s">
        <v>7054</v>
      </c>
      <c r="G82" s="9" t="str">
        <f ca="1">INDEX(DistrictEquipmentTypes.csv!F:F,RANDBETWEEN(2,COUNTA(DistrictEquipmentTypes.csv!D:D)),1)</f>
        <v>200003</v>
      </c>
      <c r="H82" s="8" t="str">
        <f t="shared" ca="1" si="9"/>
        <v>rg:{ 'id': '200003'}</v>
      </c>
      <c r="I82" s="8">
        <f t="shared" ca="1" si="10"/>
        <v>1</v>
      </c>
      <c r="J82" s="8">
        <f t="shared" ca="1" si="11"/>
        <v>18</v>
      </c>
      <c r="K82" s="8" t="str">
        <f t="shared" ca="1" si="12"/>
        <v>2017-04-08</v>
      </c>
      <c r="L82" s="8" t="str">
        <f t="shared" ca="1" si="13"/>
        <v>2017-04-10</v>
      </c>
    </row>
    <row r="83" spans="1:12" x14ac:dyDescent="0.3">
      <c r="A83" s="8" t="s">
        <v>5668</v>
      </c>
      <c r="B83" s="8">
        <f t="shared" si="7"/>
        <v>600081</v>
      </c>
      <c r="C83" s="1" t="s">
        <v>6994</v>
      </c>
      <c r="D83" s="9" t="str">
        <f>IFERROR(VLOOKUP(VLOOKUP(VLOOKUP(C83,Project.csv!F:Q,12,FALSE),ServiceAreas.csv!B:I,8,FALSE),LocalAreas.csv!B:I,7,FALSE),200029)</f>
        <v>rg:None</v>
      </c>
      <c r="E83" s="8" t="str">
        <f t="shared" si="8"/>
        <v>rg:{'id':'rg:None'}</v>
      </c>
      <c r="F83" s="9" t="s">
        <v>7056</v>
      </c>
      <c r="G83" s="9" t="str">
        <f ca="1">INDEX(DistrictEquipmentTypes.csv!F:F,RANDBETWEEN(2,COUNTA(DistrictEquipmentTypes.csv!D:D)),1)</f>
        <v>200006</v>
      </c>
      <c r="H83" s="8" t="str">
        <f t="shared" ca="1" si="9"/>
        <v>rg:{ 'id': '200006'}</v>
      </c>
      <c r="I83" s="8">
        <f t="shared" ca="1" si="10"/>
        <v>1</v>
      </c>
      <c r="J83" s="8">
        <f t="shared" ca="1" si="11"/>
        <v>75</v>
      </c>
      <c r="K83" s="8" t="str">
        <f t="shared" ca="1" si="12"/>
        <v>2017-04-19</v>
      </c>
      <c r="L83" s="8" t="str">
        <f t="shared" ca="1" si="13"/>
        <v>2017-04-28</v>
      </c>
    </row>
    <row r="84" spans="1:12" x14ac:dyDescent="0.3">
      <c r="A84" s="8" t="s">
        <v>5668</v>
      </c>
      <c r="B84" s="8">
        <f t="shared" si="7"/>
        <v>600082</v>
      </c>
      <c r="C84" s="1" t="s">
        <v>6995</v>
      </c>
      <c r="D84" s="9" t="str">
        <f>IFERROR(VLOOKUP(VLOOKUP(VLOOKUP(C84,Project.csv!F:Q,12,FALSE),ServiceAreas.csv!B:I,8,FALSE),LocalAreas.csv!B:I,7,FALSE),200029)</f>
        <v>rg:None</v>
      </c>
      <c r="E84" s="8" t="str">
        <f t="shared" si="8"/>
        <v>rg:{'id':'rg:None'}</v>
      </c>
      <c r="F84" s="9" t="s">
        <v>7055</v>
      </c>
      <c r="G84" s="9" t="str">
        <f ca="1">INDEX(DistrictEquipmentTypes.csv!F:F,RANDBETWEEN(2,COUNTA(DistrictEquipmentTypes.csv!D:D)),1)</f>
        <v>200004</v>
      </c>
      <c r="H84" s="8" t="str">
        <f t="shared" ca="1" si="9"/>
        <v>rg:{ 'id': '200004'}</v>
      </c>
      <c r="I84" s="8">
        <f t="shared" ca="1" si="10"/>
        <v>1</v>
      </c>
      <c r="J84" s="8">
        <f t="shared" ca="1" si="11"/>
        <v>18</v>
      </c>
      <c r="K84" s="8" t="str">
        <f t="shared" ca="1" si="12"/>
        <v>2017-03-31</v>
      </c>
      <c r="L84" s="8" t="str">
        <f t="shared" ca="1" si="13"/>
        <v>2017-04-02</v>
      </c>
    </row>
    <row r="85" spans="1:12" x14ac:dyDescent="0.3">
      <c r="A85" s="8" t="s">
        <v>5668</v>
      </c>
      <c r="B85" s="8">
        <f t="shared" si="7"/>
        <v>600083</v>
      </c>
      <c r="C85" s="1" t="s">
        <v>6895</v>
      </c>
      <c r="D85" s="9" t="str">
        <f>IFERROR(VLOOKUP(VLOOKUP(VLOOKUP(C85,Project.csv!F:Q,12,FALSE),ServiceAreas.csv!B:I,8,FALSE),LocalAreas.csv!B:I,7,FALSE),200029)</f>
        <v>rg:None</v>
      </c>
      <c r="E85" s="8" t="str">
        <f t="shared" si="8"/>
        <v>rg:{'id':'rg:None'}</v>
      </c>
      <c r="F85" s="9" t="s">
        <v>7055</v>
      </c>
      <c r="G85" s="9" t="str">
        <f ca="1">INDEX(DistrictEquipmentTypes.csv!F:F,RANDBETWEEN(2,COUNTA(DistrictEquipmentTypes.csv!D:D)),1)</f>
        <v>200006</v>
      </c>
      <c r="H85" s="8" t="str">
        <f t="shared" ca="1" si="9"/>
        <v>rg:{ 'id': '200006'}</v>
      </c>
      <c r="I85" s="8">
        <f t="shared" ca="1" si="10"/>
        <v>1</v>
      </c>
      <c r="J85" s="8">
        <f t="shared" ca="1" si="11"/>
        <v>38</v>
      </c>
      <c r="K85" s="8" t="str">
        <f t="shared" ca="1" si="12"/>
        <v>2017-05-14</v>
      </c>
      <c r="L85" s="8" t="str">
        <f t="shared" ca="1" si="13"/>
        <v>2017-05-18</v>
      </c>
    </row>
    <row r="86" spans="1:12" x14ac:dyDescent="0.3">
      <c r="A86" s="8" t="s">
        <v>5668</v>
      </c>
      <c r="B86" s="8">
        <f t="shared" si="7"/>
        <v>600084</v>
      </c>
      <c r="C86" s="1" t="s">
        <v>6996</v>
      </c>
      <c r="D86" s="9" t="str">
        <f>IFERROR(VLOOKUP(VLOOKUP(VLOOKUP(C86,Project.csv!F:Q,12,FALSE),ServiceAreas.csv!B:I,8,FALSE),LocalAreas.csv!B:I,7,FALSE),200029)</f>
        <v>rg:None</v>
      </c>
      <c r="E86" s="8" t="str">
        <f t="shared" si="8"/>
        <v>rg:{'id':'rg:None'}</v>
      </c>
      <c r="F86" s="9" t="s">
        <v>7054</v>
      </c>
      <c r="G86" s="9" t="str">
        <f ca="1">INDEX(DistrictEquipmentTypes.csv!F:F,RANDBETWEEN(2,COUNTA(DistrictEquipmentTypes.csv!D:D)),1)</f>
        <v>200009</v>
      </c>
      <c r="H86" s="8" t="str">
        <f t="shared" ca="1" si="9"/>
        <v>rg:{ 'id': '200009'}</v>
      </c>
      <c r="I86" s="8">
        <f t="shared" ca="1" si="10"/>
        <v>1</v>
      </c>
      <c r="J86" s="8">
        <f t="shared" ca="1" si="11"/>
        <v>24</v>
      </c>
      <c r="K86" s="8" t="str">
        <f t="shared" ca="1" si="12"/>
        <v>2017-04-16</v>
      </c>
      <c r="L86" s="8" t="str">
        <f t="shared" ca="1" si="13"/>
        <v>2017-04-19</v>
      </c>
    </row>
    <row r="87" spans="1:12" x14ac:dyDescent="0.3">
      <c r="A87" s="8" t="s">
        <v>5668</v>
      </c>
      <c r="B87" s="8">
        <f t="shared" si="7"/>
        <v>600085</v>
      </c>
      <c r="C87" s="1" t="s">
        <v>6997</v>
      </c>
      <c r="D87" s="9" t="str">
        <f>IFERROR(VLOOKUP(VLOOKUP(VLOOKUP(C87,Project.csv!F:Q,12,FALSE),ServiceAreas.csv!B:I,8,FALSE),LocalAreas.csv!B:I,7,FALSE),200029)</f>
        <v>rg:None</v>
      </c>
      <c r="E87" s="8" t="str">
        <f t="shared" si="8"/>
        <v>rg:{'id':'rg:None'}</v>
      </c>
      <c r="F87" s="9" t="s">
        <v>7056</v>
      </c>
      <c r="G87" s="9" t="str">
        <f ca="1">INDEX(DistrictEquipmentTypes.csv!F:F,RANDBETWEEN(2,COUNTA(DistrictEquipmentTypes.csv!D:D)),1)</f>
        <v>200006</v>
      </c>
      <c r="H87" s="8" t="str">
        <f t="shared" ca="1" si="9"/>
        <v>rg:{ 'id': '200006'}</v>
      </c>
      <c r="I87" s="8">
        <f t="shared" ca="1" si="10"/>
        <v>2</v>
      </c>
      <c r="J87" s="8">
        <f t="shared" ca="1" si="11"/>
        <v>98</v>
      </c>
      <c r="K87" s="8" t="str">
        <f t="shared" ca="1" si="12"/>
        <v>2017-05-06</v>
      </c>
      <c r="L87" s="8" t="str">
        <f t="shared" ca="1" si="13"/>
        <v>2017-05-30</v>
      </c>
    </row>
    <row r="88" spans="1:12" x14ac:dyDescent="0.3">
      <c r="A88" s="8" t="s">
        <v>5668</v>
      </c>
      <c r="B88" s="8">
        <f t="shared" si="7"/>
        <v>600086</v>
      </c>
      <c r="C88" s="1" t="s">
        <v>6998</v>
      </c>
      <c r="D88" s="9" t="str">
        <f>IFERROR(VLOOKUP(VLOOKUP(VLOOKUP(C88,Project.csv!F:Q,12,FALSE),ServiceAreas.csv!B:I,8,FALSE),LocalAreas.csv!B:I,7,FALSE),200029)</f>
        <v>rg:None</v>
      </c>
      <c r="E88" s="8" t="str">
        <f t="shared" si="8"/>
        <v>rg:{'id':'rg:None'}</v>
      </c>
      <c r="F88" s="9" t="s">
        <v>7056</v>
      </c>
      <c r="G88" s="9" t="str">
        <f ca="1">INDEX(DistrictEquipmentTypes.csv!F:F,RANDBETWEEN(2,COUNTA(DistrictEquipmentTypes.csv!D:D)),1)</f>
        <v>200000</v>
      </c>
      <c r="H88" s="8" t="str">
        <f t="shared" ca="1" si="9"/>
        <v>rg:{ 'id': '200000'}</v>
      </c>
      <c r="I88" s="8">
        <f t="shared" ca="1" si="10"/>
        <v>1</v>
      </c>
      <c r="J88" s="8">
        <f t="shared" ca="1" si="11"/>
        <v>58</v>
      </c>
      <c r="K88" s="8" t="str">
        <f t="shared" ca="1" si="12"/>
        <v>2017-04-02</v>
      </c>
      <c r="L88" s="8" t="str">
        <f t="shared" ca="1" si="13"/>
        <v>2017-04-09</v>
      </c>
    </row>
    <row r="89" spans="1:12" x14ac:dyDescent="0.3">
      <c r="A89" s="8" t="s">
        <v>5668</v>
      </c>
      <c r="B89" s="8">
        <f t="shared" si="7"/>
        <v>600087</v>
      </c>
      <c r="C89" s="1" t="s">
        <v>6907</v>
      </c>
      <c r="D89" s="9" t="str">
        <f>IFERROR(VLOOKUP(VLOOKUP(VLOOKUP(C89,Project.csv!F:Q,12,FALSE),ServiceAreas.csv!B:I,8,FALSE),LocalAreas.csv!B:I,7,FALSE),200029)</f>
        <v>rg:None</v>
      </c>
      <c r="E89" s="8" t="str">
        <f t="shared" si="8"/>
        <v>rg:{'id':'rg:None'}</v>
      </c>
      <c r="F89" s="9" t="s">
        <v>7054</v>
      </c>
      <c r="G89" s="9" t="str">
        <f ca="1">INDEX(DistrictEquipmentTypes.csv!F:F,RANDBETWEEN(2,COUNTA(DistrictEquipmentTypes.csv!D:D)),1)</f>
        <v>200001</v>
      </c>
      <c r="H89" s="8" t="str">
        <f t="shared" ca="1" si="9"/>
        <v>rg:{ 'id': '200001'}</v>
      </c>
      <c r="I89" s="8">
        <f t="shared" ca="1" si="10"/>
        <v>1</v>
      </c>
      <c r="J89" s="8">
        <f t="shared" ca="1" si="11"/>
        <v>29</v>
      </c>
      <c r="K89" s="8" t="str">
        <f t="shared" ca="1" si="12"/>
        <v>2017-04-27</v>
      </c>
      <c r="L89" s="8" t="str">
        <f t="shared" ca="1" si="13"/>
        <v>2017-04-30</v>
      </c>
    </row>
    <row r="90" spans="1:12" x14ac:dyDescent="0.3">
      <c r="A90" s="8" t="s">
        <v>5668</v>
      </c>
      <c r="B90" s="8">
        <f t="shared" si="7"/>
        <v>600088</v>
      </c>
      <c r="C90" s="1" t="s">
        <v>6999</v>
      </c>
      <c r="D90" s="9" t="str">
        <f>IFERROR(VLOOKUP(VLOOKUP(VLOOKUP(C90,Project.csv!F:Q,12,FALSE),ServiceAreas.csv!B:I,8,FALSE),LocalAreas.csv!B:I,7,FALSE),200029)</f>
        <v>rg:None</v>
      </c>
      <c r="E90" s="8" t="str">
        <f t="shared" si="8"/>
        <v>rg:{'id':'rg:None'}</v>
      </c>
      <c r="F90" s="9" t="s">
        <v>7054</v>
      </c>
      <c r="G90" s="9" t="str">
        <f ca="1">INDEX(DistrictEquipmentTypes.csv!F:F,RANDBETWEEN(2,COUNTA(DistrictEquipmentTypes.csv!D:D)),1)</f>
        <v>200007</v>
      </c>
      <c r="H90" s="8" t="str">
        <f t="shared" ca="1" si="9"/>
        <v>rg:{ 'id': '200007'}</v>
      </c>
      <c r="I90" s="8">
        <f t="shared" ca="1" si="10"/>
        <v>1</v>
      </c>
      <c r="J90" s="8">
        <f t="shared" ca="1" si="11"/>
        <v>80</v>
      </c>
      <c r="K90" s="8" t="str">
        <f t="shared" ca="1" si="12"/>
        <v>2017-05-16</v>
      </c>
      <c r="L90" s="8" t="str">
        <f t="shared" ca="1" si="13"/>
        <v>2017-05-26</v>
      </c>
    </row>
    <row r="91" spans="1:12" x14ac:dyDescent="0.3">
      <c r="A91" s="8" t="s">
        <v>5668</v>
      </c>
      <c r="B91" s="8">
        <f t="shared" si="7"/>
        <v>600089</v>
      </c>
      <c r="C91" s="1" t="s">
        <v>7000</v>
      </c>
      <c r="D91" s="9" t="str">
        <f>IFERROR(VLOOKUP(VLOOKUP(VLOOKUP(C91,Project.csv!F:Q,12,FALSE),ServiceAreas.csv!B:I,8,FALSE),LocalAreas.csv!B:I,7,FALSE),200029)</f>
        <v>rg:None</v>
      </c>
      <c r="E91" s="8" t="str">
        <f t="shared" si="8"/>
        <v>rg:{'id':'rg:None'}</v>
      </c>
      <c r="F91" s="9" t="s">
        <v>7054</v>
      </c>
      <c r="G91" s="9" t="str">
        <f ca="1">INDEX(DistrictEquipmentTypes.csv!F:F,RANDBETWEEN(2,COUNTA(DistrictEquipmentTypes.csv!D:D)),1)</f>
        <v>200006</v>
      </c>
      <c r="H91" s="8" t="str">
        <f t="shared" ca="1" si="9"/>
        <v>rg:{ 'id': '200006'}</v>
      </c>
      <c r="I91" s="8">
        <f t="shared" ca="1" si="10"/>
        <v>1</v>
      </c>
      <c r="J91" s="8">
        <f t="shared" ca="1" si="11"/>
        <v>26</v>
      </c>
      <c r="K91" s="8" t="str">
        <f t="shared" ca="1" si="12"/>
        <v>2017-05-19</v>
      </c>
      <c r="L91" s="8" t="str">
        <f t="shared" ca="1" si="13"/>
        <v>2017-05-22</v>
      </c>
    </row>
    <row r="92" spans="1:12" x14ac:dyDescent="0.3">
      <c r="A92" s="8" t="s">
        <v>5668</v>
      </c>
      <c r="B92" s="8">
        <f t="shared" si="7"/>
        <v>600090</v>
      </c>
      <c r="C92" s="1" t="s">
        <v>7001</v>
      </c>
      <c r="D92" s="9" t="str">
        <f>IFERROR(VLOOKUP(VLOOKUP(VLOOKUP(C92,Project.csv!F:Q,12,FALSE),ServiceAreas.csv!B:I,8,FALSE),LocalAreas.csv!B:I,7,FALSE),200029)</f>
        <v>rg:None</v>
      </c>
      <c r="E92" s="8" t="str">
        <f t="shared" si="8"/>
        <v>rg:{'id':'rg:None'}</v>
      </c>
      <c r="F92" s="9" t="s">
        <v>7055</v>
      </c>
      <c r="G92" s="9" t="str">
        <f ca="1">INDEX(DistrictEquipmentTypes.csv!F:F,RANDBETWEEN(2,COUNTA(DistrictEquipmentTypes.csv!D:D)),1)</f>
        <v>200009</v>
      </c>
      <c r="H92" s="8" t="str">
        <f t="shared" ca="1" si="9"/>
        <v>rg:{ 'id': '200009'}</v>
      </c>
      <c r="I92" s="8">
        <f t="shared" ca="1" si="10"/>
        <v>1</v>
      </c>
      <c r="J92" s="8">
        <f t="shared" ca="1" si="11"/>
        <v>31</v>
      </c>
      <c r="K92" s="8" t="str">
        <f t="shared" ca="1" si="12"/>
        <v>2017-05-02</v>
      </c>
      <c r="L92" s="8" t="str">
        <f t="shared" ca="1" si="13"/>
        <v>2017-05-05</v>
      </c>
    </row>
    <row r="93" spans="1:12" x14ac:dyDescent="0.3">
      <c r="A93" s="8" t="s">
        <v>5668</v>
      </c>
      <c r="B93" s="8">
        <f t="shared" si="7"/>
        <v>600091</v>
      </c>
      <c r="C93" s="1" t="s">
        <v>7002</v>
      </c>
      <c r="D93" s="9" t="str">
        <f>IFERROR(VLOOKUP(VLOOKUP(VLOOKUP(C93,Project.csv!F:Q,12,FALSE),ServiceAreas.csv!B:I,8,FALSE),LocalAreas.csv!B:I,7,FALSE),200029)</f>
        <v>rg:None</v>
      </c>
      <c r="E93" s="8" t="str">
        <f t="shared" si="8"/>
        <v>rg:{'id':'rg:None'}</v>
      </c>
      <c r="F93" s="9" t="s">
        <v>7054</v>
      </c>
      <c r="G93" s="9" t="str">
        <f ca="1">INDEX(DistrictEquipmentTypes.csv!F:F,RANDBETWEEN(2,COUNTA(DistrictEquipmentTypes.csv!D:D)),1)</f>
        <v>200007</v>
      </c>
      <c r="H93" s="8" t="str">
        <f t="shared" ca="1" si="9"/>
        <v>rg:{ 'id': '200007'}</v>
      </c>
      <c r="I93" s="8">
        <f t="shared" ca="1" si="10"/>
        <v>1</v>
      </c>
      <c r="J93" s="8">
        <f t="shared" ca="1" si="11"/>
        <v>69</v>
      </c>
      <c r="K93" s="8" t="str">
        <f t="shared" ca="1" si="12"/>
        <v>2017-05-08</v>
      </c>
      <c r="L93" s="8" t="str">
        <f t="shared" ca="1" si="13"/>
        <v>2017-05-16</v>
      </c>
    </row>
    <row r="94" spans="1:12" x14ac:dyDescent="0.3">
      <c r="A94" s="8" t="s">
        <v>5668</v>
      </c>
      <c r="B94" s="8">
        <f t="shared" si="7"/>
        <v>600092</v>
      </c>
      <c r="C94" s="1" t="s">
        <v>7003</v>
      </c>
      <c r="D94" s="9" t="str">
        <f>IFERROR(VLOOKUP(VLOOKUP(VLOOKUP(C94,Project.csv!F:Q,12,FALSE),ServiceAreas.csv!B:I,8,FALSE),LocalAreas.csv!B:I,7,FALSE),200029)</f>
        <v>rg:None</v>
      </c>
      <c r="E94" s="8" t="str">
        <f t="shared" si="8"/>
        <v>rg:{'id':'rg:None'}</v>
      </c>
      <c r="F94" s="9" t="s">
        <v>7055</v>
      </c>
      <c r="G94" s="9" t="str">
        <f ca="1">INDEX(DistrictEquipmentTypes.csv!F:F,RANDBETWEEN(2,COUNTA(DistrictEquipmentTypes.csv!D:D)),1)</f>
        <v>200006</v>
      </c>
      <c r="H94" s="8" t="str">
        <f t="shared" ca="1" si="9"/>
        <v>rg:{ 'id': '200006'}</v>
      </c>
      <c r="I94" s="8">
        <f t="shared" ca="1" si="10"/>
        <v>1</v>
      </c>
      <c r="J94" s="8">
        <f t="shared" ca="1" si="11"/>
        <v>53</v>
      </c>
      <c r="K94" s="8" t="str">
        <f t="shared" ca="1" si="12"/>
        <v>2017-05-01</v>
      </c>
      <c r="L94" s="8" t="str">
        <f t="shared" ca="1" si="13"/>
        <v>2017-05-07</v>
      </c>
    </row>
    <row r="95" spans="1:12" x14ac:dyDescent="0.3">
      <c r="A95" s="8" t="s">
        <v>5668</v>
      </c>
      <c r="B95" s="8">
        <f t="shared" si="7"/>
        <v>600093</v>
      </c>
      <c r="C95" s="1" t="s">
        <v>6912</v>
      </c>
      <c r="D95" s="9" t="str">
        <f>IFERROR(VLOOKUP(VLOOKUP(VLOOKUP(C95,Project.csv!F:Q,12,FALSE),ServiceAreas.csv!B:I,8,FALSE),LocalAreas.csv!B:I,7,FALSE),200029)</f>
        <v>rg:None</v>
      </c>
      <c r="E95" s="8" t="str">
        <f t="shared" si="8"/>
        <v>rg:{'id':'rg:None'}</v>
      </c>
      <c r="F95" s="9" t="s">
        <v>7054</v>
      </c>
      <c r="G95" s="9" t="str">
        <f ca="1">INDEX(DistrictEquipmentTypes.csv!F:F,RANDBETWEEN(2,COUNTA(DistrictEquipmentTypes.csv!D:D)),1)</f>
        <v>200003</v>
      </c>
      <c r="H95" s="8" t="str">
        <f t="shared" ca="1" si="9"/>
        <v>rg:{ 'id': '200003'}</v>
      </c>
      <c r="I95" s="8">
        <f t="shared" ca="1" si="10"/>
        <v>1</v>
      </c>
      <c r="J95" s="8">
        <f t="shared" ca="1" si="11"/>
        <v>93</v>
      </c>
      <c r="K95" s="8" t="str">
        <f t="shared" ca="1" si="12"/>
        <v>2017-04-08</v>
      </c>
      <c r="L95" s="8" t="str">
        <f t="shared" ca="1" si="13"/>
        <v>2017-04-19</v>
      </c>
    </row>
    <row r="96" spans="1:12" x14ac:dyDescent="0.3">
      <c r="A96" s="8" t="s">
        <v>5668</v>
      </c>
      <c r="B96" s="8">
        <f t="shared" si="7"/>
        <v>600094</v>
      </c>
      <c r="C96" s="1" t="s">
        <v>7004</v>
      </c>
      <c r="D96" s="9" t="str">
        <f>IFERROR(VLOOKUP(VLOOKUP(VLOOKUP(C96,Project.csv!F:Q,12,FALSE),ServiceAreas.csv!B:I,8,FALSE),LocalAreas.csv!B:I,7,FALSE),200029)</f>
        <v>rg:None</v>
      </c>
      <c r="E96" s="8" t="str">
        <f t="shared" si="8"/>
        <v>rg:{'id':'rg:None'}</v>
      </c>
      <c r="F96" s="9" t="s">
        <v>7056</v>
      </c>
      <c r="G96" s="9" t="str">
        <f ca="1">INDEX(DistrictEquipmentTypes.csv!F:F,RANDBETWEEN(2,COUNTA(DistrictEquipmentTypes.csv!D:D)),1)</f>
        <v>200006</v>
      </c>
      <c r="H96" s="8" t="str">
        <f t="shared" ca="1" si="9"/>
        <v>rg:{ 'id': '200006'}</v>
      </c>
      <c r="I96" s="8">
        <f t="shared" ca="1" si="10"/>
        <v>4</v>
      </c>
      <c r="J96" s="8">
        <f t="shared" ca="1" si="11"/>
        <v>20</v>
      </c>
      <c r="K96" s="8" t="str">
        <f t="shared" ca="1" si="12"/>
        <v>2017-04-30</v>
      </c>
      <c r="L96" s="8" t="str">
        <f t="shared" ca="1" si="13"/>
        <v>2017-05-10</v>
      </c>
    </row>
    <row r="97" spans="1:12" x14ac:dyDescent="0.3">
      <c r="A97" s="8" t="s">
        <v>5668</v>
      </c>
      <c r="B97" s="8">
        <f t="shared" si="7"/>
        <v>600095</v>
      </c>
      <c r="C97" s="1" t="s">
        <v>7005</v>
      </c>
      <c r="D97" s="9" t="str">
        <f>IFERROR(VLOOKUP(VLOOKUP(VLOOKUP(C97,Project.csv!F:Q,12,FALSE),ServiceAreas.csv!B:I,8,FALSE),LocalAreas.csv!B:I,7,FALSE),200029)</f>
        <v>rg:None</v>
      </c>
      <c r="E97" s="8" t="str">
        <f t="shared" si="8"/>
        <v>rg:{'id':'rg:None'}</v>
      </c>
      <c r="F97" s="9" t="s">
        <v>7054</v>
      </c>
      <c r="G97" s="9" t="str">
        <f ca="1">INDEX(DistrictEquipmentTypes.csv!F:F,RANDBETWEEN(2,COUNTA(DistrictEquipmentTypes.csv!D:D)),1)</f>
        <v>200003</v>
      </c>
      <c r="H97" s="8" t="str">
        <f t="shared" ca="1" si="9"/>
        <v>rg:{ 'id': '200003'}</v>
      </c>
      <c r="I97" s="8">
        <f t="shared" ca="1" si="10"/>
        <v>1</v>
      </c>
      <c r="J97" s="8">
        <f t="shared" ca="1" si="11"/>
        <v>43</v>
      </c>
      <c r="K97" s="8" t="str">
        <f t="shared" ca="1" si="12"/>
        <v>2017-05-14</v>
      </c>
      <c r="L97" s="8" t="str">
        <f t="shared" ca="1" si="13"/>
        <v>2017-05-19</v>
      </c>
    </row>
    <row r="98" spans="1:12" x14ac:dyDescent="0.3">
      <c r="A98" s="8" t="s">
        <v>5668</v>
      </c>
      <c r="B98" s="8">
        <f t="shared" si="7"/>
        <v>600096</v>
      </c>
      <c r="C98" s="1" t="s">
        <v>7006</v>
      </c>
      <c r="D98" s="9" t="str">
        <f>IFERROR(VLOOKUP(VLOOKUP(VLOOKUP(C98,Project.csv!F:Q,12,FALSE),ServiceAreas.csv!B:I,8,FALSE),LocalAreas.csv!B:I,7,FALSE),200029)</f>
        <v>rg:None</v>
      </c>
      <c r="E98" s="8" t="str">
        <f t="shared" si="8"/>
        <v>rg:{'id':'rg:None'}</v>
      </c>
      <c r="F98" s="9" t="s">
        <v>7056</v>
      </c>
      <c r="G98" s="9" t="str">
        <f ca="1">INDEX(DistrictEquipmentTypes.csv!F:F,RANDBETWEEN(2,COUNTA(DistrictEquipmentTypes.csv!D:D)),1)</f>
        <v>200009</v>
      </c>
      <c r="H98" s="8" t="str">
        <f t="shared" ca="1" si="9"/>
        <v>rg:{ 'id': '200009'}</v>
      </c>
      <c r="I98" s="8">
        <f t="shared" ca="1" si="10"/>
        <v>1</v>
      </c>
      <c r="J98" s="8">
        <f t="shared" ca="1" si="11"/>
        <v>41</v>
      </c>
      <c r="K98" s="8" t="str">
        <f t="shared" ca="1" si="12"/>
        <v>2017-05-04</v>
      </c>
      <c r="L98" s="8" t="str">
        <f t="shared" ca="1" si="13"/>
        <v>2017-05-09</v>
      </c>
    </row>
    <row r="99" spans="1:12" x14ac:dyDescent="0.3">
      <c r="A99" s="8" t="s">
        <v>5668</v>
      </c>
      <c r="B99" s="8">
        <f t="shared" si="7"/>
        <v>600097</v>
      </c>
      <c r="C99" s="1" t="s">
        <v>7007</v>
      </c>
      <c r="D99" s="9" t="str">
        <f>IFERROR(VLOOKUP(VLOOKUP(VLOOKUP(C99,Project.csv!F:Q,12,FALSE),ServiceAreas.csv!B:I,8,FALSE),LocalAreas.csv!B:I,7,FALSE),200029)</f>
        <v>rg:None</v>
      </c>
      <c r="E99" s="8" t="str">
        <f t="shared" si="8"/>
        <v>rg:{'id':'rg:None'}</v>
      </c>
      <c r="F99" s="9" t="s">
        <v>7054</v>
      </c>
      <c r="G99" s="9" t="str">
        <f ca="1">INDEX(DistrictEquipmentTypes.csv!F:F,RANDBETWEEN(2,COUNTA(DistrictEquipmentTypes.csv!D:D)),1)</f>
        <v>200009</v>
      </c>
      <c r="H99" s="8" t="str">
        <f t="shared" ca="1" si="9"/>
        <v>rg:{ 'id': '200009'}</v>
      </c>
      <c r="I99" s="8">
        <f t="shared" ca="1" si="10"/>
        <v>1</v>
      </c>
      <c r="J99" s="8">
        <f t="shared" ca="1" si="11"/>
        <v>21</v>
      </c>
      <c r="K99" s="8" t="str">
        <f t="shared" ca="1" si="12"/>
        <v>2017-04-02</v>
      </c>
      <c r="L99" s="8" t="str">
        <f t="shared" ca="1" si="13"/>
        <v>2017-04-04</v>
      </c>
    </row>
    <row r="100" spans="1:12" x14ac:dyDescent="0.3">
      <c r="A100" s="8" t="s">
        <v>5668</v>
      </c>
      <c r="B100" s="8">
        <f t="shared" si="7"/>
        <v>600098</v>
      </c>
      <c r="C100" s="1" t="s">
        <v>7008</v>
      </c>
      <c r="D100" s="9" t="str">
        <f>IFERROR(VLOOKUP(VLOOKUP(VLOOKUP(C100,Project.csv!F:Q,12,FALSE),ServiceAreas.csv!B:I,8,FALSE),LocalAreas.csv!B:I,7,FALSE),200029)</f>
        <v>rg:None</v>
      </c>
      <c r="E100" s="8" t="str">
        <f t="shared" si="8"/>
        <v>rg:{'id':'rg:None'}</v>
      </c>
      <c r="F100" s="9" t="s">
        <v>7054</v>
      </c>
      <c r="G100" s="9" t="str">
        <f ca="1">INDEX(DistrictEquipmentTypes.csv!F:F,RANDBETWEEN(2,COUNTA(DistrictEquipmentTypes.csv!D:D)),1)</f>
        <v>200003</v>
      </c>
      <c r="H100" s="8" t="str">
        <f t="shared" ca="1" si="9"/>
        <v>rg:{ 'id': '200003'}</v>
      </c>
      <c r="I100" s="8">
        <f t="shared" ca="1" si="10"/>
        <v>1</v>
      </c>
      <c r="J100" s="8">
        <f t="shared" ca="1" si="11"/>
        <v>73</v>
      </c>
      <c r="K100" s="8" t="str">
        <f t="shared" ca="1" si="12"/>
        <v>2017-05-11</v>
      </c>
      <c r="L100" s="8" t="str">
        <f t="shared" ca="1" si="13"/>
        <v>2017-05-20</v>
      </c>
    </row>
    <row r="101" spans="1:12" x14ac:dyDescent="0.3">
      <c r="A101" s="8" t="s">
        <v>5668</v>
      </c>
      <c r="B101" s="8">
        <f t="shared" si="7"/>
        <v>600099</v>
      </c>
      <c r="C101" s="1" t="s">
        <v>6919</v>
      </c>
      <c r="D101" s="9" t="str">
        <f>IFERROR(VLOOKUP(VLOOKUP(VLOOKUP(C101,Project.csv!F:Q,12,FALSE),ServiceAreas.csv!B:I,8,FALSE),LocalAreas.csv!B:I,7,FALSE),200029)</f>
        <v>rg:None</v>
      </c>
      <c r="E101" s="8" t="str">
        <f t="shared" si="8"/>
        <v>rg:{'id':'rg:None'}</v>
      </c>
      <c r="F101" s="9" t="s">
        <v>7054</v>
      </c>
      <c r="G101" s="9" t="str">
        <f ca="1">INDEX(DistrictEquipmentTypes.csv!F:F,RANDBETWEEN(2,COUNTA(DistrictEquipmentTypes.csv!D:D)),1)</f>
        <v>200007</v>
      </c>
      <c r="H101" s="8" t="str">
        <f t="shared" ca="1" si="9"/>
        <v>rg:{ 'id': '200007'}</v>
      </c>
      <c r="I101" s="8">
        <f t="shared" ca="1" si="10"/>
        <v>1</v>
      </c>
      <c r="J101" s="8">
        <f t="shared" ca="1" si="11"/>
        <v>79</v>
      </c>
      <c r="K101" s="8" t="str">
        <f t="shared" ca="1" si="12"/>
        <v>2017-04-26</v>
      </c>
      <c r="L101" s="8" t="str">
        <f t="shared" ca="1" si="13"/>
        <v>2017-05-05</v>
      </c>
    </row>
    <row r="102" spans="1:12" x14ac:dyDescent="0.3">
      <c r="A102" s="8" t="s">
        <v>5668</v>
      </c>
      <c r="B102" s="8">
        <f t="shared" si="7"/>
        <v>600100</v>
      </c>
      <c r="C102" s="1" t="s">
        <v>7009</v>
      </c>
      <c r="D102" s="9" t="str">
        <f>IFERROR(VLOOKUP(VLOOKUP(VLOOKUP(C102,Project.csv!F:Q,12,FALSE),ServiceAreas.csv!B:I,8,FALSE),LocalAreas.csv!B:I,7,FALSE),200029)</f>
        <v>rg:None</v>
      </c>
      <c r="E102" s="8" t="str">
        <f t="shared" si="8"/>
        <v>rg:{'id':'rg:None'}</v>
      </c>
      <c r="F102" s="9" t="s">
        <v>7054</v>
      </c>
      <c r="G102" s="9" t="str">
        <f ca="1">INDEX(DistrictEquipmentTypes.csv!F:F,RANDBETWEEN(2,COUNTA(DistrictEquipmentTypes.csv!D:D)),1)</f>
        <v>200009</v>
      </c>
      <c r="H102" s="8" t="str">
        <f t="shared" ca="1" si="9"/>
        <v>rg:{ 'id': '200009'}</v>
      </c>
      <c r="I102" s="8">
        <f t="shared" ca="1" si="10"/>
        <v>1</v>
      </c>
      <c r="J102" s="8">
        <f t="shared" ca="1" si="11"/>
        <v>88</v>
      </c>
      <c r="K102" s="8" t="str">
        <f t="shared" ca="1" si="12"/>
        <v>2017-05-18</v>
      </c>
      <c r="L102" s="8" t="str">
        <f t="shared" ca="1" si="13"/>
        <v>2017-05-29</v>
      </c>
    </row>
    <row r="103" spans="1:12" x14ac:dyDescent="0.3">
      <c r="A103" s="8" t="s">
        <v>5668</v>
      </c>
      <c r="B103" s="8">
        <f t="shared" si="7"/>
        <v>600101</v>
      </c>
      <c r="C103" s="1" t="s">
        <v>6903</v>
      </c>
      <c r="D103" s="9" t="str">
        <f>IFERROR(VLOOKUP(VLOOKUP(VLOOKUP(C103,Project.csv!F:Q,12,FALSE),ServiceAreas.csv!B:I,8,FALSE),LocalAreas.csv!B:I,7,FALSE),200029)</f>
        <v>rg:None</v>
      </c>
      <c r="E103" s="8" t="str">
        <f t="shared" si="8"/>
        <v>rg:{'id':'rg:None'}</v>
      </c>
      <c r="F103" s="9" t="s">
        <v>7054</v>
      </c>
      <c r="G103" s="9" t="str">
        <f ca="1">INDEX(DistrictEquipmentTypes.csv!F:F,RANDBETWEEN(2,COUNTA(DistrictEquipmentTypes.csv!D:D)),1)</f>
        <v>200002</v>
      </c>
      <c r="H103" s="8" t="str">
        <f t="shared" ca="1" si="9"/>
        <v>rg:{ 'id': '200002'}</v>
      </c>
      <c r="I103" s="8">
        <f t="shared" ca="1" si="10"/>
        <v>1</v>
      </c>
      <c r="J103" s="8">
        <f t="shared" ca="1" si="11"/>
        <v>38</v>
      </c>
      <c r="K103" s="8" t="str">
        <f t="shared" ca="1" si="12"/>
        <v>2017-05-19</v>
      </c>
      <c r="L103" s="8" t="str">
        <f t="shared" ca="1" si="13"/>
        <v>2017-05-23</v>
      </c>
    </row>
    <row r="104" spans="1:12" x14ac:dyDescent="0.3">
      <c r="A104" s="8" t="s">
        <v>5668</v>
      </c>
      <c r="B104" s="8">
        <f t="shared" si="7"/>
        <v>600102</v>
      </c>
      <c r="C104" s="1" t="s">
        <v>7010</v>
      </c>
      <c r="D104" s="9" t="str">
        <f>IFERROR(VLOOKUP(VLOOKUP(VLOOKUP(C104,Project.csv!F:Q,12,FALSE),ServiceAreas.csv!B:I,8,FALSE),LocalAreas.csv!B:I,7,FALSE),200029)</f>
        <v>rg:None</v>
      </c>
      <c r="E104" s="8" t="str">
        <f t="shared" si="8"/>
        <v>rg:{'id':'rg:None'}</v>
      </c>
      <c r="F104" s="9" t="s">
        <v>7054</v>
      </c>
      <c r="G104" s="9" t="str">
        <f ca="1">INDEX(DistrictEquipmentTypes.csv!F:F,RANDBETWEEN(2,COUNTA(DistrictEquipmentTypes.csv!D:D)),1)</f>
        <v>200001</v>
      </c>
      <c r="H104" s="8" t="str">
        <f t="shared" ca="1" si="9"/>
        <v>rg:{ 'id': '200001'}</v>
      </c>
      <c r="I104" s="8">
        <f t="shared" ca="1" si="10"/>
        <v>1</v>
      </c>
      <c r="J104" s="8">
        <f t="shared" ca="1" si="11"/>
        <v>86</v>
      </c>
      <c r="K104" s="8" t="str">
        <f t="shared" ca="1" si="12"/>
        <v>2017-05-13</v>
      </c>
      <c r="L104" s="8" t="str">
        <f t="shared" ca="1" si="13"/>
        <v>2017-05-23</v>
      </c>
    </row>
    <row r="105" spans="1:12" x14ac:dyDescent="0.3">
      <c r="A105" s="8" t="s">
        <v>5668</v>
      </c>
      <c r="B105" s="8">
        <f t="shared" si="7"/>
        <v>600103</v>
      </c>
      <c r="C105" s="1" t="s">
        <v>7011</v>
      </c>
      <c r="D105" s="9" t="str">
        <f>IFERROR(VLOOKUP(VLOOKUP(VLOOKUP(C105,Project.csv!F:Q,12,FALSE),ServiceAreas.csv!B:I,8,FALSE),LocalAreas.csv!B:I,7,FALSE),200029)</f>
        <v>rg:None</v>
      </c>
      <c r="E105" s="8" t="str">
        <f t="shared" si="8"/>
        <v>rg:{'id':'rg:None'}</v>
      </c>
      <c r="F105" s="9" t="s">
        <v>7054</v>
      </c>
      <c r="G105" s="9" t="str">
        <f ca="1">INDEX(DistrictEquipmentTypes.csv!F:F,RANDBETWEEN(2,COUNTA(DistrictEquipmentTypes.csv!D:D)),1)</f>
        <v>200002</v>
      </c>
      <c r="H105" s="8" t="str">
        <f t="shared" ca="1" si="9"/>
        <v>rg:{ 'id': '200002'}</v>
      </c>
      <c r="I105" s="8">
        <f t="shared" ca="1" si="10"/>
        <v>1</v>
      </c>
      <c r="J105" s="8">
        <f t="shared" ca="1" si="11"/>
        <v>71</v>
      </c>
      <c r="K105" s="8" t="str">
        <f t="shared" ca="1" si="12"/>
        <v>2017-04-11</v>
      </c>
      <c r="L105" s="8" t="str">
        <f t="shared" ca="1" si="13"/>
        <v>2017-04-19</v>
      </c>
    </row>
    <row r="106" spans="1:12" x14ac:dyDescent="0.3">
      <c r="A106" s="8" t="s">
        <v>5668</v>
      </c>
      <c r="B106" s="8">
        <f t="shared" si="7"/>
        <v>600104</v>
      </c>
      <c r="C106" s="1" t="s">
        <v>6934</v>
      </c>
      <c r="D106" s="9" t="str">
        <f>IFERROR(VLOOKUP(VLOOKUP(VLOOKUP(C106,Project.csv!F:Q,12,FALSE),ServiceAreas.csv!B:I,8,FALSE),LocalAreas.csv!B:I,7,FALSE),200029)</f>
        <v>rg:None</v>
      </c>
      <c r="E106" s="8" t="str">
        <f t="shared" si="8"/>
        <v>rg:{'id':'rg:None'}</v>
      </c>
      <c r="F106" s="9" t="s">
        <v>7054</v>
      </c>
      <c r="G106" s="9" t="str">
        <f ca="1">INDEX(DistrictEquipmentTypes.csv!F:F,RANDBETWEEN(2,COUNTA(DistrictEquipmentTypes.csv!D:D)),1)</f>
        <v>200009</v>
      </c>
      <c r="H106" s="8" t="str">
        <f t="shared" ca="1" si="9"/>
        <v>rg:{ 'id': '200009'}</v>
      </c>
      <c r="I106" s="8">
        <f t="shared" ca="1" si="10"/>
        <v>1</v>
      </c>
      <c r="J106" s="8">
        <f t="shared" ca="1" si="11"/>
        <v>39</v>
      </c>
      <c r="K106" s="8" t="str">
        <f t="shared" ca="1" si="12"/>
        <v>2017-05-25</v>
      </c>
      <c r="L106" s="8" t="str">
        <f t="shared" ca="1" si="13"/>
        <v>2017-05-29</v>
      </c>
    </row>
    <row r="107" spans="1:12" x14ac:dyDescent="0.3">
      <c r="A107" s="8" t="s">
        <v>5668</v>
      </c>
      <c r="B107" s="8">
        <f t="shared" si="7"/>
        <v>600105</v>
      </c>
      <c r="C107" s="1" t="s">
        <v>6904</v>
      </c>
      <c r="D107" s="9">
        <f>IFERROR(VLOOKUP(VLOOKUP(VLOOKUP(C107,Project.csv!F:Q,12,FALSE),ServiceAreas.csv!B:I,8,FALSE),LocalAreas.csv!B:I,7,FALSE),200029)</f>
        <v>200029</v>
      </c>
      <c r="E107" s="8" t="str">
        <f t="shared" si="8"/>
        <v>rg:{'id':'200029'}</v>
      </c>
      <c r="F107" s="9" t="s">
        <v>7054</v>
      </c>
      <c r="G107" s="9" t="str">
        <f ca="1">INDEX(DistrictEquipmentTypes.csv!F:F,RANDBETWEEN(2,COUNTA(DistrictEquipmentTypes.csv!D:D)),1)</f>
        <v>200005</v>
      </c>
      <c r="H107" s="8" t="str">
        <f t="shared" ca="1" si="9"/>
        <v>rg:{ 'id': '200005'}</v>
      </c>
      <c r="I107" s="8">
        <f t="shared" ca="1" si="10"/>
        <v>5</v>
      </c>
      <c r="J107" s="8">
        <f t="shared" ca="1" si="11"/>
        <v>38</v>
      </c>
      <c r="K107" s="8" t="str">
        <f t="shared" ca="1" si="12"/>
        <v>2017-03-31</v>
      </c>
      <c r="L107" s="8" t="str">
        <f t="shared" ca="1" si="13"/>
        <v>2017-04-23</v>
      </c>
    </row>
    <row r="108" spans="1:12" x14ac:dyDescent="0.3">
      <c r="A108" s="8" t="s">
        <v>5668</v>
      </c>
      <c r="B108" s="8">
        <f t="shared" si="7"/>
        <v>600106</v>
      </c>
      <c r="C108" s="1" t="s">
        <v>7012</v>
      </c>
      <c r="D108" s="9">
        <f>IFERROR(VLOOKUP(VLOOKUP(VLOOKUP(C108,Project.csv!F:Q,12,FALSE),ServiceAreas.csv!B:I,8,FALSE),LocalAreas.csv!B:I,7,FALSE),200029)</f>
        <v>200029</v>
      </c>
      <c r="E108" s="8" t="str">
        <f t="shared" si="8"/>
        <v>rg:{'id':'200029'}</v>
      </c>
      <c r="F108" s="9" t="s">
        <v>7054</v>
      </c>
      <c r="G108" s="9" t="str">
        <f ca="1">INDEX(DistrictEquipmentTypes.csv!F:F,RANDBETWEEN(2,COUNTA(DistrictEquipmentTypes.csv!D:D)),1)</f>
        <v>200006</v>
      </c>
      <c r="H108" s="8" t="str">
        <f t="shared" ca="1" si="9"/>
        <v>rg:{ 'id': '200006'}</v>
      </c>
      <c r="I108" s="8">
        <f t="shared" ca="1" si="10"/>
        <v>1</v>
      </c>
      <c r="J108" s="8">
        <f t="shared" ca="1" si="11"/>
        <v>18</v>
      </c>
      <c r="K108" s="8" t="str">
        <f t="shared" ca="1" si="12"/>
        <v>2017-05-19</v>
      </c>
      <c r="L108" s="8" t="str">
        <f t="shared" ca="1" si="13"/>
        <v>2017-05-21</v>
      </c>
    </row>
    <row r="109" spans="1:12" x14ac:dyDescent="0.3">
      <c r="A109" s="8" t="s">
        <v>5668</v>
      </c>
      <c r="B109" s="8">
        <f t="shared" si="7"/>
        <v>600107</v>
      </c>
      <c r="C109" s="1" t="s">
        <v>7013</v>
      </c>
      <c r="D109" s="9">
        <f>IFERROR(VLOOKUP(VLOOKUP(VLOOKUP(C109,Project.csv!F:Q,12,FALSE),ServiceAreas.csv!B:I,8,FALSE),LocalAreas.csv!B:I,7,FALSE),200029)</f>
        <v>200029</v>
      </c>
      <c r="E109" s="8" t="str">
        <f t="shared" si="8"/>
        <v>rg:{'id':'200029'}</v>
      </c>
      <c r="F109" s="9" t="s">
        <v>7054</v>
      </c>
      <c r="G109" s="9" t="str">
        <f ca="1">INDEX(DistrictEquipmentTypes.csv!F:F,RANDBETWEEN(2,COUNTA(DistrictEquipmentTypes.csv!D:D)),1)</f>
        <v>200005</v>
      </c>
      <c r="H109" s="8" t="str">
        <f t="shared" ca="1" si="9"/>
        <v>rg:{ 'id': '200005'}</v>
      </c>
      <c r="I109" s="8">
        <f t="shared" ca="1" si="10"/>
        <v>1</v>
      </c>
      <c r="J109" s="8">
        <f t="shared" ca="1" si="11"/>
        <v>69</v>
      </c>
      <c r="K109" s="8" t="str">
        <f t="shared" ca="1" si="12"/>
        <v>2017-05-08</v>
      </c>
      <c r="L109" s="8" t="str">
        <f t="shared" ca="1" si="13"/>
        <v>2017-05-16</v>
      </c>
    </row>
    <row r="110" spans="1:12" x14ac:dyDescent="0.3">
      <c r="A110" s="8" t="s">
        <v>5668</v>
      </c>
      <c r="B110" s="8">
        <f t="shared" si="7"/>
        <v>600108</v>
      </c>
      <c r="C110" s="1" t="s">
        <v>7014</v>
      </c>
      <c r="D110" s="9">
        <f>IFERROR(VLOOKUP(VLOOKUP(VLOOKUP(C110,Project.csv!F:Q,12,FALSE),ServiceAreas.csv!B:I,8,FALSE),LocalAreas.csv!B:I,7,FALSE),200029)</f>
        <v>200029</v>
      </c>
      <c r="E110" s="8" t="str">
        <f t="shared" si="8"/>
        <v>rg:{'id':'200029'}</v>
      </c>
      <c r="F110" s="9" t="s">
        <v>7054</v>
      </c>
      <c r="G110" s="9" t="str">
        <f ca="1">INDEX(DistrictEquipmentTypes.csv!F:F,RANDBETWEEN(2,COUNTA(DistrictEquipmentTypes.csv!D:D)),1)</f>
        <v>200009</v>
      </c>
      <c r="H110" s="8" t="str">
        <f t="shared" ca="1" si="9"/>
        <v>rg:{ 'id': '200009'}</v>
      </c>
      <c r="I110" s="8">
        <f t="shared" ca="1" si="10"/>
        <v>1</v>
      </c>
      <c r="J110" s="8">
        <f t="shared" ca="1" si="11"/>
        <v>33</v>
      </c>
      <c r="K110" s="8" t="str">
        <f t="shared" ca="1" si="12"/>
        <v>2017-04-28</v>
      </c>
      <c r="L110" s="8" t="str">
        <f t="shared" ca="1" si="13"/>
        <v>2017-05-02</v>
      </c>
    </row>
    <row r="111" spans="1:12" x14ac:dyDescent="0.3">
      <c r="A111" s="8" t="s">
        <v>5668</v>
      </c>
      <c r="B111" s="8">
        <f t="shared" si="7"/>
        <v>600109</v>
      </c>
      <c r="C111" s="1" t="s">
        <v>7015</v>
      </c>
      <c r="D111" s="9">
        <f>IFERROR(VLOOKUP(VLOOKUP(VLOOKUP(C111,Project.csv!F:Q,12,FALSE),ServiceAreas.csv!B:I,8,FALSE),LocalAreas.csv!B:I,7,FALSE),200029)</f>
        <v>200029</v>
      </c>
      <c r="E111" s="8" t="str">
        <f t="shared" si="8"/>
        <v>rg:{'id':'200029'}</v>
      </c>
      <c r="F111" s="9" t="s">
        <v>7054</v>
      </c>
      <c r="G111" s="9" t="str">
        <f ca="1">INDEX(DistrictEquipmentTypes.csv!F:F,RANDBETWEEN(2,COUNTA(DistrictEquipmentTypes.csv!D:D)),1)</f>
        <v>200004</v>
      </c>
      <c r="H111" s="8" t="str">
        <f t="shared" ca="1" si="9"/>
        <v>rg:{ 'id': '200004'}</v>
      </c>
      <c r="I111" s="8">
        <f t="shared" ca="1" si="10"/>
        <v>2</v>
      </c>
      <c r="J111" s="8">
        <f t="shared" ca="1" si="11"/>
        <v>33</v>
      </c>
      <c r="K111" s="8" t="str">
        <f t="shared" ca="1" si="12"/>
        <v>2017-04-26</v>
      </c>
      <c r="L111" s="8" t="str">
        <f t="shared" ca="1" si="13"/>
        <v>2017-05-04</v>
      </c>
    </row>
    <row r="112" spans="1:12" x14ac:dyDescent="0.3">
      <c r="A112" s="8" t="s">
        <v>5668</v>
      </c>
      <c r="B112" s="8">
        <f t="shared" si="7"/>
        <v>600110</v>
      </c>
      <c r="C112" s="1" t="s">
        <v>7016</v>
      </c>
      <c r="D112" s="9">
        <f>IFERROR(VLOOKUP(VLOOKUP(VLOOKUP(C112,Project.csv!F:Q,12,FALSE),ServiceAreas.csv!B:I,8,FALSE),LocalAreas.csv!B:I,7,FALSE),200029)</f>
        <v>200029</v>
      </c>
      <c r="E112" s="8" t="str">
        <f t="shared" si="8"/>
        <v>rg:{'id':'200029'}</v>
      </c>
      <c r="F112" s="9" t="s">
        <v>7054</v>
      </c>
      <c r="G112" s="9" t="str">
        <f ca="1">INDEX(DistrictEquipmentTypes.csv!F:F,RANDBETWEEN(2,COUNTA(DistrictEquipmentTypes.csv!D:D)),1)</f>
        <v>200000</v>
      </c>
      <c r="H112" s="8" t="str">
        <f t="shared" ca="1" si="9"/>
        <v>rg:{ 'id': '200000'}</v>
      </c>
      <c r="I112" s="8">
        <f t="shared" ca="1" si="10"/>
        <v>1</v>
      </c>
      <c r="J112" s="8">
        <f t="shared" ca="1" si="11"/>
        <v>71</v>
      </c>
      <c r="K112" s="8" t="str">
        <f t="shared" ca="1" si="12"/>
        <v>2017-05-20</v>
      </c>
      <c r="L112" s="8" t="str">
        <f t="shared" ca="1" si="13"/>
        <v>2017-05-28</v>
      </c>
    </row>
    <row r="113" spans="1:12" x14ac:dyDescent="0.3">
      <c r="A113" s="8" t="s">
        <v>5668</v>
      </c>
      <c r="B113" s="8">
        <f t="shared" si="7"/>
        <v>600111</v>
      </c>
      <c r="C113" s="1" t="s">
        <v>7017</v>
      </c>
      <c r="D113" s="9">
        <f>IFERROR(VLOOKUP(VLOOKUP(VLOOKUP(C113,Project.csv!F:Q,12,FALSE),ServiceAreas.csv!B:I,8,FALSE),LocalAreas.csv!B:I,7,FALSE),200029)</f>
        <v>200029</v>
      </c>
      <c r="E113" s="8" t="str">
        <f t="shared" si="8"/>
        <v>rg:{'id':'200029'}</v>
      </c>
      <c r="F113" s="9" t="s">
        <v>7054</v>
      </c>
      <c r="G113" s="9" t="str">
        <f ca="1">INDEX(DistrictEquipmentTypes.csv!F:F,RANDBETWEEN(2,COUNTA(DistrictEquipmentTypes.csv!D:D)),1)</f>
        <v>200005</v>
      </c>
      <c r="H113" s="8" t="str">
        <f t="shared" ca="1" si="9"/>
        <v>rg:{ 'id': '200005'}</v>
      </c>
      <c r="I113" s="8">
        <f t="shared" ca="1" si="10"/>
        <v>1</v>
      </c>
      <c r="J113" s="8">
        <f t="shared" ca="1" si="11"/>
        <v>40</v>
      </c>
      <c r="K113" s="8" t="str">
        <f t="shared" ca="1" si="12"/>
        <v>2017-04-05</v>
      </c>
      <c r="L113" s="8" t="str">
        <f t="shared" ca="1" si="13"/>
        <v>2017-04-10</v>
      </c>
    </row>
    <row r="114" spans="1:12" x14ac:dyDescent="0.3">
      <c r="A114" s="8" t="s">
        <v>5668</v>
      </c>
      <c r="B114" s="8">
        <f t="shared" si="7"/>
        <v>600112</v>
      </c>
      <c r="C114" s="1" t="s">
        <v>7018</v>
      </c>
      <c r="D114" s="9" t="str">
        <f>IFERROR(VLOOKUP(VLOOKUP(VLOOKUP(C114,Project.csv!F:Q,12,FALSE),ServiceAreas.csv!B:I,8,FALSE),LocalAreas.csv!B:I,7,FALSE),200029)</f>
        <v>rg:None</v>
      </c>
      <c r="E114" s="8" t="str">
        <f t="shared" si="8"/>
        <v>rg:{'id':'rg:None'}</v>
      </c>
      <c r="F114" s="9" t="s">
        <v>7054</v>
      </c>
      <c r="G114" s="9" t="str">
        <f ca="1">INDEX(DistrictEquipmentTypes.csv!F:F,RANDBETWEEN(2,COUNTA(DistrictEquipmentTypes.csv!D:D)),1)</f>
        <v>200006</v>
      </c>
      <c r="H114" s="8" t="str">
        <f t="shared" ca="1" si="9"/>
        <v>rg:{ 'id': '200006'}</v>
      </c>
      <c r="I114" s="8">
        <f t="shared" ca="1" si="10"/>
        <v>1</v>
      </c>
      <c r="J114" s="8">
        <f t="shared" ca="1" si="11"/>
        <v>49</v>
      </c>
      <c r="K114" s="8" t="str">
        <f t="shared" ca="1" si="12"/>
        <v>2017-04-23</v>
      </c>
      <c r="L114" s="8" t="str">
        <f t="shared" ca="1" si="13"/>
        <v>2017-04-29</v>
      </c>
    </row>
    <row r="115" spans="1:12" x14ac:dyDescent="0.3">
      <c r="A115" s="8" t="s">
        <v>5668</v>
      </c>
      <c r="B115" s="8">
        <f t="shared" si="7"/>
        <v>600113</v>
      </c>
      <c r="C115" s="1" t="s">
        <v>6897</v>
      </c>
      <c r="D115" s="9" t="str">
        <f>IFERROR(VLOOKUP(VLOOKUP(VLOOKUP(C115,Project.csv!F:Q,12,FALSE),ServiceAreas.csv!B:I,8,FALSE),LocalAreas.csv!B:I,7,FALSE),200029)</f>
        <v>rg:None</v>
      </c>
      <c r="E115" s="8" t="str">
        <f t="shared" si="8"/>
        <v>rg:{'id':'rg:None'}</v>
      </c>
      <c r="F115" s="9" t="s">
        <v>7054</v>
      </c>
      <c r="G115" s="9" t="str">
        <f ca="1">INDEX(DistrictEquipmentTypes.csv!F:F,RANDBETWEEN(2,COUNTA(DistrictEquipmentTypes.csv!D:D)),1)</f>
        <v>200002</v>
      </c>
      <c r="H115" s="8" t="str">
        <f t="shared" ca="1" si="9"/>
        <v>rg:{ 'id': '200002'}</v>
      </c>
      <c r="I115" s="8">
        <f t="shared" ca="1" si="10"/>
        <v>1</v>
      </c>
      <c r="J115" s="8">
        <f t="shared" ca="1" si="11"/>
        <v>13</v>
      </c>
      <c r="K115" s="8" t="str">
        <f t="shared" ca="1" si="12"/>
        <v>2017-04-19</v>
      </c>
      <c r="L115" s="8" t="str">
        <f t="shared" ca="1" si="13"/>
        <v>2017-04-20</v>
      </c>
    </row>
    <row r="116" spans="1:12" x14ac:dyDescent="0.3">
      <c r="A116" s="8" t="s">
        <v>5668</v>
      </c>
      <c r="B116" s="8">
        <f t="shared" si="7"/>
        <v>600114</v>
      </c>
      <c r="C116" s="1" t="s">
        <v>7019</v>
      </c>
      <c r="D116" s="9" t="str">
        <f>IFERROR(VLOOKUP(VLOOKUP(VLOOKUP(C116,Project.csv!F:Q,12,FALSE),ServiceAreas.csv!B:I,8,FALSE),LocalAreas.csv!B:I,7,FALSE),200029)</f>
        <v>rg:None</v>
      </c>
      <c r="E116" s="8" t="str">
        <f t="shared" si="8"/>
        <v>rg:{'id':'rg:None'}</v>
      </c>
      <c r="F116" s="9" t="s">
        <v>7054</v>
      </c>
      <c r="G116" s="9" t="str">
        <f ca="1">INDEX(DistrictEquipmentTypes.csv!F:F,RANDBETWEEN(2,COUNTA(DistrictEquipmentTypes.csv!D:D)),1)</f>
        <v>200003</v>
      </c>
      <c r="H116" s="8" t="str">
        <f t="shared" ca="1" si="9"/>
        <v>rg:{ 'id': '200003'}</v>
      </c>
      <c r="I116" s="8">
        <f t="shared" ca="1" si="10"/>
        <v>1</v>
      </c>
      <c r="J116" s="8">
        <f t="shared" ca="1" si="11"/>
        <v>91</v>
      </c>
      <c r="K116" s="8" t="str">
        <f t="shared" ca="1" si="12"/>
        <v>2017-04-28</v>
      </c>
      <c r="L116" s="8" t="str">
        <f t="shared" ca="1" si="13"/>
        <v>2017-05-09</v>
      </c>
    </row>
    <row r="117" spans="1:12" x14ac:dyDescent="0.3">
      <c r="A117" s="8" t="s">
        <v>5668</v>
      </c>
      <c r="B117" s="8">
        <f t="shared" si="7"/>
        <v>600115</v>
      </c>
      <c r="C117" s="1" t="s">
        <v>6924</v>
      </c>
      <c r="D117" s="9" t="str">
        <f>IFERROR(VLOOKUP(VLOOKUP(VLOOKUP(C117,Project.csv!F:Q,12,FALSE),ServiceAreas.csv!B:I,8,FALSE),LocalAreas.csv!B:I,7,FALSE),200029)</f>
        <v>rg:None</v>
      </c>
      <c r="E117" s="8" t="str">
        <f t="shared" si="8"/>
        <v>rg:{'id':'rg:None'}</v>
      </c>
      <c r="F117" s="9" t="s">
        <v>7054</v>
      </c>
      <c r="G117" s="9" t="str">
        <f ca="1">INDEX(DistrictEquipmentTypes.csv!F:F,RANDBETWEEN(2,COUNTA(DistrictEquipmentTypes.csv!D:D)),1)</f>
        <v>200009</v>
      </c>
      <c r="H117" s="8" t="str">
        <f t="shared" ca="1" si="9"/>
        <v>rg:{ 'id': '200009'}</v>
      </c>
      <c r="I117" s="8">
        <f t="shared" ca="1" si="10"/>
        <v>1</v>
      </c>
      <c r="J117" s="8">
        <f t="shared" ca="1" si="11"/>
        <v>37</v>
      </c>
      <c r="K117" s="8" t="str">
        <f t="shared" ca="1" si="12"/>
        <v>2017-04-06</v>
      </c>
      <c r="L117" s="8" t="str">
        <f t="shared" ca="1" si="13"/>
        <v>2017-04-10</v>
      </c>
    </row>
    <row r="118" spans="1:12" x14ac:dyDescent="0.3">
      <c r="A118" s="8" t="s">
        <v>5668</v>
      </c>
      <c r="B118" s="8">
        <f t="shared" si="7"/>
        <v>600116</v>
      </c>
      <c r="C118" s="1" t="s">
        <v>6918</v>
      </c>
      <c r="D118" s="9" t="str">
        <f>IFERROR(VLOOKUP(VLOOKUP(VLOOKUP(C118,Project.csv!F:Q,12,FALSE),ServiceAreas.csv!B:I,8,FALSE),LocalAreas.csv!B:I,7,FALSE),200029)</f>
        <v>rg:None</v>
      </c>
      <c r="E118" s="8" t="str">
        <f t="shared" si="8"/>
        <v>rg:{'id':'rg:None'}</v>
      </c>
      <c r="F118" s="9" t="s">
        <v>7054</v>
      </c>
      <c r="G118" s="9" t="str">
        <f ca="1">INDEX(DistrictEquipmentTypes.csv!F:F,RANDBETWEEN(2,COUNTA(DistrictEquipmentTypes.csv!D:D)),1)</f>
        <v>200006</v>
      </c>
      <c r="H118" s="8" t="str">
        <f t="shared" ca="1" si="9"/>
        <v>rg:{ 'id': '200006'}</v>
      </c>
      <c r="I118" s="8">
        <f t="shared" ca="1" si="10"/>
        <v>1</v>
      </c>
      <c r="J118" s="8">
        <f t="shared" ca="1" si="11"/>
        <v>45</v>
      </c>
      <c r="K118" s="8" t="str">
        <f t="shared" ca="1" si="12"/>
        <v>2017-04-30</v>
      </c>
      <c r="L118" s="8" t="str">
        <f t="shared" ca="1" si="13"/>
        <v>2017-05-05</v>
      </c>
    </row>
    <row r="119" spans="1:12" x14ac:dyDescent="0.3">
      <c r="A119" s="8" t="s">
        <v>5668</v>
      </c>
      <c r="B119" s="8">
        <f t="shared" si="7"/>
        <v>600117</v>
      </c>
      <c r="C119" s="1" t="s">
        <v>7020</v>
      </c>
      <c r="D119" s="9" t="str">
        <f>IFERROR(VLOOKUP(VLOOKUP(VLOOKUP(C119,Project.csv!F:Q,12,FALSE),ServiceAreas.csv!B:I,8,FALSE),LocalAreas.csv!B:I,7,FALSE),200029)</f>
        <v>rg:None</v>
      </c>
      <c r="E119" s="8" t="str">
        <f t="shared" si="8"/>
        <v>rg:{'id':'rg:None'}</v>
      </c>
      <c r="F119" s="9" t="s">
        <v>7054</v>
      </c>
      <c r="G119" s="9" t="str">
        <f ca="1">INDEX(DistrictEquipmentTypes.csv!F:F,RANDBETWEEN(2,COUNTA(DistrictEquipmentTypes.csv!D:D)),1)</f>
        <v>200009</v>
      </c>
      <c r="H119" s="8" t="str">
        <f t="shared" ca="1" si="9"/>
        <v>rg:{ 'id': '200009'}</v>
      </c>
      <c r="I119" s="8">
        <f t="shared" ca="1" si="10"/>
        <v>1</v>
      </c>
      <c r="J119" s="8">
        <f t="shared" ca="1" si="11"/>
        <v>73</v>
      </c>
      <c r="K119" s="8" t="str">
        <f t="shared" ca="1" si="12"/>
        <v>2017-04-30</v>
      </c>
      <c r="L119" s="8" t="str">
        <f t="shared" ca="1" si="13"/>
        <v>2017-05-09</v>
      </c>
    </row>
    <row r="120" spans="1:12" x14ac:dyDescent="0.3">
      <c r="A120" s="8" t="s">
        <v>5668</v>
      </c>
      <c r="B120" s="8">
        <f t="shared" si="7"/>
        <v>600118</v>
      </c>
      <c r="C120" s="1" t="s">
        <v>7021</v>
      </c>
      <c r="D120" s="9" t="str">
        <f>IFERROR(VLOOKUP(VLOOKUP(VLOOKUP(C120,Project.csv!F:Q,12,FALSE),ServiceAreas.csv!B:I,8,FALSE),LocalAreas.csv!B:I,7,FALSE),200029)</f>
        <v>rg:None</v>
      </c>
      <c r="E120" s="8" t="str">
        <f t="shared" si="8"/>
        <v>rg:{'id':'rg:None'}</v>
      </c>
      <c r="F120" s="9" t="s">
        <v>7054</v>
      </c>
      <c r="G120" s="9" t="str">
        <f ca="1">INDEX(DistrictEquipmentTypes.csv!F:F,RANDBETWEEN(2,COUNTA(DistrictEquipmentTypes.csv!D:D)),1)</f>
        <v>200002</v>
      </c>
      <c r="H120" s="8" t="str">
        <f t="shared" ca="1" si="9"/>
        <v>rg:{ 'id': '200002'}</v>
      </c>
      <c r="I120" s="8">
        <f t="shared" ca="1" si="10"/>
        <v>1</v>
      </c>
      <c r="J120" s="8">
        <f t="shared" ca="1" si="11"/>
        <v>84</v>
      </c>
      <c r="K120" s="8" t="str">
        <f t="shared" ca="1" si="12"/>
        <v>2017-05-13</v>
      </c>
      <c r="L120" s="8" t="str">
        <f t="shared" ca="1" si="13"/>
        <v>2017-05-23</v>
      </c>
    </row>
    <row r="121" spans="1:12" x14ac:dyDescent="0.3">
      <c r="A121" s="8" t="s">
        <v>5668</v>
      </c>
      <c r="B121" s="8">
        <f t="shared" si="7"/>
        <v>600119</v>
      </c>
      <c r="C121" s="1" t="s">
        <v>6906</v>
      </c>
      <c r="D121" s="9" t="str">
        <f>IFERROR(VLOOKUP(VLOOKUP(VLOOKUP(C121,Project.csv!F:Q,12,FALSE),ServiceAreas.csv!B:I,8,FALSE),LocalAreas.csv!B:I,7,FALSE),200029)</f>
        <v>rg:None</v>
      </c>
      <c r="E121" s="8" t="str">
        <f t="shared" si="8"/>
        <v>rg:{'id':'rg:None'}</v>
      </c>
      <c r="F121" s="9" t="s">
        <v>7054</v>
      </c>
      <c r="G121" s="9" t="str">
        <f ca="1">INDEX(DistrictEquipmentTypes.csv!F:F,RANDBETWEEN(2,COUNTA(DistrictEquipmentTypes.csv!D:D)),1)</f>
        <v>200002</v>
      </c>
      <c r="H121" s="8" t="str">
        <f t="shared" ca="1" si="9"/>
        <v>rg:{ 'id': '200002'}</v>
      </c>
      <c r="I121" s="8">
        <f t="shared" ca="1" si="10"/>
        <v>1</v>
      </c>
      <c r="J121" s="8">
        <f t="shared" ca="1" si="11"/>
        <v>13</v>
      </c>
      <c r="K121" s="8" t="str">
        <f t="shared" ca="1" si="12"/>
        <v>2017-04-13</v>
      </c>
      <c r="L121" s="8" t="str">
        <f t="shared" ca="1" si="13"/>
        <v>2017-04-14</v>
      </c>
    </row>
    <row r="122" spans="1:12" x14ac:dyDescent="0.3">
      <c r="A122" s="8" t="s">
        <v>5668</v>
      </c>
      <c r="B122" s="8">
        <f t="shared" si="7"/>
        <v>600120</v>
      </c>
      <c r="C122" s="1" t="s">
        <v>7022</v>
      </c>
      <c r="D122" s="9" t="str">
        <f>IFERROR(VLOOKUP(VLOOKUP(VLOOKUP(C122,Project.csv!F:Q,12,FALSE),ServiceAreas.csv!B:I,8,FALSE),LocalAreas.csv!B:I,7,FALSE),200029)</f>
        <v>rg:None</v>
      </c>
      <c r="E122" s="8" t="str">
        <f t="shared" si="8"/>
        <v>rg:{'id':'rg:None'}</v>
      </c>
      <c r="F122" s="9" t="s">
        <v>7054</v>
      </c>
      <c r="G122" s="9" t="str">
        <f ca="1">INDEX(DistrictEquipmentTypes.csv!F:F,RANDBETWEEN(2,COUNTA(DistrictEquipmentTypes.csv!D:D)),1)</f>
        <v>200004</v>
      </c>
      <c r="H122" s="8" t="str">
        <f t="shared" ca="1" si="9"/>
        <v>rg:{ 'id': '200004'}</v>
      </c>
      <c r="I122" s="8">
        <f t="shared" ca="1" si="10"/>
        <v>3</v>
      </c>
      <c r="J122" s="8">
        <f t="shared" ca="1" si="11"/>
        <v>92</v>
      </c>
      <c r="K122" s="8" t="str">
        <f t="shared" ca="1" si="12"/>
        <v>2017-04-19</v>
      </c>
      <c r="L122" s="8" t="str">
        <f t="shared" ca="1" si="13"/>
        <v>2017-05-23</v>
      </c>
    </row>
    <row r="123" spans="1:12" x14ac:dyDescent="0.3">
      <c r="A123" s="8" t="s">
        <v>5668</v>
      </c>
      <c r="B123" s="8">
        <f t="shared" si="7"/>
        <v>600121</v>
      </c>
      <c r="C123" s="1" t="s">
        <v>7023</v>
      </c>
      <c r="D123" s="9" t="str">
        <f>IFERROR(VLOOKUP(VLOOKUP(VLOOKUP(C123,Project.csv!F:Q,12,FALSE),ServiceAreas.csv!B:I,8,FALSE),LocalAreas.csv!B:I,7,FALSE),200029)</f>
        <v>rg:None</v>
      </c>
      <c r="E123" s="8" t="str">
        <f t="shared" si="8"/>
        <v>rg:{'id':'rg:None'}</v>
      </c>
      <c r="F123" s="9" t="s">
        <v>7054</v>
      </c>
      <c r="G123" s="9" t="str">
        <f ca="1">INDEX(DistrictEquipmentTypes.csv!F:F,RANDBETWEEN(2,COUNTA(DistrictEquipmentTypes.csv!D:D)),1)</f>
        <v>200004</v>
      </c>
      <c r="H123" s="8" t="str">
        <f t="shared" ca="1" si="9"/>
        <v>rg:{ 'id': '200004'}</v>
      </c>
      <c r="I123" s="8">
        <f t="shared" ca="1" si="10"/>
        <v>1</v>
      </c>
      <c r="J123" s="8">
        <f t="shared" ca="1" si="11"/>
        <v>9</v>
      </c>
      <c r="K123" s="8" t="str">
        <f t="shared" ca="1" si="12"/>
        <v>2017-04-11</v>
      </c>
      <c r="L123" s="8" t="str">
        <f t="shared" ca="1" si="13"/>
        <v>2017-04-12</v>
      </c>
    </row>
    <row r="124" spans="1:12" x14ac:dyDescent="0.3">
      <c r="A124" s="8" t="s">
        <v>5668</v>
      </c>
      <c r="B124" s="8">
        <f t="shared" si="7"/>
        <v>600122</v>
      </c>
      <c r="C124" s="1" t="s">
        <v>7024</v>
      </c>
      <c r="D124" s="9" t="str">
        <f>IFERROR(VLOOKUP(VLOOKUP(VLOOKUP(C124,Project.csv!F:Q,12,FALSE),ServiceAreas.csv!B:I,8,FALSE),LocalAreas.csv!B:I,7,FALSE),200029)</f>
        <v>rg:None</v>
      </c>
      <c r="E124" s="8" t="str">
        <f t="shared" si="8"/>
        <v>rg:{'id':'rg:None'}</v>
      </c>
      <c r="F124" s="9" t="s">
        <v>7054</v>
      </c>
      <c r="G124" s="9" t="str">
        <f ca="1">INDEX(DistrictEquipmentTypes.csv!F:F,RANDBETWEEN(2,COUNTA(DistrictEquipmentTypes.csv!D:D)),1)</f>
        <v>200009</v>
      </c>
      <c r="H124" s="8" t="str">
        <f t="shared" ca="1" si="9"/>
        <v>rg:{ 'id': '200009'}</v>
      </c>
      <c r="I124" s="8">
        <f t="shared" ca="1" si="10"/>
        <v>1</v>
      </c>
      <c r="J124" s="8">
        <f t="shared" ca="1" si="11"/>
        <v>100</v>
      </c>
      <c r="K124" s="8" t="str">
        <f t="shared" ca="1" si="12"/>
        <v>2017-04-10</v>
      </c>
      <c r="L124" s="8" t="str">
        <f t="shared" ca="1" si="13"/>
        <v>2017-04-22</v>
      </c>
    </row>
    <row r="125" spans="1:12" x14ac:dyDescent="0.3">
      <c r="A125" s="8" t="s">
        <v>5668</v>
      </c>
      <c r="B125" s="8">
        <f t="shared" si="7"/>
        <v>600123</v>
      </c>
      <c r="C125" s="1" t="s">
        <v>6922</v>
      </c>
      <c r="D125" s="9" t="str">
        <f>IFERROR(VLOOKUP(VLOOKUP(VLOOKUP(C125,Project.csv!F:Q,12,FALSE),ServiceAreas.csv!B:I,8,FALSE),LocalAreas.csv!B:I,7,FALSE),200029)</f>
        <v>rg:None</v>
      </c>
      <c r="E125" s="8" t="str">
        <f t="shared" si="8"/>
        <v>rg:{'id':'rg:None'}</v>
      </c>
      <c r="F125" s="9" t="s">
        <v>7054</v>
      </c>
      <c r="G125" s="9" t="str">
        <f ca="1">INDEX(DistrictEquipmentTypes.csv!F:F,RANDBETWEEN(2,COUNTA(DistrictEquipmentTypes.csv!D:D)),1)</f>
        <v>200007</v>
      </c>
      <c r="H125" s="8" t="str">
        <f t="shared" ca="1" si="9"/>
        <v>rg:{ 'id': '200007'}</v>
      </c>
      <c r="I125" s="8">
        <f t="shared" ca="1" si="10"/>
        <v>1</v>
      </c>
      <c r="J125" s="8">
        <f t="shared" ca="1" si="11"/>
        <v>27</v>
      </c>
      <c r="K125" s="8" t="str">
        <f t="shared" ca="1" si="12"/>
        <v>2017-05-10</v>
      </c>
      <c r="L125" s="8" t="str">
        <f t="shared" ca="1" si="13"/>
        <v>2017-05-13</v>
      </c>
    </row>
    <row r="126" spans="1:12" x14ac:dyDescent="0.3">
      <c r="A126" s="8" t="s">
        <v>5668</v>
      </c>
      <c r="B126" s="8">
        <f t="shared" si="7"/>
        <v>600124</v>
      </c>
      <c r="C126" s="1" t="s">
        <v>7025</v>
      </c>
      <c r="D126" s="9" t="str">
        <f>IFERROR(VLOOKUP(VLOOKUP(VLOOKUP(C126,Project.csv!F:Q,12,FALSE),ServiceAreas.csv!B:I,8,FALSE),LocalAreas.csv!B:I,7,FALSE),200029)</f>
        <v>rg:None</v>
      </c>
      <c r="E126" s="8" t="str">
        <f t="shared" si="8"/>
        <v>rg:{'id':'rg:None'}</v>
      </c>
      <c r="F126" s="9" t="s">
        <v>7055</v>
      </c>
      <c r="G126" s="9" t="str">
        <f ca="1">INDEX(DistrictEquipmentTypes.csv!F:F,RANDBETWEEN(2,COUNTA(DistrictEquipmentTypes.csv!D:D)),1)</f>
        <v>200009</v>
      </c>
      <c r="H126" s="8" t="str">
        <f t="shared" ca="1" si="9"/>
        <v>rg:{ 'id': '200009'}</v>
      </c>
      <c r="I126" s="8">
        <f t="shared" ca="1" si="10"/>
        <v>1</v>
      </c>
      <c r="J126" s="8">
        <f t="shared" ca="1" si="11"/>
        <v>35</v>
      </c>
      <c r="K126" s="8" t="str">
        <f t="shared" ca="1" si="12"/>
        <v>2017-04-04</v>
      </c>
      <c r="L126" s="8" t="str">
        <f t="shared" ca="1" si="13"/>
        <v>2017-04-08</v>
      </c>
    </row>
    <row r="127" spans="1:12" x14ac:dyDescent="0.3">
      <c r="A127" s="8" t="s">
        <v>5668</v>
      </c>
      <c r="B127" s="8">
        <f t="shared" si="7"/>
        <v>600125</v>
      </c>
      <c r="C127" s="1" t="s">
        <v>7026</v>
      </c>
      <c r="D127" s="9" t="str">
        <f>IFERROR(VLOOKUP(VLOOKUP(VLOOKUP(C127,Project.csv!F:Q,12,FALSE),ServiceAreas.csv!B:I,8,FALSE),LocalAreas.csv!B:I,7,FALSE),200029)</f>
        <v>rg:None</v>
      </c>
      <c r="E127" s="8" t="str">
        <f t="shared" si="8"/>
        <v>rg:{'id':'rg:None'}</v>
      </c>
      <c r="F127" s="9" t="s">
        <v>7055</v>
      </c>
      <c r="G127" s="9" t="str">
        <f ca="1">INDEX(DistrictEquipmentTypes.csv!F:F,RANDBETWEEN(2,COUNTA(DistrictEquipmentTypes.csv!D:D)),1)</f>
        <v>200004</v>
      </c>
      <c r="H127" s="8" t="str">
        <f t="shared" ca="1" si="9"/>
        <v>rg:{ 'id': '200004'}</v>
      </c>
      <c r="I127" s="8">
        <f t="shared" ca="1" si="10"/>
        <v>1</v>
      </c>
      <c r="J127" s="8">
        <f t="shared" ca="1" si="11"/>
        <v>5</v>
      </c>
      <c r="K127" s="8" t="str">
        <f t="shared" ca="1" si="12"/>
        <v>2017-04-14</v>
      </c>
      <c r="L127" s="8" t="str">
        <f t="shared" ca="1" si="13"/>
        <v>2017-04-14</v>
      </c>
    </row>
    <row r="128" spans="1:12" x14ac:dyDescent="0.3">
      <c r="A128" s="8" t="s">
        <v>5668</v>
      </c>
      <c r="B128" s="8">
        <f t="shared" si="7"/>
        <v>600126</v>
      </c>
      <c r="C128" s="1" t="s">
        <v>6929</v>
      </c>
      <c r="D128" s="9" t="str">
        <f>IFERROR(VLOOKUP(VLOOKUP(VLOOKUP(C128,Project.csv!F:Q,12,FALSE),ServiceAreas.csv!B:I,8,FALSE),LocalAreas.csv!B:I,7,FALSE),200029)</f>
        <v>rg:None</v>
      </c>
      <c r="E128" s="8" t="str">
        <f t="shared" si="8"/>
        <v>rg:{'id':'rg:None'}</v>
      </c>
      <c r="F128" s="9" t="s">
        <v>7055</v>
      </c>
      <c r="G128" s="9" t="str">
        <f ca="1">INDEX(DistrictEquipmentTypes.csv!F:F,RANDBETWEEN(2,COUNTA(DistrictEquipmentTypes.csv!D:D)),1)</f>
        <v>200005</v>
      </c>
      <c r="H128" s="8" t="str">
        <f t="shared" ca="1" si="9"/>
        <v>rg:{ 'id': '200005'}</v>
      </c>
      <c r="I128" s="8">
        <f t="shared" ca="1" si="10"/>
        <v>4</v>
      </c>
      <c r="J128" s="8">
        <f t="shared" ca="1" si="11"/>
        <v>82</v>
      </c>
      <c r="K128" s="8" t="str">
        <f t="shared" ca="1" si="12"/>
        <v>2017-04-07</v>
      </c>
      <c r="L128" s="8" t="str">
        <f t="shared" ca="1" si="13"/>
        <v>2017-05-18</v>
      </c>
    </row>
    <row r="129" spans="1:12" x14ac:dyDescent="0.3">
      <c r="A129" s="8" t="s">
        <v>5668</v>
      </c>
      <c r="B129" s="8">
        <f t="shared" si="7"/>
        <v>600127</v>
      </c>
      <c r="C129" s="1" t="s">
        <v>7027</v>
      </c>
      <c r="D129" s="9" t="str">
        <f>IFERROR(VLOOKUP(VLOOKUP(VLOOKUP(C129,Project.csv!F:Q,12,FALSE),ServiceAreas.csv!B:I,8,FALSE),LocalAreas.csv!B:I,7,FALSE),200029)</f>
        <v>rg:None</v>
      </c>
      <c r="E129" s="8" t="str">
        <f t="shared" si="8"/>
        <v>rg:{'id':'rg:None'}</v>
      </c>
      <c r="F129" s="9" t="s">
        <v>7054</v>
      </c>
      <c r="G129" s="9" t="str">
        <f ca="1">INDEX(DistrictEquipmentTypes.csv!F:F,RANDBETWEEN(2,COUNTA(DistrictEquipmentTypes.csv!D:D)),1)</f>
        <v>200002</v>
      </c>
      <c r="H129" s="8" t="str">
        <f t="shared" ca="1" si="9"/>
        <v>rg:{ 'id': '200002'}</v>
      </c>
      <c r="I129" s="8">
        <f t="shared" ca="1" si="10"/>
        <v>1</v>
      </c>
      <c r="J129" s="8">
        <f t="shared" ca="1" si="11"/>
        <v>72</v>
      </c>
      <c r="K129" s="8" t="str">
        <f t="shared" ca="1" si="12"/>
        <v>2017-05-05</v>
      </c>
      <c r="L129" s="8" t="str">
        <f t="shared" ca="1" si="13"/>
        <v>2017-05-14</v>
      </c>
    </row>
    <row r="130" spans="1:12" x14ac:dyDescent="0.3">
      <c r="A130" s="8" t="s">
        <v>5668</v>
      </c>
      <c r="B130" s="8">
        <f t="shared" si="7"/>
        <v>600128</v>
      </c>
      <c r="C130" s="1" t="s">
        <v>7028</v>
      </c>
      <c r="D130" s="9" t="str">
        <f>IFERROR(VLOOKUP(VLOOKUP(VLOOKUP(C130,Project.csv!F:Q,12,FALSE),ServiceAreas.csv!B:I,8,FALSE),LocalAreas.csv!B:I,7,FALSE),200029)</f>
        <v>rg:None</v>
      </c>
      <c r="E130" s="8" t="str">
        <f t="shared" si="8"/>
        <v>rg:{'id':'rg:None'}</v>
      </c>
      <c r="F130" s="9" t="s">
        <v>7054</v>
      </c>
      <c r="G130" s="9" t="str">
        <f ca="1">INDEX(DistrictEquipmentTypes.csv!F:F,RANDBETWEEN(2,COUNTA(DistrictEquipmentTypes.csv!D:D)),1)</f>
        <v>200004</v>
      </c>
      <c r="H130" s="8" t="str">
        <f t="shared" ca="1" si="9"/>
        <v>rg:{ 'id': '200004'}</v>
      </c>
      <c r="I130" s="8">
        <f t="shared" ca="1" si="10"/>
        <v>4</v>
      </c>
      <c r="J130" s="8">
        <f t="shared" ca="1" si="11"/>
        <v>84</v>
      </c>
      <c r="K130" s="8" t="str">
        <f t="shared" ca="1" si="12"/>
        <v>2017-04-09</v>
      </c>
      <c r="L130" s="8" t="str">
        <f t="shared" ca="1" si="13"/>
        <v>2017-05-21</v>
      </c>
    </row>
    <row r="131" spans="1:12" x14ac:dyDescent="0.3">
      <c r="A131" s="8" t="s">
        <v>5668</v>
      </c>
      <c r="B131" s="8">
        <f t="shared" ref="B131:B194" si="14">IF(ISNUMBER(B130),B130+1,600000)</f>
        <v>600129</v>
      </c>
      <c r="C131" s="1" t="s">
        <v>7029</v>
      </c>
      <c r="D131" s="9" t="str">
        <f>IFERROR(VLOOKUP(VLOOKUP(VLOOKUP(C131,Project.csv!F:Q,12,FALSE),ServiceAreas.csv!B:I,8,FALSE),LocalAreas.csv!B:I,7,FALSE),200029)</f>
        <v>rg:None</v>
      </c>
      <c r="E131" s="8" t="str">
        <f t="shared" ref="E131:E194" si="15" xml:space="preserve"> "rg:{'id':'" &amp; D131 &amp; "'}"</f>
        <v>rg:{'id':'rg:None'}</v>
      </c>
      <c r="F131" s="9" t="s">
        <v>7054</v>
      </c>
      <c r="G131" s="9" t="str">
        <f ca="1">INDEX(DistrictEquipmentTypes.csv!F:F,RANDBETWEEN(2,COUNTA(DistrictEquipmentTypes.csv!D:D)),1)</f>
        <v>200009</v>
      </c>
      <c r="H131" s="8" t="str">
        <f t="shared" ref="H131:H194" ca="1" si="16">"rg:{ 'id': '"&amp;G131&amp;"'}"</f>
        <v>rg:{ 'id': '200009'}</v>
      </c>
      <c r="I131" s="8">
        <f t="shared" ref="I131:I194" ca="1" si="17">IF(RANDBETWEEN(1,5)&gt;1,1,RANDBETWEEN(2,5))</f>
        <v>1</v>
      </c>
      <c r="J131" s="8">
        <f t="shared" ref="J131:J194" ca="1" si="18">RANDBETWEEN(4,100)</f>
        <v>84</v>
      </c>
      <c r="K131" s="8" t="str">
        <f t="shared" ref="K131:K194" ca="1" si="19">TEXT(TODAY()+RANDBETWEEN(1,56),"YYYY-MM-DD")</f>
        <v>2017-04-21</v>
      </c>
      <c r="L131" s="8" t="str">
        <f t="shared" ref="L131:L194" ca="1" si="20">TEXT(K131+(I131*J131)/8,"YYYY-MM-DD")</f>
        <v>2017-05-01</v>
      </c>
    </row>
    <row r="132" spans="1:12" x14ac:dyDescent="0.3">
      <c r="A132" s="8" t="s">
        <v>5668</v>
      </c>
      <c r="B132" s="8">
        <f t="shared" si="14"/>
        <v>600130</v>
      </c>
      <c r="C132" s="1" t="s">
        <v>7030</v>
      </c>
      <c r="D132" s="9" t="str">
        <f>IFERROR(VLOOKUP(VLOOKUP(VLOOKUP(C132,Project.csv!F:Q,12,FALSE),ServiceAreas.csv!B:I,8,FALSE),LocalAreas.csv!B:I,7,FALSE),200029)</f>
        <v>rg:None</v>
      </c>
      <c r="E132" s="8" t="str">
        <f t="shared" si="15"/>
        <v>rg:{'id':'rg:None'}</v>
      </c>
      <c r="F132" s="9" t="s">
        <v>7054</v>
      </c>
      <c r="G132" s="9" t="str">
        <f ca="1">INDEX(DistrictEquipmentTypes.csv!F:F,RANDBETWEEN(2,COUNTA(DistrictEquipmentTypes.csv!D:D)),1)</f>
        <v>200006</v>
      </c>
      <c r="H132" s="8" t="str">
        <f t="shared" ca="1" si="16"/>
        <v>rg:{ 'id': '200006'}</v>
      </c>
      <c r="I132" s="8">
        <f t="shared" ca="1" si="17"/>
        <v>1</v>
      </c>
      <c r="J132" s="8">
        <f t="shared" ca="1" si="18"/>
        <v>32</v>
      </c>
      <c r="K132" s="8" t="str">
        <f t="shared" ca="1" si="19"/>
        <v>2017-04-15</v>
      </c>
      <c r="L132" s="8" t="str">
        <f t="shared" ca="1" si="20"/>
        <v>2017-04-19</v>
      </c>
    </row>
    <row r="133" spans="1:12" x14ac:dyDescent="0.3">
      <c r="A133" s="8" t="s">
        <v>5668</v>
      </c>
      <c r="B133" s="8">
        <f t="shared" si="14"/>
        <v>600131</v>
      </c>
      <c r="C133" s="1" t="s">
        <v>7031</v>
      </c>
      <c r="D133" s="9" t="str">
        <f>IFERROR(VLOOKUP(VLOOKUP(VLOOKUP(C133,Project.csv!F:Q,12,FALSE),ServiceAreas.csv!B:I,8,FALSE),LocalAreas.csv!B:I,7,FALSE),200029)</f>
        <v>rg:None</v>
      </c>
      <c r="E133" s="8" t="str">
        <f t="shared" si="15"/>
        <v>rg:{'id':'rg:None'}</v>
      </c>
      <c r="F133" s="9" t="s">
        <v>7054</v>
      </c>
      <c r="G133" s="9" t="str">
        <f ca="1">INDEX(DistrictEquipmentTypes.csv!F:F,RANDBETWEEN(2,COUNTA(DistrictEquipmentTypes.csv!D:D)),1)</f>
        <v>200000</v>
      </c>
      <c r="H133" s="8" t="str">
        <f t="shared" ca="1" si="16"/>
        <v>rg:{ 'id': '200000'}</v>
      </c>
      <c r="I133" s="8">
        <f t="shared" ca="1" si="17"/>
        <v>1</v>
      </c>
      <c r="J133" s="8">
        <f t="shared" ca="1" si="18"/>
        <v>23</v>
      </c>
      <c r="K133" s="8" t="str">
        <f t="shared" ca="1" si="19"/>
        <v>2017-05-12</v>
      </c>
      <c r="L133" s="8" t="str">
        <f t="shared" ca="1" si="20"/>
        <v>2017-05-14</v>
      </c>
    </row>
    <row r="134" spans="1:12" x14ac:dyDescent="0.3">
      <c r="A134" s="8" t="s">
        <v>5668</v>
      </c>
      <c r="B134" s="8">
        <f t="shared" si="14"/>
        <v>600132</v>
      </c>
      <c r="C134" s="1" t="s">
        <v>7032</v>
      </c>
      <c r="D134" s="9" t="str">
        <f>IFERROR(VLOOKUP(VLOOKUP(VLOOKUP(C134,Project.csv!F:Q,12,FALSE),ServiceAreas.csv!B:I,8,FALSE),LocalAreas.csv!B:I,7,FALSE),200029)</f>
        <v>rg:None</v>
      </c>
      <c r="E134" s="8" t="str">
        <f t="shared" si="15"/>
        <v>rg:{'id':'rg:None'}</v>
      </c>
      <c r="F134" s="9" t="s">
        <v>7054</v>
      </c>
      <c r="G134" s="9" t="str">
        <f ca="1">INDEX(DistrictEquipmentTypes.csv!F:F,RANDBETWEEN(2,COUNTA(DistrictEquipmentTypes.csv!D:D)),1)</f>
        <v>200001</v>
      </c>
      <c r="H134" s="8" t="str">
        <f t="shared" ca="1" si="16"/>
        <v>rg:{ 'id': '200001'}</v>
      </c>
      <c r="I134" s="8">
        <f t="shared" ca="1" si="17"/>
        <v>1</v>
      </c>
      <c r="J134" s="8">
        <f t="shared" ca="1" si="18"/>
        <v>7</v>
      </c>
      <c r="K134" s="8" t="str">
        <f t="shared" ca="1" si="19"/>
        <v>2017-05-03</v>
      </c>
      <c r="L134" s="8" t="str">
        <f t="shared" ca="1" si="20"/>
        <v>2017-05-03</v>
      </c>
    </row>
    <row r="135" spans="1:12" x14ac:dyDescent="0.3">
      <c r="A135" s="8" t="s">
        <v>5668</v>
      </c>
      <c r="B135" s="8">
        <f t="shared" si="14"/>
        <v>600133</v>
      </c>
      <c r="C135" s="1" t="s">
        <v>7033</v>
      </c>
      <c r="D135" s="9" t="str">
        <f>IFERROR(VLOOKUP(VLOOKUP(VLOOKUP(C135,Project.csv!F:Q,12,FALSE),ServiceAreas.csv!B:I,8,FALSE),LocalAreas.csv!B:I,7,FALSE),200029)</f>
        <v>rg:None</v>
      </c>
      <c r="E135" s="8" t="str">
        <f t="shared" si="15"/>
        <v>rg:{'id':'rg:None'}</v>
      </c>
      <c r="F135" s="9" t="s">
        <v>7054</v>
      </c>
      <c r="G135" s="9" t="str">
        <f ca="1">INDEX(DistrictEquipmentTypes.csv!F:F,RANDBETWEEN(2,COUNTA(DistrictEquipmentTypes.csv!D:D)),1)</f>
        <v>200004</v>
      </c>
      <c r="H135" s="8" t="str">
        <f t="shared" ca="1" si="16"/>
        <v>rg:{ 'id': '200004'}</v>
      </c>
      <c r="I135" s="8">
        <f t="shared" ca="1" si="17"/>
        <v>1</v>
      </c>
      <c r="J135" s="8">
        <f t="shared" ca="1" si="18"/>
        <v>21</v>
      </c>
      <c r="K135" s="8" t="str">
        <f t="shared" ca="1" si="19"/>
        <v>2017-05-17</v>
      </c>
      <c r="L135" s="8" t="str">
        <f t="shared" ca="1" si="20"/>
        <v>2017-05-19</v>
      </c>
    </row>
    <row r="136" spans="1:12" x14ac:dyDescent="0.3">
      <c r="A136" s="8" t="s">
        <v>5668</v>
      </c>
      <c r="B136" s="8">
        <f t="shared" si="14"/>
        <v>600134</v>
      </c>
      <c r="C136" s="1" t="s">
        <v>6894</v>
      </c>
      <c r="D136" s="9" t="str">
        <f>IFERROR(VLOOKUP(VLOOKUP(VLOOKUP(C136,Project.csv!F:Q,12,FALSE),ServiceAreas.csv!B:I,8,FALSE),LocalAreas.csv!B:I,7,FALSE),200029)</f>
        <v>rg:None</v>
      </c>
      <c r="E136" s="8" t="str">
        <f t="shared" si="15"/>
        <v>rg:{'id':'rg:None'}</v>
      </c>
      <c r="F136" s="9" t="s">
        <v>7054</v>
      </c>
      <c r="G136" s="9" t="str">
        <f ca="1">INDEX(DistrictEquipmentTypes.csv!F:F,RANDBETWEEN(2,COUNTA(DistrictEquipmentTypes.csv!D:D)),1)</f>
        <v>200006</v>
      </c>
      <c r="H136" s="8" t="str">
        <f t="shared" ca="1" si="16"/>
        <v>rg:{ 'id': '200006'}</v>
      </c>
      <c r="I136" s="8">
        <f t="shared" ca="1" si="17"/>
        <v>5</v>
      </c>
      <c r="J136" s="8">
        <f t="shared" ca="1" si="18"/>
        <v>98</v>
      </c>
      <c r="K136" s="8" t="str">
        <f t="shared" ca="1" si="19"/>
        <v>2017-05-14</v>
      </c>
      <c r="L136" s="8" t="str">
        <f t="shared" ca="1" si="20"/>
        <v>2017-07-14</v>
      </c>
    </row>
    <row r="137" spans="1:12" x14ac:dyDescent="0.3">
      <c r="A137" s="8" t="s">
        <v>5668</v>
      </c>
      <c r="B137" s="8">
        <f t="shared" si="14"/>
        <v>600135</v>
      </c>
      <c r="C137" s="1" t="s">
        <v>7034</v>
      </c>
      <c r="D137" s="9" t="str">
        <f>IFERROR(VLOOKUP(VLOOKUP(VLOOKUP(C137,Project.csv!F:Q,12,FALSE),ServiceAreas.csv!B:I,8,FALSE),LocalAreas.csv!B:I,7,FALSE),200029)</f>
        <v>rg:None</v>
      </c>
      <c r="E137" s="8" t="str">
        <f t="shared" si="15"/>
        <v>rg:{'id':'rg:None'}</v>
      </c>
      <c r="F137" s="9" t="s">
        <v>7054</v>
      </c>
      <c r="G137" s="9" t="str">
        <f ca="1">INDEX(DistrictEquipmentTypes.csv!F:F,RANDBETWEEN(2,COUNTA(DistrictEquipmentTypes.csv!D:D)),1)</f>
        <v>200007</v>
      </c>
      <c r="H137" s="8" t="str">
        <f t="shared" ca="1" si="16"/>
        <v>rg:{ 'id': '200007'}</v>
      </c>
      <c r="I137" s="8">
        <f t="shared" ca="1" si="17"/>
        <v>1</v>
      </c>
      <c r="J137" s="8">
        <f t="shared" ca="1" si="18"/>
        <v>46</v>
      </c>
      <c r="K137" s="8" t="str">
        <f t="shared" ca="1" si="19"/>
        <v>2017-04-12</v>
      </c>
      <c r="L137" s="8" t="str">
        <f t="shared" ca="1" si="20"/>
        <v>2017-04-17</v>
      </c>
    </row>
    <row r="138" spans="1:12" x14ac:dyDescent="0.3">
      <c r="A138" s="8" t="s">
        <v>5668</v>
      </c>
      <c r="B138" s="8">
        <f t="shared" si="14"/>
        <v>600136</v>
      </c>
      <c r="C138" s="1" t="s">
        <v>6932</v>
      </c>
      <c r="D138" s="9" t="str">
        <f>IFERROR(VLOOKUP(VLOOKUP(VLOOKUP(C138,Project.csv!F:Q,12,FALSE),ServiceAreas.csv!B:I,8,FALSE),LocalAreas.csv!B:I,7,FALSE),200029)</f>
        <v>rg:None</v>
      </c>
      <c r="E138" s="8" t="str">
        <f t="shared" si="15"/>
        <v>rg:{'id':'rg:None'}</v>
      </c>
      <c r="F138" s="9" t="s">
        <v>7054</v>
      </c>
      <c r="G138" s="9" t="str">
        <f ca="1">INDEX(DistrictEquipmentTypes.csv!F:F,RANDBETWEEN(2,COUNTA(DistrictEquipmentTypes.csv!D:D)),1)</f>
        <v>200006</v>
      </c>
      <c r="H138" s="8" t="str">
        <f t="shared" ca="1" si="16"/>
        <v>rg:{ 'id': '200006'}</v>
      </c>
      <c r="I138" s="8">
        <f t="shared" ca="1" si="17"/>
        <v>1</v>
      </c>
      <c r="J138" s="8">
        <f t="shared" ca="1" si="18"/>
        <v>65</v>
      </c>
      <c r="K138" s="8" t="str">
        <f t="shared" ca="1" si="19"/>
        <v>2017-05-10</v>
      </c>
      <c r="L138" s="8" t="str">
        <f t="shared" ca="1" si="20"/>
        <v>2017-05-18</v>
      </c>
    </row>
    <row r="139" spans="1:12" x14ac:dyDescent="0.3">
      <c r="A139" s="8" t="s">
        <v>5668</v>
      </c>
      <c r="B139" s="8">
        <f t="shared" si="14"/>
        <v>600137</v>
      </c>
      <c r="C139" s="1" t="s">
        <v>7035</v>
      </c>
      <c r="D139" s="9" t="str">
        <f>IFERROR(VLOOKUP(VLOOKUP(VLOOKUP(C139,Project.csv!F:Q,12,FALSE),ServiceAreas.csv!B:I,8,FALSE),LocalAreas.csv!B:I,7,FALSE),200029)</f>
        <v>rg:None</v>
      </c>
      <c r="E139" s="8" t="str">
        <f t="shared" si="15"/>
        <v>rg:{'id':'rg:None'}</v>
      </c>
      <c r="F139" s="9" t="s">
        <v>7054</v>
      </c>
      <c r="G139" s="9" t="str">
        <f ca="1">INDEX(DistrictEquipmentTypes.csv!F:F,RANDBETWEEN(2,COUNTA(DistrictEquipmentTypes.csv!D:D)),1)</f>
        <v>200001</v>
      </c>
      <c r="H139" s="8" t="str">
        <f t="shared" ca="1" si="16"/>
        <v>rg:{ 'id': '200001'}</v>
      </c>
      <c r="I139" s="8">
        <f t="shared" ca="1" si="17"/>
        <v>1</v>
      </c>
      <c r="J139" s="8">
        <f t="shared" ca="1" si="18"/>
        <v>94</v>
      </c>
      <c r="K139" s="8" t="str">
        <f t="shared" ca="1" si="19"/>
        <v>2017-04-04</v>
      </c>
      <c r="L139" s="8" t="str">
        <f t="shared" ca="1" si="20"/>
        <v>2017-04-15</v>
      </c>
    </row>
    <row r="140" spans="1:12" x14ac:dyDescent="0.3">
      <c r="A140" s="8" t="s">
        <v>5668</v>
      </c>
      <c r="B140" s="8">
        <f t="shared" si="14"/>
        <v>600138</v>
      </c>
      <c r="C140" s="1" t="s">
        <v>7036</v>
      </c>
      <c r="D140" s="9" t="str">
        <f>IFERROR(VLOOKUP(VLOOKUP(VLOOKUP(C140,Project.csv!F:Q,12,FALSE),ServiceAreas.csv!B:I,8,FALSE),LocalAreas.csv!B:I,7,FALSE),200029)</f>
        <v>rg:None</v>
      </c>
      <c r="E140" s="8" t="str">
        <f t="shared" si="15"/>
        <v>rg:{'id':'rg:None'}</v>
      </c>
      <c r="F140" s="9" t="s">
        <v>7054</v>
      </c>
      <c r="G140" s="9" t="str">
        <f ca="1">INDEX(DistrictEquipmentTypes.csv!F:F,RANDBETWEEN(2,COUNTA(DistrictEquipmentTypes.csv!D:D)),1)</f>
        <v>200000</v>
      </c>
      <c r="H140" s="8" t="str">
        <f t="shared" ca="1" si="16"/>
        <v>rg:{ 'id': '200000'}</v>
      </c>
      <c r="I140" s="8">
        <f t="shared" ca="1" si="17"/>
        <v>3</v>
      </c>
      <c r="J140" s="8">
        <f t="shared" ca="1" si="18"/>
        <v>43</v>
      </c>
      <c r="K140" s="8" t="str">
        <f t="shared" ca="1" si="19"/>
        <v>2017-05-07</v>
      </c>
      <c r="L140" s="8" t="str">
        <f t="shared" ca="1" si="20"/>
        <v>2017-05-23</v>
      </c>
    </row>
    <row r="141" spans="1:12" x14ac:dyDescent="0.3">
      <c r="A141" s="8" t="s">
        <v>5668</v>
      </c>
      <c r="B141" s="8">
        <f t="shared" si="14"/>
        <v>600139</v>
      </c>
      <c r="C141" s="1" t="s">
        <v>7037</v>
      </c>
      <c r="D141" s="9" t="str">
        <f>IFERROR(VLOOKUP(VLOOKUP(VLOOKUP(C141,Project.csv!F:Q,12,FALSE),ServiceAreas.csv!B:I,8,FALSE),LocalAreas.csv!B:I,7,FALSE),200029)</f>
        <v>rg:None</v>
      </c>
      <c r="E141" s="8" t="str">
        <f t="shared" si="15"/>
        <v>rg:{'id':'rg:None'}</v>
      </c>
      <c r="F141" s="9" t="s">
        <v>7054</v>
      </c>
      <c r="G141" s="9" t="str">
        <f ca="1">INDEX(DistrictEquipmentTypes.csv!F:F,RANDBETWEEN(2,COUNTA(DistrictEquipmentTypes.csv!D:D)),1)</f>
        <v>200003</v>
      </c>
      <c r="H141" s="8" t="str">
        <f t="shared" ca="1" si="16"/>
        <v>rg:{ 'id': '200003'}</v>
      </c>
      <c r="I141" s="8">
        <f t="shared" ca="1" si="17"/>
        <v>1</v>
      </c>
      <c r="J141" s="8">
        <f t="shared" ca="1" si="18"/>
        <v>97</v>
      </c>
      <c r="K141" s="8" t="str">
        <f t="shared" ca="1" si="19"/>
        <v>2017-04-20</v>
      </c>
      <c r="L141" s="8" t="str">
        <f t="shared" ca="1" si="20"/>
        <v>2017-05-02</v>
      </c>
    </row>
    <row r="142" spans="1:12" x14ac:dyDescent="0.3">
      <c r="A142" s="8" t="s">
        <v>5668</v>
      </c>
      <c r="B142" s="8">
        <f t="shared" si="14"/>
        <v>600140</v>
      </c>
      <c r="C142" s="1" t="s">
        <v>6925</v>
      </c>
      <c r="D142" s="9" t="str">
        <f>IFERROR(VLOOKUP(VLOOKUP(VLOOKUP(C142,Project.csv!F:Q,12,FALSE),ServiceAreas.csv!B:I,8,FALSE),LocalAreas.csv!B:I,7,FALSE),200029)</f>
        <v>rg:None</v>
      </c>
      <c r="E142" s="8" t="str">
        <f t="shared" si="15"/>
        <v>rg:{'id':'rg:None'}</v>
      </c>
      <c r="F142" s="9" t="s">
        <v>7054</v>
      </c>
      <c r="G142" s="9" t="str">
        <f ca="1">INDEX(DistrictEquipmentTypes.csv!F:F,RANDBETWEEN(2,COUNTA(DistrictEquipmentTypes.csv!D:D)),1)</f>
        <v>200002</v>
      </c>
      <c r="H142" s="8" t="str">
        <f t="shared" ca="1" si="16"/>
        <v>rg:{ 'id': '200002'}</v>
      </c>
      <c r="I142" s="8">
        <f t="shared" ca="1" si="17"/>
        <v>1</v>
      </c>
      <c r="J142" s="8">
        <f t="shared" ca="1" si="18"/>
        <v>46</v>
      </c>
      <c r="K142" s="8" t="str">
        <f t="shared" ca="1" si="19"/>
        <v>2017-05-01</v>
      </c>
      <c r="L142" s="8" t="str">
        <f t="shared" ca="1" si="20"/>
        <v>2017-05-06</v>
      </c>
    </row>
    <row r="143" spans="1:12" x14ac:dyDescent="0.3">
      <c r="A143" s="8" t="s">
        <v>5668</v>
      </c>
      <c r="B143" s="8">
        <f t="shared" si="14"/>
        <v>600141</v>
      </c>
      <c r="C143" s="1" t="s">
        <v>7038</v>
      </c>
      <c r="D143" s="9" t="str">
        <f>IFERROR(VLOOKUP(VLOOKUP(VLOOKUP(C143,Project.csv!F:Q,12,FALSE),ServiceAreas.csv!B:I,8,FALSE),LocalAreas.csv!B:I,7,FALSE),200029)</f>
        <v>rg:None</v>
      </c>
      <c r="E143" s="8" t="str">
        <f t="shared" si="15"/>
        <v>rg:{'id':'rg:None'}</v>
      </c>
      <c r="F143" s="9" t="s">
        <v>7054</v>
      </c>
      <c r="G143" s="9" t="str">
        <f ca="1">INDEX(DistrictEquipmentTypes.csv!F:F,RANDBETWEEN(2,COUNTA(DistrictEquipmentTypes.csv!D:D)),1)</f>
        <v>200009</v>
      </c>
      <c r="H143" s="8" t="str">
        <f t="shared" ca="1" si="16"/>
        <v>rg:{ 'id': '200009'}</v>
      </c>
      <c r="I143" s="8">
        <f t="shared" ca="1" si="17"/>
        <v>1</v>
      </c>
      <c r="J143" s="8">
        <f t="shared" ca="1" si="18"/>
        <v>11</v>
      </c>
      <c r="K143" s="8" t="str">
        <f t="shared" ca="1" si="19"/>
        <v>2017-04-20</v>
      </c>
      <c r="L143" s="8" t="str">
        <f t="shared" ca="1" si="20"/>
        <v>2017-04-21</v>
      </c>
    </row>
    <row r="144" spans="1:12" x14ac:dyDescent="0.3">
      <c r="A144" s="8" t="s">
        <v>5668</v>
      </c>
      <c r="B144" s="8">
        <f t="shared" si="14"/>
        <v>600142</v>
      </c>
      <c r="C144" s="1" t="s">
        <v>7039</v>
      </c>
      <c r="D144" s="9" t="str">
        <f>IFERROR(VLOOKUP(VLOOKUP(VLOOKUP(C144,Project.csv!F:Q,12,FALSE),ServiceAreas.csv!B:I,8,FALSE),LocalAreas.csv!B:I,7,FALSE),200029)</f>
        <v>rg:None</v>
      </c>
      <c r="E144" s="8" t="str">
        <f t="shared" si="15"/>
        <v>rg:{'id':'rg:None'}</v>
      </c>
      <c r="F144" s="9" t="s">
        <v>7055</v>
      </c>
      <c r="G144" s="9" t="str">
        <f ca="1">INDEX(DistrictEquipmentTypes.csv!F:F,RANDBETWEEN(2,COUNTA(DistrictEquipmentTypes.csv!D:D)),1)</f>
        <v>200004</v>
      </c>
      <c r="H144" s="8" t="str">
        <f t="shared" ca="1" si="16"/>
        <v>rg:{ 'id': '200004'}</v>
      </c>
      <c r="I144" s="8">
        <f t="shared" ca="1" si="17"/>
        <v>1</v>
      </c>
      <c r="J144" s="8">
        <f t="shared" ca="1" si="18"/>
        <v>31</v>
      </c>
      <c r="K144" s="8" t="str">
        <f t="shared" ca="1" si="19"/>
        <v>2017-05-01</v>
      </c>
      <c r="L144" s="8" t="str">
        <f t="shared" ca="1" si="20"/>
        <v>2017-05-04</v>
      </c>
    </row>
    <row r="145" spans="1:12" x14ac:dyDescent="0.3">
      <c r="A145" s="8" t="s">
        <v>5668</v>
      </c>
      <c r="B145" s="8">
        <f t="shared" si="14"/>
        <v>600143</v>
      </c>
      <c r="C145" s="1" t="s">
        <v>7040</v>
      </c>
      <c r="D145" s="9" t="str">
        <f>IFERROR(VLOOKUP(VLOOKUP(VLOOKUP(C145,Project.csv!F:Q,12,FALSE),ServiceAreas.csv!B:I,8,FALSE),LocalAreas.csv!B:I,7,FALSE),200029)</f>
        <v>rg:None</v>
      </c>
      <c r="E145" s="8" t="str">
        <f t="shared" si="15"/>
        <v>rg:{'id':'rg:None'}</v>
      </c>
      <c r="F145" s="9" t="s">
        <v>7055</v>
      </c>
      <c r="G145" s="9" t="str">
        <f ca="1">INDEX(DistrictEquipmentTypes.csv!F:F,RANDBETWEEN(2,COUNTA(DistrictEquipmentTypes.csv!D:D)),1)</f>
        <v>200004</v>
      </c>
      <c r="H145" s="8" t="str">
        <f t="shared" ca="1" si="16"/>
        <v>rg:{ 'id': '200004'}</v>
      </c>
      <c r="I145" s="8">
        <f t="shared" ca="1" si="17"/>
        <v>1</v>
      </c>
      <c r="J145" s="8">
        <f t="shared" ca="1" si="18"/>
        <v>40</v>
      </c>
      <c r="K145" s="8" t="str">
        <f t="shared" ca="1" si="19"/>
        <v>2017-05-10</v>
      </c>
      <c r="L145" s="8" t="str">
        <f t="shared" ca="1" si="20"/>
        <v>2017-05-15</v>
      </c>
    </row>
    <row r="146" spans="1:12" x14ac:dyDescent="0.3">
      <c r="A146" s="8" t="s">
        <v>5668</v>
      </c>
      <c r="B146" s="8">
        <f t="shared" si="14"/>
        <v>600144</v>
      </c>
      <c r="C146" s="1" t="s">
        <v>7041</v>
      </c>
      <c r="D146" s="9" t="str">
        <f>IFERROR(VLOOKUP(VLOOKUP(VLOOKUP(C146,Project.csv!F:Q,12,FALSE),ServiceAreas.csv!B:I,8,FALSE),LocalAreas.csv!B:I,7,FALSE),200029)</f>
        <v>rg:None</v>
      </c>
      <c r="E146" s="8" t="str">
        <f t="shared" si="15"/>
        <v>rg:{'id':'rg:None'}</v>
      </c>
      <c r="F146" s="9" t="s">
        <v>7055</v>
      </c>
      <c r="G146" s="9" t="str">
        <f ca="1">INDEX(DistrictEquipmentTypes.csv!F:F,RANDBETWEEN(2,COUNTA(DistrictEquipmentTypes.csv!D:D)),1)</f>
        <v>200003</v>
      </c>
      <c r="H146" s="8" t="str">
        <f t="shared" ca="1" si="16"/>
        <v>rg:{ 'id': '200003'}</v>
      </c>
      <c r="I146" s="8">
        <f t="shared" ca="1" si="17"/>
        <v>1</v>
      </c>
      <c r="J146" s="8">
        <f t="shared" ca="1" si="18"/>
        <v>17</v>
      </c>
      <c r="K146" s="8" t="str">
        <f t="shared" ca="1" si="19"/>
        <v>2017-04-14</v>
      </c>
      <c r="L146" s="8" t="str">
        <f t="shared" ca="1" si="20"/>
        <v>2017-04-16</v>
      </c>
    </row>
    <row r="147" spans="1:12" x14ac:dyDescent="0.3">
      <c r="A147" s="8" t="s">
        <v>5668</v>
      </c>
      <c r="B147" s="8">
        <f t="shared" si="14"/>
        <v>600145</v>
      </c>
      <c r="C147" s="1" t="s">
        <v>7042</v>
      </c>
      <c r="D147" s="9" t="str">
        <f>IFERROR(VLOOKUP(VLOOKUP(VLOOKUP(C147,Project.csv!F:Q,12,FALSE),ServiceAreas.csv!B:I,8,FALSE),LocalAreas.csv!B:I,7,FALSE),200029)</f>
        <v>rg:None</v>
      </c>
      <c r="E147" s="8" t="str">
        <f t="shared" si="15"/>
        <v>rg:{'id':'rg:None'}</v>
      </c>
      <c r="F147" s="9" t="s">
        <v>7055</v>
      </c>
      <c r="G147" s="9" t="str">
        <f ca="1">INDEX(DistrictEquipmentTypes.csv!F:F,RANDBETWEEN(2,COUNTA(DistrictEquipmentTypes.csv!D:D)),1)</f>
        <v>200000</v>
      </c>
      <c r="H147" s="8" t="str">
        <f t="shared" ca="1" si="16"/>
        <v>rg:{ 'id': '200000'}</v>
      </c>
      <c r="I147" s="8">
        <f t="shared" ca="1" si="17"/>
        <v>1</v>
      </c>
      <c r="J147" s="8">
        <f t="shared" ca="1" si="18"/>
        <v>59</v>
      </c>
      <c r="K147" s="8" t="str">
        <f t="shared" ca="1" si="19"/>
        <v>2017-04-29</v>
      </c>
      <c r="L147" s="8" t="str">
        <f t="shared" ca="1" si="20"/>
        <v>2017-05-06</v>
      </c>
    </row>
    <row r="148" spans="1:12" x14ac:dyDescent="0.3">
      <c r="A148" s="8" t="s">
        <v>5668</v>
      </c>
      <c r="B148" s="8">
        <f t="shared" si="14"/>
        <v>600146</v>
      </c>
      <c r="C148" s="1" t="s">
        <v>7043</v>
      </c>
      <c r="D148" s="9" t="str">
        <f>IFERROR(VLOOKUP(VLOOKUP(VLOOKUP(C148,Project.csv!F:Q,12,FALSE),ServiceAreas.csv!B:I,8,FALSE),LocalAreas.csv!B:I,7,FALSE),200029)</f>
        <v>rg:None</v>
      </c>
      <c r="E148" s="8" t="str">
        <f t="shared" si="15"/>
        <v>rg:{'id':'rg:None'}</v>
      </c>
      <c r="F148" s="9" t="s">
        <v>7054</v>
      </c>
      <c r="G148" s="9" t="str">
        <f ca="1">INDEX(DistrictEquipmentTypes.csv!F:F,RANDBETWEEN(2,COUNTA(DistrictEquipmentTypes.csv!D:D)),1)</f>
        <v>200006</v>
      </c>
      <c r="H148" s="8" t="str">
        <f t="shared" ca="1" si="16"/>
        <v>rg:{ 'id': '200006'}</v>
      </c>
      <c r="I148" s="8">
        <f t="shared" ca="1" si="17"/>
        <v>1</v>
      </c>
      <c r="J148" s="8">
        <f t="shared" ca="1" si="18"/>
        <v>49</v>
      </c>
      <c r="K148" s="8" t="str">
        <f t="shared" ca="1" si="19"/>
        <v>2017-04-04</v>
      </c>
      <c r="L148" s="8" t="str">
        <f t="shared" ca="1" si="20"/>
        <v>2017-04-10</v>
      </c>
    </row>
    <row r="149" spans="1:12" x14ac:dyDescent="0.3">
      <c r="A149" s="8" t="s">
        <v>5668</v>
      </c>
      <c r="B149" s="8">
        <f t="shared" si="14"/>
        <v>600147</v>
      </c>
      <c r="C149" s="1" t="s">
        <v>6914</v>
      </c>
      <c r="D149" s="9" t="str">
        <f>IFERROR(VLOOKUP(VLOOKUP(VLOOKUP(C149,Project.csv!F:Q,12,FALSE),ServiceAreas.csv!B:I,8,FALSE),LocalAreas.csv!B:I,7,FALSE),200029)</f>
        <v>rg:None</v>
      </c>
      <c r="E149" s="8" t="str">
        <f t="shared" si="15"/>
        <v>rg:{'id':'rg:None'}</v>
      </c>
      <c r="F149" s="9" t="s">
        <v>7055</v>
      </c>
      <c r="G149" s="9" t="str">
        <f ca="1">INDEX(DistrictEquipmentTypes.csv!F:F,RANDBETWEEN(2,COUNTA(DistrictEquipmentTypes.csv!D:D)),1)</f>
        <v>200002</v>
      </c>
      <c r="H149" s="8" t="str">
        <f t="shared" ca="1" si="16"/>
        <v>rg:{ 'id': '200002'}</v>
      </c>
      <c r="I149" s="8">
        <f t="shared" ca="1" si="17"/>
        <v>5</v>
      </c>
      <c r="J149" s="8">
        <f t="shared" ca="1" si="18"/>
        <v>90</v>
      </c>
      <c r="K149" s="8" t="str">
        <f t="shared" ca="1" si="19"/>
        <v>2017-05-19</v>
      </c>
      <c r="L149" s="8" t="str">
        <f t="shared" ca="1" si="20"/>
        <v>2017-07-14</v>
      </c>
    </row>
    <row r="150" spans="1:12" x14ac:dyDescent="0.3">
      <c r="A150" s="8" t="s">
        <v>5668</v>
      </c>
      <c r="B150" s="8">
        <f t="shared" si="14"/>
        <v>600148</v>
      </c>
      <c r="C150" s="1" t="s">
        <v>7044</v>
      </c>
      <c r="D150" s="9" t="str">
        <f>IFERROR(VLOOKUP(VLOOKUP(VLOOKUP(C150,Project.csv!F:Q,12,FALSE),ServiceAreas.csv!B:I,8,FALSE),LocalAreas.csv!B:I,7,FALSE),200029)</f>
        <v>rg:None</v>
      </c>
      <c r="E150" s="8" t="str">
        <f t="shared" si="15"/>
        <v>rg:{'id':'rg:None'}</v>
      </c>
      <c r="F150" s="9" t="s">
        <v>7055</v>
      </c>
      <c r="G150" s="9" t="str">
        <f ca="1">INDEX(DistrictEquipmentTypes.csv!F:F,RANDBETWEEN(2,COUNTA(DistrictEquipmentTypes.csv!D:D)),1)</f>
        <v>200001</v>
      </c>
      <c r="H150" s="8" t="str">
        <f t="shared" ca="1" si="16"/>
        <v>rg:{ 'id': '200001'}</v>
      </c>
      <c r="I150" s="8">
        <f t="shared" ca="1" si="17"/>
        <v>1</v>
      </c>
      <c r="J150" s="8">
        <f t="shared" ca="1" si="18"/>
        <v>18</v>
      </c>
      <c r="K150" s="8" t="str">
        <f t="shared" ca="1" si="19"/>
        <v>2017-04-06</v>
      </c>
      <c r="L150" s="8" t="str">
        <f t="shared" ca="1" si="20"/>
        <v>2017-04-08</v>
      </c>
    </row>
    <row r="151" spans="1:12" x14ac:dyDescent="0.3">
      <c r="A151" s="8" t="s">
        <v>5668</v>
      </c>
      <c r="B151" s="8">
        <f t="shared" si="14"/>
        <v>600149</v>
      </c>
      <c r="C151" s="1" t="s">
        <v>6899</v>
      </c>
      <c r="D151" s="9" t="str">
        <f>IFERROR(VLOOKUP(VLOOKUP(VLOOKUP(C151,Project.csv!F:Q,12,FALSE),ServiceAreas.csv!B:I,8,FALSE),LocalAreas.csv!B:I,7,FALSE),200029)</f>
        <v>rg:None</v>
      </c>
      <c r="E151" s="8" t="str">
        <f t="shared" si="15"/>
        <v>rg:{'id':'rg:None'}</v>
      </c>
      <c r="F151" s="9" t="s">
        <v>7054</v>
      </c>
      <c r="G151" s="9" t="str">
        <f ca="1">INDEX(DistrictEquipmentTypes.csv!F:F,RANDBETWEEN(2,COUNTA(DistrictEquipmentTypes.csv!D:D)),1)</f>
        <v>200005</v>
      </c>
      <c r="H151" s="8" t="str">
        <f t="shared" ca="1" si="16"/>
        <v>rg:{ 'id': '200005'}</v>
      </c>
      <c r="I151" s="8">
        <f t="shared" ca="1" si="17"/>
        <v>1</v>
      </c>
      <c r="J151" s="8">
        <f t="shared" ca="1" si="18"/>
        <v>72</v>
      </c>
      <c r="K151" s="8" t="str">
        <f t="shared" ca="1" si="19"/>
        <v>2017-05-07</v>
      </c>
      <c r="L151" s="8" t="str">
        <f t="shared" ca="1" si="20"/>
        <v>2017-05-16</v>
      </c>
    </row>
    <row r="152" spans="1:12" x14ac:dyDescent="0.3">
      <c r="A152" s="8" t="s">
        <v>5668</v>
      </c>
      <c r="B152" s="8">
        <f t="shared" si="14"/>
        <v>600150</v>
      </c>
      <c r="C152" s="1" t="s">
        <v>6917</v>
      </c>
      <c r="D152" s="9" t="str">
        <f>IFERROR(VLOOKUP(VLOOKUP(VLOOKUP(C152,Project.csv!F:Q,12,FALSE),ServiceAreas.csv!B:I,8,FALSE),LocalAreas.csv!B:I,7,FALSE),200029)</f>
        <v>rg:None</v>
      </c>
      <c r="E152" s="8" t="str">
        <f t="shared" si="15"/>
        <v>rg:{'id':'rg:None'}</v>
      </c>
      <c r="F152" s="9" t="s">
        <v>7054</v>
      </c>
      <c r="G152" s="9" t="str">
        <f ca="1">INDEX(DistrictEquipmentTypes.csv!F:F,RANDBETWEEN(2,COUNTA(DistrictEquipmentTypes.csv!D:D)),1)</f>
        <v>200007</v>
      </c>
      <c r="H152" s="8" t="str">
        <f t="shared" ca="1" si="16"/>
        <v>rg:{ 'id': '200007'}</v>
      </c>
      <c r="I152" s="8">
        <f t="shared" ca="1" si="17"/>
        <v>1</v>
      </c>
      <c r="J152" s="8">
        <f t="shared" ca="1" si="18"/>
        <v>69</v>
      </c>
      <c r="K152" s="8" t="str">
        <f t="shared" ca="1" si="19"/>
        <v>2017-05-22</v>
      </c>
      <c r="L152" s="8" t="str">
        <f t="shared" ca="1" si="20"/>
        <v>2017-05-30</v>
      </c>
    </row>
    <row r="153" spans="1:12" x14ac:dyDescent="0.3">
      <c r="A153" s="8" t="s">
        <v>5668</v>
      </c>
      <c r="B153" s="8">
        <f t="shared" si="14"/>
        <v>600151</v>
      </c>
      <c r="C153" s="1" t="s">
        <v>7045</v>
      </c>
      <c r="D153" s="9" t="str">
        <f>IFERROR(VLOOKUP(VLOOKUP(VLOOKUP(C153,Project.csv!F:Q,12,FALSE),ServiceAreas.csv!B:I,8,FALSE),LocalAreas.csv!B:I,7,FALSE),200029)</f>
        <v>rg:None</v>
      </c>
      <c r="E153" s="8" t="str">
        <f t="shared" si="15"/>
        <v>rg:{'id':'rg:None'}</v>
      </c>
      <c r="F153" s="9" t="s">
        <v>7054</v>
      </c>
      <c r="G153" s="9" t="str">
        <f ca="1">INDEX(DistrictEquipmentTypes.csv!F:F,RANDBETWEEN(2,COUNTA(DistrictEquipmentTypes.csv!D:D)),1)</f>
        <v>200000</v>
      </c>
      <c r="H153" s="8" t="str">
        <f t="shared" ca="1" si="16"/>
        <v>rg:{ 'id': '200000'}</v>
      </c>
      <c r="I153" s="8">
        <f t="shared" ca="1" si="17"/>
        <v>1</v>
      </c>
      <c r="J153" s="8">
        <f t="shared" ca="1" si="18"/>
        <v>30</v>
      </c>
      <c r="K153" s="8" t="str">
        <f t="shared" ca="1" si="19"/>
        <v>2017-05-01</v>
      </c>
      <c r="L153" s="8" t="str">
        <f t="shared" ca="1" si="20"/>
        <v>2017-05-04</v>
      </c>
    </row>
    <row r="154" spans="1:12" x14ac:dyDescent="0.3">
      <c r="A154" s="8" t="s">
        <v>5668</v>
      </c>
      <c r="B154" s="8">
        <f t="shared" si="14"/>
        <v>600152</v>
      </c>
      <c r="C154" s="1" t="s">
        <v>7046</v>
      </c>
      <c r="D154" s="9" t="str">
        <f>IFERROR(VLOOKUP(VLOOKUP(VLOOKUP(C154,Project.csv!F:Q,12,FALSE),ServiceAreas.csv!B:I,8,FALSE),LocalAreas.csv!B:I,7,FALSE),200029)</f>
        <v>rg:None</v>
      </c>
      <c r="E154" s="8" t="str">
        <f t="shared" si="15"/>
        <v>rg:{'id':'rg:None'}</v>
      </c>
      <c r="F154" s="9" t="s">
        <v>7054</v>
      </c>
      <c r="G154" s="9" t="str">
        <f ca="1">INDEX(DistrictEquipmentTypes.csv!F:F,RANDBETWEEN(2,COUNTA(DistrictEquipmentTypes.csv!D:D)),1)</f>
        <v>200000</v>
      </c>
      <c r="H154" s="8" t="str">
        <f t="shared" ca="1" si="16"/>
        <v>rg:{ 'id': '200000'}</v>
      </c>
      <c r="I154" s="8">
        <f t="shared" ca="1" si="17"/>
        <v>3</v>
      </c>
      <c r="J154" s="8">
        <f t="shared" ca="1" si="18"/>
        <v>49</v>
      </c>
      <c r="K154" s="8" t="str">
        <f t="shared" ca="1" si="19"/>
        <v>2017-05-14</v>
      </c>
      <c r="L154" s="8" t="str">
        <f t="shared" ca="1" si="20"/>
        <v>2017-06-01</v>
      </c>
    </row>
    <row r="155" spans="1:12" x14ac:dyDescent="0.3">
      <c r="A155" s="8" t="s">
        <v>5668</v>
      </c>
      <c r="B155" s="8">
        <f t="shared" si="14"/>
        <v>600153</v>
      </c>
      <c r="C155" s="1" t="s">
        <v>7047</v>
      </c>
      <c r="D155" s="9" t="str">
        <f>IFERROR(VLOOKUP(VLOOKUP(VLOOKUP(C155,Project.csv!F:Q,12,FALSE),ServiceAreas.csv!B:I,8,FALSE),LocalAreas.csv!B:I,7,FALSE),200029)</f>
        <v>rg:None</v>
      </c>
      <c r="E155" s="8" t="str">
        <f t="shared" si="15"/>
        <v>rg:{'id':'rg:None'}</v>
      </c>
      <c r="F155" s="9" t="s">
        <v>7054</v>
      </c>
      <c r="G155" s="9" t="str">
        <f ca="1">INDEX(DistrictEquipmentTypes.csv!F:F,RANDBETWEEN(2,COUNTA(DistrictEquipmentTypes.csv!D:D)),1)</f>
        <v>200003</v>
      </c>
      <c r="H155" s="8" t="str">
        <f t="shared" ca="1" si="16"/>
        <v>rg:{ 'id': '200003'}</v>
      </c>
      <c r="I155" s="8">
        <f t="shared" ca="1" si="17"/>
        <v>1</v>
      </c>
      <c r="J155" s="8">
        <f t="shared" ca="1" si="18"/>
        <v>20</v>
      </c>
      <c r="K155" s="8" t="str">
        <f t="shared" ca="1" si="19"/>
        <v>2017-04-17</v>
      </c>
      <c r="L155" s="8" t="str">
        <f t="shared" ca="1" si="20"/>
        <v>2017-04-19</v>
      </c>
    </row>
    <row r="156" spans="1:12" x14ac:dyDescent="0.3">
      <c r="A156" s="8" t="s">
        <v>5668</v>
      </c>
      <c r="B156" s="8">
        <f t="shared" si="14"/>
        <v>600154</v>
      </c>
      <c r="C156" s="1" t="s">
        <v>7048</v>
      </c>
      <c r="D156" s="9">
        <f>IFERROR(VLOOKUP(VLOOKUP(VLOOKUP(C156,Project.csv!F:Q,12,FALSE),ServiceAreas.csv!B:I,8,FALSE),LocalAreas.csv!B:I,7,FALSE),200029)</f>
        <v>200029</v>
      </c>
      <c r="E156" s="8" t="str">
        <f t="shared" si="15"/>
        <v>rg:{'id':'200029'}</v>
      </c>
      <c r="F156" s="9" t="s">
        <v>7054</v>
      </c>
      <c r="G156" s="9" t="str">
        <f ca="1">INDEX(DistrictEquipmentTypes.csv!F:F,RANDBETWEEN(2,COUNTA(DistrictEquipmentTypes.csv!D:D)),1)</f>
        <v>200001</v>
      </c>
      <c r="H156" s="8" t="str">
        <f t="shared" ca="1" si="16"/>
        <v>rg:{ 'id': '200001'}</v>
      </c>
      <c r="I156" s="8">
        <f t="shared" ca="1" si="17"/>
        <v>1</v>
      </c>
      <c r="J156" s="8">
        <f t="shared" ca="1" si="18"/>
        <v>79</v>
      </c>
      <c r="K156" s="8" t="str">
        <f t="shared" ca="1" si="19"/>
        <v>2017-04-14</v>
      </c>
      <c r="L156" s="8" t="str">
        <f t="shared" ca="1" si="20"/>
        <v>2017-04-23</v>
      </c>
    </row>
    <row r="157" spans="1:12" x14ac:dyDescent="0.3">
      <c r="A157" s="8" t="s">
        <v>5668</v>
      </c>
      <c r="B157" s="8">
        <f t="shared" si="14"/>
        <v>600155</v>
      </c>
      <c r="C157" s="1" t="s">
        <v>7049</v>
      </c>
      <c r="D157" s="9">
        <f>IFERROR(VLOOKUP(VLOOKUP(VLOOKUP(C157,Project.csv!F:Q,12,FALSE),ServiceAreas.csv!B:I,8,FALSE),LocalAreas.csv!B:I,7,FALSE),200029)</f>
        <v>200029</v>
      </c>
      <c r="E157" s="8" t="str">
        <f t="shared" si="15"/>
        <v>rg:{'id':'200029'}</v>
      </c>
      <c r="F157" s="9" t="s">
        <v>7054</v>
      </c>
      <c r="G157" s="9" t="str">
        <f ca="1">INDEX(DistrictEquipmentTypes.csv!F:F,RANDBETWEEN(2,COUNTA(DistrictEquipmentTypes.csv!D:D)),1)</f>
        <v>200006</v>
      </c>
      <c r="H157" s="8" t="str">
        <f t="shared" ca="1" si="16"/>
        <v>rg:{ 'id': '200006'}</v>
      </c>
      <c r="I157" s="8">
        <f t="shared" ca="1" si="17"/>
        <v>1</v>
      </c>
      <c r="J157" s="8">
        <f t="shared" ca="1" si="18"/>
        <v>71</v>
      </c>
      <c r="K157" s="8" t="str">
        <f t="shared" ca="1" si="19"/>
        <v>2017-04-02</v>
      </c>
      <c r="L157" s="8" t="str">
        <f t="shared" ca="1" si="20"/>
        <v>2017-04-10</v>
      </c>
    </row>
    <row r="158" spans="1:12" x14ac:dyDescent="0.3">
      <c r="A158" s="8" t="s">
        <v>5668</v>
      </c>
      <c r="B158" s="8">
        <f t="shared" si="14"/>
        <v>600156</v>
      </c>
      <c r="C158" s="1" t="s">
        <v>7050</v>
      </c>
      <c r="D158" s="9">
        <f>IFERROR(VLOOKUP(VLOOKUP(VLOOKUP(C158,Project.csv!F:Q,12,FALSE),ServiceAreas.csv!B:I,8,FALSE),LocalAreas.csv!B:I,7,FALSE),200029)</f>
        <v>200029</v>
      </c>
      <c r="E158" s="8" t="str">
        <f t="shared" si="15"/>
        <v>rg:{'id':'200029'}</v>
      </c>
      <c r="F158" s="9" t="s">
        <v>7054</v>
      </c>
      <c r="G158" s="9" t="str">
        <f ca="1">INDEX(DistrictEquipmentTypes.csv!F:F,RANDBETWEEN(2,COUNTA(DistrictEquipmentTypes.csv!D:D)),1)</f>
        <v>200004</v>
      </c>
      <c r="H158" s="8" t="str">
        <f t="shared" ca="1" si="16"/>
        <v>rg:{ 'id': '200004'}</v>
      </c>
      <c r="I158" s="8">
        <f t="shared" ca="1" si="17"/>
        <v>1</v>
      </c>
      <c r="J158" s="8">
        <f t="shared" ca="1" si="18"/>
        <v>72</v>
      </c>
      <c r="K158" s="8" t="str">
        <f t="shared" ca="1" si="19"/>
        <v>2017-04-09</v>
      </c>
      <c r="L158" s="8" t="str">
        <f t="shared" ca="1" si="20"/>
        <v>2017-04-18</v>
      </c>
    </row>
    <row r="159" spans="1:12" x14ac:dyDescent="0.3">
      <c r="A159" s="8" t="s">
        <v>5668</v>
      </c>
      <c r="B159" s="8">
        <f t="shared" si="14"/>
        <v>600157</v>
      </c>
      <c r="C159" s="1" t="s">
        <v>7051</v>
      </c>
      <c r="D159" s="9">
        <f>IFERROR(VLOOKUP(VLOOKUP(VLOOKUP(C159,Project.csv!F:Q,12,FALSE),ServiceAreas.csv!B:I,8,FALSE),LocalAreas.csv!B:I,7,FALSE),200029)</f>
        <v>200029</v>
      </c>
      <c r="E159" s="8" t="str">
        <f t="shared" si="15"/>
        <v>rg:{'id':'200029'}</v>
      </c>
      <c r="F159" s="9" t="s">
        <v>7055</v>
      </c>
      <c r="G159" s="9" t="str">
        <f ca="1">INDEX(DistrictEquipmentTypes.csv!F:F,RANDBETWEEN(2,COUNTA(DistrictEquipmentTypes.csv!D:D)),1)</f>
        <v>200001</v>
      </c>
      <c r="H159" s="8" t="str">
        <f t="shared" ca="1" si="16"/>
        <v>rg:{ 'id': '200001'}</v>
      </c>
      <c r="I159" s="8">
        <f t="shared" ca="1" si="17"/>
        <v>5</v>
      </c>
      <c r="J159" s="8">
        <f t="shared" ca="1" si="18"/>
        <v>46</v>
      </c>
      <c r="K159" s="8" t="str">
        <f t="shared" ca="1" si="19"/>
        <v>2017-05-03</v>
      </c>
      <c r="L159" s="8" t="str">
        <f t="shared" ca="1" si="20"/>
        <v>2017-05-31</v>
      </c>
    </row>
    <row r="160" spans="1:12" x14ac:dyDescent="0.3">
      <c r="A160" s="8" t="s">
        <v>5668</v>
      </c>
      <c r="B160" s="8">
        <f t="shared" si="14"/>
        <v>600158</v>
      </c>
      <c r="C160" s="1" t="s">
        <v>7052</v>
      </c>
      <c r="D160" s="9">
        <f>IFERROR(VLOOKUP(VLOOKUP(VLOOKUP(C160,Project.csv!F:Q,12,FALSE),ServiceAreas.csv!B:I,8,FALSE),LocalAreas.csv!B:I,7,FALSE),200029)</f>
        <v>200029</v>
      </c>
      <c r="E160" s="8" t="str">
        <f t="shared" si="15"/>
        <v>rg:{'id':'200029'}</v>
      </c>
      <c r="F160" s="9" t="s">
        <v>7054</v>
      </c>
      <c r="G160" s="9" t="str">
        <f ca="1">INDEX(DistrictEquipmentTypes.csv!F:F,RANDBETWEEN(2,COUNTA(DistrictEquipmentTypes.csv!D:D)),1)</f>
        <v>200004</v>
      </c>
      <c r="H160" s="8" t="str">
        <f t="shared" ca="1" si="16"/>
        <v>rg:{ 'id': '200004'}</v>
      </c>
      <c r="I160" s="8">
        <f t="shared" ca="1" si="17"/>
        <v>1</v>
      </c>
      <c r="J160" s="8">
        <f t="shared" ca="1" si="18"/>
        <v>8</v>
      </c>
      <c r="K160" s="8" t="str">
        <f t="shared" ca="1" si="19"/>
        <v>2017-05-07</v>
      </c>
      <c r="L160" s="8" t="str">
        <f t="shared" ca="1" si="20"/>
        <v>2017-05-08</v>
      </c>
    </row>
    <row r="161" spans="1:12" x14ac:dyDescent="0.3">
      <c r="A161" s="8" t="s">
        <v>5668</v>
      </c>
      <c r="B161" s="8">
        <f t="shared" si="14"/>
        <v>600159</v>
      </c>
      <c r="C161" s="1" t="s">
        <v>6927</v>
      </c>
      <c r="D161" s="9">
        <f>IFERROR(VLOOKUP(VLOOKUP(VLOOKUP(C161,Project.csv!F:Q,12,FALSE),ServiceAreas.csv!B:I,8,FALSE),LocalAreas.csv!B:I,7,FALSE),200029)</f>
        <v>200029</v>
      </c>
      <c r="E161" s="8" t="str">
        <f t="shared" si="15"/>
        <v>rg:{'id':'200029'}</v>
      </c>
      <c r="F161" s="9" t="s">
        <v>7054</v>
      </c>
      <c r="G161" s="9" t="str">
        <f ca="1">INDEX(DistrictEquipmentTypes.csv!F:F,RANDBETWEEN(2,COUNTA(DistrictEquipmentTypes.csv!D:D)),1)</f>
        <v>200006</v>
      </c>
      <c r="H161" s="8" t="str">
        <f t="shared" ca="1" si="16"/>
        <v>rg:{ 'id': '200006'}</v>
      </c>
      <c r="I161" s="8">
        <f t="shared" ca="1" si="17"/>
        <v>4</v>
      </c>
      <c r="J161" s="8">
        <f t="shared" ca="1" si="18"/>
        <v>97</v>
      </c>
      <c r="K161" s="8" t="str">
        <f t="shared" ca="1" si="19"/>
        <v>2017-05-17</v>
      </c>
      <c r="L161" s="8" t="str">
        <f t="shared" ca="1" si="20"/>
        <v>2017-07-04</v>
      </c>
    </row>
    <row r="162" spans="1:12" x14ac:dyDescent="0.3">
      <c r="A162" s="8" t="s">
        <v>5668</v>
      </c>
      <c r="B162" s="8">
        <f t="shared" si="14"/>
        <v>600160</v>
      </c>
      <c r="C162" s="1" t="s">
        <v>7053</v>
      </c>
      <c r="D162" s="9">
        <f>IFERROR(VLOOKUP(VLOOKUP(VLOOKUP(C162,Project.csv!F:Q,12,FALSE),ServiceAreas.csv!B:I,8,FALSE),LocalAreas.csv!B:I,7,FALSE),200029)</f>
        <v>200029</v>
      </c>
      <c r="E162" s="8" t="str">
        <f t="shared" si="15"/>
        <v>rg:{'id':'200029'}</v>
      </c>
      <c r="F162" s="9" t="s">
        <v>7054</v>
      </c>
      <c r="G162" s="9" t="str">
        <f ca="1">INDEX(DistrictEquipmentTypes.csv!F:F,RANDBETWEEN(2,COUNTA(DistrictEquipmentTypes.csv!D:D)),1)</f>
        <v>200006</v>
      </c>
      <c r="H162" s="8" t="str">
        <f t="shared" ca="1" si="16"/>
        <v>rg:{ 'id': '200006'}</v>
      </c>
      <c r="I162" s="8">
        <f t="shared" ca="1" si="17"/>
        <v>1</v>
      </c>
      <c r="J162" s="8">
        <f t="shared" ca="1" si="18"/>
        <v>78</v>
      </c>
      <c r="K162" s="8" t="str">
        <f t="shared" ca="1" si="19"/>
        <v>2017-05-12</v>
      </c>
      <c r="L162" s="8" t="str">
        <f t="shared" ca="1" si="20"/>
        <v>2017-05-21</v>
      </c>
    </row>
    <row r="163" spans="1:12" x14ac:dyDescent="0.3">
      <c r="A163" s="8" t="s">
        <v>5668</v>
      </c>
      <c r="B163" s="8">
        <f t="shared" si="14"/>
        <v>600161</v>
      </c>
      <c r="C163" s="1" t="s">
        <v>6891</v>
      </c>
      <c r="D163" s="9">
        <f>IFERROR(VLOOKUP(VLOOKUP(VLOOKUP(C163,Project.csv!F:Q,12,FALSE),ServiceAreas.csv!B:I,8,FALSE),LocalAreas.csv!B:I,7,FALSE),200029)</f>
        <v>200029</v>
      </c>
      <c r="E163" s="8" t="str">
        <f t="shared" si="15"/>
        <v>rg:{'id':'200029'}</v>
      </c>
      <c r="F163" s="9" t="s">
        <v>7055</v>
      </c>
      <c r="G163" s="9" t="str">
        <f ca="1">INDEX(DistrictEquipmentTypes.csv!F:F,RANDBETWEEN(2,COUNTA(DistrictEquipmentTypes.csv!D:D)),1)</f>
        <v>200005</v>
      </c>
      <c r="H163" s="8" t="str">
        <f t="shared" ca="1" si="16"/>
        <v>rg:{ 'id': '200005'}</v>
      </c>
      <c r="I163" s="8">
        <f t="shared" ca="1" si="17"/>
        <v>1</v>
      </c>
      <c r="J163" s="8">
        <f t="shared" ca="1" si="18"/>
        <v>32</v>
      </c>
      <c r="K163" s="8" t="str">
        <f t="shared" ca="1" si="19"/>
        <v>2017-05-25</v>
      </c>
      <c r="L163" s="8" t="str">
        <f t="shared" ca="1" si="20"/>
        <v>2017-05-29</v>
      </c>
    </row>
    <row r="164" spans="1:12" x14ac:dyDescent="0.3">
      <c r="A164" s="8" t="s">
        <v>5668</v>
      </c>
      <c r="B164" s="8">
        <f t="shared" si="14"/>
        <v>600162</v>
      </c>
      <c r="C164" s="1" t="s">
        <v>6936</v>
      </c>
      <c r="D164" s="9" t="str">
        <f>IFERROR(VLOOKUP(VLOOKUP(VLOOKUP(C164,Project.csv!F:Q,12,FALSE),ServiceAreas.csv!B:I,8,FALSE),LocalAreas.csv!B:I,7,FALSE),200029)</f>
        <v>rg:None</v>
      </c>
      <c r="E164" s="8" t="str">
        <f t="shared" si="15"/>
        <v>rg:{'id':'rg:None'}</v>
      </c>
      <c r="F164" s="9" t="s">
        <v>7054</v>
      </c>
      <c r="G164" s="9" t="str">
        <f ca="1">INDEX(DistrictEquipmentTypes.csv!F:F,RANDBETWEEN(2,COUNTA(DistrictEquipmentTypes.csv!D:D)),1)</f>
        <v>200003</v>
      </c>
      <c r="H164" s="8" t="str">
        <f t="shared" ca="1" si="16"/>
        <v>rg:{ 'id': '200003'}</v>
      </c>
      <c r="I164" s="8">
        <f t="shared" ca="1" si="17"/>
        <v>1</v>
      </c>
      <c r="J164" s="8">
        <f t="shared" ca="1" si="18"/>
        <v>69</v>
      </c>
      <c r="K164" s="8" t="str">
        <f t="shared" ca="1" si="19"/>
        <v>2017-04-01</v>
      </c>
      <c r="L164" s="8" t="str">
        <f t="shared" ca="1" si="20"/>
        <v>2017-04-09</v>
      </c>
    </row>
    <row r="165" spans="1:12" x14ac:dyDescent="0.3">
      <c r="A165" s="8" t="s">
        <v>5668</v>
      </c>
      <c r="B165" s="8">
        <f t="shared" si="14"/>
        <v>600163</v>
      </c>
      <c r="C165" s="1" t="s">
        <v>6931</v>
      </c>
      <c r="D165" s="9" t="str">
        <f>IFERROR(VLOOKUP(VLOOKUP(VLOOKUP(C165,Project.csv!F:Q,12,FALSE),ServiceAreas.csv!B:I,8,FALSE),LocalAreas.csv!B:I,7,FALSE),200029)</f>
        <v>rg:None</v>
      </c>
      <c r="E165" s="8" t="str">
        <f t="shared" si="15"/>
        <v>rg:{'id':'rg:None'}</v>
      </c>
      <c r="F165" s="9" t="s">
        <v>7054</v>
      </c>
      <c r="G165" s="9" t="str">
        <f ca="1">INDEX(DistrictEquipmentTypes.csv!F:F,RANDBETWEEN(2,COUNTA(DistrictEquipmentTypes.csv!D:D)),1)</f>
        <v>200006</v>
      </c>
      <c r="H165" s="8" t="str">
        <f t="shared" ca="1" si="16"/>
        <v>rg:{ 'id': '200006'}</v>
      </c>
      <c r="I165" s="8">
        <f t="shared" ca="1" si="17"/>
        <v>1</v>
      </c>
      <c r="J165" s="8">
        <f t="shared" ca="1" si="18"/>
        <v>37</v>
      </c>
      <c r="K165" s="8" t="str">
        <f t="shared" ca="1" si="19"/>
        <v>2017-04-30</v>
      </c>
      <c r="L165" s="8" t="str">
        <f t="shared" ca="1" si="20"/>
        <v>2017-05-04</v>
      </c>
    </row>
    <row r="166" spans="1:12" x14ac:dyDescent="0.3">
      <c r="A166" s="8" t="s">
        <v>5668</v>
      </c>
      <c r="B166" s="8">
        <f t="shared" si="14"/>
        <v>600164</v>
      </c>
      <c r="C166" s="1" t="s">
        <v>6937</v>
      </c>
      <c r="D166" s="9" t="str">
        <f>IFERROR(VLOOKUP(VLOOKUP(VLOOKUP(C166,Project.csv!F:Q,12,FALSE),ServiceAreas.csv!B:I,8,FALSE),LocalAreas.csv!B:I,7,FALSE),200029)</f>
        <v>rg:None</v>
      </c>
      <c r="E166" s="8" t="str">
        <f t="shared" si="15"/>
        <v>rg:{'id':'rg:None'}</v>
      </c>
      <c r="F166" s="9" t="s">
        <v>7055</v>
      </c>
      <c r="G166" s="9" t="str">
        <f ca="1">INDEX(DistrictEquipmentTypes.csv!F:F,RANDBETWEEN(2,COUNTA(DistrictEquipmentTypes.csv!D:D)),1)</f>
        <v>200005</v>
      </c>
      <c r="H166" s="8" t="str">
        <f t="shared" ca="1" si="16"/>
        <v>rg:{ 'id': '200005'}</v>
      </c>
      <c r="I166" s="8">
        <f t="shared" ca="1" si="17"/>
        <v>5</v>
      </c>
      <c r="J166" s="8">
        <f t="shared" ca="1" si="18"/>
        <v>16</v>
      </c>
      <c r="K166" s="8" t="str">
        <f t="shared" ca="1" si="19"/>
        <v>2017-05-07</v>
      </c>
      <c r="L166" s="8" t="str">
        <f t="shared" ca="1" si="20"/>
        <v>2017-05-17</v>
      </c>
    </row>
    <row r="167" spans="1:12" x14ac:dyDescent="0.3">
      <c r="A167" s="8" t="s">
        <v>5668</v>
      </c>
      <c r="B167" s="8">
        <f t="shared" si="14"/>
        <v>600165</v>
      </c>
      <c r="C167" s="1" t="s">
        <v>6938</v>
      </c>
      <c r="D167" s="9" t="str">
        <f>IFERROR(VLOOKUP(VLOOKUP(VLOOKUP(C167,Project.csv!F:Q,12,FALSE),ServiceAreas.csv!B:I,8,FALSE),LocalAreas.csv!B:I,7,FALSE),200029)</f>
        <v>rg:None</v>
      </c>
      <c r="E167" s="8" t="str">
        <f t="shared" si="15"/>
        <v>rg:{'id':'rg:None'}</v>
      </c>
      <c r="F167" s="9" t="s">
        <v>7054</v>
      </c>
      <c r="G167" s="9" t="str">
        <f ca="1">INDEX(DistrictEquipmentTypes.csv!F:F,RANDBETWEEN(2,COUNTA(DistrictEquipmentTypes.csv!D:D)),1)</f>
        <v>200006</v>
      </c>
      <c r="H167" s="8" t="str">
        <f t="shared" ca="1" si="16"/>
        <v>rg:{ 'id': '200006'}</v>
      </c>
      <c r="I167" s="8">
        <f t="shared" ca="1" si="17"/>
        <v>1</v>
      </c>
      <c r="J167" s="8">
        <f t="shared" ca="1" si="18"/>
        <v>85</v>
      </c>
      <c r="K167" s="8" t="str">
        <f t="shared" ca="1" si="19"/>
        <v>2017-05-21</v>
      </c>
      <c r="L167" s="8" t="str">
        <f t="shared" ca="1" si="20"/>
        <v>2017-05-31</v>
      </c>
    </row>
    <row r="168" spans="1:12" x14ac:dyDescent="0.3">
      <c r="A168" s="8" t="s">
        <v>5668</v>
      </c>
      <c r="B168" s="8">
        <f t="shared" si="14"/>
        <v>600166</v>
      </c>
      <c r="C168" s="1" t="s">
        <v>6939</v>
      </c>
      <c r="D168" s="9" t="str">
        <f>IFERROR(VLOOKUP(VLOOKUP(VLOOKUP(C168,Project.csv!F:Q,12,FALSE),ServiceAreas.csv!B:I,8,FALSE),LocalAreas.csv!B:I,7,FALSE),200029)</f>
        <v>rg:None</v>
      </c>
      <c r="E168" s="8" t="str">
        <f t="shared" si="15"/>
        <v>rg:{'id':'rg:None'}</v>
      </c>
      <c r="F168" s="9" t="s">
        <v>7054</v>
      </c>
      <c r="G168" s="9" t="str">
        <f ca="1">INDEX(DistrictEquipmentTypes.csv!F:F,RANDBETWEEN(2,COUNTA(DistrictEquipmentTypes.csv!D:D)),1)</f>
        <v>200007</v>
      </c>
      <c r="H168" s="8" t="str">
        <f t="shared" ca="1" si="16"/>
        <v>rg:{ 'id': '200007'}</v>
      </c>
      <c r="I168" s="8">
        <f t="shared" ca="1" si="17"/>
        <v>1</v>
      </c>
      <c r="J168" s="8">
        <f t="shared" ca="1" si="18"/>
        <v>20</v>
      </c>
      <c r="K168" s="8" t="str">
        <f t="shared" ca="1" si="19"/>
        <v>2017-05-19</v>
      </c>
      <c r="L168" s="8" t="str">
        <f t="shared" ca="1" si="20"/>
        <v>2017-05-21</v>
      </c>
    </row>
    <row r="169" spans="1:12" x14ac:dyDescent="0.3">
      <c r="A169" s="8" t="s">
        <v>5668</v>
      </c>
      <c r="B169" s="8">
        <f t="shared" si="14"/>
        <v>600167</v>
      </c>
      <c r="C169" s="1" t="s">
        <v>6940</v>
      </c>
      <c r="D169" s="9" t="str">
        <f>IFERROR(VLOOKUP(VLOOKUP(VLOOKUP(C169,Project.csv!F:Q,12,FALSE),ServiceAreas.csv!B:I,8,FALSE),LocalAreas.csv!B:I,7,FALSE),200029)</f>
        <v>rg:None</v>
      </c>
      <c r="E169" s="8" t="str">
        <f t="shared" si="15"/>
        <v>rg:{'id':'rg:None'}</v>
      </c>
      <c r="F169" s="9" t="s">
        <v>7054</v>
      </c>
      <c r="G169" s="9" t="str">
        <f ca="1">INDEX(DistrictEquipmentTypes.csv!F:F,RANDBETWEEN(2,COUNTA(DistrictEquipmentTypes.csv!D:D)),1)</f>
        <v>200001</v>
      </c>
      <c r="H169" s="8" t="str">
        <f t="shared" ca="1" si="16"/>
        <v>rg:{ 'id': '200001'}</v>
      </c>
      <c r="I169" s="8">
        <f t="shared" ca="1" si="17"/>
        <v>1</v>
      </c>
      <c r="J169" s="8">
        <f t="shared" ca="1" si="18"/>
        <v>15</v>
      </c>
      <c r="K169" s="8" t="str">
        <f t="shared" ca="1" si="19"/>
        <v>2017-05-08</v>
      </c>
      <c r="L169" s="8" t="str">
        <f t="shared" ca="1" si="20"/>
        <v>2017-05-09</v>
      </c>
    </row>
    <row r="170" spans="1:12" x14ac:dyDescent="0.3">
      <c r="A170" s="8" t="s">
        <v>5668</v>
      </c>
      <c r="B170" s="8">
        <f t="shared" si="14"/>
        <v>600168</v>
      </c>
      <c r="C170" s="1" t="s">
        <v>6941</v>
      </c>
      <c r="D170" s="9" t="str">
        <f>IFERROR(VLOOKUP(VLOOKUP(VLOOKUP(C170,Project.csv!F:Q,12,FALSE),ServiceAreas.csv!B:I,8,FALSE),LocalAreas.csv!B:I,7,FALSE),200029)</f>
        <v>rg:None</v>
      </c>
      <c r="E170" s="8" t="str">
        <f t="shared" si="15"/>
        <v>rg:{'id':'rg:None'}</v>
      </c>
      <c r="F170" s="9" t="s">
        <v>7055</v>
      </c>
      <c r="G170" s="9" t="str">
        <f ca="1">INDEX(DistrictEquipmentTypes.csv!F:F,RANDBETWEEN(2,COUNTA(DistrictEquipmentTypes.csv!D:D)),1)</f>
        <v>200004</v>
      </c>
      <c r="H170" s="8" t="str">
        <f t="shared" ca="1" si="16"/>
        <v>rg:{ 'id': '200004'}</v>
      </c>
      <c r="I170" s="8">
        <f t="shared" ca="1" si="17"/>
        <v>1</v>
      </c>
      <c r="J170" s="8">
        <f t="shared" ca="1" si="18"/>
        <v>89</v>
      </c>
      <c r="K170" s="8" t="str">
        <f t="shared" ca="1" si="19"/>
        <v>2017-05-18</v>
      </c>
      <c r="L170" s="8" t="str">
        <f t="shared" ca="1" si="20"/>
        <v>2017-05-29</v>
      </c>
    </row>
    <row r="171" spans="1:12" x14ac:dyDescent="0.3">
      <c r="A171" s="8" t="s">
        <v>5668</v>
      </c>
      <c r="B171" s="8">
        <f t="shared" si="14"/>
        <v>600169</v>
      </c>
      <c r="C171" s="1" t="s">
        <v>6920</v>
      </c>
      <c r="D171" s="9" t="str">
        <f>IFERROR(VLOOKUP(VLOOKUP(VLOOKUP(C171,Project.csv!F:Q,12,FALSE),ServiceAreas.csv!B:I,8,FALSE),LocalAreas.csv!B:I,7,FALSE),200029)</f>
        <v>rg:None</v>
      </c>
      <c r="E171" s="8" t="str">
        <f t="shared" si="15"/>
        <v>rg:{'id':'rg:None'}</v>
      </c>
      <c r="F171" s="9" t="s">
        <v>7054</v>
      </c>
      <c r="G171" s="9" t="str">
        <f ca="1">INDEX(DistrictEquipmentTypes.csv!F:F,RANDBETWEEN(2,COUNTA(DistrictEquipmentTypes.csv!D:D)),1)</f>
        <v>200000</v>
      </c>
      <c r="H171" s="8" t="str">
        <f t="shared" ca="1" si="16"/>
        <v>rg:{ 'id': '200000'}</v>
      </c>
      <c r="I171" s="8">
        <f t="shared" ca="1" si="17"/>
        <v>1</v>
      </c>
      <c r="J171" s="8">
        <f t="shared" ca="1" si="18"/>
        <v>45</v>
      </c>
      <c r="K171" s="8" t="str">
        <f t="shared" ca="1" si="19"/>
        <v>2017-05-19</v>
      </c>
      <c r="L171" s="8" t="str">
        <f t="shared" ca="1" si="20"/>
        <v>2017-05-24</v>
      </c>
    </row>
    <row r="172" spans="1:12" x14ac:dyDescent="0.3">
      <c r="A172" s="8" t="s">
        <v>5668</v>
      </c>
      <c r="B172" s="8">
        <f t="shared" si="14"/>
        <v>600170</v>
      </c>
      <c r="C172" s="1" t="s">
        <v>6942</v>
      </c>
      <c r="D172" s="9" t="str">
        <f>IFERROR(VLOOKUP(VLOOKUP(VLOOKUP(C172,Project.csv!F:Q,12,FALSE),ServiceAreas.csv!B:I,8,FALSE),LocalAreas.csv!B:I,7,FALSE),200029)</f>
        <v>rg:None</v>
      </c>
      <c r="E172" s="8" t="str">
        <f t="shared" si="15"/>
        <v>rg:{'id':'rg:None'}</v>
      </c>
      <c r="F172" s="9" t="s">
        <v>7054</v>
      </c>
      <c r="G172" s="9" t="str">
        <f ca="1">INDEX(DistrictEquipmentTypes.csv!F:F,RANDBETWEEN(2,COUNTA(DistrictEquipmentTypes.csv!D:D)),1)</f>
        <v>200006</v>
      </c>
      <c r="H172" s="8" t="str">
        <f t="shared" ca="1" si="16"/>
        <v>rg:{ 'id': '200006'}</v>
      </c>
      <c r="I172" s="8">
        <f t="shared" ca="1" si="17"/>
        <v>2</v>
      </c>
      <c r="J172" s="8">
        <f t="shared" ca="1" si="18"/>
        <v>11</v>
      </c>
      <c r="K172" s="8" t="str">
        <f t="shared" ca="1" si="19"/>
        <v>2017-04-04</v>
      </c>
      <c r="L172" s="8" t="str">
        <f t="shared" ca="1" si="20"/>
        <v>2017-04-06</v>
      </c>
    </row>
    <row r="173" spans="1:12" x14ac:dyDescent="0.3">
      <c r="A173" s="8" t="s">
        <v>5668</v>
      </c>
      <c r="B173" s="8">
        <f t="shared" si="14"/>
        <v>600171</v>
      </c>
      <c r="C173" s="1" t="s">
        <v>6898</v>
      </c>
      <c r="D173" s="9" t="str">
        <f>IFERROR(VLOOKUP(VLOOKUP(VLOOKUP(C173,Project.csv!F:Q,12,FALSE),ServiceAreas.csv!B:I,8,FALSE),LocalAreas.csv!B:I,7,FALSE),200029)</f>
        <v>rg:None</v>
      </c>
      <c r="E173" s="8" t="str">
        <f t="shared" si="15"/>
        <v>rg:{'id':'rg:None'}</v>
      </c>
      <c r="F173" s="9" t="s">
        <v>7054</v>
      </c>
      <c r="G173" s="9" t="str">
        <f ca="1">INDEX(DistrictEquipmentTypes.csv!F:F,RANDBETWEEN(2,COUNTA(DistrictEquipmentTypes.csv!D:D)),1)</f>
        <v>200000</v>
      </c>
      <c r="H173" s="8" t="str">
        <f t="shared" ca="1" si="16"/>
        <v>rg:{ 'id': '200000'}</v>
      </c>
      <c r="I173" s="8">
        <f t="shared" ca="1" si="17"/>
        <v>1</v>
      </c>
      <c r="J173" s="8">
        <f t="shared" ca="1" si="18"/>
        <v>64</v>
      </c>
      <c r="K173" s="8" t="str">
        <f t="shared" ca="1" si="19"/>
        <v>2017-04-08</v>
      </c>
      <c r="L173" s="8" t="str">
        <f t="shared" ca="1" si="20"/>
        <v>2017-04-16</v>
      </c>
    </row>
    <row r="174" spans="1:12" x14ac:dyDescent="0.3">
      <c r="A174" s="8" t="s">
        <v>5668</v>
      </c>
      <c r="B174" s="8">
        <f t="shared" si="14"/>
        <v>600172</v>
      </c>
      <c r="C174" s="1" t="s">
        <v>6943</v>
      </c>
      <c r="D174" s="9" t="str">
        <f>IFERROR(VLOOKUP(VLOOKUP(VLOOKUP(C174,Project.csv!F:Q,12,FALSE),ServiceAreas.csv!B:I,8,FALSE),LocalAreas.csv!B:I,7,FALSE),200029)</f>
        <v>rg:None</v>
      </c>
      <c r="E174" s="8" t="str">
        <f t="shared" si="15"/>
        <v>rg:{'id':'rg:None'}</v>
      </c>
      <c r="F174" s="9" t="s">
        <v>7054</v>
      </c>
      <c r="G174" s="9" t="str">
        <f ca="1">INDEX(DistrictEquipmentTypes.csv!F:F,RANDBETWEEN(2,COUNTA(DistrictEquipmentTypes.csv!D:D)),1)</f>
        <v>200009</v>
      </c>
      <c r="H174" s="8" t="str">
        <f t="shared" ca="1" si="16"/>
        <v>rg:{ 'id': '200009'}</v>
      </c>
      <c r="I174" s="8">
        <f t="shared" ca="1" si="17"/>
        <v>1</v>
      </c>
      <c r="J174" s="8">
        <f t="shared" ca="1" si="18"/>
        <v>19</v>
      </c>
      <c r="K174" s="8" t="str">
        <f t="shared" ca="1" si="19"/>
        <v>2017-05-09</v>
      </c>
      <c r="L174" s="8" t="str">
        <f t="shared" ca="1" si="20"/>
        <v>2017-05-11</v>
      </c>
    </row>
    <row r="175" spans="1:12" x14ac:dyDescent="0.3">
      <c r="A175" s="8" t="s">
        <v>5668</v>
      </c>
      <c r="B175" s="8">
        <f t="shared" si="14"/>
        <v>600173</v>
      </c>
      <c r="C175" s="1" t="s">
        <v>6944</v>
      </c>
      <c r="D175" s="9" t="str">
        <f>IFERROR(VLOOKUP(VLOOKUP(VLOOKUP(C175,Project.csv!F:Q,12,FALSE),ServiceAreas.csv!B:I,8,FALSE),LocalAreas.csv!B:I,7,FALSE),200029)</f>
        <v>rg:None</v>
      </c>
      <c r="E175" s="8" t="str">
        <f t="shared" si="15"/>
        <v>rg:{'id':'rg:None'}</v>
      </c>
      <c r="F175" s="9" t="s">
        <v>7054</v>
      </c>
      <c r="G175" s="9" t="str">
        <f ca="1">INDEX(DistrictEquipmentTypes.csv!F:F,RANDBETWEEN(2,COUNTA(DistrictEquipmentTypes.csv!D:D)),1)</f>
        <v>200007</v>
      </c>
      <c r="H175" s="8" t="str">
        <f t="shared" ca="1" si="16"/>
        <v>rg:{ 'id': '200007'}</v>
      </c>
      <c r="I175" s="8">
        <f t="shared" ca="1" si="17"/>
        <v>1</v>
      </c>
      <c r="J175" s="8">
        <f t="shared" ca="1" si="18"/>
        <v>72</v>
      </c>
      <c r="K175" s="8" t="str">
        <f t="shared" ca="1" si="19"/>
        <v>2017-04-20</v>
      </c>
      <c r="L175" s="8" t="str">
        <f t="shared" ca="1" si="20"/>
        <v>2017-04-29</v>
      </c>
    </row>
    <row r="176" spans="1:12" x14ac:dyDescent="0.3">
      <c r="A176" s="8" t="s">
        <v>5668</v>
      </c>
      <c r="B176" s="8">
        <f t="shared" si="14"/>
        <v>600174</v>
      </c>
      <c r="C176" s="1" t="s">
        <v>6945</v>
      </c>
      <c r="D176" s="9" t="str">
        <f>IFERROR(VLOOKUP(VLOOKUP(VLOOKUP(C176,Project.csv!F:Q,12,FALSE),ServiceAreas.csv!B:I,8,FALSE),LocalAreas.csv!B:I,7,FALSE),200029)</f>
        <v>rg:None</v>
      </c>
      <c r="E176" s="8" t="str">
        <f t="shared" si="15"/>
        <v>rg:{'id':'rg:None'}</v>
      </c>
      <c r="F176" s="9" t="s">
        <v>7054</v>
      </c>
      <c r="G176" s="9" t="str">
        <f ca="1">INDEX(DistrictEquipmentTypes.csv!F:F,RANDBETWEEN(2,COUNTA(DistrictEquipmentTypes.csv!D:D)),1)</f>
        <v>200004</v>
      </c>
      <c r="H176" s="8" t="str">
        <f t="shared" ca="1" si="16"/>
        <v>rg:{ 'id': '200004'}</v>
      </c>
      <c r="I176" s="8">
        <f t="shared" ca="1" si="17"/>
        <v>1</v>
      </c>
      <c r="J176" s="8">
        <f t="shared" ca="1" si="18"/>
        <v>28</v>
      </c>
      <c r="K176" s="8" t="str">
        <f t="shared" ca="1" si="19"/>
        <v>2017-04-19</v>
      </c>
      <c r="L176" s="8" t="str">
        <f t="shared" ca="1" si="20"/>
        <v>2017-04-22</v>
      </c>
    </row>
    <row r="177" spans="1:12" x14ac:dyDescent="0.3">
      <c r="A177" s="8" t="s">
        <v>5668</v>
      </c>
      <c r="B177" s="8">
        <f t="shared" si="14"/>
        <v>600175</v>
      </c>
      <c r="C177" s="1" t="s">
        <v>6946</v>
      </c>
      <c r="D177" s="9" t="str">
        <f>IFERROR(VLOOKUP(VLOOKUP(VLOOKUP(C177,Project.csv!F:Q,12,FALSE),ServiceAreas.csv!B:I,8,FALSE),LocalAreas.csv!B:I,7,FALSE),200029)</f>
        <v>rg:None</v>
      </c>
      <c r="E177" s="8" t="str">
        <f t="shared" si="15"/>
        <v>rg:{'id':'rg:None'}</v>
      </c>
      <c r="F177" s="9" t="s">
        <v>7054</v>
      </c>
      <c r="G177" s="9" t="str">
        <f ca="1">INDEX(DistrictEquipmentTypes.csv!F:F,RANDBETWEEN(2,COUNTA(DistrictEquipmentTypes.csv!D:D)),1)</f>
        <v>200001</v>
      </c>
      <c r="H177" s="8" t="str">
        <f t="shared" ca="1" si="16"/>
        <v>rg:{ 'id': '200001'}</v>
      </c>
      <c r="I177" s="8">
        <f t="shared" ca="1" si="17"/>
        <v>3</v>
      </c>
      <c r="J177" s="8">
        <f t="shared" ca="1" si="18"/>
        <v>75</v>
      </c>
      <c r="K177" s="8" t="str">
        <f t="shared" ca="1" si="19"/>
        <v>2017-04-13</v>
      </c>
      <c r="L177" s="8" t="str">
        <f t="shared" ca="1" si="20"/>
        <v>2017-05-11</v>
      </c>
    </row>
    <row r="178" spans="1:12" x14ac:dyDescent="0.3">
      <c r="A178" s="8" t="s">
        <v>5668</v>
      </c>
      <c r="B178" s="8">
        <f t="shared" si="14"/>
        <v>600176</v>
      </c>
      <c r="C178" s="1" t="s">
        <v>6933</v>
      </c>
      <c r="D178" s="9" t="str">
        <f>IFERROR(VLOOKUP(VLOOKUP(VLOOKUP(C178,Project.csv!F:Q,12,FALSE),ServiceAreas.csv!B:I,8,FALSE),LocalAreas.csv!B:I,7,FALSE),200029)</f>
        <v>rg:None</v>
      </c>
      <c r="E178" s="8" t="str">
        <f t="shared" si="15"/>
        <v>rg:{'id':'rg:None'}</v>
      </c>
      <c r="F178" s="9" t="s">
        <v>7054</v>
      </c>
      <c r="G178" s="9" t="str">
        <f ca="1">INDEX(DistrictEquipmentTypes.csv!F:F,RANDBETWEEN(2,COUNTA(DistrictEquipmentTypes.csv!D:D)),1)</f>
        <v>200007</v>
      </c>
      <c r="H178" s="8" t="str">
        <f t="shared" ca="1" si="16"/>
        <v>rg:{ 'id': '200007'}</v>
      </c>
      <c r="I178" s="8">
        <f t="shared" ca="1" si="17"/>
        <v>1</v>
      </c>
      <c r="J178" s="8">
        <f t="shared" ca="1" si="18"/>
        <v>81</v>
      </c>
      <c r="K178" s="8" t="str">
        <f t="shared" ca="1" si="19"/>
        <v>2017-05-16</v>
      </c>
      <c r="L178" s="8" t="str">
        <f t="shared" ca="1" si="20"/>
        <v>2017-05-26</v>
      </c>
    </row>
    <row r="179" spans="1:12" x14ac:dyDescent="0.3">
      <c r="A179" s="8" t="s">
        <v>5668</v>
      </c>
      <c r="B179" s="8">
        <f t="shared" si="14"/>
        <v>600177</v>
      </c>
      <c r="C179" s="1" t="s">
        <v>6947</v>
      </c>
      <c r="D179" s="9" t="str">
        <f>IFERROR(VLOOKUP(VLOOKUP(VLOOKUP(C179,Project.csv!F:Q,12,FALSE),ServiceAreas.csv!B:I,8,FALSE),LocalAreas.csv!B:I,7,FALSE),200029)</f>
        <v>rg:None</v>
      </c>
      <c r="E179" s="8" t="str">
        <f t="shared" si="15"/>
        <v>rg:{'id':'rg:None'}</v>
      </c>
      <c r="F179" s="9" t="s">
        <v>7054</v>
      </c>
      <c r="G179" s="9" t="str">
        <f ca="1">INDEX(DistrictEquipmentTypes.csv!F:F,RANDBETWEEN(2,COUNTA(DistrictEquipmentTypes.csv!D:D)),1)</f>
        <v>200000</v>
      </c>
      <c r="H179" s="8" t="str">
        <f t="shared" ca="1" si="16"/>
        <v>rg:{ 'id': '200000'}</v>
      </c>
      <c r="I179" s="8">
        <f t="shared" ca="1" si="17"/>
        <v>1</v>
      </c>
      <c r="J179" s="8">
        <f t="shared" ca="1" si="18"/>
        <v>7</v>
      </c>
      <c r="K179" s="8" t="str">
        <f t="shared" ca="1" si="19"/>
        <v>2017-04-20</v>
      </c>
      <c r="L179" s="8" t="str">
        <f t="shared" ca="1" si="20"/>
        <v>2017-04-20</v>
      </c>
    </row>
    <row r="180" spans="1:12" x14ac:dyDescent="0.3">
      <c r="A180" s="8" t="s">
        <v>5668</v>
      </c>
      <c r="B180" s="8">
        <f t="shared" si="14"/>
        <v>600178</v>
      </c>
      <c r="C180" s="1" t="s">
        <v>6916</v>
      </c>
      <c r="D180" s="9" t="str">
        <f>IFERROR(VLOOKUP(VLOOKUP(VLOOKUP(C180,Project.csv!F:Q,12,FALSE),ServiceAreas.csv!B:I,8,FALSE),LocalAreas.csv!B:I,7,FALSE),200029)</f>
        <v>rg:None</v>
      </c>
      <c r="E180" s="8" t="str">
        <f t="shared" si="15"/>
        <v>rg:{'id':'rg:None'}</v>
      </c>
      <c r="F180" s="9" t="s">
        <v>7054</v>
      </c>
      <c r="G180" s="9" t="str">
        <f ca="1">INDEX(DistrictEquipmentTypes.csv!F:F,RANDBETWEEN(2,COUNTA(DistrictEquipmentTypes.csv!D:D)),1)</f>
        <v>200005</v>
      </c>
      <c r="H180" s="8" t="str">
        <f t="shared" ca="1" si="16"/>
        <v>rg:{ 'id': '200005'}</v>
      </c>
      <c r="I180" s="8">
        <f t="shared" ca="1" si="17"/>
        <v>1</v>
      </c>
      <c r="J180" s="8">
        <f t="shared" ca="1" si="18"/>
        <v>64</v>
      </c>
      <c r="K180" s="8" t="str">
        <f t="shared" ca="1" si="19"/>
        <v>2017-05-14</v>
      </c>
      <c r="L180" s="8" t="str">
        <f t="shared" ca="1" si="20"/>
        <v>2017-05-22</v>
      </c>
    </row>
    <row r="181" spans="1:12" x14ac:dyDescent="0.3">
      <c r="A181" s="8" t="s">
        <v>5668</v>
      </c>
      <c r="B181" s="8">
        <f t="shared" si="14"/>
        <v>600179</v>
      </c>
      <c r="C181" s="1" t="s">
        <v>6948</v>
      </c>
      <c r="D181" s="9" t="str">
        <f>IFERROR(VLOOKUP(VLOOKUP(VLOOKUP(C181,Project.csv!F:Q,12,FALSE),ServiceAreas.csv!B:I,8,FALSE),LocalAreas.csv!B:I,7,FALSE),200029)</f>
        <v>rg:None</v>
      </c>
      <c r="E181" s="8" t="str">
        <f t="shared" si="15"/>
        <v>rg:{'id':'rg:None'}</v>
      </c>
      <c r="F181" s="9" t="s">
        <v>7054</v>
      </c>
      <c r="G181" s="9" t="str">
        <f ca="1">INDEX(DistrictEquipmentTypes.csv!F:F,RANDBETWEEN(2,COUNTA(DistrictEquipmentTypes.csv!D:D)),1)</f>
        <v>200009</v>
      </c>
      <c r="H181" s="8" t="str">
        <f t="shared" ca="1" si="16"/>
        <v>rg:{ 'id': '200009'}</v>
      </c>
      <c r="I181" s="8">
        <f t="shared" ca="1" si="17"/>
        <v>1</v>
      </c>
      <c r="J181" s="8">
        <f t="shared" ca="1" si="18"/>
        <v>76</v>
      </c>
      <c r="K181" s="8" t="str">
        <f t="shared" ca="1" si="19"/>
        <v>2017-04-30</v>
      </c>
      <c r="L181" s="8" t="str">
        <f t="shared" ca="1" si="20"/>
        <v>2017-05-09</v>
      </c>
    </row>
    <row r="182" spans="1:12" x14ac:dyDescent="0.3">
      <c r="A182" s="8" t="s">
        <v>5668</v>
      </c>
      <c r="B182" s="8">
        <f t="shared" si="14"/>
        <v>600180</v>
      </c>
      <c r="C182" s="1" t="s">
        <v>6893</v>
      </c>
      <c r="D182" s="9" t="str">
        <f>IFERROR(VLOOKUP(VLOOKUP(VLOOKUP(C182,Project.csv!F:Q,12,FALSE),ServiceAreas.csv!B:I,8,FALSE),LocalAreas.csv!B:I,7,FALSE),200029)</f>
        <v>rg:None</v>
      </c>
      <c r="E182" s="8" t="str">
        <f t="shared" si="15"/>
        <v>rg:{'id':'rg:None'}</v>
      </c>
      <c r="F182" s="9" t="s">
        <v>7054</v>
      </c>
      <c r="G182" s="9" t="str">
        <f ca="1">INDEX(DistrictEquipmentTypes.csv!F:F,RANDBETWEEN(2,COUNTA(DistrictEquipmentTypes.csv!D:D)),1)</f>
        <v>200005</v>
      </c>
      <c r="H182" s="8" t="str">
        <f t="shared" ca="1" si="16"/>
        <v>rg:{ 'id': '200005'}</v>
      </c>
      <c r="I182" s="8">
        <f t="shared" ca="1" si="17"/>
        <v>1</v>
      </c>
      <c r="J182" s="8">
        <f t="shared" ca="1" si="18"/>
        <v>7</v>
      </c>
      <c r="K182" s="8" t="str">
        <f t="shared" ca="1" si="19"/>
        <v>2017-03-31</v>
      </c>
      <c r="L182" s="8" t="str">
        <f t="shared" ca="1" si="20"/>
        <v>2017-03-31</v>
      </c>
    </row>
    <row r="183" spans="1:12" x14ac:dyDescent="0.3">
      <c r="A183" s="8" t="s">
        <v>5668</v>
      </c>
      <c r="B183" s="8">
        <f t="shared" si="14"/>
        <v>600181</v>
      </c>
      <c r="C183" s="1" t="s">
        <v>6949</v>
      </c>
      <c r="D183" s="9" t="str">
        <f>IFERROR(VLOOKUP(VLOOKUP(VLOOKUP(C183,Project.csv!F:Q,12,FALSE),ServiceAreas.csv!B:I,8,FALSE),LocalAreas.csv!B:I,7,FALSE),200029)</f>
        <v>rg:None</v>
      </c>
      <c r="E183" s="8" t="str">
        <f t="shared" si="15"/>
        <v>rg:{'id':'rg:None'}</v>
      </c>
      <c r="F183" s="9" t="s">
        <v>7054</v>
      </c>
      <c r="G183" s="9" t="str">
        <f ca="1">INDEX(DistrictEquipmentTypes.csv!F:F,RANDBETWEEN(2,COUNTA(DistrictEquipmentTypes.csv!D:D)),1)</f>
        <v>200001</v>
      </c>
      <c r="H183" s="8" t="str">
        <f t="shared" ca="1" si="16"/>
        <v>rg:{ 'id': '200001'}</v>
      </c>
      <c r="I183" s="8">
        <f t="shared" ca="1" si="17"/>
        <v>1</v>
      </c>
      <c r="J183" s="8">
        <f t="shared" ca="1" si="18"/>
        <v>96</v>
      </c>
      <c r="K183" s="8" t="str">
        <f t="shared" ca="1" si="19"/>
        <v>2017-04-11</v>
      </c>
      <c r="L183" s="8" t="str">
        <f t="shared" ca="1" si="20"/>
        <v>2017-04-23</v>
      </c>
    </row>
    <row r="184" spans="1:12" x14ac:dyDescent="0.3">
      <c r="A184" s="8" t="s">
        <v>5668</v>
      </c>
      <c r="B184" s="8">
        <f t="shared" si="14"/>
        <v>600182</v>
      </c>
      <c r="C184" s="1" t="s">
        <v>6900</v>
      </c>
      <c r="D184" s="9" t="str">
        <f>IFERROR(VLOOKUP(VLOOKUP(VLOOKUP(C184,Project.csv!F:Q,12,FALSE),ServiceAreas.csv!B:I,8,FALSE),LocalAreas.csv!B:I,7,FALSE),200029)</f>
        <v>rg:None</v>
      </c>
      <c r="E184" s="8" t="str">
        <f t="shared" si="15"/>
        <v>rg:{'id':'rg:None'}</v>
      </c>
      <c r="F184" s="9" t="s">
        <v>7054</v>
      </c>
      <c r="G184" s="9" t="str">
        <f ca="1">INDEX(DistrictEquipmentTypes.csv!F:F,RANDBETWEEN(2,COUNTA(DistrictEquipmentTypes.csv!D:D)),1)</f>
        <v>200001</v>
      </c>
      <c r="H184" s="8" t="str">
        <f t="shared" ca="1" si="16"/>
        <v>rg:{ 'id': '200001'}</v>
      </c>
      <c r="I184" s="8">
        <f t="shared" ca="1" si="17"/>
        <v>1</v>
      </c>
      <c r="J184" s="8">
        <f t="shared" ca="1" si="18"/>
        <v>46</v>
      </c>
      <c r="K184" s="8" t="str">
        <f t="shared" ca="1" si="19"/>
        <v>2017-04-24</v>
      </c>
      <c r="L184" s="8" t="str">
        <f t="shared" ca="1" si="20"/>
        <v>2017-04-29</v>
      </c>
    </row>
    <row r="185" spans="1:12" x14ac:dyDescent="0.3">
      <c r="A185" s="8" t="s">
        <v>5668</v>
      </c>
      <c r="B185" s="8">
        <f t="shared" si="14"/>
        <v>600183</v>
      </c>
      <c r="C185" s="1" t="s">
        <v>6950</v>
      </c>
      <c r="D185" s="9" t="str">
        <f>IFERROR(VLOOKUP(VLOOKUP(VLOOKUP(C185,Project.csv!F:Q,12,FALSE),ServiceAreas.csv!B:I,8,FALSE),LocalAreas.csv!B:I,7,FALSE),200029)</f>
        <v>rg:None</v>
      </c>
      <c r="E185" s="8" t="str">
        <f t="shared" si="15"/>
        <v>rg:{'id':'rg:None'}</v>
      </c>
      <c r="F185" s="9" t="s">
        <v>7054</v>
      </c>
      <c r="G185" s="9" t="str">
        <f ca="1">INDEX(DistrictEquipmentTypes.csv!F:F,RANDBETWEEN(2,COUNTA(DistrictEquipmentTypes.csv!D:D)),1)</f>
        <v>200004</v>
      </c>
      <c r="H185" s="8" t="str">
        <f t="shared" ca="1" si="16"/>
        <v>rg:{ 'id': '200004'}</v>
      </c>
      <c r="I185" s="8">
        <f t="shared" ca="1" si="17"/>
        <v>1</v>
      </c>
      <c r="J185" s="8">
        <f t="shared" ca="1" si="18"/>
        <v>69</v>
      </c>
      <c r="K185" s="8" t="str">
        <f t="shared" ca="1" si="19"/>
        <v>2017-04-02</v>
      </c>
      <c r="L185" s="8" t="str">
        <f t="shared" ca="1" si="20"/>
        <v>2017-04-10</v>
      </c>
    </row>
    <row r="186" spans="1:12" x14ac:dyDescent="0.3">
      <c r="A186" s="8" t="s">
        <v>5668</v>
      </c>
      <c r="B186" s="8">
        <f t="shared" si="14"/>
        <v>600184</v>
      </c>
      <c r="C186" s="1" t="s">
        <v>6892</v>
      </c>
      <c r="D186" s="9" t="str">
        <f>IFERROR(VLOOKUP(VLOOKUP(VLOOKUP(C186,Project.csv!F:Q,12,FALSE),ServiceAreas.csv!B:I,8,FALSE),LocalAreas.csv!B:I,7,FALSE),200029)</f>
        <v>rg:None</v>
      </c>
      <c r="E186" s="8" t="str">
        <f t="shared" si="15"/>
        <v>rg:{'id':'rg:None'}</v>
      </c>
      <c r="F186" s="9" t="s">
        <v>7054</v>
      </c>
      <c r="G186" s="9" t="str">
        <f ca="1">INDEX(DistrictEquipmentTypes.csv!F:F,RANDBETWEEN(2,COUNTA(DistrictEquipmentTypes.csv!D:D)),1)</f>
        <v>200000</v>
      </c>
      <c r="H186" s="8" t="str">
        <f t="shared" ca="1" si="16"/>
        <v>rg:{ 'id': '200000'}</v>
      </c>
      <c r="I186" s="8">
        <f t="shared" ca="1" si="17"/>
        <v>1</v>
      </c>
      <c r="J186" s="8">
        <f t="shared" ca="1" si="18"/>
        <v>62</v>
      </c>
      <c r="K186" s="8" t="str">
        <f t="shared" ca="1" si="19"/>
        <v>2017-04-07</v>
      </c>
      <c r="L186" s="8" t="str">
        <f t="shared" ca="1" si="20"/>
        <v>2017-04-14</v>
      </c>
    </row>
    <row r="187" spans="1:12" x14ac:dyDescent="0.3">
      <c r="A187" s="8" t="s">
        <v>5668</v>
      </c>
      <c r="B187" s="8">
        <f t="shared" si="14"/>
        <v>600185</v>
      </c>
      <c r="C187" s="1" t="s">
        <v>6951</v>
      </c>
      <c r="D187" s="9" t="str">
        <f>IFERROR(VLOOKUP(VLOOKUP(VLOOKUP(C187,Project.csv!F:Q,12,FALSE),ServiceAreas.csv!B:I,8,FALSE),LocalAreas.csv!B:I,7,FALSE),200029)</f>
        <v>rg:None</v>
      </c>
      <c r="E187" s="8" t="str">
        <f t="shared" si="15"/>
        <v>rg:{'id':'rg:None'}</v>
      </c>
      <c r="F187" s="9" t="s">
        <v>7054</v>
      </c>
      <c r="G187" s="9" t="str">
        <f ca="1">INDEX(DistrictEquipmentTypes.csv!F:F,RANDBETWEEN(2,COUNTA(DistrictEquipmentTypes.csv!D:D)),1)</f>
        <v>200003</v>
      </c>
      <c r="H187" s="8" t="str">
        <f t="shared" ca="1" si="16"/>
        <v>rg:{ 'id': '200003'}</v>
      </c>
      <c r="I187" s="8">
        <f t="shared" ca="1" si="17"/>
        <v>1</v>
      </c>
      <c r="J187" s="8">
        <f t="shared" ca="1" si="18"/>
        <v>24</v>
      </c>
      <c r="K187" s="8" t="str">
        <f t="shared" ca="1" si="19"/>
        <v>2017-05-01</v>
      </c>
      <c r="L187" s="8" t="str">
        <f t="shared" ca="1" si="20"/>
        <v>2017-05-04</v>
      </c>
    </row>
    <row r="188" spans="1:12" x14ac:dyDescent="0.3">
      <c r="A188" s="8" t="s">
        <v>5668</v>
      </c>
      <c r="B188" s="8">
        <f t="shared" si="14"/>
        <v>600186</v>
      </c>
      <c r="C188" s="1" t="s">
        <v>6952</v>
      </c>
      <c r="D188" s="9" t="str">
        <f>IFERROR(VLOOKUP(VLOOKUP(VLOOKUP(C188,Project.csv!F:Q,12,FALSE),ServiceAreas.csv!B:I,8,FALSE),LocalAreas.csv!B:I,7,FALSE),200029)</f>
        <v>rg:None</v>
      </c>
      <c r="E188" s="8" t="str">
        <f t="shared" si="15"/>
        <v>rg:{'id':'rg:None'}</v>
      </c>
      <c r="F188" s="9" t="s">
        <v>7054</v>
      </c>
      <c r="G188" s="9" t="str">
        <f ca="1">INDEX(DistrictEquipmentTypes.csv!F:F,RANDBETWEEN(2,COUNTA(DistrictEquipmentTypes.csv!D:D)),1)</f>
        <v>200004</v>
      </c>
      <c r="H188" s="8" t="str">
        <f t="shared" ca="1" si="16"/>
        <v>rg:{ 'id': '200004'}</v>
      </c>
      <c r="I188" s="8">
        <f t="shared" ca="1" si="17"/>
        <v>1</v>
      </c>
      <c r="J188" s="8">
        <f t="shared" ca="1" si="18"/>
        <v>28</v>
      </c>
      <c r="K188" s="8" t="str">
        <f t="shared" ca="1" si="19"/>
        <v>2017-05-02</v>
      </c>
      <c r="L188" s="8" t="str">
        <f t="shared" ca="1" si="20"/>
        <v>2017-05-05</v>
      </c>
    </row>
    <row r="189" spans="1:12" x14ac:dyDescent="0.3">
      <c r="A189" s="8" t="s">
        <v>5668</v>
      </c>
      <c r="B189" s="8">
        <f t="shared" si="14"/>
        <v>600187</v>
      </c>
      <c r="C189" s="1" t="s">
        <v>6911</v>
      </c>
      <c r="D189" s="9" t="str">
        <f>IFERROR(VLOOKUP(VLOOKUP(VLOOKUP(C189,Project.csv!F:Q,12,FALSE),ServiceAreas.csv!B:I,8,FALSE),LocalAreas.csv!B:I,7,FALSE),200029)</f>
        <v>rg:None</v>
      </c>
      <c r="E189" s="8" t="str">
        <f t="shared" si="15"/>
        <v>rg:{'id':'rg:None'}</v>
      </c>
      <c r="F189" s="9" t="s">
        <v>7054</v>
      </c>
      <c r="G189" s="9" t="str">
        <f ca="1">INDEX(DistrictEquipmentTypes.csv!F:F,RANDBETWEEN(2,COUNTA(DistrictEquipmentTypes.csv!D:D)),1)</f>
        <v>200003</v>
      </c>
      <c r="H189" s="8" t="str">
        <f t="shared" ca="1" si="16"/>
        <v>rg:{ 'id': '200003'}</v>
      </c>
      <c r="I189" s="8">
        <f t="shared" ca="1" si="17"/>
        <v>1</v>
      </c>
      <c r="J189" s="8">
        <f t="shared" ca="1" si="18"/>
        <v>7</v>
      </c>
      <c r="K189" s="8" t="str">
        <f t="shared" ca="1" si="19"/>
        <v>2017-05-03</v>
      </c>
      <c r="L189" s="8" t="str">
        <f t="shared" ca="1" si="20"/>
        <v>2017-05-03</v>
      </c>
    </row>
    <row r="190" spans="1:12" x14ac:dyDescent="0.3">
      <c r="A190" s="8" t="s">
        <v>5668</v>
      </c>
      <c r="B190" s="8">
        <f t="shared" si="14"/>
        <v>600188</v>
      </c>
      <c r="C190" s="1" t="s">
        <v>6953</v>
      </c>
      <c r="D190" s="9" t="str">
        <f>IFERROR(VLOOKUP(VLOOKUP(VLOOKUP(C190,Project.csv!F:Q,12,FALSE),ServiceAreas.csv!B:I,8,FALSE),LocalAreas.csv!B:I,7,FALSE),200029)</f>
        <v>rg:None</v>
      </c>
      <c r="E190" s="8" t="str">
        <f t="shared" si="15"/>
        <v>rg:{'id':'rg:None'}</v>
      </c>
      <c r="F190" s="9" t="s">
        <v>7054</v>
      </c>
      <c r="G190" s="9" t="str">
        <f ca="1">INDEX(DistrictEquipmentTypes.csv!F:F,RANDBETWEEN(2,COUNTA(DistrictEquipmentTypes.csv!D:D)),1)</f>
        <v>200000</v>
      </c>
      <c r="H190" s="8" t="str">
        <f t="shared" ca="1" si="16"/>
        <v>rg:{ 'id': '200000'}</v>
      </c>
      <c r="I190" s="8">
        <f t="shared" ca="1" si="17"/>
        <v>1</v>
      </c>
      <c r="J190" s="8">
        <f t="shared" ca="1" si="18"/>
        <v>80</v>
      </c>
      <c r="K190" s="8" t="str">
        <f t="shared" ca="1" si="19"/>
        <v>2017-04-02</v>
      </c>
      <c r="L190" s="8" t="str">
        <f t="shared" ca="1" si="20"/>
        <v>2017-04-12</v>
      </c>
    </row>
    <row r="191" spans="1:12" x14ac:dyDescent="0.3">
      <c r="A191" s="8" t="s">
        <v>5668</v>
      </c>
      <c r="B191" s="8">
        <f t="shared" si="14"/>
        <v>600189</v>
      </c>
      <c r="C191" s="1" t="s">
        <v>6926</v>
      </c>
      <c r="D191" s="9" t="str">
        <f>IFERROR(VLOOKUP(VLOOKUP(VLOOKUP(C191,Project.csv!F:Q,12,FALSE),ServiceAreas.csv!B:I,8,FALSE),LocalAreas.csv!B:I,7,FALSE),200029)</f>
        <v>rg:None</v>
      </c>
      <c r="E191" s="8" t="str">
        <f t="shared" si="15"/>
        <v>rg:{'id':'rg:None'}</v>
      </c>
      <c r="F191" s="9" t="s">
        <v>7054</v>
      </c>
      <c r="G191" s="9" t="str">
        <f ca="1">INDEX(DistrictEquipmentTypes.csv!F:F,RANDBETWEEN(2,COUNTA(DistrictEquipmentTypes.csv!D:D)),1)</f>
        <v>200003</v>
      </c>
      <c r="H191" s="8" t="str">
        <f t="shared" ca="1" si="16"/>
        <v>rg:{ 'id': '200003'}</v>
      </c>
      <c r="I191" s="8">
        <f t="shared" ca="1" si="17"/>
        <v>1</v>
      </c>
      <c r="J191" s="8">
        <f t="shared" ca="1" si="18"/>
        <v>73</v>
      </c>
      <c r="K191" s="8" t="str">
        <f t="shared" ca="1" si="19"/>
        <v>2017-05-14</v>
      </c>
      <c r="L191" s="8" t="str">
        <f t="shared" ca="1" si="20"/>
        <v>2017-05-23</v>
      </c>
    </row>
    <row r="192" spans="1:12" x14ac:dyDescent="0.3">
      <c r="A192" s="8" t="s">
        <v>5668</v>
      </c>
      <c r="B192" s="8">
        <f t="shared" si="14"/>
        <v>600190</v>
      </c>
      <c r="C192" s="1" t="s">
        <v>6954</v>
      </c>
      <c r="D192" s="9">
        <f>IFERROR(VLOOKUP(VLOOKUP(VLOOKUP(C192,Project.csv!F:Q,12,FALSE),ServiceAreas.csv!B:I,8,FALSE),LocalAreas.csv!B:I,7,FALSE),200029)</f>
        <v>200029</v>
      </c>
      <c r="E192" s="8" t="str">
        <f t="shared" si="15"/>
        <v>rg:{'id':'200029'}</v>
      </c>
      <c r="F192" s="9" t="s">
        <v>7054</v>
      </c>
      <c r="G192" s="9" t="str">
        <f ca="1">INDEX(DistrictEquipmentTypes.csv!F:F,RANDBETWEEN(2,COUNTA(DistrictEquipmentTypes.csv!D:D)),1)</f>
        <v>200005</v>
      </c>
      <c r="H192" s="8" t="str">
        <f t="shared" ca="1" si="16"/>
        <v>rg:{ 'id': '200005'}</v>
      </c>
      <c r="I192" s="8">
        <f t="shared" ca="1" si="17"/>
        <v>4</v>
      </c>
      <c r="J192" s="8">
        <f t="shared" ca="1" si="18"/>
        <v>9</v>
      </c>
      <c r="K192" s="8" t="str">
        <f t="shared" ca="1" si="19"/>
        <v>2017-05-18</v>
      </c>
      <c r="L192" s="8" t="str">
        <f t="shared" ca="1" si="20"/>
        <v>2017-05-22</v>
      </c>
    </row>
    <row r="193" spans="1:12" x14ac:dyDescent="0.3">
      <c r="A193" s="8" t="s">
        <v>5668</v>
      </c>
      <c r="B193" s="8">
        <f t="shared" si="14"/>
        <v>600191</v>
      </c>
      <c r="C193" s="1" t="s">
        <v>6955</v>
      </c>
      <c r="D193" s="9">
        <f>IFERROR(VLOOKUP(VLOOKUP(VLOOKUP(C193,Project.csv!F:Q,12,FALSE),ServiceAreas.csv!B:I,8,FALSE),LocalAreas.csv!B:I,7,FALSE),200029)</f>
        <v>200029</v>
      </c>
      <c r="E193" s="8" t="str">
        <f t="shared" si="15"/>
        <v>rg:{'id':'200029'}</v>
      </c>
      <c r="F193" s="9" t="s">
        <v>7054</v>
      </c>
      <c r="G193" s="9" t="str">
        <f ca="1">INDEX(DistrictEquipmentTypes.csv!F:F,RANDBETWEEN(2,COUNTA(DistrictEquipmentTypes.csv!D:D)),1)</f>
        <v>200007</v>
      </c>
      <c r="H193" s="8" t="str">
        <f t="shared" ca="1" si="16"/>
        <v>rg:{ 'id': '200007'}</v>
      </c>
      <c r="I193" s="8">
        <f t="shared" ca="1" si="17"/>
        <v>1</v>
      </c>
      <c r="J193" s="8">
        <f t="shared" ca="1" si="18"/>
        <v>38</v>
      </c>
      <c r="K193" s="8" t="str">
        <f t="shared" ca="1" si="19"/>
        <v>2017-04-24</v>
      </c>
      <c r="L193" s="8" t="str">
        <f t="shared" ca="1" si="20"/>
        <v>2017-04-28</v>
      </c>
    </row>
    <row r="194" spans="1:12" x14ac:dyDescent="0.3">
      <c r="A194" s="8" t="s">
        <v>5668</v>
      </c>
      <c r="B194" s="8">
        <f t="shared" si="14"/>
        <v>600192</v>
      </c>
      <c r="C194" s="1" t="s">
        <v>6956</v>
      </c>
      <c r="D194" s="9">
        <f>IFERROR(VLOOKUP(VLOOKUP(VLOOKUP(C194,Project.csv!F:Q,12,FALSE),ServiceAreas.csv!B:I,8,FALSE),LocalAreas.csv!B:I,7,FALSE),200029)</f>
        <v>200029</v>
      </c>
      <c r="E194" s="8" t="str">
        <f t="shared" si="15"/>
        <v>rg:{'id':'200029'}</v>
      </c>
      <c r="F194" s="9" t="s">
        <v>7054</v>
      </c>
      <c r="G194" s="9" t="str">
        <f ca="1">INDEX(DistrictEquipmentTypes.csv!F:F,RANDBETWEEN(2,COUNTA(DistrictEquipmentTypes.csv!D:D)),1)</f>
        <v>200006</v>
      </c>
      <c r="H194" s="8" t="str">
        <f t="shared" ca="1" si="16"/>
        <v>rg:{ 'id': '200006'}</v>
      </c>
      <c r="I194" s="8">
        <f t="shared" ca="1" si="17"/>
        <v>1</v>
      </c>
      <c r="J194" s="8">
        <f t="shared" ca="1" si="18"/>
        <v>99</v>
      </c>
      <c r="K194" s="8" t="str">
        <f t="shared" ca="1" si="19"/>
        <v>2017-05-07</v>
      </c>
      <c r="L194" s="8" t="str">
        <f t="shared" ca="1" si="20"/>
        <v>2017-05-19</v>
      </c>
    </row>
    <row r="195" spans="1:12" x14ac:dyDescent="0.3">
      <c r="A195" s="8" t="s">
        <v>5668</v>
      </c>
      <c r="B195" s="8">
        <f t="shared" ref="B195:B258" si="21">IF(ISNUMBER(B194),B194+1,600000)</f>
        <v>600193</v>
      </c>
      <c r="C195" s="1" t="s">
        <v>6957</v>
      </c>
      <c r="D195" s="9">
        <f>IFERROR(VLOOKUP(VLOOKUP(VLOOKUP(C195,Project.csv!F:Q,12,FALSE),ServiceAreas.csv!B:I,8,FALSE),LocalAreas.csv!B:I,7,FALSE),200029)</f>
        <v>200029</v>
      </c>
      <c r="E195" s="8" t="str">
        <f t="shared" ref="E195:E258" si="22" xml:space="preserve"> "rg:{'id':'" &amp; D195 &amp; "'}"</f>
        <v>rg:{'id':'200029'}</v>
      </c>
      <c r="F195" s="9" t="s">
        <v>7054</v>
      </c>
      <c r="G195" s="9" t="str">
        <f ca="1">INDEX(DistrictEquipmentTypes.csv!F:F,RANDBETWEEN(2,COUNTA(DistrictEquipmentTypes.csv!D:D)),1)</f>
        <v>200003</v>
      </c>
      <c r="H195" s="8" t="str">
        <f t="shared" ref="H195:H258" ca="1" si="23">"rg:{ 'id': '"&amp;G195&amp;"'}"</f>
        <v>rg:{ 'id': '200003'}</v>
      </c>
      <c r="I195" s="8">
        <f t="shared" ref="I195:I258" ca="1" si="24">IF(RANDBETWEEN(1,5)&gt;1,1,RANDBETWEEN(2,5))</f>
        <v>2</v>
      </c>
      <c r="J195" s="8">
        <f t="shared" ref="J195:J258" ca="1" si="25">RANDBETWEEN(4,100)</f>
        <v>93</v>
      </c>
      <c r="K195" s="8" t="str">
        <f t="shared" ref="K195:K258" ca="1" si="26">TEXT(TODAY()+RANDBETWEEN(1,56),"YYYY-MM-DD")</f>
        <v>2017-04-10</v>
      </c>
      <c r="L195" s="8" t="str">
        <f t="shared" ref="L195:L258" ca="1" si="27">TEXT(K195+(I195*J195)/8,"YYYY-MM-DD")</f>
        <v>2017-05-03</v>
      </c>
    </row>
    <row r="196" spans="1:12" x14ac:dyDescent="0.3">
      <c r="A196" s="8" t="s">
        <v>5668</v>
      </c>
      <c r="B196" s="8">
        <f t="shared" si="21"/>
        <v>600194</v>
      </c>
      <c r="C196" s="1" t="s">
        <v>6958</v>
      </c>
      <c r="D196" s="9">
        <f>IFERROR(VLOOKUP(VLOOKUP(VLOOKUP(C196,Project.csv!F:Q,12,FALSE),ServiceAreas.csv!B:I,8,FALSE),LocalAreas.csv!B:I,7,FALSE),200029)</f>
        <v>200029</v>
      </c>
      <c r="E196" s="8" t="str">
        <f t="shared" si="22"/>
        <v>rg:{'id':'200029'}</v>
      </c>
      <c r="F196" s="9" t="s">
        <v>7054</v>
      </c>
      <c r="G196" s="9" t="str">
        <f ca="1">INDEX(DistrictEquipmentTypes.csv!F:F,RANDBETWEEN(2,COUNTA(DistrictEquipmentTypes.csv!D:D)),1)</f>
        <v>200009</v>
      </c>
      <c r="H196" s="8" t="str">
        <f t="shared" ca="1" si="23"/>
        <v>rg:{ 'id': '200009'}</v>
      </c>
      <c r="I196" s="8">
        <f t="shared" ca="1" si="24"/>
        <v>1</v>
      </c>
      <c r="J196" s="8">
        <f t="shared" ca="1" si="25"/>
        <v>98</v>
      </c>
      <c r="K196" s="8" t="str">
        <f t="shared" ca="1" si="26"/>
        <v>2017-04-14</v>
      </c>
      <c r="L196" s="8" t="str">
        <f t="shared" ca="1" si="27"/>
        <v>2017-04-26</v>
      </c>
    </row>
    <row r="197" spans="1:12" x14ac:dyDescent="0.3">
      <c r="A197" s="8" t="s">
        <v>5668</v>
      </c>
      <c r="B197" s="8">
        <f t="shared" si="21"/>
        <v>600195</v>
      </c>
      <c r="C197" s="1" t="s">
        <v>6902</v>
      </c>
      <c r="D197" s="9">
        <f>IFERROR(VLOOKUP(VLOOKUP(VLOOKUP(C197,Project.csv!F:Q,12,FALSE),ServiceAreas.csv!B:I,8,FALSE),LocalAreas.csv!B:I,7,FALSE),200029)</f>
        <v>200029</v>
      </c>
      <c r="E197" s="8" t="str">
        <f t="shared" si="22"/>
        <v>rg:{'id':'200029'}</v>
      </c>
      <c r="F197" s="9" t="s">
        <v>7054</v>
      </c>
      <c r="G197" s="9" t="str">
        <f ca="1">INDEX(DistrictEquipmentTypes.csv!F:F,RANDBETWEEN(2,COUNTA(DistrictEquipmentTypes.csv!D:D)),1)</f>
        <v>200003</v>
      </c>
      <c r="H197" s="8" t="str">
        <f t="shared" ca="1" si="23"/>
        <v>rg:{ 'id': '200003'}</v>
      </c>
      <c r="I197" s="8">
        <f t="shared" ca="1" si="24"/>
        <v>1</v>
      </c>
      <c r="J197" s="8">
        <f t="shared" ca="1" si="25"/>
        <v>82</v>
      </c>
      <c r="K197" s="8" t="str">
        <f t="shared" ca="1" si="26"/>
        <v>2017-05-02</v>
      </c>
      <c r="L197" s="8" t="str">
        <f t="shared" ca="1" si="27"/>
        <v>2017-05-12</v>
      </c>
    </row>
    <row r="198" spans="1:12" x14ac:dyDescent="0.3">
      <c r="A198" s="8" t="s">
        <v>5668</v>
      </c>
      <c r="B198" s="8">
        <f t="shared" si="21"/>
        <v>600196</v>
      </c>
      <c r="C198" s="1" t="s">
        <v>6908</v>
      </c>
      <c r="D198" s="9">
        <f>IFERROR(VLOOKUP(VLOOKUP(VLOOKUP(C198,Project.csv!F:Q,12,FALSE),ServiceAreas.csv!B:I,8,FALSE),LocalAreas.csv!B:I,7,FALSE),200029)</f>
        <v>200029</v>
      </c>
      <c r="E198" s="8" t="str">
        <f t="shared" si="22"/>
        <v>rg:{'id':'200029'}</v>
      </c>
      <c r="F198" s="9" t="s">
        <v>7054</v>
      </c>
      <c r="G198" s="9" t="str">
        <f ca="1">INDEX(DistrictEquipmentTypes.csv!F:F,RANDBETWEEN(2,COUNTA(DistrictEquipmentTypes.csv!D:D)),1)</f>
        <v>200002</v>
      </c>
      <c r="H198" s="8" t="str">
        <f t="shared" ca="1" si="23"/>
        <v>rg:{ 'id': '200002'}</v>
      </c>
      <c r="I198" s="8">
        <f t="shared" ca="1" si="24"/>
        <v>1</v>
      </c>
      <c r="J198" s="8">
        <f t="shared" ca="1" si="25"/>
        <v>7</v>
      </c>
      <c r="K198" s="8" t="str">
        <f t="shared" ca="1" si="26"/>
        <v>2017-05-15</v>
      </c>
      <c r="L198" s="8" t="str">
        <f t="shared" ca="1" si="27"/>
        <v>2017-05-15</v>
      </c>
    </row>
    <row r="199" spans="1:12" x14ac:dyDescent="0.3">
      <c r="A199" s="8" t="s">
        <v>5668</v>
      </c>
      <c r="B199" s="8">
        <f t="shared" si="21"/>
        <v>600197</v>
      </c>
      <c r="C199" s="1" t="s">
        <v>6959</v>
      </c>
      <c r="D199" s="9" t="str">
        <f>IFERROR(VLOOKUP(VLOOKUP(VLOOKUP(C199,Project.csv!F:Q,12,FALSE),ServiceAreas.csv!B:I,8,FALSE),LocalAreas.csv!B:I,7,FALSE),200029)</f>
        <v>rg:None</v>
      </c>
      <c r="E199" s="8" t="str">
        <f t="shared" si="22"/>
        <v>rg:{'id':'rg:None'}</v>
      </c>
      <c r="F199" s="9" t="s">
        <v>7054</v>
      </c>
      <c r="G199" s="9" t="str">
        <f ca="1">INDEX(DistrictEquipmentTypes.csv!F:F,RANDBETWEEN(2,COUNTA(DistrictEquipmentTypes.csv!D:D)),1)</f>
        <v>200006</v>
      </c>
      <c r="H199" s="8" t="str">
        <f t="shared" ca="1" si="23"/>
        <v>rg:{ 'id': '200006'}</v>
      </c>
      <c r="I199" s="8">
        <f t="shared" ca="1" si="24"/>
        <v>1</v>
      </c>
      <c r="J199" s="8">
        <f t="shared" ca="1" si="25"/>
        <v>53</v>
      </c>
      <c r="K199" s="8" t="str">
        <f t="shared" ca="1" si="26"/>
        <v>2017-05-02</v>
      </c>
      <c r="L199" s="8" t="str">
        <f t="shared" ca="1" si="27"/>
        <v>2017-05-08</v>
      </c>
    </row>
    <row r="200" spans="1:12" x14ac:dyDescent="0.3">
      <c r="A200" s="8" t="s">
        <v>5668</v>
      </c>
      <c r="B200" s="8">
        <f t="shared" si="21"/>
        <v>600198</v>
      </c>
      <c r="C200" s="1" t="s">
        <v>6960</v>
      </c>
      <c r="D200" s="9" t="str">
        <f>IFERROR(VLOOKUP(VLOOKUP(VLOOKUP(C200,Project.csv!F:Q,12,FALSE),ServiceAreas.csv!B:I,8,FALSE),LocalAreas.csv!B:I,7,FALSE),200029)</f>
        <v>rg:None</v>
      </c>
      <c r="E200" s="8" t="str">
        <f t="shared" si="22"/>
        <v>rg:{'id':'rg:None'}</v>
      </c>
      <c r="F200" s="9" t="s">
        <v>7054</v>
      </c>
      <c r="G200" s="9" t="str">
        <f ca="1">INDEX(DistrictEquipmentTypes.csv!F:F,RANDBETWEEN(2,COUNTA(DistrictEquipmentTypes.csv!D:D)),1)</f>
        <v>200005</v>
      </c>
      <c r="H200" s="8" t="str">
        <f t="shared" ca="1" si="23"/>
        <v>rg:{ 'id': '200005'}</v>
      </c>
      <c r="I200" s="8">
        <f t="shared" ca="1" si="24"/>
        <v>1</v>
      </c>
      <c r="J200" s="8">
        <f t="shared" ca="1" si="25"/>
        <v>4</v>
      </c>
      <c r="K200" s="8" t="str">
        <f t="shared" ca="1" si="26"/>
        <v>2017-04-16</v>
      </c>
      <c r="L200" s="8" t="str">
        <f t="shared" ca="1" si="27"/>
        <v>2017-04-16</v>
      </c>
    </row>
    <row r="201" spans="1:12" x14ac:dyDescent="0.3">
      <c r="A201" s="8" t="s">
        <v>5668</v>
      </c>
      <c r="B201" s="8">
        <f t="shared" si="21"/>
        <v>600199</v>
      </c>
      <c r="C201" s="1" t="s">
        <v>6961</v>
      </c>
      <c r="D201" s="9" t="str">
        <f>IFERROR(VLOOKUP(VLOOKUP(VLOOKUP(C201,Project.csv!F:Q,12,FALSE),ServiceAreas.csv!B:I,8,FALSE),LocalAreas.csv!B:I,7,FALSE),200029)</f>
        <v>rg:None</v>
      </c>
      <c r="E201" s="8" t="str">
        <f t="shared" si="22"/>
        <v>rg:{'id':'rg:None'}</v>
      </c>
      <c r="F201" s="9" t="s">
        <v>7054</v>
      </c>
      <c r="G201" s="9" t="str">
        <f ca="1">INDEX(DistrictEquipmentTypes.csv!F:F,RANDBETWEEN(2,COUNTA(DistrictEquipmentTypes.csv!D:D)),1)</f>
        <v>200009</v>
      </c>
      <c r="H201" s="8" t="str">
        <f t="shared" ca="1" si="23"/>
        <v>rg:{ 'id': '200009'}</v>
      </c>
      <c r="I201" s="8">
        <f t="shared" ca="1" si="24"/>
        <v>1</v>
      </c>
      <c r="J201" s="8">
        <f t="shared" ca="1" si="25"/>
        <v>52</v>
      </c>
      <c r="K201" s="8" t="str">
        <f t="shared" ca="1" si="26"/>
        <v>2017-04-16</v>
      </c>
      <c r="L201" s="8" t="str">
        <f t="shared" ca="1" si="27"/>
        <v>2017-04-22</v>
      </c>
    </row>
    <row r="202" spans="1:12" x14ac:dyDescent="0.3">
      <c r="A202" s="8" t="s">
        <v>5668</v>
      </c>
      <c r="B202" s="8">
        <f t="shared" si="21"/>
        <v>600200</v>
      </c>
      <c r="C202" s="1" t="s">
        <v>6928</v>
      </c>
      <c r="D202" s="9" t="str">
        <f>IFERROR(VLOOKUP(VLOOKUP(VLOOKUP(C202,Project.csv!F:Q,12,FALSE),ServiceAreas.csv!B:I,8,FALSE),LocalAreas.csv!B:I,7,FALSE),200029)</f>
        <v>rg:None</v>
      </c>
      <c r="E202" s="8" t="str">
        <f t="shared" si="22"/>
        <v>rg:{'id':'rg:None'}</v>
      </c>
      <c r="F202" s="9" t="s">
        <v>7054</v>
      </c>
      <c r="G202" s="9" t="str">
        <f ca="1">INDEX(DistrictEquipmentTypes.csv!F:F,RANDBETWEEN(2,COUNTA(DistrictEquipmentTypes.csv!D:D)),1)</f>
        <v>200004</v>
      </c>
      <c r="H202" s="8" t="str">
        <f t="shared" ca="1" si="23"/>
        <v>rg:{ 'id': '200004'}</v>
      </c>
      <c r="I202" s="8">
        <f t="shared" ca="1" si="24"/>
        <v>1</v>
      </c>
      <c r="J202" s="8">
        <f t="shared" ca="1" si="25"/>
        <v>23</v>
      </c>
      <c r="K202" s="8" t="str">
        <f t="shared" ca="1" si="26"/>
        <v>2017-04-18</v>
      </c>
      <c r="L202" s="8" t="str">
        <f t="shared" ca="1" si="27"/>
        <v>2017-04-20</v>
      </c>
    </row>
    <row r="203" spans="1:12" x14ac:dyDescent="0.3">
      <c r="A203" s="8" t="s">
        <v>5668</v>
      </c>
      <c r="B203" s="8">
        <f t="shared" si="21"/>
        <v>600201</v>
      </c>
      <c r="C203" s="1" t="s">
        <v>6923</v>
      </c>
      <c r="D203" s="9" t="str">
        <f>IFERROR(VLOOKUP(VLOOKUP(VLOOKUP(C203,Project.csv!F:Q,12,FALSE),ServiceAreas.csv!B:I,8,FALSE),LocalAreas.csv!B:I,7,FALSE),200029)</f>
        <v>rg:None</v>
      </c>
      <c r="E203" s="8" t="str">
        <f t="shared" si="22"/>
        <v>rg:{'id':'rg:None'}</v>
      </c>
      <c r="F203" s="9" t="s">
        <v>7054</v>
      </c>
      <c r="G203" s="9" t="str">
        <f ca="1">INDEX(DistrictEquipmentTypes.csv!F:F,RANDBETWEEN(2,COUNTA(DistrictEquipmentTypes.csv!D:D)),1)</f>
        <v>200005</v>
      </c>
      <c r="H203" s="8" t="str">
        <f t="shared" ca="1" si="23"/>
        <v>rg:{ 'id': '200005'}</v>
      </c>
      <c r="I203" s="8">
        <f t="shared" ca="1" si="24"/>
        <v>1</v>
      </c>
      <c r="J203" s="8">
        <f t="shared" ca="1" si="25"/>
        <v>78</v>
      </c>
      <c r="K203" s="8" t="str">
        <f t="shared" ca="1" si="26"/>
        <v>2017-05-25</v>
      </c>
      <c r="L203" s="8" t="str">
        <f t="shared" ca="1" si="27"/>
        <v>2017-06-03</v>
      </c>
    </row>
    <row r="204" spans="1:12" x14ac:dyDescent="0.3">
      <c r="A204" s="8" t="s">
        <v>5668</v>
      </c>
      <c r="B204" s="8">
        <f t="shared" si="21"/>
        <v>600202</v>
      </c>
      <c r="C204" s="1" t="s">
        <v>6930</v>
      </c>
      <c r="D204" s="9" t="str">
        <f>IFERROR(VLOOKUP(VLOOKUP(VLOOKUP(C204,Project.csv!F:Q,12,FALSE),ServiceAreas.csv!B:I,8,FALSE),LocalAreas.csv!B:I,7,FALSE),200029)</f>
        <v>rg:None</v>
      </c>
      <c r="E204" s="8" t="str">
        <f t="shared" si="22"/>
        <v>rg:{'id':'rg:None'}</v>
      </c>
      <c r="F204" s="9" t="s">
        <v>7054</v>
      </c>
      <c r="G204" s="9" t="str">
        <f ca="1">INDEX(DistrictEquipmentTypes.csv!F:F,RANDBETWEEN(2,COUNTA(DistrictEquipmentTypes.csv!D:D)),1)</f>
        <v>200001</v>
      </c>
      <c r="H204" s="8" t="str">
        <f t="shared" ca="1" si="23"/>
        <v>rg:{ 'id': '200001'}</v>
      </c>
      <c r="I204" s="8">
        <f t="shared" ca="1" si="24"/>
        <v>1</v>
      </c>
      <c r="J204" s="8">
        <f t="shared" ca="1" si="25"/>
        <v>45</v>
      </c>
      <c r="K204" s="8" t="str">
        <f t="shared" ca="1" si="26"/>
        <v>2017-05-19</v>
      </c>
      <c r="L204" s="8" t="str">
        <f t="shared" ca="1" si="27"/>
        <v>2017-05-24</v>
      </c>
    </row>
    <row r="205" spans="1:12" x14ac:dyDescent="0.3">
      <c r="A205" s="8" t="s">
        <v>5668</v>
      </c>
      <c r="B205" s="8">
        <f t="shared" si="21"/>
        <v>600203</v>
      </c>
      <c r="C205" s="1" t="s">
        <v>6962</v>
      </c>
      <c r="D205" s="9" t="str">
        <f>IFERROR(VLOOKUP(VLOOKUP(VLOOKUP(C205,Project.csv!F:Q,12,FALSE),ServiceAreas.csv!B:I,8,FALSE),LocalAreas.csv!B:I,7,FALSE),200029)</f>
        <v>rg:None</v>
      </c>
      <c r="E205" s="8" t="str">
        <f t="shared" si="22"/>
        <v>rg:{'id':'rg:None'}</v>
      </c>
      <c r="F205" s="9" t="s">
        <v>7054</v>
      </c>
      <c r="G205" s="9" t="str">
        <f ca="1">INDEX(DistrictEquipmentTypes.csv!F:F,RANDBETWEEN(2,COUNTA(DistrictEquipmentTypes.csv!D:D)),1)</f>
        <v>200006</v>
      </c>
      <c r="H205" s="8" t="str">
        <f t="shared" ca="1" si="23"/>
        <v>rg:{ 'id': '200006'}</v>
      </c>
      <c r="I205" s="8">
        <f t="shared" ca="1" si="24"/>
        <v>1</v>
      </c>
      <c r="J205" s="8">
        <f t="shared" ca="1" si="25"/>
        <v>78</v>
      </c>
      <c r="K205" s="8" t="str">
        <f t="shared" ca="1" si="26"/>
        <v>2017-04-16</v>
      </c>
      <c r="L205" s="8" t="str">
        <f t="shared" ca="1" si="27"/>
        <v>2017-04-25</v>
      </c>
    </row>
    <row r="206" spans="1:12" x14ac:dyDescent="0.3">
      <c r="A206" s="8" t="s">
        <v>5668</v>
      </c>
      <c r="B206" s="8">
        <f t="shared" si="21"/>
        <v>600204</v>
      </c>
      <c r="C206" s="1" t="s">
        <v>6913</v>
      </c>
      <c r="D206" s="9" t="str">
        <f>IFERROR(VLOOKUP(VLOOKUP(VLOOKUP(C206,Project.csv!F:Q,12,FALSE),ServiceAreas.csv!B:I,8,FALSE),LocalAreas.csv!B:I,7,FALSE),200029)</f>
        <v>rg:None</v>
      </c>
      <c r="E206" s="8" t="str">
        <f t="shared" si="22"/>
        <v>rg:{'id':'rg:None'}</v>
      </c>
      <c r="F206" s="9" t="s">
        <v>7054</v>
      </c>
      <c r="G206" s="9" t="str">
        <f ca="1">INDEX(DistrictEquipmentTypes.csv!F:F,RANDBETWEEN(2,COUNTA(DistrictEquipmentTypes.csv!D:D)),1)</f>
        <v>200009</v>
      </c>
      <c r="H206" s="8" t="str">
        <f t="shared" ca="1" si="23"/>
        <v>rg:{ 'id': '200009'}</v>
      </c>
      <c r="I206" s="8">
        <f t="shared" ca="1" si="24"/>
        <v>1</v>
      </c>
      <c r="J206" s="8">
        <f t="shared" ca="1" si="25"/>
        <v>66</v>
      </c>
      <c r="K206" s="8" t="str">
        <f t="shared" ca="1" si="26"/>
        <v>2017-05-01</v>
      </c>
      <c r="L206" s="8" t="str">
        <f t="shared" ca="1" si="27"/>
        <v>2017-05-09</v>
      </c>
    </row>
    <row r="207" spans="1:12" x14ac:dyDescent="0.3">
      <c r="A207" s="8" t="s">
        <v>5668</v>
      </c>
      <c r="B207" s="8">
        <f t="shared" si="21"/>
        <v>600205</v>
      </c>
      <c r="C207" s="1" t="s">
        <v>6963</v>
      </c>
      <c r="D207" s="9" t="str">
        <f>IFERROR(VLOOKUP(VLOOKUP(VLOOKUP(C207,Project.csv!F:Q,12,FALSE),ServiceAreas.csv!B:I,8,FALSE),LocalAreas.csv!B:I,7,FALSE),200029)</f>
        <v>rg:None</v>
      </c>
      <c r="E207" s="8" t="str">
        <f t="shared" si="22"/>
        <v>rg:{'id':'rg:None'}</v>
      </c>
      <c r="F207" s="9" t="s">
        <v>7054</v>
      </c>
      <c r="G207" s="9" t="str">
        <f ca="1">INDEX(DistrictEquipmentTypes.csv!F:F,RANDBETWEEN(2,COUNTA(DistrictEquipmentTypes.csv!D:D)),1)</f>
        <v>200006</v>
      </c>
      <c r="H207" s="8" t="str">
        <f t="shared" ca="1" si="23"/>
        <v>rg:{ 'id': '200006'}</v>
      </c>
      <c r="I207" s="8">
        <f t="shared" ca="1" si="24"/>
        <v>3</v>
      </c>
      <c r="J207" s="8">
        <f t="shared" ca="1" si="25"/>
        <v>100</v>
      </c>
      <c r="K207" s="8" t="str">
        <f t="shared" ca="1" si="26"/>
        <v>2017-05-06</v>
      </c>
      <c r="L207" s="8" t="str">
        <f t="shared" ca="1" si="27"/>
        <v>2017-06-12</v>
      </c>
    </row>
    <row r="208" spans="1:12" x14ac:dyDescent="0.3">
      <c r="A208" s="8" t="s">
        <v>5668</v>
      </c>
      <c r="B208" s="8">
        <f t="shared" si="21"/>
        <v>600206</v>
      </c>
      <c r="C208" s="1" t="s">
        <v>6964</v>
      </c>
      <c r="D208" s="9" t="str">
        <f>IFERROR(VLOOKUP(VLOOKUP(VLOOKUP(C208,Project.csv!F:Q,12,FALSE),ServiceAreas.csv!B:I,8,FALSE),LocalAreas.csv!B:I,7,FALSE),200029)</f>
        <v>rg:None</v>
      </c>
      <c r="E208" s="8" t="str">
        <f t="shared" si="22"/>
        <v>rg:{'id':'rg:None'}</v>
      </c>
      <c r="F208" s="9" t="s">
        <v>7054</v>
      </c>
      <c r="G208" s="9" t="str">
        <f ca="1">INDEX(DistrictEquipmentTypes.csv!F:F,RANDBETWEEN(2,COUNTA(DistrictEquipmentTypes.csv!D:D)),1)</f>
        <v>200007</v>
      </c>
      <c r="H208" s="8" t="str">
        <f t="shared" ca="1" si="23"/>
        <v>rg:{ 'id': '200007'}</v>
      </c>
      <c r="I208" s="8">
        <f t="shared" ca="1" si="24"/>
        <v>1</v>
      </c>
      <c r="J208" s="8">
        <f t="shared" ca="1" si="25"/>
        <v>42</v>
      </c>
      <c r="K208" s="8" t="str">
        <f t="shared" ca="1" si="26"/>
        <v>2017-05-15</v>
      </c>
      <c r="L208" s="8" t="str">
        <f t="shared" ca="1" si="27"/>
        <v>2017-05-20</v>
      </c>
    </row>
    <row r="209" spans="1:12" x14ac:dyDescent="0.3">
      <c r="A209" s="8" t="s">
        <v>5668</v>
      </c>
      <c r="B209" s="8">
        <f t="shared" si="21"/>
        <v>600207</v>
      </c>
      <c r="C209" s="1" t="s">
        <v>6965</v>
      </c>
      <c r="D209" s="9" t="str">
        <f>IFERROR(VLOOKUP(VLOOKUP(VLOOKUP(C209,Project.csv!F:Q,12,FALSE),ServiceAreas.csv!B:I,8,FALSE),LocalAreas.csv!B:I,7,FALSE),200029)</f>
        <v>rg:None</v>
      </c>
      <c r="E209" s="8" t="str">
        <f t="shared" si="22"/>
        <v>rg:{'id':'rg:None'}</v>
      </c>
      <c r="F209" s="9" t="s">
        <v>7054</v>
      </c>
      <c r="G209" s="9" t="str">
        <f ca="1">INDEX(DistrictEquipmentTypes.csv!F:F,RANDBETWEEN(2,COUNTA(DistrictEquipmentTypes.csv!D:D)),1)</f>
        <v>200006</v>
      </c>
      <c r="H209" s="8" t="str">
        <f t="shared" ca="1" si="23"/>
        <v>rg:{ 'id': '200006'}</v>
      </c>
      <c r="I209" s="8">
        <f t="shared" ca="1" si="24"/>
        <v>3</v>
      </c>
      <c r="J209" s="8">
        <f t="shared" ca="1" si="25"/>
        <v>76</v>
      </c>
      <c r="K209" s="8" t="str">
        <f t="shared" ca="1" si="26"/>
        <v>2017-04-01</v>
      </c>
      <c r="L209" s="8" t="str">
        <f t="shared" ca="1" si="27"/>
        <v>2017-04-29</v>
      </c>
    </row>
    <row r="210" spans="1:12" x14ac:dyDescent="0.3">
      <c r="A210" s="8" t="s">
        <v>5668</v>
      </c>
      <c r="B210" s="8">
        <f t="shared" si="21"/>
        <v>600208</v>
      </c>
      <c r="C210" s="1" t="s">
        <v>6966</v>
      </c>
      <c r="D210" s="9" t="str">
        <f>IFERROR(VLOOKUP(VLOOKUP(VLOOKUP(C210,Project.csv!F:Q,12,FALSE),ServiceAreas.csv!B:I,8,FALSE),LocalAreas.csv!B:I,7,FALSE),200029)</f>
        <v>rg:None</v>
      </c>
      <c r="E210" s="8" t="str">
        <f t="shared" si="22"/>
        <v>rg:{'id':'rg:None'}</v>
      </c>
      <c r="F210" s="9" t="s">
        <v>7054</v>
      </c>
      <c r="G210" s="9" t="str">
        <f ca="1">INDEX(DistrictEquipmentTypes.csv!F:F,RANDBETWEEN(2,COUNTA(DistrictEquipmentTypes.csv!D:D)),1)</f>
        <v>200001</v>
      </c>
      <c r="H210" s="8" t="str">
        <f t="shared" ca="1" si="23"/>
        <v>rg:{ 'id': '200001'}</v>
      </c>
      <c r="I210" s="8">
        <f t="shared" ca="1" si="24"/>
        <v>1</v>
      </c>
      <c r="J210" s="8">
        <f t="shared" ca="1" si="25"/>
        <v>39</v>
      </c>
      <c r="K210" s="8" t="str">
        <f t="shared" ca="1" si="26"/>
        <v>2017-05-10</v>
      </c>
      <c r="L210" s="8" t="str">
        <f t="shared" ca="1" si="27"/>
        <v>2017-05-14</v>
      </c>
    </row>
    <row r="211" spans="1:12" x14ac:dyDescent="0.3">
      <c r="A211" s="8" t="s">
        <v>5668</v>
      </c>
      <c r="B211" s="8">
        <f t="shared" si="21"/>
        <v>600209</v>
      </c>
      <c r="C211" s="1" t="s">
        <v>6905</v>
      </c>
      <c r="D211" s="9" t="str">
        <f>IFERROR(VLOOKUP(VLOOKUP(VLOOKUP(C211,Project.csv!F:Q,12,FALSE),ServiceAreas.csv!B:I,8,FALSE),LocalAreas.csv!B:I,7,FALSE),200029)</f>
        <v>rg:None</v>
      </c>
      <c r="E211" s="8" t="str">
        <f t="shared" si="22"/>
        <v>rg:{'id':'rg:None'}</v>
      </c>
      <c r="F211" s="9" t="s">
        <v>7054</v>
      </c>
      <c r="G211" s="9" t="str">
        <f ca="1">INDEX(DistrictEquipmentTypes.csv!F:F,RANDBETWEEN(2,COUNTA(DistrictEquipmentTypes.csv!D:D)),1)</f>
        <v>200005</v>
      </c>
      <c r="H211" s="8" t="str">
        <f t="shared" ca="1" si="23"/>
        <v>rg:{ 'id': '200005'}</v>
      </c>
      <c r="I211" s="8">
        <f t="shared" ca="1" si="24"/>
        <v>1</v>
      </c>
      <c r="J211" s="8">
        <f t="shared" ca="1" si="25"/>
        <v>42</v>
      </c>
      <c r="K211" s="8" t="str">
        <f t="shared" ca="1" si="26"/>
        <v>2017-04-09</v>
      </c>
      <c r="L211" s="8" t="str">
        <f t="shared" ca="1" si="27"/>
        <v>2017-04-14</v>
      </c>
    </row>
    <row r="212" spans="1:12" x14ac:dyDescent="0.3">
      <c r="A212" s="8" t="s">
        <v>5668</v>
      </c>
      <c r="B212" s="8">
        <f t="shared" si="21"/>
        <v>600210</v>
      </c>
      <c r="C212" s="1" t="s">
        <v>6967</v>
      </c>
      <c r="D212" s="9" t="str">
        <f>IFERROR(VLOOKUP(VLOOKUP(VLOOKUP(C212,Project.csv!F:Q,12,FALSE),ServiceAreas.csv!B:I,8,FALSE),LocalAreas.csv!B:I,7,FALSE),200029)</f>
        <v>rg:None</v>
      </c>
      <c r="E212" s="8" t="str">
        <f t="shared" si="22"/>
        <v>rg:{'id':'rg:None'}</v>
      </c>
      <c r="F212" s="9" t="s">
        <v>7054</v>
      </c>
      <c r="G212" s="9" t="str">
        <f ca="1">INDEX(DistrictEquipmentTypes.csv!F:F,RANDBETWEEN(2,COUNTA(DistrictEquipmentTypes.csv!D:D)),1)</f>
        <v>200006</v>
      </c>
      <c r="H212" s="8" t="str">
        <f t="shared" ca="1" si="23"/>
        <v>rg:{ 'id': '200006'}</v>
      </c>
      <c r="I212" s="8">
        <f t="shared" ca="1" si="24"/>
        <v>1</v>
      </c>
      <c r="J212" s="8">
        <f t="shared" ca="1" si="25"/>
        <v>23</v>
      </c>
      <c r="K212" s="8" t="str">
        <f t="shared" ca="1" si="26"/>
        <v>2017-05-08</v>
      </c>
      <c r="L212" s="8" t="str">
        <f t="shared" ca="1" si="27"/>
        <v>2017-05-10</v>
      </c>
    </row>
    <row r="213" spans="1:12" x14ac:dyDescent="0.3">
      <c r="A213" s="8" t="s">
        <v>5668</v>
      </c>
      <c r="B213" s="8">
        <f t="shared" si="21"/>
        <v>600211</v>
      </c>
      <c r="C213" s="1" t="s">
        <v>6968</v>
      </c>
      <c r="D213" s="9" t="str">
        <f>IFERROR(VLOOKUP(VLOOKUP(VLOOKUP(C213,Project.csv!F:Q,12,FALSE),ServiceAreas.csv!B:I,8,FALSE),LocalAreas.csv!B:I,7,FALSE),200029)</f>
        <v>rg:None</v>
      </c>
      <c r="E213" s="8" t="str">
        <f t="shared" si="22"/>
        <v>rg:{'id':'rg:None'}</v>
      </c>
      <c r="F213" s="9" t="s">
        <v>7054</v>
      </c>
      <c r="G213" s="9" t="str">
        <f ca="1">INDEX(DistrictEquipmentTypes.csv!F:F,RANDBETWEEN(2,COUNTA(DistrictEquipmentTypes.csv!D:D)),1)</f>
        <v>200001</v>
      </c>
      <c r="H213" s="8" t="str">
        <f t="shared" ca="1" si="23"/>
        <v>rg:{ 'id': '200001'}</v>
      </c>
      <c r="I213" s="8">
        <f t="shared" ca="1" si="24"/>
        <v>4</v>
      </c>
      <c r="J213" s="8">
        <f t="shared" ca="1" si="25"/>
        <v>21</v>
      </c>
      <c r="K213" s="8" t="str">
        <f t="shared" ca="1" si="26"/>
        <v>2017-05-12</v>
      </c>
      <c r="L213" s="8" t="str">
        <f t="shared" ca="1" si="27"/>
        <v>2017-05-22</v>
      </c>
    </row>
    <row r="214" spans="1:12" x14ac:dyDescent="0.3">
      <c r="A214" s="8" t="s">
        <v>5668</v>
      </c>
      <c r="B214" s="8">
        <f t="shared" si="21"/>
        <v>600212</v>
      </c>
      <c r="C214" s="1" t="s">
        <v>6969</v>
      </c>
      <c r="D214" s="9" t="str">
        <f>IFERROR(VLOOKUP(VLOOKUP(VLOOKUP(C214,Project.csv!F:Q,12,FALSE),ServiceAreas.csv!B:I,8,FALSE),LocalAreas.csv!B:I,7,FALSE),200029)</f>
        <v>rg:None</v>
      </c>
      <c r="E214" s="8" t="str">
        <f t="shared" si="22"/>
        <v>rg:{'id':'rg:None'}</v>
      </c>
      <c r="F214" s="9" t="s">
        <v>7054</v>
      </c>
      <c r="G214" s="9" t="str">
        <f ca="1">INDEX(DistrictEquipmentTypes.csv!F:F,RANDBETWEEN(2,COUNTA(DistrictEquipmentTypes.csv!D:D)),1)</f>
        <v>200002</v>
      </c>
      <c r="H214" s="8" t="str">
        <f t="shared" ca="1" si="23"/>
        <v>rg:{ 'id': '200002'}</v>
      </c>
      <c r="I214" s="8">
        <f t="shared" ca="1" si="24"/>
        <v>1</v>
      </c>
      <c r="J214" s="8">
        <f t="shared" ca="1" si="25"/>
        <v>35</v>
      </c>
      <c r="K214" s="8" t="str">
        <f t="shared" ca="1" si="26"/>
        <v>2017-05-23</v>
      </c>
      <c r="L214" s="8" t="str">
        <f t="shared" ca="1" si="27"/>
        <v>2017-05-27</v>
      </c>
    </row>
    <row r="215" spans="1:12" x14ac:dyDescent="0.3">
      <c r="A215" s="8" t="s">
        <v>5668</v>
      </c>
      <c r="B215" s="8">
        <f t="shared" si="21"/>
        <v>600213</v>
      </c>
      <c r="C215" s="1" t="s">
        <v>6910</v>
      </c>
      <c r="D215" s="9" t="str">
        <f>IFERROR(VLOOKUP(VLOOKUP(VLOOKUP(C215,Project.csv!F:Q,12,FALSE),ServiceAreas.csv!B:I,8,FALSE),LocalAreas.csv!B:I,7,FALSE),200029)</f>
        <v>rg:None</v>
      </c>
      <c r="E215" s="8" t="str">
        <f t="shared" si="22"/>
        <v>rg:{'id':'rg:None'}</v>
      </c>
      <c r="F215" s="9" t="s">
        <v>7054</v>
      </c>
      <c r="G215" s="9" t="str">
        <f ca="1">INDEX(DistrictEquipmentTypes.csv!F:F,RANDBETWEEN(2,COUNTA(DistrictEquipmentTypes.csv!D:D)),1)</f>
        <v>200006</v>
      </c>
      <c r="H215" s="8" t="str">
        <f t="shared" ca="1" si="23"/>
        <v>rg:{ 'id': '200006'}</v>
      </c>
      <c r="I215" s="8">
        <f t="shared" ca="1" si="24"/>
        <v>1</v>
      </c>
      <c r="J215" s="8">
        <f t="shared" ca="1" si="25"/>
        <v>34</v>
      </c>
      <c r="K215" s="8" t="str">
        <f t="shared" ca="1" si="26"/>
        <v>2017-05-02</v>
      </c>
      <c r="L215" s="8" t="str">
        <f t="shared" ca="1" si="27"/>
        <v>2017-05-06</v>
      </c>
    </row>
    <row r="216" spans="1:12" x14ac:dyDescent="0.3">
      <c r="A216" s="8" t="s">
        <v>5668</v>
      </c>
      <c r="B216" s="8">
        <f t="shared" si="21"/>
        <v>600214</v>
      </c>
      <c r="C216" s="1" t="s">
        <v>6909</v>
      </c>
      <c r="D216" s="9" t="str">
        <f>IFERROR(VLOOKUP(VLOOKUP(VLOOKUP(C216,Project.csv!F:Q,12,FALSE),ServiceAreas.csv!B:I,8,FALSE),LocalAreas.csv!B:I,7,FALSE),200029)</f>
        <v>rg:None</v>
      </c>
      <c r="E216" s="8" t="str">
        <f t="shared" si="22"/>
        <v>rg:{'id':'rg:None'}</v>
      </c>
      <c r="F216" s="9" t="s">
        <v>7054</v>
      </c>
      <c r="G216" s="9" t="str">
        <f ca="1">INDEX(DistrictEquipmentTypes.csv!F:F,RANDBETWEEN(2,COUNTA(DistrictEquipmentTypes.csv!D:D)),1)</f>
        <v>200007</v>
      </c>
      <c r="H216" s="8" t="str">
        <f t="shared" ca="1" si="23"/>
        <v>rg:{ 'id': '200007'}</v>
      </c>
      <c r="I216" s="8">
        <f t="shared" ca="1" si="24"/>
        <v>1</v>
      </c>
      <c r="J216" s="8">
        <f t="shared" ca="1" si="25"/>
        <v>31</v>
      </c>
      <c r="K216" s="8" t="str">
        <f t="shared" ca="1" si="26"/>
        <v>2017-04-12</v>
      </c>
      <c r="L216" s="8" t="str">
        <f t="shared" ca="1" si="27"/>
        <v>2017-04-15</v>
      </c>
    </row>
    <row r="217" spans="1:12" x14ac:dyDescent="0.3">
      <c r="A217" s="8" t="s">
        <v>5668</v>
      </c>
      <c r="B217" s="8">
        <f t="shared" si="21"/>
        <v>600215</v>
      </c>
      <c r="C217" s="1" t="s">
        <v>6970</v>
      </c>
      <c r="D217" s="9" t="str">
        <f>IFERROR(VLOOKUP(VLOOKUP(VLOOKUP(C217,Project.csv!F:Q,12,FALSE),ServiceAreas.csv!B:I,8,FALSE),LocalAreas.csv!B:I,7,FALSE),200029)</f>
        <v>rg:None</v>
      </c>
      <c r="E217" s="8" t="str">
        <f t="shared" si="22"/>
        <v>rg:{'id':'rg:None'}</v>
      </c>
      <c r="F217" s="9" t="s">
        <v>7054</v>
      </c>
      <c r="G217" s="9" t="str">
        <f ca="1">INDEX(DistrictEquipmentTypes.csv!F:F,RANDBETWEEN(2,COUNTA(DistrictEquipmentTypes.csv!D:D)),1)</f>
        <v>200001</v>
      </c>
      <c r="H217" s="8" t="str">
        <f t="shared" ca="1" si="23"/>
        <v>rg:{ 'id': '200001'}</v>
      </c>
      <c r="I217" s="8">
        <f t="shared" ca="1" si="24"/>
        <v>4</v>
      </c>
      <c r="J217" s="8">
        <f t="shared" ca="1" si="25"/>
        <v>75</v>
      </c>
      <c r="K217" s="8" t="str">
        <f t="shared" ca="1" si="26"/>
        <v>2017-04-29</v>
      </c>
      <c r="L217" s="8" t="str">
        <f t="shared" ca="1" si="27"/>
        <v>2017-06-05</v>
      </c>
    </row>
    <row r="218" spans="1:12" x14ac:dyDescent="0.3">
      <c r="A218" s="8" t="s">
        <v>5668</v>
      </c>
      <c r="B218" s="8">
        <f t="shared" si="21"/>
        <v>600216</v>
      </c>
      <c r="C218" s="1" t="s">
        <v>6971</v>
      </c>
      <c r="D218" s="9" t="str">
        <f>IFERROR(VLOOKUP(VLOOKUP(VLOOKUP(C218,Project.csv!F:Q,12,FALSE),ServiceAreas.csv!B:I,8,FALSE),LocalAreas.csv!B:I,7,FALSE),200029)</f>
        <v>rg:None</v>
      </c>
      <c r="E218" s="8" t="str">
        <f t="shared" si="22"/>
        <v>rg:{'id':'rg:None'}</v>
      </c>
      <c r="F218" s="9" t="s">
        <v>7054</v>
      </c>
      <c r="G218" s="9" t="str">
        <f ca="1">INDEX(DistrictEquipmentTypes.csv!F:F,RANDBETWEEN(2,COUNTA(DistrictEquipmentTypes.csv!D:D)),1)</f>
        <v>200002</v>
      </c>
      <c r="H218" s="8" t="str">
        <f t="shared" ca="1" si="23"/>
        <v>rg:{ 'id': '200002'}</v>
      </c>
      <c r="I218" s="8">
        <f t="shared" ca="1" si="24"/>
        <v>1</v>
      </c>
      <c r="J218" s="8">
        <f t="shared" ca="1" si="25"/>
        <v>67</v>
      </c>
      <c r="K218" s="8" t="str">
        <f t="shared" ca="1" si="26"/>
        <v>2017-04-23</v>
      </c>
      <c r="L218" s="8" t="str">
        <f t="shared" ca="1" si="27"/>
        <v>2017-05-01</v>
      </c>
    </row>
    <row r="219" spans="1:12" x14ac:dyDescent="0.3">
      <c r="A219" s="8" t="s">
        <v>5668</v>
      </c>
      <c r="B219" s="8">
        <f t="shared" si="21"/>
        <v>600217</v>
      </c>
      <c r="C219" s="1" t="s">
        <v>6972</v>
      </c>
      <c r="D219" s="9" t="str">
        <f>IFERROR(VLOOKUP(VLOOKUP(VLOOKUP(C219,Project.csv!F:Q,12,FALSE),ServiceAreas.csv!B:I,8,FALSE),LocalAreas.csv!B:I,7,FALSE),200029)</f>
        <v>rg:None</v>
      </c>
      <c r="E219" s="8" t="str">
        <f t="shared" si="22"/>
        <v>rg:{'id':'rg:None'}</v>
      </c>
      <c r="F219" s="9" t="s">
        <v>7054</v>
      </c>
      <c r="G219" s="9" t="str">
        <f ca="1">INDEX(DistrictEquipmentTypes.csv!F:F,RANDBETWEEN(2,COUNTA(DistrictEquipmentTypes.csv!D:D)),1)</f>
        <v>200000</v>
      </c>
      <c r="H219" s="8" t="str">
        <f t="shared" ca="1" si="23"/>
        <v>rg:{ 'id': '200000'}</v>
      </c>
      <c r="I219" s="8">
        <f t="shared" ca="1" si="24"/>
        <v>1</v>
      </c>
      <c r="J219" s="8">
        <f t="shared" ca="1" si="25"/>
        <v>33</v>
      </c>
      <c r="K219" s="8" t="str">
        <f t="shared" ca="1" si="26"/>
        <v>2017-04-15</v>
      </c>
      <c r="L219" s="8" t="str">
        <f t="shared" ca="1" si="27"/>
        <v>2017-04-19</v>
      </c>
    </row>
    <row r="220" spans="1:12" x14ac:dyDescent="0.3">
      <c r="A220" s="8" t="s">
        <v>5668</v>
      </c>
      <c r="B220" s="8">
        <f t="shared" si="21"/>
        <v>600218</v>
      </c>
      <c r="C220" s="1" t="s">
        <v>6973</v>
      </c>
      <c r="D220" s="9" t="str">
        <f>IFERROR(VLOOKUP(VLOOKUP(VLOOKUP(C220,Project.csv!F:Q,12,FALSE),ServiceAreas.csv!B:I,8,FALSE),LocalAreas.csv!B:I,7,FALSE),200029)</f>
        <v>rg:None</v>
      </c>
      <c r="E220" s="8" t="str">
        <f t="shared" si="22"/>
        <v>rg:{'id':'rg:None'}</v>
      </c>
      <c r="F220" s="9" t="s">
        <v>7054</v>
      </c>
      <c r="G220" s="9" t="str">
        <f ca="1">INDEX(DistrictEquipmentTypes.csv!F:F,RANDBETWEEN(2,COUNTA(DistrictEquipmentTypes.csv!D:D)),1)</f>
        <v>200000</v>
      </c>
      <c r="H220" s="8" t="str">
        <f t="shared" ca="1" si="23"/>
        <v>rg:{ 'id': '200000'}</v>
      </c>
      <c r="I220" s="8">
        <f t="shared" ca="1" si="24"/>
        <v>5</v>
      </c>
      <c r="J220" s="8">
        <f t="shared" ca="1" si="25"/>
        <v>19</v>
      </c>
      <c r="K220" s="8" t="str">
        <f t="shared" ca="1" si="26"/>
        <v>2017-04-26</v>
      </c>
      <c r="L220" s="8" t="str">
        <f t="shared" ca="1" si="27"/>
        <v>2017-05-07</v>
      </c>
    </row>
    <row r="221" spans="1:12" x14ac:dyDescent="0.3">
      <c r="A221" s="8" t="s">
        <v>5668</v>
      </c>
      <c r="B221" s="8">
        <f t="shared" si="21"/>
        <v>600219</v>
      </c>
      <c r="C221" s="1" t="s">
        <v>6974</v>
      </c>
      <c r="D221" s="9" t="str">
        <f>IFERROR(VLOOKUP(VLOOKUP(VLOOKUP(C221,Project.csv!F:Q,12,FALSE),ServiceAreas.csv!B:I,8,FALSE),LocalAreas.csv!B:I,7,FALSE),200029)</f>
        <v>rg:None</v>
      </c>
      <c r="E221" s="8" t="str">
        <f t="shared" si="22"/>
        <v>rg:{'id':'rg:None'}</v>
      </c>
      <c r="F221" s="9" t="s">
        <v>7054</v>
      </c>
      <c r="G221" s="9" t="str">
        <f ca="1">INDEX(DistrictEquipmentTypes.csv!F:F,RANDBETWEEN(2,COUNTA(DistrictEquipmentTypes.csv!D:D)),1)</f>
        <v>200006</v>
      </c>
      <c r="H221" s="8" t="str">
        <f t="shared" ca="1" si="23"/>
        <v>rg:{ 'id': '200006'}</v>
      </c>
      <c r="I221" s="8">
        <f t="shared" ca="1" si="24"/>
        <v>4</v>
      </c>
      <c r="J221" s="8">
        <f t="shared" ca="1" si="25"/>
        <v>57</v>
      </c>
      <c r="K221" s="8" t="str">
        <f t="shared" ca="1" si="26"/>
        <v>2017-05-16</v>
      </c>
      <c r="L221" s="8" t="str">
        <f t="shared" ca="1" si="27"/>
        <v>2017-06-13</v>
      </c>
    </row>
    <row r="222" spans="1:12" x14ac:dyDescent="0.3">
      <c r="A222" s="8" t="s">
        <v>5668</v>
      </c>
      <c r="B222" s="8">
        <f t="shared" si="21"/>
        <v>600220</v>
      </c>
      <c r="C222" s="1" t="s">
        <v>6975</v>
      </c>
      <c r="D222" s="9" t="str">
        <f>IFERROR(VLOOKUP(VLOOKUP(VLOOKUP(C222,Project.csv!F:Q,12,FALSE),ServiceAreas.csv!B:I,8,FALSE),LocalAreas.csv!B:I,7,FALSE),200029)</f>
        <v>rg:None</v>
      </c>
      <c r="E222" s="8" t="str">
        <f t="shared" si="22"/>
        <v>rg:{'id':'rg:None'}</v>
      </c>
      <c r="F222" s="9" t="s">
        <v>7054</v>
      </c>
      <c r="G222" s="9" t="str">
        <f ca="1">INDEX(DistrictEquipmentTypes.csv!F:F,RANDBETWEEN(2,COUNTA(DistrictEquipmentTypes.csv!D:D)),1)</f>
        <v>200005</v>
      </c>
      <c r="H222" s="8" t="str">
        <f t="shared" ca="1" si="23"/>
        <v>rg:{ 'id': '200005'}</v>
      </c>
      <c r="I222" s="8">
        <f t="shared" ca="1" si="24"/>
        <v>5</v>
      </c>
      <c r="J222" s="8">
        <f t="shared" ca="1" si="25"/>
        <v>15</v>
      </c>
      <c r="K222" s="8" t="str">
        <f t="shared" ca="1" si="26"/>
        <v>2017-05-11</v>
      </c>
      <c r="L222" s="8" t="str">
        <f t="shared" ca="1" si="27"/>
        <v>2017-05-20</v>
      </c>
    </row>
    <row r="223" spans="1:12" x14ac:dyDescent="0.3">
      <c r="A223" s="8" t="s">
        <v>5668</v>
      </c>
      <c r="B223" s="8">
        <f t="shared" si="21"/>
        <v>600221</v>
      </c>
      <c r="C223" s="1" t="s">
        <v>6976</v>
      </c>
      <c r="D223" s="9" t="str">
        <f>IFERROR(VLOOKUP(VLOOKUP(VLOOKUP(C223,Project.csv!F:Q,12,FALSE),ServiceAreas.csv!B:I,8,FALSE),LocalAreas.csv!B:I,7,FALSE),200029)</f>
        <v>rg:None</v>
      </c>
      <c r="E223" s="8" t="str">
        <f t="shared" si="22"/>
        <v>rg:{'id':'rg:None'}</v>
      </c>
      <c r="F223" s="9" t="s">
        <v>7054</v>
      </c>
      <c r="G223" s="9" t="str">
        <f ca="1">INDEX(DistrictEquipmentTypes.csv!F:F,RANDBETWEEN(2,COUNTA(DistrictEquipmentTypes.csv!D:D)),1)</f>
        <v>200009</v>
      </c>
      <c r="H223" s="8" t="str">
        <f t="shared" ca="1" si="23"/>
        <v>rg:{ 'id': '200009'}</v>
      </c>
      <c r="I223" s="8">
        <f t="shared" ca="1" si="24"/>
        <v>1</v>
      </c>
      <c r="J223" s="8">
        <f t="shared" ca="1" si="25"/>
        <v>24</v>
      </c>
      <c r="K223" s="8" t="str">
        <f t="shared" ca="1" si="26"/>
        <v>2017-04-07</v>
      </c>
      <c r="L223" s="8" t="str">
        <f t="shared" ca="1" si="27"/>
        <v>2017-04-10</v>
      </c>
    </row>
    <row r="224" spans="1:12" x14ac:dyDescent="0.3">
      <c r="A224" s="8" t="s">
        <v>5668</v>
      </c>
      <c r="B224" s="8">
        <f t="shared" si="21"/>
        <v>600222</v>
      </c>
      <c r="C224" s="1" t="s">
        <v>6977</v>
      </c>
      <c r="D224" s="9" t="str">
        <f>IFERROR(VLOOKUP(VLOOKUP(VLOOKUP(C224,Project.csv!F:Q,12,FALSE),ServiceAreas.csv!B:I,8,FALSE),LocalAreas.csv!B:I,7,FALSE),200029)</f>
        <v>rg:None</v>
      </c>
      <c r="E224" s="8" t="str">
        <f t="shared" si="22"/>
        <v>rg:{'id':'rg:None'}</v>
      </c>
      <c r="F224" s="9" t="s">
        <v>7054</v>
      </c>
      <c r="G224" s="9" t="str">
        <f ca="1">INDEX(DistrictEquipmentTypes.csv!F:F,RANDBETWEEN(2,COUNTA(DistrictEquipmentTypes.csv!D:D)),1)</f>
        <v>200009</v>
      </c>
      <c r="H224" s="8" t="str">
        <f t="shared" ca="1" si="23"/>
        <v>rg:{ 'id': '200009'}</v>
      </c>
      <c r="I224" s="8">
        <f t="shared" ca="1" si="24"/>
        <v>3</v>
      </c>
      <c r="J224" s="8">
        <f t="shared" ca="1" si="25"/>
        <v>37</v>
      </c>
      <c r="K224" s="8" t="str">
        <f t="shared" ca="1" si="26"/>
        <v>2017-05-02</v>
      </c>
      <c r="L224" s="8" t="str">
        <f t="shared" ca="1" si="27"/>
        <v>2017-05-15</v>
      </c>
    </row>
    <row r="225" spans="1:12" x14ac:dyDescent="0.3">
      <c r="A225" s="8" t="s">
        <v>5668</v>
      </c>
      <c r="B225" s="8">
        <f t="shared" si="21"/>
        <v>600223</v>
      </c>
      <c r="C225" s="1" t="s">
        <v>6978</v>
      </c>
      <c r="D225" s="9" t="str">
        <f>IFERROR(VLOOKUP(VLOOKUP(VLOOKUP(C225,Project.csv!F:Q,12,FALSE),ServiceAreas.csv!B:I,8,FALSE),LocalAreas.csv!B:I,7,FALSE),200029)</f>
        <v>rg:None</v>
      </c>
      <c r="E225" s="8" t="str">
        <f t="shared" si="22"/>
        <v>rg:{'id':'rg:None'}</v>
      </c>
      <c r="F225" s="9" t="s">
        <v>7054</v>
      </c>
      <c r="G225" s="9" t="str">
        <f ca="1">INDEX(DistrictEquipmentTypes.csv!F:F,RANDBETWEEN(2,COUNTA(DistrictEquipmentTypes.csv!D:D)),1)</f>
        <v>200003</v>
      </c>
      <c r="H225" s="8" t="str">
        <f t="shared" ca="1" si="23"/>
        <v>rg:{ 'id': '200003'}</v>
      </c>
      <c r="I225" s="8">
        <f t="shared" ca="1" si="24"/>
        <v>1</v>
      </c>
      <c r="J225" s="8">
        <f t="shared" ca="1" si="25"/>
        <v>15</v>
      </c>
      <c r="K225" s="8" t="str">
        <f t="shared" ca="1" si="26"/>
        <v>2017-05-15</v>
      </c>
      <c r="L225" s="8" t="str">
        <f t="shared" ca="1" si="27"/>
        <v>2017-05-16</v>
      </c>
    </row>
    <row r="226" spans="1:12" x14ac:dyDescent="0.3">
      <c r="A226" s="8" t="s">
        <v>5668</v>
      </c>
      <c r="B226" s="8">
        <f t="shared" si="21"/>
        <v>600224</v>
      </c>
      <c r="C226" s="1" t="s">
        <v>6979</v>
      </c>
      <c r="D226" s="9" t="str">
        <f>IFERROR(VLOOKUP(VLOOKUP(VLOOKUP(C226,Project.csv!F:Q,12,FALSE),ServiceAreas.csv!B:I,8,FALSE),LocalAreas.csv!B:I,7,FALSE),200029)</f>
        <v>rg:None</v>
      </c>
      <c r="E226" s="8" t="str">
        <f t="shared" si="22"/>
        <v>rg:{'id':'rg:None'}</v>
      </c>
      <c r="F226" s="9" t="s">
        <v>7054</v>
      </c>
      <c r="G226" s="9" t="str">
        <f ca="1">INDEX(DistrictEquipmentTypes.csv!F:F,RANDBETWEEN(2,COUNTA(DistrictEquipmentTypes.csv!D:D)),1)</f>
        <v>200007</v>
      </c>
      <c r="H226" s="8" t="str">
        <f t="shared" ca="1" si="23"/>
        <v>rg:{ 'id': '200007'}</v>
      </c>
      <c r="I226" s="8">
        <f t="shared" ca="1" si="24"/>
        <v>1</v>
      </c>
      <c r="J226" s="8">
        <f t="shared" ca="1" si="25"/>
        <v>66</v>
      </c>
      <c r="K226" s="8" t="str">
        <f t="shared" ca="1" si="26"/>
        <v>2017-05-12</v>
      </c>
      <c r="L226" s="8" t="str">
        <f t="shared" ca="1" si="27"/>
        <v>2017-05-20</v>
      </c>
    </row>
    <row r="227" spans="1:12" x14ac:dyDescent="0.3">
      <c r="A227" s="8" t="s">
        <v>5668</v>
      </c>
      <c r="B227" s="8">
        <f t="shared" si="21"/>
        <v>600225</v>
      </c>
      <c r="C227" s="1" t="s">
        <v>6980</v>
      </c>
      <c r="D227" s="9" t="str">
        <f>IFERROR(VLOOKUP(VLOOKUP(VLOOKUP(C227,Project.csv!F:Q,12,FALSE),ServiceAreas.csv!B:I,8,FALSE),LocalAreas.csv!B:I,7,FALSE),200029)</f>
        <v>rg:None</v>
      </c>
      <c r="E227" s="8" t="str">
        <f t="shared" si="22"/>
        <v>rg:{'id':'rg:None'}</v>
      </c>
      <c r="F227" s="9" t="s">
        <v>7054</v>
      </c>
      <c r="G227" s="9" t="str">
        <f ca="1">INDEX(DistrictEquipmentTypes.csv!F:F,RANDBETWEEN(2,COUNTA(DistrictEquipmentTypes.csv!D:D)),1)</f>
        <v>200001</v>
      </c>
      <c r="H227" s="8" t="str">
        <f t="shared" ca="1" si="23"/>
        <v>rg:{ 'id': '200001'}</v>
      </c>
      <c r="I227" s="8">
        <f t="shared" ca="1" si="24"/>
        <v>1</v>
      </c>
      <c r="J227" s="8">
        <f t="shared" ca="1" si="25"/>
        <v>38</v>
      </c>
      <c r="K227" s="8" t="str">
        <f t="shared" ca="1" si="26"/>
        <v>2017-04-08</v>
      </c>
      <c r="L227" s="8" t="str">
        <f t="shared" ca="1" si="27"/>
        <v>2017-04-12</v>
      </c>
    </row>
    <row r="228" spans="1:12" x14ac:dyDescent="0.3">
      <c r="A228" s="8" t="s">
        <v>5668</v>
      </c>
      <c r="B228" s="8">
        <f t="shared" si="21"/>
        <v>600226</v>
      </c>
      <c r="C228" s="1" t="s">
        <v>6981</v>
      </c>
      <c r="D228" s="9" t="str">
        <f>IFERROR(VLOOKUP(VLOOKUP(VLOOKUP(C228,Project.csv!F:Q,12,FALSE),ServiceAreas.csv!B:I,8,FALSE),LocalAreas.csv!B:I,7,FALSE),200029)</f>
        <v>rg:None</v>
      </c>
      <c r="E228" s="8" t="str">
        <f t="shared" si="22"/>
        <v>rg:{'id':'rg:None'}</v>
      </c>
      <c r="F228" s="9" t="s">
        <v>7054</v>
      </c>
      <c r="G228" s="9" t="str">
        <f ca="1">INDEX(DistrictEquipmentTypes.csv!F:F,RANDBETWEEN(2,COUNTA(DistrictEquipmentTypes.csv!D:D)),1)</f>
        <v>200006</v>
      </c>
      <c r="H228" s="8" t="str">
        <f t="shared" ca="1" si="23"/>
        <v>rg:{ 'id': '200006'}</v>
      </c>
      <c r="I228" s="8">
        <f t="shared" ca="1" si="24"/>
        <v>1</v>
      </c>
      <c r="J228" s="8">
        <f t="shared" ca="1" si="25"/>
        <v>25</v>
      </c>
      <c r="K228" s="8" t="str">
        <f t="shared" ca="1" si="26"/>
        <v>2017-05-06</v>
      </c>
      <c r="L228" s="8" t="str">
        <f t="shared" ca="1" si="27"/>
        <v>2017-05-09</v>
      </c>
    </row>
    <row r="229" spans="1:12" x14ac:dyDescent="0.3">
      <c r="A229" s="8" t="s">
        <v>5668</v>
      </c>
      <c r="B229" s="8">
        <f t="shared" si="21"/>
        <v>600227</v>
      </c>
      <c r="C229" s="1" t="s">
        <v>6915</v>
      </c>
      <c r="D229" s="9" t="str">
        <f>IFERROR(VLOOKUP(VLOOKUP(VLOOKUP(C229,Project.csv!F:Q,12,FALSE),ServiceAreas.csv!B:I,8,FALSE),LocalAreas.csv!B:I,7,FALSE),200029)</f>
        <v>rg:None</v>
      </c>
      <c r="E229" s="8" t="str">
        <f t="shared" si="22"/>
        <v>rg:{'id':'rg:None'}</v>
      </c>
      <c r="F229" s="9" t="s">
        <v>7054</v>
      </c>
      <c r="G229" s="9" t="str">
        <f ca="1">INDEX(DistrictEquipmentTypes.csv!F:F,RANDBETWEEN(2,COUNTA(DistrictEquipmentTypes.csv!D:D)),1)</f>
        <v>200005</v>
      </c>
      <c r="H229" s="8" t="str">
        <f t="shared" ca="1" si="23"/>
        <v>rg:{ 'id': '200005'}</v>
      </c>
      <c r="I229" s="8">
        <f t="shared" ca="1" si="24"/>
        <v>1</v>
      </c>
      <c r="J229" s="8">
        <f t="shared" ca="1" si="25"/>
        <v>95</v>
      </c>
      <c r="K229" s="8" t="str">
        <f t="shared" ca="1" si="26"/>
        <v>2017-05-05</v>
      </c>
      <c r="L229" s="8" t="str">
        <f t="shared" ca="1" si="27"/>
        <v>2017-05-16</v>
      </c>
    </row>
    <row r="230" spans="1:12" x14ac:dyDescent="0.3">
      <c r="A230" s="8" t="s">
        <v>5668</v>
      </c>
      <c r="B230" s="8">
        <f t="shared" si="21"/>
        <v>600228</v>
      </c>
      <c r="C230" s="1" t="s">
        <v>6982</v>
      </c>
      <c r="D230" s="9" t="str">
        <f>IFERROR(VLOOKUP(VLOOKUP(VLOOKUP(C230,Project.csv!F:Q,12,FALSE),ServiceAreas.csv!B:I,8,FALSE),LocalAreas.csv!B:I,7,FALSE),200029)</f>
        <v>rg:None</v>
      </c>
      <c r="E230" s="8" t="str">
        <f t="shared" si="22"/>
        <v>rg:{'id':'rg:None'}</v>
      </c>
      <c r="F230" s="9" t="s">
        <v>7054</v>
      </c>
      <c r="G230" s="9" t="str">
        <f ca="1">INDEX(DistrictEquipmentTypes.csv!F:F,RANDBETWEEN(2,COUNTA(DistrictEquipmentTypes.csv!D:D)),1)</f>
        <v>200005</v>
      </c>
      <c r="H230" s="8" t="str">
        <f t="shared" ca="1" si="23"/>
        <v>rg:{ 'id': '200005'}</v>
      </c>
      <c r="I230" s="8">
        <f t="shared" ca="1" si="24"/>
        <v>1</v>
      </c>
      <c r="J230" s="8">
        <f t="shared" ca="1" si="25"/>
        <v>16</v>
      </c>
      <c r="K230" s="8" t="str">
        <f t="shared" ca="1" si="26"/>
        <v>2017-04-02</v>
      </c>
      <c r="L230" s="8" t="str">
        <f t="shared" ca="1" si="27"/>
        <v>2017-04-04</v>
      </c>
    </row>
    <row r="231" spans="1:12" x14ac:dyDescent="0.3">
      <c r="A231" s="8" t="s">
        <v>5668</v>
      </c>
      <c r="B231" s="8">
        <f t="shared" si="21"/>
        <v>600229</v>
      </c>
      <c r="C231" s="1" t="s">
        <v>6983</v>
      </c>
      <c r="D231" s="9" t="str">
        <f>IFERROR(VLOOKUP(VLOOKUP(VLOOKUP(C231,Project.csv!F:Q,12,FALSE),ServiceAreas.csv!B:I,8,FALSE),LocalAreas.csv!B:I,7,FALSE),200029)</f>
        <v>rg:None</v>
      </c>
      <c r="E231" s="8" t="str">
        <f t="shared" si="22"/>
        <v>rg:{'id':'rg:None'}</v>
      </c>
      <c r="F231" s="9" t="s">
        <v>7054</v>
      </c>
      <c r="G231" s="9" t="str">
        <f ca="1">INDEX(DistrictEquipmentTypes.csv!F:F,RANDBETWEEN(2,COUNTA(DistrictEquipmentTypes.csv!D:D)),1)</f>
        <v>200009</v>
      </c>
      <c r="H231" s="8" t="str">
        <f t="shared" ca="1" si="23"/>
        <v>rg:{ 'id': '200009'}</v>
      </c>
      <c r="I231" s="8">
        <f t="shared" ca="1" si="24"/>
        <v>1</v>
      </c>
      <c r="J231" s="8">
        <f t="shared" ca="1" si="25"/>
        <v>47</v>
      </c>
      <c r="K231" s="8" t="str">
        <f t="shared" ca="1" si="26"/>
        <v>2017-04-02</v>
      </c>
      <c r="L231" s="8" t="str">
        <f t="shared" ca="1" si="27"/>
        <v>2017-04-07</v>
      </c>
    </row>
    <row r="232" spans="1:12" x14ac:dyDescent="0.3">
      <c r="A232" s="8" t="s">
        <v>5668</v>
      </c>
      <c r="B232" s="8">
        <f t="shared" si="21"/>
        <v>600230</v>
      </c>
      <c r="C232" s="1" t="s">
        <v>6984</v>
      </c>
      <c r="D232" s="9" t="str">
        <f>IFERROR(VLOOKUP(VLOOKUP(VLOOKUP(C232,Project.csv!F:Q,12,FALSE),ServiceAreas.csv!B:I,8,FALSE),LocalAreas.csv!B:I,7,FALSE),200029)</f>
        <v>rg:None</v>
      </c>
      <c r="E232" s="8" t="str">
        <f t="shared" si="22"/>
        <v>rg:{'id':'rg:None'}</v>
      </c>
      <c r="F232" s="9" t="s">
        <v>7054</v>
      </c>
      <c r="G232" s="9" t="str">
        <f ca="1">INDEX(DistrictEquipmentTypes.csv!F:F,RANDBETWEEN(2,COUNTA(DistrictEquipmentTypes.csv!D:D)),1)</f>
        <v>200002</v>
      </c>
      <c r="H232" s="8" t="str">
        <f t="shared" ca="1" si="23"/>
        <v>rg:{ 'id': '200002'}</v>
      </c>
      <c r="I232" s="8">
        <f t="shared" ca="1" si="24"/>
        <v>4</v>
      </c>
      <c r="J232" s="8">
        <f t="shared" ca="1" si="25"/>
        <v>94</v>
      </c>
      <c r="K232" s="8" t="str">
        <f t="shared" ca="1" si="26"/>
        <v>2017-04-24</v>
      </c>
      <c r="L232" s="8" t="str">
        <f t="shared" ca="1" si="27"/>
        <v>2017-06-10</v>
      </c>
    </row>
    <row r="233" spans="1:12" x14ac:dyDescent="0.3">
      <c r="A233" s="8" t="s">
        <v>5668</v>
      </c>
      <c r="B233" s="8">
        <f t="shared" si="21"/>
        <v>600231</v>
      </c>
      <c r="C233" s="1" t="s">
        <v>6921</v>
      </c>
      <c r="D233" s="9" t="str">
        <f>IFERROR(VLOOKUP(VLOOKUP(VLOOKUP(C233,Project.csv!F:Q,12,FALSE),ServiceAreas.csv!B:I,8,FALSE),LocalAreas.csv!B:I,7,FALSE),200029)</f>
        <v>rg:None</v>
      </c>
      <c r="E233" s="8" t="str">
        <f t="shared" si="22"/>
        <v>rg:{'id':'rg:None'}</v>
      </c>
      <c r="F233" s="9" t="s">
        <v>7054</v>
      </c>
      <c r="G233" s="9" t="str">
        <f ca="1">INDEX(DistrictEquipmentTypes.csv!F:F,RANDBETWEEN(2,COUNTA(DistrictEquipmentTypes.csv!D:D)),1)</f>
        <v>200006</v>
      </c>
      <c r="H233" s="8" t="str">
        <f t="shared" ca="1" si="23"/>
        <v>rg:{ 'id': '200006'}</v>
      </c>
      <c r="I233" s="8">
        <f t="shared" ca="1" si="24"/>
        <v>1</v>
      </c>
      <c r="J233" s="8">
        <f t="shared" ca="1" si="25"/>
        <v>11</v>
      </c>
      <c r="K233" s="8" t="str">
        <f t="shared" ca="1" si="26"/>
        <v>2017-05-12</v>
      </c>
      <c r="L233" s="8" t="str">
        <f t="shared" ca="1" si="27"/>
        <v>2017-05-13</v>
      </c>
    </row>
    <row r="234" spans="1:12" x14ac:dyDescent="0.3">
      <c r="A234" s="8" t="s">
        <v>5668</v>
      </c>
      <c r="B234" s="8">
        <f t="shared" si="21"/>
        <v>600232</v>
      </c>
      <c r="C234" s="1" t="s">
        <v>6985</v>
      </c>
      <c r="D234" s="9" t="str">
        <f>IFERROR(VLOOKUP(VLOOKUP(VLOOKUP(C234,Project.csv!F:Q,12,FALSE),ServiceAreas.csv!B:I,8,FALSE),LocalAreas.csv!B:I,7,FALSE),200029)</f>
        <v>rg:None</v>
      </c>
      <c r="E234" s="8" t="str">
        <f t="shared" si="22"/>
        <v>rg:{'id':'rg:None'}</v>
      </c>
      <c r="F234" s="9" t="s">
        <v>7054</v>
      </c>
      <c r="G234" s="9" t="str">
        <f ca="1">INDEX(DistrictEquipmentTypes.csv!F:F,RANDBETWEEN(2,COUNTA(DistrictEquipmentTypes.csv!D:D)),1)</f>
        <v>200007</v>
      </c>
      <c r="H234" s="8" t="str">
        <f t="shared" ca="1" si="23"/>
        <v>rg:{ 'id': '200007'}</v>
      </c>
      <c r="I234" s="8">
        <f t="shared" ca="1" si="24"/>
        <v>1</v>
      </c>
      <c r="J234" s="8">
        <f t="shared" ca="1" si="25"/>
        <v>47</v>
      </c>
      <c r="K234" s="8" t="str">
        <f t="shared" ca="1" si="26"/>
        <v>2017-04-08</v>
      </c>
      <c r="L234" s="8" t="str">
        <f t="shared" ca="1" si="27"/>
        <v>2017-04-13</v>
      </c>
    </row>
    <row r="235" spans="1:12" x14ac:dyDescent="0.3">
      <c r="A235" s="8" t="s">
        <v>5668</v>
      </c>
      <c r="B235" s="8">
        <f t="shared" si="21"/>
        <v>600233</v>
      </c>
      <c r="C235" s="1" t="s">
        <v>6986</v>
      </c>
      <c r="D235" s="9" t="str">
        <f>IFERROR(VLOOKUP(VLOOKUP(VLOOKUP(C235,Project.csv!F:Q,12,FALSE),ServiceAreas.csv!B:I,8,FALSE),LocalAreas.csv!B:I,7,FALSE),200029)</f>
        <v>rg:None</v>
      </c>
      <c r="E235" s="8" t="str">
        <f t="shared" si="22"/>
        <v>rg:{'id':'rg:None'}</v>
      </c>
      <c r="F235" s="9" t="s">
        <v>7054</v>
      </c>
      <c r="G235" s="9" t="str">
        <f ca="1">INDEX(DistrictEquipmentTypes.csv!F:F,RANDBETWEEN(2,COUNTA(DistrictEquipmentTypes.csv!D:D)),1)</f>
        <v>200005</v>
      </c>
      <c r="H235" s="8" t="str">
        <f t="shared" ca="1" si="23"/>
        <v>rg:{ 'id': '200005'}</v>
      </c>
      <c r="I235" s="8">
        <f t="shared" ca="1" si="24"/>
        <v>1</v>
      </c>
      <c r="J235" s="8">
        <f t="shared" ca="1" si="25"/>
        <v>72</v>
      </c>
      <c r="K235" s="8" t="str">
        <f t="shared" ca="1" si="26"/>
        <v>2017-04-27</v>
      </c>
      <c r="L235" s="8" t="str">
        <f t="shared" ca="1" si="27"/>
        <v>2017-05-06</v>
      </c>
    </row>
    <row r="236" spans="1:12" x14ac:dyDescent="0.3">
      <c r="A236" s="8" t="s">
        <v>5668</v>
      </c>
      <c r="B236" s="8">
        <f t="shared" si="21"/>
        <v>600234</v>
      </c>
      <c r="C236" s="1" t="s">
        <v>6987</v>
      </c>
      <c r="D236" s="9" t="str">
        <f>IFERROR(VLOOKUP(VLOOKUP(VLOOKUP(C236,Project.csv!F:Q,12,FALSE),ServiceAreas.csv!B:I,8,FALSE),LocalAreas.csv!B:I,7,FALSE),200029)</f>
        <v>rg:None</v>
      </c>
      <c r="E236" s="8" t="str">
        <f t="shared" si="22"/>
        <v>rg:{'id':'rg:None'}</v>
      </c>
      <c r="F236" s="9" t="s">
        <v>7054</v>
      </c>
      <c r="G236" s="9" t="str">
        <f ca="1">INDEX(DistrictEquipmentTypes.csv!F:F,RANDBETWEEN(2,COUNTA(DistrictEquipmentTypes.csv!D:D)),1)</f>
        <v>200000</v>
      </c>
      <c r="H236" s="8" t="str">
        <f t="shared" ca="1" si="23"/>
        <v>rg:{ 'id': '200000'}</v>
      </c>
      <c r="I236" s="8">
        <f t="shared" ca="1" si="24"/>
        <v>1</v>
      </c>
      <c r="J236" s="8">
        <f t="shared" ca="1" si="25"/>
        <v>77</v>
      </c>
      <c r="K236" s="8" t="str">
        <f t="shared" ca="1" si="26"/>
        <v>2017-05-21</v>
      </c>
      <c r="L236" s="8" t="str">
        <f t="shared" ca="1" si="27"/>
        <v>2017-05-30</v>
      </c>
    </row>
    <row r="237" spans="1:12" x14ac:dyDescent="0.3">
      <c r="A237" s="8" t="s">
        <v>5668</v>
      </c>
      <c r="B237" s="8">
        <f t="shared" si="21"/>
        <v>600235</v>
      </c>
      <c r="C237" s="1" t="s">
        <v>6988</v>
      </c>
      <c r="D237" s="9" t="str">
        <f>IFERROR(VLOOKUP(VLOOKUP(VLOOKUP(C237,Project.csv!F:Q,12,FALSE),ServiceAreas.csv!B:I,8,FALSE),LocalAreas.csv!B:I,7,FALSE),200029)</f>
        <v>rg:None</v>
      </c>
      <c r="E237" s="8" t="str">
        <f t="shared" si="22"/>
        <v>rg:{'id':'rg:None'}</v>
      </c>
      <c r="F237" s="9" t="s">
        <v>7054</v>
      </c>
      <c r="G237" s="9" t="str">
        <f ca="1">INDEX(DistrictEquipmentTypes.csv!F:F,RANDBETWEEN(2,COUNTA(DistrictEquipmentTypes.csv!D:D)),1)</f>
        <v>200009</v>
      </c>
      <c r="H237" s="8" t="str">
        <f t="shared" ca="1" si="23"/>
        <v>rg:{ 'id': '200009'}</v>
      </c>
      <c r="I237" s="8">
        <f t="shared" ca="1" si="24"/>
        <v>1</v>
      </c>
      <c r="J237" s="8">
        <f t="shared" ca="1" si="25"/>
        <v>53</v>
      </c>
      <c r="K237" s="8" t="str">
        <f t="shared" ca="1" si="26"/>
        <v>2017-05-22</v>
      </c>
      <c r="L237" s="8" t="str">
        <f t="shared" ca="1" si="27"/>
        <v>2017-05-28</v>
      </c>
    </row>
    <row r="238" spans="1:12" x14ac:dyDescent="0.3">
      <c r="A238" s="8" t="s">
        <v>5668</v>
      </c>
      <c r="B238" s="8">
        <f t="shared" si="21"/>
        <v>600236</v>
      </c>
      <c r="C238" s="1" t="s">
        <v>6989</v>
      </c>
      <c r="D238" s="9" t="str">
        <f>IFERROR(VLOOKUP(VLOOKUP(VLOOKUP(C238,Project.csv!F:Q,12,FALSE),ServiceAreas.csv!B:I,8,FALSE),LocalAreas.csv!B:I,7,FALSE),200029)</f>
        <v>rg:None</v>
      </c>
      <c r="E238" s="8" t="str">
        <f t="shared" si="22"/>
        <v>rg:{'id':'rg:None'}</v>
      </c>
      <c r="F238" s="9" t="s">
        <v>7054</v>
      </c>
      <c r="G238" s="9" t="str">
        <f ca="1">INDEX(DistrictEquipmentTypes.csv!F:F,RANDBETWEEN(2,COUNTA(DistrictEquipmentTypes.csv!D:D)),1)</f>
        <v>200009</v>
      </c>
      <c r="H238" s="8" t="str">
        <f t="shared" ca="1" si="23"/>
        <v>rg:{ 'id': '200009'}</v>
      </c>
      <c r="I238" s="8">
        <f t="shared" ca="1" si="24"/>
        <v>1</v>
      </c>
      <c r="J238" s="8">
        <f t="shared" ca="1" si="25"/>
        <v>92</v>
      </c>
      <c r="K238" s="8" t="str">
        <f t="shared" ca="1" si="26"/>
        <v>2017-04-13</v>
      </c>
      <c r="L238" s="8" t="str">
        <f t="shared" ca="1" si="27"/>
        <v>2017-04-24</v>
      </c>
    </row>
    <row r="239" spans="1:12" x14ac:dyDescent="0.3">
      <c r="A239" s="8" t="s">
        <v>5668</v>
      </c>
      <c r="B239" s="8">
        <f t="shared" si="21"/>
        <v>600237</v>
      </c>
      <c r="C239" s="1" t="s">
        <v>6990</v>
      </c>
      <c r="D239" s="9" t="str">
        <f>IFERROR(VLOOKUP(VLOOKUP(VLOOKUP(C239,Project.csv!F:Q,12,FALSE),ServiceAreas.csv!B:I,8,FALSE),LocalAreas.csv!B:I,7,FALSE),200029)</f>
        <v>rg:None</v>
      </c>
      <c r="E239" s="8" t="str">
        <f t="shared" si="22"/>
        <v>rg:{'id':'rg:None'}</v>
      </c>
      <c r="F239" s="9" t="s">
        <v>7054</v>
      </c>
      <c r="G239" s="9" t="str">
        <f ca="1">INDEX(DistrictEquipmentTypes.csv!F:F,RANDBETWEEN(2,COUNTA(DistrictEquipmentTypes.csv!D:D)),1)</f>
        <v>200000</v>
      </c>
      <c r="H239" s="8" t="str">
        <f t="shared" ca="1" si="23"/>
        <v>rg:{ 'id': '200000'}</v>
      </c>
      <c r="I239" s="8">
        <f t="shared" ca="1" si="24"/>
        <v>1</v>
      </c>
      <c r="J239" s="8">
        <f t="shared" ca="1" si="25"/>
        <v>86</v>
      </c>
      <c r="K239" s="8" t="str">
        <f t="shared" ca="1" si="26"/>
        <v>2017-04-17</v>
      </c>
      <c r="L239" s="8" t="str">
        <f t="shared" ca="1" si="27"/>
        <v>2017-04-27</v>
      </c>
    </row>
    <row r="240" spans="1:12" x14ac:dyDescent="0.3">
      <c r="A240" s="8" t="s">
        <v>5668</v>
      </c>
      <c r="B240" s="8">
        <f t="shared" si="21"/>
        <v>600238</v>
      </c>
      <c r="C240" s="1" t="s">
        <v>6991</v>
      </c>
      <c r="D240" s="9" t="str">
        <f>IFERROR(VLOOKUP(VLOOKUP(VLOOKUP(C240,Project.csv!F:Q,12,FALSE),ServiceAreas.csv!B:I,8,FALSE),LocalAreas.csv!B:I,7,FALSE),200029)</f>
        <v>rg:None</v>
      </c>
      <c r="E240" s="8" t="str">
        <f t="shared" si="22"/>
        <v>rg:{'id':'rg:None'}</v>
      </c>
      <c r="F240" s="9" t="s">
        <v>7054</v>
      </c>
      <c r="G240" s="9" t="str">
        <f ca="1">INDEX(DistrictEquipmentTypes.csv!F:F,RANDBETWEEN(2,COUNTA(DistrictEquipmentTypes.csv!D:D)),1)</f>
        <v>200009</v>
      </c>
      <c r="H240" s="8" t="str">
        <f t="shared" ca="1" si="23"/>
        <v>rg:{ 'id': '200009'}</v>
      </c>
      <c r="I240" s="8">
        <f t="shared" ca="1" si="24"/>
        <v>1</v>
      </c>
      <c r="J240" s="8">
        <f t="shared" ca="1" si="25"/>
        <v>92</v>
      </c>
      <c r="K240" s="8" t="str">
        <f t="shared" ca="1" si="26"/>
        <v>2017-05-01</v>
      </c>
      <c r="L240" s="8" t="str">
        <f t="shared" ca="1" si="27"/>
        <v>2017-05-12</v>
      </c>
    </row>
    <row r="241" spans="1:12" x14ac:dyDescent="0.3">
      <c r="A241" s="8" t="s">
        <v>5668</v>
      </c>
      <c r="B241" s="8">
        <f t="shared" si="21"/>
        <v>600239</v>
      </c>
      <c r="C241" s="1" t="s">
        <v>6901</v>
      </c>
      <c r="D241" s="9" t="str">
        <f>IFERROR(VLOOKUP(VLOOKUP(VLOOKUP(C241,Project.csv!F:Q,12,FALSE),ServiceAreas.csv!B:I,8,FALSE),LocalAreas.csv!B:I,7,FALSE),200029)</f>
        <v>rg:None</v>
      </c>
      <c r="E241" s="8" t="str">
        <f t="shared" si="22"/>
        <v>rg:{'id':'rg:None'}</v>
      </c>
      <c r="F241" s="9" t="s">
        <v>7054</v>
      </c>
      <c r="G241" s="9" t="str">
        <f ca="1">INDEX(DistrictEquipmentTypes.csv!F:F,RANDBETWEEN(2,COUNTA(DistrictEquipmentTypes.csv!D:D)),1)</f>
        <v>200001</v>
      </c>
      <c r="H241" s="8" t="str">
        <f t="shared" ca="1" si="23"/>
        <v>rg:{ 'id': '200001'}</v>
      </c>
      <c r="I241" s="8">
        <f t="shared" ca="1" si="24"/>
        <v>1</v>
      </c>
      <c r="J241" s="8">
        <f t="shared" ca="1" si="25"/>
        <v>14</v>
      </c>
      <c r="K241" s="8" t="str">
        <f t="shared" ca="1" si="26"/>
        <v>2017-04-08</v>
      </c>
      <c r="L241" s="8" t="str">
        <f t="shared" ca="1" si="27"/>
        <v>2017-04-09</v>
      </c>
    </row>
    <row r="242" spans="1:12" x14ac:dyDescent="0.3">
      <c r="A242" s="8" t="s">
        <v>5668</v>
      </c>
      <c r="B242" s="8">
        <f t="shared" si="21"/>
        <v>600240</v>
      </c>
      <c r="C242" s="1" t="s">
        <v>6896</v>
      </c>
      <c r="D242" s="9" t="str">
        <f>IFERROR(VLOOKUP(VLOOKUP(VLOOKUP(C242,Project.csv!F:Q,12,FALSE),ServiceAreas.csv!B:I,8,FALSE),LocalAreas.csv!B:I,7,FALSE),200029)</f>
        <v>rg:None</v>
      </c>
      <c r="E242" s="8" t="str">
        <f t="shared" si="22"/>
        <v>rg:{'id':'rg:None'}</v>
      </c>
      <c r="F242" s="9" t="s">
        <v>7054</v>
      </c>
      <c r="G242" s="9" t="str">
        <f ca="1">INDEX(DistrictEquipmentTypes.csv!F:F,RANDBETWEEN(2,COUNTA(DistrictEquipmentTypes.csv!D:D)),1)</f>
        <v>200002</v>
      </c>
      <c r="H242" s="8" t="str">
        <f t="shared" ca="1" si="23"/>
        <v>rg:{ 'id': '200002'}</v>
      </c>
      <c r="I242" s="8">
        <f t="shared" ca="1" si="24"/>
        <v>1</v>
      </c>
      <c r="J242" s="8">
        <f t="shared" ca="1" si="25"/>
        <v>13</v>
      </c>
      <c r="K242" s="8" t="str">
        <f t="shared" ca="1" si="26"/>
        <v>2017-05-17</v>
      </c>
      <c r="L242" s="8" t="str">
        <f t="shared" ca="1" si="27"/>
        <v>2017-05-18</v>
      </c>
    </row>
    <row r="243" spans="1:12" x14ac:dyDescent="0.3">
      <c r="A243" s="8" t="s">
        <v>5668</v>
      </c>
      <c r="B243" s="8">
        <f t="shared" si="21"/>
        <v>600241</v>
      </c>
      <c r="C243" s="1" t="s">
        <v>6992</v>
      </c>
      <c r="D243" s="9" t="str">
        <f>IFERROR(VLOOKUP(VLOOKUP(VLOOKUP(C243,Project.csv!F:Q,12,FALSE),ServiceAreas.csv!B:I,8,FALSE),LocalAreas.csv!B:I,7,FALSE),200029)</f>
        <v>rg:None</v>
      </c>
      <c r="E243" s="8" t="str">
        <f t="shared" si="22"/>
        <v>rg:{'id':'rg:None'}</v>
      </c>
      <c r="F243" s="9" t="s">
        <v>7054</v>
      </c>
      <c r="G243" s="9" t="str">
        <f ca="1">INDEX(DistrictEquipmentTypes.csv!F:F,RANDBETWEEN(2,COUNTA(DistrictEquipmentTypes.csv!D:D)),1)</f>
        <v>200001</v>
      </c>
      <c r="H243" s="8" t="str">
        <f t="shared" ca="1" si="23"/>
        <v>rg:{ 'id': '200001'}</v>
      </c>
      <c r="I243" s="8">
        <f t="shared" ca="1" si="24"/>
        <v>1</v>
      </c>
      <c r="J243" s="8">
        <f t="shared" ca="1" si="25"/>
        <v>91</v>
      </c>
      <c r="K243" s="8" t="str">
        <f t="shared" ca="1" si="26"/>
        <v>2017-04-11</v>
      </c>
      <c r="L243" s="8" t="str">
        <f t="shared" ca="1" si="27"/>
        <v>2017-04-22</v>
      </c>
    </row>
    <row r="244" spans="1:12" x14ac:dyDescent="0.3">
      <c r="A244" s="8" t="s">
        <v>5668</v>
      </c>
      <c r="B244" s="8">
        <f t="shared" si="21"/>
        <v>600242</v>
      </c>
      <c r="C244" s="1" t="s">
        <v>6993</v>
      </c>
      <c r="D244" s="9" t="str">
        <f>IFERROR(VLOOKUP(VLOOKUP(VLOOKUP(C244,Project.csv!F:Q,12,FALSE),ServiceAreas.csv!B:I,8,FALSE),LocalAreas.csv!B:I,7,FALSE),200029)</f>
        <v>rg:None</v>
      </c>
      <c r="E244" s="8" t="str">
        <f t="shared" si="22"/>
        <v>rg:{'id':'rg:None'}</v>
      </c>
      <c r="F244" s="9" t="s">
        <v>7054</v>
      </c>
      <c r="G244" s="9" t="str">
        <f ca="1">INDEX(DistrictEquipmentTypes.csv!F:F,RANDBETWEEN(2,COUNTA(DistrictEquipmentTypes.csv!D:D)),1)</f>
        <v>200006</v>
      </c>
      <c r="H244" s="8" t="str">
        <f t="shared" ca="1" si="23"/>
        <v>rg:{ 'id': '200006'}</v>
      </c>
      <c r="I244" s="8">
        <f t="shared" ca="1" si="24"/>
        <v>1</v>
      </c>
      <c r="J244" s="8">
        <f t="shared" ca="1" si="25"/>
        <v>15</v>
      </c>
      <c r="K244" s="8" t="str">
        <f t="shared" ca="1" si="26"/>
        <v>2017-04-23</v>
      </c>
      <c r="L244" s="8" t="str">
        <f t="shared" ca="1" si="27"/>
        <v>2017-04-24</v>
      </c>
    </row>
    <row r="245" spans="1:12" x14ac:dyDescent="0.3">
      <c r="A245" s="8" t="s">
        <v>5668</v>
      </c>
      <c r="B245" s="8">
        <f t="shared" si="21"/>
        <v>600243</v>
      </c>
      <c r="C245" s="1" t="s">
        <v>6994</v>
      </c>
      <c r="D245" s="9" t="str">
        <f>IFERROR(VLOOKUP(VLOOKUP(VLOOKUP(C245,Project.csv!F:Q,12,FALSE),ServiceAreas.csv!B:I,8,FALSE),LocalAreas.csv!B:I,7,FALSE),200029)</f>
        <v>rg:None</v>
      </c>
      <c r="E245" s="8" t="str">
        <f t="shared" si="22"/>
        <v>rg:{'id':'rg:None'}</v>
      </c>
      <c r="F245" s="9" t="s">
        <v>7054</v>
      </c>
      <c r="G245" s="9" t="str">
        <f ca="1">INDEX(DistrictEquipmentTypes.csv!F:F,RANDBETWEEN(2,COUNTA(DistrictEquipmentTypes.csv!D:D)),1)</f>
        <v>200006</v>
      </c>
      <c r="H245" s="8" t="str">
        <f t="shared" ca="1" si="23"/>
        <v>rg:{ 'id': '200006'}</v>
      </c>
      <c r="I245" s="8">
        <f t="shared" ca="1" si="24"/>
        <v>1</v>
      </c>
      <c r="J245" s="8">
        <f t="shared" ca="1" si="25"/>
        <v>38</v>
      </c>
      <c r="K245" s="8" t="str">
        <f t="shared" ca="1" si="26"/>
        <v>2017-05-04</v>
      </c>
      <c r="L245" s="8" t="str">
        <f t="shared" ca="1" si="27"/>
        <v>2017-05-08</v>
      </c>
    </row>
    <row r="246" spans="1:12" x14ac:dyDescent="0.3">
      <c r="A246" s="8" t="s">
        <v>5668</v>
      </c>
      <c r="B246" s="8">
        <f t="shared" si="21"/>
        <v>600244</v>
      </c>
      <c r="C246" s="1" t="s">
        <v>6995</v>
      </c>
      <c r="D246" s="9" t="str">
        <f>IFERROR(VLOOKUP(VLOOKUP(VLOOKUP(C246,Project.csv!F:Q,12,FALSE),ServiceAreas.csv!B:I,8,FALSE),LocalAreas.csv!B:I,7,FALSE),200029)</f>
        <v>rg:None</v>
      </c>
      <c r="E246" s="8" t="str">
        <f t="shared" si="22"/>
        <v>rg:{'id':'rg:None'}</v>
      </c>
      <c r="F246" s="9" t="s">
        <v>7054</v>
      </c>
      <c r="G246" s="9" t="str">
        <f ca="1">INDEX(DistrictEquipmentTypes.csv!F:F,RANDBETWEEN(2,COUNTA(DistrictEquipmentTypes.csv!D:D)),1)</f>
        <v>200006</v>
      </c>
      <c r="H246" s="8" t="str">
        <f t="shared" ca="1" si="23"/>
        <v>rg:{ 'id': '200006'}</v>
      </c>
      <c r="I246" s="8">
        <f t="shared" ca="1" si="24"/>
        <v>1</v>
      </c>
      <c r="J246" s="8">
        <f t="shared" ca="1" si="25"/>
        <v>28</v>
      </c>
      <c r="K246" s="8" t="str">
        <f t="shared" ca="1" si="26"/>
        <v>2017-05-04</v>
      </c>
      <c r="L246" s="8" t="str">
        <f t="shared" ca="1" si="27"/>
        <v>2017-05-07</v>
      </c>
    </row>
    <row r="247" spans="1:12" x14ac:dyDescent="0.3">
      <c r="A247" s="8" t="s">
        <v>5668</v>
      </c>
      <c r="B247" s="8">
        <f t="shared" si="21"/>
        <v>600245</v>
      </c>
      <c r="C247" s="1" t="s">
        <v>6895</v>
      </c>
      <c r="D247" s="9" t="str">
        <f>IFERROR(VLOOKUP(VLOOKUP(VLOOKUP(C247,Project.csv!F:Q,12,FALSE),ServiceAreas.csv!B:I,8,FALSE),LocalAreas.csv!B:I,7,FALSE),200029)</f>
        <v>rg:None</v>
      </c>
      <c r="E247" s="8" t="str">
        <f t="shared" si="22"/>
        <v>rg:{'id':'rg:None'}</v>
      </c>
      <c r="F247" s="9" t="s">
        <v>7054</v>
      </c>
      <c r="G247" s="9" t="str">
        <f ca="1">INDEX(DistrictEquipmentTypes.csv!F:F,RANDBETWEEN(2,COUNTA(DistrictEquipmentTypes.csv!D:D)),1)</f>
        <v>200001</v>
      </c>
      <c r="H247" s="8" t="str">
        <f t="shared" ca="1" si="23"/>
        <v>rg:{ 'id': '200001'}</v>
      </c>
      <c r="I247" s="8">
        <f t="shared" ca="1" si="24"/>
        <v>1</v>
      </c>
      <c r="J247" s="8">
        <f t="shared" ca="1" si="25"/>
        <v>30</v>
      </c>
      <c r="K247" s="8" t="str">
        <f t="shared" ca="1" si="26"/>
        <v>2017-04-25</v>
      </c>
      <c r="L247" s="8" t="str">
        <f t="shared" ca="1" si="27"/>
        <v>2017-04-28</v>
      </c>
    </row>
    <row r="248" spans="1:12" x14ac:dyDescent="0.3">
      <c r="A248" s="8" t="s">
        <v>5668</v>
      </c>
      <c r="B248" s="8">
        <f t="shared" si="21"/>
        <v>600246</v>
      </c>
      <c r="C248" s="1" t="s">
        <v>6996</v>
      </c>
      <c r="D248" s="9" t="str">
        <f>IFERROR(VLOOKUP(VLOOKUP(VLOOKUP(C248,Project.csv!F:Q,12,FALSE),ServiceAreas.csv!B:I,8,FALSE),LocalAreas.csv!B:I,7,FALSE),200029)</f>
        <v>rg:None</v>
      </c>
      <c r="E248" s="8" t="str">
        <f t="shared" si="22"/>
        <v>rg:{'id':'rg:None'}</v>
      </c>
      <c r="F248" s="9" t="s">
        <v>7054</v>
      </c>
      <c r="G248" s="9" t="str">
        <f ca="1">INDEX(DistrictEquipmentTypes.csv!F:F,RANDBETWEEN(2,COUNTA(DistrictEquipmentTypes.csv!D:D)),1)</f>
        <v>200003</v>
      </c>
      <c r="H248" s="8" t="str">
        <f t="shared" ca="1" si="23"/>
        <v>rg:{ 'id': '200003'}</v>
      </c>
      <c r="I248" s="8">
        <f t="shared" ca="1" si="24"/>
        <v>1</v>
      </c>
      <c r="J248" s="8">
        <f t="shared" ca="1" si="25"/>
        <v>91</v>
      </c>
      <c r="K248" s="8" t="str">
        <f t="shared" ca="1" si="26"/>
        <v>2017-04-24</v>
      </c>
      <c r="L248" s="8" t="str">
        <f t="shared" ca="1" si="27"/>
        <v>2017-05-05</v>
      </c>
    </row>
    <row r="249" spans="1:12" x14ac:dyDescent="0.3">
      <c r="A249" s="8" t="s">
        <v>5668</v>
      </c>
      <c r="B249" s="8">
        <f t="shared" si="21"/>
        <v>600247</v>
      </c>
      <c r="C249" s="1" t="s">
        <v>6997</v>
      </c>
      <c r="D249" s="9" t="str">
        <f>IFERROR(VLOOKUP(VLOOKUP(VLOOKUP(C249,Project.csv!F:Q,12,FALSE),ServiceAreas.csv!B:I,8,FALSE),LocalAreas.csv!B:I,7,FALSE),200029)</f>
        <v>rg:None</v>
      </c>
      <c r="E249" s="8" t="str">
        <f t="shared" si="22"/>
        <v>rg:{'id':'rg:None'}</v>
      </c>
      <c r="F249" s="9" t="s">
        <v>7054</v>
      </c>
      <c r="G249" s="9" t="str">
        <f ca="1">INDEX(DistrictEquipmentTypes.csv!F:F,RANDBETWEEN(2,COUNTA(DistrictEquipmentTypes.csv!D:D)),1)</f>
        <v>200006</v>
      </c>
      <c r="H249" s="8" t="str">
        <f t="shared" ca="1" si="23"/>
        <v>rg:{ 'id': '200006'}</v>
      </c>
      <c r="I249" s="8">
        <f t="shared" ca="1" si="24"/>
        <v>1</v>
      </c>
      <c r="J249" s="8">
        <f t="shared" ca="1" si="25"/>
        <v>31</v>
      </c>
      <c r="K249" s="8" t="str">
        <f t="shared" ca="1" si="26"/>
        <v>2017-04-16</v>
      </c>
      <c r="L249" s="8" t="str">
        <f t="shared" ca="1" si="27"/>
        <v>2017-04-19</v>
      </c>
    </row>
    <row r="250" spans="1:12" x14ac:dyDescent="0.3">
      <c r="A250" s="8" t="s">
        <v>5668</v>
      </c>
      <c r="B250" s="8">
        <f t="shared" si="21"/>
        <v>600248</v>
      </c>
      <c r="C250" s="1" t="s">
        <v>6998</v>
      </c>
      <c r="D250" s="9" t="str">
        <f>IFERROR(VLOOKUP(VLOOKUP(VLOOKUP(C250,Project.csv!F:Q,12,FALSE),ServiceAreas.csv!B:I,8,FALSE),LocalAreas.csv!B:I,7,FALSE),200029)</f>
        <v>rg:None</v>
      </c>
      <c r="E250" s="8" t="str">
        <f t="shared" si="22"/>
        <v>rg:{'id':'rg:None'}</v>
      </c>
      <c r="F250" s="9" t="s">
        <v>7054</v>
      </c>
      <c r="G250" s="9" t="str">
        <f ca="1">INDEX(DistrictEquipmentTypes.csv!F:F,RANDBETWEEN(2,COUNTA(DistrictEquipmentTypes.csv!D:D)),1)</f>
        <v>200001</v>
      </c>
      <c r="H250" s="8" t="str">
        <f t="shared" ca="1" si="23"/>
        <v>rg:{ 'id': '200001'}</v>
      </c>
      <c r="I250" s="8">
        <f t="shared" ca="1" si="24"/>
        <v>1</v>
      </c>
      <c r="J250" s="8">
        <f t="shared" ca="1" si="25"/>
        <v>96</v>
      </c>
      <c r="K250" s="8" t="str">
        <f t="shared" ca="1" si="26"/>
        <v>2017-04-14</v>
      </c>
      <c r="L250" s="8" t="str">
        <f t="shared" ca="1" si="27"/>
        <v>2017-04-26</v>
      </c>
    </row>
    <row r="251" spans="1:12" x14ac:dyDescent="0.3">
      <c r="A251" s="8" t="s">
        <v>5668</v>
      </c>
      <c r="B251" s="8">
        <f t="shared" si="21"/>
        <v>600249</v>
      </c>
      <c r="C251" s="1" t="s">
        <v>6907</v>
      </c>
      <c r="D251" s="9" t="str">
        <f>IFERROR(VLOOKUP(VLOOKUP(VLOOKUP(C251,Project.csv!F:Q,12,FALSE),ServiceAreas.csv!B:I,8,FALSE),LocalAreas.csv!B:I,7,FALSE),200029)</f>
        <v>rg:None</v>
      </c>
      <c r="E251" s="8" t="str">
        <f t="shared" si="22"/>
        <v>rg:{'id':'rg:None'}</v>
      </c>
      <c r="F251" s="9" t="s">
        <v>7054</v>
      </c>
      <c r="G251" s="9" t="str">
        <f ca="1">INDEX(DistrictEquipmentTypes.csv!F:F,RANDBETWEEN(2,COUNTA(DistrictEquipmentTypes.csv!D:D)),1)</f>
        <v>200009</v>
      </c>
      <c r="H251" s="8" t="str">
        <f t="shared" ca="1" si="23"/>
        <v>rg:{ 'id': '200009'}</v>
      </c>
      <c r="I251" s="8">
        <f t="shared" ca="1" si="24"/>
        <v>1</v>
      </c>
      <c r="J251" s="8">
        <f t="shared" ca="1" si="25"/>
        <v>79</v>
      </c>
      <c r="K251" s="8" t="str">
        <f t="shared" ca="1" si="26"/>
        <v>2017-05-10</v>
      </c>
      <c r="L251" s="8" t="str">
        <f t="shared" ca="1" si="27"/>
        <v>2017-05-19</v>
      </c>
    </row>
    <row r="252" spans="1:12" x14ac:dyDescent="0.3">
      <c r="A252" s="8" t="s">
        <v>5668</v>
      </c>
      <c r="B252" s="8">
        <f t="shared" si="21"/>
        <v>600250</v>
      </c>
      <c r="C252" s="1" t="s">
        <v>6999</v>
      </c>
      <c r="D252" s="9" t="str">
        <f>IFERROR(VLOOKUP(VLOOKUP(VLOOKUP(C252,Project.csv!F:Q,12,FALSE),ServiceAreas.csv!B:I,8,FALSE),LocalAreas.csv!B:I,7,FALSE),200029)</f>
        <v>rg:None</v>
      </c>
      <c r="E252" s="8" t="str">
        <f t="shared" si="22"/>
        <v>rg:{'id':'rg:None'}</v>
      </c>
      <c r="F252" s="9" t="s">
        <v>7054</v>
      </c>
      <c r="G252" s="9" t="str">
        <f ca="1">INDEX(DistrictEquipmentTypes.csv!F:F,RANDBETWEEN(2,COUNTA(DistrictEquipmentTypes.csv!D:D)),1)</f>
        <v>200005</v>
      </c>
      <c r="H252" s="8" t="str">
        <f t="shared" ca="1" si="23"/>
        <v>rg:{ 'id': '200005'}</v>
      </c>
      <c r="I252" s="8">
        <f t="shared" ca="1" si="24"/>
        <v>1</v>
      </c>
      <c r="J252" s="8">
        <f t="shared" ca="1" si="25"/>
        <v>48</v>
      </c>
      <c r="K252" s="8" t="str">
        <f t="shared" ca="1" si="26"/>
        <v>2017-05-05</v>
      </c>
      <c r="L252" s="8" t="str">
        <f t="shared" ca="1" si="27"/>
        <v>2017-05-11</v>
      </c>
    </row>
    <row r="253" spans="1:12" x14ac:dyDescent="0.3">
      <c r="A253" s="8" t="s">
        <v>5668</v>
      </c>
      <c r="B253" s="8">
        <f t="shared" si="21"/>
        <v>600251</v>
      </c>
      <c r="C253" s="1" t="s">
        <v>7000</v>
      </c>
      <c r="D253" s="9" t="str">
        <f>IFERROR(VLOOKUP(VLOOKUP(VLOOKUP(C253,Project.csv!F:Q,12,FALSE),ServiceAreas.csv!B:I,8,FALSE),LocalAreas.csv!B:I,7,FALSE),200029)</f>
        <v>rg:None</v>
      </c>
      <c r="E253" s="8" t="str">
        <f t="shared" si="22"/>
        <v>rg:{'id':'rg:None'}</v>
      </c>
      <c r="F253" s="9" t="s">
        <v>7054</v>
      </c>
      <c r="G253" s="9" t="str">
        <f ca="1">INDEX(DistrictEquipmentTypes.csv!F:F,RANDBETWEEN(2,COUNTA(DistrictEquipmentTypes.csv!D:D)),1)</f>
        <v>200003</v>
      </c>
      <c r="H253" s="8" t="str">
        <f t="shared" ca="1" si="23"/>
        <v>rg:{ 'id': '200003'}</v>
      </c>
      <c r="I253" s="8">
        <f t="shared" ca="1" si="24"/>
        <v>1</v>
      </c>
      <c r="J253" s="8">
        <f t="shared" ca="1" si="25"/>
        <v>74</v>
      </c>
      <c r="K253" s="8" t="str">
        <f t="shared" ca="1" si="26"/>
        <v>2017-04-08</v>
      </c>
      <c r="L253" s="8" t="str">
        <f t="shared" ca="1" si="27"/>
        <v>2017-04-17</v>
      </c>
    </row>
    <row r="254" spans="1:12" x14ac:dyDescent="0.3">
      <c r="A254" s="8" t="s">
        <v>5668</v>
      </c>
      <c r="B254" s="8">
        <f t="shared" si="21"/>
        <v>600252</v>
      </c>
      <c r="C254" s="1" t="s">
        <v>7001</v>
      </c>
      <c r="D254" s="9" t="str">
        <f>IFERROR(VLOOKUP(VLOOKUP(VLOOKUP(C254,Project.csv!F:Q,12,FALSE),ServiceAreas.csv!B:I,8,FALSE),LocalAreas.csv!B:I,7,FALSE),200029)</f>
        <v>rg:None</v>
      </c>
      <c r="E254" s="8" t="str">
        <f t="shared" si="22"/>
        <v>rg:{'id':'rg:None'}</v>
      </c>
      <c r="F254" s="9" t="s">
        <v>7054</v>
      </c>
      <c r="G254" s="9" t="str">
        <f ca="1">INDEX(DistrictEquipmentTypes.csv!F:F,RANDBETWEEN(2,COUNTA(DistrictEquipmentTypes.csv!D:D)),1)</f>
        <v>200009</v>
      </c>
      <c r="H254" s="8" t="str">
        <f t="shared" ca="1" si="23"/>
        <v>rg:{ 'id': '200009'}</v>
      </c>
      <c r="I254" s="8">
        <f t="shared" ca="1" si="24"/>
        <v>1</v>
      </c>
      <c r="J254" s="8">
        <f t="shared" ca="1" si="25"/>
        <v>74</v>
      </c>
      <c r="K254" s="8" t="str">
        <f t="shared" ca="1" si="26"/>
        <v>2017-04-02</v>
      </c>
      <c r="L254" s="8" t="str">
        <f t="shared" ca="1" si="27"/>
        <v>2017-04-11</v>
      </c>
    </row>
    <row r="255" spans="1:12" x14ac:dyDescent="0.3">
      <c r="A255" s="8" t="s">
        <v>5668</v>
      </c>
      <c r="B255" s="8">
        <f t="shared" si="21"/>
        <v>600253</v>
      </c>
      <c r="C255" s="1" t="s">
        <v>7002</v>
      </c>
      <c r="D255" s="9" t="str">
        <f>IFERROR(VLOOKUP(VLOOKUP(VLOOKUP(C255,Project.csv!F:Q,12,FALSE),ServiceAreas.csv!B:I,8,FALSE),LocalAreas.csv!B:I,7,FALSE),200029)</f>
        <v>rg:None</v>
      </c>
      <c r="E255" s="8" t="str">
        <f t="shared" si="22"/>
        <v>rg:{'id':'rg:None'}</v>
      </c>
      <c r="F255" s="9" t="s">
        <v>7054</v>
      </c>
      <c r="G255" s="9" t="str">
        <f ca="1">INDEX(DistrictEquipmentTypes.csv!F:F,RANDBETWEEN(2,COUNTA(DistrictEquipmentTypes.csv!D:D)),1)</f>
        <v>200004</v>
      </c>
      <c r="H255" s="8" t="str">
        <f t="shared" ca="1" si="23"/>
        <v>rg:{ 'id': '200004'}</v>
      </c>
      <c r="I255" s="8">
        <f t="shared" ca="1" si="24"/>
        <v>1</v>
      </c>
      <c r="J255" s="8">
        <f t="shared" ca="1" si="25"/>
        <v>91</v>
      </c>
      <c r="K255" s="8" t="str">
        <f t="shared" ca="1" si="26"/>
        <v>2017-05-09</v>
      </c>
      <c r="L255" s="8" t="str">
        <f t="shared" ca="1" si="27"/>
        <v>2017-05-20</v>
      </c>
    </row>
    <row r="256" spans="1:12" x14ac:dyDescent="0.3">
      <c r="A256" s="8" t="s">
        <v>5668</v>
      </c>
      <c r="B256" s="8">
        <f t="shared" si="21"/>
        <v>600254</v>
      </c>
      <c r="C256" s="1" t="s">
        <v>7003</v>
      </c>
      <c r="D256" s="9" t="str">
        <f>IFERROR(VLOOKUP(VLOOKUP(VLOOKUP(C256,Project.csv!F:Q,12,FALSE),ServiceAreas.csv!B:I,8,FALSE),LocalAreas.csv!B:I,7,FALSE),200029)</f>
        <v>rg:None</v>
      </c>
      <c r="E256" s="8" t="str">
        <f t="shared" si="22"/>
        <v>rg:{'id':'rg:None'}</v>
      </c>
      <c r="F256" s="9" t="s">
        <v>7054</v>
      </c>
      <c r="G256" s="9" t="str">
        <f ca="1">INDEX(DistrictEquipmentTypes.csv!F:F,RANDBETWEEN(2,COUNTA(DistrictEquipmentTypes.csv!D:D)),1)</f>
        <v>200007</v>
      </c>
      <c r="H256" s="8" t="str">
        <f t="shared" ca="1" si="23"/>
        <v>rg:{ 'id': '200007'}</v>
      </c>
      <c r="I256" s="8">
        <f t="shared" ca="1" si="24"/>
        <v>1</v>
      </c>
      <c r="J256" s="8">
        <f t="shared" ca="1" si="25"/>
        <v>60</v>
      </c>
      <c r="K256" s="8" t="str">
        <f t="shared" ca="1" si="26"/>
        <v>2017-05-14</v>
      </c>
      <c r="L256" s="8" t="str">
        <f t="shared" ca="1" si="27"/>
        <v>2017-05-21</v>
      </c>
    </row>
    <row r="257" spans="1:12" x14ac:dyDescent="0.3">
      <c r="A257" s="8" t="s">
        <v>5668</v>
      </c>
      <c r="B257" s="8">
        <f t="shared" si="21"/>
        <v>600255</v>
      </c>
      <c r="C257" s="1" t="s">
        <v>6912</v>
      </c>
      <c r="D257" s="9" t="str">
        <f>IFERROR(VLOOKUP(VLOOKUP(VLOOKUP(C257,Project.csv!F:Q,12,FALSE),ServiceAreas.csv!B:I,8,FALSE),LocalAreas.csv!B:I,7,FALSE),200029)</f>
        <v>rg:None</v>
      </c>
      <c r="E257" s="8" t="str">
        <f t="shared" si="22"/>
        <v>rg:{'id':'rg:None'}</v>
      </c>
      <c r="F257" s="9" t="s">
        <v>7054</v>
      </c>
      <c r="G257" s="9" t="str">
        <f ca="1">INDEX(DistrictEquipmentTypes.csv!F:F,RANDBETWEEN(2,COUNTA(DistrictEquipmentTypes.csv!D:D)),1)</f>
        <v>200006</v>
      </c>
      <c r="H257" s="8" t="str">
        <f t="shared" ca="1" si="23"/>
        <v>rg:{ 'id': '200006'}</v>
      </c>
      <c r="I257" s="8">
        <f t="shared" ca="1" si="24"/>
        <v>1</v>
      </c>
      <c r="J257" s="8">
        <f t="shared" ca="1" si="25"/>
        <v>81</v>
      </c>
      <c r="K257" s="8" t="str">
        <f t="shared" ca="1" si="26"/>
        <v>2017-05-05</v>
      </c>
      <c r="L257" s="8" t="str">
        <f t="shared" ca="1" si="27"/>
        <v>2017-05-15</v>
      </c>
    </row>
    <row r="258" spans="1:12" x14ac:dyDescent="0.3">
      <c r="A258" s="8" t="s">
        <v>5668</v>
      </c>
      <c r="B258" s="8">
        <f t="shared" si="21"/>
        <v>600256</v>
      </c>
      <c r="C258" s="1" t="s">
        <v>7004</v>
      </c>
      <c r="D258" s="9" t="str">
        <f>IFERROR(VLOOKUP(VLOOKUP(VLOOKUP(C258,Project.csv!F:Q,12,FALSE),ServiceAreas.csv!B:I,8,FALSE),LocalAreas.csv!B:I,7,FALSE),200029)</f>
        <v>rg:None</v>
      </c>
      <c r="E258" s="8" t="str">
        <f t="shared" si="22"/>
        <v>rg:{'id':'rg:None'}</v>
      </c>
      <c r="F258" s="9" t="s">
        <v>7054</v>
      </c>
      <c r="G258" s="9" t="str">
        <f ca="1">INDEX(DistrictEquipmentTypes.csv!F:F,RANDBETWEEN(2,COUNTA(DistrictEquipmentTypes.csv!D:D)),1)</f>
        <v>200005</v>
      </c>
      <c r="H258" s="8" t="str">
        <f t="shared" ca="1" si="23"/>
        <v>rg:{ 'id': '200005'}</v>
      </c>
      <c r="I258" s="8">
        <f t="shared" ca="1" si="24"/>
        <v>1</v>
      </c>
      <c r="J258" s="8">
        <f t="shared" ca="1" si="25"/>
        <v>12</v>
      </c>
      <c r="K258" s="8" t="str">
        <f t="shared" ca="1" si="26"/>
        <v>2017-05-25</v>
      </c>
      <c r="L258" s="8" t="str">
        <f t="shared" ca="1" si="27"/>
        <v>2017-05-26</v>
      </c>
    </row>
    <row r="259" spans="1:12" x14ac:dyDescent="0.3">
      <c r="A259" s="8" t="s">
        <v>5668</v>
      </c>
      <c r="B259" s="8">
        <f t="shared" ref="B259:B322" si="28">IF(ISNUMBER(B258),B258+1,600000)</f>
        <v>600257</v>
      </c>
      <c r="C259" s="1" t="s">
        <v>7005</v>
      </c>
      <c r="D259" s="9" t="str">
        <f>IFERROR(VLOOKUP(VLOOKUP(VLOOKUP(C259,Project.csv!F:Q,12,FALSE),ServiceAreas.csv!B:I,8,FALSE),LocalAreas.csv!B:I,7,FALSE),200029)</f>
        <v>rg:None</v>
      </c>
      <c r="E259" s="8" t="str">
        <f t="shared" ref="E259:E322" si="29" xml:space="preserve"> "rg:{'id':'" &amp; D259 &amp; "'}"</f>
        <v>rg:{'id':'rg:None'}</v>
      </c>
      <c r="F259" s="9" t="s">
        <v>7054</v>
      </c>
      <c r="G259" s="9" t="str">
        <f ca="1">INDEX(DistrictEquipmentTypes.csv!F:F,RANDBETWEEN(2,COUNTA(DistrictEquipmentTypes.csv!D:D)),1)</f>
        <v>200003</v>
      </c>
      <c r="H259" s="8" t="str">
        <f t="shared" ref="H259:H322" ca="1" si="30">"rg:{ 'id': '"&amp;G259&amp;"'}"</f>
        <v>rg:{ 'id': '200003'}</v>
      </c>
      <c r="I259" s="8">
        <f t="shared" ref="I259:I322" ca="1" si="31">IF(RANDBETWEEN(1,5)&gt;1,1,RANDBETWEEN(2,5))</f>
        <v>1</v>
      </c>
      <c r="J259" s="8">
        <f t="shared" ref="J259:J322" ca="1" si="32">RANDBETWEEN(4,100)</f>
        <v>62</v>
      </c>
      <c r="K259" s="8" t="str">
        <f t="shared" ref="K259:K322" ca="1" si="33">TEXT(TODAY()+RANDBETWEEN(1,56),"YYYY-MM-DD")</f>
        <v>2017-04-22</v>
      </c>
      <c r="L259" s="8" t="str">
        <f t="shared" ref="L259:L322" ca="1" si="34">TEXT(K259+(I259*J259)/8,"YYYY-MM-DD")</f>
        <v>2017-04-29</v>
      </c>
    </row>
    <row r="260" spans="1:12" x14ac:dyDescent="0.3">
      <c r="A260" s="8" t="s">
        <v>5668</v>
      </c>
      <c r="B260" s="8">
        <f t="shared" si="28"/>
        <v>600258</v>
      </c>
      <c r="C260" s="1" t="s">
        <v>7006</v>
      </c>
      <c r="D260" s="9" t="str">
        <f>IFERROR(VLOOKUP(VLOOKUP(VLOOKUP(C260,Project.csv!F:Q,12,FALSE),ServiceAreas.csv!B:I,8,FALSE),LocalAreas.csv!B:I,7,FALSE),200029)</f>
        <v>rg:None</v>
      </c>
      <c r="E260" s="8" t="str">
        <f t="shared" si="29"/>
        <v>rg:{'id':'rg:None'}</v>
      </c>
      <c r="F260" s="9" t="s">
        <v>7054</v>
      </c>
      <c r="G260" s="9" t="str">
        <f ca="1">INDEX(DistrictEquipmentTypes.csv!F:F,RANDBETWEEN(2,COUNTA(DistrictEquipmentTypes.csv!D:D)),1)</f>
        <v>200005</v>
      </c>
      <c r="H260" s="8" t="str">
        <f t="shared" ca="1" si="30"/>
        <v>rg:{ 'id': '200005'}</v>
      </c>
      <c r="I260" s="8">
        <f t="shared" ca="1" si="31"/>
        <v>1</v>
      </c>
      <c r="J260" s="8">
        <f t="shared" ca="1" si="32"/>
        <v>35</v>
      </c>
      <c r="K260" s="8" t="str">
        <f t="shared" ca="1" si="33"/>
        <v>2017-05-03</v>
      </c>
      <c r="L260" s="8" t="str">
        <f t="shared" ca="1" si="34"/>
        <v>2017-05-07</v>
      </c>
    </row>
    <row r="261" spans="1:12" x14ac:dyDescent="0.3">
      <c r="A261" s="8" t="s">
        <v>5668</v>
      </c>
      <c r="B261" s="8">
        <f t="shared" si="28"/>
        <v>600259</v>
      </c>
      <c r="C261" s="1" t="s">
        <v>7007</v>
      </c>
      <c r="D261" s="9" t="str">
        <f>IFERROR(VLOOKUP(VLOOKUP(VLOOKUP(C261,Project.csv!F:Q,12,FALSE),ServiceAreas.csv!B:I,8,FALSE),LocalAreas.csv!B:I,7,FALSE),200029)</f>
        <v>rg:None</v>
      </c>
      <c r="E261" s="8" t="str">
        <f t="shared" si="29"/>
        <v>rg:{'id':'rg:None'}</v>
      </c>
      <c r="F261" s="9" t="s">
        <v>7054</v>
      </c>
      <c r="G261" s="9" t="str">
        <f ca="1">INDEX(DistrictEquipmentTypes.csv!F:F,RANDBETWEEN(2,COUNTA(DistrictEquipmentTypes.csv!D:D)),1)</f>
        <v>200009</v>
      </c>
      <c r="H261" s="8" t="str">
        <f t="shared" ca="1" si="30"/>
        <v>rg:{ 'id': '200009'}</v>
      </c>
      <c r="I261" s="8">
        <f t="shared" ca="1" si="31"/>
        <v>1</v>
      </c>
      <c r="J261" s="8">
        <f t="shared" ca="1" si="32"/>
        <v>87</v>
      </c>
      <c r="K261" s="8" t="str">
        <f t="shared" ca="1" si="33"/>
        <v>2017-04-01</v>
      </c>
      <c r="L261" s="8" t="str">
        <f t="shared" ca="1" si="34"/>
        <v>2017-04-11</v>
      </c>
    </row>
    <row r="262" spans="1:12" x14ac:dyDescent="0.3">
      <c r="A262" s="8" t="s">
        <v>5668</v>
      </c>
      <c r="B262" s="8">
        <f t="shared" si="28"/>
        <v>600260</v>
      </c>
      <c r="C262" s="1" t="s">
        <v>7008</v>
      </c>
      <c r="D262" s="9" t="str">
        <f>IFERROR(VLOOKUP(VLOOKUP(VLOOKUP(C262,Project.csv!F:Q,12,FALSE),ServiceAreas.csv!B:I,8,FALSE),LocalAreas.csv!B:I,7,FALSE),200029)</f>
        <v>rg:None</v>
      </c>
      <c r="E262" s="8" t="str">
        <f t="shared" si="29"/>
        <v>rg:{'id':'rg:None'}</v>
      </c>
      <c r="F262" s="9" t="s">
        <v>7054</v>
      </c>
      <c r="G262" s="9" t="str">
        <f ca="1">INDEX(DistrictEquipmentTypes.csv!F:F,RANDBETWEEN(2,COUNTA(DistrictEquipmentTypes.csv!D:D)),1)</f>
        <v>200006</v>
      </c>
      <c r="H262" s="8" t="str">
        <f t="shared" ca="1" si="30"/>
        <v>rg:{ 'id': '200006'}</v>
      </c>
      <c r="I262" s="8">
        <f t="shared" ca="1" si="31"/>
        <v>2</v>
      </c>
      <c r="J262" s="8">
        <f t="shared" ca="1" si="32"/>
        <v>96</v>
      </c>
      <c r="K262" s="8" t="str">
        <f t="shared" ca="1" si="33"/>
        <v>2017-04-20</v>
      </c>
      <c r="L262" s="8" t="str">
        <f t="shared" ca="1" si="34"/>
        <v>2017-05-14</v>
      </c>
    </row>
    <row r="263" spans="1:12" x14ac:dyDescent="0.3">
      <c r="A263" s="8" t="s">
        <v>5668</v>
      </c>
      <c r="B263" s="8">
        <f t="shared" si="28"/>
        <v>600261</v>
      </c>
      <c r="C263" s="1" t="s">
        <v>6919</v>
      </c>
      <c r="D263" s="9" t="str">
        <f>IFERROR(VLOOKUP(VLOOKUP(VLOOKUP(C263,Project.csv!F:Q,12,FALSE),ServiceAreas.csv!B:I,8,FALSE),LocalAreas.csv!B:I,7,FALSE),200029)</f>
        <v>rg:None</v>
      </c>
      <c r="E263" s="8" t="str">
        <f t="shared" si="29"/>
        <v>rg:{'id':'rg:None'}</v>
      </c>
      <c r="F263" s="9" t="s">
        <v>7054</v>
      </c>
      <c r="G263" s="9" t="str">
        <f ca="1">INDEX(DistrictEquipmentTypes.csv!F:F,RANDBETWEEN(2,COUNTA(DistrictEquipmentTypes.csv!D:D)),1)</f>
        <v>200003</v>
      </c>
      <c r="H263" s="8" t="str">
        <f t="shared" ca="1" si="30"/>
        <v>rg:{ 'id': '200003'}</v>
      </c>
      <c r="I263" s="8">
        <f t="shared" ca="1" si="31"/>
        <v>1</v>
      </c>
      <c r="J263" s="8">
        <f t="shared" ca="1" si="32"/>
        <v>13</v>
      </c>
      <c r="K263" s="8" t="str">
        <f t="shared" ca="1" si="33"/>
        <v>2017-04-09</v>
      </c>
      <c r="L263" s="8" t="str">
        <f t="shared" ca="1" si="34"/>
        <v>2017-04-10</v>
      </c>
    </row>
    <row r="264" spans="1:12" x14ac:dyDescent="0.3">
      <c r="A264" s="8" t="s">
        <v>5668</v>
      </c>
      <c r="B264" s="8">
        <f t="shared" si="28"/>
        <v>600262</v>
      </c>
      <c r="C264" s="1" t="s">
        <v>7009</v>
      </c>
      <c r="D264" s="9" t="str">
        <f>IFERROR(VLOOKUP(VLOOKUP(VLOOKUP(C264,Project.csv!F:Q,12,FALSE),ServiceAreas.csv!B:I,8,FALSE),LocalAreas.csv!B:I,7,FALSE),200029)</f>
        <v>rg:None</v>
      </c>
      <c r="E264" s="8" t="str">
        <f t="shared" si="29"/>
        <v>rg:{'id':'rg:None'}</v>
      </c>
      <c r="F264" s="9" t="s">
        <v>7054</v>
      </c>
      <c r="G264" s="9" t="str">
        <f ca="1">INDEX(DistrictEquipmentTypes.csv!F:F,RANDBETWEEN(2,COUNTA(DistrictEquipmentTypes.csv!D:D)),1)</f>
        <v>200009</v>
      </c>
      <c r="H264" s="8" t="str">
        <f t="shared" ca="1" si="30"/>
        <v>rg:{ 'id': '200009'}</v>
      </c>
      <c r="I264" s="8">
        <f t="shared" ca="1" si="31"/>
        <v>1</v>
      </c>
      <c r="J264" s="8">
        <f t="shared" ca="1" si="32"/>
        <v>91</v>
      </c>
      <c r="K264" s="8" t="str">
        <f t="shared" ca="1" si="33"/>
        <v>2017-05-02</v>
      </c>
      <c r="L264" s="8" t="str">
        <f t="shared" ca="1" si="34"/>
        <v>2017-05-13</v>
      </c>
    </row>
    <row r="265" spans="1:12" x14ac:dyDescent="0.3">
      <c r="A265" s="8" t="s">
        <v>5668</v>
      </c>
      <c r="B265" s="8">
        <f t="shared" si="28"/>
        <v>600263</v>
      </c>
      <c r="C265" s="1" t="s">
        <v>6903</v>
      </c>
      <c r="D265" s="9" t="str">
        <f>IFERROR(VLOOKUP(VLOOKUP(VLOOKUP(C265,Project.csv!F:Q,12,FALSE),ServiceAreas.csv!B:I,8,FALSE),LocalAreas.csv!B:I,7,FALSE),200029)</f>
        <v>rg:None</v>
      </c>
      <c r="E265" s="8" t="str">
        <f t="shared" si="29"/>
        <v>rg:{'id':'rg:None'}</v>
      </c>
      <c r="F265" s="9" t="s">
        <v>7054</v>
      </c>
      <c r="G265" s="9" t="str">
        <f ca="1">INDEX(DistrictEquipmentTypes.csv!F:F,RANDBETWEEN(2,COUNTA(DistrictEquipmentTypes.csv!D:D)),1)</f>
        <v>200006</v>
      </c>
      <c r="H265" s="8" t="str">
        <f t="shared" ca="1" si="30"/>
        <v>rg:{ 'id': '200006'}</v>
      </c>
      <c r="I265" s="8">
        <f t="shared" ca="1" si="31"/>
        <v>1</v>
      </c>
      <c r="J265" s="8">
        <f t="shared" ca="1" si="32"/>
        <v>22</v>
      </c>
      <c r="K265" s="8" t="str">
        <f t="shared" ca="1" si="33"/>
        <v>2017-05-11</v>
      </c>
      <c r="L265" s="8" t="str">
        <f t="shared" ca="1" si="34"/>
        <v>2017-05-13</v>
      </c>
    </row>
    <row r="266" spans="1:12" x14ac:dyDescent="0.3">
      <c r="A266" s="8" t="s">
        <v>5668</v>
      </c>
      <c r="B266" s="8">
        <f t="shared" si="28"/>
        <v>600264</v>
      </c>
      <c r="C266" s="1" t="s">
        <v>7010</v>
      </c>
      <c r="D266" s="9" t="str">
        <f>IFERROR(VLOOKUP(VLOOKUP(VLOOKUP(C266,Project.csv!F:Q,12,FALSE),ServiceAreas.csv!B:I,8,FALSE),LocalAreas.csv!B:I,7,FALSE),200029)</f>
        <v>rg:None</v>
      </c>
      <c r="E266" s="8" t="str">
        <f t="shared" si="29"/>
        <v>rg:{'id':'rg:None'}</v>
      </c>
      <c r="F266" s="9" t="s">
        <v>7054</v>
      </c>
      <c r="G266" s="9" t="str">
        <f ca="1">INDEX(DistrictEquipmentTypes.csv!F:F,RANDBETWEEN(2,COUNTA(DistrictEquipmentTypes.csv!D:D)),1)</f>
        <v>200000</v>
      </c>
      <c r="H266" s="8" t="str">
        <f t="shared" ca="1" si="30"/>
        <v>rg:{ 'id': '200000'}</v>
      </c>
      <c r="I266" s="8">
        <f t="shared" ca="1" si="31"/>
        <v>1</v>
      </c>
      <c r="J266" s="8">
        <f t="shared" ca="1" si="32"/>
        <v>98</v>
      </c>
      <c r="K266" s="8" t="str">
        <f t="shared" ca="1" si="33"/>
        <v>2017-05-13</v>
      </c>
      <c r="L266" s="8" t="str">
        <f t="shared" ca="1" si="34"/>
        <v>2017-05-25</v>
      </c>
    </row>
    <row r="267" spans="1:12" x14ac:dyDescent="0.3">
      <c r="A267" s="8" t="s">
        <v>5668</v>
      </c>
      <c r="B267" s="8">
        <f t="shared" si="28"/>
        <v>600265</v>
      </c>
      <c r="C267" s="1" t="s">
        <v>7011</v>
      </c>
      <c r="D267" s="9" t="str">
        <f>IFERROR(VLOOKUP(VLOOKUP(VLOOKUP(C267,Project.csv!F:Q,12,FALSE),ServiceAreas.csv!B:I,8,FALSE),LocalAreas.csv!B:I,7,FALSE),200029)</f>
        <v>rg:None</v>
      </c>
      <c r="E267" s="8" t="str">
        <f t="shared" si="29"/>
        <v>rg:{'id':'rg:None'}</v>
      </c>
      <c r="F267" s="9" t="s">
        <v>7054</v>
      </c>
      <c r="G267" s="9" t="str">
        <f ca="1">INDEX(DistrictEquipmentTypes.csv!F:F,RANDBETWEEN(2,COUNTA(DistrictEquipmentTypes.csv!D:D)),1)</f>
        <v>200003</v>
      </c>
      <c r="H267" s="8" t="str">
        <f t="shared" ca="1" si="30"/>
        <v>rg:{ 'id': '200003'}</v>
      </c>
      <c r="I267" s="8">
        <f t="shared" ca="1" si="31"/>
        <v>1</v>
      </c>
      <c r="J267" s="8">
        <f t="shared" ca="1" si="32"/>
        <v>61</v>
      </c>
      <c r="K267" s="8" t="str">
        <f t="shared" ca="1" si="33"/>
        <v>2017-04-16</v>
      </c>
      <c r="L267" s="8" t="str">
        <f t="shared" ca="1" si="34"/>
        <v>2017-04-23</v>
      </c>
    </row>
    <row r="268" spans="1:12" x14ac:dyDescent="0.3">
      <c r="A268" s="8" t="s">
        <v>5668</v>
      </c>
      <c r="B268" s="8">
        <f t="shared" si="28"/>
        <v>600266</v>
      </c>
      <c r="C268" s="1" t="s">
        <v>6934</v>
      </c>
      <c r="D268" s="9" t="str">
        <f>IFERROR(VLOOKUP(VLOOKUP(VLOOKUP(C268,Project.csv!F:Q,12,FALSE),ServiceAreas.csv!B:I,8,FALSE),LocalAreas.csv!B:I,7,FALSE),200029)</f>
        <v>rg:None</v>
      </c>
      <c r="E268" s="8" t="str">
        <f t="shared" si="29"/>
        <v>rg:{'id':'rg:None'}</v>
      </c>
      <c r="F268" s="9" t="s">
        <v>7054</v>
      </c>
      <c r="G268" s="9" t="str">
        <f ca="1">INDEX(DistrictEquipmentTypes.csv!F:F,RANDBETWEEN(2,COUNTA(DistrictEquipmentTypes.csv!D:D)),1)</f>
        <v>200002</v>
      </c>
      <c r="H268" s="8" t="str">
        <f t="shared" ca="1" si="30"/>
        <v>rg:{ 'id': '200002'}</v>
      </c>
      <c r="I268" s="8">
        <f t="shared" ca="1" si="31"/>
        <v>1</v>
      </c>
      <c r="J268" s="8">
        <f t="shared" ca="1" si="32"/>
        <v>20</v>
      </c>
      <c r="K268" s="8" t="str">
        <f t="shared" ca="1" si="33"/>
        <v>2017-05-20</v>
      </c>
      <c r="L268" s="8" t="str">
        <f t="shared" ca="1" si="34"/>
        <v>2017-05-22</v>
      </c>
    </row>
    <row r="269" spans="1:12" x14ac:dyDescent="0.3">
      <c r="A269" s="8" t="s">
        <v>5668</v>
      </c>
      <c r="B269" s="8">
        <f t="shared" si="28"/>
        <v>600267</v>
      </c>
      <c r="C269" s="1" t="s">
        <v>6904</v>
      </c>
      <c r="D269" s="9">
        <f>IFERROR(VLOOKUP(VLOOKUP(VLOOKUP(C269,Project.csv!F:Q,12,FALSE),ServiceAreas.csv!B:I,8,FALSE),LocalAreas.csv!B:I,7,FALSE),200029)</f>
        <v>200029</v>
      </c>
      <c r="E269" s="8" t="str">
        <f t="shared" si="29"/>
        <v>rg:{'id':'200029'}</v>
      </c>
      <c r="F269" s="9" t="s">
        <v>7054</v>
      </c>
      <c r="G269" s="9" t="str">
        <f ca="1">INDEX(DistrictEquipmentTypes.csv!F:F,RANDBETWEEN(2,COUNTA(DistrictEquipmentTypes.csv!D:D)),1)</f>
        <v>200006</v>
      </c>
      <c r="H269" s="8" t="str">
        <f t="shared" ca="1" si="30"/>
        <v>rg:{ 'id': '200006'}</v>
      </c>
      <c r="I269" s="8">
        <f t="shared" ca="1" si="31"/>
        <v>1</v>
      </c>
      <c r="J269" s="8">
        <f t="shared" ca="1" si="32"/>
        <v>76</v>
      </c>
      <c r="K269" s="8" t="str">
        <f t="shared" ca="1" si="33"/>
        <v>2017-05-07</v>
      </c>
      <c r="L269" s="8" t="str">
        <f t="shared" ca="1" si="34"/>
        <v>2017-05-16</v>
      </c>
    </row>
    <row r="270" spans="1:12" x14ac:dyDescent="0.3">
      <c r="A270" s="8" t="s">
        <v>5668</v>
      </c>
      <c r="B270" s="8">
        <f t="shared" si="28"/>
        <v>600268</v>
      </c>
      <c r="C270" s="1" t="s">
        <v>7012</v>
      </c>
      <c r="D270" s="9">
        <f>IFERROR(VLOOKUP(VLOOKUP(VLOOKUP(C270,Project.csv!F:Q,12,FALSE),ServiceAreas.csv!B:I,8,FALSE),LocalAreas.csv!B:I,7,FALSE),200029)</f>
        <v>200029</v>
      </c>
      <c r="E270" s="8" t="str">
        <f t="shared" si="29"/>
        <v>rg:{'id':'200029'}</v>
      </c>
      <c r="F270" s="9" t="s">
        <v>7054</v>
      </c>
      <c r="G270" s="9" t="str">
        <f ca="1">INDEX(DistrictEquipmentTypes.csv!F:F,RANDBETWEEN(2,COUNTA(DistrictEquipmentTypes.csv!D:D)),1)</f>
        <v>200000</v>
      </c>
      <c r="H270" s="8" t="str">
        <f t="shared" ca="1" si="30"/>
        <v>rg:{ 'id': '200000'}</v>
      </c>
      <c r="I270" s="8">
        <f t="shared" ca="1" si="31"/>
        <v>1</v>
      </c>
      <c r="J270" s="8">
        <f t="shared" ca="1" si="32"/>
        <v>10</v>
      </c>
      <c r="K270" s="8" t="str">
        <f t="shared" ca="1" si="33"/>
        <v>2017-04-01</v>
      </c>
      <c r="L270" s="8" t="str">
        <f t="shared" ca="1" si="34"/>
        <v>2017-04-02</v>
      </c>
    </row>
    <row r="271" spans="1:12" x14ac:dyDescent="0.3">
      <c r="A271" s="8" t="s">
        <v>5668</v>
      </c>
      <c r="B271" s="8">
        <f t="shared" si="28"/>
        <v>600269</v>
      </c>
      <c r="C271" s="1" t="s">
        <v>7013</v>
      </c>
      <c r="D271" s="9">
        <f>IFERROR(VLOOKUP(VLOOKUP(VLOOKUP(C271,Project.csv!F:Q,12,FALSE),ServiceAreas.csv!B:I,8,FALSE),LocalAreas.csv!B:I,7,FALSE),200029)</f>
        <v>200029</v>
      </c>
      <c r="E271" s="8" t="str">
        <f t="shared" si="29"/>
        <v>rg:{'id':'200029'}</v>
      </c>
      <c r="F271" s="9" t="s">
        <v>7054</v>
      </c>
      <c r="G271" s="9" t="str">
        <f ca="1">INDEX(DistrictEquipmentTypes.csv!F:F,RANDBETWEEN(2,COUNTA(DistrictEquipmentTypes.csv!D:D)),1)</f>
        <v>200000</v>
      </c>
      <c r="H271" s="8" t="str">
        <f t="shared" ca="1" si="30"/>
        <v>rg:{ 'id': '200000'}</v>
      </c>
      <c r="I271" s="8">
        <f t="shared" ca="1" si="31"/>
        <v>4</v>
      </c>
      <c r="J271" s="8">
        <f t="shared" ca="1" si="32"/>
        <v>49</v>
      </c>
      <c r="K271" s="8" t="str">
        <f t="shared" ca="1" si="33"/>
        <v>2017-04-25</v>
      </c>
      <c r="L271" s="8" t="str">
        <f t="shared" ca="1" si="34"/>
        <v>2017-05-19</v>
      </c>
    </row>
    <row r="272" spans="1:12" x14ac:dyDescent="0.3">
      <c r="A272" s="8" t="s">
        <v>5668</v>
      </c>
      <c r="B272" s="8">
        <f t="shared" si="28"/>
        <v>600270</v>
      </c>
      <c r="C272" s="1" t="s">
        <v>7014</v>
      </c>
      <c r="D272" s="9">
        <f>IFERROR(VLOOKUP(VLOOKUP(VLOOKUP(C272,Project.csv!F:Q,12,FALSE),ServiceAreas.csv!B:I,8,FALSE),LocalAreas.csv!B:I,7,FALSE),200029)</f>
        <v>200029</v>
      </c>
      <c r="E272" s="8" t="str">
        <f t="shared" si="29"/>
        <v>rg:{'id':'200029'}</v>
      </c>
      <c r="F272" s="9" t="s">
        <v>7054</v>
      </c>
      <c r="G272" s="9" t="str">
        <f ca="1">INDEX(DistrictEquipmentTypes.csv!F:F,RANDBETWEEN(2,COUNTA(DistrictEquipmentTypes.csv!D:D)),1)</f>
        <v>200002</v>
      </c>
      <c r="H272" s="8" t="str">
        <f t="shared" ca="1" si="30"/>
        <v>rg:{ 'id': '200002'}</v>
      </c>
      <c r="I272" s="8">
        <f t="shared" ca="1" si="31"/>
        <v>1</v>
      </c>
      <c r="J272" s="8">
        <f t="shared" ca="1" si="32"/>
        <v>72</v>
      </c>
      <c r="K272" s="8" t="str">
        <f t="shared" ca="1" si="33"/>
        <v>2017-05-08</v>
      </c>
      <c r="L272" s="8" t="str">
        <f t="shared" ca="1" si="34"/>
        <v>2017-05-17</v>
      </c>
    </row>
    <row r="273" spans="1:12" x14ac:dyDescent="0.3">
      <c r="A273" s="8" t="s">
        <v>5668</v>
      </c>
      <c r="B273" s="8">
        <f t="shared" si="28"/>
        <v>600271</v>
      </c>
      <c r="C273" s="1" t="s">
        <v>7015</v>
      </c>
      <c r="D273" s="9">
        <f>IFERROR(VLOOKUP(VLOOKUP(VLOOKUP(C273,Project.csv!F:Q,12,FALSE),ServiceAreas.csv!B:I,8,FALSE),LocalAreas.csv!B:I,7,FALSE),200029)</f>
        <v>200029</v>
      </c>
      <c r="E273" s="8" t="str">
        <f t="shared" si="29"/>
        <v>rg:{'id':'200029'}</v>
      </c>
      <c r="F273" s="9" t="s">
        <v>7054</v>
      </c>
      <c r="G273" s="9" t="str">
        <f ca="1">INDEX(DistrictEquipmentTypes.csv!F:F,RANDBETWEEN(2,COUNTA(DistrictEquipmentTypes.csv!D:D)),1)</f>
        <v>200009</v>
      </c>
      <c r="H273" s="8" t="str">
        <f t="shared" ca="1" si="30"/>
        <v>rg:{ 'id': '200009'}</v>
      </c>
      <c r="I273" s="8">
        <f t="shared" ca="1" si="31"/>
        <v>1</v>
      </c>
      <c r="J273" s="8">
        <f t="shared" ca="1" si="32"/>
        <v>73</v>
      </c>
      <c r="K273" s="8" t="str">
        <f t="shared" ca="1" si="33"/>
        <v>2017-04-19</v>
      </c>
      <c r="L273" s="8" t="str">
        <f t="shared" ca="1" si="34"/>
        <v>2017-04-28</v>
      </c>
    </row>
    <row r="274" spans="1:12" x14ac:dyDescent="0.3">
      <c r="A274" s="8" t="s">
        <v>5668</v>
      </c>
      <c r="B274" s="8">
        <f t="shared" si="28"/>
        <v>600272</v>
      </c>
      <c r="C274" s="1" t="s">
        <v>7016</v>
      </c>
      <c r="D274" s="9">
        <f>IFERROR(VLOOKUP(VLOOKUP(VLOOKUP(C274,Project.csv!F:Q,12,FALSE),ServiceAreas.csv!B:I,8,FALSE),LocalAreas.csv!B:I,7,FALSE),200029)</f>
        <v>200029</v>
      </c>
      <c r="E274" s="8" t="str">
        <f t="shared" si="29"/>
        <v>rg:{'id':'200029'}</v>
      </c>
      <c r="F274" s="9" t="s">
        <v>7054</v>
      </c>
      <c r="G274" s="9" t="str">
        <f ca="1">INDEX(DistrictEquipmentTypes.csv!F:F,RANDBETWEEN(2,COUNTA(DistrictEquipmentTypes.csv!D:D)),1)</f>
        <v>200005</v>
      </c>
      <c r="H274" s="8" t="str">
        <f t="shared" ca="1" si="30"/>
        <v>rg:{ 'id': '200005'}</v>
      </c>
      <c r="I274" s="8">
        <f t="shared" ca="1" si="31"/>
        <v>1</v>
      </c>
      <c r="J274" s="8">
        <f t="shared" ca="1" si="32"/>
        <v>49</v>
      </c>
      <c r="K274" s="8" t="str">
        <f t="shared" ca="1" si="33"/>
        <v>2017-04-20</v>
      </c>
      <c r="L274" s="8" t="str">
        <f t="shared" ca="1" si="34"/>
        <v>2017-04-26</v>
      </c>
    </row>
    <row r="275" spans="1:12" x14ac:dyDescent="0.3">
      <c r="A275" s="8" t="s">
        <v>5668</v>
      </c>
      <c r="B275" s="8">
        <f t="shared" si="28"/>
        <v>600273</v>
      </c>
      <c r="C275" s="1" t="s">
        <v>7017</v>
      </c>
      <c r="D275" s="9">
        <f>IFERROR(VLOOKUP(VLOOKUP(VLOOKUP(C275,Project.csv!F:Q,12,FALSE),ServiceAreas.csv!B:I,8,FALSE),LocalAreas.csv!B:I,7,FALSE),200029)</f>
        <v>200029</v>
      </c>
      <c r="E275" s="8" t="str">
        <f t="shared" si="29"/>
        <v>rg:{'id':'200029'}</v>
      </c>
      <c r="F275" s="9" t="s">
        <v>7054</v>
      </c>
      <c r="G275" s="9" t="str">
        <f ca="1">INDEX(DistrictEquipmentTypes.csv!F:F,RANDBETWEEN(2,COUNTA(DistrictEquipmentTypes.csv!D:D)),1)</f>
        <v>200004</v>
      </c>
      <c r="H275" s="8" t="str">
        <f t="shared" ca="1" si="30"/>
        <v>rg:{ 'id': '200004'}</v>
      </c>
      <c r="I275" s="8">
        <f t="shared" ca="1" si="31"/>
        <v>1</v>
      </c>
      <c r="J275" s="8">
        <f t="shared" ca="1" si="32"/>
        <v>40</v>
      </c>
      <c r="K275" s="8" t="str">
        <f t="shared" ca="1" si="33"/>
        <v>2017-04-04</v>
      </c>
      <c r="L275" s="8" t="str">
        <f t="shared" ca="1" si="34"/>
        <v>2017-04-09</v>
      </c>
    </row>
    <row r="276" spans="1:12" x14ac:dyDescent="0.3">
      <c r="A276" s="8" t="s">
        <v>5668</v>
      </c>
      <c r="B276" s="8">
        <f t="shared" si="28"/>
        <v>600274</v>
      </c>
      <c r="C276" s="1" t="s">
        <v>7018</v>
      </c>
      <c r="D276" s="9" t="str">
        <f>IFERROR(VLOOKUP(VLOOKUP(VLOOKUP(C276,Project.csv!F:Q,12,FALSE),ServiceAreas.csv!B:I,8,FALSE),LocalAreas.csv!B:I,7,FALSE),200029)</f>
        <v>rg:None</v>
      </c>
      <c r="E276" s="8" t="str">
        <f t="shared" si="29"/>
        <v>rg:{'id':'rg:None'}</v>
      </c>
      <c r="F276" s="9" t="s">
        <v>7054</v>
      </c>
      <c r="G276" s="9" t="str">
        <f ca="1">INDEX(DistrictEquipmentTypes.csv!F:F,RANDBETWEEN(2,COUNTA(DistrictEquipmentTypes.csv!D:D)),1)</f>
        <v>200009</v>
      </c>
      <c r="H276" s="8" t="str">
        <f t="shared" ca="1" si="30"/>
        <v>rg:{ 'id': '200009'}</v>
      </c>
      <c r="I276" s="8">
        <f t="shared" ca="1" si="31"/>
        <v>2</v>
      </c>
      <c r="J276" s="8">
        <f t="shared" ca="1" si="32"/>
        <v>90</v>
      </c>
      <c r="K276" s="8" t="str">
        <f t="shared" ca="1" si="33"/>
        <v>2017-04-18</v>
      </c>
      <c r="L276" s="8" t="str">
        <f t="shared" ca="1" si="34"/>
        <v>2017-05-10</v>
      </c>
    </row>
    <row r="277" spans="1:12" x14ac:dyDescent="0.3">
      <c r="A277" s="8" t="s">
        <v>5668</v>
      </c>
      <c r="B277" s="8">
        <f t="shared" si="28"/>
        <v>600275</v>
      </c>
      <c r="C277" s="1" t="s">
        <v>6897</v>
      </c>
      <c r="D277" s="9" t="str">
        <f>IFERROR(VLOOKUP(VLOOKUP(VLOOKUP(C277,Project.csv!F:Q,12,FALSE),ServiceAreas.csv!B:I,8,FALSE),LocalAreas.csv!B:I,7,FALSE),200029)</f>
        <v>rg:None</v>
      </c>
      <c r="E277" s="8" t="str">
        <f t="shared" si="29"/>
        <v>rg:{'id':'rg:None'}</v>
      </c>
      <c r="F277" s="9" t="s">
        <v>7054</v>
      </c>
      <c r="G277" s="9" t="str">
        <f ca="1">INDEX(DistrictEquipmentTypes.csv!F:F,RANDBETWEEN(2,COUNTA(DistrictEquipmentTypes.csv!D:D)),1)</f>
        <v>200006</v>
      </c>
      <c r="H277" s="8" t="str">
        <f t="shared" ca="1" si="30"/>
        <v>rg:{ 'id': '200006'}</v>
      </c>
      <c r="I277" s="8">
        <f t="shared" ca="1" si="31"/>
        <v>1</v>
      </c>
      <c r="J277" s="8">
        <f t="shared" ca="1" si="32"/>
        <v>38</v>
      </c>
      <c r="K277" s="8" t="str">
        <f t="shared" ca="1" si="33"/>
        <v>2017-05-23</v>
      </c>
      <c r="L277" s="8" t="str">
        <f t="shared" ca="1" si="34"/>
        <v>2017-05-27</v>
      </c>
    </row>
    <row r="278" spans="1:12" x14ac:dyDescent="0.3">
      <c r="A278" s="8" t="s">
        <v>5668</v>
      </c>
      <c r="B278" s="8">
        <f t="shared" si="28"/>
        <v>600276</v>
      </c>
      <c r="C278" s="1" t="s">
        <v>7019</v>
      </c>
      <c r="D278" s="9" t="str">
        <f>IFERROR(VLOOKUP(VLOOKUP(VLOOKUP(C278,Project.csv!F:Q,12,FALSE),ServiceAreas.csv!B:I,8,FALSE),LocalAreas.csv!B:I,7,FALSE),200029)</f>
        <v>rg:None</v>
      </c>
      <c r="E278" s="8" t="str">
        <f t="shared" si="29"/>
        <v>rg:{'id':'rg:None'}</v>
      </c>
      <c r="F278" s="9" t="s">
        <v>7054</v>
      </c>
      <c r="G278" s="9" t="str">
        <f ca="1">INDEX(DistrictEquipmentTypes.csv!F:F,RANDBETWEEN(2,COUNTA(DistrictEquipmentTypes.csv!D:D)),1)</f>
        <v>200007</v>
      </c>
      <c r="H278" s="8" t="str">
        <f t="shared" ca="1" si="30"/>
        <v>rg:{ 'id': '200007'}</v>
      </c>
      <c r="I278" s="8">
        <f t="shared" ca="1" si="31"/>
        <v>1</v>
      </c>
      <c r="J278" s="8">
        <f t="shared" ca="1" si="32"/>
        <v>16</v>
      </c>
      <c r="K278" s="8" t="str">
        <f t="shared" ca="1" si="33"/>
        <v>2017-05-06</v>
      </c>
      <c r="L278" s="8" t="str">
        <f t="shared" ca="1" si="34"/>
        <v>2017-05-08</v>
      </c>
    </row>
    <row r="279" spans="1:12" x14ac:dyDescent="0.3">
      <c r="A279" s="8" t="s">
        <v>5668</v>
      </c>
      <c r="B279" s="8">
        <f t="shared" si="28"/>
        <v>600277</v>
      </c>
      <c r="C279" s="1" t="s">
        <v>6924</v>
      </c>
      <c r="D279" s="9" t="str">
        <f>IFERROR(VLOOKUP(VLOOKUP(VLOOKUP(C279,Project.csv!F:Q,12,FALSE),ServiceAreas.csv!B:I,8,FALSE),LocalAreas.csv!B:I,7,FALSE),200029)</f>
        <v>rg:None</v>
      </c>
      <c r="E279" s="8" t="str">
        <f t="shared" si="29"/>
        <v>rg:{'id':'rg:None'}</v>
      </c>
      <c r="F279" s="9" t="s">
        <v>7054</v>
      </c>
      <c r="G279" s="9" t="str">
        <f ca="1">INDEX(DistrictEquipmentTypes.csv!F:F,RANDBETWEEN(2,COUNTA(DistrictEquipmentTypes.csv!D:D)),1)</f>
        <v>200006</v>
      </c>
      <c r="H279" s="8" t="str">
        <f t="shared" ca="1" si="30"/>
        <v>rg:{ 'id': '200006'}</v>
      </c>
      <c r="I279" s="8">
        <f t="shared" ca="1" si="31"/>
        <v>1</v>
      </c>
      <c r="J279" s="8">
        <f t="shared" ca="1" si="32"/>
        <v>69</v>
      </c>
      <c r="K279" s="8" t="str">
        <f t="shared" ca="1" si="33"/>
        <v>2017-04-25</v>
      </c>
      <c r="L279" s="8" t="str">
        <f t="shared" ca="1" si="34"/>
        <v>2017-05-03</v>
      </c>
    </row>
    <row r="280" spans="1:12" x14ac:dyDescent="0.3">
      <c r="A280" s="8" t="s">
        <v>5668</v>
      </c>
      <c r="B280" s="8">
        <f t="shared" si="28"/>
        <v>600278</v>
      </c>
      <c r="C280" s="1" t="s">
        <v>6918</v>
      </c>
      <c r="D280" s="9" t="str">
        <f>IFERROR(VLOOKUP(VLOOKUP(VLOOKUP(C280,Project.csv!F:Q,12,FALSE),ServiceAreas.csv!B:I,8,FALSE),LocalAreas.csv!B:I,7,FALSE),200029)</f>
        <v>rg:None</v>
      </c>
      <c r="E280" s="8" t="str">
        <f t="shared" si="29"/>
        <v>rg:{'id':'rg:None'}</v>
      </c>
      <c r="F280" s="9" t="s">
        <v>7054</v>
      </c>
      <c r="G280" s="9" t="str">
        <f ca="1">INDEX(DistrictEquipmentTypes.csv!F:F,RANDBETWEEN(2,COUNTA(DistrictEquipmentTypes.csv!D:D)),1)</f>
        <v>200009</v>
      </c>
      <c r="H280" s="8" t="str">
        <f t="shared" ca="1" si="30"/>
        <v>rg:{ 'id': '200009'}</v>
      </c>
      <c r="I280" s="8">
        <f t="shared" ca="1" si="31"/>
        <v>1</v>
      </c>
      <c r="J280" s="8">
        <f t="shared" ca="1" si="32"/>
        <v>26</v>
      </c>
      <c r="K280" s="8" t="str">
        <f t="shared" ca="1" si="33"/>
        <v>2017-05-22</v>
      </c>
      <c r="L280" s="8" t="str">
        <f t="shared" ca="1" si="34"/>
        <v>2017-05-25</v>
      </c>
    </row>
    <row r="281" spans="1:12" x14ac:dyDescent="0.3">
      <c r="A281" s="8" t="s">
        <v>5668</v>
      </c>
      <c r="B281" s="8">
        <f t="shared" si="28"/>
        <v>600279</v>
      </c>
      <c r="C281" s="1" t="s">
        <v>7020</v>
      </c>
      <c r="D281" s="9" t="str">
        <f>IFERROR(VLOOKUP(VLOOKUP(VLOOKUP(C281,Project.csv!F:Q,12,FALSE),ServiceAreas.csv!B:I,8,FALSE),LocalAreas.csv!B:I,7,FALSE),200029)</f>
        <v>rg:None</v>
      </c>
      <c r="E281" s="8" t="str">
        <f t="shared" si="29"/>
        <v>rg:{'id':'rg:None'}</v>
      </c>
      <c r="F281" s="9" t="s">
        <v>7054</v>
      </c>
      <c r="G281" s="9" t="str">
        <f ca="1">INDEX(DistrictEquipmentTypes.csv!F:F,RANDBETWEEN(2,COUNTA(DistrictEquipmentTypes.csv!D:D)),1)</f>
        <v>200004</v>
      </c>
      <c r="H281" s="8" t="str">
        <f t="shared" ca="1" si="30"/>
        <v>rg:{ 'id': '200004'}</v>
      </c>
      <c r="I281" s="8">
        <f t="shared" ca="1" si="31"/>
        <v>1</v>
      </c>
      <c r="J281" s="8">
        <f t="shared" ca="1" si="32"/>
        <v>63</v>
      </c>
      <c r="K281" s="8" t="str">
        <f t="shared" ca="1" si="33"/>
        <v>2017-04-05</v>
      </c>
      <c r="L281" s="8" t="str">
        <f t="shared" ca="1" si="34"/>
        <v>2017-04-12</v>
      </c>
    </row>
    <row r="282" spans="1:12" x14ac:dyDescent="0.3">
      <c r="A282" s="8" t="s">
        <v>5668</v>
      </c>
      <c r="B282" s="8">
        <f t="shared" si="28"/>
        <v>600280</v>
      </c>
      <c r="C282" s="1" t="s">
        <v>7021</v>
      </c>
      <c r="D282" s="9" t="str">
        <f>IFERROR(VLOOKUP(VLOOKUP(VLOOKUP(C282,Project.csv!F:Q,12,FALSE),ServiceAreas.csv!B:I,8,FALSE),LocalAreas.csv!B:I,7,FALSE),200029)</f>
        <v>rg:None</v>
      </c>
      <c r="E282" s="8" t="str">
        <f t="shared" si="29"/>
        <v>rg:{'id':'rg:None'}</v>
      </c>
      <c r="F282" s="9" t="s">
        <v>7054</v>
      </c>
      <c r="G282" s="9" t="str">
        <f ca="1">INDEX(DistrictEquipmentTypes.csv!F:F,RANDBETWEEN(2,COUNTA(DistrictEquipmentTypes.csv!D:D)),1)</f>
        <v>200007</v>
      </c>
      <c r="H282" s="8" t="str">
        <f t="shared" ca="1" si="30"/>
        <v>rg:{ 'id': '200007'}</v>
      </c>
      <c r="I282" s="8">
        <f t="shared" ca="1" si="31"/>
        <v>3</v>
      </c>
      <c r="J282" s="8">
        <f t="shared" ca="1" si="32"/>
        <v>86</v>
      </c>
      <c r="K282" s="8" t="str">
        <f t="shared" ca="1" si="33"/>
        <v>2017-03-31</v>
      </c>
      <c r="L282" s="8" t="str">
        <f t="shared" ca="1" si="34"/>
        <v>2017-05-02</v>
      </c>
    </row>
    <row r="283" spans="1:12" x14ac:dyDescent="0.3">
      <c r="A283" s="8" t="s">
        <v>5668</v>
      </c>
      <c r="B283" s="8">
        <f t="shared" si="28"/>
        <v>600281</v>
      </c>
      <c r="C283" s="1" t="s">
        <v>6906</v>
      </c>
      <c r="D283" s="9" t="str">
        <f>IFERROR(VLOOKUP(VLOOKUP(VLOOKUP(C283,Project.csv!F:Q,12,FALSE),ServiceAreas.csv!B:I,8,FALSE),LocalAreas.csv!B:I,7,FALSE),200029)</f>
        <v>rg:None</v>
      </c>
      <c r="E283" s="8" t="str">
        <f t="shared" si="29"/>
        <v>rg:{'id':'rg:None'}</v>
      </c>
      <c r="F283" s="9" t="s">
        <v>7054</v>
      </c>
      <c r="G283" s="9" t="str">
        <f ca="1">INDEX(DistrictEquipmentTypes.csv!F:F,RANDBETWEEN(2,COUNTA(DistrictEquipmentTypes.csv!D:D)),1)</f>
        <v>200006</v>
      </c>
      <c r="H283" s="8" t="str">
        <f t="shared" ca="1" si="30"/>
        <v>rg:{ 'id': '200006'}</v>
      </c>
      <c r="I283" s="8">
        <f t="shared" ca="1" si="31"/>
        <v>1</v>
      </c>
      <c r="J283" s="8">
        <f t="shared" ca="1" si="32"/>
        <v>96</v>
      </c>
      <c r="K283" s="8" t="str">
        <f t="shared" ca="1" si="33"/>
        <v>2017-05-02</v>
      </c>
      <c r="L283" s="8" t="str">
        <f t="shared" ca="1" si="34"/>
        <v>2017-05-14</v>
      </c>
    </row>
    <row r="284" spans="1:12" x14ac:dyDescent="0.3">
      <c r="A284" s="8" t="s">
        <v>5668</v>
      </c>
      <c r="B284" s="8">
        <f t="shared" si="28"/>
        <v>600282</v>
      </c>
      <c r="C284" s="1" t="s">
        <v>7022</v>
      </c>
      <c r="D284" s="9" t="str">
        <f>IFERROR(VLOOKUP(VLOOKUP(VLOOKUP(C284,Project.csv!F:Q,12,FALSE),ServiceAreas.csv!B:I,8,FALSE),LocalAreas.csv!B:I,7,FALSE),200029)</f>
        <v>rg:None</v>
      </c>
      <c r="E284" s="8" t="str">
        <f t="shared" si="29"/>
        <v>rg:{'id':'rg:None'}</v>
      </c>
      <c r="F284" s="9" t="s">
        <v>7054</v>
      </c>
      <c r="G284" s="9" t="str">
        <f ca="1">INDEX(DistrictEquipmentTypes.csv!F:F,RANDBETWEEN(2,COUNTA(DistrictEquipmentTypes.csv!D:D)),1)</f>
        <v>200009</v>
      </c>
      <c r="H284" s="8" t="str">
        <f t="shared" ca="1" si="30"/>
        <v>rg:{ 'id': '200009'}</v>
      </c>
      <c r="I284" s="8">
        <f t="shared" ca="1" si="31"/>
        <v>5</v>
      </c>
      <c r="J284" s="8">
        <f t="shared" ca="1" si="32"/>
        <v>58</v>
      </c>
      <c r="K284" s="8" t="str">
        <f t="shared" ca="1" si="33"/>
        <v>2017-04-03</v>
      </c>
      <c r="L284" s="8" t="str">
        <f t="shared" ca="1" si="34"/>
        <v>2017-05-09</v>
      </c>
    </row>
    <row r="285" spans="1:12" x14ac:dyDescent="0.3">
      <c r="A285" s="8" t="s">
        <v>5668</v>
      </c>
      <c r="B285" s="8">
        <f t="shared" si="28"/>
        <v>600283</v>
      </c>
      <c r="C285" s="1" t="s">
        <v>7023</v>
      </c>
      <c r="D285" s="9" t="str">
        <f>IFERROR(VLOOKUP(VLOOKUP(VLOOKUP(C285,Project.csv!F:Q,12,FALSE),ServiceAreas.csv!B:I,8,FALSE),LocalAreas.csv!B:I,7,FALSE),200029)</f>
        <v>rg:None</v>
      </c>
      <c r="E285" s="8" t="str">
        <f t="shared" si="29"/>
        <v>rg:{'id':'rg:None'}</v>
      </c>
      <c r="F285" s="9" t="s">
        <v>7054</v>
      </c>
      <c r="G285" s="9" t="str">
        <f ca="1">INDEX(DistrictEquipmentTypes.csv!F:F,RANDBETWEEN(2,COUNTA(DistrictEquipmentTypes.csv!D:D)),1)</f>
        <v>200002</v>
      </c>
      <c r="H285" s="8" t="str">
        <f t="shared" ca="1" si="30"/>
        <v>rg:{ 'id': '200002'}</v>
      </c>
      <c r="I285" s="8">
        <f t="shared" ca="1" si="31"/>
        <v>1</v>
      </c>
      <c r="J285" s="8">
        <f t="shared" ca="1" si="32"/>
        <v>19</v>
      </c>
      <c r="K285" s="8" t="str">
        <f t="shared" ca="1" si="33"/>
        <v>2017-04-05</v>
      </c>
      <c r="L285" s="8" t="str">
        <f t="shared" ca="1" si="34"/>
        <v>2017-04-07</v>
      </c>
    </row>
    <row r="286" spans="1:12" x14ac:dyDescent="0.3">
      <c r="A286" s="8" t="s">
        <v>5668</v>
      </c>
      <c r="B286" s="8">
        <f t="shared" si="28"/>
        <v>600284</v>
      </c>
      <c r="C286" s="1" t="s">
        <v>7024</v>
      </c>
      <c r="D286" s="9" t="str">
        <f>IFERROR(VLOOKUP(VLOOKUP(VLOOKUP(C286,Project.csv!F:Q,12,FALSE),ServiceAreas.csv!B:I,8,FALSE),LocalAreas.csv!B:I,7,FALSE),200029)</f>
        <v>rg:None</v>
      </c>
      <c r="E286" s="8" t="str">
        <f t="shared" si="29"/>
        <v>rg:{'id':'rg:None'}</v>
      </c>
      <c r="F286" s="9" t="s">
        <v>7054</v>
      </c>
      <c r="G286" s="9" t="str">
        <f ca="1">INDEX(DistrictEquipmentTypes.csv!F:F,RANDBETWEEN(2,COUNTA(DistrictEquipmentTypes.csv!D:D)),1)</f>
        <v>200007</v>
      </c>
      <c r="H286" s="8" t="str">
        <f t="shared" ca="1" si="30"/>
        <v>rg:{ 'id': '200007'}</v>
      </c>
      <c r="I286" s="8">
        <f t="shared" ca="1" si="31"/>
        <v>1</v>
      </c>
      <c r="J286" s="8">
        <f t="shared" ca="1" si="32"/>
        <v>51</v>
      </c>
      <c r="K286" s="8" t="str">
        <f t="shared" ca="1" si="33"/>
        <v>2017-04-02</v>
      </c>
      <c r="L286" s="8" t="str">
        <f t="shared" ca="1" si="34"/>
        <v>2017-04-08</v>
      </c>
    </row>
    <row r="287" spans="1:12" x14ac:dyDescent="0.3">
      <c r="A287" s="8" t="s">
        <v>5668</v>
      </c>
      <c r="B287" s="8">
        <f t="shared" si="28"/>
        <v>600285</v>
      </c>
      <c r="C287" s="1" t="s">
        <v>6922</v>
      </c>
      <c r="D287" s="9" t="str">
        <f>IFERROR(VLOOKUP(VLOOKUP(VLOOKUP(C287,Project.csv!F:Q,12,FALSE),ServiceAreas.csv!B:I,8,FALSE),LocalAreas.csv!B:I,7,FALSE),200029)</f>
        <v>rg:None</v>
      </c>
      <c r="E287" s="8" t="str">
        <f t="shared" si="29"/>
        <v>rg:{'id':'rg:None'}</v>
      </c>
      <c r="F287" s="9" t="s">
        <v>7054</v>
      </c>
      <c r="G287" s="9" t="str">
        <f ca="1">INDEX(DistrictEquipmentTypes.csv!F:F,RANDBETWEEN(2,COUNTA(DistrictEquipmentTypes.csv!D:D)),1)</f>
        <v>200000</v>
      </c>
      <c r="H287" s="8" t="str">
        <f t="shared" ca="1" si="30"/>
        <v>rg:{ 'id': '200000'}</v>
      </c>
      <c r="I287" s="8">
        <f t="shared" ca="1" si="31"/>
        <v>1</v>
      </c>
      <c r="J287" s="8">
        <f t="shared" ca="1" si="32"/>
        <v>50</v>
      </c>
      <c r="K287" s="8" t="str">
        <f t="shared" ca="1" si="33"/>
        <v>2017-04-14</v>
      </c>
      <c r="L287" s="8" t="str">
        <f t="shared" ca="1" si="34"/>
        <v>2017-04-20</v>
      </c>
    </row>
    <row r="288" spans="1:12" x14ac:dyDescent="0.3">
      <c r="A288" s="8" t="s">
        <v>5668</v>
      </c>
      <c r="B288" s="8">
        <f t="shared" si="28"/>
        <v>600286</v>
      </c>
      <c r="C288" s="1" t="s">
        <v>7025</v>
      </c>
      <c r="D288" s="9" t="str">
        <f>IFERROR(VLOOKUP(VLOOKUP(VLOOKUP(C288,Project.csv!F:Q,12,FALSE),ServiceAreas.csv!B:I,8,FALSE),LocalAreas.csv!B:I,7,FALSE),200029)</f>
        <v>rg:None</v>
      </c>
      <c r="E288" s="8" t="str">
        <f t="shared" si="29"/>
        <v>rg:{'id':'rg:None'}</v>
      </c>
      <c r="F288" s="9" t="s">
        <v>7054</v>
      </c>
      <c r="G288" s="9" t="str">
        <f ca="1">INDEX(DistrictEquipmentTypes.csv!F:F,RANDBETWEEN(2,COUNTA(DistrictEquipmentTypes.csv!D:D)),1)</f>
        <v>200009</v>
      </c>
      <c r="H288" s="8" t="str">
        <f t="shared" ca="1" si="30"/>
        <v>rg:{ 'id': '200009'}</v>
      </c>
      <c r="I288" s="8">
        <f t="shared" ca="1" si="31"/>
        <v>1</v>
      </c>
      <c r="J288" s="8">
        <f t="shared" ca="1" si="32"/>
        <v>31</v>
      </c>
      <c r="K288" s="8" t="str">
        <f t="shared" ca="1" si="33"/>
        <v>2017-04-01</v>
      </c>
      <c r="L288" s="8" t="str">
        <f t="shared" ca="1" si="34"/>
        <v>2017-04-04</v>
      </c>
    </row>
    <row r="289" spans="1:12" x14ac:dyDescent="0.3">
      <c r="A289" s="8" t="s">
        <v>5668</v>
      </c>
      <c r="B289" s="8">
        <f t="shared" si="28"/>
        <v>600287</v>
      </c>
      <c r="C289" s="1" t="s">
        <v>7026</v>
      </c>
      <c r="D289" s="9" t="str">
        <f>IFERROR(VLOOKUP(VLOOKUP(VLOOKUP(C289,Project.csv!F:Q,12,FALSE),ServiceAreas.csv!B:I,8,FALSE),LocalAreas.csv!B:I,7,FALSE),200029)</f>
        <v>rg:None</v>
      </c>
      <c r="E289" s="8" t="str">
        <f t="shared" si="29"/>
        <v>rg:{'id':'rg:None'}</v>
      </c>
      <c r="F289" s="9" t="s">
        <v>7054</v>
      </c>
      <c r="G289" s="9" t="str">
        <f ca="1">INDEX(DistrictEquipmentTypes.csv!F:F,RANDBETWEEN(2,COUNTA(DistrictEquipmentTypes.csv!D:D)),1)</f>
        <v>200000</v>
      </c>
      <c r="H289" s="8" t="str">
        <f t="shared" ca="1" si="30"/>
        <v>rg:{ 'id': '200000'}</v>
      </c>
      <c r="I289" s="8">
        <f t="shared" ca="1" si="31"/>
        <v>1</v>
      </c>
      <c r="J289" s="8">
        <f t="shared" ca="1" si="32"/>
        <v>5</v>
      </c>
      <c r="K289" s="8" t="str">
        <f t="shared" ca="1" si="33"/>
        <v>2017-04-22</v>
      </c>
      <c r="L289" s="8" t="str">
        <f t="shared" ca="1" si="34"/>
        <v>2017-04-22</v>
      </c>
    </row>
    <row r="290" spans="1:12" x14ac:dyDescent="0.3">
      <c r="A290" s="8" t="s">
        <v>5668</v>
      </c>
      <c r="B290" s="8">
        <f t="shared" si="28"/>
        <v>600288</v>
      </c>
      <c r="C290" s="1" t="s">
        <v>6929</v>
      </c>
      <c r="D290" s="9" t="str">
        <f>IFERROR(VLOOKUP(VLOOKUP(VLOOKUP(C290,Project.csv!F:Q,12,FALSE),ServiceAreas.csv!B:I,8,FALSE),LocalAreas.csv!B:I,7,FALSE),200029)</f>
        <v>rg:None</v>
      </c>
      <c r="E290" s="8" t="str">
        <f t="shared" si="29"/>
        <v>rg:{'id':'rg:None'}</v>
      </c>
      <c r="F290" s="9" t="s">
        <v>7054</v>
      </c>
      <c r="G290" s="9" t="str">
        <f ca="1">INDEX(DistrictEquipmentTypes.csv!F:F,RANDBETWEEN(2,COUNTA(DistrictEquipmentTypes.csv!D:D)),1)</f>
        <v>200007</v>
      </c>
      <c r="H290" s="8" t="str">
        <f t="shared" ca="1" si="30"/>
        <v>rg:{ 'id': '200007'}</v>
      </c>
      <c r="I290" s="8">
        <f t="shared" ca="1" si="31"/>
        <v>1</v>
      </c>
      <c r="J290" s="8">
        <f t="shared" ca="1" si="32"/>
        <v>21</v>
      </c>
      <c r="K290" s="8" t="str">
        <f t="shared" ca="1" si="33"/>
        <v>2017-05-20</v>
      </c>
      <c r="L290" s="8" t="str">
        <f t="shared" ca="1" si="34"/>
        <v>2017-05-22</v>
      </c>
    </row>
    <row r="291" spans="1:12" x14ac:dyDescent="0.3">
      <c r="A291" s="8" t="s">
        <v>5668</v>
      </c>
      <c r="B291" s="8">
        <f t="shared" si="28"/>
        <v>600289</v>
      </c>
      <c r="C291" s="1" t="s">
        <v>7027</v>
      </c>
      <c r="D291" s="9" t="str">
        <f>IFERROR(VLOOKUP(VLOOKUP(VLOOKUP(C291,Project.csv!F:Q,12,FALSE),ServiceAreas.csv!B:I,8,FALSE),LocalAreas.csv!B:I,7,FALSE),200029)</f>
        <v>rg:None</v>
      </c>
      <c r="E291" s="8" t="str">
        <f t="shared" si="29"/>
        <v>rg:{'id':'rg:None'}</v>
      </c>
      <c r="F291" s="9" t="s">
        <v>7054</v>
      </c>
      <c r="G291" s="9" t="str">
        <f ca="1">INDEX(DistrictEquipmentTypes.csv!F:F,RANDBETWEEN(2,COUNTA(DistrictEquipmentTypes.csv!D:D)),1)</f>
        <v>200009</v>
      </c>
      <c r="H291" s="8" t="str">
        <f t="shared" ca="1" si="30"/>
        <v>rg:{ 'id': '200009'}</v>
      </c>
      <c r="I291" s="8">
        <f t="shared" ca="1" si="31"/>
        <v>1</v>
      </c>
      <c r="J291" s="8">
        <f t="shared" ca="1" si="32"/>
        <v>87</v>
      </c>
      <c r="K291" s="8" t="str">
        <f t="shared" ca="1" si="33"/>
        <v>2017-04-19</v>
      </c>
      <c r="L291" s="8" t="str">
        <f t="shared" ca="1" si="34"/>
        <v>2017-04-29</v>
      </c>
    </row>
    <row r="292" spans="1:12" x14ac:dyDescent="0.3">
      <c r="A292" s="8" t="s">
        <v>5668</v>
      </c>
      <c r="B292" s="8">
        <f t="shared" si="28"/>
        <v>600290</v>
      </c>
      <c r="C292" s="1" t="s">
        <v>7028</v>
      </c>
      <c r="D292" s="9" t="str">
        <f>IFERROR(VLOOKUP(VLOOKUP(VLOOKUP(C292,Project.csv!F:Q,12,FALSE),ServiceAreas.csv!B:I,8,FALSE),LocalAreas.csv!B:I,7,FALSE),200029)</f>
        <v>rg:None</v>
      </c>
      <c r="E292" s="8" t="str">
        <f t="shared" si="29"/>
        <v>rg:{'id':'rg:None'}</v>
      </c>
      <c r="F292" s="9" t="s">
        <v>7054</v>
      </c>
      <c r="G292" s="9" t="str">
        <f ca="1">INDEX(DistrictEquipmentTypes.csv!F:F,RANDBETWEEN(2,COUNTA(DistrictEquipmentTypes.csv!D:D)),1)</f>
        <v>200003</v>
      </c>
      <c r="H292" s="8" t="str">
        <f t="shared" ca="1" si="30"/>
        <v>rg:{ 'id': '200003'}</v>
      </c>
      <c r="I292" s="8">
        <f t="shared" ca="1" si="31"/>
        <v>1</v>
      </c>
      <c r="J292" s="8">
        <f t="shared" ca="1" si="32"/>
        <v>29</v>
      </c>
      <c r="K292" s="8" t="str">
        <f t="shared" ca="1" si="33"/>
        <v>2017-05-24</v>
      </c>
      <c r="L292" s="8" t="str">
        <f t="shared" ca="1" si="34"/>
        <v>2017-05-27</v>
      </c>
    </row>
    <row r="293" spans="1:12" x14ac:dyDescent="0.3">
      <c r="A293" s="8" t="s">
        <v>5668</v>
      </c>
      <c r="B293" s="8">
        <f t="shared" si="28"/>
        <v>600291</v>
      </c>
      <c r="C293" s="1" t="s">
        <v>7029</v>
      </c>
      <c r="D293" s="9" t="str">
        <f>IFERROR(VLOOKUP(VLOOKUP(VLOOKUP(C293,Project.csv!F:Q,12,FALSE),ServiceAreas.csv!B:I,8,FALSE),LocalAreas.csv!B:I,7,FALSE),200029)</f>
        <v>rg:None</v>
      </c>
      <c r="E293" s="8" t="str">
        <f t="shared" si="29"/>
        <v>rg:{'id':'rg:None'}</v>
      </c>
      <c r="F293" s="9" t="s">
        <v>7054</v>
      </c>
      <c r="G293" s="9" t="str">
        <f ca="1">INDEX(DistrictEquipmentTypes.csv!F:F,RANDBETWEEN(2,COUNTA(DistrictEquipmentTypes.csv!D:D)),1)</f>
        <v>200009</v>
      </c>
      <c r="H293" s="8" t="str">
        <f t="shared" ca="1" si="30"/>
        <v>rg:{ 'id': '200009'}</v>
      </c>
      <c r="I293" s="8">
        <f t="shared" ca="1" si="31"/>
        <v>1</v>
      </c>
      <c r="J293" s="8">
        <f t="shared" ca="1" si="32"/>
        <v>51</v>
      </c>
      <c r="K293" s="8" t="str">
        <f t="shared" ca="1" si="33"/>
        <v>2017-05-23</v>
      </c>
      <c r="L293" s="8" t="str">
        <f t="shared" ca="1" si="34"/>
        <v>2017-05-29</v>
      </c>
    </row>
    <row r="294" spans="1:12" x14ac:dyDescent="0.3">
      <c r="A294" s="8" t="s">
        <v>5668</v>
      </c>
      <c r="B294" s="8">
        <f t="shared" si="28"/>
        <v>600292</v>
      </c>
      <c r="C294" s="1" t="s">
        <v>7030</v>
      </c>
      <c r="D294" s="9" t="str">
        <f>IFERROR(VLOOKUP(VLOOKUP(VLOOKUP(C294,Project.csv!F:Q,12,FALSE),ServiceAreas.csv!B:I,8,FALSE),LocalAreas.csv!B:I,7,FALSE),200029)</f>
        <v>rg:None</v>
      </c>
      <c r="E294" s="8" t="str">
        <f t="shared" si="29"/>
        <v>rg:{'id':'rg:None'}</v>
      </c>
      <c r="F294" s="9" t="s">
        <v>7054</v>
      </c>
      <c r="G294" s="9" t="str">
        <f ca="1">INDEX(DistrictEquipmentTypes.csv!F:F,RANDBETWEEN(2,COUNTA(DistrictEquipmentTypes.csv!D:D)),1)</f>
        <v>200000</v>
      </c>
      <c r="H294" s="8" t="str">
        <f t="shared" ca="1" si="30"/>
        <v>rg:{ 'id': '200000'}</v>
      </c>
      <c r="I294" s="8">
        <f t="shared" ca="1" si="31"/>
        <v>1</v>
      </c>
      <c r="J294" s="8">
        <f t="shared" ca="1" si="32"/>
        <v>17</v>
      </c>
      <c r="K294" s="8" t="str">
        <f t="shared" ca="1" si="33"/>
        <v>2017-05-12</v>
      </c>
      <c r="L294" s="8" t="str">
        <f t="shared" ca="1" si="34"/>
        <v>2017-05-14</v>
      </c>
    </row>
    <row r="295" spans="1:12" x14ac:dyDescent="0.3">
      <c r="A295" s="8" t="s">
        <v>5668</v>
      </c>
      <c r="B295" s="8">
        <f t="shared" si="28"/>
        <v>600293</v>
      </c>
      <c r="C295" s="1" t="s">
        <v>7031</v>
      </c>
      <c r="D295" s="9" t="str">
        <f>IFERROR(VLOOKUP(VLOOKUP(VLOOKUP(C295,Project.csv!F:Q,12,FALSE),ServiceAreas.csv!B:I,8,FALSE),LocalAreas.csv!B:I,7,FALSE),200029)</f>
        <v>rg:None</v>
      </c>
      <c r="E295" s="8" t="str">
        <f t="shared" si="29"/>
        <v>rg:{'id':'rg:None'}</v>
      </c>
      <c r="F295" s="9" t="s">
        <v>7054</v>
      </c>
      <c r="G295" s="9" t="str">
        <f ca="1">INDEX(DistrictEquipmentTypes.csv!F:F,RANDBETWEEN(2,COUNTA(DistrictEquipmentTypes.csv!D:D)),1)</f>
        <v>200006</v>
      </c>
      <c r="H295" s="8" t="str">
        <f t="shared" ca="1" si="30"/>
        <v>rg:{ 'id': '200006'}</v>
      </c>
      <c r="I295" s="8">
        <f t="shared" ca="1" si="31"/>
        <v>1</v>
      </c>
      <c r="J295" s="8">
        <f t="shared" ca="1" si="32"/>
        <v>78</v>
      </c>
      <c r="K295" s="8" t="str">
        <f t="shared" ca="1" si="33"/>
        <v>2017-05-05</v>
      </c>
      <c r="L295" s="8" t="str">
        <f t="shared" ca="1" si="34"/>
        <v>2017-05-14</v>
      </c>
    </row>
    <row r="296" spans="1:12" x14ac:dyDescent="0.3">
      <c r="A296" s="8" t="s">
        <v>5668</v>
      </c>
      <c r="B296" s="8">
        <f t="shared" si="28"/>
        <v>600294</v>
      </c>
      <c r="C296" s="1" t="s">
        <v>7032</v>
      </c>
      <c r="D296" s="9" t="str">
        <f>IFERROR(VLOOKUP(VLOOKUP(VLOOKUP(C296,Project.csv!F:Q,12,FALSE),ServiceAreas.csv!B:I,8,FALSE),LocalAreas.csv!B:I,7,FALSE),200029)</f>
        <v>rg:None</v>
      </c>
      <c r="E296" s="8" t="str">
        <f t="shared" si="29"/>
        <v>rg:{'id':'rg:None'}</v>
      </c>
      <c r="F296" s="9" t="s">
        <v>7054</v>
      </c>
      <c r="G296" s="9" t="str">
        <f ca="1">INDEX(DistrictEquipmentTypes.csv!F:F,RANDBETWEEN(2,COUNTA(DistrictEquipmentTypes.csv!D:D)),1)</f>
        <v>200009</v>
      </c>
      <c r="H296" s="8" t="str">
        <f t="shared" ca="1" si="30"/>
        <v>rg:{ 'id': '200009'}</v>
      </c>
      <c r="I296" s="8">
        <f t="shared" ca="1" si="31"/>
        <v>1</v>
      </c>
      <c r="J296" s="8">
        <f t="shared" ca="1" si="32"/>
        <v>7</v>
      </c>
      <c r="K296" s="8" t="str">
        <f t="shared" ca="1" si="33"/>
        <v>2017-05-24</v>
      </c>
      <c r="L296" s="8" t="str">
        <f t="shared" ca="1" si="34"/>
        <v>2017-05-24</v>
      </c>
    </row>
    <row r="297" spans="1:12" x14ac:dyDescent="0.3">
      <c r="A297" s="8" t="s">
        <v>5668</v>
      </c>
      <c r="B297" s="8">
        <f t="shared" si="28"/>
        <v>600295</v>
      </c>
      <c r="C297" s="1" t="s">
        <v>7033</v>
      </c>
      <c r="D297" s="9" t="str">
        <f>IFERROR(VLOOKUP(VLOOKUP(VLOOKUP(C297,Project.csv!F:Q,12,FALSE),ServiceAreas.csv!B:I,8,FALSE),LocalAreas.csv!B:I,7,FALSE),200029)</f>
        <v>rg:None</v>
      </c>
      <c r="E297" s="8" t="str">
        <f t="shared" si="29"/>
        <v>rg:{'id':'rg:None'}</v>
      </c>
      <c r="F297" s="9" t="s">
        <v>7054</v>
      </c>
      <c r="G297" s="9" t="str">
        <f ca="1">INDEX(DistrictEquipmentTypes.csv!F:F,RANDBETWEEN(2,COUNTA(DistrictEquipmentTypes.csv!D:D)),1)</f>
        <v>200001</v>
      </c>
      <c r="H297" s="8" t="str">
        <f t="shared" ca="1" si="30"/>
        <v>rg:{ 'id': '200001'}</v>
      </c>
      <c r="I297" s="8">
        <f t="shared" ca="1" si="31"/>
        <v>1</v>
      </c>
      <c r="J297" s="8">
        <f t="shared" ca="1" si="32"/>
        <v>15</v>
      </c>
      <c r="K297" s="8" t="str">
        <f t="shared" ca="1" si="33"/>
        <v>2017-04-03</v>
      </c>
      <c r="L297" s="8" t="str">
        <f t="shared" ca="1" si="34"/>
        <v>2017-04-04</v>
      </c>
    </row>
    <row r="298" spans="1:12" x14ac:dyDescent="0.3">
      <c r="A298" s="8" t="s">
        <v>5668</v>
      </c>
      <c r="B298" s="8">
        <f t="shared" si="28"/>
        <v>600296</v>
      </c>
      <c r="C298" s="1" t="s">
        <v>6894</v>
      </c>
      <c r="D298" s="9" t="str">
        <f>IFERROR(VLOOKUP(VLOOKUP(VLOOKUP(C298,Project.csv!F:Q,12,FALSE),ServiceAreas.csv!B:I,8,FALSE),LocalAreas.csv!B:I,7,FALSE),200029)</f>
        <v>rg:None</v>
      </c>
      <c r="E298" s="8" t="str">
        <f t="shared" si="29"/>
        <v>rg:{'id':'rg:None'}</v>
      </c>
      <c r="F298" s="9" t="s">
        <v>7054</v>
      </c>
      <c r="G298" s="9" t="str">
        <f ca="1">INDEX(DistrictEquipmentTypes.csv!F:F,RANDBETWEEN(2,COUNTA(DistrictEquipmentTypes.csv!D:D)),1)</f>
        <v>200007</v>
      </c>
      <c r="H298" s="8" t="str">
        <f t="shared" ca="1" si="30"/>
        <v>rg:{ 'id': '200007'}</v>
      </c>
      <c r="I298" s="8">
        <f t="shared" ca="1" si="31"/>
        <v>1</v>
      </c>
      <c r="J298" s="8">
        <f t="shared" ca="1" si="32"/>
        <v>37</v>
      </c>
      <c r="K298" s="8" t="str">
        <f t="shared" ca="1" si="33"/>
        <v>2017-05-01</v>
      </c>
      <c r="L298" s="8" t="str">
        <f t="shared" ca="1" si="34"/>
        <v>2017-05-05</v>
      </c>
    </row>
    <row r="299" spans="1:12" x14ac:dyDescent="0.3">
      <c r="A299" s="8" t="s">
        <v>5668</v>
      </c>
      <c r="B299" s="8">
        <f t="shared" si="28"/>
        <v>600297</v>
      </c>
      <c r="C299" s="1" t="s">
        <v>7034</v>
      </c>
      <c r="D299" s="9" t="str">
        <f>IFERROR(VLOOKUP(VLOOKUP(VLOOKUP(C299,Project.csv!F:Q,12,FALSE),ServiceAreas.csv!B:I,8,FALSE),LocalAreas.csv!B:I,7,FALSE),200029)</f>
        <v>rg:None</v>
      </c>
      <c r="E299" s="8" t="str">
        <f t="shared" si="29"/>
        <v>rg:{'id':'rg:None'}</v>
      </c>
      <c r="F299" s="9" t="s">
        <v>7054</v>
      </c>
      <c r="G299" s="9" t="str">
        <f ca="1">INDEX(DistrictEquipmentTypes.csv!F:F,RANDBETWEEN(2,COUNTA(DistrictEquipmentTypes.csv!D:D)),1)</f>
        <v>200006</v>
      </c>
      <c r="H299" s="8" t="str">
        <f t="shared" ca="1" si="30"/>
        <v>rg:{ 'id': '200006'}</v>
      </c>
      <c r="I299" s="8">
        <f t="shared" ca="1" si="31"/>
        <v>1</v>
      </c>
      <c r="J299" s="8">
        <f t="shared" ca="1" si="32"/>
        <v>20</v>
      </c>
      <c r="K299" s="8" t="str">
        <f t="shared" ca="1" si="33"/>
        <v>2017-04-24</v>
      </c>
      <c r="L299" s="8" t="str">
        <f t="shared" ca="1" si="34"/>
        <v>2017-04-26</v>
      </c>
    </row>
    <row r="300" spans="1:12" x14ac:dyDescent="0.3">
      <c r="A300" s="8" t="s">
        <v>5668</v>
      </c>
      <c r="B300" s="8">
        <f t="shared" si="28"/>
        <v>600298</v>
      </c>
      <c r="C300" s="1" t="s">
        <v>6932</v>
      </c>
      <c r="D300" s="9" t="str">
        <f>IFERROR(VLOOKUP(VLOOKUP(VLOOKUP(C300,Project.csv!F:Q,12,FALSE),ServiceAreas.csv!B:I,8,FALSE),LocalAreas.csv!B:I,7,FALSE),200029)</f>
        <v>rg:None</v>
      </c>
      <c r="E300" s="8" t="str">
        <f t="shared" si="29"/>
        <v>rg:{'id':'rg:None'}</v>
      </c>
      <c r="F300" s="9" t="s">
        <v>7054</v>
      </c>
      <c r="G300" s="9" t="str">
        <f ca="1">INDEX(DistrictEquipmentTypes.csv!F:F,RANDBETWEEN(2,COUNTA(DistrictEquipmentTypes.csv!D:D)),1)</f>
        <v>200002</v>
      </c>
      <c r="H300" s="8" t="str">
        <f t="shared" ca="1" si="30"/>
        <v>rg:{ 'id': '200002'}</v>
      </c>
      <c r="I300" s="8">
        <f t="shared" ca="1" si="31"/>
        <v>1</v>
      </c>
      <c r="J300" s="8">
        <f t="shared" ca="1" si="32"/>
        <v>85</v>
      </c>
      <c r="K300" s="8" t="str">
        <f t="shared" ca="1" si="33"/>
        <v>2017-05-02</v>
      </c>
      <c r="L300" s="8" t="str">
        <f t="shared" ca="1" si="34"/>
        <v>2017-05-12</v>
      </c>
    </row>
    <row r="301" spans="1:12" x14ac:dyDescent="0.3">
      <c r="A301" s="8" t="s">
        <v>5668</v>
      </c>
      <c r="B301" s="8">
        <f t="shared" si="28"/>
        <v>600299</v>
      </c>
      <c r="C301" s="1" t="s">
        <v>7035</v>
      </c>
      <c r="D301" s="9" t="str">
        <f>IFERROR(VLOOKUP(VLOOKUP(VLOOKUP(C301,Project.csv!F:Q,12,FALSE),ServiceAreas.csv!B:I,8,FALSE),LocalAreas.csv!B:I,7,FALSE),200029)</f>
        <v>rg:None</v>
      </c>
      <c r="E301" s="8" t="str">
        <f t="shared" si="29"/>
        <v>rg:{'id':'rg:None'}</v>
      </c>
      <c r="F301" s="9" t="s">
        <v>7054</v>
      </c>
      <c r="G301" s="9" t="str">
        <f ca="1">INDEX(DistrictEquipmentTypes.csv!F:F,RANDBETWEEN(2,COUNTA(DistrictEquipmentTypes.csv!D:D)),1)</f>
        <v>200006</v>
      </c>
      <c r="H301" s="8" t="str">
        <f t="shared" ca="1" si="30"/>
        <v>rg:{ 'id': '200006'}</v>
      </c>
      <c r="I301" s="8">
        <f t="shared" ca="1" si="31"/>
        <v>1</v>
      </c>
      <c r="J301" s="8">
        <f t="shared" ca="1" si="32"/>
        <v>4</v>
      </c>
      <c r="K301" s="8" t="str">
        <f t="shared" ca="1" si="33"/>
        <v>2017-04-24</v>
      </c>
      <c r="L301" s="8" t="str">
        <f t="shared" ca="1" si="34"/>
        <v>2017-04-24</v>
      </c>
    </row>
    <row r="302" spans="1:12" x14ac:dyDescent="0.3">
      <c r="A302" s="8" t="s">
        <v>5668</v>
      </c>
      <c r="B302" s="8">
        <f t="shared" si="28"/>
        <v>600300</v>
      </c>
      <c r="C302" s="1" t="s">
        <v>7036</v>
      </c>
      <c r="D302" s="9" t="str">
        <f>IFERROR(VLOOKUP(VLOOKUP(VLOOKUP(C302,Project.csv!F:Q,12,FALSE),ServiceAreas.csv!B:I,8,FALSE),LocalAreas.csv!B:I,7,FALSE),200029)</f>
        <v>rg:None</v>
      </c>
      <c r="E302" s="8" t="str">
        <f t="shared" si="29"/>
        <v>rg:{'id':'rg:None'}</v>
      </c>
      <c r="F302" s="9" t="s">
        <v>7054</v>
      </c>
      <c r="G302" s="9" t="str">
        <f ca="1">INDEX(DistrictEquipmentTypes.csv!F:F,RANDBETWEEN(2,COUNTA(DistrictEquipmentTypes.csv!D:D)),1)</f>
        <v>200002</v>
      </c>
      <c r="H302" s="8" t="str">
        <f t="shared" ca="1" si="30"/>
        <v>rg:{ 'id': '200002'}</v>
      </c>
      <c r="I302" s="8">
        <f t="shared" ca="1" si="31"/>
        <v>2</v>
      </c>
      <c r="J302" s="8">
        <f t="shared" ca="1" si="32"/>
        <v>66</v>
      </c>
      <c r="K302" s="8" t="str">
        <f t="shared" ca="1" si="33"/>
        <v>2017-04-22</v>
      </c>
      <c r="L302" s="8" t="str">
        <f t="shared" ca="1" si="34"/>
        <v>2017-05-08</v>
      </c>
    </row>
    <row r="303" spans="1:12" x14ac:dyDescent="0.3">
      <c r="A303" s="8" t="s">
        <v>5668</v>
      </c>
      <c r="B303" s="8">
        <f t="shared" si="28"/>
        <v>600301</v>
      </c>
      <c r="C303" s="1" t="s">
        <v>7037</v>
      </c>
      <c r="D303" s="9" t="str">
        <f>IFERROR(VLOOKUP(VLOOKUP(VLOOKUP(C303,Project.csv!F:Q,12,FALSE),ServiceAreas.csv!B:I,8,FALSE),LocalAreas.csv!B:I,7,FALSE),200029)</f>
        <v>rg:None</v>
      </c>
      <c r="E303" s="8" t="str">
        <f t="shared" si="29"/>
        <v>rg:{'id':'rg:None'}</v>
      </c>
      <c r="F303" s="9" t="s">
        <v>7054</v>
      </c>
      <c r="G303" s="9" t="str">
        <f ca="1">INDEX(DistrictEquipmentTypes.csv!F:F,RANDBETWEEN(2,COUNTA(DistrictEquipmentTypes.csv!D:D)),1)</f>
        <v>200002</v>
      </c>
      <c r="H303" s="8" t="str">
        <f t="shared" ca="1" si="30"/>
        <v>rg:{ 'id': '200002'}</v>
      </c>
      <c r="I303" s="8">
        <f t="shared" ca="1" si="31"/>
        <v>1</v>
      </c>
      <c r="J303" s="8">
        <f t="shared" ca="1" si="32"/>
        <v>61</v>
      </c>
      <c r="K303" s="8" t="str">
        <f t="shared" ca="1" si="33"/>
        <v>2017-05-25</v>
      </c>
      <c r="L303" s="8" t="str">
        <f t="shared" ca="1" si="34"/>
        <v>2017-06-01</v>
      </c>
    </row>
    <row r="304" spans="1:12" x14ac:dyDescent="0.3">
      <c r="A304" s="8" t="s">
        <v>5668</v>
      </c>
      <c r="B304" s="8">
        <f t="shared" si="28"/>
        <v>600302</v>
      </c>
      <c r="C304" s="1" t="s">
        <v>6925</v>
      </c>
      <c r="D304" s="9" t="str">
        <f>IFERROR(VLOOKUP(VLOOKUP(VLOOKUP(C304,Project.csv!F:Q,12,FALSE),ServiceAreas.csv!B:I,8,FALSE),LocalAreas.csv!B:I,7,FALSE),200029)</f>
        <v>rg:None</v>
      </c>
      <c r="E304" s="8" t="str">
        <f t="shared" si="29"/>
        <v>rg:{'id':'rg:None'}</v>
      </c>
      <c r="F304" s="9" t="s">
        <v>7054</v>
      </c>
      <c r="G304" s="9" t="str">
        <f ca="1">INDEX(DistrictEquipmentTypes.csv!F:F,RANDBETWEEN(2,COUNTA(DistrictEquipmentTypes.csv!D:D)),1)</f>
        <v>200009</v>
      </c>
      <c r="H304" s="8" t="str">
        <f t="shared" ca="1" si="30"/>
        <v>rg:{ 'id': '200009'}</v>
      </c>
      <c r="I304" s="8">
        <f t="shared" ca="1" si="31"/>
        <v>1</v>
      </c>
      <c r="J304" s="8">
        <f t="shared" ca="1" si="32"/>
        <v>73</v>
      </c>
      <c r="K304" s="8" t="str">
        <f t="shared" ca="1" si="33"/>
        <v>2017-04-02</v>
      </c>
      <c r="L304" s="8" t="str">
        <f t="shared" ca="1" si="34"/>
        <v>2017-04-11</v>
      </c>
    </row>
    <row r="305" spans="1:12" x14ac:dyDescent="0.3">
      <c r="A305" s="8" t="s">
        <v>5668</v>
      </c>
      <c r="B305" s="8">
        <f t="shared" si="28"/>
        <v>600303</v>
      </c>
      <c r="C305" s="1" t="s">
        <v>7038</v>
      </c>
      <c r="D305" s="9" t="str">
        <f>IFERROR(VLOOKUP(VLOOKUP(VLOOKUP(C305,Project.csv!F:Q,12,FALSE),ServiceAreas.csv!B:I,8,FALSE),LocalAreas.csv!B:I,7,FALSE),200029)</f>
        <v>rg:None</v>
      </c>
      <c r="E305" s="8" t="str">
        <f t="shared" si="29"/>
        <v>rg:{'id':'rg:None'}</v>
      </c>
      <c r="F305" s="9" t="s">
        <v>7054</v>
      </c>
      <c r="G305" s="9" t="str">
        <f ca="1">INDEX(DistrictEquipmentTypes.csv!F:F,RANDBETWEEN(2,COUNTA(DistrictEquipmentTypes.csv!D:D)),1)</f>
        <v>200001</v>
      </c>
      <c r="H305" s="8" t="str">
        <f t="shared" ca="1" si="30"/>
        <v>rg:{ 'id': '200001'}</v>
      </c>
      <c r="I305" s="8">
        <f t="shared" ca="1" si="31"/>
        <v>1</v>
      </c>
      <c r="J305" s="8">
        <f t="shared" ca="1" si="32"/>
        <v>80</v>
      </c>
      <c r="K305" s="8" t="str">
        <f t="shared" ca="1" si="33"/>
        <v>2017-04-15</v>
      </c>
      <c r="L305" s="8" t="str">
        <f t="shared" ca="1" si="34"/>
        <v>2017-04-25</v>
      </c>
    </row>
    <row r="306" spans="1:12" x14ac:dyDescent="0.3">
      <c r="A306" s="8" t="s">
        <v>5668</v>
      </c>
      <c r="B306" s="8">
        <f t="shared" si="28"/>
        <v>600304</v>
      </c>
      <c r="C306" s="1" t="s">
        <v>7039</v>
      </c>
      <c r="D306" s="9" t="str">
        <f>IFERROR(VLOOKUP(VLOOKUP(VLOOKUP(C306,Project.csv!F:Q,12,FALSE),ServiceAreas.csv!B:I,8,FALSE),LocalAreas.csv!B:I,7,FALSE),200029)</f>
        <v>rg:None</v>
      </c>
      <c r="E306" s="8" t="str">
        <f t="shared" si="29"/>
        <v>rg:{'id':'rg:None'}</v>
      </c>
      <c r="F306" s="9" t="s">
        <v>7054</v>
      </c>
      <c r="G306" s="9" t="str">
        <f ca="1">INDEX(DistrictEquipmentTypes.csv!F:F,RANDBETWEEN(2,COUNTA(DistrictEquipmentTypes.csv!D:D)),1)</f>
        <v>200004</v>
      </c>
      <c r="H306" s="8" t="str">
        <f t="shared" ca="1" si="30"/>
        <v>rg:{ 'id': '200004'}</v>
      </c>
      <c r="I306" s="8">
        <f t="shared" ca="1" si="31"/>
        <v>1</v>
      </c>
      <c r="J306" s="8">
        <f t="shared" ca="1" si="32"/>
        <v>9</v>
      </c>
      <c r="K306" s="8" t="str">
        <f t="shared" ca="1" si="33"/>
        <v>2017-04-14</v>
      </c>
      <c r="L306" s="8" t="str">
        <f t="shared" ca="1" si="34"/>
        <v>2017-04-15</v>
      </c>
    </row>
    <row r="307" spans="1:12" x14ac:dyDescent="0.3">
      <c r="A307" s="8" t="s">
        <v>5668</v>
      </c>
      <c r="B307" s="8">
        <f t="shared" si="28"/>
        <v>600305</v>
      </c>
      <c r="C307" s="1" t="s">
        <v>7040</v>
      </c>
      <c r="D307" s="9" t="str">
        <f>IFERROR(VLOOKUP(VLOOKUP(VLOOKUP(C307,Project.csv!F:Q,12,FALSE),ServiceAreas.csv!B:I,8,FALSE),LocalAreas.csv!B:I,7,FALSE),200029)</f>
        <v>rg:None</v>
      </c>
      <c r="E307" s="8" t="str">
        <f t="shared" si="29"/>
        <v>rg:{'id':'rg:None'}</v>
      </c>
      <c r="F307" s="9" t="s">
        <v>7054</v>
      </c>
      <c r="G307" s="9" t="str">
        <f ca="1">INDEX(DistrictEquipmentTypes.csv!F:F,RANDBETWEEN(2,COUNTA(DistrictEquipmentTypes.csv!D:D)),1)</f>
        <v>200009</v>
      </c>
      <c r="H307" s="8" t="str">
        <f t="shared" ca="1" si="30"/>
        <v>rg:{ 'id': '200009'}</v>
      </c>
      <c r="I307" s="8">
        <f t="shared" ca="1" si="31"/>
        <v>1</v>
      </c>
      <c r="J307" s="8">
        <f t="shared" ca="1" si="32"/>
        <v>81</v>
      </c>
      <c r="K307" s="8" t="str">
        <f t="shared" ca="1" si="33"/>
        <v>2017-04-29</v>
      </c>
      <c r="L307" s="8" t="str">
        <f t="shared" ca="1" si="34"/>
        <v>2017-05-09</v>
      </c>
    </row>
    <row r="308" spans="1:12" x14ac:dyDescent="0.3">
      <c r="A308" s="8" t="s">
        <v>5668</v>
      </c>
      <c r="B308" s="8">
        <f t="shared" si="28"/>
        <v>600306</v>
      </c>
      <c r="C308" s="1" t="s">
        <v>7041</v>
      </c>
      <c r="D308" s="9" t="str">
        <f>IFERROR(VLOOKUP(VLOOKUP(VLOOKUP(C308,Project.csv!F:Q,12,FALSE),ServiceAreas.csv!B:I,8,FALSE),LocalAreas.csv!B:I,7,FALSE),200029)</f>
        <v>rg:None</v>
      </c>
      <c r="E308" s="8" t="str">
        <f t="shared" si="29"/>
        <v>rg:{'id':'rg:None'}</v>
      </c>
      <c r="F308" s="9" t="s">
        <v>7054</v>
      </c>
      <c r="G308" s="9" t="str">
        <f ca="1">INDEX(DistrictEquipmentTypes.csv!F:F,RANDBETWEEN(2,COUNTA(DistrictEquipmentTypes.csv!D:D)),1)</f>
        <v>200001</v>
      </c>
      <c r="H308" s="8" t="str">
        <f t="shared" ca="1" si="30"/>
        <v>rg:{ 'id': '200001'}</v>
      </c>
      <c r="I308" s="8">
        <f t="shared" ca="1" si="31"/>
        <v>1</v>
      </c>
      <c r="J308" s="8">
        <f t="shared" ca="1" si="32"/>
        <v>41</v>
      </c>
      <c r="K308" s="8" t="str">
        <f t="shared" ca="1" si="33"/>
        <v>2017-04-07</v>
      </c>
      <c r="L308" s="8" t="str">
        <f t="shared" ca="1" si="34"/>
        <v>2017-04-12</v>
      </c>
    </row>
    <row r="309" spans="1:12" x14ac:dyDescent="0.3">
      <c r="A309" s="8" t="s">
        <v>5668</v>
      </c>
      <c r="B309" s="8">
        <f t="shared" si="28"/>
        <v>600307</v>
      </c>
      <c r="C309" s="1" t="s">
        <v>7042</v>
      </c>
      <c r="D309" s="9" t="str">
        <f>IFERROR(VLOOKUP(VLOOKUP(VLOOKUP(C309,Project.csv!F:Q,12,FALSE),ServiceAreas.csv!B:I,8,FALSE),LocalAreas.csv!B:I,7,FALSE),200029)</f>
        <v>rg:None</v>
      </c>
      <c r="E309" s="8" t="str">
        <f t="shared" si="29"/>
        <v>rg:{'id':'rg:None'}</v>
      </c>
      <c r="F309" s="9" t="s">
        <v>7054</v>
      </c>
      <c r="G309" s="9" t="str">
        <f ca="1">INDEX(DistrictEquipmentTypes.csv!F:F,RANDBETWEEN(2,COUNTA(DistrictEquipmentTypes.csv!D:D)),1)</f>
        <v>200003</v>
      </c>
      <c r="H309" s="8" t="str">
        <f t="shared" ca="1" si="30"/>
        <v>rg:{ 'id': '200003'}</v>
      </c>
      <c r="I309" s="8">
        <f t="shared" ca="1" si="31"/>
        <v>1</v>
      </c>
      <c r="J309" s="8">
        <f t="shared" ca="1" si="32"/>
        <v>56</v>
      </c>
      <c r="K309" s="8" t="str">
        <f t="shared" ca="1" si="33"/>
        <v>2017-04-19</v>
      </c>
      <c r="L309" s="8" t="str">
        <f t="shared" ca="1" si="34"/>
        <v>2017-04-26</v>
      </c>
    </row>
    <row r="310" spans="1:12" x14ac:dyDescent="0.3">
      <c r="A310" s="8" t="s">
        <v>5668</v>
      </c>
      <c r="B310" s="8">
        <f t="shared" si="28"/>
        <v>600308</v>
      </c>
      <c r="C310" s="1" t="s">
        <v>7043</v>
      </c>
      <c r="D310" s="9" t="str">
        <f>IFERROR(VLOOKUP(VLOOKUP(VLOOKUP(C310,Project.csv!F:Q,12,FALSE),ServiceAreas.csv!B:I,8,FALSE),LocalAreas.csv!B:I,7,FALSE),200029)</f>
        <v>rg:None</v>
      </c>
      <c r="E310" s="8" t="str">
        <f t="shared" si="29"/>
        <v>rg:{'id':'rg:None'}</v>
      </c>
      <c r="F310" s="9" t="s">
        <v>7054</v>
      </c>
      <c r="G310" s="9" t="str">
        <f ca="1">INDEX(DistrictEquipmentTypes.csv!F:F,RANDBETWEEN(2,COUNTA(DistrictEquipmentTypes.csv!D:D)),1)</f>
        <v>200006</v>
      </c>
      <c r="H310" s="8" t="str">
        <f t="shared" ca="1" si="30"/>
        <v>rg:{ 'id': '200006'}</v>
      </c>
      <c r="I310" s="8">
        <f t="shared" ca="1" si="31"/>
        <v>1</v>
      </c>
      <c r="J310" s="8">
        <f t="shared" ca="1" si="32"/>
        <v>37</v>
      </c>
      <c r="K310" s="8" t="str">
        <f t="shared" ca="1" si="33"/>
        <v>2017-05-22</v>
      </c>
      <c r="L310" s="8" t="str">
        <f t="shared" ca="1" si="34"/>
        <v>2017-05-26</v>
      </c>
    </row>
    <row r="311" spans="1:12" x14ac:dyDescent="0.3">
      <c r="A311" s="8" t="s">
        <v>5668</v>
      </c>
      <c r="B311" s="8">
        <f t="shared" si="28"/>
        <v>600309</v>
      </c>
      <c r="C311" s="1" t="s">
        <v>6914</v>
      </c>
      <c r="D311" s="9" t="str">
        <f>IFERROR(VLOOKUP(VLOOKUP(VLOOKUP(C311,Project.csv!F:Q,12,FALSE),ServiceAreas.csv!B:I,8,FALSE),LocalAreas.csv!B:I,7,FALSE),200029)</f>
        <v>rg:None</v>
      </c>
      <c r="E311" s="8" t="str">
        <f t="shared" si="29"/>
        <v>rg:{'id':'rg:None'}</v>
      </c>
      <c r="F311" s="9" t="s">
        <v>7054</v>
      </c>
      <c r="G311" s="9" t="str">
        <f ca="1">INDEX(DistrictEquipmentTypes.csv!F:F,RANDBETWEEN(2,COUNTA(DistrictEquipmentTypes.csv!D:D)),1)</f>
        <v>200002</v>
      </c>
      <c r="H311" s="8" t="str">
        <f t="shared" ca="1" si="30"/>
        <v>rg:{ 'id': '200002'}</v>
      </c>
      <c r="I311" s="8">
        <f t="shared" ca="1" si="31"/>
        <v>1</v>
      </c>
      <c r="J311" s="8">
        <f t="shared" ca="1" si="32"/>
        <v>28</v>
      </c>
      <c r="K311" s="8" t="str">
        <f t="shared" ca="1" si="33"/>
        <v>2017-05-19</v>
      </c>
      <c r="L311" s="8" t="str">
        <f t="shared" ca="1" si="34"/>
        <v>2017-05-22</v>
      </c>
    </row>
    <row r="312" spans="1:12" x14ac:dyDescent="0.3">
      <c r="A312" s="8" t="s">
        <v>5668</v>
      </c>
      <c r="B312" s="8">
        <f t="shared" si="28"/>
        <v>600310</v>
      </c>
      <c r="C312" s="1" t="s">
        <v>7044</v>
      </c>
      <c r="D312" s="9" t="str">
        <f>IFERROR(VLOOKUP(VLOOKUP(VLOOKUP(C312,Project.csv!F:Q,12,FALSE),ServiceAreas.csv!B:I,8,FALSE),LocalAreas.csv!B:I,7,FALSE),200029)</f>
        <v>rg:None</v>
      </c>
      <c r="E312" s="8" t="str">
        <f t="shared" si="29"/>
        <v>rg:{'id':'rg:None'}</v>
      </c>
      <c r="F312" s="9" t="s">
        <v>7054</v>
      </c>
      <c r="G312" s="9" t="str">
        <f ca="1">INDEX(DistrictEquipmentTypes.csv!F:F,RANDBETWEEN(2,COUNTA(DistrictEquipmentTypes.csv!D:D)),1)</f>
        <v>200003</v>
      </c>
      <c r="H312" s="8" t="str">
        <f t="shared" ca="1" si="30"/>
        <v>rg:{ 'id': '200003'}</v>
      </c>
      <c r="I312" s="8">
        <f t="shared" ca="1" si="31"/>
        <v>1</v>
      </c>
      <c r="J312" s="8">
        <f t="shared" ca="1" si="32"/>
        <v>86</v>
      </c>
      <c r="K312" s="8" t="str">
        <f t="shared" ca="1" si="33"/>
        <v>2017-05-20</v>
      </c>
      <c r="L312" s="8" t="str">
        <f t="shared" ca="1" si="34"/>
        <v>2017-05-30</v>
      </c>
    </row>
    <row r="313" spans="1:12" x14ac:dyDescent="0.3">
      <c r="A313" s="8" t="s">
        <v>5668</v>
      </c>
      <c r="B313" s="8">
        <f t="shared" si="28"/>
        <v>600311</v>
      </c>
      <c r="C313" s="1" t="s">
        <v>6899</v>
      </c>
      <c r="D313" s="9" t="str">
        <f>IFERROR(VLOOKUP(VLOOKUP(VLOOKUP(C313,Project.csv!F:Q,12,FALSE),ServiceAreas.csv!B:I,8,FALSE),LocalAreas.csv!B:I,7,FALSE),200029)</f>
        <v>rg:None</v>
      </c>
      <c r="E313" s="8" t="str">
        <f t="shared" si="29"/>
        <v>rg:{'id':'rg:None'}</v>
      </c>
      <c r="F313" s="9" t="s">
        <v>7054</v>
      </c>
      <c r="G313" s="9" t="str">
        <f ca="1">INDEX(DistrictEquipmentTypes.csv!F:F,RANDBETWEEN(2,COUNTA(DistrictEquipmentTypes.csv!D:D)),1)</f>
        <v>200006</v>
      </c>
      <c r="H313" s="8" t="str">
        <f t="shared" ca="1" si="30"/>
        <v>rg:{ 'id': '200006'}</v>
      </c>
      <c r="I313" s="8">
        <f t="shared" ca="1" si="31"/>
        <v>1</v>
      </c>
      <c r="J313" s="8">
        <f t="shared" ca="1" si="32"/>
        <v>32</v>
      </c>
      <c r="K313" s="8" t="str">
        <f t="shared" ca="1" si="33"/>
        <v>2017-05-10</v>
      </c>
      <c r="L313" s="8" t="str">
        <f t="shared" ca="1" si="34"/>
        <v>2017-05-14</v>
      </c>
    </row>
    <row r="314" spans="1:12" x14ac:dyDescent="0.3">
      <c r="A314" s="8" t="s">
        <v>5668</v>
      </c>
      <c r="B314" s="8">
        <f t="shared" si="28"/>
        <v>600312</v>
      </c>
      <c r="C314" s="1" t="s">
        <v>6917</v>
      </c>
      <c r="D314" s="9" t="str">
        <f>IFERROR(VLOOKUP(VLOOKUP(VLOOKUP(C314,Project.csv!F:Q,12,FALSE),ServiceAreas.csv!B:I,8,FALSE),LocalAreas.csv!B:I,7,FALSE),200029)</f>
        <v>rg:None</v>
      </c>
      <c r="E314" s="8" t="str">
        <f t="shared" si="29"/>
        <v>rg:{'id':'rg:None'}</v>
      </c>
      <c r="F314" s="9" t="s">
        <v>7054</v>
      </c>
      <c r="G314" s="9" t="str">
        <f ca="1">INDEX(DistrictEquipmentTypes.csv!F:F,RANDBETWEEN(2,COUNTA(DistrictEquipmentTypes.csv!D:D)),1)</f>
        <v>200004</v>
      </c>
      <c r="H314" s="8" t="str">
        <f t="shared" ca="1" si="30"/>
        <v>rg:{ 'id': '200004'}</v>
      </c>
      <c r="I314" s="8">
        <f t="shared" ca="1" si="31"/>
        <v>1</v>
      </c>
      <c r="J314" s="8">
        <f t="shared" ca="1" si="32"/>
        <v>52</v>
      </c>
      <c r="K314" s="8" t="str">
        <f t="shared" ca="1" si="33"/>
        <v>2017-05-02</v>
      </c>
      <c r="L314" s="8" t="str">
        <f t="shared" ca="1" si="34"/>
        <v>2017-05-08</v>
      </c>
    </row>
    <row r="315" spans="1:12" x14ac:dyDescent="0.3">
      <c r="A315" s="8" t="s">
        <v>5668</v>
      </c>
      <c r="B315" s="8">
        <f t="shared" si="28"/>
        <v>600313</v>
      </c>
      <c r="C315" s="1" t="s">
        <v>7045</v>
      </c>
      <c r="D315" s="9" t="str">
        <f>IFERROR(VLOOKUP(VLOOKUP(VLOOKUP(C315,Project.csv!F:Q,12,FALSE),ServiceAreas.csv!B:I,8,FALSE),LocalAreas.csv!B:I,7,FALSE),200029)</f>
        <v>rg:None</v>
      </c>
      <c r="E315" s="8" t="str">
        <f t="shared" si="29"/>
        <v>rg:{'id':'rg:None'}</v>
      </c>
      <c r="F315" s="9" t="s">
        <v>7054</v>
      </c>
      <c r="G315" s="9" t="str">
        <f ca="1">INDEX(DistrictEquipmentTypes.csv!F:F,RANDBETWEEN(2,COUNTA(DistrictEquipmentTypes.csv!D:D)),1)</f>
        <v>200002</v>
      </c>
      <c r="H315" s="8" t="str">
        <f t="shared" ca="1" si="30"/>
        <v>rg:{ 'id': '200002'}</v>
      </c>
      <c r="I315" s="8">
        <f t="shared" ca="1" si="31"/>
        <v>1</v>
      </c>
      <c r="J315" s="8">
        <f t="shared" ca="1" si="32"/>
        <v>100</v>
      </c>
      <c r="K315" s="8" t="str">
        <f t="shared" ca="1" si="33"/>
        <v>2017-04-11</v>
      </c>
      <c r="L315" s="8" t="str">
        <f t="shared" ca="1" si="34"/>
        <v>2017-04-23</v>
      </c>
    </row>
    <row r="316" spans="1:12" x14ac:dyDescent="0.3">
      <c r="A316" s="8" t="s">
        <v>5668</v>
      </c>
      <c r="B316" s="8">
        <f t="shared" si="28"/>
        <v>600314</v>
      </c>
      <c r="C316" s="1" t="s">
        <v>7046</v>
      </c>
      <c r="D316" s="9" t="str">
        <f>IFERROR(VLOOKUP(VLOOKUP(VLOOKUP(C316,Project.csv!F:Q,12,FALSE),ServiceAreas.csv!B:I,8,FALSE),LocalAreas.csv!B:I,7,FALSE),200029)</f>
        <v>rg:None</v>
      </c>
      <c r="E316" s="8" t="str">
        <f t="shared" si="29"/>
        <v>rg:{'id':'rg:None'}</v>
      </c>
      <c r="F316" s="9" t="s">
        <v>7054</v>
      </c>
      <c r="G316" s="9" t="str">
        <f ca="1">INDEX(DistrictEquipmentTypes.csv!F:F,RANDBETWEEN(2,COUNTA(DistrictEquipmentTypes.csv!D:D)),1)</f>
        <v>200007</v>
      </c>
      <c r="H316" s="8" t="str">
        <f t="shared" ca="1" si="30"/>
        <v>rg:{ 'id': '200007'}</v>
      </c>
      <c r="I316" s="8">
        <f t="shared" ca="1" si="31"/>
        <v>1</v>
      </c>
      <c r="J316" s="8">
        <f t="shared" ca="1" si="32"/>
        <v>19</v>
      </c>
      <c r="K316" s="8" t="str">
        <f t="shared" ca="1" si="33"/>
        <v>2017-04-06</v>
      </c>
      <c r="L316" s="8" t="str">
        <f t="shared" ca="1" si="34"/>
        <v>2017-04-08</v>
      </c>
    </row>
    <row r="317" spans="1:12" x14ac:dyDescent="0.3">
      <c r="A317" s="8" t="s">
        <v>5668</v>
      </c>
      <c r="B317" s="8">
        <f t="shared" si="28"/>
        <v>600315</v>
      </c>
      <c r="C317" s="1" t="s">
        <v>7047</v>
      </c>
      <c r="D317" s="9" t="str">
        <f>IFERROR(VLOOKUP(VLOOKUP(VLOOKUP(C317,Project.csv!F:Q,12,FALSE),ServiceAreas.csv!B:I,8,FALSE),LocalAreas.csv!B:I,7,FALSE),200029)</f>
        <v>rg:None</v>
      </c>
      <c r="E317" s="8" t="str">
        <f t="shared" si="29"/>
        <v>rg:{'id':'rg:None'}</v>
      </c>
      <c r="F317" s="9" t="s">
        <v>7054</v>
      </c>
      <c r="G317" s="9" t="str">
        <f ca="1">INDEX(DistrictEquipmentTypes.csv!F:F,RANDBETWEEN(2,COUNTA(DistrictEquipmentTypes.csv!D:D)),1)</f>
        <v>200009</v>
      </c>
      <c r="H317" s="8" t="str">
        <f t="shared" ca="1" si="30"/>
        <v>rg:{ 'id': '200009'}</v>
      </c>
      <c r="I317" s="8">
        <f t="shared" ca="1" si="31"/>
        <v>1</v>
      </c>
      <c r="J317" s="8">
        <f t="shared" ca="1" si="32"/>
        <v>99</v>
      </c>
      <c r="K317" s="8" t="str">
        <f t="shared" ca="1" si="33"/>
        <v>2017-05-04</v>
      </c>
      <c r="L317" s="8" t="str">
        <f t="shared" ca="1" si="34"/>
        <v>2017-05-16</v>
      </c>
    </row>
    <row r="318" spans="1:12" x14ac:dyDescent="0.3">
      <c r="A318" s="8" t="s">
        <v>5668</v>
      </c>
      <c r="B318" s="8">
        <f t="shared" si="28"/>
        <v>600316</v>
      </c>
      <c r="C318" s="1" t="s">
        <v>7048</v>
      </c>
      <c r="D318" s="9">
        <f>IFERROR(VLOOKUP(VLOOKUP(VLOOKUP(C318,Project.csv!F:Q,12,FALSE),ServiceAreas.csv!B:I,8,FALSE),LocalAreas.csv!B:I,7,FALSE),200029)</f>
        <v>200029</v>
      </c>
      <c r="E318" s="8" t="str">
        <f t="shared" si="29"/>
        <v>rg:{'id':'200029'}</v>
      </c>
      <c r="F318" s="9" t="s">
        <v>7054</v>
      </c>
      <c r="G318" s="9" t="str">
        <f ca="1">INDEX(DistrictEquipmentTypes.csv!F:F,RANDBETWEEN(2,COUNTA(DistrictEquipmentTypes.csv!D:D)),1)</f>
        <v>200005</v>
      </c>
      <c r="H318" s="8" t="str">
        <f t="shared" ca="1" si="30"/>
        <v>rg:{ 'id': '200005'}</v>
      </c>
      <c r="I318" s="8">
        <f t="shared" ca="1" si="31"/>
        <v>1</v>
      </c>
      <c r="J318" s="8">
        <f t="shared" ca="1" si="32"/>
        <v>38</v>
      </c>
      <c r="K318" s="8" t="str">
        <f t="shared" ca="1" si="33"/>
        <v>2017-04-13</v>
      </c>
      <c r="L318" s="8" t="str">
        <f t="shared" ca="1" si="34"/>
        <v>2017-04-17</v>
      </c>
    </row>
    <row r="319" spans="1:12" x14ac:dyDescent="0.3">
      <c r="A319" s="8" t="s">
        <v>5668</v>
      </c>
      <c r="B319" s="8">
        <f t="shared" si="28"/>
        <v>600317</v>
      </c>
      <c r="C319" s="1" t="s">
        <v>7049</v>
      </c>
      <c r="D319" s="9">
        <f>IFERROR(VLOOKUP(VLOOKUP(VLOOKUP(C319,Project.csv!F:Q,12,FALSE),ServiceAreas.csv!B:I,8,FALSE),LocalAreas.csv!B:I,7,FALSE),200029)</f>
        <v>200029</v>
      </c>
      <c r="E319" s="8" t="str">
        <f t="shared" si="29"/>
        <v>rg:{'id':'200029'}</v>
      </c>
      <c r="F319" s="9" t="s">
        <v>7054</v>
      </c>
      <c r="G319" s="9" t="str">
        <f ca="1">INDEX(DistrictEquipmentTypes.csv!F:F,RANDBETWEEN(2,COUNTA(DistrictEquipmentTypes.csv!D:D)),1)</f>
        <v>200009</v>
      </c>
      <c r="H319" s="8" t="str">
        <f t="shared" ca="1" si="30"/>
        <v>rg:{ 'id': '200009'}</v>
      </c>
      <c r="I319" s="8">
        <f t="shared" ca="1" si="31"/>
        <v>1</v>
      </c>
      <c r="J319" s="8">
        <f t="shared" ca="1" si="32"/>
        <v>83</v>
      </c>
      <c r="K319" s="8" t="str">
        <f t="shared" ca="1" si="33"/>
        <v>2017-04-13</v>
      </c>
      <c r="L319" s="8" t="str">
        <f t="shared" ca="1" si="34"/>
        <v>2017-04-23</v>
      </c>
    </row>
    <row r="320" spans="1:12" x14ac:dyDescent="0.3">
      <c r="A320" s="8" t="s">
        <v>5668</v>
      </c>
      <c r="B320" s="8">
        <f t="shared" si="28"/>
        <v>600318</v>
      </c>
      <c r="C320" s="1" t="s">
        <v>7050</v>
      </c>
      <c r="D320" s="9">
        <f>IFERROR(VLOOKUP(VLOOKUP(VLOOKUP(C320,Project.csv!F:Q,12,FALSE),ServiceAreas.csv!B:I,8,FALSE),LocalAreas.csv!B:I,7,FALSE),200029)</f>
        <v>200029</v>
      </c>
      <c r="E320" s="8" t="str">
        <f t="shared" si="29"/>
        <v>rg:{'id':'200029'}</v>
      </c>
      <c r="F320" s="9" t="s">
        <v>7054</v>
      </c>
      <c r="G320" s="9" t="str">
        <f ca="1">INDEX(DistrictEquipmentTypes.csv!F:F,RANDBETWEEN(2,COUNTA(DistrictEquipmentTypes.csv!D:D)),1)</f>
        <v>200001</v>
      </c>
      <c r="H320" s="8" t="str">
        <f t="shared" ca="1" si="30"/>
        <v>rg:{ 'id': '200001'}</v>
      </c>
      <c r="I320" s="8">
        <f t="shared" ca="1" si="31"/>
        <v>1</v>
      </c>
      <c r="J320" s="8">
        <f t="shared" ca="1" si="32"/>
        <v>81</v>
      </c>
      <c r="K320" s="8" t="str">
        <f t="shared" ca="1" si="33"/>
        <v>2017-04-05</v>
      </c>
      <c r="L320" s="8" t="str">
        <f t="shared" ca="1" si="34"/>
        <v>2017-04-15</v>
      </c>
    </row>
    <row r="321" spans="1:12" x14ac:dyDescent="0.3">
      <c r="A321" s="8" t="s">
        <v>5668</v>
      </c>
      <c r="B321" s="8">
        <f t="shared" si="28"/>
        <v>600319</v>
      </c>
      <c r="C321" s="1" t="s">
        <v>7051</v>
      </c>
      <c r="D321" s="9">
        <f>IFERROR(VLOOKUP(VLOOKUP(VLOOKUP(C321,Project.csv!F:Q,12,FALSE),ServiceAreas.csv!B:I,8,FALSE),LocalAreas.csv!B:I,7,FALSE),200029)</f>
        <v>200029</v>
      </c>
      <c r="E321" s="8" t="str">
        <f t="shared" si="29"/>
        <v>rg:{'id':'200029'}</v>
      </c>
      <c r="F321" s="9" t="s">
        <v>7054</v>
      </c>
      <c r="G321" s="9" t="str">
        <f ca="1">INDEX(DistrictEquipmentTypes.csv!F:F,RANDBETWEEN(2,COUNTA(DistrictEquipmentTypes.csv!D:D)),1)</f>
        <v>200009</v>
      </c>
      <c r="H321" s="8" t="str">
        <f t="shared" ca="1" si="30"/>
        <v>rg:{ 'id': '200009'}</v>
      </c>
      <c r="I321" s="8">
        <f t="shared" ca="1" si="31"/>
        <v>1</v>
      </c>
      <c r="J321" s="8">
        <f t="shared" ca="1" si="32"/>
        <v>27</v>
      </c>
      <c r="K321" s="8" t="str">
        <f t="shared" ca="1" si="33"/>
        <v>2017-04-16</v>
      </c>
      <c r="L321" s="8" t="str">
        <f t="shared" ca="1" si="34"/>
        <v>2017-04-19</v>
      </c>
    </row>
    <row r="322" spans="1:12" x14ac:dyDescent="0.3">
      <c r="A322" s="8" t="s">
        <v>5668</v>
      </c>
      <c r="B322" s="8">
        <f t="shared" si="28"/>
        <v>600320</v>
      </c>
      <c r="C322" s="1" t="s">
        <v>7052</v>
      </c>
      <c r="D322" s="9">
        <f>IFERROR(VLOOKUP(VLOOKUP(VLOOKUP(C322,Project.csv!F:Q,12,FALSE),ServiceAreas.csv!B:I,8,FALSE),LocalAreas.csv!B:I,7,FALSE),200029)</f>
        <v>200029</v>
      </c>
      <c r="E322" s="8" t="str">
        <f t="shared" si="29"/>
        <v>rg:{'id':'200029'}</v>
      </c>
      <c r="F322" s="9" t="s">
        <v>7054</v>
      </c>
      <c r="G322" s="9" t="str">
        <f ca="1">INDEX(DistrictEquipmentTypes.csv!F:F,RANDBETWEEN(2,COUNTA(DistrictEquipmentTypes.csv!D:D)),1)</f>
        <v>200006</v>
      </c>
      <c r="H322" s="8" t="str">
        <f t="shared" ca="1" si="30"/>
        <v>rg:{ 'id': '200006'}</v>
      </c>
      <c r="I322" s="8">
        <f t="shared" ca="1" si="31"/>
        <v>1</v>
      </c>
      <c r="J322" s="8">
        <f t="shared" ca="1" si="32"/>
        <v>27</v>
      </c>
      <c r="K322" s="8" t="str">
        <f t="shared" ca="1" si="33"/>
        <v>2017-04-07</v>
      </c>
      <c r="L322" s="8" t="str">
        <f t="shared" ca="1" si="34"/>
        <v>2017-04-10</v>
      </c>
    </row>
    <row r="323" spans="1:12" x14ac:dyDescent="0.3">
      <c r="A323" s="8" t="s">
        <v>5668</v>
      </c>
      <c r="B323" s="8">
        <f t="shared" ref="B323:B325" si="35">IF(ISNUMBER(B322),B322+1,600000)</f>
        <v>600321</v>
      </c>
      <c r="C323" s="1" t="s">
        <v>6927</v>
      </c>
      <c r="D323" s="9">
        <f>IFERROR(VLOOKUP(VLOOKUP(VLOOKUP(C323,Project.csv!F:Q,12,FALSE),ServiceAreas.csv!B:I,8,FALSE),LocalAreas.csv!B:I,7,FALSE),200029)</f>
        <v>200029</v>
      </c>
      <c r="E323" s="8" t="str">
        <f t="shared" ref="E323:E325" si="36" xml:space="preserve"> "rg:{'id':'" &amp; D323 &amp; "'}"</f>
        <v>rg:{'id':'200029'}</v>
      </c>
      <c r="F323" s="9" t="s">
        <v>7054</v>
      </c>
      <c r="G323" s="9" t="str">
        <f ca="1">INDEX(DistrictEquipmentTypes.csv!F:F,RANDBETWEEN(2,COUNTA(DistrictEquipmentTypes.csv!D:D)),1)</f>
        <v>200000</v>
      </c>
      <c r="H323" s="8" t="str">
        <f t="shared" ref="H323:H325" ca="1" si="37">"rg:{ 'id': '"&amp;G323&amp;"'}"</f>
        <v>rg:{ 'id': '200000'}</v>
      </c>
      <c r="I323" s="8">
        <f t="shared" ref="I323:I325" ca="1" si="38">IF(RANDBETWEEN(1,5)&gt;1,1,RANDBETWEEN(2,5))</f>
        <v>2</v>
      </c>
      <c r="J323" s="8">
        <f t="shared" ref="J323:J325" ca="1" si="39">RANDBETWEEN(4,100)</f>
        <v>52</v>
      </c>
      <c r="K323" s="8" t="str">
        <f t="shared" ref="K323:K325" ca="1" si="40">TEXT(TODAY()+RANDBETWEEN(1,56),"YYYY-MM-DD")</f>
        <v>2017-05-19</v>
      </c>
      <c r="L323" s="8" t="str">
        <f t="shared" ref="L323:L325" ca="1" si="41">TEXT(K323+(I323*J323)/8,"YYYY-MM-DD")</f>
        <v>2017-06-01</v>
      </c>
    </row>
    <row r="324" spans="1:12" x14ac:dyDescent="0.3">
      <c r="A324" s="8" t="s">
        <v>5668</v>
      </c>
      <c r="B324" s="8">
        <f t="shared" si="35"/>
        <v>600322</v>
      </c>
      <c r="C324" s="1" t="s">
        <v>7053</v>
      </c>
      <c r="D324" s="9">
        <f>IFERROR(VLOOKUP(VLOOKUP(VLOOKUP(C324,Project.csv!F:Q,12,FALSE),ServiceAreas.csv!B:I,8,FALSE),LocalAreas.csv!B:I,7,FALSE),200029)</f>
        <v>200029</v>
      </c>
      <c r="E324" s="8" t="str">
        <f t="shared" si="36"/>
        <v>rg:{'id':'200029'}</v>
      </c>
      <c r="F324" s="9" t="s">
        <v>7054</v>
      </c>
      <c r="G324" s="9" t="str">
        <f ca="1">INDEX(DistrictEquipmentTypes.csv!F:F,RANDBETWEEN(2,COUNTA(DistrictEquipmentTypes.csv!D:D)),1)</f>
        <v>200000</v>
      </c>
      <c r="H324" s="8" t="str">
        <f t="shared" ca="1" si="37"/>
        <v>rg:{ 'id': '200000'}</v>
      </c>
      <c r="I324" s="8">
        <f t="shared" ca="1" si="38"/>
        <v>1</v>
      </c>
      <c r="J324" s="8">
        <f t="shared" ca="1" si="39"/>
        <v>72</v>
      </c>
      <c r="K324" s="8" t="str">
        <f t="shared" ca="1" si="40"/>
        <v>2017-04-23</v>
      </c>
      <c r="L324" s="8" t="str">
        <f t="shared" ca="1" si="41"/>
        <v>2017-05-02</v>
      </c>
    </row>
    <row r="325" spans="1:12" x14ac:dyDescent="0.3">
      <c r="A325" s="8" t="s">
        <v>5668</v>
      </c>
      <c r="B325" s="8">
        <f t="shared" si="35"/>
        <v>600323</v>
      </c>
      <c r="C325" s="1" t="s">
        <v>6891</v>
      </c>
      <c r="D325" s="9">
        <f>IFERROR(VLOOKUP(VLOOKUP(VLOOKUP(C325,Project.csv!F:Q,12,FALSE),ServiceAreas.csv!B:I,8,FALSE),LocalAreas.csv!B:I,7,FALSE),200029)</f>
        <v>200029</v>
      </c>
      <c r="E325" s="8" t="str">
        <f t="shared" si="36"/>
        <v>rg:{'id':'200029'}</v>
      </c>
      <c r="F325" s="9" t="s">
        <v>7054</v>
      </c>
      <c r="G325" s="9" t="str">
        <f ca="1">INDEX(DistrictEquipmentTypes.csv!F:F,RANDBETWEEN(2,COUNTA(DistrictEquipmentTypes.csv!D:D)),1)</f>
        <v>200004</v>
      </c>
      <c r="H325" s="8" t="str">
        <f t="shared" ca="1" si="37"/>
        <v>rg:{ 'id': '200004'}</v>
      </c>
      <c r="I325" s="8">
        <f t="shared" ca="1" si="38"/>
        <v>3</v>
      </c>
      <c r="J325" s="8">
        <f t="shared" ca="1" si="39"/>
        <v>28</v>
      </c>
      <c r="K325" s="8" t="str">
        <f t="shared" ca="1" si="40"/>
        <v>2017-05-02</v>
      </c>
      <c r="L325" s="8" t="str">
        <f t="shared" ca="1" si="41"/>
        <v>2017-05-12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4"/>
  <sheetViews>
    <sheetView workbookViewId="0">
      <pane ySplit="1" topLeftCell="A16" activePane="bottomLeft" state="frozen"/>
      <selection pane="bottomLeft" activeCell="C27" sqref="C27"/>
    </sheetView>
  </sheetViews>
  <sheetFormatPr defaultRowHeight="14.4" x14ac:dyDescent="0.3"/>
  <cols>
    <col min="1" max="1" width="10.5546875" bestFit="1" customWidth="1"/>
    <col min="2" max="2" width="39.77734375" customWidth="1"/>
    <col min="3" max="3" width="16.6640625" customWidth="1"/>
    <col min="4" max="4" width="11.88671875" customWidth="1"/>
    <col min="5" max="5" width="11.77734375" customWidth="1"/>
    <col min="6" max="6" width="33.88671875" customWidth="1"/>
    <col min="7" max="7" width="18.5546875" customWidth="1"/>
  </cols>
  <sheetData>
    <row r="1" spans="1:8" x14ac:dyDescent="0.3">
      <c r="A1" t="s">
        <v>68</v>
      </c>
      <c r="B1" t="s">
        <v>7883</v>
      </c>
      <c r="C1" t="s">
        <v>7770</v>
      </c>
      <c r="D1" t="s">
        <v>7771</v>
      </c>
      <c r="E1" t="s">
        <v>7772</v>
      </c>
      <c r="F1" t="s">
        <v>7773</v>
      </c>
      <c r="G1" t="s">
        <v>7774</v>
      </c>
      <c r="H1" t="s">
        <v>5325</v>
      </c>
    </row>
    <row r="2" spans="1:8" x14ac:dyDescent="0.3">
      <c r="A2" t="s">
        <v>7882</v>
      </c>
      <c r="B2" t="s">
        <v>7775</v>
      </c>
      <c r="C2" t="s">
        <v>7776</v>
      </c>
      <c r="D2">
        <v>2</v>
      </c>
      <c r="E2" t="s">
        <v>7777</v>
      </c>
      <c r="F2" t="s">
        <v>6663</v>
      </c>
      <c r="H2">
        <v>200000</v>
      </c>
    </row>
    <row r="3" spans="1:8" x14ac:dyDescent="0.3">
      <c r="A3" t="s">
        <v>7882</v>
      </c>
      <c r="B3" t="s">
        <v>7775</v>
      </c>
      <c r="C3" t="s">
        <v>7868</v>
      </c>
      <c r="D3">
        <v>3</v>
      </c>
      <c r="E3" t="s">
        <v>7778</v>
      </c>
      <c r="F3" t="s">
        <v>6664</v>
      </c>
      <c r="H3">
        <f>H2+1</f>
        <v>200001</v>
      </c>
    </row>
    <row r="4" spans="1:8" x14ac:dyDescent="0.3">
      <c r="A4" t="s">
        <v>7882</v>
      </c>
      <c r="B4" t="s">
        <v>7775</v>
      </c>
      <c r="C4" t="s">
        <v>7868</v>
      </c>
      <c r="D4">
        <v>1</v>
      </c>
      <c r="E4" t="s">
        <v>7779</v>
      </c>
      <c r="F4" t="s">
        <v>6665</v>
      </c>
      <c r="H4">
        <f t="shared" ref="H4:H54" si="0">H3+1</f>
        <v>200002</v>
      </c>
    </row>
    <row r="5" spans="1:8" x14ac:dyDescent="0.3">
      <c r="A5" t="s">
        <v>7882</v>
      </c>
      <c r="B5" t="s">
        <v>7780</v>
      </c>
      <c r="C5" t="s">
        <v>7776</v>
      </c>
      <c r="D5">
        <v>2</v>
      </c>
      <c r="E5" t="s">
        <v>7777</v>
      </c>
      <c r="F5" t="s">
        <v>6663</v>
      </c>
      <c r="H5">
        <f t="shared" si="0"/>
        <v>200003</v>
      </c>
    </row>
    <row r="6" spans="1:8" x14ac:dyDescent="0.3">
      <c r="A6" t="s">
        <v>7882</v>
      </c>
      <c r="B6" t="s">
        <v>7780</v>
      </c>
      <c r="C6" t="s">
        <v>7868</v>
      </c>
      <c r="D6">
        <v>3</v>
      </c>
      <c r="E6" t="s">
        <v>7778</v>
      </c>
      <c r="F6" t="s">
        <v>6664</v>
      </c>
      <c r="H6">
        <f t="shared" si="0"/>
        <v>200004</v>
      </c>
    </row>
    <row r="7" spans="1:8" x14ac:dyDescent="0.3">
      <c r="A7" t="s">
        <v>7882</v>
      </c>
      <c r="B7" t="s">
        <v>7780</v>
      </c>
      <c r="C7" t="s">
        <v>7868</v>
      </c>
      <c r="D7">
        <v>1</v>
      </c>
      <c r="E7" t="s">
        <v>7779</v>
      </c>
      <c r="F7" t="s">
        <v>6665</v>
      </c>
      <c r="H7">
        <f t="shared" si="0"/>
        <v>200005</v>
      </c>
    </row>
    <row r="8" spans="1:8" x14ac:dyDescent="0.3">
      <c r="A8" t="s">
        <v>7882</v>
      </c>
      <c r="B8" t="s">
        <v>7781</v>
      </c>
      <c r="C8" t="s">
        <v>7776</v>
      </c>
      <c r="D8">
        <v>1</v>
      </c>
      <c r="E8" t="s">
        <v>7782</v>
      </c>
      <c r="F8" t="s">
        <v>7783</v>
      </c>
      <c r="H8">
        <f t="shared" si="0"/>
        <v>200006</v>
      </c>
    </row>
    <row r="9" spans="1:8" x14ac:dyDescent="0.3">
      <c r="A9" t="s">
        <v>7882</v>
      </c>
      <c r="B9" t="s">
        <v>7781</v>
      </c>
      <c r="C9" t="s">
        <v>7868</v>
      </c>
      <c r="D9">
        <v>2</v>
      </c>
      <c r="E9" t="s">
        <v>7784</v>
      </c>
      <c r="F9" t="s">
        <v>7055</v>
      </c>
      <c r="H9">
        <f t="shared" si="0"/>
        <v>200007</v>
      </c>
    </row>
    <row r="10" spans="1:8" x14ac:dyDescent="0.3">
      <c r="A10" t="s">
        <v>7882</v>
      </c>
      <c r="B10" t="s">
        <v>7781</v>
      </c>
      <c r="C10" t="s">
        <v>7868</v>
      </c>
      <c r="D10">
        <v>3</v>
      </c>
      <c r="E10" t="s">
        <v>7785</v>
      </c>
      <c r="F10" t="s">
        <v>7056</v>
      </c>
      <c r="H10">
        <f t="shared" si="0"/>
        <v>200008</v>
      </c>
    </row>
    <row r="11" spans="1:8" x14ac:dyDescent="0.3">
      <c r="A11" t="s">
        <v>7882</v>
      </c>
      <c r="B11" t="s">
        <v>7786</v>
      </c>
      <c r="C11" t="s">
        <v>7776</v>
      </c>
      <c r="D11">
        <v>1</v>
      </c>
      <c r="E11" t="s">
        <v>7787</v>
      </c>
      <c r="F11" t="s">
        <v>7788</v>
      </c>
      <c r="H11">
        <f t="shared" si="0"/>
        <v>200009</v>
      </c>
    </row>
    <row r="12" spans="1:8" x14ac:dyDescent="0.3">
      <c r="A12" t="s">
        <v>7882</v>
      </c>
      <c r="B12" t="s">
        <v>7786</v>
      </c>
      <c r="C12" t="s">
        <v>7868</v>
      </c>
      <c r="D12">
        <v>2</v>
      </c>
      <c r="E12" t="s">
        <v>5324</v>
      </c>
      <c r="F12" t="s">
        <v>7789</v>
      </c>
      <c r="H12">
        <f t="shared" si="0"/>
        <v>200010</v>
      </c>
    </row>
    <row r="13" spans="1:8" x14ac:dyDescent="0.3">
      <c r="A13" t="s">
        <v>7882</v>
      </c>
      <c r="B13" t="s">
        <v>7790</v>
      </c>
      <c r="C13" t="s">
        <v>7868</v>
      </c>
      <c r="D13">
        <v>1</v>
      </c>
      <c r="E13" t="s">
        <v>7791</v>
      </c>
      <c r="F13" t="s">
        <v>7791</v>
      </c>
      <c r="G13" t="s">
        <v>7792</v>
      </c>
      <c r="H13">
        <f t="shared" si="0"/>
        <v>200011</v>
      </c>
    </row>
    <row r="14" spans="1:8" x14ac:dyDescent="0.3">
      <c r="A14" t="s">
        <v>7882</v>
      </c>
      <c r="B14" t="s">
        <v>7790</v>
      </c>
      <c r="C14" t="s">
        <v>7868</v>
      </c>
      <c r="D14">
        <v>2</v>
      </c>
      <c r="E14" t="s">
        <v>7793</v>
      </c>
      <c r="F14" t="s">
        <v>7793</v>
      </c>
      <c r="H14">
        <f t="shared" si="0"/>
        <v>200012</v>
      </c>
    </row>
    <row r="15" spans="1:8" x14ac:dyDescent="0.3">
      <c r="A15" t="s">
        <v>7882</v>
      </c>
      <c r="B15" t="s">
        <v>7790</v>
      </c>
      <c r="C15" t="s">
        <v>7868</v>
      </c>
      <c r="D15">
        <v>3</v>
      </c>
      <c r="E15" t="s">
        <v>7794</v>
      </c>
      <c r="F15" t="s">
        <v>7794</v>
      </c>
      <c r="H15">
        <f t="shared" si="0"/>
        <v>200013</v>
      </c>
    </row>
    <row r="16" spans="1:8" x14ac:dyDescent="0.3">
      <c r="A16" t="s">
        <v>7882</v>
      </c>
      <c r="B16" t="s">
        <v>7790</v>
      </c>
      <c r="C16" t="s">
        <v>7868</v>
      </c>
      <c r="D16">
        <v>4</v>
      </c>
      <c r="E16" t="s">
        <v>7795</v>
      </c>
      <c r="F16" t="s">
        <v>7796</v>
      </c>
      <c r="H16">
        <f t="shared" si="0"/>
        <v>200014</v>
      </c>
    </row>
    <row r="17" spans="1:8" x14ac:dyDescent="0.3">
      <c r="A17" t="s">
        <v>7882</v>
      </c>
      <c r="B17" t="s">
        <v>7790</v>
      </c>
      <c r="C17" t="s">
        <v>7868</v>
      </c>
      <c r="D17">
        <v>5</v>
      </c>
      <c r="E17" t="s">
        <v>7797</v>
      </c>
      <c r="F17" t="s">
        <v>7798</v>
      </c>
      <c r="H17">
        <f t="shared" si="0"/>
        <v>200015</v>
      </c>
    </row>
    <row r="18" spans="1:8" x14ac:dyDescent="0.3">
      <c r="A18" t="s">
        <v>7882</v>
      </c>
      <c r="B18" t="s">
        <v>7790</v>
      </c>
      <c r="C18" t="s">
        <v>7868</v>
      </c>
      <c r="D18">
        <v>6</v>
      </c>
      <c r="E18" t="s">
        <v>7799</v>
      </c>
      <c r="F18" t="s">
        <v>7800</v>
      </c>
      <c r="H18">
        <f t="shared" si="0"/>
        <v>200016</v>
      </c>
    </row>
    <row r="19" spans="1:8" x14ac:dyDescent="0.3">
      <c r="A19" t="s">
        <v>7882</v>
      </c>
      <c r="B19" t="s">
        <v>7801</v>
      </c>
      <c r="C19" t="s">
        <v>7776</v>
      </c>
      <c r="D19">
        <v>1</v>
      </c>
      <c r="E19" t="s">
        <v>7802</v>
      </c>
      <c r="F19" t="s">
        <v>7803</v>
      </c>
      <c r="G19" t="s">
        <v>7792</v>
      </c>
      <c r="H19">
        <f t="shared" si="0"/>
        <v>200017</v>
      </c>
    </row>
    <row r="20" spans="1:8" x14ac:dyDescent="0.3">
      <c r="A20" t="s">
        <v>7882</v>
      </c>
      <c r="B20" t="s">
        <v>7801</v>
      </c>
      <c r="C20" t="s">
        <v>7868</v>
      </c>
      <c r="D20">
        <v>2</v>
      </c>
      <c r="E20" t="s">
        <v>7885</v>
      </c>
      <c r="F20" t="s">
        <v>7884</v>
      </c>
      <c r="H20">
        <f t="shared" si="0"/>
        <v>200018</v>
      </c>
    </row>
    <row r="21" spans="1:8" x14ac:dyDescent="0.3">
      <c r="A21" t="s">
        <v>7882</v>
      </c>
      <c r="B21" t="s">
        <v>7801</v>
      </c>
      <c r="C21" t="s">
        <v>7868</v>
      </c>
      <c r="D21">
        <v>3</v>
      </c>
      <c r="E21" t="s">
        <v>7804</v>
      </c>
      <c r="F21" t="s">
        <v>7805</v>
      </c>
      <c r="H21">
        <f t="shared" si="0"/>
        <v>200019</v>
      </c>
    </row>
    <row r="22" spans="1:8" x14ac:dyDescent="0.3">
      <c r="A22" t="s">
        <v>7882</v>
      </c>
      <c r="B22" t="s">
        <v>7801</v>
      </c>
      <c r="C22" t="s">
        <v>7868</v>
      </c>
      <c r="D22">
        <v>4</v>
      </c>
      <c r="E22" t="s">
        <v>5324</v>
      </c>
      <c r="F22" t="s">
        <v>7806</v>
      </c>
      <c r="H22">
        <f t="shared" si="0"/>
        <v>200020</v>
      </c>
    </row>
    <row r="23" spans="1:8" x14ac:dyDescent="0.3">
      <c r="A23" t="s">
        <v>7882</v>
      </c>
      <c r="B23" t="s">
        <v>7807</v>
      </c>
      <c r="C23" t="s">
        <v>7776</v>
      </c>
      <c r="D23">
        <v>1</v>
      </c>
      <c r="E23" t="s">
        <v>7782</v>
      </c>
      <c r="F23" t="s">
        <v>7783</v>
      </c>
      <c r="H23">
        <f t="shared" si="0"/>
        <v>200021</v>
      </c>
    </row>
    <row r="24" spans="1:8" x14ac:dyDescent="0.3">
      <c r="A24" t="s">
        <v>7882</v>
      </c>
      <c r="B24" t="s">
        <v>7807</v>
      </c>
      <c r="C24" t="s">
        <v>7868</v>
      </c>
      <c r="D24">
        <v>2</v>
      </c>
      <c r="E24" t="s">
        <v>7784</v>
      </c>
      <c r="F24" t="s">
        <v>7055</v>
      </c>
      <c r="H24">
        <f t="shared" si="0"/>
        <v>200022</v>
      </c>
    </row>
    <row r="25" spans="1:8" x14ac:dyDescent="0.3">
      <c r="A25" t="s">
        <v>7882</v>
      </c>
      <c r="B25" t="s">
        <v>7807</v>
      </c>
      <c r="C25" t="s">
        <v>7868</v>
      </c>
      <c r="D25">
        <v>3</v>
      </c>
      <c r="E25" t="s">
        <v>7785</v>
      </c>
      <c r="F25" t="s">
        <v>7056</v>
      </c>
      <c r="H25">
        <f t="shared" si="0"/>
        <v>200023</v>
      </c>
    </row>
    <row r="26" spans="1:8" x14ac:dyDescent="0.3">
      <c r="A26" t="s">
        <v>7882</v>
      </c>
      <c r="B26" t="s">
        <v>7808</v>
      </c>
      <c r="C26" t="s">
        <v>7776</v>
      </c>
      <c r="D26">
        <v>1</v>
      </c>
      <c r="E26" t="s">
        <v>7809</v>
      </c>
      <c r="F26" t="s">
        <v>7809</v>
      </c>
      <c r="H26">
        <f t="shared" si="0"/>
        <v>200024</v>
      </c>
    </row>
    <row r="27" spans="1:8" x14ac:dyDescent="0.3">
      <c r="A27" t="s">
        <v>7882</v>
      </c>
      <c r="B27" t="s">
        <v>7808</v>
      </c>
      <c r="C27" t="s">
        <v>7868</v>
      </c>
      <c r="D27">
        <v>2</v>
      </c>
      <c r="E27" t="s">
        <v>7784</v>
      </c>
      <c r="F27" t="s">
        <v>7055</v>
      </c>
      <c r="H27">
        <f t="shared" si="0"/>
        <v>200025</v>
      </c>
    </row>
    <row r="28" spans="1:8" x14ac:dyDescent="0.3">
      <c r="A28" t="s">
        <v>7882</v>
      </c>
      <c r="B28" t="s">
        <v>7810</v>
      </c>
      <c r="C28" t="s">
        <v>7868</v>
      </c>
      <c r="D28">
        <v>1</v>
      </c>
      <c r="E28" t="s">
        <v>7811</v>
      </c>
      <c r="F28" t="s">
        <v>7812</v>
      </c>
      <c r="H28">
        <f t="shared" si="0"/>
        <v>200026</v>
      </c>
    </row>
    <row r="29" spans="1:8" x14ac:dyDescent="0.3">
      <c r="A29" t="s">
        <v>7882</v>
      </c>
      <c r="B29" t="s">
        <v>7810</v>
      </c>
      <c r="C29" t="s">
        <v>7868</v>
      </c>
      <c r="D29">
        <v>2</v>
      </c>
      <c r="E29" t="s">
        <v>7813</v>
      </c>
      <c r="F29" t="s">
        <v>7814</v>
      </c>
      <c r="H29">
        <f t="shared" si="0"/>
        <v>200027</v>
      </c>
    </row>
    <row r="30" spans="1:8" x14ac:dyDescent="0.3">
      <c r="A30" t="s">
        <v>7882</v>
      </c>
      <c r="B30" t="s">
        <v>7810</v>
      </c>
      <c r="C30" t="s">
        <v>7868</v>
      </c>
      <c r="D30">
        <v>3</v>
      </c>
      <c r="E30" t="s">
        <v>7815</v>
      </c>
      <c r="F30" t="s">
        <v>7816</v>
      </c>
      <c r="H30">
        <f t="shared" si="0"/>
        <v>200028</v>
      </c>
    </row>
    <row r="31" spans="1:8" x14ac:dyDescent="0.3">
      <c r="A31" t="s">
        <v>7882</v>
      </c>
      <c r="B31" t="s">
        <v>5672</v>
      </c>
      <c r="C31" t="s">
        <v>7868</v>
      </c>
      <c r="D31">
        <v>1</v>
      </c>
      <c r="E31" t="s">
        <v>7817</v>
      </c>
      <c r="F31" t="s">
        <v>7818</v>
      </c>
      <c r="H31">
        <f t="shared" si="0"/>
        <v>200029</v>
      </c>
    </row>
    <row r="32" spans="1:8" x14ac:dyDescent="0.3">
      <c r="A32" t="s">
        <v>7882</v>
      </c>
      <c r="B32" t="s">
        <v>5672</v>
      </c>
      <c r="C32" t="s">
        <v>7868</v>
      </c>
      <c r="D32">
        <v>2</v>
      </c>
      <c r="E32" t="s">
        <v>7819</v>
      </c>
      <c r="F32" t="s">
        <v>7820</v>
      </c>
      <c r="H32">
        <f t="shared" si="0"/>
        <v>200030</v>
      </c>
    </row>
    <row r="33" spans="1:8" x14ac:dyDescent="0.3">
      <c r="A33" t="s">
        <v>7882</v>
      </c>
      <c r="B33" t="s">
        <v>5672</v>
      </c>
      <c r="C33" t="s">
        <v>7868</v>
      </c>
      <c r="D33">
        <v>3</v>
      </c>
      <c r="E33" t="s">
        <v>7821</v>
      </c>
      <c r="F33" t="s">
        <v>7822</v>
      </c>
      <c r="H33">
        <f t="shared" si="0"/>
        <v>200031</v>
      </c>
    </row>
    <row r="34" spans="1:8" x14ac:dyDescent="0.3">
      <c r="A34" t="s">
        <v>7882</v>
      </c>
      <c r="B34" t="s">
        <v>5672</v>
      </c>
      <c r="C34" t="s">
        <v>7868</v>
      </c>
      <c r="D34">
        <v>4</v>
      </c>
      <c r="E34" t="s">
        <v>7823</v>
      </c>
      <c r="F34" t="s">
        <v>7824</v>
      </c>
      <c r="H34">
        <f t="shared" si="0"/>
        <v>200032</v>
      </c>
    </row>
    <row r="35" spans="1:8" x14ac:dyDescent="0.3">
      <c r="A35" t="s">
        <v>7882</v>
      </c>
      <c r="B35" t="s">
        <v>5672</v>
      </c>
      <c r="C35" t="s">
        <v>7868</v>
      </c>
      <c r="D35">
        <v>5</v>
      </c>
      <c r="E35" t="s">
        <v>7825</v>
      </c>
      <c r="F35" t="s">
        <v>7826</v>
      </c>
      <c r="H35">
        <f t="shared" si="0"/>
        <v>200033</v>
      </c>
    </row>
    <row r="36" spans="1:8" x14ac:dyDescent="0.3">
      <c r="A36" t="s">
        <v>7882</v>
      </c>
      <c r="B36" t="s">
        <v>7827</v>
      </c>
      <c r="C36" t="s">
        <v>7868</v>
      </c>
      <c r="E36" t="s">
        <v>7828</v>
      </c>
      <c r="F36" t="s">
        <v>7829</v>
      </c>
      <c r="H36">
        <f t="shared" si="0"/>
        <v>200034</v>
      </c>
    </row>
    <row r="37" spans="1:8" x14ac:dyDescent="0.3">
      <c r="A37" t="s">
        <v>7882</v>
      </c>
      <c r="B37" t="s">
        <v>7827</v>
      </c>
      <c r="C37" t="s">
        <v>7868</v>
      </c>
      <c r="E37" t="s">
        <v>7830</v>
      </c>
      <c r="F37" t="s">
        <v>7831</v>
      </c>
      <c r="H37">
        <f t="shared" si="0"/>
        <v>200035</v>
      </c>
    </row>
    <row r="38" spans="1:8" x14ac:dyDescent="0.3">
      <c r="A38" t="s">
        <v>7882</v>
      </c>
      <c r="B38" t="s">
        <v>7827</v>
      </c>
      <c r="C38" t="s">
        <v>7868</v>
      </c>
      <c r="E38" t="s">
        <v>7832</v>
      </c>
      <c r="F38" t="s">
        <v>7833</v>
      </c>
      <c r="H38">
        <f t="shared" si="0"/>
        <v>200036</v>
      </c>
    </row>
    <row r="39" spans="1:8" x14ac:dyDescent="0.3">
      <c r="A39" t="s">
        <v>7882</v>
      </c>
      <c r="B39" t="s">
        <v>7827</v>
      </c>
      <c r="C39" t="s">
        <v>7868</v>
      </c>
      <c r="E39" t="s">
        <v>7834</v>
      </c>
      <c r="F39" t="s">
        <v>7835</v>
      </c>
      <c r="H39">
        <f t="shared" si="0"/>
        <v>200037</v>
      </c>
    </row>
    <row r="40" spans="1:8" x14ac:dyDescent="0.3">
      <c r="A40" t="s">
        <v>7882</v>
      </c>
      <c r="B40" t="s">
        <v>7827</v>
      </c>
      <c r="C40" t="s">
        <v>7868</v>
      </c>
      <c r="E40" t="s">
        <v>7836</v>
      </c>
      <c r="F40" t="s">
        <v>7837</v>
      </c>
      <c r="H40">
        <f t="shared" si="0"/>
        <v>200038</v>
      </c>
    </row>
    <row r="41" spans="1:8" x14ac:dyDescent="0.3">
      <c r="A41" t="s">
        <v>7882</v>
      </c>
      <c r="B41" t="s">
        <v>7827</v>
      </c>
      <c r="C41" t="s">
        <v>7868</v>
      </c>
      <c r="E41" t="s">
        <v>7838</v>
      </c>
      <c r="F41" t="s">
        <v>7839</v>
      </c>
      <c r="H41">
        <f t="shared" si="0"/>
        <v>200039</v>
      </c>
    </row>
    <row r="42" spans="1:8" x14ac:dyDescent="0.3">
      <c r="A42" t="s">
        <v>7882</v>
      </c>
      <c r="B42" t="s">
        <v>7827</v>
      </c>
      <c r="C42" t="s">
        <v>7868</v>
      </c>
      <c r="E42" t="s">
        <v>2837</v>
      </c>
      <c r="F42" t="s">
        <v>7840</v>
      </c>
      <c r="H42">
        <f t="shared" si="0"/>
        <v>200040</v>
      </c>
    </row>
    <row r="43" spans="1:8" x14ac:dyDescent="0.3">
      <c r="A43" t="s">
        <v>7882</v>
      </c>
      <c r="B43" t="s">
        <v>7827</v>
      </c>
      <c r="C43" t="s">
        <v>7868</v>
      </c>
      <c r="E43" t="s">
        <v>7841</v>
      </c>
      <c r="F43" t="s">
        <v>7842</v>
      </c>
      <c r="H43">
        <f t="shared" si="0"/>
        <v>200041</v>
      </c>
    </row>
    <row r="44" spans="1:8" x14ac:dyDescent="0.3">
      <c r="A44" t="s">
        <v>7882</v>
      </c>
      <c r="B44" t="s">
        <v>7843</v>
      </c>
      <c r="C44" t="s">
        <v>7868</v>
      </c>
      <c r="E44" t="s">
        <v>7844</v>
      </c>
      <c r="F44" t="s">
        <v>7844</v>
      </c>
      <c r="H44">
        <f t="shared" si="0"/>
        <v>200042</v>
      </c>
    </row>
    <row r="45" spans="1:8" x14ac:dyDescent="0.3">
      <c r="A45" t="s">
        <v>7882</v>
      </c>
      <c r="B45" t="s">
        <v>7843</v>
      </c>
      <c r="C45" t="s">
        <v>7868</v>
      </c>
      <c r="E45" t="s">
        <v>7845</v>
      </c>
      <c r="F45" t="s">
        <v>7846</v>
      </c>
      <c r="H45">
        <f t="shared" si="0"/>
        <v>200043</v>
      </c>
    </row>
    <row r="46" spans="1:8" x14ac:dyDescent="0.3">
      <c r="A46" t="s">
        <v>7882</v>
      </c>
      <c r="B46" t="s">
        <v>7843</v>
      </c>
      <c r="C46" t="s">
        <v>7868</v>
      </c>
      <c r="E46" t="s">
        <v>7847</v>
      </c>
      <c r="F46" t="s">
        <v>7848</v>
      </c>
      <c r="H46">
        <f t="shared" si="0"/>
        <v>200044</v>
      </c>
    </row>
    <row r="47" spans="1:8" x14ac:dyDescent="0.3">
      <c r="A47" t="s">
        <v>7882</v>
      </c>
      <c r="B47" t="s">
        <v>7843</v>
      </c>
      <c r="C47" t="s">
        <v>7868</v>
      </c>
      <c r="E47" t="s">
        <v>7849</v>
      </c>
      <c r="F47" t="s">
        <v>7850</v>
      </c>
      <c r="H47">
        <f t="shared" si="0"/>
        <v>200045</v>
      </c>
    </row>
    <row r="48" spans="1:8" x14ac:dyDescent="0.3">
      <c r="A48" t="s">
        <v>7882</v>
      </c>
      <c r="B48" t="s">
        <v>7851</v>
      </c>
      <c r="C48" t="s">
        <v>7868</v>
      </c>
      <c r="E48" t="s">
        <v>7844</v>
      </c>
      <c r="F48" t="s">
        <v>7844</v>
      </c>
      <c r="H48">
        <f t="shared" si="0"/>
        <v>200046</v>
      </c>
    </row>
    <row r="49" spans="1:8" x14ac:dyDescent="0.3">
      <c r="A49" t="s">
        <v>7882</v>
      </c>
      <c r="B49" t="s">
        <v>7852</v>
      </c>
      <c r="C49" t="s">
        <v>7868</v>
      </c>
      <c r="E49" t="s">
        <v>7853</v>
      </c>
      <c r="F49" t="s">
        <v>7854</v>
      </c>
      <c r="H49">
        <f t="shared" si="0"/>
        <v>200047</v>
      </c>
    </row>
    <row r="50" spans="1:8" x14ac:dyDescent="0.3">
      <c r="A50" t="s">
        <v>7882</v>
      </c>
      <c r="B50" t="s">
        <v>7852</v>
      </c>
      <c r="C50" t="s">
        <v>7868</v>
      </c>
      <c r="E50" t="s">
        <v>7855</v>
      </c>
      <c r="F50" t="s">
        <v>7856</v>
      </c>
      <c r="H50">
        <f t="shared" si="0"/>
        <v>200048</v>
      </c>
    </row>
    <row r="51" spans="1:8" x14ac:dyDescent="0.3">
      <c r="A51" t="s">
        <v>7882</v>
      </c>
      <c r="B51" t="s">
        <v>7857</v>
      </c>
      <c r="C51" t="s">
        <v>7868</v>
      </c>
      <c r="E51" t="s">
        <v>7858</v>
      </c>
      <c r="F51" t="s">
        <v>7858</v>
      </c>
      <c r="H51">
        <f t="shared" si="0"/>
        <v>200049</v>
      </c>
    </row>
    <row r="52" spans="1:8" x14ac:dyDescent="0.3">
      <c r="A52" t="s">
        <v>7882</v>
      </c>
      <c r="B52" t="s">
        <v>7857</v>
      </c>
      <c r="C52" t="s">
        <v>7868</v>
      </c>
      <c r="E52" t="s">
        <v>7847</v>
      </c>
      <c r="F52" t="s">
        <v>7848</v>
      </c>
      <c r="H52">
        <f t="shared" si="0"/>
        <v>200050</v>
      </c>
    </row>
    <row r="53" spans="1:8" x14ac:dyDescent="0.3">
      <c r="A53" t="s">
        <v>7882</v>
      </c>
      <c r="B53" t="s">
        <v>7859</v>
      </c>
      <c r="C53" t="s">
        <v>7868</v>
      </c>
      <c r="E53" t="s">
        <v>7860</v>
      </c>
      <c r="F53" t="s">
        <v>7861</v>
      </c>
      <c r="H53">
        <f t="shared" si="0"/>
        <v>200051</v>
      </c>
    </row>
    <row r="54" spans="1:8" x14ac:dyDescent="0.3">
      <c r="A54" t="s">
        <v>7882</v>
      </c>
      <c r="B54" t="s">
        <v>7859</v>
      </c>
      <c r="C54" t="s">
        <v>7868</v>
      </c>
      <c r="E54" t="s">
        <v>7862</v>
      </c>
      <c r="F54" t="s">
        <v>7862</v>
      </c>
      <c r="H54">
        <f t="shared" si="0"/>
        <v>200052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workbookViewId="0">
      <selection activeCell="B2" sqref="B2"/>
    </sheetView>
  </sheetViews>
  <sheetFormatPr defaultRowHeight="14.4" x14ac:dyDescent="0.3"/>
  <cols>
    <col min="1" max="1" width="13.6640625" customWidth="1"/>
    <col min="3" max="4" width="12.21875" customWidth="1"/>
    <col min="5" max="5" width="13.21875" customWidth="1"/>
    <col min="6" max="6" width="19.21875" bestFit="1" customWidth="1"/>
    <col min="7" max="10" width="12.21875" customWidth="1"/>
    <col min="11" max="11" width="7.5546875" bestFit="1" customWidth="1"/>
  </cols>
  <sheetData>
    <row r="1" spans="1:11" x14ac:dyDescent="0.3">
      <c r="A1" t="s">
        <v>68</v>
      </c>
      <c r="B1" t="s">
        <v>5325</v>
      </c>
      <c r="C1" t="s">
        <v>73</v>
      </c>
      <c r="D1" t="s">
        <v>7863</v>
      </c>
      <c r="E1" t="s">
        <v>7864</v>
      </c>
      <c r="F1" t="s">
        <v>7865</v>
      </c>
      <c r="G1" t="s">
        <v>7866</v>
      </c>
      <c r="H1" t="s">
        <v>7867</v>
      </c>
      <c r="I1" t="s">
        <v>5638</v>
      </c>
      <c r="J1" t="s">
        <v>5639</v>
      </c>
      <c r="K1" t="s">
        <v>7869</v>
      </c>
    </row>
    <row r="2" spans="1:11" x14ac:dyDescent="0.3">
      <c r="A2" t="s">
        <v>5636</v>
      </c>
      <c r="B2">
        <f>IF(ISNUMBER(B1),B1+1,200000)</f>
        <v>200000</v>
      </c>
      <c r="C2" t="s">
        <v>5536</v>
      </c>
      <c r="D2" t="s">
        <v>7868</v>
      </c>
      <c r="E2">
        <v>8.1</v>
      </c>
      <c r="F2">
        <v>21</v>
      </c>
      <c r="G2">
        <f>IF(D2 = "rg:True", 3, 2)</f>
        <v>2</v>
      </c>
      <c r="H2">
        <f>IF(D2 = "rg:True", 600, 300)</f>
        <v>300</v>
      </c>
      <c r="I2">
        <v>150</v>
      </c>
      <c r="J2">
        <v>150</v>
      </c>
      <c r="K2">
        <f>B2</f>
        <v>200000</v>
      </c>
    </row>
    <row r="3" spans="1:11" x14ac:dyDescent="0.3">
      <c r="A3" t="s">
        <v>5636</v>
      </c>
      <c r="B3">
        <f t="shared" ref="B3:B8" si="0">IF(ISNUMBER(B2),B2+1,200000)</f>
        <v>200001</v>
      </c>
      <c r="C3" t="s">
        <v>5637</v>
      </c>
      <c r="D3" t="s">
        <v>7868</v>
      </c>
      <c r="E3">
        <v>9.1</v>
      </c>
      <c r="F3">
        <v>22</v>
      </c>
      <c r="G3">
        <f t="shared" ref="G3:G8" si="1">IF(D3 = "rg:True", 3, 2)</f>
        <v>2</v>
      </c>
      <c r="H3">
        <f t="shared" ref="H3:H8" si="2">IF(D3 = "rg:True", 600, 300)</f>
        <v>300</v>
      </c>
      <c r="I3">
        <v>150</v>
      </c>
      <c r="J3">
        <v>150</v>
      </c>
      <c r="K3">
        <f t="shared" ref="K3:K8" si="3">B3</f>
        <v>200001</v>
      </c>
    </row>
    <row r="4" spans="1:11" x14ac:dyDescent="0.3">
      <c r="A4" t="s">
        <v>5636</v>
      </c>
      <c r="B4">
        <f t="shared" si="0"/>
        <v>200002</v>
      </c>
      <c r="C4" t="s">
        <v>5640</v>
      </c>
      <c r="D4" t="s">
        <v>7868</v>
      </c>
      <c r="E4">
        <v>10.1</v>
      </c>
      <c r="F4">
        <v>23</v>
      </c>
      <c r="G4">
        <f t="shared" si="1"/>
        <v>2</v>
      </c>
      <c r="H4">
        <f t="shared" si="2"/>
        <v>300</v>
      </c>
      <c r="I4">
        <v>150</v>
      </c>
      <c r="J4">
        <v>150</v>
      </c>
      <c r="K4">
        <f t="shared" si="3"/>
        <v>200002</v>
      </c>
    </row>
    <row r="5" spans="1:11" x14ac:dyDescent="0.3">
      <c r="A5" t="s">
        <v>5636</v>
      </c>
      <c r="B5">
        <f t="shared" si="0"/>
        <v>200003</v>
      </c>
      <c r="C5" t="s">
        <v>5641</v>
      </c>
      <c r="D5" t="s">
        <v>7868</v>
      </c>
      <c r="E5">
        <v>11.1</v>
      </c>
      <c r="F5">
        <v>24</v>
      </c>
      <c r="G5">
        <f t="shared" si="1"/>
        <v>2</v>
      </c>
      <c r="H5">
        <f t="shared" si="2"/>
        <v>300</v>
      </c>
      <c r="I5">
        <v>150</v>
      </c>
      <c r="J5">
        <v>150</v>
      </c>
      <c r="K5">
        <f t="shared" si="3"/>
        <v>200003</v>
      </c>
    </row>
    <row r="6" spans="1:11" x14ac:dyDescent="0.3">
      <c r="A6" t="s">
        <v>5636</v>
      </c>
      <c r="B6">
        <f t="shared" si="0"/>
        <v>200004</v>
      </c>
      <c r="C6" t="s">
        <v>5642</v>
      </c>
      <c r="D6" t="s">
        <v>7868</v>
      </c>
      <c r="E6">
        <v>12.1</v>
      </c>
      <c r="F6">
        <v>25</v>
      </c>
      <c r="G6">
        <f t="shared" si="1"/>
        <v>2</v>
      </c>
      <c r="H6">
        <f t="shared" si="2"/>
        <v>300</v>
      </c>
      <c r="I6">
        <v>150</v>
      </c>
      <c r="J6">
        <v>150</v>
      </c>
      <c r="K6">
        <f t="shared" si="3"/>
        <v>200004</v>
      </c>
    </row>
    <row r="7" spans="1:11" x14ac:dyDescent="0.3">
      <c r="A7" t="s">
        <v>5636</v>
      </c>
      <c r="B7">
        <f t="shared" si="0"/>
        <v>200005</v>
      </c>
      <c r="C7" t="s">
        <v>5643</v>
      </c>
      <c r="D7" t="s">
        <v>7868</v>
      </c>
      <c r="E7">
        <v>13.1</v>
      </c>
      <c r="F7">
        <v>26</v>
      </c>
      <c r="G7">
        <f t="shared" si="1"/>
        <v>2</v>
      </c>
      <c r="H7">
        <f t="shared" si="2"/>
        <v>300</v>
      </c>
      <c r="I7">
        <v>150</v>
      </c>
      <c r="J7">
        <v>150</v>
      </c>
      <c r="K7">
        <f t="shared" si="3"/>
        <v>200005</v>
      </c>
    </row>
    <row r="8" spans="1:11" x14ac:dyDescent="0.3">
      <c r="A8" t="s">
        <v>5636</v>
      </c>
      <c r="B8">
        <f t="shared" si="0"/>
        <v>200006</v>
      </c>
      <c r="C8" t="s">
        <v>5651</v>
      </c>
      <c r="D8" t="s">
        <v>7776</v>
      </c>
      <c r="E8">
        <v>14.1</v>
      </c>
      <c r="F8">
        <v>27</v>
      </c>
      <c r="G8">
        <f t="shared" si="1"/>
        <v>3</v>
      </c>
      <c r="H8">
        <f t="shared" si="2"/>
        <v>600</v>
      </c>
      <c r="I8">
        <v>150</v>
      </c>
      <c r="J8">
        <v>150</v>
      </c>
      <c r="K8">
        <f t="shared" si="3"/>
        <v>200006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8"/>
  <sheetViews>
    <sheetView topLeftCell="A49" workbookViewId="0">
      <selection activeCell="E2" sqref="E2:E78"/>
    </sheetView>
  </sheetViews>
  <sheetFormatPr defaultRowHeight="14.4" x14ac:dyDescent="0.3"/>
  <cols>
    <col min="1" max="1" width="13.6640625" bestFit="1" customWidth="1"/>
    <col min="2" max="2" width="12.21875" customWidth="1"/>
    <col min="3" max="3" width="16.109375" bestFit="1" customWidth="1"/>
    <col min="5" max="5" width="17" bestFit="1" customWidth="1"/>
    <col min="7" max="7" width="15.21875" bestFit="1" customWidth="1"/>
    <col min="8" max="8" width="15.21875" customWidth="1"/>
    <col min="9" max="9" width="30.33203125" bestFit="1" customWidth="1"/>
    <col min="10" max="10" width="15.88671875" bestFit="1" customWidth="1"/>
  </cols>
  <sheetData>
    <row r="1" spans="1:11" x14ac:dyDescent="0.3">
      <c r="A1" t="s">
        <v>68</v>
      </c>
      <c r="B1" t="s">
        <v>6935</v>
      </c>
      <c r="C1" t="s">
        <v>5644</v>
      </c>
      <c r="D1" t="s">
        <v>5325</v>
      </c>
      <c r="E1" t="s">
        <v>7873</v>
      </c>
      <c r="F1" t="s">
        <v>7870</v>
      </c>
      <c r="G1" t="s">
        <v>75</v>
      </c>
      <c r="H1" t="s">
        <v>7875</v>
      </c>
      <c r="I1" t="s">
        <v>7871</v>
      </c>
      <c r="J1" t="s">
        <v>7880</v>
      </c>
      <c r="K1" t="s">
        <v>7768</v>
      </c>
    </row>
    <row r="2" spans="1:11" x14ac:dyDescent="0.3">
      <c r="A2" t="s">
        <v>7872</v>
      </c>
      <c r="B2" t="s">
        <v>5536</v>
      </c>
      <c r="C2" t="str">
        <f>"rg:{ 'id' : '"&amp;VLOOKUP(B2,EquipmentTypes.csv!C:K,9,FALSE)&amp;"'}"</f>
        <v>rg:{ 'id' : '200000'}</v>
      </c>
      <c r="D2">
        <f>IF(ISNUMBER(D1),D1+1,200000)</f>
        <v>200000</v>
      </c>
      <c r="E2" t="s">
        <v>2957</v>
      </c>
      <c r="F2" t="str">
        <f>VLOOKUP(E2,ServiceAreas.csv!C:J,8,FALSE)</f>
        <v>200009</v>
      </c>
      <c r="G2" t="str">
        <f>"rg:{ 'id': '"&amp;F2&amp;"'}"</f>
        <v>rg:{ 'id': '200009'}</v>
      </c>
      <c r="H2" t="s">
        <v>7877</v>
      </c>
      <c r="I2" t="str">
        <f>H2&amp;B2&amp;"-"&amp;E2</f>
        <v>Small-Excavator-Bulkley-Stikine</v>
      </c>
      <c r="J2" t="str">
        <f>B2&amp;"-"&amp;F2</f>
        <v>Excavator-200009</v>
      </c>
      <c r="K2">
        <f>D2</f>
        <v>200000</v>
      </c>
    </row>
    <row r="3" spans="1:11" x14ac:dyDescent="0.3">
      <c r="A3" t="s">
        <v>7872</v>
      </c>
      <c r="B3" t="s">
        <v>5637</v>
      </c>
      <c r="C3" t="str">
        <f>"rg:{ 'id' : '"&amp;VLOOKUP(B3,EquipmentTypes.csv!C:K,9,FALSE)&amp;"'}"</f>
        <v>rg:{ 'id' : '200001'}</v>
      </c>
      <c r="D3">
        <f t="shared" ref="D3:D66" si="0">IF(ISNUMBER(D2),D2+1,200000)</f>
        <v>200001</v>
      </c>
      <c r="E3" t="s">
        <v>2957</v>
      </c>
      <c r="F3" t="str">
        <f>VLOOKUP(E3,ServiceAreas.csv!C:J,8,FALSE)</f>
        <v>200009</v>
      </c>
      <c r="G3" t="str">
        <f t="shared" ref="G3:G7" si="1">"rg:{ 'id': '"&amp;F3&amp;"'}"</f>
        <v>rg:{ 'id': '200009'}</v>
      </c>
      <c r="H3" t="s">
        <v>7877</v>
      </c>
      <c r="I3" t="str">
        <f t="shared" ref="I3:I66" si="2">H3&amp;B3&amp;"-"&amp;E3</f>
        <v>Small-Grader-Bulkley-Stikine</v>
      </c>
      <c r="J3" t="str">
        <f t="shared" ref="J3:J66" si="3">B3&amp;"-"&amp;F3</f>
        <v>Grader-200009</v>
      </c>
      <c r="K3">
        <f t="shared" ref="K3:K66" si="4">D3</f>
        <v>200001</v>
      </c>
    </row>
    <row r="4" spans="1:11" x14ac:dyDescent="0.3">
      <c r="A4" t="s">
        <v>7872</v>
      </c>
      <c r="B4" t="s">
        <v>5640</v>
      </c>
      <c r="C4" t="str">
        <f>"rg:{ 'id' : '"&amp;VLOOKUP(B4,EquipmentTypes.csv!C:K,9,FALSE)&amp;"'}"</f>
        <v>rg:{ 'id' : '200002'}</v>
      </c>
      <c r="D4">
        <f t="shared" si="0"/>
        <v>200002</v>
      </c>
      <c r="E4" t="s">
        <v>2957</v>
      </c>
      <c r="F4" t="str">
        <f>VLOOKUP(E4,ServiceAreas.csv!C:J,8,FALSE)</f>
        <v>200009</v>
      </c>
      <c r="G4" t="str">
        <f t="shared" si="1"/>
        <v>rg:{ 'id': '200009'}</v>
      </c>
      <c r="H4" t="s">
        <v>7877</v>
      </c>
      <c r="I4" t="str">
        <f t="shared" si="2"/>
        <v>Small-Bulldozer-Bulkley-Stikine</v>
      </c>
      <c r="J4" t="str">
        <f t="shared" si="3"/>
        <v>Bulldozer-200009</v>
      </c>
      <c r="K4">
        <f t="shared" si="4"/>
        <v>200002</v>
      </c>
    </row>
    <row r="5" spans="1:11" x14ac:dyDescent="0.3">
      <c r="A5" t="s">
        <v>7872</v>
      </c>
      <c r="B5" t="s">
        <v>5641</v>
      </c>
      <c r="C5" t="str">
        <f>"rg:{ 'id' : '"&amp;VLOOKUP(B5,EquipmentTypes.csv!C:K,9,FALSE)&amp;"'}"</f>
        <v>rg:{ 'id' : '200003'}</v>
      </c>
      <c r="D5">
        <f t="shared" si="0"/>
        <v>200003</v>
      </c>
      <c r="E5" t="s">
        <v>2957</v>
      </c>
      <c r="F5" t="str">
        <f>VLOOKUP(E5,ServiceAreas.csv!C:J,8,FALSE)</f>
        <v>200009</v>
      </c>
      <c r="G5" t="str">
        <f t="shared" si="1"/>
        <v>rg:{ 'id': '200009'}</v>
      </c>
      <c r="H5" t="s">
        <v>7877</v>
      </c>
      <c r="I5" t="str">
        <f t="shared" si="2"/>
        <v>Small-Cement Truck-Bulkley-Stikine</v>
      </c>
      <c r="J5" t="str">
        <f t="shared" si="3"/>
        <v>Cement Truck-200009</v>
      </c>
      <c r="K5">
        <f t="shared" si="4"/>
        <v>200003</v>
      </c>
    </row>
    <row r="6" spans="1:11" x14ac:dyDescent="0.3">
      <c r="A6" t="s">
        <v>7872</v>
      </c>
      <c r="B6" t="s">
        <v>5642</v>
      </c>
      <c r="C6" t="str">
        <f>"rg:{ 'id' : '"&amp;VLOOKUP(B6,EquipmentTypes.csv!C:K,9,FALSE)&amp;"'}"</f>
        <v>rg:{ 'id' : '200004'}</v>
      </c>
      <c r="D6">
        <f t="shared" si="0"/>
        <v>200004</v>
      </c>
      <c r="E6" t="s">
        <v>2957</v>
      </c>
      <c r="F6" t="str">
        <f>VLOOKUP(E6,ServiceAreas.csv!C:J,8,FALSE)</f>
        <v>200009</v>
      </c>
      <c r="G6" t="str">
        <f t="shared" si="1"/>
        <v>rg:{ 'id': '200009'}</v>
      </c>
      <c r="H6" t="s">
        <v>7877</v>
      </c>
      <c r="I6" t="str">
        <f t="shared" si="2"/>
        <v>Small-Flat Deck-Bulkley-Stikine</v>
      </c>
      <c r="J6" t="str">
        <f t="shared" si="3"/>
        <v>Flat Deck-200009</v>
      </c>
      <c r="K6">
        <f t="shared" si="4"/>
        <v>200004</v>
      </c>
    </row>
    <row r="7" spans="1:11" x14ac:dyDescent="0.3">
      <c r="A7" t="s">
        <v>7872</v>
      </c>
      <c r="B7" t="s">
        <v>5643</v>
      </c>
      <c r="C7" t="str">
        <f>"rg:{ 'id' : '"&amp;VLOOKUP(B7,EquipmentTypes.csv!C:K,9,FALSE)&amp;"'}"</f>
        <v>rg:{ 'id' : '200005'}</v>
      </c>
      <c r="D7">
        <f t="shared" si="0"/>
        <v>200005</v>
      </c>
      <c r="E7" t="s">
        <v>2957</v>
      </c>
      <c r="F7" t="str">
        <f>VLOOKUP(E7,ServiceAreas.csv!C:J,8,FALSE)</f>
        <v>200009</v>
      </c>
      <c r="G7" t="str">
        <f t="shared" si="1"/>
        <v>rg:{ 'id': '200009'}</v>
      </c>
      <c r="H7" t="s">
        <v>7877</v>
      </c>
      <c r="I7" t="str">
        <f t="shared" si="2"/>
        <v>Small-Logging Truck-Bulkley-Stikine</v>
      </c>
      <c r="J7" t="str">
        <f t="shared" si="3"/>
        <v>Logging Truck-200009</v>
      </c>
      <c r="K7">
        <f t="shared" si="4"/>
        <v>200005</v>
      </c>
    </row>
    <row r="8" spans="1:11" x14ac:dyDescent="0.3">
      <c r="A8" t="s">
        <v>7872</v>
      </c>
      <c r="B8" t="s">
        <v>5651</v>
      </c>
      <c r="C8" t="str">
        <f>"rg:{ 'id' : '"&amp;VLOOKUP(B8,EquipmentTypes.csv!C:K,9,FALSE)&amp;"'}"</f>
        <v>rg:{ 'id' : '200006'}</v>
      </c>
      <c r="D8">
        <f t="shared" si="0"/>
        <v>200006</v>
      </c>
      <c r="E8" t="s">
        <v>2957</v>
      </c>
      <c r="F8" t="str">
        <f>VLOOKUP(E8,ServiceAreas.csv!C:J,8,FALSE)</f>
        <v>200009</v>
      </c>
      <c r="G8" t="str">
        <f>"rg:{ 'id': '"&amp;F8&amp;"'}"</f>
        <v>rg:{ 'id': '200009'}</v>
      </c>
      <c r="H8" t="s">
        <v>7877</v>
      </c>
      <c r="I8" t="str">
        <f t="shared" si="2"/>
        <v>Small-Dump Truck-Bulkley-Stikine</v>
      </c>
      <c r="J8" t="str">
        <f t="shared" si="3"/>
        <v>Dump Truck-200009</v>
      </c>
      <c r="K8">
        <f t="shared" si="4"/>
        <v>200006</v>
      </c>
    </row>
    <row r="9" spans="1:11" x14ac:dyDescent="0.3">
      <c r="A9" t="s">
        <v>7872</v>
      </c>
      <c r="B9" t="s">
        <v>5536</v>
      </c>
      <c r="C9" t="str">
        <f>"rg:{ 'id' : '"&amp;VLOOKUP(B9,EquipmentTypes.csv!C:K,9,FALSE)&amp;"'}"</f>
        <v>rg:{ 'id' : '200000'}</v>
      </c>
      <c r="D9">
        <f>IF(ISNUMBER(D8),D8+1,200000)</f>
        <v>200007</v>
      </c>
      <c r="E9" t="s">
        <v>2955</v>
      </c>
      <c r="F9" t="str">
        <f>VLOOKUP(E9,ServiceAreas.csv!C:J,8,FALSE)</f>
        <v>200006</v>
      </c>
      <c r="G9" t="str">
        <f>"rg:{ 'id': '"&amp;F9&amp;"'}"</f>
        <v>rg:{ 'id': '200006'}</v>
      </c>
      <c r="H9" t="s">
        <v>7877</v>
      </c>
      <c r="I9" t="str">
        <f t="shared" si="2"/>
        <v>Small-Excavator-Cariboo</v>
      </c>
      <c r="J9" t="str">
        <f t="shared" si="3"/>
        <v>Excavator-200006</v>
      </c>
      <c r="K9">
        <f t="shared" si="4"/>
        <v>200007</v>
      </c>
    </row>
    <row r="10" spans="1:11" x14ac:dyDescent="0.3">
      <c r="A10" t="s">
        <v>7872</v>
      </c>
      <c r="B10" t="s">
        <v>5637</v>
      </c>
      <c r="C10" t="str">
        <f>"rg:{ 'id' : '"&amp;VLOOKUP(B10,EquipmentTypes.csv!C:K,9,FALSE)&amp;"'}"</f>
        <v>rg:{ 'id' : '200001'}</v>
      </c>
      <c r="D10">
        <f t="shared" si="0"/>
        <v>200008</v>
      </c>
      <c r="E10" t="s">
        <v>2955</v>
      </c>
      <c r="F10" t="str">
        <f>VLOOKUP(E10,ServiceAreas.csv!C:J,8,FALSE)</f>
        <v>200006</v>
      </c>
      <c r="G10" t="str">
        <f t="shared" ref="G10:G14" si="5">"rg:{ 'id': '"&amp;F10&amp;"'}"</f>
        <v>rg:{ 'id': '200006'}</v>
      </c>
      <c r="H10" t="s">
        <v>7877</v>
      </c>
      <c r="I10" t="str">
        <f t="shared" si="2"/>
        <v>Small-Grader-Cariboo</v>
      </c>
      <c r="J10" t="str">
        <f t="shared" si="3"/>
        <v>Grader-200006</v>
      </c>
      <c r="K10">
        <f t="shared" si="4"/>
        <v>200008</v>
      </c>
    </row>
    <row r="11" spans="1:11" x14ac:dyDescent="0.3">
      <c r="A11" t="s">
        <v>7872</v>
      </c>
      <c r="B11" t="s">
        <v>5640</v>
      </c>
      <c r="C11" t="str">
        <f>"rg:{ 'id' : '"&amp;VLOOKUP(B11,EquipmentTypes.csv!C:K,9,FALSE)&amp;"'}"</f>
        <v>rg:{ 'id' : '200002'}</v>
      </c>
      <c r="D11">
        <f t="shared" si="0"/>
        <v>200009</v>
      </c>
      <c r="E11" t="s">
        <v>2955</v>
      </c>
      <c r="F11" t="str">
        <f>VLOOKUP(E11,ServiceAreas.csv!C:J,8,FALSE)</f>
        <v>200006</v>
      </c>
      <c r="G11" t="str">
        <f t="shared" si="5"/>
        <v>rg:{ 'id': '200006'}</v>
      </c>
      <c r="H11" t="s">
        <v>7877</v>
      </c>
      <c r="I11" t="str">
        <f t="shared" si="2"/>
        <v>Small-Bulldozer-Cariboo</v>
      </c>
      <c r="J11" t="str">
        <f t="shared" si="3"/>
        <v>Bulldozer-200006</v>
      </c>
      <c r="K11">
        <f t="shared" si="4"/>
        <v>200009</v>
      </c>
    </row>
    <row r="12" spans="1:11" x14ac:dyDescent="0.3">
      <c r="A12" t="s">
        <v>7872</v>
      </c>
      <c r="B12" t="s">
        <v>5641</v>
      </c>
      <c r="C12" t="str">
        <f>"rg:{ 'id' : '"&amp;VLOOKUP(B12,EquipmentTypes.csv!C:K,9,FALSE)&amp;"'}"</f>
        <v>rg:{ 'id' : '200003'}</v>
      </c>
      <c r="D12">
        <f t="shared" si="0"/>
        <v>200010</v>
      </c>
      <c r="E12" t="s">
        <v>2955</v>
      </c>
      <c r="F12" t="str">
        <f>VLOOKUP(E12,ServiceAreas.csv!C:J,8,FALSE)</f>
        <v>200006</v>
      </c>
      <c r="G12" t="str">
        <f t="shared" si="5"/>
        <v>rg:{ 'id': '200006'}</v>
      </c>
      <c r="H12" t="s">
        <v>7877</v>
      </c>
      <c r="I12" t="str">
        <f t="shared" si="2"/>
        <v>Small-Cement Truck-Cariboo</v>
      </c>
      <c r="J12" t="str">
        <f t="shared" si="3"/>
        <v>Cement Truck-200006</v>
      </c>
      <c r="K12">
        <f t="shared" si="4"/>
        <v>200010</v>
      </c>
    </row>
    <row r="13" spans="1:11" x14ac:dyDescent="0.3">
      <c r="A13" t="s">
        <v>7872</v>
      </c>
      <c r="B13" t="s">
        <v>5642</v>
      </c>
      <c r="C13" t="str">
        <f>"rg:{ 'id' : '"&amp;VLOOKUP(B13,EquipmentTypes.csv!C:K,9,FALSE)&amp;"'}"</f>
        <v>rg:{ 'id' : '200004'}</v>
      </c>
      <c r="D13">
        <f t="shared" si="0"/>
        <v>200011</v>
      </c>
      <c r="E13" t="s">
        <v>2955</v>
      </c>
      <c r="F13" t="str">
        <f>VLOOKUP(E13,ServiceAreas.csv!C:J,8,FALSE)</f>
        <v>200006</v>
      </c>
      <c r="G13" t="str">
        <f t="shared" si="5"/>
        <v>rg:{ 'id': '200006'}</v>
      </c>
      <c r="H13" t="s">
        <v>7877</v>
      </c>
      <c r="I13" t="str">
        <f t="shared" si="2"/>
        <v>Small-Flat Deck-Cariboo</v>
      </c>
      <c r="J13" t="str">
        <f t="shared" si="3"/>
        <v>Flat Deck-200006</v>
      </c>
      <c r="K13">
        <f t="shared" si="4"/>
        <v>200011</v>
      </c>
    </row>
    <row r="14" spans="1:11" x14ac:dyDescent="0.3">
      <c r="A14" t="s">
        <v>7872</v>
      </c>
      <c r="B14" t="s">
        <v>5643</v>
      </c>
      <c r="C14" t="str">
        <f>"rg:{ 'id' : '"&amp;VLOOKUP(B14,EquipmentTypes.csv!C:K,9,FALSE)&amp;"'}"</f>
        <v>rg:{ 'id' : '200005'}</v>
      </c>
      <c r="D14">
        <f t="shared" si="0"/>
        <v>200012</v>
      </c>
      <c r="E14" t="s">
        <v>2955</v>
      </c>
      <c r="F14" t="str">
        <f>VLOOKUP(E14,ServiceAreas.csv!C:J,8,FALSE)</f>
        <v>200006</v>
      </c>
      <c r="G14" t="str">
        <f t="shared" si="5"/>
        <v>rg:{ 'id': '200006'}</v>
      </c>
      <c r="H14" t="s">
        <v>7877</v>
      </c>
      <c r="I14" t="str">
        <f t="shared" si="2"/>
        <v>Small-Logging Truck-Cariboo</v>
      </c>
      <c r="J14" t="str">
        <f t="shared" si="3"/>
        <v>Logging Truck-200006</v>
      </c>
      <c r="K14">
        <f t="shared" si="4"/>
        <v>200012</v>
      </c>
    </row>
    <row r="15" spans="1:11" x14ac:dyDescent="0.3">
      <c r="A15" t="s">
        <v>7872</v>
      </c>
      <c r="B15" t="s">
        <v>5651</v>
      </c>
      <c r="C15" t="str">
        <f>"rg:{ 'id' : '"&amp;VLOOKUP(B15,EquipmentTypes.csv!C:K,9,FALSE)&amp;"'}"</f>
        <v>rg:{ 'id' : '200006'}</v>
      </c>
      <c r="D15">
        <f t="shared" si="0"/>
        <v>200013</v>
      </c>
      <c r="E15" t="s">
        <v>2955</v>
      </c>
      <c r="F15" t="str">
        <f>VLOOKUP(E15,ServiceAreas.csv!C:J,8,FALSE)</f>
        <v>200006</v>
      </c>
      <c r="G15" t="str">
        <f>"rg:{ 'id': '"&amp;F15&amp;"'}"</f>
        <v>rg:{ 'id': '200006'}</v>
      </c>
      <c r="H15" t="s">
        <v>7877</v>
      </c>
      <c r="I15" t="str">
        <f t="shared" si="2"/>
        <v>Small-Dump Truck-Cariboo</v>
      </c>
      <c r="J15" t="str">
        <f t="shared" si="3"/>
        <v>Dump Truck-200006</v>
      </c>
      <c r="K15">
        <f t="shared" si="4"/>
        <v>200013</v>
      </c>
    </row>
    <row r="16" spans="1:11" x14ac:dyDescent="0.3">
      <c r="A16" t="s">
        <v>7872</v>
      </c>
      <c r="B16" t="s">
        <v>5536</v>
      </c>
      <c r="C16" t="str">
        <f>"rg:{ 'id' : '"&amp;VLOOKUP(B16,EquipmentTypes.csv!C:K,9,FALSE)&amp;"'}"</f>
        <v>rg:{ 'id' : '200000'}</v>
      </c>
      <c r="D16">
        <f>IF(ISNUMBER(D15),D15+1,200000)</f>
        <v>200014</v>
      </c>
      <c r="E16" t="s">
        <v>2955</v>
      </c>
      <c r="F16" t="str">
        <f>VLOOKUP(E16,ServiceAreas.csv!C:J,8,FALSE)</f>
        <v>200006</v>
      </c>
      <c r="G16" t="str">
        <f>"rg:{ 'id': '"&amp;F16&amp;"'}"</f>
        <v>rg:{ 'id': '200006'}</v>
      </c>
      <c r="H16" t="s">
        <v>7876</v>
      </c>
      <c r="I16" t="str">
        <f t="shared" si="2"/>
        <v>Large-Excavator-Cariboo</v>
      </c>
      <c r="J16" t="str">
        <f t="shared" si="3"/>
        <v>Excavator-200006</v>
      </c>
      <c r="K16">
        <f t="shared" si="4"/>
        <v>200014</v>
      </c>
    </row>
    <row r="17" spans="1:11" x14ac:dyDescent="0.3">
      <c r="A17" t="s">
        <v>7872</v>
      </c>
      <c r="B17" t="s">
        <v>5637</v>
      </c>
      <c r="C17" t="str">
        <f>"rg:{ 'id' : '"&amp;VLOOKUP(B17,EquipmentTypes.csv!C:K,9,FALSE)&amp;"'}"</f>
        <v>rg:{ 'id' : '200001'}</v>
      </c>
      <c r="D17">
        <f t="shared" si="0"/>
        <v>200015</v>
      </c>
      <c r="E17" t="s">
        <v>2955</v>
      </c>
      <c r="F17" t="str">
        <f>VLOOKUP(E17,ServiceAreas.csv!C:J,8,FALSE)</f>
        <v>200006</v>
      </c>
      <c r="G17" t="str">
        <f t="shared" ref="G17:G21" si="6">"rg:{ 'id': '"&amp;F17&amp;"'}"</f>
        <v>rg:{ 'id': '200006'}</v>
      </c>
      <c r="H17" t="s">
        <v>7876</v>
      </c>
      <c r="I17" t="str">
        <f t="shared" si="2"/>
        <v>Large-Grader-Cariboo</v>
      </c>
      <c r="J17" t="str">
        <f t="shared" si="3"/>
        <v>Grader-200006</v>
      </c>
      <c r="K17">
        <f t="shared" si="4"/>
        <v>200015</v>
      </c>
    </row>
    <row r="18" spans="1:11" x14ac:dyDescent="0.3">
      <c r="A18" t="s">
        <v>7872</v>
      </c>
      <c r="B18" t="s">
        <v>5640</v>
      </c>
      <c r="C18" t="str">
        <f>"rg:{ 'id' : '"&amp;VLOOKUP(B18,EquipmentTypes.csv!C:K,9,FALSE)&amp;"'}"</f>
        <v>rg:{ 'id' : '200002'}</v>
      </c>
      <c r="D18">
        <f t="shared" si="0"/>
        <v>200016</v>
      </c>
      <c r="E18" t="s">
        <v>2955</v>
      </c>
      <c r="F18" t="str">
        <f>VLOOKUP(E18,ServiceAreas.csv!C:J,8,FALSE)</f>
        <v>200006</v>
      </c>
      <c r="G18" t="str">
        <f t="shared" si="6"/>
        <v>rg:{ 'id': '200006'}</v>
      </c>
      <c r="H18" t="s">
        <v>7876</v>
      </c>
      <c r="I18" t="str">
        <f t="shared" si="2"/>
        <v>Large-Bulldozer-Cariboo</v>
      </c>
      <c r="J18" t="str">
        <f t="shared" si="3"/>
        <v>Bulldozer-200006</v>
      </c>
      <c r="K18">
        <f t="shared" si="4"/>
        <v>200016</v>
      </c>
    </row>
    <row r="19" spans="1:11" x14ac:dyDescent="0.3">
      <c r="A19" t="s">
        <v>7872</v>
      </c>
      <c r="B19" t="s">
        <v>5641</v>
      </c>
      <c r="C19" t="str">
        <f>"rg:{ 'id' : '"&amp;VLOOKUP(B19,EquipmentTypes.csv!C:K,9,FALSE)&amp;"'}"</f>
        <v>rg:{ 'id' : '200003'}</v>
      </c>
      <c r="D19">
        <f t="shared" si="0"/>
        <v>200017</v>
      </c>
      <c r="E19" t="s">
        <v>2955</v>
      </c>
      <c r="F19" t="str">
        <f>VLOOKUP(E19,ServiceAreas.csv!C:J,8,FALSE)</f>
        <v>200006</v>
      </c>
      <c r="G19" t="str">
        <f t="shared" si="6"/>
        <v>rg:{ 'id': '200006'}</v>
      </c>
      <c r="H19" t="s">
        <v>7876</v>
      </c>
      <c r="I19" t="str">
        <f t="shared" si="2"/>
        <v>Large-Cement Truck-Cariboo</v>
      </c>
      <c r="J19" t="str">
        <f t="shared" si="3"/>
        <v>Cement Truck-200006</v>
      </c>
      <c r="K19">
        <f t="shared" si="4"/>
        <v>200017</v>
      </c>
    </row>
    <row r="20" spans="1:11" x14ac:dyDescent="0.3">
      <c r="A20" t="s">
        <v>7872</v>
      </c>
      <c r="B20" t="s">
        <v>5642</v>
      </c>
      <c r="C20" t="str">
        <f>"rg:{ 'id' : '"&amp;VLOOKUP(B20,EquipmentTypes.csv!C:K,9,FALSE)&amp;"'}"</f>
        <v>rg:{ 'id' : '200004'}</v>
      </c>
      <c r="D20">
        <f t="shared" si="0"/>
        <v>200018</v>
      </c>
      <c r="E20" t="s">
        <v>2955</v>
      </c>
      <c r="F20" t="str">
        <f>VLOOKUP(E20,ServiceAreas.csv!C:J,8,FALSE)</f>
        <v>200006</v>
      </c>
      <c r="G20" t="str">
        <f t="shared" si="6"/>
        <v>rg:{ 'id': '200006'}</v>
      </c>
      <c r="H20" t="s">
        <v>7876</v>
      </c>
      <c r="I20" t="str">
        <f t="shared" si="2"/>
        <v>Large-Flat Deck-Cariboo</v>
      </c>
      <c r="J20" t="str">
        <f t="shared" si="3"/>
        <v>Flat Deck-200006</v>
      </c>
      <c r="K20">
        <f t="shared" si="4"/>
        <v>200018</v>
      </c>
    </row>
    <row r="21" spans="1:11" x14ac:dyDescent="0.3">
      <c r="A21" t="s">
        <v>7872</v>
      </c>
      <c r="B21" t="s">
        <v>5643</v>
      </c>
      <c r="C21" t="str">
        <f>"rg:{ 'id' : '"&amp;VLOOKUP(B21,EquipmentTypes.csv!C:K,9,FALSE)&amp;"'}"</f>
        <v>rg:{ 'id' : '200005'}</v>
      </c>
      <c r="D21">
        <f t="shared" si="0"/>
        <v>200019</v>
      </c>
      <c r="E21" t="s">
        <v>2955</v>
      </c>
      <c r="F21" t="str">
        <f>VLOOKUP(E21,ServiceAreas.csv!C:J,8,FALSE)</f>
        <v>200006</v>
      </c>
      <c r="G21" t="str">
        <f t="shared" si="6"/>
        <v>rg:{ 'id': '200006'}</v>
      </c>
      <c r="H21" t="s">
        <v>7876</v>
      </c>
      <c r="I21" t="str">
        <f t="shared" si="2"/>
        <v>Large-Logging Truck-Cariboo</v>
      </c>
      <c r="J21" t="str">
        <f t="shared" si="3"/>
        <v>Logging Truck-200006</v>
      </c>
      <c r="K21">
        <f t="shared" si="4"/>
        <v>200019</v>
      </c>
    </row>
    <row r="22" spans="1:11" x14ac:dyDescent="0.3">
      <c r="A22" t="s">
        <v>7872</v>
      </c>
      <c r="B22" t="s">
        <v>5651</v>
      </c>
      <c r="C22" t="str">
        <f>"rg:{ 'id' : '"&amp;VLOOKUP(B22,EquipmentTypes.csv!C:K,9,FALSE)&amp;"'}"</f>
        <v>rg:{ 'id' : '200006'}</v>
      </c>
      <c r="D22">
        <f t="shared" si="0"/>
        <v>200020</v>
      </c>
      <c r="E22" t="s">
        <v>2955</v>
      </c>
      <c r="F22" t="str">
        <f>VLOOKUP(E22,ServiceAreas.csv!C:J,8,FALSE)</f>
        <v>200006</v>
      </c>
      <c r="G22" t="str">
        <f>"rg:{ 'id': '"&amp;F22&amp;"'}"</f>
        <v>rg:{ 'id': '200006'}</v>
      </c>
      <c r="H22" t="s">
        <v>7876</v>
      </c>
      <c r="I22" t="str">
        <f t="shared" si="2"/>
        <v>Large-Dump Truck-Cariboo</v>
      </c>
      <c r="J22" t="str">
        <f t="shared" si="3"/>
        <v>Dump Truck-200006</v>
      </c>
      <c r="K22">
        <f t="shared" si="4"/>
        <v>200020</v>
      </c>
    </row>
    <row r="23" spans="1:11" x14ac:dyDescent="0.3">
      <c r="A23" t="s">
        <v>7872</v>
      </c>
      <c r="B23" t="s">
        <v>5536</v>
      </c>
      <c r="C23" t="str">
        <f>"rg:{ 'id' : '"&amp;VLOOKUP(B23,EquipmentTypes.csv!C:K,9,FALSE)&amp;"'}"</f>
        <v>rg:{ 'id' : '200000'}</v>
      </c>
      <c r="D23">
        <f>IF(ISNUMBER(D22),D22+1,200000)</f>
        <v>200021</v>
      </c>
      <c r="E23" t="s">
        <v>2951</v>
      </c>
      <c r="F23" t="str">
        <f>VLOOKUP(E23,ServiceAreas.csv!C:J,8,FALSE)</f>
        <v>200001</v>
      </c>
      <c r="G23" t="str">
        <f>"rg:{ 'id': '"&amp;F23&amp;"'}"</f>
        <v>rg:{ 'id': '200001'}</v>
      </c>
      <c r="I23" t="str">
        <f t="shared" si="2"/>
        <v>Excavator-Vancouver Island</v>
      </c>
      <c r="J23" t="str">
        <f t="shared" si="3"/>
        <v>Excavator-200001</v>
      </c>
      <c r="K23">
        <f t="shared" si="4"/>
        <v>200021</v>
      </c>
    </row>
    <row r="24" spans="1:11" x14ac:dyDescent="0.3">
      <c r="A24" t="s">
        <v>7872</v>
      </c>
      <c r="B24" t="s">
        <v>5637</v>
      </c>
      <c r="C24" t="str">
        <f>"rg:{ 'id' : '"&amp;VLOOKUP(B24,EquipmentTypes.csv!C:K,9,FALSE)&amp;"'}"</f>
        <v>rg:{ 'id' : '200001'}</v>
      </c>
      <c r="D24">
        <f t="shared" si="0"/>
        <v>200022</v>
      </c>
      <c r="E24" t="s">
        <v>2951</v>
      </c>
      <c r="F24" t="str">
        <f>VLOOKUP(E24,ServiceAreas.csv!C:J,8,FALSE)</f>
        <v>200001</v>
      </c>
      <c r="G24" t="str">
        <f t="shared" ref="G24:G28" si="7">"rg:{ 'id': '"&amp;F24&amp;"'}"</f>
        <v>rg:{ 'id': '200001'}</v>
      </c>
      <c r="I24" t="str">
        <f t="shared" si="2"/>
        <v>Grader-Vancouver Island</v>
      </c>
      <c r="J24" t="str">
        <f t="shared" si="3"/>
        <v>Grader-200001</v>
      </c>
      <c r="K24">
        <f t="shared" si="4"/>
        <v>200022</v>
      </c>
    </row>
    <row r="25" spans="1:11" x14ac:dyDescent="0.3">
      <c r="A25" t="s">
        <v>7872</v>
      </c>
      <c r="B25" t="s">
        <v>5640</v>
      </c>
      <c r="C25" t="str">
        <f>"rg:{ 'id' : '"&amp;VLOOKUP(B25,EquipmentTypes.csv!C:K,9,FALSE)&amp;"'}"</f>
        <v>rg:{ 'id' : '200002'}</v>
      </c>
      <c r="D25">
        <f t="shared" si="0"/>
        <v>200023</v>
      </c>
      <c r="E25" t="s">
        <v>2951</v>
      </c>
      <c r="F25" t="str">
        <f>VLOOKUP(E25,ServiceAreas.csv!C:J,8,FALSE)</f>
        <v>200001</v>
      </c>
      <c r="G25" t="str">
        <f t="shared" si="7"/>
        <v>rg:{ 'id': '200001'}</v>
      </c>
      <c r="I25" t="str">
        <f t="shared" si="2"/>
        <v>Bulldozer-Vancouver Island</v>
      </c>
      <c r="J25" t="str">
        <f t="shared" si="3"/>
        <v>Bulldozer-200001</v>
      </c>
      <c r="K25">
        <f t="shared" si="4"/>
        <v>200023</v>
      </c>
    </row>
    <row r="26" spans="1:11" x14ac:dyDescent="0.3">
      <c r="A26" t="s">
        <v>7872</v>
      </c>
      <c r="B26" t="s">
        <v>5641</v>
      </c>
      <c r="C26" t="str">
        <f>"rg:{ 'id' : '"&amp;VLOOKUP(B26,EquipmentTypes.csv!C:K,9,FALSE)&amp;"'}"</f>
        <v>rg:{ 'id' : '200003'}</v>
      </c>
      <c r="D26">
        <f t="shared" si="0"/>
        <v>200024</v>
      </c>
      <c r="E26" t="s">
        <v>2951</v>
      </c>
      <c r="F26" t="str">
        <f>VLOOKUP(E26,ServiceAreas.csv!C:J,8,FALSE)</f>
        <v>200001</v>
      </c>
      <c r="G26" t="str">
        <f t="shared" si="7"/>
        <v>rg:{ 'id': '200001'}</v>
      </c>
      <c r="I26" t="str">
        <f t="shared" si="2"/>
        <v>Cement Truck-Vancouver Island</v>
      </c>
      <c r="J26" t="str">
        <f t="shared" si="3"/>
        <v>Cement Truck-200001</v>
      </c>
      <c r="K26">
        <f t="shared" si="4"/>
        <v>200024</v>
      </c>
    </row>
    <row r="27" spans="1:11" x14ac:dyDescent="0.3">
      <c r="A27" t="s">
        <v>7872</v>
      </c>
      <c r="B27" t="s">
        <v>5642</v>
      </c>
      <c r="C27" t="str">
        <f>"rg:{ 'id' : '"&amp;VLOOKUP(B27,EquipmentTypes.csv!C:K,9,FALSE)&amp;"'}"</f>
        <v>rg:{ 'id' : '200004'}</v>
      </c>
      <c r="D27">
        <f t="shared" si="0"/>
        <v>200025</v>
      </c>
      <c r="E27" t="s">
        <v>2951</v>
      </c>
      <c r="F27" t="str">
        <f>VLOOKUP(E27,ServiceAreas.csv!C:J,8,FALSE)</f>
        <v>200001</v>
      </c>
      <c r="G27" t="str">
        <f t="shared" si="7"/>
        <v>rg:{ 'id': '200001'}</v>
      </c>
      <c r="I27" t="str">
        <f t="shared" si="2"/>
        <v>Flat Deck-Vancouver Island</v>
      </c>
      <c r="J27" t="str">
        <f t="shared" si="3"/>
        <v>Flat Deck-200001</v>
      </c>
      <c r="K27">
        <f t="shared" si="4"/>
        <v>200025</v>
      </c>
    </row>
    <row r="28" spans="1:11" x14ac:dyDescent="0.3">
      <c r="A28" t="s">
        <v>7872</v>
      </c>
      <c r="B28" t="s">
        <v>5643</v>
      </c>
      <c r="C28" t="str">
        <f>"rg:{ 'id' : '"&amp;VLOOKUP(B28,EquipmentTypes.csv!C:K,9,FALSE)&amp;"'}"</f>
        <v>rg:{ 'id' : '200005'}</v>
      </c>
      <c r="D28">
        <f t="shared" si="0"/>
        <v>200026</v>
      </c>
      <c r="E28" t="s">
        <v>2951</v>
      </c>
      <c r="F28" t="str">
        <f>VLOOKUP(E28,ServiceAreas.csv!C:J,8,FALSE)</f>
        <v>200001</v>
      </c>
      <c r="G28" t="str">
        <f t="shared" si="7"/>
        <v>rg:{ 'id': '200001'}</v>
      </c>
      <c r="I28" t="str">
        <f t="shared" si="2"/>
        <v>Logging Truck-Vancouver Island</v>
      </c>
      <c r="J28" t="str">
        <f t="shared" si="3"/>
        <v>Logging Truck-200001</v>
      </c>
      <c r="K28">
        <f t="shared" si="4"/>
        <v>200026</v>
      </c>
    </row>
    <row r="29" spans="1:11" x14ac:dyDescent="0.3">
      <c r="A29" t="s">
        <v>7872</v>
      </c>
      <c r="B29" t="s">
        <v>5651</v>
      </c>
      <c r="C29" t="str">
        <f>"rg:{ 'id' : '"&amp;VLOOKUP(B29,EquipmentTypes.csv!C:K,9,FALSE)&amp;"'}"</f>
        <v>rg:{ 'id' : '200006'}</v>
      </c>
      <c r="D29">
        <f t="shared" si="0"/>
        <v>200027</v>
      </c>
      <c r="E29" t="s">
        <v>2951</v>
      </c>
      <c r="F29" t="str">
        <f>VLOOKUP(E29,ServiceAreas.csv!C:J,8,FALSE)</f>
        <v>200001</v>
      </c>
      <c r="G29" t="str">
        <f>"rg:{ 'id': '"&amp;F29&amp;"'}"</f>
        <v>rg:{ 'id': '200001'}</v>
      </c>
      <c r="I29" t="str">
        <f t="shared" si="2"/>
        <v>Dump Truck-Vancouver Island</v>
      </c>
      <c r="J29" t="str">
        <f t="shared" si="3"/>
        <v>Dump Truck-200001</v>
      </c>
      <c r="K29">
        <f t="shared" si="4"/>
        <v>200027</v>
      </c>
    </row>
    <row r="30" spans="1:11" x14ac:dyDescent="0.3">
      <c r="A30" t="s">
        <v>7872</v>
      </c>
      <c r="B30" t="s">
        <v>5536</v>
      </c>
      <c r="C30" t="str">
        <f>"rg:{ 'id' : '"&amp;VLOOKUP(B30,EquipmentTypes.csv!C:K,9,FALSE)&amp;"'}"</f>
        <v>rg:{ 'id' : '200000'}</v>
      </c>
      <c r="D30">
        <f>IF(ISNUMBER(D29),D29+1,200000)</f>
        <v>200028</v>
      </c>
      <c r="E30" t="s">
        <v>2928</v>
      </c>
      <c r="F30" t="str">
        <f>VLOOKUP(E30,ServiceAreas.csv!C:J,8,FALSE)</f>
        <v>200000</v>
      </c>
      <c r="G30" t="str">
        <f>"rg:{ 'id': '"&amp;F30&amp;"'}"</f>
        <v>rg:{ 'id': '200000'}</v>
      </c>
      <c r="I30" t="str">
        <f t="shared" si="2"/>
        <v>Excavator-Lower Mainland</v>
      </c>
      <c r="J30" t="str">
        <f t="shared" si="3"/>
        <v>Excavator-200000</v>
      </c>
      <c r="K30">
        <f t="shared" si="4"/>
        <v>200028</v>
      </c>
    </row>
    <row r="31" spans="1:11" x14ac:dyDescent="0.3">
      <c r="A31" t="s">
        <v>7872</v>
      </c>
      <c r="B31" t="s">
        <v>5637</v>
      </c>
      <c r="C31" t="str">
        <f>"rg:{ 'id' : '"&amp;VLOOKUP(B31,EquipmentTypes.csv!C:K,9,FALSE)&amp;"'}"</f>
        <v>rg:{ 'id' : '200001'}</v>
      </c>
      <c r="D31">
        <f t="shared" si="0"/>
        <v>200029</v>
      </c>
      <c r="E31" t="s">
        <v>2928</v>
      </c>
      <c r="F31" t="str">
        <f>VLOOKUP(E31,ServiceAreas.csv!C:J,8,FALSE)</f>
        <v>200000</v>
      </c>
      <c r="G31" t="str">
        <f t="shared" ref="G31:G35" si="8">"rg:{ 'id': '"&amp;F31&amp;"'}"</f>
        <v>rg:{ 'id': '200000'}</v>
      </c>
      <c r="I31" t="str">
        <f t="shared" si="2"/>
        <v>Grader-Lower Mainland</v>
      </c>
      <c r="J31" t="str">
        <f t="shared" si="3"/>
        <v>Grader-200000</v>
      </c>
      <c r="K31">
        <f t="shared" si="4"/>
        <v>200029</v>
      </c>
    </row>
    <row r="32" spans="1:11" x14ac:dyDescent="0.3">
      <c r="A32" t="s">
        <v>7872</v>
      </c>
      <c r="B32" t="s">
        <v>5640</v>
      </c>
      <c r="C32" t="str">
        <f>"rg:{ 'id' : '"&amp;VLOOKUP(B32,EquipmentTypes.csv!C:K,9,FALSE)&amp;"'}"</f>
        <v>rg:{ 'id' : '200002'}</v>
      </c>
      <c r="D32">
        <f t="shared" si="0"/>
        <v>200030</v>
      </c>
      <c r="E32" t="s">
        <v>2928</v>
      </c>
      <c r="F32" t="str">
        <f>VLOOKUP(E32,ServiceAreas.csv!C:J,8,FALSE)</f>
        <v>200000</v>
      </c>
      <c r="G32" t="str">
        <f t="shared" si="8"/>
        <v>rg:{ 'id': '200000'}</v>
      </c>
      <c r="I32" t="str">
        <f t="shared" si="2"/>
        <v>Bulldozer-Lower Mainland</v>
      </c>
      <c r="J32" t="str">
        <f t="shared" si="3"/>
        <v>Bulldozer-200000</v>
      </c>
      <c r="K32">
        <f t="shared" si="4"/>
        <v>200030</v>
      </c>
    </row>
    <row r="33" spans="1:11" x14ac:dyDescent="0.3">
      <c r="A33" t="s">
        <v>7872</v>
      </c>
      <c r="B33" t="s">
        <v>5641</v>
      </c>
      <c r="C33" t="str">
        <f>"rg:{ 'id' : '"&amp;VLOOKUP(B33,EquipmentTypes.csv!C:K,9,FALSE)&amp;"'}"</f>
        <v>rg:{ 'id' : '200003'}</v>
      </c>
      <c r="D33">
        <f t="shared" si="0"/>
        <v>200031</v>
      </c>
      <c r="E33" t="s">
        <v>2928</v>
      </c>
      <c r="F33" t="str">
        <f>VLOOKUP(E33,ServiceAreas.csv!C:J,8,FALSE)</f>
        <v>200000</v>
      </c>
      <c r="G33" t="str">
        <f t="shared" si="8"/>
        <v>rg:{ 'id': '200000'}</v>
      </c>
      <c r="I33" t="str">
        <f t="shared" si="2"/>
        <v>Cement Truck-Lower Mainland</v>
      </c>
      <c r="J33" t="str">
        <f t="shared" si="3"/>
        <v>Cement Truck-200000</v>
      </c>
      <c r="K33">
        <f t="shared" si="4"/>
        <v>200031</v>
      </c>
    </row>
    <row r="34" spans="1:11" x14ac:dyDescent="0.3">
      <c r="A34" t="s">
        <v>7872</v>
      </c>
      <c r="B34" t="s">
        <v>5642</v>
      </c>
      <c r="C34" t="str">
        <f>"rg:{ 'id' : '"&amp;VLOOKUP(B34,EquipmentTypes.csv!C:K,9,FALSE)&amp;"'}"</f>
        <v>rg:{ 'id' : '200004'}</v>
      </c>
      <c r="D34">
        <f t="shared" si="0"/>
        <v>200032</v>
      </c>
      <c r="E34" t="s">
        <v>2928</v>
      </c>
      <c r="F34" t="str">
        <f>VLOOKUP(E34,ServiceAreas.csv!C:J,8,FALSE)</f>
        <v>200000</v>
      </c>
      <c r="G34" t="str">
        <f t="shared" si="8"/>
        <v>rg:{ 'id': '200000'}</v>
      </c>
      <c r="I34" t="str">
        <f t="shared" si="2"/>
        <v>Flat Deck-Lower Mainland</v>
      </c>
      <c r="J34" t="str">
        <f t="shared" si="3"/>
        <v>Flat Deck-200000</v>
      </c>
      <c r="K34">
        <f t="shared" si="4"/>
        <v>200032</v>
      </c>
    </row>
    <row r="35" spans="1:11" x14ac:dyDescent="0.3">
      <c r="A35" t="s">
        <v>7872</v>
      </c>
      <c r="B35" t="s">
        <v>5643</v>
      </c>
      <c r="C35" t="str">
        <f>"rg:{ 'id' : '"&amp;VLOOKUP(B35,EquipmentTypes.csv!C:K,9,FALSE)&amp;"'}"</f>
        <v>rg:{ 'id' : '200005'}</v>
      </c>
      <c r="D35">
        <f t="shared" si="0"/>
        <v>200033</v>
      </c>
      <c r="E35" t="s">
        <v>2928</v>
      </c>
      <c r="F35" t="str">
        <f>VLOOKUP(E35,ServiceAreas.csv!C:J,8,FALSE)</f>
        <v>200000</v>
      </c>
      <c r="G35" t="str">
        <f t="shared" si="8"/>
        <v>rg:{ 'id': '200000'}</v>
      </c>
      <c r="I35" t="str">
        <f t="shared" si="2"/>
        <v>Logging Truck-Lower Mainland</v>
      </c>
      <c r="J35" t="str">
        <f t="shared" si="3"/>
        <v>Logging Truck-200000</v>
      </c>
      <c r="K35">
        <f t="shared" si="4"/>
        <v>200033</v>
      </c>
    </row>
    <row r="36" spans="1:11" x14ac:dyDescent="0.3">
      <c r="A36" t="s">
        <v>7872</v>
      </c>
      <c r="B36" t="s">
        <v>5651</v>
      </c>
      <c r="C36" t="str">
        <f>"rg:{ 'id' : '"&amp;VLOOKUP(B36,EquipmentTypes.csv!C:K,9,FALSE)&amp;"'}"</f>
        <v>rg:{ 'id' : '200006'}</v>
      </c>
      <c r="D36">
        <f t="shared" si="0"/>
        <v>200034</v>
      </c>
      <c r="E36" t="s">
        <v>2928</v>
      </c>
      <c r="F36" t="str">
        <f>VLOOKUP(E36,ServiceAreas.csv!C:J,8,FALSE)</f>
        <v>200000</v>
      </c>
      <c r="G36" t="str">
        <f>"rg:{ 'id': '"&amp;F36&amp;"'}"</f>
        <v>rg:{ 'id': '200000'}</v>
      </c>
      <c r="I36" t="str">
        <f t="shared" si="2"/>
        <v>Dump Truck-Lower Mainland</v>
      </c>
      <c r="J36" t="str">
        <f t="shared" si="3"/>
        <v>Dump Truck-200000</v>
      </c>
      <c r="K36">
        <f t="shared" si="4"/>
        <v>200034</v>
      </c>
    </row>
    <row r="37" spans="1:11" x14ac:dyDescent="0.3">
      <c r="A37" t="s">
        <v>7872</v>
      </c>
      <c r="B37" t="s">
        <v>5536</v>
      </c>
      <c r="C37" t="str">
        <f>"rg:{ 'id' : '"&amp;VLOOKUP(B37,EquipmentTypes.csv!C:K,9,FALSE)&amp;"'}"</f>
        <v>rg:{ 'id' : '200000'}</v>
      </c>
      <c r="D37">
        <f>IF(ISNUMBER(D36),D36+1,200000)</f>
        <v>200035</v>
      </c>
      <c r="E37" t="s">
        <v>2953</v>
      </c>
      <c r="F37" t="str">
        <f>VLOOKUP(E37,ServiceAreas.csv!C:J,8,FALSE)</f>
        <v>200004</v>
      </c>
      <c r="G37" t="str">
        <f>"rg:{ 'id': '"&amp;F37&amp;"'}"</f>
        <v>rg:{ 'id': '200004'}</v>
      </c>
      <c r="I37" t="str">
        <f t="shared" si="2"/>
        <v>Excavator-Okanagan-Shuswap</v>
      </c>
      <c r="J37" t="str">
        <f t="shared" si="3"/>
        <v>Excavator-200004</v>
      </c>
      <c r="K37">
        <f t="shared" si="4"/>
        <v>200035</v>
      </c>
    </row>
    <row r="38" spans="1:11" x14ac:dyDescent="0.3">
      <c r="A38" t="s">
        <v>7872</v>
      </c>
      <c r="B38" t="s">
        <v>5637</v>
      </c>
      <c r="C38" t="str">
        <f>"rg:{ 'id' : '"&amp;VLOOKUP(B38,EquipmentTypes.csv!C:K,9,FALSE)&amp;"'}"</f>
        <v>rg:{ 'id' : '200001'}</v>
      </c>
      <c r="D38">
        <f t="shared" si="0"/>
        <v>200036</v>
      </c>
      <c r="E38" t="s">
        <v>2953</v>
      </c>
      <c r="F38" t="str">
        <f>VLOOKUP(E38,ServiceAreas.csv!C:J,8,FALSE)</f>
        <v>200004</v>
      </c>
      <c r="G38" t="str">
        <f t="shared" ref="G38:G42" si="9">"rg:{ 'id': '"&amp;F38&amp;"'}"</f>
        <v>rg:{ 'id': '200004'}</v>
      </c>
      <c r="I38" t="str">
        <f t="shared" si="2"/>
        <v>Grader-Okanagan-Shuswap</v>
      </c>
      <c r="J38" t="str">
        <f t="shared" si="3"/>
        <v>Grader-200004</v>
      </c>
      <c r="K38">
        <f t="shared" si="4"/>
        <v>200036</v>
      </c>
    </row>
    <row r="39" spans="1:11" x14ac:dyDescent="0.3">
      <c r="A39" t="s">
        <v>7872</v>
      </c>
      <c r="B39" t="s">
        <v>5640</v>
      </c>
      <c r="C39" t="str">
        <f>"rg:{ 'id' : '"&amp;VLOOKUP(B39,EquipmentTypes.csv!C:K,9,FALSE)&amp;"'}"</f>
        <v>rg:{ 'id' : '200002'}</v>
      </c>
      <c r="D39">
        <f t="shared" si="0"/>
        <v>200037</v>
      </c>
      <c r="E39" t="s">
        <v>2953</v>
      </c>
      <c r="F39" t="str">
        <f>VLOOKUP(E39,ServiceAreas.csv!C:J,8,FALSE)</f>
        <v>200004</v>
      </c>
      <c r="G39" t="str">
        <f t="shared" si="9"/>
        <v>rg:{ 'id': '200004'}</v>
      </c>
      <c r="I39" t="str">
        <f t="shared" si="2"/>
        <v>Bulldozer-Okanagan-Shuswap</v>
      </c>
      <c r="J39" t="str">
        <f t="shared" si="3"/>
        <v>Bulldozer-200004</v>
      </c>
      <c r="K39">
        <f t="shared" si="4"/>
        <v>200037</v>
      </c>
    </row>
    <row r="40" spans="1:11" x14ac:dyDescent="0.3">
      <c r="A40" t="s">
        <v>7872</v>
      </c>
      <c r="B40" t="s">
        <v>5641</v>
      </c>
      <c r="C40" t="str">
        <f>"rg:{ 'id' : '"&amp;VLOOKUP(B40,EquipmentTypes.csv!C:K,9,FALSE)&amp;"'}"</f>
        <v>rg:{ 'id' : '200003'}</v>
      </c>
      <c r="D40">
        <f t="shared" si="0"/>
        <v>200038</v>
      </c>
      <c r="E40" t="s">
        <v>2953</v>
      </c>
      <c r="F40" t="str">
        <f>VLOOKUP(E40,ServiceAreas.csv!C:J,8,FALSE)</f>
        <v>200004</v>
      </c>
      <c r="G40" t="str">
        <f t="shared" si="9"/>
        <v>rg:{ 'id': '200004'}</v>
      </c>
      <c r="I40" t="str">
        <f t="shared" si="2"/>
        <v>Cement Truck-Okanagan-Shuswap</v>
      </c>
      <c r="J40" t="str">
        <f t="shared" si="3"/>
        <v>Cement Truck-200004</v>
      </c>
      <c r="K40">
        <f t="shared" si="4"/>
        <v>200038</v>
      </c>
    </row>
    <row r="41" spans="1:11" x14ac:dyDescent="0.3">
      <c r="A41" t="s">
        <v>7872</v>
      </c>
      <c r="B41" t="s">
        <v>5642</v>
      </c>
      <c r="C41" t="str">
        <f>"rg:{ 'id' : '"&amp;VLOOKUP(B41,EquipmentTypes.csv!C:K,9,FALSE)&amp;"'}"</f>
        <v>rg:{ 'id' : '200004'}</v>
      </c>
      <c r="D41">
        <f t="shared" si="0"/>
        <v>200039</v>
      </c>
      <c r="E41" t="s">
        <v>2953</v>
      </c>
      <c r="F41" t="str">
        <f>VLOOKUP(E41,ServiceAreas.csv!C:J,8,FALSE)</f>
        <v>200004</v>
      </c>
      <c r="G41" t="str">
        <f t="shared" si="9"/>
        <v>rg:{ 'id': '200004'}</v>
      </c>
      <c r="I41" t="str">
        <f t="shared" si="2"/>
        <v>Flat Deck-Okanagan-Shuswap</v>
      </c>
      <c r="J41" t="str">
        <f t="shared" si="3"/>
        <v>Flat Deck-200004</v>
      </c>
      <c r="K41">
        <f t="shared" si="4"/>
        <v>200039</v>
      </c>
    </row>
    <row r="42" spans="1:11" x14ac:dyDescent="0.3">
      <c r="A42" t="s">
        <v>7872</v>
      </c>
      <c r="B42" t="s">
        <v>5643</v>
      </c>
      <c r="C42" t="str">
        <f>"rg:{ 'id' : '"&amp;VLOOKUP(B42,EquipmentTypes.csv!C:K,9,FALSE)&amp;"'}"</f>
        <v>rg:{ 'id' : '200005'}</v>
      </c>
      <c r="D42">
        <f t="shared" si="0"/>
        <v>200040</v>
      </c>
      <c r="E42" t="s">
        <v>2953</v>
      </c>
      <c r="F42" t="str">
        <f>VLOOKUP(E42,ServiceAreas.csv!C:J,8,FALSE)</f>
        <v>200004</v>
      </c>
      <c r="G42" t="str">
        <f t="shared" si="9"/>
        <v>rg:{ 'id': '200004'}</v>
      </c>
      <c r="I42" t="str">
        <f t="shared" si="2"/>
        <v>Logging Truck-Okanagan-Shuswap</v>
      </c>
      <c r="J42" t="str">
        <f t="shared" si="3"/>
        <v>Logging Truck-200004</v>
      </c>
      <c r="K42">
        <f t="shared" si="4"/>
        <v>200040</v>
      </c>
    </row>
    <row r="43" spans="1:11" x14ac:dyDescent="0.3">
      <c r="A43" t="s">
        <v>7872</v>
      </c>
      <c r="B43" t="s">
        <v>5651</v>
      </c>
      <c r="C43" t="str">
        <f>"rg:{ 'id' : '"&amp;VLOOKUP(B43,EquipmentTypes.csv!C:K,9,FALSE)&amp;"'}"</f>
        <v>rg:{ 'id' : '200006'}</v>
      </c>
      <c r="D43">
        <f t="shared" si="0"/>
        <v>200041</v>
      </c>
      <c r="E43" t="s">
        <v>2953</v>
      </c>
      <c r="F43" t="str">
        <f>VLOOKUP(E43,ServiceAreas.csv!C:J,8,FALSE)</f>
        <v>200004</v>
      </c>
      <c r="G43" t="str">
        <f>"rg:{ 'id': '"&amp;F43&amp;"'}"</f>
        <v>rg:{ 'id': '200004'}</v>
      </c>
      <c r="I43" t="str">
        <f t="shared" si="2"/>
        <v>Dump Truck-Okanagan-Shuswap</v>
      </c>
      <c r="J43" t="str">
        <f t="shared" si="3"/>
        <v>Dump Truck-200004</v>
      </c>
      <c r="K43">
        <f t="shared" si="4"/>
        <v>200041</v>
      </c>
    </row>
    <row r="44" spans="1:11" x14ac:dyDescent="0.3">
      <c r="A44" t="s">
        <v>7872</v>
      </c>
      <c r="B44" t="s">
        <v>5536</v>
      </c>
      <c r="C44" t="str">
        <f>"rg:{ 'id' : '"&amp;VLOOKUP(B44,EquipmentTypes.csv!C:K,9,FALSE)&amp;"'}"</f>
        <v>rg:{ 'id' : '200000'}</v>
      </c>
      <c r="D44">
        <f>IF(ISNUMBER(D43),D43+1,200000)</f>
        <v>200042</v>
      </c>
      <c r="E44" t="s">
        <v>22</v>
      </c>
      <c r="F44" t="str">
        <f>VLOOKUP(E44,ServiceAreas.csv!C:J,8,FALSE)</f>
        <v>200003</v>
      </c>
      <c r="G44" t="str">
        <f>"rg:{ 'id': '"&amp;F44&amp;"'}"</f>
        <v>rg:{ 'id': '200003'}</v>
      </c>
      <c r="I44" t="str">
        <f t="shared" si="2"/>
        <v>Excavator-West Kootenay</v>
      </c>
      <c r="J44" t="str">
        <f t="shared" si="3"/>
        <v>Excavator-200003</v>
      </c>
      <c r="K44">
        <f t="shared" si="4"/>
        <v>200042</v>
      </c>
    </row>
    <row r="45" spans="1:11" x14ac:dyDescent="0.3">
      <c r="A45" t="s">
        <v>7872</v>
      </c>
      <c r="B45" t="s">
        <v>5637</v>
      </c>
      <c r="C45" t="str">
        <f>"rg:{ 'id' : '"&amp;VLOOKUP(B45,EquipmentTypes.csv!C:K,9,FALSE)&amp;"'}"</f>
        <v>rg:{ 'id' : '200001'}</v>
      </c>
      <c r="D45">
        <f t="shared" si="0"/>
        <v>200043</v>
      </c>
      <c r="E45" t="s">
        <v>22</v>
      </c>
      <c r="F45" t="str">
        <f>VLOOKUP(E45,ServiceAreas.csv!C:J,8,FALSE)</f>
        <v>200003</v>
      </c>
      <c r="G45" t="str">
        <f t="shared" ref="G45:G49" si="10">"rg:{ 'id': '"&amp;F45&amp;"'}"</f>
        <v>rg:{ 'id': '200003'}</v>
      </c>
      <c r="I45" t="str">
        <f t="shared" si="2"/>
        <v>Grader-West Kootenay</v>
      </c>
      <c r="J45" t="str">
        <f t="shared" si="3"/>
        <v>Grader-200003</v>
      </c>
      <c r="K45">
        <f t="shared" si="4"/>
        <v>200043</v>
      </c>
    </row>
    <row r="46" spans="1:11" x14ac:dyDescent="0.3">
      <c r="A46" t="s">
        <v>7872</v>
      </c>
      <c r="B46" t="s">
        <v>5640</v>
      </c>
      <c r="C46" t="str">
        <f>"rg:{ 'id' : '"&amp;VLOOKUP(B46,EquipmentTypes.csv!C:K,9,FALSE)&amp;"'}"</f>
        <v>rg:{ 'id' : '200002'}</v>
      </c>
      <c r="D46">
        <f t="shared" si="0"/>
        <v>200044</v>
      </c>
      <c r="E46" t="s">
        <v>22</v>
      </c>
      <c r="F46" t="str">
        <f>VLOOKUP(E46,ServiceAreas.csv!C:J,8,FALSE)</f>
        <v>200003</v>
      </c>
      <c r="G46" t="str">
        <f t="shared" si="10"/>
        <v>rg:{ 'id': '200003'}</v>
      </c>
      <c r="I46" t="str">
        <f t="shared" si="2"/>
        <v>Bulldozer-West Kootenay</v>
      </c>
      <c r="J46" t="str">
        <f t="shared" si="3"/>
        <v>Bulldozer-200003</v>
      </c>
      <c r="K46">
        <f t="shared" si="4"/>
        <v>200044</v>
      </c>
    </row>
    <row r="47" spans="1:11" x14ac:dyDescent="0.3">
      <c r="A47" t="s">
        <v>7872</v>
      </c>
      <c r="B47" t="s">
        <v>5641</v>
      </c>
      <c r="C47" t="str">
        <f>"rg:{ 'id' : '"&amp;VLOOKUP(B47,EquipmentTypes.csv!C:K,9,FALSE)&amp;"'}"</f>
        <v>rg:{ 'id' : '200003'}</v>
      </c>
      <c r="D47">
        <f t="shared" si="0"/>
        <v>200045</v>
      </c>
      <c r="E47" t="s">
        <v>22</v>
      </c>
      <c r="F47" t="str">
        <f>VLOOKUP(E47,ServiceAreas.csv!C:J,8,FALSE)</f>
        <v>200003</v>
      </c>
      <c r="G47" t="str">
        <f t="shared" si="10"/>
        <v>rg:{ 'id': '200003'}</v>
      </c>
      <c r="I47" t="str">
        <f t="shared" si="2"/>
        <v>Cement Truck-West Kootenay</v>
      </c>
      <c r="J47" t="str">
        <f t="shared" si="3"/>
        <v>Cement Truck-200003</v>
      </c>
      <c r="K47">
        <f t="shared" si="4"/>
        <v>200045</v>
      </c>
    </row>
    <row r="48" spans="1:11" x14ac:dyDescent="0.3">
      <c r="A48" t="s">
        <v>7872</v>
      </c>
      <c r="B48" t="s">
        <v>5642</v>
      </c>
      <c r="C48" t="str">
        <f>"rg:{ 'id' : '"&amp;VLOOKUP(B48,EquipmentTypes.csv!C:K,9,FALSE)&amp;"'}"</f>
        <v>rg:{ 'id' : '200004'}</v>
      </c>
      <c r="D48">
        <f t="shared" si="0"/>
        <v>200046</v>
      </c>
      <c r="E48" t="s">
        <v>22</v>
      </c>
      <c r="F48" t="str">
        <f>VLOOKUP(E48,ServiceAreas.csv!C:J,8,FALSE)</f>
        <v>200003</v>
      </c>
      <c r="G48" t="str">
        <f t="shared" si="10"/>
        <v>rg:{ 'id': '200003'}</v>
      </c>
      <c r="I48" t="str">
        <f t="shared" si="2"/>
        <v>Flat Deck-West Kootenay</v>
      </c>
      <c r="J48" t="str">
        <f t="shared" si="3"/>
        <v>Flat Deck-200003</v>
      </c>
      <c r="K48">
        <f t="shared" si="4"/>
        <v>200046</v>
      </c>
    </row>
    <row r="49" spans="1:11" x14ac:dyDescent="0.3">
      <c r="A49" t="s">
        <v>7872</v>
      </c>
      <c r="B49" t="s">
        <v>5643</v>
      </c>
      <c r="C49" t="str">
        <f>"rg:{ 'id' : '"&amp;VLOOKUP(B49,EquipmentTypes.csv!C:K,9,FALSE)&amp;"'}"</f>
        <v>rg:{ 'id' : '200005'}</v>
      </c>
      <c r="D49">
        <f t="shared" si="0"/>
        <v>200047</v>
      </c>
      <c r="E49" t="s">
        <v>22</v>
      </c>
      <c r="F49" t="str">
        <f>VLOOKUP(E49,ServiceAreas.csv!C:J,8,FALSE)</f>
        <v>200003</v>
      </c>
      <c r="G49" t="str">
        <f t="shared" si="10"/>
        <v>rg:{ 'id': '200003'}</v>
      </c>
      <c r="I49" t="str">
        <f t="shared" si="2"/>
        <v>Logging Truck-West Kootenay</v>
      </c>
      <c r="J49" t="str">
        <f t="shared" si="3"/>
        <v>Logging Truck-200003</v>
      </c>
      <c r="K49">
        <f t="shared" si="4"/>
        <v>200047</v>
      </c>
    </row>
    <row r="50" spans="1:11" x14ac:dyDescent="0.3">
      <c r="A50" t="s">
        <v>7872</v>
      </c>
      <c r="B50" t="s">
        <v>5651</v>
      </c>
      <c r="C50" t="str">
        <f>"rg:{ 'id' : '"&amp;VLOOKUP(B50,EquipmentTypes.csv!C:K,9,FALSE)&amp;"'}"</f>
        <v>rg:{ 'id' : '200006'}</v>
      </c>
      <c r="D50">
        <f t="shared" si="0"/>
        <v>200048</v>
      </c>
      <c r="E50" t="s">
        <v>22</v>
      </c>
      <c r="F50" t="str">
        <f>VLOOKUP(E50,ServiceAreas.csv!C:J,8,FALSE)</f>
        <v>200003</v>
      </c>
      <c r="G50" t="str">
        <f>"rg:{ 'id': '"&amp;F50&amp;"'}"</f>
        <v>rg:{ 'id': '200003'}</v>
      </c>
      <c r="I50" t="str">
        <f t="shared" si="2"/>
        <v>Dump Truck-West Kootenay</v>
      </c>
      <c r="J50" t="str">
        <f t="shared" si="3"/>
        <v>Dump Truck-200003</v>
      </c>
      <c r="K50">
        <f t="shared" si="4"/>
        <v>200048</v>
      </c>
    </row>
    <row r="51" spans="1:11" x14ac:dyDescent="0.3">
      <c r="A51" t="s">
        <v>7872</v>
      </c>
      <c r="B51" t="s">
        <v>5536</v>
      </c>
      <c r="C51" t="str">
        <f>"rg:{ 'id' : '"&amp;VLOOKUP(B51,EquipmentTypes.csv!C:K,9,FALSE)&amp;"'}"</f>
        <v>rg:{ 'id' : '200000'}</v>
      </c>
      <c r="D51">
        <f>IF(ISNUMBER(D50),D50+1,200000)</f>
        <v>200049</v>
      </c>
      <c r="E51" t="s">
        <v>2952</v>
      </c>
      <c r="F51" t="str">
        <f>VLOOKUP(E51,ServiceAreas.csv!C:J,8,FALSE)</f>
        <v>200002</v>
      </c>
      <c r="G51" t="str">
        <f>"rg:{ 'id': '"&amp;F51&amp;"'}"</f>
        <v>rg:{ 'id': '200002'}</v>
      </c>
      <c r="I51" t="str">
        <f t="shared" si="2"/>
        <v>Excavator-Rocky Mountain</v>
      </c>
      <c r="J51" t="str">
        <f t="shared" si="3"/>
        <v>Excavator-200002</v>
      </c>
      <c r="K51">
        <f t="shared" si="4"/>
        <v>200049</v>
      </c>
    </row>
    <row r="52" spans="1:11" x14ac:dyDescent="0.3">
      <c r="A52" t="s">
        <v>7872</v>
      </c>
      <c r="B52" t="s">
        <v>5637</v>
      </c>
      <c r="C52" t="str">
        <f>"rg:{ 'id' : '"&amp;VLOOKUP(B52,EquipmentTypes.csv!C:K,9,FALSE)&amp;"'}"</f>
        <v>rg:{ 'id' : '200001'}</v>
      </c>
      <c r="D52">
        <f t="shared" si="0"/>
        <v>200050</v>
      </c>
      <c r="E52" t="s">
        <v>2952</v>
      </c>
      <c r="F52" t="str">
        <f>VLOOKUP(E52,ServiceAreas.csv!C:J,8,FALSE)</f>
        <v>200002</v>
      </c>
      <c r="G52" t="str">
        <f t="shared" ref="G52:G56" si="11">"rg:{ 'id': '"&amp;F52&amp;"'}"</f>
        <v>rg:{ 'id': '200002'}</v>
      </c>
      <c r="I52" t="str">
        <f t="shared" si="2"/>
        <v>Grader-Rocky Mountain</v>
      </c>
      <c r="J52" t="str">
        <f t="shared" si="3"/>
        <v>Grader-200002</v>
      </c>
      <c r="K52">
        <f t="shared" si="4"/>
        <v>200050</v>
      </c>
    </row>
    <row r="53" spans="1:11" x14ac:dyDescent="0.3">
      <c r="A53" t="s">
        <v>7872</v>
      </c>
      <c r="B53" t="s">
        <v>5640</v>
      </c>
      <c r="C53" t="str">
        <f>"rg:{ 'id' : '"&amp;VLOOKUP(B53,EquipmentTypes.csv!C:K,9,FALSE)&amp;"'}"</f>
        <v>rg:{ 'id' : '200002'}</v>
      </c>
      <c r="D53">
        <f t="shared" si="0"/>
        <v>200051</v>
      </c>
      <c r="E53" t="s">
        <v>2952</v>
      </c>
      <c r="F53" t="str">
        <f>VLOOKUP(E53,ServiceAreas.csv!C:J,8,FALSE)</f>
        <v>200002</v>
      </c>
      <c r="G53" t="str">
        <f t="shared" si="11"/>
        <v>rg:{ 'id': '200002'}</v>
      </c>
      <c r="I53" t="str">
        <f t="shared" si="2"/>
        <v>Bulldozer-Rocky Mountain</v>
      </c>
      <c r="J53" t="str">
        <f t="shared" si="3"/>
        <v>Bulldozer-200002</v>
      </c>
      <c r="K53">
        <f t="shared" si="4"/>
        <v>200051</v>
      </c>
    </row>
    <row r="54" spans="1:11" x14ac:dyDescent="0.3">
      <c r="A54" t="s">
        <v>7872</v>
      </c>
      <c r="B54" t="s">
        <v>5641</v>
      </c>
      <c r="C54" t="str">
        <f>"rg:{ 'id' : '"&amp;VLOOKUP(B54,EquipmentTypes.csv!C:K,9,FALSE)&amp;"'}"</f>
        <v>rg:{ 'id' : '200003'}</v>
      </c>
      <c r="D54">
        <f t="shared" si="0"/>
        <v>200052</v>
      </c>
      <c r="E54" t="s">
        <v>2952</v>
      </c>
      <c r="F54" t="str">
        <f>VLOOKUP(E54,ServiceAreas.csv!C:J,8,FALSE)</f>
        <v>200002</v>
      </c>
      <c r="G54" t="str">
        <f t="shared" si="11"/>
        <v>rg:{ 'id': '200002'}</v>
      </c>
      <c r="I54" t="str">
        <f t="shared" si="2"/>
        <v>Cement Truck-Rocky Mountain</v>
      </c>
      <c r="J54" t="str">
        <f t="shared" si="3"/>
        <v>Cement Truck-200002</v>
      </c>
      <c r="K54">
        <f t="shared" si="4"/>
        <v>200052</v>
      </c>
    </row>
    <row r="55" spans="1:11" x14ac:dyDescent="0.3">
      <c r="A55" t="s">
        <v>7872</v>
      </c>
      <c r="B55" t="s">
        <v>5642</v>
      </c>
      <c r="C55" t="str">
        <f>"rg:{ 'id' : '"&amp;VLOOKUP(B55,EquipmentTypes.csv!C:K,9,FALSE)&amp;"'}"</f>
        <v>rg:{ 'id' : '200004'}</v>
      </c>
      <c r="D55">
        <f t="shared" si="0"/>
        <v>200053</v>
      </c>
      <c r="E55" t="s">
        <v>2952</v>
      </c>
      <c r="F55" t="str">
        <f>VLOOKUP(E55,ServiceAreas.csv!C:J,8,FALSE)</f>
        <v>200002</v>
      </c>
      <c r="G55" t="str">
        <f t="shared" si="11"/>
        <v>rg:{ 'id': '200002'}</v>
      </c>
      <c r="I55" t="str">
        <f t="shared" si="2"/>
        <v>Flat Deck-Rocky Mountain</v>
      </c>
      <c r="J55" t="str">
        <f t="shared" si="3"/>
        <v>Flat Deck-200002</v>
      </c>
      <c r="K55">
        <f t="shared" si="4"/>
        <v>200053</v>
      </c>
    </row>
    <row r="56" spans="1:11" x14ac:dyDescent="0.3">
      <c r="A56" t="s">
        <v>7872</v>
      </c>
      <c r="B56" t="s">
        <v>5643</v>
      </c>
      <c r="C56" t="str">
        <f>"rg:{ 'id' : '"&amp;VLOOKUP(B56,EquipmentTypes.csv!C:K,9,FALSE)&amp;"'}"</f>
        <v>rg:{ 'id' : '200005'}</v>
      </c>
      <c r="D56">
        <f t="shared" si="0"/>
        <v>200054</v>
      </c>
      <c r="E56" t="s">
        <v>2952</v>
      </c>
      <c r="F56" t="str">
        <f>VLOOKUP(E56,ServiceAreas.csv!C:J,8,FALSE)</f>
        <v>200002</v>
      </c>
      <c r="G56" t="str">
        <f t="shared" si="11"/>
        <v>rg:{ 'id': '200002'}</v>
      </c>
      <c r="I56" t="str">
        <f t="shared" si="2"/>
        <v>Logging Truck-Rocky Mountain</v>
      </c>
      <c r="J56" t="str">
        <f t="shared" si="3"/>
        <v>Logging Truck-200002</v>
      </c>
      <c r="K56">
        <f t="shared" si="4"/>
        <v>200054</v>
      </c>
    </row>
    <row r="57" spans="1:11" x14ac:dyDescent="0.3">
      <c r="A57" t="s">
        <v>7872</v>
      </c>
      <c r="B57" t="s">
        <v>5651</v>
      </c>
      <c r="C57" t="str">
        <f>"rg:{ 'id' : '"&amp;VLOOKUP(B57,EquipmentTypes.csv!C:K,9,FALSE)&amp;"'}"</f>
        <v>rg:{ 'id' : '200006'}</v>
      </c>
      <c r="D57">
        <f t="shared" si="0"/>
        <v>200055</v>
      </c>
      <c r="E57" t="s">
        <v>2952</v>
      </c>
      <c r="F57" t="str">
        <f>VLOOKUP(E57,ServiceAreas.csv!C:J,8,FALSE)</f>
        <v>200002</v>
      </c>
      <c r="G57" t="str">
        <f>"rg:{ 'id': '"&amp;F57&amp;"'}"</f>
        <v>rg:{ 'id': '200002'}</v>
      </c>
      <c r="I57" t="str">
        <f t="shared" si="2"/>
        <v>Dump Truck-Rocky Mountain</v>
      </c>
      <c r="J57" t="str">
        <f t="shared" si="3"/>
        <v>Dump Truck-200002</v>
      </c>
      <c r="K57">
        <f t="shared" si="4"/>
        <v>200055</v>
      </c>
    </row>
    <row r="58" spans="1:11" x14ac:dyDescent="0.3">
      <c r="A58" t="s">
        <v>7872</v>
      </c>
      <c r="B58" t="s">
        <v>5536</v>
      </c>
      <c r="C58" t="str">
        <f>"rg:{ 'id' : '"&amp;VLOOKUP(B58,EquipmentTypes.csv!C:K,9,FALSE)&amp;"'}"</f>
        <v>rg:{ 'id' : '200000'}</v>
      </c>
      <c r="D58">
        <f>IF(ISNUMBER(D57),D57+1,200000)</f>
        <v>200056</v>
      </c>
      <c r="E58" t="s">
        <v>2956</v>
      </c>
      <c r="F58" t="str">
        <f>VLOOKUP(E58,ServiceAreas.csv!C:J,8,FALSE)</f>
        <v>200007</v>
      </c>
      <c r="G58" t="str">
        <f>"rg:{ 'id': '"&amp;F58&amp;"'}"</f>
        <v>rg:{ 'id': '200007'}</v>
      </c>
      <c r="I58" t="str">
        <f t="shared" si="2"/>
        <v>Excavator-Peace</v>
      </c>
      <c r="J58" t="str">
        <f t="shared" si="3"/>
        <v>Excavator-200007</v>
      </c>
      <c r="K58">
        <f t="shared" si="4"/>
        <v>200056</v>
      </c>
    </row>
    <row r="59" spans="1:11" x14ac:dyDescent="0.3">
      <c r="A59" t="s">
        <v>7872</v>
      </c>
      <c r="B59" t="s">
        <v>5637</v>
      </c>
      <c r="C59" t="str">
        <f>"rg:{ 'id' : '"&amp;VLOOKUP(B59,EquipmentTypes.csv!C:K,9,FALSE)&amp;"'}"</f>
        <v>rg:{ 'id' : '200001'}</v>
      </c>
      <c r="D59">
        <f t="shared" si="0"/>
        <v>200057</v>
      </c>
      <c r="E59" t="s">
        <v>2956</v>
      </c>
      <c r="F59" t="str">
        <f>VLOOKUP(E59,ServiceAreas.csv!C:J,8,FALSE)</f>
        <v>200007</v>
      </c>
      <c r="G59" t="str">
        <f t="shared" ref="G59:G63" si="12">"rg:{ 'id': '"&amp;F59&amp;"'}"</f>
        <v>rg:{ 'id': '200007'}</v>
      </c>
      <c r="I59" t="str">
        <f t="shared" si="2"/>
        <v>Grader-Peace</v>
      </c>
      <c r="J59" t="str">
        <f t="shared" si="3"/>
        <v>Grader-200007</v>
      </c>
      <c r="K59">
        <f t="shared" si="4"/>
        <v>200057</v>
      </c>
    </row>
    <row r="60" spans="1:11" x14ac:dyDescent="0.3">
      <c r="A60" t="s">
        <v>7872</v>
      </c>
      <c r="B60" t="s">
        <v>5640</v>
      </c>
      <c r="C60" t="str">
        <f>"rg:{ 'id' : '"&amp;VLOOKUP(B60,EquipmentTypes.csv!C:K,9,FALSE)&amp;"'}"</f>
        <v>rg:{ 'id' : '200002'}</v>
      </c>
      <c r="D60">
        <f t="shared" si="0"/>
        <v>200058</v>
      </c>
      <c r="E60" t="s">
        <v>2956</v>
      </c>
      <c r="F60" t="str">
        <f>VLOOKUP(E60,ServiceAreas.csv!C:J,8,FALSE)</f>
        <v>200007</v>
      </c>
      <c r="G60" t="str">
        <f t="shared" si="12"/>
        <v>rg:{ 'id': '200007'}</v>
      </c>
      <c r="I60" t="str">
        <f t="shared" si="2"/>
        <v>Bulldozer-Peace</v>
      </c>
      <c r="J60" t="str">
        <f t="shared" si="3"/>
        <v>Bulldozer-200007</v>
      </c>
      <c r="K60">
        <f t="shared" si="4"/>
        <v>200058</v>
      </c>
    </row>
    <row r="61" spans="1:11" x14ac:dyDescent="0.3">
      <c r="A61" t="s">
        <v>7872</v>
      </c>
      <c r="B61" t="s">
        <v>5641</v>
      </c>
      <c r="C61" t="str">
        <f>"rg:{ 'id' : '"&amp;VLOOKUP(B61,EquipmentTypes.csv!C:K,9,FALSE)&amp;"'}"</f>
        <v>rg:{ 'id' : '200003'}</v>
      </c>
      <c r="D61">
        <f t="shared" si="0"/>
        <v>200059</v>
      </c>
      <c r="E61" t="s">
        <v>2956</v>
      </c>
      <c r="F61" t="str">
        <f>VLOOKUP(E61,ServiceAreas.csv!C:J,8,FALSE)</f>
        <v>200007</v>
      </c>
      <c r="G61" t="str">
        <f t="shared" si="12"/>
        <v>rg:{ 'id': '200007'}</v>
      </c>
      <c r="I61" t="str">
        <f t="shared" si="2"/>
        <v>Cement Truck-Peace</v>
      </c>
      <c r="J61" t="str">
        <f t="shared" si="3"/>
        <v>Cement Truck-200007</v>
      </c>
      <c r="K61">
        <f t="shared" si="4"/>
        <v>200059</v>
      </c>
    </row>
    <row r="62" spans="1:11" x14ac:dyDescent="0.3">
      <c r="A62" t="s">
        <v>7872</v>
      </c>
      <c r="B62" t="s">
        <v>5642</v>
      </c>
      <c r="C62" t="str">
        <f>"rg:{ 'id' : '"&amp;VLOOKUP(B62,EquipmentTypes.csv!C:K,9,FALSE)&amp;"'}"</f>
        <v>rg:{ 'id' : '200004'}</v>
      </c>
      <c r="D62">
        <f t="shared" si="0"/>
        <v>200060</v>
      </c>
      <c r="E62" t="s">
        <v>2956</v>
      </c>
      <c r="F62" t="str">
        <f>VLOOKUP(E62,ServiceAreas.csv!C:J,8,FALSE)</f>
        <v>200007</v>
      </c>
      <c r="G62" t="str">
        <f t="shared" si="12"/>
        <v>rg:{ 'id': '200007'}</v>
      </c>
      <c r="I62" t="str">
        <f t="shared" si="2"/>
        <v>Flat Deck-Peace</v>
      </c>
      <c r="J62" t="str">
        <f t="shared" si="3"/>
        <v>Flat Deck-200007</v>
      </c>
      <c r="K62">
        <f t="shared" si="4"/>
        <v>200060</v>
      </c>
    </row>
    <row r="63" spans="1:11" x14ac:dyDescent="0.3">
      <c r="A63" t="s">
        <v>7872</v>
      </c>
      <c r="B63" t="s">
        <v>5643</v>
      </c>
      <c r="C63" t="str">
        <f>"rg:{ 'id' : '"&amp;VLOOKUP(B63,EquipmentTypes.csv!C:K,9,FALSE)&amp;"'}"</f>
        <v>rg:{ 'id' : '200005'}</v>
      </c>
      <c r="D63">
        <f t="shared" si="0"/>
        <v>200061</v>
      </c>
      <c r="E63" t="s">
        <v>2956</v>
      </c>
      <c r="F63" t="str">
        <f>VLOOKUP(E63,ServiceAreas.csv!C:J,8,FALSE)</f>
        <v>200007</v>
      </c>
      <c r="G63" t="str">
        <f t="shared" si="12"/>
        <v>rg:{ 'id': '200007'}</v>
      </c>
      <c r="I63" t="str">
        <f t="shared" si="2"/>
        <v>Logging Truck-Peace</v>
      </c>
      <c r="J63" t="str">
        <f t="shared" si="3"/>
        <v>Logging Truck-200007</v>
      </c>
      <c r="K63">
        <f t="shared" si="4"/>
        <v>200061</v>
      </c>
    </row>
    <row r="64" spans="1:11" x14ac:dyDescent="0.3">
      <c r="A64" t="s">
        <v>7872</v>
      </c>
      <c r="B64" t="s">
        <v>5651</v>
      </c>
      <c r="C64" t="str">
        <f>"rg:{ 'id' : '"&amp;VLOOKUP(B64,EquipmentTypes.csv!C:K,9,FALSE)&amp;"'}"</f>
        <v>rg:{ 'id' : '200006'}</v>
      </c>
      <c r="D64">
        <f t="shared" si="0"/>
        <v>200062</v>
      </c>
      <c r="E64" t="s">
        <v>2956</v>
      </c>
      <c r="F64" t="str">
        <f>VLOOKUP(E64,ServiceAreas.csv!C:J,8,FALSE)</f>
        <v>200007</v>
      </c>
      <c r="G64" t="str">
        <f>"rg:{ 'id': '"&amp;F64&amp;"'}"</f>
        <v>rg:{ 'id': '200007'}</v>
      </c>
      <c r="I64" t="str">
        <f t="shared" si="2"/>
        <v>Dump Truck-Peace</v>
      </c>
      <c r="J64" t="str">
        <f t="shared" si="3"/>
        <v>Dump Truck-200007</v>
      </c>
      <c r="K64">
        <f t="shared" si="4"/>
        <v>200062</v>
      </c>
    </row>
    <row r="65" spans="1:11" x14ac:dyDescent="0.3">
      <c r="A65" t="s">
        <v>7872</v>
      </c>
      <c r="B65" t="s">
        <v>5536</v>
      </c>
      <c r="C65" t="str">
        <f>"rg:{ 'id' : '"&amp;VLOOKUP(B65,EquipmentTypes.csv!C:K,9,FALSE)&amp;"'}"</f>
        <v>rg:{ 'id' : '200000'}</v>
      </c>
      <c r="D65">
        <f>IF(ISNUMBER(D64),D64+1,200000)</f>
        <v>200063</v>
      </c>
      <c r="E65" t="s">
        <v>2954</v>
      </c>
      <c r="F65" t="str">
        <f>VLOOKUP(E65,ServiceAreas.csv!C:J,8,FALSE)</f>
        <v>200005</v>
      </c>
      <c r="G65" t="str">
        <f>"rg:{ 'id': '"&amp;F65&amp;"'}"</f>
        <v>rg:{ 'id': '200005'}</v>
      </c>
      <c r="I65" t="str">
        <f t="shared" si="2"/>
        <v>Excavator-Thompson-Nicola</v>
      </c>
      <c r="J65" t="str">
        <f t="shared" si="3"/>
        <v>Excavator-200005</v>
      </c>
      <c r="K65">
        <f t="shared" si="4"/>
        <v>200063</v>
      </c>
    </row>
    <row r="66" spans="1:11" x14ac:dyDescent="0.3">
      <c r="A66" t="s">
        <v>7872</v>
      </c>
      <c r="B66" t="s">
        <v>5637</v>
      </c>
      <c r="C66" t="str">
        <f>"rg:{ 'id' : '"&amp;VLOOKUP(B66,EquipmentTypes.csv!C:K,9,FALSE)&amp;"'}"</f>
        <v>rg:{ 'id' : '200001'}</v>
      </c>
      <c r="D66">
        <f t="shared" si="0"/>
        <v>200064</v>
      </c>
      <c r="E66" t="s">
        <v>2954</v>
      </c>
      <c r="F66" t="str">
        <f>VLOOKUP(E66,ServiceAreas.csv!C:J,8,FALSE)</f>
        <v>200005</v>
      </c>
      <c r="G66" t="str">
        <f t="shared" ref="G66:G70" si="13">"rg:{ 'id': '"&amp;F66&amp;"'}"</f>
        <v>rg:{ 'id': '200005'}</v>
      </c>
      <c r="I66" t="str">
        <f t="shared" si="2"/>
        <v>Grader-Thompson-Nicola</v>
      </c>
      <c r="J66" t="str">
        <f t="shared" si="3"/>
        <v>Grader-200005</v>
      </c>
      <c r="K66">
        <f t="shared" si="4"/>
        <v>200064</v>
      </c>
    </row>
    <row r="67" spans="1:11" x14ac:dyDescent="0.3">
      <c r="A67" t="s">
        <v>7872</v>
      </c>
      <c r="B67" t="s">
        <v>5640</v>
      </c>
      <c r="C67" t="str">
        <f>"rg:{ 'id' : '"&amp;VLOOKUP(B67,EquipmentTypes.csv!C:K,9,FALSE)&amp;"'}"</f>
        <v>rg:{ 'id' : '200002'}</v>
      </c>
      <c r="D67">
        <f t="shared" ref="D67:D71" si="14">IF(ISNUMBER(D66),D66+1,200000)</f>
        <v>200065</v>
      </c>
      <c r="E67" t="s">
        <v>2954</v>
      </c>
      <c r="F67" t="str">
        <f>VLOOKUP(E67,ServiceAreas.csv!C:J,8,FALSE)</f>
        <v>200005</v>
      </c>
      <c r="G67" t="str">
        <f t="shared" si="13"/>
        <v>rg:{ 'id': '200005'}</v>
      </c>
      <c r="I67" t="str">
        <f t="shared" ref="I67:I78" si="15">H67&amp;B67&amp;"-"&amp;E67</f>
        <v>Bulldozer-Thompson-Nicola</v>
      </c>
      <c r="J67" t="str">
        <f t="shared" ref="J67:J78" si="16">B67&amp;"-"&amp;F67</f>
        <v>Bulldozer-200005</v>
      </c>
      <c r="K67">
        <f t="shared" ref="K67:K78" si="17">D67</f>
        <v>200065</v>
      </c>
    </row>
    <row r="68" spans="1:11" x14ac:dyDescent="0.3">
      <c r="A68" t="s">
        <v>7872</v>
      </c>
      <c r="B68" t="s">
        <v>5641</v>
      </c>
      <c r="C68" t="str">
        <f>"rg:{ 'id' : '"&amp;VLOOKUP(B68,EquipmentTypes.csv!C:K,9,FALSE)&amp;"'}"</f>
        <v>rg:{ 'id' : '200003'}</v>
      </c>
      <c r="D68">
        <f t="shared" si="14"/>
        <v>200066</v>
      </c>
      <c r="E68" t="s">
        <v>2954</v>
      </c>
      <c r="F68" t="str">
        <f>VLOOKUP(E68,ServiceAreas.csv!C:J,8,FALSE)</f>
        <v>200005</v>
      </c>
      <c r="G68" t="str">
        <f t="shared" si="13"/>
        <v>rg:{ 'id': '200005'}</v>
      </c>
      <c r="I68" t="str">
        <f t="shared" si="15"/>
        <v>Cement Truck-Thompson-Nicola</v>
      </c>
      <c r="J68" t="str">
        <f t="shared" si="16"/>
        <v>Cement Truck-200005</v>
      </c>
      <c r="K68">
        <f t="shared" si="17"/>
        <v>200066</v>
      </c>
    </row>
    <row r="69" spans="1:11" x14ac:dyDescent="0.3">
      <c r="A69" t="s">
        <v>7872</v>
      </c>
      <c r="B69" t="s">
        <v>5642</v>
      </c>
      <c r="C69" t="str">
        <f>"rg:{ 'id' : '"&amp;VLOOKUP(B69,EquipmentTypes.csv!C:K,9,FALSE)&amp;"'}"</f>
        <v>rg:{ 'id' : '200004'}</v>
      </c>
      <c r="D69">
        <f t="shared" si="14"/>
        <v>200067</v>
      </c>
      <c r="E69" t="s">
        <v>2954</v>
      </c>
      <c r="F69" t="str">
        <f>VLOOKUP(E69,ServiceAreas.csv!C:J,8,FALSE)</f>
        <v>200005</v>
      </c>
      <c r="G69" t="str">
        <f t="shared" si="13"/>
        <v>rg:{ 'id': '200005'}</v>
      </c>
      <c r="I69" t="str">
        <f t="shared" si="15"/>
        <v>Flat Deck-Thompson-Nicola</v>
      </c>
      <c r="J69" t="str">
        <f t="shared" si="16"/>
        <v>Flat Deck-200005</v>
      </c>
      <c r="K69">
        <f t="shared" si="17"/>
        <v>200067</v>
      </c>
    </row>
    <row r="70" spans="1:11" x14ac:dyDescent="0.3">
      <c r="A70" t="s">
        <v>7872</v>
      </c>
      <c r="B70" t="s">
        <v>5643</v>
      </c>
      <c r="C70" t="str">
        <f>"rg:{ 'id' : '"&amp;VLOOKUP(B70,EquipmentTypes.csv!C:K,9,FALSE)&amp;"'}"</f>
        <v>rg:{ 'id' : '200005'}</v>
      </c>
      <c r="D70">
        <f t="shared" si="14"/>
        <v>200068</v>
      </c>
      <c r="E70" t="s">
        <v>2954</v>
      </c>
      <c r="F70" t="str">
        <f>VLOOKUP(E70,ServiceAreas.csv!C:J,8,FALSE)</f>
        <v>200005</v>
      </c>
      <c r="G70" t="str">
        <f t="shared" si="13"/>
        <v>rg:{ 'id': '200005'}</v>
      </c>
      <c r="I70" t="str">
        <f t="shared" si="15"/>
        <v>Logging Truck-Thompson-Nicola</v>
      </c>
      <c r="J70" t="str">
        <f t="shared" si="16"/>
        <v>Logging Truck-200005</v>
      </c>
      <c r="K70">
        <f t="shared" si="17"/>
        <v>200068</v>
      </c>
    </row>
    <row r="71" spans="1:11" x14ac:dyDescent="0.3">
      <c r="A71" t="s">
        <v>7872</v>
      </c>
      <c r="B71" t="s">
        <v>5651</v>
      </c>
      <c r="C71" t="str">
        <f>"rg:{ 'id' : '"&amp;VLOOKUP(B71,EquipmentTypes.csv!C:K,9,FALSE)&amp;"'}"</f>
        <v>rg:{ 'id' : '200006'}</v>
      </c>
      <c r="D71">
        <f t="shared" si="14"/>
        <v>200069</v>
      </c>
      <c r="E71" t="s">
        <v>2954</v>
      </c>
      <c r="F71" t="str">
        <f>VLOOKUP(E71,ServiceAreas.csv!C:J,8,FALSE)</f>
        <v>200005</v>
      </c>
      <c r="G71" t="str">
        <f>"rg:{ 'id': '"&amp;F71&amp;"'}"</f>
        <v>rg:{ 'id': '200005'}</v>
      </c>
      <c r="I71" t="str">
        <f t="shared" si="15"/>
        <v>Dump Truck-Thompson-Nicola</v>
      </c>
      <c r="J71" t="str">
        <f t="shared" si="16"/>
        <v>Dump Truck-200005</v>
      </c>
      <c r="K71">
        <f t="shared" si="17"/>
        <v>200069</v>
      </c>
    </row>
    <row r="72" spans="1:11" x14ac:dyDescent="0.3">
      <c r="A72" t="s">
        <v>7872</v>
      </c>
      <c r="B72" t="s">
        <v>5536</v>
      </c>
      <c r="C72" t="str">
        <f>"rg:{ 'id' : '"&amp;VLOOKUP(B72,EquipmentTypes.csv!C:K,9,FALSE)&amp;"'}"</f>
        <v>rg:{ 'id' : '200000'}</v>
      </c>
      <c r="D72">
        <f>IF(ISNUMBER(D71),D71+1,200000)</f>
        <v>200070</v>
      </c>
      <c r="E72" t="s">
        <v>2957</v>
      </c>
      <c r="F72" t="str">
        <f>VLOOKUP(E72,ServiceAreas.csv!C:J,8,FALSE)</f>
        <v>200009</v>
      </c>
      <c r="G72" t="str">
        <f>"rg:{ 'id': '"&amp;F72&amp;"'}"</f>
        <v>rg:{ 'id': '200009'}</v>
      </c>
      <c r="H72" t="s">
        <v>7876</v>
      </c>
      <c r="I72" t="str">
        <f t="shared" si="15"/>
        <v>Large-Excavator-Bulkley-Stikine</v>
      </c>
      <c r="J72" t="str">
        <f t="shared" si="16"/>
        <v>Excavator-200009</v>
      </c>
      <c r="K72">
        <f t="shared" si="17"/>
        <v>200070</v>
      </c>
    </row>
    <row r="73" spans="1:11" x14ac:dyDescent="0.3">
      <c r="A73" t="s">
        <v>7872</v>
      </c>
      <c r="B73" t="s">
        <v>5637</v>
      </c>
      <c r="C73" t="str">
        <f>"rg:{ 'id' : '"&amp;VLOOKUP(B73,EquipmentTypes.csv!C:K,9,FALSE)&amp;"'}"</f>
        <v>rg:{ 'id' : '200001'}</v>
      </c>
      <c r="D73">
        <f t="shared" ref="D73:D78" si="18">IF(ISNUMBER(D72),D72+1,200000)</f>
        <v>200071</v>
      </c>
      <c r="E73" t="s">
        <v>2957</v>
      </c>
      <c r="F73" t="str">
        <f>VLOOKUP(E73,ServiceAreas.csv!C:J,8,FALSE)</f>
        <v>200009</v>
      </c>
      <c r="G73" t="str">
        <f t="shared" ref="G73:G77" si="19">"rg:{ 'id': '"&amp;F73&amp;"'}"</f>
        <v>rg:{ 'id': '200009'}</v>
      </c>
      <c r="H73" t="s">
        <v>7876</v>
      </c>
      <c r="I73" t="str">
        <f t="shared" si="15"/>
        <v>Large-Grader-Bulkley-Stikine</v>
      </c>
      <c r="J73" t="str">
        <f t="shared" si="16"/>
        <v>Grader-200009</v>
      </c>
      <c r="K73">
        <f t="shared" si="17"/>
        <v>200071</v>
      </c>
    </row>
    <row r="74" spans="1:11" x14ac:dyDescent="0.3">
      <c r="A74" t="s">
        <v>7872</v>
      </c>
      <c r="B74" t="s">
        <v>5640</v>
      </c>
      <c r="C74" t="str">
        <f>"rg:{ 'id' : '"&amp;VLOOKUP(B74,EquipmentTypes.csv!C:K,9,FALSE)&amp;"'}"</f>
        <v>rg:{ 'id' : '200002'}</v>
      </c>
      <c r="D74">
        <f t="shared" si="18"/>
        <v>200072</v>
      </c>
      <c r="E74" t="s">
        <v>2957</v>
      </c>
      <c r="F74" t="str">
        <f>VLOOKUP(E74,ServiceAreas.csv!C:J,8,FALSE)</f>
        <v>200009</v>
      </c>
      <c r="G74" t="str">
        <f t="shared" si="19"/>
        <v>rg:{ 'id': '200009'}</v>
      </c>
      <c r="H74" t="s">
        <v>7876</v>
      </c>
      <c r="I74" t="str">
        <f t="shared" si="15"/>
        <v>Large-Bulldozer-Bulkley-Stikine</v>
      </c>
      <c r="J74" t="str">
        <f t="shared" si="16"/>
        <v>Bulldozer-200009</v>
      </c>
      <c r="K74">
        <f t="shared" si="17"/>
        <v>200072</v>
      </c>
    </row>
    <row r="75" spans="1:11" x14ac:dyDescent="0.3">
      <c r="A75" t="s">
        <v>7872</v>
      </c>
      <c r="B75" t="s">
        <v>5641</v>
      </c>
      <c r="C75" t="str">
        <f>"rg:{ 'id' : '"&amp;VLOOKUP(B75,EquipmentTypes.csv!C:K,9,FALSE)&amp;"'}"</f>
        <v>rg:{ 'id' : '200003'}</v>
      </c>
      <c r="D75">
        <f t="shared" si="18"/>
        <v>200073</v>
      </c>
      <c r="E75" t="s">
        <v>2957</v>
      </c>
      <c r="F75" t="str">
        <f>VLOOKUP(E75,ServiceAreas.csv!C:J,8,FALSE)</f>
        <v>200009</v>
      </c>
      <c r="G75" t="str">
        <f t="shared" si="19"/>
        <v>rg:{ 'id': '200009'}</v>
      </c>
      <c r="H75" t="s">
        <v>7876</v>
      </c>
      <c r="I75" t="str">
        <f t="shared" si="15"/>
        <v>Large-Cement Truck-Bulkley-Stikine</v>
      </c>
      <c r="J75" t="str">
        <f t="shared" si="16"/>
        <v>Cement Truck-200009</v>
      </c>
      <c r="K75">
        <f t="shared" si="17"/>
        <v>200073</v>
      </c>
    </row>
    <row r="76" spans="1:11" x14ac:dyDescent="0.3">
      <c r="A76" t="s">
        <v>7872</v>
      </c>
      <c r="B76" t="s">
        <v>5642</v>
      </c>
      <c r="C76" t="str">
        <f>"rg:{ 'id' : '"&amp;VLOOKUP(B76,EquipmentTypes.csv!C:K,9,FALSE)&amp;"'}"</f>
        <v>rg:{ 'id' : '200004'}</v>
      </c>
      <c r="D76">
        <f t="shared" si="18"/>
        <v>200074</v>
      </c>
      <c r="E76" t="s">
        <v>2957</v>
      </c>
      <c r="F76" t="str">
        <f>VLOOKUP(E76,ServiceAreas.csv!C:J,8,FALSE)</f>
        <v>200009</v>
      </c>
      <c r="G76" t="str">
        <f t="shared" si="19"/>
        <v>rg:{ 'id': '200009'}</v>
      </c>
      <c r="H76" t="s">
        <v>7876</v>
      </c>
      <c r="I76" t="str">
        <f t="shared" si="15"/>
        <v>Large-Flat Deck-Bulkley-Stikine</v>
      </c>
      <c r="J76" t="str">
        <f t="shared" si="16"/>
        <v>Flat Deck-200009</v>
      </c>
      <c r="K76">
        <f t="shared" si="17"/>
        <v>200074</v>
      </c>
    </row>
    <row r="77" spans="1:11" x14ac:dyDescent="0.3">
      <c r="A77" t="s">
        <v>7872</v>
      </c>
      <c r="B77" t="s">
        <v>5643</v>
      </c>
      <c r="C77" t="str">
        <f>"rg:{ 'id' : '"&amp;VLOOKUP(B77,EquipmentTypes.csv!C:K,9,FALSE)&amp;"'}"</f>
        <v>rg:{ 'id' : '200005'}</v>
      </c>
      <c r="D77">
        <f t="shared" si="18"/>
        <v>200075</v>
      </c>
      <c r="E77" t="s">
        <v>2957</v>
      </c>
      <c r="F77" t="str">
        <f>VLOOKUP(E77,ServiceAreas.csv!C:J,8,FALSE)</f>
        <v>200009</v>
      </c>
      <c r="G77" t="str">
        <f t="shared" si="19"/>
        <v>rg:{ 'id': '200009'}</v>
      </c>
      <c r="H77" t="s">
        <v>7876</v>
      </c>
      <c r="I77" t="str">
        <f t="shared" si="15"/>
        <v>Large-Logging Truck-Bulkley-Stikine</v>
      </c>
      <c r="J77" t="str">
        <f t="shared" si="16"/>
        <v>Logging Truck-200009</v>
      </c>
      <c r="K77">
        <f t="shared" si="17"/>
        <v>200075</v>
      </c>
    </row>
    <row r="78" spans="1:11" x14ac:dyDescent="0.3">
      <c r="A78" t="s">
        <v>7872</v>
      </c>
      <c r="B78" t="s">
        <v>5651</v>
      </c>
      <c r="C78" t="str">
        <f>"rg:{ 'id' : '"&amp;VLOOKUP(B78,EquipmentTypes.csv!C:K,9,FALSE)&amp;"'}"</f>
        <v>rg:{ 'id' : '200006'}</v>
      </c>
      <c r="D78">
        <f t="shared" si="18"/>
        <v>200076</v>
      </c>
      <c r="E78" t="s">
        <v>2957</v>
      </c>
      <c r="F78" t="str">
        <f>VLOOKUP(E78,ServiceAreas.csv!C:J,8,FALSE)</f>
        <v>200009</v>
      </c>
      <c r="G78" t="str">
        <f>"rg:{ 'id': '"&amp;F78&amp;"'}"</f>
        <v>rg:{ 'id': '200009'}</v>
      </c>
      <c r="H78" t="s">
        <v>7876</v>
      </c>
      <c r="I78" t="str">
        <f t="shared" si="15"/>
        <v>Large-Dump Truck-Bulkley-Stikine</v>
      </c>
      <c r="J78" t="str">
        <f t="shared" si="16"/>
        <v>Dump Truck-200009</v>
      </c>
      <c r="K78">
        <f t="shared" si="17"/>
        <v>200076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99"/>
  <sheetViews>
    <sheetView topLeftCell="I159" workbookViewId="0">
      <selection activeCell="W2" sqref="W2:W199"/>
    </sheetView>
  </sheetViews>
  <sheetFormatPr defaultRowHeight="14.4" x14ac:dyDescent="0.3"/>
  <cols>
    <col min="6" max="6" width="16.33203125" customWidth="1"/>
    <col min="7" max="7" width="68.6640625" bestFit="1" customWidth="1"/>
    <col min="8" max="8" width="19.33203125" bestFit="1" customWidth="1"/>
    <col min="9" max="9" width="17.88671875" bestFit="1" customWidth="1"/>
    <col min="10" max="11" width="9.109375" customWidth="1"/>
    <col min="12" max="12" width="14.33203125" customWidth="1"/>
    <col min="13" max="28" width="9.109375" customWidth="1"/>
    <col min="29" max="29" width="16.33203125" customWidth="1"/>
  </cols>
  <sheetData>
    <row r="1" spans="1:32" x14ac:dyDescent="0.3">
      <c r="A1" t="s">
        <v>7</v>
      </c>
      <c r="B1" s="5" t="s">
        <v>6453</v>
      </c>
      <c r="C1" s="5" t="s">
        <v>6452</v>
      </c>
      <c r="D1" s="5" t="s">
        <v>6451</v>
      </c>
      <c r="E1" s="5" t="s">
        <v>6450</v>
      </c>
      <c r="F1" s="5" t="s">
        <v>6449</v>
      </c>
      <c r="G1" s="5" t="s">
        <v>6448</v>
      </c>
      <c r="H1" s="5" t="s">
        <v>6447</v>
      </c>
      <c r="I1" s="5" t="s">
        <v>6446</v>
      </c>
      <c r="J1" s="5" t="s">
        <v>6445</v>
      </c>
      <c r="K1" s="5" t="s">
        <v>6444</v>
      </c>
      <c r="L1" s="5" t="s">
        <v>6443</v>
      </c>
      <c r="M1" s="5" t="s">
        <v>5379</v>
      </c>
      <c r="N1" s="5" t="s">
        <v>281</v>
      </c>
      <c r="O1" s="5" t="s">
        <v>77</v>
      </c>
      <c r="P1" s="5" t="s">
        <v>6442</v>
      </c>
      <c r="Q1" s="5" t="s">
        <v>6441</v>
      </c>
      <c r="R1" s="5" t="s">
        <v>6440</v>
      </c>
      <c r="S1" s="5" t="s">
        <v>6439</v>
      </c>
      <c r="T1" s="5" t="s">
        <v>6438</v>
      </c>
      <c r="U1" s="5" t="s">
        <v>6437</v>
      </c>
      <c r="V1" s="5" t="s">
        <v>6436</v>
      </c>
      <c r="W1" s="5" t="s">
        <v>6435</v>
      </c>
      <c r="X1" s="5" t="s">
        <v>6434</v>
      </c>
      <c r="Y1" s="5" t="s">
        <v>2983</v>
      </c>
      <c r="Z1" s="5" t="s">
        <v>6433</v>
      </c>
      <c r="AA1" s="5" t="s">
        <v>0</v>
      </c>
      <c r="AB1" s="5" t="s">
        <v>6432</v>
      </c>
      <c r="AC1" s="5" t="s">
        <v>56</v>
      </c>
      <c r="AD1" t="s">
        <v>6660</v>
      </c>
      <c r="AE1" t="s">
        <v>6497</v>
      </c>
      <c r="AF1" s="5" t="s">
        <v>6446</v>
      </c>
    </row>
    <row r="2" spans="1:32" x14ac:dyDescent="0.3">
      <c r="A2" t="str">
        <f>Y2</f>
        <v>Western Auto</v>
      </c>
      <c r="B2">
        <v>401</v>
      </c>
      <c r="C2" t="s">
        <v>6376</v>
      </c>
      <c r="D2" t="s">
        <v>6423</v>
      </c>
      <c r="E2" t="s">
        <v>6422</v>
      </c>
      <c r="F2" t="s">
        <v>5495</v>
      </c>
      <c r="G2" t="s">
        <v>5496</v>
      </c>
      <c r="H2">
        <v>7.3</v>
      </c>
      <c r="I2" t="s">
        <v>6431</v>
      </c>
      <c r="J2">
        <v>10.038</v>
      </c>
      <c r="K2" t="s">
        <v>326</v>
      </c>
      <c r="L2" t="s">
        <v>6430</v>
      </c>
      <c r="M2">
        <v>302.47000000000003</v>
      </c>
      <c r="N2" t="s">
        <v>6429</v>
      </c>
      <c r="O2" t="s">
        <v>6428</v>
      </c>
      <c r="P2" t="s">
        <v>329</v>
      </c>
      <c r="Q2">
        <v>2002</v>
      </c>
      <c r="R2">
        <v>0</v>
      </c>
      <c r="S2">
        <v>0</v>
      </c>
      <c r="T2">
        <v>0</v>
      </c>
      <c r="U2">
        <v>4</v>
      </c>
      <c r="V2" t="s">
        <v>329</v>
      </c>
      <c r="W2" t="s">
        <v>5689</v>
      </c>
      <c r="X2">
        <v>0</v>
      </c>
      <c r="Y2" t="s">
        <v>4641</v>
      </c>
      <c r="Z2" t="s">
        <v>4631</v>
      </c>
      <c r="AA2" t="s">
        <v>15</v>
      </c>
      <c r="AB2" t="s">
        <v>4632</v>
      </c>
      <c r="AC2" t="s">
        <v>4636</v>
      </c>
      <c r="AD2" t="str">
        <f>LEFT(I2,FIND(4,I2)-1)</f>
        <v>SUPE</v>
      </c>
      <c r="AE2" t="s">
        <v>6542</v>
      </c>
      <c r="AF2" t="s">
        <v>6431</v>
      </c>
    </row>
    <row r="3" spans="1:32" x14ac:dyDescent="0.3">
      <c r="A3" t="str">
        <f t="shared" ref="A3:A66" si="0">Y3</f>
        <v>Parts America</v>
      </c>
      <c r="B3">
        <v>401</v>
      </c>
      <c r="C3" t="s">
        <v>6376</v>
      </c>
      <c r="D3" t="s">
        <v>6423</v>
      </c>
      <c r="E3" t="s">
        <v>6422</v>
      </c>
      <c r="F3" t="s">
        <v>6427</v>
      </c>
      <c r="G3" t="s">
        <v>5519</v>
      </c>
      <c r="H3">
        <v>7.3</v>
      </c>
      <c r="I3" t="s">
        <v>6426</v>
      </c>
      <c r="J3">
        <v>13.055</v>
      </c>
      <c r="K3" t="s">
        <v>326</v>
      </c>
      <c r="L3" t="s">
        <v>5699</v>
      </c>
      <c r="M3">
        <v>427.15</v>
      </c>
      <c r="N3" t="s">
        <v>5717</v>
      </c>
      <c r="O3" t="s">
        <v>6425</v>
      </c>
      <c r="P3" t="s">
        <v>329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3137</v>
      </c>
      <c r="W3" t="s">
        <v>326</v>
      </c>
      <c r="X3">
        <v>1</v>
      </c>
      <c r="Y3" t="s">
        <v>3683</v>
      </c>
      <c r="Z3" t="s">
        <v>3673</v>
      </c>
      <c r="AA3" t="s">
        <v>19</v>
      </c>
      <c r="AB3" t="s">
        <v>3674</v>
      </c>
      <c r="AC3" t="s">
        <v>3678</v>
      </c>
      <c r="AD3" t="str">
        <f>LEFT(I3,FIND(1,I3)-1)</f>
        <v>GTEX</v>
      </c>
      <c r="AE3" t="s">
        <v>6543</v>
      </c>
      <c r="AF3" t="s">
        <v>6426</v>
      </c>
    </row>
    <row r="4" spans="1:32" x14ac:dyDescent="0.3">
      <c r="A4" t="str">
        <f t="shared" si="0"/>
        <v>Allied Radio</v>
      </c>
      <c r="B4">
        <v>401</v>
      </c>
      <c r="C4" t="s">
        <v>6376</v>
      </c>
      <c r="D4" t="s">
        <v>6423</v>
      </c>
      <c r="E4" t="s">
        <v>6422</v>
      </c>
      <c r="F4" t="s">
        <v>5691</v>
      </c>
      <c r="G4" t="s">
        <v>6390</v>
      </c>
      <c r="H4">
        <v>16.100000000000001</v>
      </c>
      <c r="I4" t="s">
        <v>6424</v>
      </c>
      <c r="J4">
        <v>33</v>
      </c>
      <c r="K4" t="s">
        <v>326</v>
      </c>
      <c r="L4" t="s">
        <v>5699</v>
      </c>
      <c r="M4">
        <v>1984.5</v>
      </c>
      <c r="N4" t="s">
        <v>5720</v>
      </c>
      <c r="O4" t="s">
        <v>5706</v>
      </c>
      <c r="P4" t="s">
        <v>329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3137</v>
      </c>
      <c r="W4" t="s">
        <v>326</v>
      </c>
      <c r="X4">
        <v>1</v>
      </c>
      <c r="Y4" t="s">
        <v>4245</v>
      </c>
      <c r="Z4" t="s">
        <v>4234</v>
      </c>
      <c r="AA4" t="s">
        <v>4235</v>
      </c>
      <c r="AB4" t="s">
        <v>4236</v>
      </c>
      <c r="AC4" t="s">
        <v>4240</v>
      </c>
      <c r="AD4" t="str">
        <f>LEFT(I4,FIND(0,I4)-1)</f>
        <v>MOTH</v>
      </c>
      <c r="AE4" t="s">
        <v>6544</v>
      </c>
      <c r="AF4" t="s">
        <v>6424</v>
      </c>
    </row>
    <row r="5" spans="1:32" x14ac:dyDescent="0.3">
      <c r="A5" t="str">
        <f t="shared" si="0"/>
        <v>The Wiz</v>
      </c>
      <c r="B5">
        <v>401</v>
      </c>
      <c r="C5" t="s">
        <v>6376</v>
      </c>
      <c r="D5" t="s">
        <v>6423</v>
      </c>
      <c r="E5" t="s">
        <v>6422</v>
      </c>
      <c r="F5" t="s">
        <v>5787</v>
      </c>
      <c r="G5" t="s">
        <v>5625</v>
      </c>
      <c r="H5">
        <v>10.199999999999999</v>
      </c>
      <c r="I5" t="s">
        <v>6421</v>
      </c>
      <c r="J5">
        <v>4.2709999999999999</v>
      </c>
      <c r="K5" t="s">
        <v>326</v>
      </c>
      <c r="L5" t="s">
        <v>6420</v>
      </c>
      <c r="M5">
        <v>129.46299999999999</v>
      </c>
      <c r="N5" t="s">
        <v>6419</v>
      </c>
      <c r="O5" t="s">
        <v>6418</v>
      </c>
      <c r="P5" t="s">
        <v>329</v>
      </c>
      <c r="Q5">
        <v>2008</v>
      </c>
      <c r="R5">
        <v>0</v>
      </c>
      <c r="S5">
        <v>0</v>
      </c>
      <c r="T5">
        <v>0</v>
      </c>
      <c r="U5">
        <v>4</v>
      </c>
      <c r="V5" t="s">
        <v>329</v>
      </c>
      <c r="W5" t="s">
        <v>326</v>
      </c>
      <c r="X5">
        <v>0</v>
      </c>
      <c r="Y5" t="s">
        <v>3995</v>
      </c>
      <c r="Z5" t="s">
        <v>3985</v>
      </c>
      <c r="AA5" t="s">
        <v>3349</v>
      </c>
      <c r="AB5" t="s">
        <v>3986</v>
      </c>
      <c r="AC5" t="s">
        <v>3990</v>
      </c>
      <c r="AD5" t="str">
        <f>LEFT(I5,FIND(4,I5)-1)</f>
        <v>KATO</v>
      </c>
      <c r="AE5" t="s">
        <v>6545</v>
      </c>
      <c r="AF5" t="s">
        <v>6421</v>
      </c>
    </row>
    <row r="6" spans="1:32" x14ac:dyDescent="0.3">
      <c r="A6" t="str">
        <f t="shared" si="0"/>
        <v>Suadela Investment</v>
      </c>
      <c r="B6">
        <v>401</v>
      </c>
      <c r="C6" t="s">
        <v>6376</v>
      </c>
      <c r="D6" t="s">
        <v>6407</v>
      </c>
      <c r="E6" t="s">
        <v>6406</v>
      </c>
      <c r="F6" t="s">
        <v>5539</v>
      </c>
      <c r="G6" t="s">
        <v>5540</v>
      </c>
      <c r="H6">
        <v>7.2</v>
      </c>
      <c r="I6" t="s">
        <v>6417</v>
      </c>
      <c r="J6">
        <v>36</v>
      </c>
      <c r="K6" t="s">
        <v>326</v>
      </c>
      <c r="L6" t="s">
        <v>5699</v>
      </c>
      <c r="M6">
        <v>1085.3330000000001</v>
      </c>
      <c r="N6" t="s">
        <v>5729</v>
      </c>
      <c r="O6" t="s">
        <v>5714</v>
      </c>
      <c r="P6" t="s">
        <v>329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3137</v>
      </c>
      <c r="W6" t="s">
        <v>326</v>
      </c>
      <c r="X6">
        <v>1</v>
      </c>
      <c r="Y6" t="s">
        <v>4852</v>
      </c>
      <c r="Z6" t="s">
        <v>4842</v>
      </c>
      <c r="AA6" t="s">
        <v>50</v>
      </c>
      <c r="AB6" t="s">
        <v>4843</v>
      </c>
      <c r="AC6" t="s">
        <v>4847</v>
      </c>
      <c r="AD6" t="str">
        <f>LEFT(I6,FIND(0,I6)-1)</f>
        <v>WINT</v>
      </c>
      <c r="AE6" t="s">
        <v>6546</v>
      </c>
      <c r="AF6" t="s">
        <v>6417</v>
      </c>
    </row>
    <row r="7" spans="1:32" x14ac:dyDescent="0.3">
      <c r="A7" t="str">
        <f t="shared" si="0"/>
        <v>Garden Guru</v>
      </c>
      <c r="B7">
        <v>401</v>
      </c>
      <c r="C7" t="s">
        <v>6376</v>
      </c>
      <c r="D7" t="s">
        <v>6407</v>
      </c>
      <c r="E7" t="s">
        <v>6406</v>
      </c>
      <c r="F7" t="s">
        <v>6412</v>
      </c>
      <c r="G7" t="s">
        <v>5544</v>
      </c>
      <c r="H7">
        <v>17.399999999999999</v>
      </c>
      <c r="I7" t="s">
        <v>6416</v>
      </c>
      <c r="J7">
        <v>6.0490000000000004</v>
      </c>
      <c r="K7" t="s">
        <v>326</v>
      </c>
      <c r="L7" t="s">
        <v>6415</v>
      </c>
      <c r="M7">
        <v>218.47</v>
      </c>
      <c r="N7" t="s">
        <v>6414</v>
      </c>
      <c r="O7" t="s">
        <v>6413</v>
      </c>
      <c r="P7" t="s">
        <v>329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3137</v>
      </c>
      <c r="W7" t="s">
        <v>326</v>
      </c>
      <c r="X7">
        <v>1</v>
      </c>
      <c r="Y7" t="s">
        <v>4292</v>
      </c>
      <c r="Z7" t="s">
        <v>4281</v>
      </c>
      <c r="AA7" t="s">
        <v>4282</v>
      </c>
      <c r="AB7" t="s">
        <v>4283</v>
      </c>
      <c r="AC7" t="s">
        <v>4287</v>
      </c>
      <c r="AD7" t="str">
        <f t="shared" ref="AD7:AD13" si="1">LEFT(I7,FIND(4,I7)-1)</f>
        <v>SICK</v>
      </c>
      <c r="AE7" t="s">
        <v>6547</v>
      </c>
      <c r="AF7" t="s">
        <v>6416</v>
      </c>
    </row>
    <row r="8" spans="1:32" x14ac:dyDescent="0.3">
      <c r="A8" t="str">
        <f t="shared" si="0"/>
        <v>Garden Guru</v>
      </c>
      <c r="B8">
        <v>401</v>
      </c>
      <c r="C8" t="s">
        <v>6376</v>
      </c>
      <c r="D8" t="s">
        <v>6407</v>
      </c>
      <c r="E8" t="s">
        <v>6406</v>
      </c>
      <c r="F8" t="s">
        <v>6412</v>
      </c>
      <c r="G8" t="s">
        <v>5544</v>
      </c>
      <c r="H8">
        <v>17.399999999999999</v>
      </c>
      <c r="I8" t="s">
        <v>6411</v>
      </c>
      <c r="J8">
        <v>2.3530000000000002</v>
      </c>
      <c r="K8" t="s">
        <v>326</v>
      </c>
      <c r="L8" t="s">
        <v>6410</v>
      </c>
      <c r="M8">
        <v>126.75700000000001</v>
      </c>
      <c r="N8" t="s">
        <v>6409</v>
      </c>
      <c r="O8" t="s">
        <v>6408</v>
      </c>
      <c r="P8" t="s">
        <v>329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3137</v>
      </c>
      <c r="W8" t="s">
        <v>326</v>
      </c>
      <c r="X8">
        <v>3</v>
      </c>
      <c r="Y8" t="s">
        <v>4292</v>
      </c>
      <c r="Z8" t="s">
        <v>4281</v>
      </c>
      <c r="AA8" t="s">
        <v>4282</v>
      </c>
      <c r="AB8" t="s">
        <v>4283</v>
      </c>
      <c r="AC8" t="s">
        <v>4287</v>
      </c>
      <c r="AD8" t="str">
        <f t="shared" si="1"/>
        <v>SICK</v>
      </c>
      <c r="AE8" t="s">
        <v>6547</v>
      </c>
      <c r="AF8" t="s">
        <v>6411</v>
      </c>
    </row>
    <row r="9" spans="1:32" x14ac:dyDescent="0.3">
      <c r="A9" t="str">
        <f t="shared" si="0"/>
        <v>Red Fox Tavern</v>
      </c>
      <c r="B9">
        <v>401</v>
      </c>
      <c r="C9" t="s">
        <v>6376</v>
      </c>
      <c r="D9" t="s">
        <v>6407</v>
      </c>
      <c r="E9" t="s">
        <v>6406</v>
      </c>
      <c r="F9" t="s">
        <v>5786</v>
      </c>
      <c r="G9" t="s">
        <v>5627</v>
      </c>
      <c r="H9">
        <v>15.2</v>
      </c>
      <c r="I9" t="s">
        <v>6405</v>
      </c>
      <c r="J9">
        <v>7.0819999999999999</v>
      </c>
      <c r="K9" t="s">
        <v>326</v>
      </c>
      <c r="L9" t="s">
        <v>5715</v>
      </c>
      <c r="M9">
        <v>212.46</v>
      </c>
      <c r="N9" t="s">
        <v>5744</v>
      </c>
      <c r="O9" t="s">
        <v>6404</v>
      </c>
      <c r="P9" t="s">
        <v>329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329</v>
      </c>
      <c r="W9" t="s">
        <v>326</v>
      </c>
      <c r="X9">
        <v>0</v>
      </c>
      <c r="Y9" t="s">
        <v>4115</v>
      </c>
      <c r="Z9" t="s">
        <v>4107</v>
      </c>
      <c r="AA9" t="s">
        <v>19</v>
      </c>
      <c r="AB9" t="s">
        <v>3970</v>
      </c>
      <c r="AC9" t="s">
        <v>4111</v>
      </c>
      <c r="AD9" t="str">
        <f t="shared" si="1"/>
        <v>child</v>
      </c>
      <c r="AE9" t="s">
        <v>6548</v>
      </c>
      <c r="AF9" t="s">
        <v>6405</v>
      </c>
    </row>
    <row r="10" spans="1:32" x14ac:dyDescent="0.3">
      <c r="A10" t="str">
        <f t="shared" si="0"/>
        <v>Showbiz Pizza Place</v>
      </c>
      <c r="B10">
        <v>401</v>
      </c>
      <c r="C10" t="s">
        <v>6376</v>
      </c>
      <c r="D10" t="s">
        <v>6403</v>
      </c>
      <c r="E10" t="s">
        <v>6402</v>
      </c>
      <c r="F10" t="s">
        <v>6401</v>
      </c>
      <c r="G10" t="s">
        <v>5538</v>
      </c>
      <c r="H10">
        <v>7.1</v>
      </c>
      <c r="I10" t="s">
        <v>6400</v>
      </c>
      <c r="J10">
        <v>7.8769999999999998</v>
      </c>
      <c r="K10" t="s">
        <v>326</v>
      </c>
      <c r="L10" t="s">
        <v>6399</v>
      </c>
      <c r="M10">
        <v>244.31</v>
      </c>
      <c r="N10" t="s">
        <v>6398</v>
      </c>
      <c r="O10" t="s">
        <v>6397</v>
      </c>
      <c r="P10" t="s">
        <v>329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3137</v>
      </c>
      <c r="W10" t="s">
        <v>326</v>
      </c>
      <c r="X10">
        <v>1</v>
      </c>
      <c r="Y10" t="s">
        <v>4228</v>
      </c>
      <c r="Z10" t="s">
        <v>4219</v>
      </c>
      <c r="AA10" t="s">
        <v>3245</v>
      </c>
      <c r="AB10" t="s">
        <v>3246</v>
      </c>
      <c r="AC10" t="s">
        <v>4223</v>
      </c>
      <c r="AD10" t="str">
        <f t="shared" si="1"/>
        <v>MCGR</v>
      </c>
      <c r="AE10" t="s">
        <v>6549</v>
      </c>
      <c r="AF10" t="s">
        <v>6400</v>
      </c>
    </row>
    <row r="11" spans="1:32" x14ac:dyDescent="0.3">
      <c r="A11" t="str">
        <f t="shared" si="0"/>
        <v>Success Is Yours</v>
      </c>
      <c r="B11">
        <v>401</v>
      </c>
      <c r="C11" t="s">
        <v>6376</v>
      </c>
      <c r="D11" t="s">
        <v>6392</v>
      </c>
      <c r="E11" t="s">
        <v>6391</v>
      </c>
      <c r="F11" t="s">
        <v>5728</v>
      </c>
      <c r="G11" t="s">
        <v>5463</v>
      </c>
      <c r="H11">
        <v>15.1</v>
      </c>
      <c r="I11" t="s">
        <v>6396</v>
      </c>
      <c r="J11">
        <v>16.068000000000001</v>
      </c>
      <c r="K11" t="s">
        <v>326</v>
      </c>
      <c r="L11" t="s">
        <v>5699</v>
      </c>
      <c r="M11">
        <v>488.54</v>
      </c>
      <c r="N11" t="s">
        <v>5764</v>
      </c>
      <c r="O11" t="s">
        <v>6395</v>
      </c>
      <c r="P11" t="s">
        <v>329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3137</v>
      </c>
      <c r="W11" t="s">
        <v>326</v>
      </c>
      <c r="X11">
        <v>1</v>
      </c>
      <c r="Y11" t="s">
        <v>3505</v>
      </c>
      <c r="Z11" t="s">
        <v>3494</v>
      </c>
      <c r="AA11" t="s">
        <v>3495</v>
      </c>
      <c r="AB11" t="s">
        <v>3496</v>
      </c>
      <c r="AC11" t="s">
        <v>3500</v>
      </c>
      <c r="AD11" t="str">
        <f t="shared" si="1"/>
        <v>MANN</v>
      </c>
      <c r="AE11" t="s">
        <v>6550</v>
      </c>
      <c r="AF11" t="s">
        <v>6396</v>
      </c>
    </row>
    <row r="12" spans="1:32" x14ac:dyDescent="0.3">
      <c r="A12" t="str">
        <f t="shared" si="0"/>
        <v>Success Is Yours</v>
      </c>
      <c r="B12">
        <v>401</v>
      </c>
      <c r="C12" t="s">
        <v>6376</v>
      </c>
      <c r="D12" t="s">
        <v>6392</v>
      </c>
      <c r="E12" t="s">
        <v>6391</v>
      </c>
      <c r="F12" t="s">
        <v>5691</v>
      </c>
      <c r="G12" t="s">
        <v>6390</v>
      </c>
      <c r="H12">
        <v>16.100000000000001</v>
      </c>
      <c r="I12" t="s">
        <v>6394</v>
      </c>
      <c r="J12">
        <v>2.3370000000000002</v>
      </c>
      <c r="K12" t="s">
        <v>326</v>
      </c>
      <c r="L12" t="s">
        <v>6388</v>
      </c>
      <c r="M12">
        <v>188.47</v>
      </c>
      <c r="N12" t="s">
        <v>5732</v>
      </c>
      <c r="O12" t="s">
        <v>6393</v>
      </c>
      <c r="P12" t="s">
        <v>329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3137</v>
      </c>
      <c r="W12" t="s">
        <v>326</v>
      </c>
      <c r="X12">
        <v>3</v>
      </c>
      <c r="Y12" t="s">
        <v>3505</v>
      </c>
      <c r="Z12" t="s">
        <v>3494</v>
      </c>
      <c r="AA12" t="s">
        <v>3495</v>
      </c>
      <c r="AB12" t="s">
        <v>3496</v>
      </c>
      <c r="AC12" t="s">
        <v>3500</v>
      </c>
      <c r="AD12" t="str">
        <f t="shared" si="1"/>
        <v>MANN</v>
      </c>
      <c r="AE12" t="s">
        <v>6550</v>
      </c>
      <c r="AF12" t="s">
        <v>6394</v>
      </c>
    </row>
    <row r="13" spans="1:32" x14ac:dyDescent="0.3">
      <c r="A13" t="str">
        <f t="shared" si="0"/>
        <v>Success Is Yours</v>
      </c>
      <c r="B13">
        <v>401</v>
      </c>
      <c r="C13" t="s">
        <v>6376</v>
      </c>
      <c r="D13" t="s">
        <v>6392</v>
      </c>
      <c r="E13" t="s">
        <v>6391</v>
      </c>
      <c r="F13" t="s">
        <v>5691</v>
      </c>
      <c r="G13" t="s">
        <v>6390</v>
      </c>
      <c r="H13">
        <v>16.100000000000001</v>
      </c>
      <c r="I13" t="s">
        <v>6389</v>
      </c>
      <c r="J13">
        <v>2.3370000000000002</v>
      </c>
      <c r="K13" t="s">
        <v>326</v>
      </c>
      <c r="L13" t="s">
        <v>6388</v>
      </c>
      <c r="M13">
        <v>186.97</v>
      </c>
      <c r="N13" t="s">
        <v>6387</v>
      </c>
      <c r="O13" t="s">
        <v>6386</v>
      </c>
      <c r="P13" t="s">
        <v>329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3137</v>
      </c>
      <c r="W13" t="s">
        <v>326</v>
      </c>
      <c r="X13">
        <v>3</v>
      </c>
      <c r="Y13" t="s">
        <v>3505</v>
      </c>
      <c r="Z13" t="s">
        <v>3494</v>
      </c>
      <c r="AA13" t="s">
        <v>3495</v>
      </c>
      <c r="AB13" t="s">
        <v>3496</v>
      </c>
      <c r="AC13" t="s">
        <v>3500</v>
      </c>
      <c r="AD13" t="str">
        <f t="shared" si="1"/>
        <v>MANN</v>
      </c>
      <c r="AE13" t="s">
        <v>6550</v>
      </c>
      <c r="AF13" t="s">
        <v>6389</v>
      </c>
    </row>
    <row r="14" spans="1:32" x14ac:dyDescent="0.3">
      <c r="A14" t="str">
        <f t="shared" si="0"/>
        <v>McDuff</v>
      </c>
      <c r="B14">
        <v>401</v>
      </c>
      <c r="C14" t="s">
        <v>6376</v>
      </c>
      <c r="D14" t="s">
        <v>6375</v>
      </c>
      <c r="E14" t="s">
        <v>6374</v>
      </c>
      <c r="F14" t="s">
        <v>5728</v>
      </c>
      <c r="G14" t="s">
        <v>5463</v>
      </c>
      <c r="H14">
        <v>15.1</v>
      </c>
      <c r="I14" t="s">
        <v>6385</v>
      </c>
      <c r="J14">
        <v>7.4660000000000002</v>
      </c>
      <c r="K14" t="s">
        <v>326</v>
      </c>
      <c r="L14" t="s">
        <v>6384</v>
      </c>
      <c r="M14">
        <v>233.98</v>
      </c>
      <c r="N14" t="s">
        <v>5746</v>
      </c>
      <c r="O14" t="s">
        <v>5790</v>
      </c>
      <c r="P14" t="s">
        <v>329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329</v>
      </c>
      <c r="W14" t="s">
        <v>326</v>
      </c>
      <c r="X14">
        <v>0</v>
      </c>
      <c r="Y14" t="s">
        <v>3094</v>
      </c>
      <c r="Z14" t="s">
        <v>3083</v>
      </c>
      <c r="AA14" t="s">
        <v>3084</v>
      </c>
      <c r="AB14" t="s">
        <v>3085</v>
      </c>
      <c r="AC14" t="s">
        <v>3089</v>
      </c>
      <c r="AD14" t="str">
        <f>LEFT(I14,FIND(0,I14)-1)</f>
        <v>AGGRE</v>
      </c>
      <c r="AE14" t="s">
        <v>6551</v>
      </c>
      <c r="AF14" t="s">
        <v>6385</v>
      </c>
    </row>
    <row r="15" spans="1:32" x14ac:dyDescent="0.3">
      <c r="A15" t="str">
        <f t="shared" si="0"/>
        <v>Monsource</v>
      </c>
      <c r="B15">
        <v>401</v>
      </c>
      <c r="C15" t="s">
        <v>6376</v>
      </c>
      <c r="D15" t="s">
        <v>6375</v>
      </c>
      <c r="E15" t="s">
        <v>6374</v>
      </c>
      <c r="F15" t="s">
        <v>6383</v>
      </c>
      <c r="G15" t="s">
        <v>5524</v>
      </c>
      <c r="H15">
        <v>7.3</v>
      </c>
      <c r="I15" t="s">
        <v>6382</v>
      </c>
      <c r="J15">
        <v>12</v>
      </c>
      <c r="K15" t="s">
        <v>326</v>
      </c>
      <c r="L15" t="s">
        <v>5699</v>
      </c>
      <c r="M15">
        <v>364</v>
      </c>
      <c r="N15" t="s">
        <v>5717</v>
      </c>
      <c r="O15" t="s">
        <v>6381</v>
      </c>
      <c r="P15" t="s">
        <v>329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3137</v>
      </c>
      <c r="W15" t="s">
        <v>326</v>
      </c>
      <c r="X15">
        <v>1</v>
      </c>
      <c r="Y15" t="s">
        <v>4583</v>
      </c>
      <c r="Z15" t="s">
        <v>4574</v>
      </c>
      <c r="AA15" t="s">
        <v>19</v>
      </c>
      <c r="AB15" t="s">
        <v>41</v>
      </c>
      <c r="AC15" t="s">
        <v>4578</v>
      </c>
      <c r="AD15" t="str">
        <f t="shared" ref="AD15:AD43" si="2">IF(ISERR(LEFT(I15,FIND("-",I15)-1)),LEFT(I15,FIND(" ",I15)-1),LEFT(I15,FIND("-",I15)-1))</f>
        <v>SOOK</v>
      </c>
      <c r="AE15" t="s">
        <v>6552</v>
      </c>
      <c r="AF15" t="s">
        <v>6382</v>
      </c>
    </row>
    <row r="16" spans="1:32" x14ac:dyDescent="0.3">
      <c r="A16" t="str">
        <f t="shared" si="0"/>
        <v>P. Samuels Men's Clothiers</v>
      </c>
      <c r="B16">
        <v>401</v>
      </c>
      <c r="C16" t="s">
        <v>6376</v>
      </c>
      <c r="D16" t="s">
        <v>6375</v>
      </c>
      <c r="E16" t="s">
        <v>6374</v>
      </c>
      <c r="F16" t="s">
        <v>6380</v>
      </c>
      <c r="G16" t="s">
        <v>5530</v>
      </c>
      <c r="H16">
        <v>7.3</v>
      </c>
      <c r="I16" t="s">
        <v>6379</v>
      </c>
      <c r="J16">
        <v>10.978</v>
      </c>
      <c r="K16" t="s">
        <v>326</v>
      </c>
      <c r="L16" t="s">
        <v>6378</v>
      </c>
      <c r="M16">
        <v>431.00700000000001</v>
      </c>
      <c r="N16" t="s">
        <v>5722</v>
      </c>
      <c r="O16" t="s">
        <v>6377</v>
      </c>
      <c r="P16" t="s">
        <v>329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3137</v>
      </c>
      <c r="W16" t="s">
        <v>326</v>
      </c>
      <c r="X16">
        <v>1</v>
      </c>
      <c r="Y16" t="s">
        <v>4415</v>
      </c>
      <c r="Z16" t="s">
        <v>4406</v>
      </c>
      <c r="AA16" t="s">
        <v>19</v>
      </c>
      <c r="AB16" t="s">
        <v>3845</v>
      </c>
      <c r="AC16" t="s">
        <v>4410</v>
      </c>
      <c r="AD16" t="str">
        <f>LEFT(I16,FIND(4,I16)-1)</f>
        <v>RGEX</v>
      </c>
      <c r="AE16" t="s">
        <v>6553</v>
      </c>
      <c r="AF16" t="s">
        <v>6379</v>
      </c>
    </row>
    <row r="17" spans="1:32" x14ac:dyDescent="0.3">
      <c r="A17" t="str">
        <f t="shared" si="0"/>
        <v>Harold's</v>
      </c>
      <c r="B17">
        <v>401</v>
      </c>
      <c r="C17" t="s">
        <v>6376</v>
      </c>
      <c r="D17" t="s">
        <v>6375</v>
      </c>
      <c r="E17" t="s">
        <v>6374</v>
      </c>
      <c r="F17" t="s">
        <v>5774</v>
      </c>
      <c r="G17" t="s">
        <v>6373</v>
      </c>
      <c r="H17">
        <v>16.2</v>
      </c>
      <c r="I17" t="s">
        <v>6372</v>
      </c>
      <c r="J17">
        <v>10</v>
      </c>
      <c r="K17" t="s">
        <v>326</v>
      </c>
      <c r="L17" t="s">
        <v>5800</v>
      </c>
      <c r="M17">
        <v>308.16699999999997</v>
      </c>
      <c r="N17" t="s">
        <v>6371</v>
      </c>
      <c r="O17" t="s">
        <v>5761</v>
      </c>
      <c r="P17" t="s">
        <v>329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3137</v>
      </c>
      <c r="W17" t="s">
        <v>326</v>
      </c>
      <c r="X17">
        <v>1</v>
      </c>
      <c r="Y17" t="s">
        <v>3255</v>
      </c>
      <c r="Z17" t="s">
        <v>3244</v>
      </c>
      <c r="AA17" t="s">
        <v>3245</v>
      </c>
      <c r="AB17" t="s">
        <v>3246</v>
      </c>
      <c r="AC17" t="s">
        <v>3250</v>
      </c>
      <c r="AD17" t="str">
        <f>LEFT(I17,FIND(4,I17)-1)</f>
        <v>BERT</v>
      </c>
      <c r="AE17" t="s">
        <v>6554</v>
      </c>
      <c r="AF17" t="s">
        <v>6372</v>
      </c>
    </row>
    <row r="18" spans="1:32" x14ac:dyDescent="0.3">
      <c r="A18" t="str">
        <f t="shared" si="0"/>
        <v>Stratacard</v>
      </c>
      <c r="B18">
        <v>402</v>
      </c>
      <c r="C18" t="s">
        <v>6279</v>
      </c>
      <c r="D18" t="s">
        <v>6343</v>
      </c>
      <c r="E18" t="s">
        <v>6342</v>
      </c>
      <c r="F18">
        <v>11.1</v>
      </c>
      <c r="G18" t="s">
        <v>6336</v>
      </c>
      <c r="H18">
        <v>11.1</v>
      </c>
      <c r="I18" t="s">
        <v>6370</v>
      </c>
      <c r="J18">
        <v>30</v>
      </c>
      <c r="K18" t="s">
        <v>326</v>
      </c>
      <c r="L18" t="s">
        <v>5699</v>
      </c>
      <c r="M18">
        <v>902.66700000000003</v>
      </c>
      <c r="N18" t="s">
        <v>6369</v>
      </c>
      <c r="O18" t="s">
        <v>6368</v>
      </c>
      <c r="P18" t="s">
        <v>3655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3137</v>
      </c>
      <c r="W18" t="s">
        <v>326</v>
      </c>
      <c r="X18">
        <v>1</v>
      </c>
      <c r="Y18" t="s">
        <v>3522</v>
      </c>
      <c r="Z18" t="s">
        <v>3512</v>
      </c>
      <c r="AA18" t="s">
        <v>19</v>
      </c>
      <c r="AB18" t="s">
        <v>3513</v>
      </c>
      <c r="AC18" t="s">
        <v>3517</v>
      </c>
      <c r="AD18" t="str">
        <f t="shared" si="2"/>
        <v>HIGH</v>
      </c>
      <c r="AE18" t="s">
        <v>6555</v>
      </c>
      <c r="AF18" t="s">
        <v>6370</v>
      </c>
    </row>
    <row r="19" spans="1:32" x14ac:dyDescent="0.3">
      <c r="A19" t="str">
        <f t="shared" si="0"/>
        <v>Chase Pitkin</v>
      </c>
      <c r="B19">
        <v>402</v>
      </c>
      <c r="C19" t="s">
        <v>6279</v>
      </c>
      <c r="D19" t="s">
        <v>6343</v>
      </c>
      <c r="E19" t="s">
        <v>6342</v>
      </c>
      <c r="F19">
        <v>13.3</v>
      </c>
      <c r="G19" t="s">
        <v>6367</v>
      </c>
      <c r="H19">
        <v>13.3</v>
      </c>
      <c r="I19" t="s">
        <v>6366</v>
      </c>
      <c r="J19">
        <v>28</v>
      </c>
      <c r="K19" t="s">
        <v>326</v>
      </c>
      <c r="L19" t="s">
        <v>5699</v>
      </c>
      <c r="M19">
        <v>842.66700000000003</v>
      </c>
      <c r="N19" t="s">
        <v>6365</v>
      </c>
      <c r="O19" t="s">
        <v>6364</v>
      </c>
      <c r="P19" t="s">
        <v>3655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3137</v>
      </c>
      <c r="W19" t="s">
        <v>326</v>
      </c>
      <c r="X19">
        <v>1</v>
      </c>
      <c r="Y19" t="s">
        <v>4158</v>
      </c>
      <c r="Z19" t="s">
        <v>4150</v>
      </c>
      <c r="AA19" t="s">
        <v>48</v>
      </c>
      <c r="AB19" t="s">
        <v>3786</v>
      </c>
      <c r="AC19" t="s">
        <v>4154</v>
      </c>
      <c r="AD19" t="str">
        <f t="shared" si="2"/>
        <v>HUBC</v>
      </c>
      <c r="AE19" t="s">
        <v>6556</v>
      </c>
      <c r="AF19" t="s">
        <v>6366</v>
      </c>
    </row>
    <row r="20" spans="1:32" x14ac:dyDescent="0.3">
      <c r="A20" t="str">
        <f t="shared" si="0"/>
        <v>Auto Palace</v>
      </c>
      <c r="B20">
        <v>402</v>
      </c>
      <c r="C20" t="s">
        <v>6279</v>
      </c>
      <c r="D20" t="s">
        <v>6343</v>
      </c>
      <c r="E20" t="s">
        <v>6342</v>
      </c>
      <c r="F20">
        <v>15.6</v>
      </c>
      <c r="G20" t="s">
        <v>6333</v>
      </c>
      <c r="H20">
        <v>15.6</v>
      </c>
      <c r="I20" t="s">
        <v>6363</v>
      </c>
      <c r="J20">
        <v>27</v>
      </c>
      <c r="K20" t="s">
        <v>326</v>
      </c>
      <c r="L20" t="s">
        <v>5699</v>
      </c>
      <c r="M20">
        <v>812.66700000000003</v>
      </c>
      <c r="N20" t="s">
        <v>6362</v>
      </c>
      <c r="O20" t="s">
        <v>6360</v>
      </c>
      <c r="P20" t="s">
        <v>3655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3137</v>
      </c>
      <c r="W20" t="s">
        <v>326</v>
      </c>
      <c r="X20">
        <v>1</v>
      </c>
      <c r="Y20" t="s">
        <v>4039</v>
      </c>
      <c r="Z20" t="s">
        <v>4029</v>
      </c>
      <c r="AA20" t="s">
        <v>4030</v>
      </c>
      <c r="AB20" t="s">
        <v>3350</v>
      </c>
      <c r="AC20" t="s">
        <v>4034</v>
      </c>
      <c r="AD20" t="str">
        <f t="shared" si="2"/>
        <v>KENS</v>
      </c>
      <c r="AE20" t="s">
        <v>6557</v>
      </c>
      <c r="AF20" t="s">
        <v>6363</v>
      </c>
    </row>
    <row r="21" spans="1:32" x14ac:dyDescent="0.3">
      <c r="A21" t="str">
        <f t="shared" si="0"/>
        <v>Universo Realtors</v>
      </c>
      <c r="B21">
        <v>402</v>
      </c>
      <c r="C21" t="s">
        <v>6279</v>
      </c>
      <c r="D21" t="s">
        <v>6343</v>
      </c>
      <c r="E21" t="s">
        <v>6342</v>
      </c>
      <c r="F21">
        <v>15.6</v>
      </c>
      <c r="G21" t="s">
        <v>6333</v>
      </c>
      <c r="H21">
        <v>15.6</v>
      </c>
      <c r="I21" t="s">
        <v>6361</v>
      </c>
      <c r="J21">
        <v>26</v>
      </c>
      <c r="K21" t="s">
        <v>326</v>
      </c>
      <c r="L21" t="s">
        <v>5699</v>
      </c>
      <c r="M21">
        <v>782.66700000000003</v>
      </c>
      <c r="N21" t="s">
        <v>6331</v>
      </c>
      <c r="O21" t="s">
        <v>6360</v>
      </c>
      <c r="P21" t="s">
        <v>3655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3137</v>
      </c>
      <c r="W21" t="s">
        <v>326</v>
      </c>
      <c r="X21">
        <v>1</v>
      </c>
      <c r="Y21" t="s">
        <v>3440</v>
      </c>
      <c r="Z21" t="s">
        <v>3430</v>
      </c>
      <c r="AA21" t="s">
        <v>3431</v>
      </c>
      <c r="AB21" t="s">
        <v>3432</v>
      </c>
      <c r="AC21" t="s">
        <v>3436</v>
      </c>
      <c r="AD21" t="str">
        <f t="shared" si="2"/>
        <v>PEFF</v>
      </c>
      <c r="AE21" t="s">
        <v>6558</v>
      </c>
      <c r="AF21" t="s">
        <v>6361</v>
      </c>
    </row>
    <row r="22" spans="1:32" x14ac:dyDescent="0.3">
      <c r="A22" t="str">
        <f t="shared" si="0"/>
        <v>Asian Junction</v>
      </c>
      <c r="B22">
        <v>402</v>
      </c>
      <c r="C22" t="s">
        <v>6279</v>
      </c>
      <c r="D22" t="s">
        <v>6343</v>
      </c>
      <c r="E22" t="s">
        <v>6342</v>
      </c>
      <c r="F22">
        <v>16.100000000000001</v>
      </c>
      <c r="G22" t="s">
        <v>5807</v>
      </c>
      <c r="H22">
        <v>16.100000000000001</v>
      </c>
      <c r="I22" t="s">
        <v>6359</v>
      </c>
      <c r="J22">
        <v>24</v>
      </c>
      <c r="K22" t="s">
        <v>326</v>
      </c>
      <c r="L22" t="s">
        <v>5699</v>
      </c>
      <c r="M22">
        <v>1442.6669999999999</v>
      </c>
      <c r="N22" t="s">
        <v>6358</v>
      </c>
      <c r="O22" t="s">
        <v>6357</v>
      </c>
      <c r="P22" t="s">
        <v>3655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3137</v>
      </c>
      <c r="W22" t="s">
        <v>326</v>
      </c>
      <c r="X22">
        <v>1</v>
      </c>
      <c r="Y22" t="s">
        <v>3037</v>
      </c>
      <c r="Z22" t="s">
        <v>3625</v>
      </c>
      <c r="AA22" t="s">
        <v>19</v>
      </c>
      <c r="AB22" t="s">
        <v>41</v>
      </c>
      <c r="AC22" t="s">
        <v>3629</v>
      </c>
      <c r="AD22" t="str">
        <f t="shared" si="2"/>
        <v>GYON</v>
      </c>
      <c r="AE22" t="s">
        <v>6559</v>
      </c>
      <c r="AF22" t="s">
        <v>6359</v>
      </c>
    </row>
    <row r="23" spans="1:32" x14ac:dyDescent="0.3">
      <c r="A23" t="str">
        <f t="shared" si="0"/>
        <v>Chase Pitkin</v>
      </c>
      <c r="B23">
        <v>402</v>
      </c>
      <c r="C23" t="s">
        <v>6279</v>
      </c>
      <c r="D23" t="s">
        <v>6343</v>
      </c>
      <c r="E23" t="s">
        <v>6342</v>
      </c>
      <c r="F23">
        <v>16.100000000000001</v>
      </c>
      <c r="G23" t="s">
        <v>5807</v>
      </c>
      <c r="H23">
        <v>16.100000000000001</v>
      </c>
      <c r="I23" t="s">
        <v>6356</v>
      </c>
      <c r="J23">
        <v>26</v>
      </c>
      <c r="K23" t="s">
        <v>326</v>
      </c>
      <c r="L23" t="s">
        <v>5699</v>
      </c>
      <c r="M23">
        <v>1583.4169999999999</v>
      </c>
      <c r="N23" t="s">
        <v>6355</v>
      </c>
      <c r="O23" t="s">
        <v>6354</v>
      </c>
      <c r="P23" t="s">
        <v>3655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3137</v>
      </c>
      <c r="W23" t="s">
        <v>326</v>
      </c>
      <c r="X23">
        <v>1</v>
      </c>
      <c r="Y23" t="s">
        <v>4158</v>
      </c>
      <c r="Z23" t="s">
        <v>4150</v>
      </c>
      <c r="AA23" t="s">
        <v>48</v>
      </c>
      <c r="AB23" t="s">
        <v>3786</v>
      </c>
      <c r="AC23" t="s">
        <v>4154</v>
      </c>
      <c r="AD23" t="str">
        <f t="shared" si="2"/>
        <v>HUBC</v>
      </c>
      <c r="AE23" t="s">
        <v>6556</v>
      </c>
      <c r="AF23" t="s">
        <v>6356</v>
      </c>
    </row>
    <row r="24" spans="1:32" x14ac:dyDescent="0.3">
      <c r="A24" t="str">
        <f t="shared" si="0"/>
        <v>Chase Pitkin</v>
      </c>
      <c r="B24">
        <v>402</v>
      </c>
      <c r="C24" t="s">
        <v>6279</v>
      </c>
      <c r="D24" t="s">
        <v>6343</v>
      </c>
      <c r="E24" t="s">
        <v>6342</v>
      </c>
      <c r="F24">
        <v>2.5</v>
      </c>
      <c r="G24" t="s">
        <v>6353</v>
      </c>
      <c r="H24">
        <v>2.5</v>
      </c>
      <c r="I24" t="s">
        <v>6352</v>
      </c>
      <c r="J24">
        <v>16.082000000000001</v>
      </c>
      <c r="K24" t="s">
        <v>326</v>
      </c>
      <c r="L24" t="s">
        <v>5699</v>
      </c>
      <c r="M24">
        <v>489.79300000000001</v>
      </c>
      <c r="N24" t="s">
        <v>6351</v>
      </c>
      <c r="O24" t="s">
        <v>6350</v>
      </c>
      <c r="P24" t="s">
        <v>3655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3137</v>
      </c>
      <c r="W24" t="s">
        <v>326</v>
      </c>
      <c r="X24">
        <v>1</v>
      </c>
      <c r="Y24" t="s">
        <v>4158</v>
      </c>
      <c r="Z24" t="s">
        <v>4150</v>
      </c>
      <c r="AA24" t="s">
        <v>48</v>
      </c>
      <c r="AB24" t="s">
        <v>3786</v>
      </c>
      <c r="AC24" t="s">
        <v>4154</v>
      </c>
      <c r="AD24" t="str">
        <f t="shared" si="2"/>
        <v>HUBC</v>
      </c>
      <c r="AE24" t="s">
        <v>6556</v>
      </c>
      <c r="AF24" t="s">
        <v>6352</v>
      </c>
    </row>
    <row r="25" spans="1:32" x14ac:dyDescent="0.3">
      <c r="A25" t="str">
        <f t="shared" si="0"/>
        <v>Magik Grey</v>
      </c>
      <c r="B25">
        <v>402</v>
      </c>
      <c r="C25" t="s">
        <v>6279</v>
      </c>
      <c r="D25" t="s">
        <v>6343</v>
      </c>
      <c r="E25" t="s">
        <v>6342</v>
      </c>
      <c r="F25" t="s">
        <v>6318</v>
      </c>
      <c r="G25" t="s">
        <v>6317</v>
      </c>
      <c r="H25">
        <v>7.3</v>
      </c>
      <c r="I25" t="s">
        <v>6349</v>
      </c>
      <c r="J25">
        <v>26</v>
      </c>
      <c r="K25" t="s">
        <v>326</v>
      </c>
      <c r="L25" t="s">
        <v>5699</v>
      </c>
      <c r="M25">
        <v>804</v>
      </c>
      <c r="N25" t="s">
        <v>6348</v>
      </c>
      <c r="O25" t="s">
        <v>6347</v>
      </c>
      <c r="P25" t="s">
        <v>329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329</v>
      </c>
      <c r="W25" t="s">
        <v>5689</v>
      </c>
      <c r="X25">
        <v>0</v>
      </c>
      <c r="Y25" t="s">
        <v>3359</v>
      </c>
      <c r="Z25" t="s">
        <v>3348</v>
      </c>
      <c r="AA25" t="s">
        <v>3349</v>
      </c>
      <c r="AB25" t="s">
        <v>3350</v>
      </c>
      <c r="AC25" t="s">
        <v>3354</v>
      </c>
      <c r="AD25" t="str">
        <f t="shared" si="2"/>
        <v>COPC</v>
      </c>
      <c r="AE25" t="s">
        <v>6560</v>
      </c>
      <c r="AF25" t="s">
        <v>6349</v>
      </c>
    </row>
    <row r="26" spans="1:32" x14ac:dyDescent="0.3">
      <c r="A26" t="str">
        <f t="shared" si="0"/>
        <v>Magik Grey</v>
      </c>
      <c r="B26">
        <v>402</v>
      </c>
      <c r="C26" t="s">
        <v>6279</v>
      </c>
      <c r="D26" t="s">
        <v>6343</v>
      </c>
      <c r="E26" t="s">
        <v>6342</v>
      </c>
      <c r="F26" t="s">
        <v>6276</v>
      </c>
      <c r="G26" t="s">
        <v>6275</v>
      </c>
      <c r="H26">
        <v>7.3</v>
      </c>
      <c r="I26" t="s">
        <v>6346</v>
      </c>
      <c r="J26">
        <v>33</v>
      </c>
      <c r="K26" t="s">
        <v>326</v>
      </c>
      <c r="L26" t="s">
        <v>5699</v>
      </c>
      <c r="M26">
        <v>1005.83</v>
      </c>
      <c r="N26" t="s">
        <v>6345</v>
      </c>
      <c r="O26" t="s">
        <v>6344</v>
      </c>
      <c r="P26" t="s">
        <v>329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329</v>
      </c>
      <c r="W26" t="s">
        <v>5689</v>
      </c>
      <c r="X26">
        <v>0</v>
      </c>
      <c r="Y26" t="s">
        <v>3359</v>
      </c>
      <c r="Z26" t="s">
        <v>3348</v>
      </c>
      <c r="AA26" t="s">
        <v>3349</v>
      </c>
      <c r="AB26" t="s">
        <v>3350</v>
      </c>
      <c r="AC26" t="s">
        <v>3354</v>
      </c>
      <c r="AD26" t="str">
        <f t="shared" si="2"/>
        <v>COPC</v>
      </c>
      <c r="AE26" t="s">
        <v>6560</v>
      </c>
      <c r="AF26" t="s">
        <v>6346</v>
      </c>
    </row>
    <row r="27" spans="1:32" x14ac:dyDescent="0.3">
      <c r="A27" t="str">
        <f t="shared" si="0"/>
        <v>Chase Pitkin</v>
      </c>
      <c r="B27">
        <v>402</v>
      </c>
      <c r="C27" t="s">
        <v>6279</v>
      </c>
      <c r="D27" t="s">
        <v>6343</v>
      </c>
      <c r="E27" t="s">
        <v>6342</v>
      </c>
      <c r="F27" t="s">
        <v>6341</v>
      </c>
      <c r="G27" t="s">
        <v>6340</v>
      </c>
      <c r="H27">
        <v>8.1</v>
      </c>
      <c r="I27" t="s">
        <v>6339</v>
      </c>
      <c r="J27">
        <v>15.129</v>
      </c>
      <c r="K27" t="s">
        <v>326</v>
      </c>
      <c r="L27" t="s">
        <v>5699</v>
      </c>
      <c r="M27">
        <v>457.20299999999997</v>
      </c>
      <c r="N27" t="s">
        <v>6338</v>
      </c>
      <c r="O27" t="s">
        <v>6337</v>
      </c>
      <c r="P27" t="s">
        <v>3655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3137</v>
      </c>
      <c r="W27" t="s">
        <v>326</v>
      </c>
      <c r="X27">
        <v>1</v>
      </c>
      <c r="Y27" t="s">
        <v>4158</v>
      </c>
      <c r="Z27" t="s">
        <v>4150</v>
      </c>
      <c r="AA27" t="s">
        <v>48</v>
      </c>
      <c r="AB27" t="s">
        <v>3786</v>
      </c>
      <c r="AC27" t="s">
        <v>4154</v>
      </c>
      <c r="AD27" t="str">
        <f t="shared" si="2"/>
        <v>HUBC</v>
      </c>
      <c r="AE27" t="s">
        <v>6556</v>
      </c>
      <c r="AF27" t="s">
        <v>6339</v>
      </c>
    </row>
    <row r="28" spans="1:32" x14ac:dyDescent="0.3">
      <c r="A28" t="str">
        <f t="shared" si="0"/>
        <v>Henry's Hamburgers</v>
      </c>
      <c r="B28">
        <v>402</v>
      </c>
      <c r="C28" t="s">
        <v>6279</v>
      </c>
      <c r="D28" t="s">
        <v>6313</v>
      </c>
      <c r="E28" t="s">
        <v>6312</v>
      </c>
      <c r="F28">
        <v>11.1</v>
      </c>
      <c r="G28" t="s">
        <v>6336</v>
      </c>
      <c r="H28">
        <v>11.1</v>
      </c>
      <c r="I28" t="s">
        <v>6335</v>
      </c>
      <c r="J28">
        <v>12.016</v>
      </c>
      <c r="K28" t="s">
        <v>326</v>
      </c>
      <c r="L28" t="s">
        <v>5699</v>
      </c>
      <c r="M28">
        <v>389.48</v>
      </c>
      <c r="N28" t="s">
        <v>6334</v>
      </c>
      <c r="O28" t="s">
        <v>5792</v>
      </c>
      <c r="P28" t="s">
        <v>3655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3137</v>
      </c>
      <c r="W28" t="s">
        <v>326</v>
      </c>
      <c r="X28">
        <v>1</v>
      </c>
      <c r="Y28" t="s">
        <v>3168</v>
      </c>
      <c r="Z28" t="s">
        <v>3158</v>
      </c>
      <c r="AA28" t="s">
        <v>19</v>
      </c>
      <c r="AB28" t="s">
        <v>41</v>
      </c>
      <c r="AC28" t="s">
        <v>3162</v>
      </c>
      <c r="AD28" t="str">
        <f t="shared" si="2"/>
        <v>ASPL</v>
      </c>
      <c r="AE28" t="s">
        <v>6561</v>
      </c>
      <c r="AF28" t="s">
        <v>6335</v>
      </c>
    </row>
    <row r="29" spans="1:32" x14ac:dyDescent="0.3">
      <c r="A29" t="str">
        <f t="shared" si="0"/>
        <v>Childrens Bargain Town</v>
      </c>
      <c r="B29">
        <v>402</v>
      </c>
      <c r="C29" t="s">
        <v>6279</v>
      </c>
      <c r="D29" t="s">
        <v>6313</v>
      </c>
      <c r="E29" t="s">
        <v>6312</v>
      </c>
      <c r="F29">
        <v>15.6</v>
      </c>
      <c r="G29" t="s">
        <v>6333</v>
      </c>
      <c r="H29">
        <v>15.6</v>
      </c>
      <c r="I29" t="s">
        <v>6332</v>
      </c>
      <c r="J29">
        <v>22</v>
      </c>
      <c r="K29" t="s">
        <v>326</v>
      </c>
      <c r="L29" t="s">
        <v>5699</v>
      </c>
      <c r="M29">
        <v>706.08</v>
      </c>
      <c r="N29" t="s">
        <v>6331</v>
      </c>
      <c r="O29" t="s">
        <v>6330</v>
      </c>
      <c r="P29" t="s">
        <v>3655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3137</v>
      </c>
      <c r="W29" t="s">
        <v>326</v>
      </c>
      <c r="X29">
        <v>1</v>
      </c>
      <c r="Y29" t="s">
        <v>4734</v>
      </c>
      <c r="Z29" t="s">
        <v>4723</v>
      </c>
      <c r="AA29" t="s">
        <v>4724</v>
      </c>
      <c r="AB29" t="s">
        <v>4725</v>
      </c>
      <c r="AC29" t="s">
        <v>4729</v>
      </c>
      <c r="AD29" t="str">
        <f t="shared" si="2"/>
        <v>TBCH</v>
      </c>
      <c r="AE29" t="s">
        <v>6562</v>
      </c>
      <c r="AF29" t="s">
        <v>6332</v>
      </c>
    </row>
    <row r="30" spans="1:32" x14ac:dyDescent="0.3">
      <c r="A30" t="str">
        <f t="shared" si="0"/>
        <v>Strategy Consulting</v>
      </c>
      <c r="B30">
        <v>402</v>
      </c>
      <c r="C30" t="s">
        <v>6279</v>
      </c>
      <c r="D30" t="s">
        <v>6313</v>
      </c>
      <c r="E30" t="s">
        <v>6312</v>
      </c>
      <c r="F30">
        <v>16.100000000000001</v>
      </c>
      <c r="G30" t="s">
        <v>5807</v>
      </c>
      <c r="H30">
        <v>16.100000000000001</v>
      </c>
      <c r="I30" t="s">
        <v>6329</v>
      </c>
      <c r="J30">
        <v>31</v>
      </c>
      <c r="K30" t="s">
        <v>326</v>
      </c>
      <c r="L30" t="s">
        <v>5699</v>
      </c>
      <c r="M30">
        <v>1878.3330000000001</v>
      </c>
      <c r="N30" t="s">
        <v>6328</v>
      </c>
      <c r="O30" t="s">
        <v>6286</v>
      </c>
      <c r="P30" t="s">
        <v>329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3137</v>
      </c>
      <c r="W30" t="s">
        <v>326</v>
      </c>
      <c r="X30">
        <v>1</v>
      </c>
      <c r="Y30" t="s">
        <v>4823</v>
      </c>
      <c r="Z30" t="s">
        <v>4815</v>
      </c>
      <c r="AA30" t="s">
        <v>4559</v>
      </c>
      <c r="AB30" t="s">
        <v>4816</v>
      </c>
      <c r="AC30" t="s">
        <v>4820</v>
      </c>
      <c r="AD30" t="str">
        <f t="shared" si="2"/>
        <v>ACKE</v>
      </c>
      <c r="AE30" t="s">
        <v>6563</v>
      </c>
      <c r="AF30" t="s">
        <v>6329</v>
      </c>
    </row>
    <row r="31" spans="1:32" x14ac:dyDescent="0.3">
      <c r="A31" t="str">
        <f t="shared" si="0"/>
        <v>Price Savers</v>
      </c>
      <c r="B31">
        <v>402</v>
      </c>
      <c r="C31" t="s">
        <v>6279</v>
      </c>
      <c r="D31" t="s">
        <v>6313</v>
      </c>
      <c r="E31" t="s">
        <v>6312</v>
      </c>
      <c r="F31">
        <v>16.100000000000001</v>
      </c>
      <c r="G31" t="s">
        <v>5807</v>
      </c>
      <c r="H31">
        <v>16.100000000000001</v>
      </c>
      <c r="I31" t="s">
        <v>6327</v>
      </c>
      <c r="J31">
        <v>35</v>
      </c>
      <c r="K31" t="s">
        <v>326</v>
      </c>
      <c r="L31" t="s">
        <v>5699</v>
      </c>
      <c r="M31">
        <v>2142</v>
      </c>
      <c r="N31" t="s">
        <v>6326</v>
      </c>
      <c r="O31" t="s">
        <v>6286</v>
      </c>
      <c r="P31" t="s">
        <v>3655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3137</v>
      </c>
      <c r="W31" t="s">
        <v>326</v>
      </c>
      <c r="X31">
        <v>1</v>
      </c>
      <c r="Y31" t="s">
        <v>3056</v>
      </c>
      <c r="Z31" t="s">
        <v>3045</v>
      </c>
      <c r="AA31" t="s">
        <v>3046</v>
      </c>
      <c r="AB31" t="s">
        <v>3047</v>
      </c>
      <c r="AC31" t="s">
        <v>3051</v>
      </c>
      <c r="AD31" t="str">
        <f t="shared" si="2"/>
        <v>ARNE</v>
      </c>
      <c r="AE31" t="s">
        <v>6564</v>
      </c>
      <c r="AF31" t="s">
        <v>6327</v>
      </c>
    </row>
    <row r="32" spans="1:32" x14ac:dyDescent="0.3">
      <c r="A32" t="str">
        <f t="shared" si="0"/>
        <v>Grass Roots Yard Services</v>
      </c>
      <c r="B32">
        <v>402</v>
      </c>
      <c r="C32" t="s">
        <v>6279</v>
      </c>
      <c r="D32" t="s">
        <v>6313</v>
      </c>
      <c r="E32" t="s">
        <v>6312</v>
      </c>
      <c r="F32">
        <v>16.100000000000001</v>
      </c>
      <c r="G32" t="s">
        <v>5807</v>
      </c>
      <c r="H32">
        <v>16.100000000000001</v>
      </c>
      <c r="I32" t="s">
        <v>6325</v>
      </c>
      <c r="J32">
        <v>28</v>
      </c>
      <c r="K32" t="s">
        <v>326</v>
      </c>
      <c r="L32" t="s">
        <v>5699</v>
      </c>
      <c r="M32">
        <v>1686.8330000000001</v>
      </c>
      <c r="N32" t="s">
        <v>6324</v>
      </c>
      <c r="O32" t="s">
        <v>6323</v>
      </c>
      <c r="P32" t="s">
        <v>329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3137</v>
      </c>
      <c r="W32" t="s">
        <v>326</v>
      </c>
      <c r="X32">
        <v>1</v>
      </c>
      <c r="Y32" t="s">
        <v>3325</v>
      </c>
      <c r="Z32" t="s">
        <v>3313</v>
      </c>
      <c r="AA32" t="s">
        <v>3314</v>
      </c>
      <c r="AB32" t="s">
        <v>3315</v>
      </c>
      <c r="AC32" t="s">
        <v>3319</v>
      </c>
      <c r="AD32" t="str">
        <f t="shared" si="2"/>
        <v>CDTR</v>
      </c>
      <c r="AE32" t="s">
        <v>6565</v>
      </c>
      <c r="AF32" t="s">
        <v>6325</v>
      </c>
    </row>
    <row r="33" spans="1:32" x14ac:dyDescent="0.3">
      <c r="A33" t="str">
        <f t="shared" si="0"/>
        <v>Coconut's</v>
      </c>
      <c r="B33">
        <v>402</v>
      </c>
      <c r="C33" t="s">
        <v>6279</v>
      </c>
      <c r="D33" t="s">
        <v>6313</v>
      </c>
      <c r="E33" t="s">
        <v>6312</v>
      </c>
      <c r="F33">
        <v>16.100000000000001</v>
      </c>
      <c r="G33" t="s">
        <v>5807</v>
      </c>
      <c r="H33">
        <v>16.100000000000001</v>
      </c>
      <c r="I33" t="s">
        <v>6322</v>
      </c>
      <c r="J33">
        <v>28</v>
      </c>
      <c r="K33" t="s">
        <v>326</v>
      </c>
      <c r="L33" t="s">
        <v>5699</v>
      </c>
      <c r="M33">
        <v>1690.4169999999999</v>
      </c>
      <c r="N33" t="s">
        <v>6321</v>
      </c>
      <c r="O33" t="s">
        <v>5696</v>
      </c>
      <c r="P33" t="s">
        <v>3655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3137</v>
      </c>
      <c r="W33" t="s">
        <v>326</v>
      </c>
      <c r="X33">
        <v>1</v>
      </c>
      <c r="Y33" t="s">
        <v>3884</v>
      </c>
      <c r="Z33" t="s">
        <v>3876</v>
      </c>
      <c r="AA33" t="s">
        <v>19</v>
      </c>
      <c r="AB33" t="s">
        <v>3845</v>
      </c>
      <c r="AC33" t="s">
        <v>3880</v>
      </c>
      <c r="AD33" t="str">
        <f t="shared" si="2"/>
        <v>HAYL</v>
      </c>
      <c r="AE33" t="s">
        <v>6566</v>
      </c>
      <c r="AF33" t="s">
        <v>6322</v>
      </c>
    </row>
    <row r="34" spans="1:32" x14ac:dyDescent="0.3">
      <c r="A34" t="str">
        <f t="shared" si="0"/>
        <v>Childrens Bargain Town</v>
      </c>
      <c r="B34">
        <v>402</v>
      </c>
      <c r="C34" t="s">
        <v>6279</v>
      </c>
      <c r="D34" t="s">
        <v>6313</v>
      </c>
      <c r="E34" t="s">
        <v>6312</v>
      </c>
      <c r="F34" t="s">
        <v>6318</v>
      </c>
      <c r="G34" t="s">
        <v>6317</v>
      </c>
      <c r="H34">
        <v>7.3</v>
      </c>
      <c r="I34" t="s">
        <v>6320</v>
      </c>
      <c r="J34">
        <v>19.350999999999999</v>
      </c>
      <c r="K34" t="s">
        <v>326</v>
      </c>
      <c r="L34" t="s">
        <v>5699</v>
      </c>
      <c r="M34">
        <v>580.53</v>
      </c>
      <c r="N34" t="s">
        <v>6319</v>
      </c>
      <c r="O34" t="s">
        <v>5739</v>
      </c>
      <c r="P34" t="s">
        <v>3655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3137</v>
      </c>
      <c r="W34" t="s">
        <v>326</v>
      </c>
      <c r="X34">
        <v>1</v>
      </c>
      <c r="Y34" t="s">
        <v>4734</v>
      </c>
      <c r="Z34" t="s">
        <v>4723</v>
      </c>
      <c r="AA34" t="s">
        <v>4724</v>
      </c>
      <c r="AB34" t="s">
        <v>4725</v>
      </c>
      <c r="AC34" t="s">
        <v>4729</v>
      </c>
      <c r="AD34" t="str">
        <f t="shared" si="2"/>
        <v>TBCH</v>
      </c>
      <c r="AE34" t="s">
        <v>6562</v>
      </c>
      <c r="AF34" t="s">
        <v>6320</v>
      </c>
    </row>
    <row r="35" spans="1:32" x14ac:dyDescent="0.3">
      <c r="A35" t="str">
        <f t="shared" si="0"/>
        <v>Childrens Bargain Town</v>
      </c>
      <c r="B35">
        <v>402</v>
      </c>
      <c r="C35" t="s">
        <v>6279</v>
      </c>
      <c r="D35" t="s">
        <v>6313</v>
      </c>
      <c r="E35" t="s">
        <v>6312</v>
      </c>
      <c r="F35" t="s">
        <v>6318</v>
      </c>
      <c r="G35" t="s">
        <v>6317</v>
      </c>
      <c r="H35">
        <v>7.3</v>
      </c>
      <c r="I35" t="s">
        <v>6316</v>
      </c>
      <c r="J35">
        <v>12.007999999999999</v>
      </c>
      <c r="K35" t="s">
        <v>326</v>
      </c>
      <c r="L35" t="s">
        <v>5699</v>
      </c>
      <c r="M35">
        <v>404.57</v>
      </c>
      <c r="N35" t="s">
        <v>5797</v>
      </c>
      <c r="O35" t="s">
        <v>6315</v>
      </c>
      <c r="P35" t="s">
        <v>3655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3137</v>
      </c>
      <c r="W35" t="s">
        <v>326</v>
      </c>
      <c r="X35">
        <v>3</v>
      </c>
      <c r="Y35" t="s">
        <v>4734</v>
      </c>
      <c r="Z35" t="s">
        <v>4723</v>
      </c>
      <c r="AA35" t="s">
        <v>4724</v>
      </c>
      <c r="AB35" t="s">
        <v>4725</v>
      </c>
      <c r="AC35" t="s">
        <v>4729</v>
      </c>
      <c r="AD35" t="str">
        <f t="shared" si="2"/>
        <v>TBCH</v>
      </c>
      <c r="AE35" t="s">
        <v>6562</v>
      </c>
      <c r="AF35" t="s">
        <v>6316</v>
      </c>
    </row>
    <row r="36" spans="1:32" x14ac:dyDescent="0.3">
      <c r="A36" t="str">
        <f t="shared" si="0"/>
        <v>Childrens Bargain Town</v>
      </c>
      <c r="B36">
        <v>402</v>
      </c>
      <c r="C36" t="s">
        <v>6279</v>
      </c>
      <c r="D36" t="s">
        <v>6313</v>
      </c>
      <c r="E36" t="s">
        <v>6312</v>
      </c>
      <c r="F36" t="s">
        <v>6276</v>
      </c>
      <c r="G36" t="s">
        <v>6275</v>
      </c>
      <c r="H36">
        <v>7.3</v>
      </c>
      <c r="I36" t="s">
        <v>6314</v>
      </c>
      <c r="J36">
        <v>19.350999999999999</v>
      </c>
      <c r="K36" t="s">
        <v>326</v>
      </c>
      <c r="L36" t="s">
        <v>5699</v>
      </c>
      <c r="M36">
        <v>608.20000000000005</v>
      </c>
      <c r="N36" t="s">
        <v>6272</v>
      </c>
      <c r="O36" t="s">
        <v>5741</v>
      </c>
      <c r="P36" t="s">
        <v>3655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3137</v>
      </c>
      <c r="W36" t="s">
        <v>326</v>
      </c>
      <c r="X36">
        <v>1</v>
      </c>
      <c r="Y36" t="s">
        <v>4734</v>
      </c>
      <c r="Z36" t="s">
        <v>4723</v>
      </c>
      <c r="AA36" t="s">
        <v>4724</v>
      </c>
      <c r="AB36" t="s">
        <v>4725</v>
      </c>
      <c r="AC36" t="s">
        <v>4729</v>
      </c>
      <c r="AD36" t="str">
        <f t="shared" si="2"/>
        <v>TBCH</v>
      </c>
      <c r="AE36" t="s">
        <v>6562</v>
      </c>
      <c r="AF36" t="s">
        <v>6314</v>
      </c>
    </row>
    <row r="37" spans="1:32" x14ac:dyDescent="0.3">
      <c r="A37" t="str">
        <f t="shared" si="0"/>
        <v>Childrens Bargain Town</v>
      </c>
      <c r="B37">
        <v>402</v>
      </c>
      <c r="C37" t="s">
        <v>6279</v>
      </c>
      <c r="D37" t="s">
        <v>6313</v>
      </c>
      <c r="E37" t="s">
        <v>6312</v>
      </c>
      <c r="F37" t="s">
        <v>6311</v>
      </c>
      <c r="G37" t="s">
        <v>6310</v>
      </c>
      <c r="H37">
        <v>7.3</v>
      </c>
      <c r="I37" t="s">
        <v>6309</v>
      </c>
      <c r="J37">
        <v>7.1529999999999996</v>
      </c>
      <c r="K37" t="s">
        <v>326</v>
      </c>
      <c r="L37" t="s">
        <v>6308</v>
      </c>
      <c r="M37">
        <v>253.42</v>
      </c>
      <c r="N37" t="s">
        <v>5778</v>
      </c>
      <c r="O37" t="s">
        <v>6307</v>
      </c>
      <c r="P37" t="s">
        <v>3655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3137</v>
      </c>
      <c r="W37" t="s">
        <v>326</v>
      </c>
      <c r="X37">
        <v>3</v>
      </c>
      <c r="Y37" t="s">
        <v>4734</v>
      </c>
      <c r="Z37" t="s">
        <v>4723</v>
      </c>
      <c r="AA37" t="s">
        <v>4724</v>
      </c>
      <c r="AB37" t="s">
        <v>4725</v>
      </c>
      <c r="AC37" t="s">
        <v>4729</v>
      </c>
      <c r="AD37" t="str">
        <f>LEFT(I37,FIND(4,I37)-1)</f>
        <v>TBCH</v>
      </c>
      <c r="AE37" t="s">
        <v>6562</v>
      </c>
      <c r="AF37" t="s">
        <v>6309</v>
      </c>
    </row>
    <row r="38" spans="1:32" x14ac:dyDescent="0.3">
      <c r="A38" t="str">
        <f t="shared" si="0"/>
        <v>Muirhead's</v>
      </c>
      <c r="B38">
        <v>402</v>
      </c>
      <c r="C38" t="s">
        <v>6279</v>
      </c>
      <c r="D38" t="s">
        <v>6297</v>
      </c>
      <c r="E38" t="s">
        <v>6296</v>
      </c>
      <c r="F38">
        <v>16.100000000000001</v>
      </c>
      <c r="G38" t="s">
        <v>5807</v>
      </c>
      <c r="H38">
        <v>16.100000000000001</v>
      </c>
      <c r="I38" t="s">
        <v>6306</v>
      </c>
      <c r="J38">
        <v>32</v>
      </c>
      <c r="K38" t="s">
        <v>326</v>
      </c>
      <c r="L38" t="s">
        <v>5699</v>
      </c>
      <c r="M38">
        <v>2010.3330000000001</v>
      </c>
      <c r="N38" t="s">
        <v>6305</v>
      </c>
      <c r="O38" t="s">
        <v>6304</v>
      </c>
      <c r="P38" t="s">
        <v>329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329</v>
      </c>
      <c r="W38" t="s">
        <v>326</v>
      </c>
      <c r="X38">
        <v>0</v>
      </c>
      <c r="Y38" t="s">
        <v>3114</v>
      </c>
      <c r="Z38" t="s">
        <v>3103</v>
      </c>
      <c r="AA38" t="s">
        <v>3104</v>
      </c>
      <c r="AB38" t="s">
        <v>3105</v>
      </c>
      <c r="AC38" t="s">
        <v>3109</v>
      </c>
      <c r="AD38" t="str">
        <f t="shared" si="2"/>
        <v>ALBE</v>
      </c>
      <c r="AE38" t="s">
        <v>6567</v>
      </c>
      <c r="AF38" t="s">
        <v>6306</v>
      </c>
    </row>
    <row r="39" spans="1:32" x14ac:dyDescent="0.3">
      <c r="A39" t="str">
        <f t="shared" si="0"/>
        <v>Circuit Design</v>
      </c>
      <c r="B39">
        <v>402</v>
      </c>
      <c r="C39" t="s">
        <v>6279</v>
      </c>
      <c r="D39" t="s">
        <v>6297</v>
      </c>
      <c r="E39" t="s">
        <v>6296</v>
      </c>
      <c r="F39">
        <v>16.100000000000001</v>
      </c>
      <c r="G39" t="s">
        <v>5807</v>
      </c>
      <c r="H39">
        <v>16.100000000000001</v>
      </c>
      <c r="I39" t="s">
        <v>6303</v>
      </c>
      <c r="J39">
        <v>24</v>
      </c>
      <c r="K39" t="s">
        <v>326</v>
      </c>
      <c r="L39" t="s">
        <v>5699</v>
      </c>
      <c r="M39">
        <v>1509.17</v>
      </c>
      <c r="N39" t="s">
        <v>6302</v>
      </c>
      <c r="O39" t="s">
        <v>5751</v>
      </c>
      <c r="P39" t="s">
        <v>329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329</v>
      </c>
      <c r="W39" t="s">
        <v>326</v>
      </c>
      <c r="X39">
        <v>0</v>
      </c>
      <c r="Y39" t="s">
        <v>3979</v>
      </c>
      <c r="Z39" t="s">
        <v>3969</v>
      </c>
      <c r="AA39" t="s">
        <v>19</v>
      </c>
      <c r="AB39" t="s">
        <v>3970</v>
      </c>
      <c r="AC39" t="s">
        <v>3974</v>
      </c>
      <c r="AD39" t="str">
        <f t="shared" si="2"/>
        <v>BROW</v>
      </c>
      <c r="AE39" t="s">
        <v>6568</v>
      </c>
      <c r="AF39" t="s">
        <v>6303</v>
      </c>
    </row>
    <row r="40" spans="1:32" x14ac:dyDescent="0.3">
      <c r="A40" t="str">
        <f t="shared" si="0"/>
        <v>Road Runner Lawn Services</v>
      </c>
      <c r="B40">
        <v>402</v>
      </c>
      <c r="C40" t="s">
        <v>6279</v>
      </c>
      <c r="D40" t="s">
        <v>6297</v>
      </c>
      <c r="E40" t="s">
        <v>6296</v>
      </c>
      <c r="F40">
        <v>16.100000000000001</v>
      </c>
      <c r="G40" t="s">
        <v>5807</v>
      </c>
      <c r="H40">
        <v>16.100000000000001</v>
      </c>
      <c r="I40" t="s">
        <v>6301</v>
      </c>
      <c r="J40">
        <v>28</v>
      </c>
      <c r="K40" t="s">
        <v>326</v>
      </c>
      <c r="L40" t="s">
        <v>5699</v>
      </c>
      <c r="M40">
        <v>1718</v>
      </c>
      <c r="N40" t="s">
        <v>6300</v>
      </c>
      <c r="O40" t="s">
        <v>6286</v>
      </c>
      <c r="P40" t="s">
        <v>329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3137</v>
      </c>
      <c r="W40" t="s">
        <v>326</v>
      </c>
      <c r="X40">
        <v>1</v>
      </c>
      <c r="Y40" t="s">
        <v>4261</v>
      </c>
      <c r="Z40" t="s">
        <v>4250</v>
      </c>
      <c r="AA40" t="s">
        <v>4251</v>
      </c>
      <c r="AB40" t="s">
        <v>4252</v>
      </c>
      <c r="AC40" t="s">
        <v>4256</v>
      </c>
      <c r="AD40" t="str">
        <f t="shared" si="2"/>
        <v>CISA</v>
      </c>
      <c r="AE40" t="s">
        <v>6569</v>
      </c>
      <c r="AF40" t="s">
        <v>6301</v>
      </c>
    </row>
    <row r="41" spans="1:32" x14ac:dyDescent="0.3">
      <c r="A41" t="str">
        <f t="shared" si="0"/>
        <v>Lionel Playworld</v>
      </c>
      <c r="B41">
        <v>402</v>
      </c>
      <c r="C41" t="s">
        <v>6279</v>
      </c>
      <c r="D41" t="s">
        <v>6297</v>
      </c>
      <c r="E41" t="s">
        <v>6296</v>
      </c>
      <c r="F41">
        <v>16.100000000000001</v>
      </c>
      <c r="G41" t="s">
        <v>5807</v>
      </c>
      <c r="H41">
        <v>16.100000000000001</v>
      </c>
      <c r="I41" t="s">
        <v>6299</v>
      </c>
      <c r="J41">
        <v>34</v>
      </c>
      <c r="K41" t="s">
        <v>326</v>
      </c>
      <c r="L41" t="s">
        <v>5805</v>
      </c>
      <c r="M41">
        <v>2045.6669999999999</v>
      </c>
      <c r="N41" t="s">
        <v>6298</v>
      </c>
      <c r="O41" t="s">
        <v>5795</v>
      </c>
      <c r="P41" t="s">
        <v>3655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3137</v>
      </c>
      <c r="W41" t="s">
        <v>326</v>
      </c>
      <c r="X41">
        <v>1</v>
      </c>
      <c r="Y41" t="s">
        <v>3488</v>
      </c>
      <c r="Z41" t="s">
        <v>3479</v>
      </c>
      <c r="AA41" t="s">
        <v>3399</v>
      </c>
      <c r="AB41" t="s">
        <v>3400</v>
      </c>
      <c r="AC41" t="s">
        <v>3483</v>
      </c>
      <c r="AD41" t="str">
        <f t="shared" si="2"/>
        <v>DOLA</v>
      </c>
      <c r="AE41" t="s">
        <v>6570</v>
      </c>
      <c r="AF41" t="s">
        <v>6299</v>
      </c>
    </row>
    <row r="42" spans="1:32" x14ac:dyDescent="0.3">
      <c r="A42" t="str">
        <f t="shared" si="0"/>
        <v>Road Runner Lawn Services</v>
      </c>
      <c r="B42">
        <v>402</v>
      </c>
      <c r="C42" t="s">
        <v>6279</v>
      </c>
      <c r="D42" t="s">
        <v>6297</v>
      </c>
      <c r="E42" t="s">
        <v>6296</v>
      </c>
      <c r="F42" t="s">
        <v>6295</v>
      </c>
      <c r="G42" t="s">
        <v>6294</v>
      </c>
      <c r="H42">
        <v>7.2</v>
      </c>
      <c r="I42" t="s">
        <v>6293</v>
      </c>
      <c r="J42">
        <v>8.1039999999999992</v>
      </c>
      <c r="K42" t="s">
        <v>326</v>
      </c>
      <c r="L42" t="s">
        <v>6292</v>
      </c>
      <c r="M42">
        <v>287.12</v>
      </c>
      <c r="N42" t="s">
        <v>6291</v>
      </c>
      <c r="O42" t="s">
        <v>6290</v>
      </c>
      <c r="P42" t="s">
        <v>329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3137</v>
      </c>
      <c r="W42" t="s">
        <v>326</v>
      </c>
      <c r="X42">
        <v>1</v>
      </c>
      <c r="Y42" t="s">
        <v>4261</v>
      </c>
      <c r="Z42" t="s">
        <v>4250</v>
      </c>
      <c r="AA42" t="s">
        <v>4251</v>
      </c>
      <c r="AB42" t="s">
        <v>4252</v>
      </c>
      <c r="AC42" t="s">
        <v>4256</v>
      </c>
      <c r="AD42" t="str">
        <f>LEFT(I42,FIND(4,I42)-1)</f>
        <v>CISA</v>
      </c>
      <c r="AE42" t="s">
        <v>6569</v>
      </c>
      <c r="AF42" t="s">
        <v>6293</v>
      </c>
    </row>
    <row r="43" spans="1:32" x14ac:dyDescent="0.3">
      <c r="A43" t="str">
        <f t="shared" si="0"/>
        <v>ManCharm</v>
      </c>
      <c r="B43">
        <v>402</v>
      </c>
      <c r="C43" t="s">
        <v>6279</v>
      </c>
      <c r="D43" t="s">
        <v>6289</v>
      </c>
      <c r="E43" t="s">
        <v>6288</v>
      </c>
      <c r="F43">
        <v>16.100000000000001</v>
      </c>
      <c r="G43" t="s">
        <v>5807</v>
      </c>
      <c r="H43">
        <v>16.100000000000001</v>
      </c>
      <c r="I43" t="s">
        <v>6287</v>
      </c>
      <c r="J43">
        <v>23</v>
      </c>
      <c r="K43" t="s">
        <v>326</v>
      </c>
      <c r="L43" t="s">
        <v>5699</v>
      </c>
      <c r="M43">
        <v>1382.5</v>
      </c>
      <c r="N43" t="s">
        <v>5732</v>
      </c>
      <c r="O43" t="s">
        <v>6286</v>
      </c>
      <c r="P43" t="s">
        <v>3655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3137</v>
      </c>
      <c r="W43" t="s">
        <v>326</v>
      </c>
      <c r="X43">
        <v>2</v>
      </c>
      <c r="Y43" t="s">
        <v>3731</v>
      </c>
      <c r="Z43" t="s">
        <v>3721</v>
      </c>
      <c r="AA43" t="s">
        <v>3722</v>
      </c>
      <c r="AB43" t="s">
        <v>3723</v>
      </c>
      <c r="AC43" t="s">
        <v>3727</v>
      </c>
      <c r="AD43" t="str">
        <f t="shared" si="2"/>
        <v>GIBS</v>
      </c>
      <c r="AE43" t="s">
        <v>6571</v>
      </c>
      <c r="AF43" t="s">
        <v>6287</v>
      </c>
    </row>
    <row r="44" spans="1:32" x14ac:dyDescent="0.3">
      <c r="A44" t="str">
        <f t="shared" si="0"/>
        <v>J. Brannam</v>
      </c>
      <c r="B44">
        <v>402</v>
      </c>
      <c r="C44" t="s">
        <v>6279</v>
      </c>
      <c r="D44" t="s">
        <v>6278</v>
      </c>
      <c r="E44" t="s">
        <v>6277</v>
      </c>
      <c r="F44">
        <v>16.100000000000001</v>
      </c>
      <c r="G44" t="s">
        <v>5807</v>
      </c>
      <c r="H44">
        <v>16.100000000000001</v>
      </c>
      <c r="I44" t="s">
        <v>6285</v>
      </c>
      <c r="J44">
        <v>1.51</v>
      </c>
      <c r="K44" t="s">
        <v>326</v>
      </c>
      <c r="L44" t="s">
        <v>6284</v>
      </c>
      <c r="M44">
        <v>110.1</v>
      </c>
      <c r="N44" t="s">
        <v>5737</v>
      </c>
      <c r="O44" t="s">
        <v>5734</v>
      </c>
      <c r="P44" t="s">
        <v>3655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3137</v>
      </c>
      <c r="W44" t="s">
        <v>326</v>
      </c>
      <c r="X44">
        <v>1</v>
      </c>
      <c r="Y44" t="s">
        <v>3537</v>
      </c>
      <c r="Z44" t="s">
        <v>3528</v>
      </c>
      <c r="AA44" t="s">
        <v>19</v>
      </c>
      <c r="AB44" t="s">
        <v>3513</v>
      </c>
      <c r="AC44" t="s">
        <v>3532</v>
      </c>
      <c r="AD44" t="str">
        <f>LEFT(I44,FIND(4,I44)-1)</f>
        <v>DJL</v>
      </c>
      <c r="AE44" t="s">
        <v>6572</v>
      </c>
      <c r="AF44" t="s">
        <v>6285</v>
      </c>
    </row>
    <row r="45" spans="1:32" x14ac:dyDescent="0.3">
      <c r="A45" t="str">
        <f t="shared" si="0"/>
        <v>Rossi Auto Parts</v>
      </c>
      <c r="B45">
        <v>402</v>
      </c>
      <c r="C45" t="s">
        <v>6279</v>
      </c>
      <c r="D45" t="s">
        <v>6278</v>
      </c>
      <c r="E45" t="s">
        <v>6277</v>
      </c>
      <c r="F45" t="s">
        <v>6283</v>
      </c>
      <c r="G45" t="s">
        <v>6282</v>
      </c>
      <c r="H45">
        <v>16.100000000000001</v>
      </c>
      <c r="I45" t="s">
        <v>6281</v>
      </c>
      <c r="J45">
        <v>2.7749999999999999</v>
      </c>
      <c r="K45" t="s">
        <v>326</v>
      </c>
      <c r="L45" t="s">
        <v>6280</v>
      </c>
      <c r="M45">
        <v>171.833</v>
      </c>
      <c r="N45" t="s">
        <v>5704</v>
      </c>
      <c r="O45" t="s">
        <v>5696</v>
      </c>
      <c r="P45" t="s">
        <v>329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329</v>
      </c>
      <c r="W45" t="s">
        <v>5689</v>
      </c>
      <c r="X45">
        <v>0</v>
      </c>
      <c r="Y45" t="s">
        <v>3779</v>
      </c>
      <c r="Z45" t="s">
        <v>3768</v>
      </c>
      <c r="AA45" t="s">
        <v>3769</v>
      </c>
      <c r="AB45" t="s">
        <v>3770</v>
      </c>
      <c r="AC45" t="s">
        <v>3774</v>
      </c>
      <c r="AD45" t="str">
        <f>LEFT(I45,FIND(4,I45)-1)</f>
        <v>GIEL</v>
      </c>
      <c r="AE45" t="s">
        <v>6573</v>
      </c>
      <c r="AF45" t="s">
        <v>6281</v>
      </c>
    </row>
    <row r="46" spans="1:32" x14ac:dyDescent="0.3">
      <c r="A46" t="str">
        <f t="shared" si="0"/>
        <v>Rossi Auto Parts</v>
      </c>
      <c r="B46">
        <v>402</v>
      </c>
      <c r="C46" t="s">
        <v>6279</v>
      </c>
      <c r="D46" t="s">
        <v>6278</v>
      </c>
      <c r="E46" t="s">
        <v>6277</v>
      </c>
      <c r="F46" t="s">
        <v>6276</v>
      </c>
      <c r="G46" t="s">
        <v>6275</v>
      </c>
      <c r="H46">
        <v>7.3</v>
      </c>
      <c r="I46" t="s">
        <v>6274</v>
      </c>
      <c r="J46">
        <v>2.778</v>
      </c>
      <c r="K46" t="s">
        <v>326</v>
      </c>
      <c r="L46" t="s">
        <v>6273</v>
      </c>
      <c r="M46">
        <v>89.67</v>
      </c>
      <c r="N46" t="s">
        <v>6272</v>
      </c>
      <c r="O46" t="s">
        <v>6271</v>
      </c>
      <c r="P46" t="s">
        <v>3655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3137</v>
      </c>
      <c r="W46" t="s">
        <v>326</v>
      </c>
      <c r="X46">
        <v>1</v>
      </c>
      <c r="Y46" t="s">
        <v>3779</v>
      </c>
      <c r="Z46" t="s">
        <v>3768</v>
      </c>
      <c r="AA46" t="s">
        <v>3769</v>
      </c>
      <c r="AB46" t="s">
        <v>3770</v>
      </c>
      <c r="AC46" t="s">
        <v>3774</v>
      </c>
      <c r="AD46" t="str">
        <f>LEFT(I46,FIND(4,I46)-1)</f>
        <v>GIEL</v>
      </c>
      <c r="AE46" t="s">
        <v>6573</v>
      </c>
      <c r="AF46" t="s">
        <v>6274</v>
      </c>
    </row>
    <row r="47" spans="1:32" x14ac:dyDescent="0.3">
      <c r="A47" t="str">
        <f t="shared" si="0"/>
        <v>Happy Family</v>
      </c>
      <c r="B47">
        <v>403</v>
      </c>
      <c r="C47" t="s">
        <v>6212</v>
      </c>
      <c r="D47" t="s">
        <v>6247</v>
      </c>
      <c r="E47" t="s">
        <v>6246</v>
      </c>
      <c r="F47" t="s">
        <v>5700</v>
      </c>
      <c r="G47" t="s">
        <v>6209</v>
      </c>
      <c r="H47">
        <v>7.3</v>
      </c>
      <c r="I47" t="s">
        <v>6270</v>
      </c>
      <c r="J47">
        <v>16.027000000000001</v>
      </c>
      <c r="K47" t="s">
        <v>326</v>
      </c>
      <c r="L47" t="s">
        <v>5699</v>
      </c>
      <c r="M47">
        <v>480.81</v>
      </c>
      <c r="N47" t="s">
        <v>5744</v>
      </c>
      <c r="O47" t="s">
        <v>6269</v>
      </c>
      <c r="P47" t="s">
        <v>3655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3137</v>
      </c>
      <c r="W47" t="s">
        <v>326</v>
      </c>
      <c r="X47">
        <v>1</v>
      </c>
      <c r="Y47" t="s">
        <v>3554</v>
      </c>
      <c r="Z47" t="s">
        <v>3544</v>
      </c>
      <c r="AA47" t="s">
        <v>15</v>
      </c>
      <c r="AB47" t="s">
        <v>3545</v>
      </c>
      <c r="AC47" t="s">
        <v>3549</v>
      </c>
      <c r="AD47" t="str">
        <f>LEFT(I47,FIND(1,I47)-1)</f>
        <v>DIG</v>
      </c>
      <c r="AE47" t="s">
        <v>6574</v>
      </c>
      <c r="AF47" t="s">
        <v>6270</v>
      </c>
    </row>
    <row r="48" spans="1:32" x14ac:dyDescent="0.3">
      <c r="A48" t="str">
        <f t="shared" si="0"/>
        <v>Lindsley's Lumber</v>
      </c>
      <c r="B48">
        <v>403</v>
      </c>
      <c r="C48" t="s">
        <v>6212</v>
      </c>
      <c r="D48" t="s">
        <v>6247</v>
      </c>
      <c r="E48" t="s">
        <v>6246</v>
      </c>
      <c r="F48" t="s">
        <v>5700</v>
      </c>
      <c r="G48" t="s">
        <v>6209</v>
      </c>
      <c r="H48">
        <v>7.3</v>
      </c>
      <c r="I48" t="s">
        <v>6268</v>
      </c>
      <c r="J48">
        <v>33</v>
      </c>
      <c r="K48" t="s">
        <v>326</v>
      </c>
      <c r="L48" t="s">
        <v>5699</v>
      </c>
      <c r="M48">
        <v>1024.8330000000001</v>
      </c>
      <c r="N48" t="s">
        <v>5729</v>
      </c>
      <c r="O48" t="s">
        <v>6267</v>
      </c>
      <c r="P48" t="s">
        <v>329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3137</v>
      </c>
      <c r="W48" t="s">
        <v>326</v>
      </c>
      <c r="X48">
        <v>1</v>
      </c>
      <c r="Y48" t="s">
        <v>3949</v>
      </c>
      <c r="Z48" t="s">
        <v>3939</v>
      </c>
      <c r="AA48" t="s">
        <v>2</v>
      </c>
      <c r="AB48" t="s">
        <v>3940</v>
      </c>
      <c r="AC48" t="s">
        <v>3944</v>
      </c>
      <c r="AD48" t="str">
        <f>LEFT(I48,FIND(1,I48)-1)</f>
        <v>EDG</v>
      </c>
      <c r="AE48" t="s">
        <v>6575</v>
      </c>
      <c r="AF48" t="s">
        <v>6268</v>
      </c>
    </row>
    <row r="49" spans="1:32" x14ac:dyDescent="0.3">
      <c r="A49" t="str">
        <f t="shared" si="0"/>
        <v>Happy Family</v>
      </c>
      <c r="B49">
        <v>403</v>
      </c>
      <c r="C49" t="s">
        <v>6212</v>
      </c>
      <c r="D49" t="s">
        <v>6247</v>
      </c>
      <c r="E49" t="s">
        <v>6246</v>
      </c>
      <c r="F49" t="s">
        <v>5709</v>
      </c>
      <c r="G49" t="s">
        <v>6261</v>
      </c>
      <c r="H49">
        <v>7.3</v>
      </c>
      <c r="I49" t="s">
        <v>6266</v>
      </c>
      <c r="J49">
        <v>30</v>
      </c>
      <c r="K49" t="s">
        <v>326</v>
      </c>
      <c r="L49" t="s">
        <v>5699</v>
      </c>
      <c r="M49">
        <v>910.91700000000003</v>
      </c>
      <c r="N49" t="s">
        <v>6265</v>
      </c>
      <c r="O49" t="s">
        <v>6264</v>
      </c>
      <c r="P49" t="s">
        <v>3655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3137</v>
      </c>
      <c r="W49" t="s">
        <v>326</v>
      </c>
      <c r="X49">
        <v>1</v>
      </c>
      <c r="Y49" t="s">
        <v>3554</v>
      </c>
      <c r="Z49" t="s">
        <v>3544</v>
      </c>
      <c r="AA49" t="s">
        <v>15</v>
      </c>
      <c r="AB49" t="s">
        <v>3545</v>
      </c>
      <c r="AC49" t="s">
        <v>3549</v>
      </c>
      <c r="AD49" t="str">
        <f>LEFT(I49,FIND(1,I49)-1)</f>
        <v>DIG</v>
      </c>
      <c r="AE49" t="s">
        <v>6574</v>
      </c>
      <c r="AF49" t="s">
        <v>6266</v>
      </c>
    </row>
    <row r="50" spans="1:32" x14ac:dyDescent="0.3">
      <c r="A50" t="str">
        <f t="shared" si="0"/>
        <v>Lindsley's Lumber</v>
      </c>
      <c r="B50">
        <v>403</v>
      </c>
      <c r="C50" t="s">
        <v>6212</v>
      </c>
      <c r="D50" t="s">
        <v>6247</v>
      </c>
      <c r="E50" t="s">
        <v>6246</v>
      </c>
      <c r="F50" t="s">
        <v>5709</v>
      </c>
      <c r="G50" t="s">
        <v>6261</v>
      </c>
      <c r="H50">
        <v>7.3</v>
      </c>
      <c r="I50" t="s">
        <v>6263</v>
      </c>
      <c r="J50">
        <v>10.679</v>
      </c>
      <c r="K50" t="s">
        <v>326</v>
      </c>
      <c r="L50" t="s">
        <v>6262</v>
      </c>
      <c r="M50">
        <v>325.70299999999997</v>
      </c>
      <c r="N50" t="s">
        <v>5744</v>
      </c>
      <c r="O50" t="s">
        <v>5806</v>
      </c>
      <c r="P50" t="s">
        <v>329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3137</v>
      </c>
      <c r="W50" t="s">
        <v>326</v>
      </c>
      <c r="X50">
        <v>1</v>
      </c>
      <c r="Y50" t="s">
        <v>3949</v>
      </c>
      <c r="Z50" t="s">
        <v>3939</v>
      </c>
      <c r="AA50" t="s">
        <v>2</v>
      </c>
      <c r="AB50" t="s">
        <v>3940</v>
      </c>
      <c r="AC50" t="s">
        <v>3944</v>
      </c>
      <c r="AD50" t="str">
        <f>LEFT(I50,FIND(1,I50)-1)</f>
        <v>EDG</v>
      </c>
      <c r="AE50" t="s">
        <v>6575</v>
      </c>
      <c r="AF50" t="s">
        <v>6263</v>
      </c>
    </row>
    <row r="51" spans="1:32" x14ac:dyDescent="0.3">
      <c r="A51" t="str">
        <f t="shared" si="0"/>
        <v>Indiewealth</v>
      </c>
      <c r="B51">
        <v>403</v>
      </c>
      <c r="C51" t="s">
        <v>6212</v>
      </c>
      <c r="D51" t="s">
        <v>6247</v>
      </c>
      <c r="E51" t="s">
        <v>6246</v>
      </c>
      <c r="F51" t="s">
        <v>5709</v>
      </c>
      <c r="G51" t="s">
        <v>6261</v>
      </c>
      <c r="H51">
        <v>7.3</v>
      </c>
      <c r="I51" t="s">
        <v>6260</v>
      </c>
      <c r="J51">
        <v>19</v>
      </c>
      <c r="K51" t="s">
        <v>326</v>
      </c>
      <c r="L51" t="s">
        <v>5699</v>
      </c>
      <c r="M51">
        <v>570</v>
      </c>
      <c r="N51" t="s">
        <v>5778</v>
      </c>
      <c r="O51" t="s">
        <v>6202</v>
      </c>
      <c r="P51" t="s">
        <v>329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3137</v>
      </c>
      <c r="W51" t="s">
        <v>326</v>
      </c>
      <c r="X51">
        <v>1</v>
      </c>
      <c r="Y51" t="s">
        <v>3619</v>
      </c>
      <c r="Z51" t="s">
        <v>4179</v>
      </c>
      <c r="AA51" t="s">
        <v>3245</v>
      </c>
      <c r="AB51" t="s">
        <v>3801</v>
      </c>
      <c r="AC51" t="s">
        <v>4183</v>
      </c>
      <c r="AD51" t="str">
        <f>LEFT(I51,FIND(2,I51)-1)</f>
        <v>LEI</v>
      </c>
      <c r="AE51" t="s">
        <v>6576</v>
      </c>
      <c r="AF51" t="s">
        <v>6260</v>
      </c>
    </row>
    <row r="52" spans="1:32" x14ac:dyDescent="0.3">
      <c r="A52" t="str">
        <f t="shared" si="0"/>
        <v>Lindsley's Lumber</v>
      </c>
      <c r="B52">
        <v>403</v>
      </c>
      <c r="C52" t="s">
        <v>6212</v>
      </c>
      <c r="D52" t="s">
        <v>6247</v>
      </c>
      <c r="E52" t="s">
        <v>6246</v>
      </c>
      <c r="F52" t="s">
        <v>5727</v>
      </c>
      <c r="G52" t="s">
        <v>6259</v>
      </c>
      <c r="H52">
        <v>7.1</v>
      </c>
      <c r="I52" t="s">
        <v>6258</v>
      </c>
      <c r="J52">
        <v>4.1399999999999997</v>
      </c>
      <c r="K52" t="s">
        <v>326</v>
      </c>
      <c r="L52" t="s">
        <v>5768</v>
      </c>
      <c r="M52">
        <v>124.2</v>
      </c>
      <c r="N52" t="s">
        <v>6005</v>
      </c>
      <c r="O52">
        <v>335</v>
      </c>
      <c r="P52" t="s">
        <v>329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3137</v>
      </c>
      <c r="W52" t="s">
        <v>326</v>
      </c>
      <c r="X52">
        <v>1</v>
      </c>
      <c r="Y52" t="s">
        <v>3949</v>
      </c>
      <c r="Z52" t="s">
        <v>3939</v>
      </c>
      <c r="AA52" t="s">
        <v>2</v>
      </c>
      <c r="AB52" t="s">
        <v>3940</v>
      </c>
      <c r="AC52" t="s">
        <v>3944</v>
      </c>
      <c r="AD52" t="str">
        <f>LEFT(I52,FIND(1,I52)-1)</f>
        <v>EDG</v>
      </c>
      <c r="AE52" t="s">
        <v>6575</v>
      </c>
      <c r="AF52" t="s">
        <v>6258</v>
      </c>
    </row>
    <row r="53" spans="1:32" x14ac:dyDescent="0.3">
      <c r="A53" t="str">
        <f t="shared" si="0"/>
        <v>Weathervane</v>
      </c>
      <c r="B53">
        <v>403</v>
      </c>
      <c r="C53" t="s">
        <v>6212</v>
      </c>
      <c r="D53" t="s">
        <v>6247</v>
      </c>
      <c r="E53" t="s">
        <v>6246</v>
      </c>
      <c r="F53" t="s">
        <v>6257</v>
      </c>
      <c r="G53" t="s">
        <v>6256</v>
      </c>
      <c r="H53">
        <v>13.3</v>
      </c>
      <c r="I53" t="s">
        <v>6255</v>
      </c>
      <c r="J53">
        <v>3.504</v>
      </c>
      <c r="K53" t="s">
        <v>326</v>
      </c>
      <c r="L53" t="s">
        <v>6254</v>
      </c>
      <c r="M53">
        <v>112.53700000000001</v>
      </c>
      <c r="N53" t="s">
        <v>6253</v>
      </c>
      <c r="O53" t="s">
        <v>6252</v>
      </c>
      <c r="P53" t="s">
        <v>3655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3137</v>
      </c>
      <c r="W53" t="s">
        <v>326</v>
      </c>
      <c r="X53">
        <v>3</v>
      </c>
      <c r="Y53" t="s">
        <v>4777</v>
      </c>
      <c r="Z53" t="s">
        <v>4768</v>
      </c>
      <c r="AA53" t="s">
        <v>19</v>
      </c>
      <c r="AB53" t="s">
        <v>41</v>
      </c>
      <c r="AC53" t="s">
        <v>4772</v>
      </c>
      <c r="AD53" t="str">
        <f t="shared" ref="AD53:AD57" si="3">LEFT(I53,FIND(1,I53)-1)</f>
        <v>TAY</v>
      </c>
      <c r="AE53" t="s">
        <v>6577</v>
      </c>
      <c r="AF53" t="s">
        <v>6255</v>
      </c>
    </row>
    <row r="54" spans="1:32" x14ac:dyDescent="0.3">
      <c r="A54" t="str">
        <f t="shared" si="0"/>
        <v>Lindsley's Lumber</v>
      </c>
      <c r="B54">
        <v>403</v>
      </c>
      <c r="C54" t="s">
        <v>6212</v>
      </c>
      <c r="D54" t="s">
        <v>6247</v>
      </c>
      <c r="E54" t="s">
        <v>6246</v>
      </c>
      <c r="F54" t="s">
        <v>5691</v>
      </c>
      <c r="G54" t="s">
        <v>5690</v>
      </c>
      <c r="H54">
        <v>16.100000000000001</v>
      </c>
      <c r="I54" t="s">
        <v>6251</v>
      </c>
      <c r="J54">
        <v>39</v>
      </c>
      <c r="K54" t="s">
        <v>326</v>
      </c>
      <c r="L54" t="s">
        <v>5699</v>
      </c>
      <c r="M54">
        <v>2340</v>
      </c>
      <c r="N54" t="s">
        <v>5738</v>
      </c>
      <c r="O54" t="s">
        <v>5692</v>
      </c>
      <c r="P54" t="s">
        <v>329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3137</v>
      </c>
      <c r="W54" t="s">
        <v>326</v>
      </c>
      <c r="X54">
        <v>1</v>
      </c>
      <c r="Y54" t="s">
        <v>3949</v>
      </c>
      <c r="Z54" t="s">
        <v>3939</v>
      </c>
      <c r="AA54" t="s">
        <v>2</v>
      </c>
      <c r="AB54" t="s">
        <v>3940</v>
      </c>
      <c r="AC54" t="s">
        <v>3944</v>
      </c>
      <c r="AD54" t="str">
        <f t="shared" si="3"/>
        <v>EDG</v>
      </c>
      <c r="AE54" t="s">
        <v>6575</v>
      </c>
      <c r="AF54" t="s">
        <v>6251</v>
      </c>
    </row>
    <row r="55" spans="1:32" x14ac:dyDescent="0.3">
      <c r="A55" t="str">
        <f t="shared" si="0"/>
        <v>Lindsley's Lumber</v>
      </c>
      <c r="B55">
        <v>403</v>
      </c>
      <c r="C55" t="s">
        <v>6212</v>
      </c>
      <c r="D55" t="s">
        <v>6247</v>
      </c>
      <c r="E55" t="s">
        <v>6246</v>
      </c>
      <c r="F55" t="s">
        <v>5691</v>
      </c>
      <c r="G55" t="s">
        <v>5690</v>
      </c>
      <c r="H55">
        <v>16.100000000000001</v>
      </c>
      <c r="I55" t="s">
        <v>6250</v>
      </c>
      <c r="J55">
        <v>23</v>
      </c>
      <c r="K55" t="s">
        <v>326</v>
      </c>
      <c r="L55" t="s">
        <v>5699</v>
      </c>
      <c r="M55">
        <v>1392.5</v>
      </c>
      <c r="N55" t="s">
        <v>6249</v>
      </c>
      <c r="O55" t="s">
        <v>5829</v>
      </c>
      <c r="P55" t="s">
        <v>329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3137</v>
      </c>
      <c r="W55" t="s">
        <v>326</v>
      </c>
      <c r="X55">
        <v>3</v>
      </c>
      <c r="Y55" t="s">
        <v>3949</v>
      </c>
      <c r="Z55" t="s">
        <v>3939</v>
      </c>
      <c r="AA55" t="s">
        <v>2</v>
      </c>
      <c r="AB55" t="s">
        <v>3940</v>
      </c>
      <c r="AC55" t="s">
        <v>3944</v>
      </c>
      <c r="AD55" t="str">
        <f t="shared" si="3"/>
        <v>EDG</v>
      </c>
      <c r="AE55" t="s">
        <v>6575</v>
      </c>
      <c r="AF55" t="s">
        <v>6250</v>
      </c>
    </row>
    <row r="56" spans="1:32" x14ac:dyDescent="0.3">
      <c r="A56" t="str">
        <f t="shared" si="0"/>
        <v>Foot Quarters</v>
      </c>
      <c r="B56">
        <v>403</v>
      </c>
      <c r="C56" t="s">
        <v>6212</v>
      </c>
      <c r="D56" t="s">
        <v>6247</v>
      </c>
      <c r="E56" t="s">
        <v>6246</v>
      </c>
      <c r="F56" t="s">
        <v>5691</v>
      </c>
      <c r="G56" t="s">
        <v>5690</v>
      </c>
      <c r="H56">
        <v>16.100000000000001</v>
      </c>
      <c r="I56" t="s">
        <v>6248</v>
      </c>
      <c r="J56">
        <v>40</v>
      </c>
      <c r="K56" t="s">
        <v>326</v>
      </c>
      <c r="L56" t="s">
        <v>5699</v>
      </c>
      <c r="M56">
        <v>2400</v>
      </c>
      <c r="N56" t="s">
        <v>5738</v>
      </c>
      <c r="O56" t="s">
        <v>5829</v>
      </c>
      <c r="P56" t="s">
        <v>3655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3137</v>
      </c>
      <c r="W56" t="s">
        <v>326</v>
      </c>
      <c r="X56">
        <v>1</v>
      </c>
      <c r="Y56" t="s">
        <v>3854</v>
      </c>
      <c r="Z56" t="s">
        <v>3844</v>
      </c>
      <c r="AA56" t="s">
        <v>19</v>
      </c>
      <c r="AB56" t="s">
        <v>3845</v>
      </c>
      <c r="AC56" t="s">
        <v>3849</v>
      </c>
      <c r="AD56" t="str">
        <f t="shared" si="3"/>
        <v>LEI</v>
      </c>
      <c r="AE56" t="s">
        <v>6576</v>
      </c>
      <c r="AF56" t="s">
        <v>6248</v>
      </c>
    </row>
    <row r="57" spans="1:32" x14ac:dyDescent="0.3">
      <c r="A57" t="str">
        <f t="shared" si="0"/>
        <v>Lindsley's Lumber</v>
      </c>
      <c r="B57">
        <v>403</v>
      </c>
      <c r="C57" t="s">
        <v>6212</v>
      </c>
      <c r="D57" t="s">
        <v>6247</v>
      </c>
      <c r="E57" t="s">
        <v>6246</v>
      </c>
      <c r="F57" t="s">
        <v>6245</v>
      </c>
      <c r="G57" t="s">
        <v>6244</v>
      </c>
      <c r="H57">
        <v>15.4</v>
      </c>
      <c r="I57" t="s">
        <v>6243</v>
      </c>
      <c r="J57">
        <v>31</v>
      </c>
      <c r="K57" t="s">
        <v>326</v>
      </c>
      <c r="L57" t="s">
        <v>5699</v>
      </c>
      <c r="M57">
        <v>933.83</v>
      </c>
      <c r="N57" t="s">
        <v>6242</v>
      </c>
      <c r="O57">
        <v>7500</v>
      </c>
      <c r="P57" t="s">
        <v>329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329</v>
      </c>
      <c r="W57" t="s">
        <v>5689</v>
      </c>
      <c r="X57">
        <v>0</v>
      </c>
      <c r="Y57" t="s">
        <v>3949</v>
      </c>
      <c r="Z57" t="s">
        <v>3939</v>
      </c>
      <c r="AA57" t="s">
        <v>2</v>
      </c>
      <c r="AB57" t="s">
        <v>3940</v>
      </c>
      <c r="AC57" t="s">
        <v>3944</v>
      </c>
      <c r="AD57" t="str">
        <f t="shared" si="3"/>
        <v>EDG</v>
      </c>
      <c r="AE57" t="s">
        <v>6575</v>
      </c>
      <c r="AF57" t="s">
        <v>6243</v>
      </c>
    </row>
    <row r="58" spans="1:32" x14ac:dyDescent="0.3">
      <c r="A58" t="str">
        <f t="shared" si="0"/>
        <v>MegaSolutions</v>
      </c>
      <c r="B58">
        <v>403</v>
      </c>
      <c r="C58" t="s">
        <v>6212</v>
      </c>
      <c r="D58" t="s">
        <v>6233</v>
      </c>
      <c r="E58" t="s">
        <v>6232</v>
      </c>
      <c r="F58" t="s">
        <v>5700</v>
      </c>
      <c r="G58" t="s">
        <v>6209</v>
      </c>
      <c r="H58">
        <v>7.3</v>
      </c>
      <c r="I58" t="s">
        <v>6241</v>
      </c>
      <c r="J58">
        <v>1.2250000000000001</v>
      </c>
      <c r="K58" t="s">
        <v>326</v>
      </c>
      <c r="L58" t="s">
        <v>6235</v>
      </c>
      <c r="M58">
        <v>67.582999999999998</v>
      </c>
      <c r="N58" t="s">
        <v>5744</v>
      </c>
      <c r="O58" t="s">
        <v>5796</v>
      </c>
      <c r="P58" t="s">
        <v>329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3137</v>
      </c>
      <c r="W58" t="s">
        <v>326</v>
      </c>
      <c r="X58">
        <v>3</v>
      </c>
      <c r="Y58" t="s">
        <v>4173</v>
      </c>
      <c r="Z58" t="s">
        <v>4164</v>
      </c>
      <c r="AA58" t="s">
        <v>3263</v>
      </c>
      <c r="AB58" t="s">
        <v>4165</v>
      </c>
      <c r="AC58" t="s">
        <v>4169</v>
      </c>
      <c r="AD58" t="str">
        <f>LEFT(I58,FIND(4,I58)-1)</f>
        <v>LAND</v>
      </c>
      <c r="AE58" t="s">
        <v>6578</v>
      </c>
      <c r="AF58" t="s">
        <v>6241</v>
      </c>
    </row>
    <row r="59" spans="1:32" x14ac:dyDescent="0.3">
      <c r="A59" t="str">
        <f t="shared" si="0"/>
        <v>Hughes Markets</v>
      </c>
      <c r="B59">
        <v>403</v>
      </c>
      <c r="C59" t="s">
        <v>6212</v>
      </c>
      <c r="D59" t="s">
        <v>6233</v>
      </c>
      <c r="E59" t="s">
        <v>6232</v>
      </c>
      <c r="F59" t="s">
        <v>5700</v>
      </c>
      <c r="G59" t="s">
        <v>6209</v>
      </c>
      <c r="H59">
        <v>7.3</v>
      </c>
      <c r="I59" t="s">
        <v>6240</v>
      </c>
      <c r="J59">
        <v>31</v>
      </c>
      <c r="K59" t="s">
        <v>326</v>
      </c>
      <c r="L59" t="s">
        <v>5699</v>
      </c>
      <c r="M59">
        <v>934.33299999999997</v>
      </c>
      <c r="N59" t="s">
        <v>5767</v>
      </c>
      <c r="O59" t="s">
        <v>6239</v>
      </c>
      <c r="P59" t="s">
        <v>329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3137</v>
      </c>
      <c r="W59" t="s">
        <v>326</v>
      </c>
      <c r="X59">
        <v>1</v>
      </c>
      <c r="Y59" t="s">
        <v>4864</v>
      </c>
      <c r="Z59" t="s">
        <v>4856</v>
      </c>
      <c r="AA59" t="s">
        <v>3349</v>
      </c>
      <c r="AB59" t="s">
        <v>3986</v>
      </c>
      <c r="AC59" t="s">
        <v>4860</v>
      </c>
      <c r="AD59" t="str">
        <f>LEFT(I59,FIND(1,I59)-1)</f>
        <v>WAC</v>
      </c>
      <c r="AE59" t="s">
        <v>6579</v>
      </c>
      <c r="AF59" t="s">
        <v>6240</v>
      </c>
    </row>
    <row r="60" spans="1:32" x14ac:dyDescent="0.3">
      <c r="A60" t="str">
        <f t="shared" si="0"/>
        <v>Casual Corner</v>
      </c>
      <c r="B60">
        <v>403</v>
      </c>
      <c r="C60" t="s">
        <v>6212</v>
      </c>
      <c r="D60" t="s">
        <v>6233</v>
      </c>
      <c r="E60" t="s">
        <v>6232</v>
      </c>
      <c r="F60" t="s">
        <v>5691</v>
      </c>
      <c r="G60" t="s">
        <v>5690</v>
      </c>
      <c r="H60">
        <v>16.100000000000001</v>
      </c>
      <c r="I60" t="s">
        <v>6238</v>
      </c>
      <c r="J60">
        <v>1.0680000000000001</v>
      </c>
      <c r="K60" t="s">
        <v>326</v>
      </c>
      <c r="L60" t="s">
        <v>6237</v>
      </c>
      <c r="M60">
        <v>86.58</v>
      </c>
      <c r="N60" t="s">
        <v>5732</v>
      </c>
      <c r="O60" t="s">
        <v>5721</v>
      </c>
      <c r="P60" t="s">
        <v>3655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3137</v>
      </c>
      <c r="W60" t="s">
        <v>326</v>
      </c>
      <c r="X60">
        <v>2</v>
      </c>
      <c r="Y60" t="s">
        <v>3667</v>
      </c>
      <c r="Z60" t="s">
        <v>3657</v>
      </c>
      <c r="AA60" t="s">
        <v>2</v>
      </c>
      <c r="AB60" t="s">
        <v>3658</v>
      </c>
      <c r="AC60" t="s">
        <v>3662</v>
      </c>
      <c r="AD60" t="str">
        <f>LEFT(I60,FIND(4,I60)-1)</f>
        <v>GRD</v>
      </c>
      <c r="AE60" t="s">
        <v>6580</v>
      </c>
      <c r="AF60" t="s">
        <v>6238</v>
      </c>
    </row>
    <row r="61" spans="1:32" x14ac:dyDescent="0.3">
      <c r="A61" t="str">
        <f t="shared" si="0"/>
        <v>MegaSolutions</v>
      </c>
      <c r="B61">
        <v>403</v>
      </c>
      <c r="C61" t="s">
        <v>6212</v>
      </c>
      <c r="D61" t="s">
        <v>6233</v>
      </c>
      <c r="E61" t="s">
        <v>6232</v>
      </c>
      <c r="F61" t="s">
        <v>5691</v>
      </c>
      <c r="G61" t="s">
        <v>5690</v>
      </c>
      <c r="H61">
        <v>16.100000000000001</v>
      </c>
      <c r="I61" t="s">
        <v>6236</v>
      </c>
      <c r="J61">
        <v>1.2250000000000001</v>
      </c>
      <c r="K61" t="s">
        <v>326</v>
      </c>
      <c r="L61" t="s">
        <v>6235</v>
      </c>
      <c r="M61">
        <v>93.832999999999998</v>
      </c>
      <c r="N61" t="s">
        <v>6234</v>
      </c>
      <c r="O61">
        <v>5000</v>
      </c>
      <c r="P61" t="s">
        <v>329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3137</v>
      </c>
      <c r="W61" t="s">
        <v>326</v>
      </c>
      <c r="X61">
        <v>1</v>
      </c>
      <c r="Y61" t="s">
        <v>4173</v>
      </c>
      <c r="Z61" t="s">
        <v>4164</v>
      </c>
      <c r="AA61" t="s">
        <v>3263</v>
      </c>
      <c r="AB61" t="s">
        <v>4165</v>
      </c>
      <c r="AC61" t="s">
        <v>4169</v>
      </c>
      <c r="AD61" t="str">
        <f>LEFT(I61,FIND(4,I61)-1)</f>
        <v>LAND</v>
      </c>
      <c r="AE61" t="s">
        <v>6578</v>
      </c>
      <c r="AF61" t="s">
        <v>6236</v>
      </c>
    </row>
    <row r="62" spans="1:32" x14ac:dyDescent="0.3">
      <c r="A62" t="str">
        <f t="shared" si="0"/>
        <v>J. Brannam</v>
      </c>
      <c r="B62">
        <v>403</v>
      </c>
      <c r="C62" t="s">
        <v>6212</v>
      </c>
      <c r="D62" t="s">
        <v>6233</v>
      </c>
      <c r="E62" t="s">
        <v>6232</v>
      </c>
      <c r="F62" t="s">
        <v>5691</v>
      </c>
      <c r="G62" t="s">
        <v>5690</v>
      </c>
      <c r="H62">
        <v>16.100000000000001</v>
      </c>
      <c r="I62" t="s">
        <v>6231</v>
      </c>
      <c r="J62">
        <v>15.06</v>
      </c>
      <c r="K62" t="s">
        <v>326</v>
      </c>
      <c r="L62" t="s">
        <v>5699</v>
      </c>
      <c r="M62">
        <v>913.43299999999999</v>
      </c>
      <c r="N62" t="s">
        <v>5707</v>
      </c>
      <c r="O62" t="s">
        <v>5706</v>
      </c>
      <c r="P62" t="s">
        <v>329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3137</v>
      </c>
      <c r="W62" t="s">
        <v>326</v>
      </c>
      <c r="X62">
        <v>1</v>
      </c>
      <c r="Y62" t="s">
        <v>3537</v>
      </c>
      <c r="Z62" t="s">
        <v>4662</v>
      </c>
      <c r="AA62" t="s">
        <v>3245</v>
      </c>
      <c r="AB62" t="s">
        <v>4663</v>
      </c>
      <c r="AC62" t="s">
        <v>4667</v>
      </c>
      <c r="AD62" t="str">
        <f t="shared" ref="AD62:AD67" si="4">LEFT(I62,FIND(1,I62)-1)</f>
        <v>SEA</v>
      </c>
      <c r="AE62" t="s">
        <v>6581</v>
      </c>
      <c r="AF62" t="s">
        <v>6231</v>
      </c>
    </row>
    <row r="63" spans="1:32" x14ac:dyDescent="0.3">
      <c r="A63" t="str">
        <f t="shared" si="0"/>
        <v>Desmonds Formal Wear</v>
      </c>
      <c r="B63">
        <v>403</v>
      </c>
      <c r="C63" t="s">
        <v>6212</v>
      </c>
      <c r="D63" t="s">
        <v>6217</v>
      </c>
      <c r="E63" t="s">
        <v>6216</v>
      </c>
      <c r="F63" t="s">
        <v>5701</v>
      </c>
      <c r="G63" t="s">
        <v>6224</v>
      </c>
      <c r="H63">
        <v>7.3</v>
      </c>
      <c r="I63" t="s">
        <v>6230</v>
      </c>
      <c r="J63">
        <v>15.427</v>
      </c>
      <c r="K63" t="s">
        <v>326</v>
      </c>
      <c r="L63" t="s">
        <v>5699</v>
      </c>
      <c r="M63">
        <v>462.81</v>
      </c>
      <c r="N63" t="s">
        <v>6229</v>
      </c>
      <c r="O63" t="s">
        <v>6228</v>
      </c>
      <c r="P63" t="s">
        <v>329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3137</v>
      </c>
      <c r="W63" t="s">
        <v>326</v>
      </c>
      <c r="X63">
        <v>1</v>
      </c>
      <c r="Y63" t="s">
        <v>4401</v>
      </c>
      <c r="Z63" t="s">
        <v>4391</v>
      </c>
      <c r="AA63" t="s">
        <v>3297</v>
      </c>
      <c r="AB63" t="s">
        <v>4392</v>
      </c>
      <c r="AC63" t="s">
        <v>4396</v>
      </c>
      <c r="AD63" t="str">
        <f t="shared" si="4"/>
        <v>POR</v>
      </c>
      <c r="AE63" t="s">
        <v>6582</v>
      </c>
      <c r="AF63" t="s">
        <v>6230</v>
      </c>
    </row>
    <row r="64" spans="1:32" x14ac:dyDescent="0.3">
      <c r="A64" t="str">
        <f t="shared" si="0"/>
        <v>Desmonds Formal Wear</v>
      </c>
      <c r="B64">
        <v>403</v>
      </c>
      <c r="C64" t="s">
        <v>6212</v>
      </c>
      <c r="D64" t="s">
        <v>6217</v>
      </c>
      <c r="E64" t="s">
        <v>6216</v>
      </c>
      <c r="F64" t="s">
        <v>5701</v>
      </c>
      <c r="G64" t="s">
        <v>6224</v>
      </c>
      <c r="H64">
        <v>7.3</v>
      </c>
      <c r="I64" t="s">
        <v>6227</v>
      </c>
      <c r="J64">
        <v>3.1619999999999999</v>
      </c>
      <c r="K64" t="s">
        <v>326</v>
      </c>
      <c r="L64" t="s">
        <v>6226</v>
      </c>
      <c r="M64">
        <v>94.86</v>
      </c>
      <c r="N64" t="s">
        <v>5746</v>
      </c>
      <c r="O64" t="s">
        <v>6225</v>
      </c>
      <c r="P64" t="s">
        <v>329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3137</v>
      </c>
      <c r="W64" t="s">
        <v>326</v>
      </c>
      <c r="X64">
        <v>3</v>
      </c>
      <c r="Y64" t="s">
        <v>4401</v>
      </c>
      <c r="Z64" t="s">
        <v>4391</v>
      </c>
      <c r="AA64" t="s">
        <v>3297</v>
      </c>
      <c r="AB64" t="s">
        <v>4392</v>
      </c>
      <c r="AC64" t="s">
        <v>4396</v>
      </c>
      <c r="AD64" t="str">
        <f t="shared" si="4"/>
        <v>POR</v>
      </c>
      <c r="AE64" t="s">
        <v>6582</v>
      </c>
      <c r="AF64" t="s">
        <v>6227</v>
      </c>
    </row>
    <row r="65" spans="1:32" x14ac:dyDescent="0.3">
      <c r="A65" t="str">
        <f t="shared" si="0"/>
        <v>Desmonds Formal Wear</v>
      </c>
      <c r="B65">
        <v>403</v>
      </c>
      <c r="C65" t="s">
        <v>6212</v>
      </c>
      <c r="D65" t="s">
        <v>6217</v>
      </c>
      <c r="E65" t="s">
        <v>6216</v>
      </c>
      <c r="F65" t="s">
        <v>5701</v>
      </c>
      <c r="G65" t="s">
        <v>6224</v>
      </c>
      <c r="H65">
        <v>7.3</v>
      </c>
      <c r="I65" t="s">
        <v>6223</v>
      </c>
      <c r="J65">
        <v>2.1070000000000002</v>
      </c>
      <c r="K65" t="s">
        <v>326</v>
      </c>
      <c r="L65" t="s">
        <v>6222</v>
      </c>
      <c r="M65">
        <v>63.21</v>
      </c>
      <c r="N65" t="s">
        <v>5746</v>
      </c>
      <c r="O65" t="s">
        <v>6221</v>
      </c>
      <c r="P65" t="s">
        <v>329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3137</v>
      </c>
      <c r="W65" t="s">
        <v>326</v>
      </c>
      <c r="X65">
        <v>3</v>
      </c>
      <c r="Y65" t="s">
        <v>4401</v>
      </c>
      <c r="Z65" t="s">
        <v>4391</v>
      </c>
      <c r="AA65" t="s">
        <v>3297</v>
      </c>
      <c r="AB65" t="s">
        <v>4392</v>
      </c>
      <c r="AC65" t="s">
        <v>4396</v>
      </c>
      <c r="AD65" t="str">
        <f t="shared" si="4"/>
        <v>POR</v>
      </c>
      <c r="AE65" t="s">
        <v>6582</v>
      </c>
      <c r="AF65" t="s">
        <v>6223</v>
      </c>
    </row>
    <row r="66" spans="1:32" x14ac:dyDescent="0.3">
      <c r="A66" t="str">
        <f t="shared" si="0"/>
        <v>Desmonds Formal Wear</v>
      </c>
      <c r="B66">
        <v>403</v>
      </c>
      <c r="C66" t="s">
        <v>6212</v>
      </c>
      <c r="D66" t="s">
        <v>6217</v>
      </c>
      <c r="E66" t="s">
        <v>6216</v>
      </c>
      <c r="F66" t="s">
        <v>5762</v>
      </c>
      <c r="G66" t="s">
        <v>6215</v>
      </c>
      <c r="H66">
        <v>16.100000000000001</v>
      </c>
      <c r="I66" t="s">
        <v>6220</v>
      </c>
      <c r="J66">
        <v>7.9420000000000002</v>
      </c>
      <c r="K66" t="s">
        <v>326</v>
      </c>
      <c r="L66" t="s">
        <v>5810</v>
      </c>
      <c r="M66">
        <v>476.52</v>
      </c>
      <c r="N66" t="s">
        <v>6219</v>
      </c>
      <c r="O66" t="s">
        <v>6218</v>
      </c>
      <c r="P66" t="s">
        <v>329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3137</v>
      </c>
      <c r="W66" t="s">
        <v>326</v>
      </c>
      <c r="X66">
        <v>1</v>
      </c>
      <c r="Y66" t="s">
        <v>4401</v>
      </c>
      <c r="Z66" t="s">
        <v>4391</v>
      </c>
      <c r="AA66" t="s">
        <v>3297</v>
      </c>
      <c r="AB66" t="s">
        <v>4392</v>
      </c>
      <c r="AC66" t="s">
        <v>4396</v>
      </c>
      <c r="AD66" t="str">
        <f t="shared" si="4"/>
        <v>POR</v>
      </c>
      <c r="AE66" t="s">
        <v>6582</v>
      </c>
      <c r="AF66" t="s">
        <v>6220</v>
      </c>
    </row>
    <row r="67" spans="1:32" x14ac:dyDescent="0.3">
      <c r="A67" t="str">
        <f t="shared" ref="A67:A130" si="5">Y67</f>
        <v>Desmonds Formal Wear</v>
      </c>
      <c r="B67">
        <v>403</v>
      </c>
      <c r="C67" t="s">
        <v>6212</v>
      </c>
      <c r="D67" t="s">
        <v>6217</v>
      </c>
      <c r="E67" t="s">
        <v>6216</v>
      </c>
      <c r="F67" t="s">
        <v>5762</v>
      </c>
      <c r="G67" t="s">
        <v>6215</v>
      </c>
      <c r="H67">
        <v>16.100000000000001</v>
      </c>
      <c r="I67" t="s">
        <v>6214</v>
      </c>
      <c r="J67">
        <v>6.54</v>
      </c>
      <c r="K67" t="s">
        <v>326</v>
      </c>
      <c r="L67" t="s">
        <v>6213</v>
      </c>
      <c r="M67">
        <v>392.4</v>
      </c>
      <c r="N67" t="s">
        <v>5718</v>
      </c>
      <c r="O67">
        <v>725</v>
      </c>
      <c r="P67" t="s">
        <v>329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3137</v>
      </c>
      <c r="W67" t="s">
        <v>326</v>
      </c>
      <c r="X67">
        <v>2</v>
      </c>
      <c r="Y67" t="s">
        <v>4401</v>
      </c>
      <c r="Z67" t="s">
        <v>4391</v>
      </c>
      <c r="AA67" t="s">
        <v>3297</v>
      </c>
      <c r="AB67" t="s">
        <v>4392</v>
      </c>
      <c r="AC67" t="s">
        <v>4396</v>
      </c>
      <c r="AD67" t="str">
        <f t="shared" si="4"/>
        <v>POR</v>
      </c>
      <c r="AE67" t="s">
        <v>6582</v>
      </c>
      <c r="AF67" t="s">
        <v>6214</v>
      </c>
    </row>
    <row r="68" spans="1:32" x14ac:dyDescent="0.3">
      <c r="A68" t="str">
        <f t="shared" si="5"/>
        <v>The Wall</v>
      </c>
      <c r="B68">
        <v>403</v>
      </c>
      <c r="C68" t="s">
        <v>6212</v>
      </c>
      <c r="D68" t="s">
        <v>6211</v>
      </c>
      <c r="E68" t="s">
        <v>6210</v>
      </c>
      <c r="F68" t="s">
        <v>5700</v>
      </c>
      <c r="G68" t="s">
        <v>6209</v>
      </c>
      <c r="H68">
        <v>7.3</v>
      </c>
      <c r="I68" t="s">
        <v>6208</v>
      </c>
      <c r="J68">
        <v>0.23799999999999999</v>
      </c>
      <c r="K68" t="s">
        <v>326</v>
      </c>
      <c r="L68" t="s">
        <v>6207</v>
      </c>
      <c r="M68">
        <v>7.14</v>
      </c>
      <c r="N68" t="s">
        <v>5747</v>
      </c>
      <c r="O68" t="s">
        <v>6206</v>
      </c>
      <c r="P68" t="s">
        <v>3655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3137</v>
      </c>
      <c r="W68" t="s">
        <v>326</v>
      </c>
      <c r="X68">
        <v>3</v>
      </c>
      <c r="Y68" t="s">
        <v>4144</v>
      </c>
      <c r="Z68" t="s">
        <v>4133</v>
      </c>
      <c r="AA68" t="s">
        <v>4134</v>
      </c>
      <c r="AB68" t="s">
        <v>4135</v>
      </c>
      <c r="AC68" t="s">
        <v>4139</v>
      </c>
      <c r="AD68" t="str">
        <f>LEFT(I68,FIND(4,I68)-1)</f>
        <v>LRSC</v>
      </c>
      <c r="AE68" t="s">
        <v>6583</v>
      </c>
      <c r="AF68" t="s">
        <v>6208</v>
      </c>
    </row>
    <row r="69" spans="1:32" x14ac:dyDescent="0.3">
      <c r="A69" t="str">
        <f t="shared" si="5"/>
        <v>Highland Appliance</v>
      </c>
      <c r="B69">
        <v>405</v>
      </c>
      <c r="C69" t="s">
        <v>6197</v>
      </c>
      <c r="D69" t="s">
        <v>5799</v>
      </c>
      <c r="E69" t="s">
        <v>6196</v>
      </c>
      <c r="F69" t="s">
        <v>5700</v>
      </c>
      <c r="G69" t="s">
        <v>6205</v>
      </c>
      <c r="H69">
        <v>7.1</v>
      </c>
      <c r="I69" t="s">
        <v>6204</v>
      </c>
      <c r="J69">
        <v>32</v>
      </c>
      <c r="K69" t="s">
        <v>326</v>
      </c>
      <c r="L69" t="s">
        <v>6203</v>
      </c>
      <c r="M69">
        <v>960</v>
      </c>
      <c r="N69" t="s">
        <v>5712</v>
      </c>
      <c r="O69" t="s">
        <v>6202</v>
      </c>
      <c r="P69" t="s">
        <v>329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3137</v>
      </c>
      <c r="W69" t="s">
        <v>326</v>
      </c>
      <c r="X69">
        <v>1</v>
      </c>
      <c r="Y69" t="s">
        <v>4552</v>
      </c>
      <c r="Z69" t="s">
        <v>4544</v>
      </c>
      <c r="AA69" t="s">
        <v>3349</v>
      </c>
      <c r="AB69" t="s">
        <v>3986</v>
      </c>
      <c r="AC69" t="s">
        <v>4548</v>
      </c>
      <c r="AD69" t="str">
        <f>LEFT(I69,FIND(0,I69)-1)</f>
        <v>GLOS</v>
      </c>
      <c r="AE69" t="s">
        <v>6584</v>
      </c>
      <c r="AF69" t="s">
        <v>6204</v>
      </c>
    </row>
    <row r="70" spans="1:32" x14ac:dyDescent="0.3">
      <c r="A70" t="str">
        <f t="shared" si="5"/>
        <v>Indiewealth</v>
      </c>
      <c r="B70">
        <v>405</v>
      </c>
      <c r="C70" t="s">
        <v>6197</v>
      </c>
      <c r="D70" t="s">
        <v>5799</v>
      </c>
      <c r="E70" t="s">
        <v>6196</v>
      </c>
      <c r="F70" t="s">
        <v>6201</v>
      </c>
      <c r="G70" t="s">
        <v>6200</v>
      </c>
      <c r="H70">
        <v>16.100000000000001</v>
      </c>
      <c r="I70" t="s">
        <v>6199</v>
      </c>
      <c r="J70">
        <v>1.1100000000000001</v>
      </c>
      <c r="K70" t="s">
        <v>326</v>
      </c>
      <c r="L70" t="s">
        <v>5803</v>
      </c>
      <c r="M70">
        <v>66.599999999999994</v>
      </c>
      <c r="N70" t="s">
        <v>5775</v>
      </c>
      <c r="O70" t="s">
        <v>6198</v>
      </c>
      <c r="P70" t="s">
        <v>3655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3137</v>
      </c>
      <c r="W70" t="s">
        <v>326</v>
      </c>
      <c r="X70">
        <v>2</v>
      </c>
      <c r="Y70" t="s">
        <v>3619</v>
      </c>
      <c r="Z70" t="s">
        <v>3610</v>
      </c>
      <c r="AA70" t="s">
        <v>2</v>
      </c>
      <c r="AB70" t="s">
        <v>3367</v>
      </c>
      <c r="AC70" t="s">
        <v>3614</v>
      </c>
      <c r="AD70" t="str">
        <f>LEFT(I70,FIND(4,I70)-1)</f>
        <v>ECO</v>
      </c>
      <c r="AE70" t="s">
        <v>6585</v>
      </c>
      <c r="AF70" t="s">
        <v>6199</v>
      </c>
    </row>
    <row r="71" spans="1:32" x14ac:dyDescent="0.3">
      <c r="A71" t="str">
        <f t="shared" si="5"/>
        <v>Highland Appliance</v>
      </c>
      <c r="B71">
        <v>405</v>
      </c>
      <c r="C71" t="s">
        <v>6197</v>
      </c>
      <c r="D71" t="s">
        <v>5799</v>
      </c>
      <c r="E71" t="s">
        <v>6196</v>
      </c>
      <c r="F71" t="s">
        <v>5745</v>
      </c>
      <c r="G71" t="s">
        <v>6195</v>
      </c>
      <c r="H71">
        <v>10.199999999999999</v>
      </c>
      <c r="I71" t="s">
        <v>6194</v>
      </c>
      <c r="J71">
        <v>33</v>
      </c>
      <c r="K71" t="s">
        <v>326</v>
      </c>
      <c r="L71" t="s">
        <v>5748</v>
      </c>
      <c r="M71">
        <v>990</v>
      </c>
      <c r="N71" t="s">
        <v>6193</v>
      </c>
      <c r="O71" t="s">
        <v>6192</v>
      </c>
      <c r="P71" t="s">
        <v>329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3137</v>
      </c>
      <c r="W71" t="s">
        <v>326</v>
      </c>
      <c r="X71">
        <v>1</v>
      </c>
      <c r="Y71" t="s">
        <v>4552</v>
      </c>
      <c r="Z71" t="s">
        <v>4544</v>
      </c>
      <c r="AA71" t="s">
        <v>3349</v>
      </c>
      <c r="AB71" t="s">
        <v>3986</v>
      </c>
      <c r="AC71" t="s">
        <v>4548</v>
      </c>
      <c r="AD71" t="str">
        <f>LEFT(I71,FIND(0,I71)-1)</f>
        <v>GLOS</v>
      </c>
      <c r="AE71" t="s">
        <v>6584</v>
      </c>
      <c r="AF71" t="s">
        <v>6194</v>
      </c>
    </row>
    <row r="72" spans="1:32" x14ac:dyDescent="0.3">
      <c r="A72" t="str">
        <f t="shared" si="5"/>
        <v>Wells &amp; Wade</v>
      </c>
      <c r="B72">
        <v>406</v>
      </c>
      <c r="C72" t="s">
        <v>5952</v>
      </c>
      <c r="D72" t="s">
        <v>6008</v>
      </c>
      <c r="E72" t="s">
        <v>6007</v>
      </c>
      <c r="F72" t="s">
        <v>5743</v>
      </c>
      <c r="G72" t="s">
        <v>6191</v>
      </c>
      <c r="H72">
        <v>15.1</v>
      </c>
      <c r="I72" t="s">
        <v>6190</v>
      </c>
      <c r="J72">
        <v>14</v>
      </c>
      <c r="K72" t="s">
        <v>326</v>
      </c>
      <c r="L72" t="s">
        <v>6189</v>
      </c>
      <c r="M72">
        <v>425</v>
      </c>
      <c r="N72" t="s">
        <v>5722</v>
      </c>
      <c r="O72" t="s">
        <v>6188</v>
      </c>
      <c r="P72" t="s">
        <v>329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3137</v>
      </c>
      <c r="W72" t="s">
        <v>326</v>
      </c>
      <c r="X72">
        <v>1</v>
      </c>
      <c r="Y72" t="s">
        <v>3204</v>
      </c>
      <c r="Z72" t="s">
        <v>3193</v>
      </c>
      <c r="AA72" t="s">
        <v>3194</v>
      </c>
      <c r="AB72" t="s">
        <v>3195</v>
      </c>
      <c r="AC72" t="s">
        <v>3199</v>
      </c>
      <c r="AD72" t="str">
        <f>LEFT(I72,FIND(0,I72)-1)</f>
        <v>BBCO</v>
      </c>
      <c r="AE72" t="s">
        <v>6586</v>
      </c>
      <c r="AF72" t="s">
        <v>6190</v>
      </c>
    </row>
    <row r="73" spans="1:32" x14ac:dyDescent="0.3">
      <c r="A73" t="str">
        <f t="shared" si="5"/>
        <v>Old America Stores</v>
      </c>
      <c r="B73">
        <v>406</v>
      </c>
      <c r="C73" t="s">
        <v>5952</v>
      </c>
      <c r="D73" t="s">
        <v>6008</v>
      </c>
      <c r="E73" t="s">
        <v>6007</v>
      </c>
      <c r="F73" t="s">
        <v>5728</v>
      </c>
      <c r="G73" t="s">
        <v>5967</v>
      </c>
      <c r="H73">
        <v>15.1</v>
      </c>
      <c r="I73" t="s">
        <v>6187</v>
      </c>
      <c r="J73">
        <v>27</v>
      </c>
      <c r="K73" t="s">
        <v>326</v>
      </c>
      <c r="L73" t="s">
        <v>5779</v>
      </c>
      <c r="M73">
        <v>869</v>
      </c>
      <c r="N73" t="s">
        <v>5717</v>
      </c>
      <c r="O73" t="s">
        <v>5802</v>
      </c>
      <c r="P73" t="s">
        <v>329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3137</v>
      </c>
      <c r="W73" t="s">
        <v>326</v>
      </c>
      <c r="X73">
        <v>1</v>
      </c>
      <c r="Y73" t="s">
        <v>4569</v>
      </c>
      <c r="Z73" t="s">
        <v>4558</v>
      </c>
      <c r="AA73" t="s">
        <v>4559</v>
      </c>
      <c r="AB73" t="s">
        <v>4560</v>
      </c>
      <c r="AC73" t="s">
        <v>4564</v>
      </c>
      <c r="AD73" t="str">
        <f>LEFT(I73,FIND(0,I73)-1)</f>
        <v>SONN</v>
      </c>
      <c r="AE73" t="s">
        <v>6587</v>
      </c>
      <c r="AF73" t="s">
        <v>6187</v>
      </c>
    </row>
    <row r="74" spans="1:32" x14ac:dyDescent="0.3">
      <c r="A74" t="str">
        <f t="shared" si="5"/>
        <v>Old America Stores</v>
      </c>
      <c r="B74">
        <v>406</v>
      </c>
      <c r="C74" t="s">
        <v>5952</v>
      </c>
      <c r="D74" t="s">
        <v>6008</v>
      </c>
      <c r="E74" t="s">
        <v>6007</v>
      </c>
      <c r="F74" t="s">
        <v>5728</v>
      </c>
      <c r="G74" t="s">
        <v>5967</v>
      </c>
      <c r="H74">
        <v>15.1</v>
      </c>
      <c r="I74" t="s">
        <v>6186</v>
      </c>
      <c r="J74">
        <v>10.029999999999999</v>
      </c>
      <c r="K74" t="s">
        <v>326</v>
      </c>
      <c r="L74" t="s">
        <v>6152</v>
      </c>
      <c r="M74">
        <v>343.93299999999999</v>
      </c>
      <c r="N74" t="s">
        <v>5722</v>
      </c>
      <c r="O74" t="s">
        <v>6185</v>
      </c>
      <c r="P74" t="s">
        <v>329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3137</v>
      </c>
      <c r="W74" t="s">
        <v>326</v>
      </c>
      <c r="X74">
        <v>3</v>
      </c>
      <c r="Y74" t="s">
        <v>4569</v>
      </c>
      <c r="Z74" t="s">
        <v>4558</v>
      </c>
      <c r="AA74" t="s">
        <v>4559</v>
      </c>
      <c r="AB74" t="s">
        <v>4560</v>
      </c>
      <c r="AC74" t="s">
        <v>4564</v>
      </c>
      <c r="AD74" t="str">
        <f>LEFT(I74,FIND(4,I74)-1)</f>
        <v>SONN</v>
      </c>
      <c r="AE74" t="s">
        <v>6587</v>
      </c>
      <c r="AF74" t="s">
        <v>6186</v>
      </c>
    </row>
    <row r="75" spans="1:32" x14ac:dyDescent="0.3">
      <c r="A75" t="str">
        <f t="shared" si="5"/>
        <v>Wells &amp; Wade</v>
      </c>
      <c r="B75">
        <v>406</v>
      </c>
      <c r="C75" t="s">
        <v>5952</v>
      </c>
      <c r="D75" t="s">
        <v>6008</v>
      </c>
      <c r="E75" t="s">
        <v>6007</v>
      </c>
      <c r="F75" t="s">
        <v>5789</v>
      </c>
      <c r="G75" t="s">
        <v>6178</v>
      </c>
      <c r="H75">
        <v>15.1</v>
      </c>
      <c r="I75" t="s">
        <v>6184</v>
      </c>
      <c r="J75">
        <v>16</v>
      </c>
      <c r="K75" t="s">
        <v>326</v>
      </c>
      <c r="L75" t="s">
        <v>6025</v>
      </c>
      <c r="M75">
        <v>713.33299999999997</v>
      </c>
      <c r="N75" t="s">
        <v>5717</v>
      </c>
      <c r="O75" t="s">
        <v>6183</v>
      </c>
      <c r="P75" t="s">
        <v>329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3137</v>
      </c>
      <c r="W75" t="s">
        <v>326</v>
      </c>
      <c r="X75">
        <v>1</v>
      </c>
      <c r="Y75" t="s">
        <v>3204</v>
      </c>
      <c r="Z75" t="s">
        <v>3193</v>
      </c>
      <c r="AA75" t="s">
        <v>3194</v>
      </c>
      <c r="AB75" t="s">
        <v>3195</v>
      </c>
      <c r="AC75" t="s">
        <v>3199</v>
      </c>
      <c r="AD75" t="str">
        <f>LEFT(I75,FIND(0,I75)-1)</f>
        <v>BBCO</v>
      </c>
      <c r="AE75" t="s">
        <v>6586</v>
      </c>
      <c r="AF75" t="s">
        <v>6184</v>
      </c>
    </row>
    <row r="76" spans="1:32" x14ac:dyDescent="0.3">
      <c r="A76" t="str">
        <f t="shared" si="5"/>
        <v>Accord Investments</v>
      </c>
      <c r="B76">
        <v>406</v>
      </c>
      <c r="C76" t="s">
        <v>5952</v>
      </c>
      <c r="D76" t="s">
        <v>6008</v>
      </c>
      <c r="E76" t="s">
        <v>6007</v>
      </c>
      <c r="F76" t="s">
        <v>5789</v>
      </c>
      <c r="G76" t="s">
        <v>6178</v>
      </c>
      <c r="H76">
        <v>15.1</v>
      </c>
      <c r="I76" t="s">
        <v>6182</v>
      </c>
      <c r="J76">
        <v>25</v>
      </c>
      <c r="K76" t="s">
        <v>326</v>
      </c>
      <c r="L76" t="s">
        <v>5699</v>
      </c>
      <c r="M76">
        <v>888.16700000000003</v>
      </c>
      <c r="N76" t="s">
        <v>5729</v>
      </c>
      <c r="O76" t="s">
        <v>5887</v>
      </c>
      <c r="P76" t="s">
        <v>329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3137</v>
      </c>
      <c r="W76" t="s">
        <v>326</v>
      </c>
      <c r="X76">
        <v>1</v>
      </c>
      <c r="Y76" t="s">
        <v>4837</v>
      </c>
      <c r="Z76" t="s">
        <v>4828</v>
      </c>
      <c r="AA76" t="s">
        <v>3769</v>
      </c>
      <c r="AB76" t="s">
        <v>3770</v>
      </c>
      <c r="AC76" t="s">
        <v>4832</v>
      </c>
      <c r="AD76" t="str">
        <f>LEFT(I76,FIND(0,I76)-1)</f>
        <v>CLEM</v>
      </c>
      <c r="AE76" t="s">
        <v>6588</v>
      </c>
      <c r="AF76" t="s">
        <v>6182</v>
      </c>
    </row>
    <row r="77" spans="1:32" x14ac:dyDescent="0.3">
      <c r="A77" t="str">
        <f t="shared" si="5"/>
        <v>Lawnscape Garden Maintenance</v>
      </c>
      <c r="B77">
        <v>406</v>
      </c>
      <c r="C77" t="s">
        <v>5952</v>
      </c>
      <c r="D77" t="s">
        <v>6008</v>
      </c>
      <c r="E77" t="s">
        <v>6007</v>
      </c>
      <c r="F77" t="s">
        <v>5789</v>
      </c>
      <c r="G77" t="s">
        <v>6178</v>
      </c>
      <c r="H77">
        <v>15.1</v>
      </c>
      <c r="I77" t="s">
        <v>6181</v>
      </c>
      <c r="J77">
        <v>3.625</v>
      </c>
      <c r="K77" t="s">
        <v>326</v>
      </c>
      <c r="L77" t="s">
        <v>6180</v>
      </c>
      <c r="M77">
        <v>128.75</v>
      </c>
      <c r="N77" t="s">
        <v>5778</v>
      </c>
      <c r="O77" t="s">
        <v>6179</v>
      </c>
      <c r="P77" t="s">
        <v>329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3137</v>
      </c>
      <c r="W77" t="s">
        <v>326</v>
      </c>
      <c r="X77">
        <v>3</v>
      </c>
      <c r="Y77" t="s">
        <v>4371</v>
      </c>
      <c r="Z77" t="s">
        <v>4362</v>
      </c>
      <c r="AA77" t="s">
        <v>3399</v>
      </c>
      <c r="AB77" t="s">
        <v>4363</v>
      </c>
      <c r="AC77" t="s">
        <v>4367</v>
      </c>
      <c r="AD77" t="str">
        <f>LEFT(I77,FIND(4,I77)-1)</f>
        <v>PSC</v>
      </c>
      <c r="AE77" t="s">
        <v>6589</v>
      </c>
      <c r="AF77" t="s">
        <v>6181</v>
      </c>
    </row>
    <row r="78" spans="1:32" x14ac:dyDescent="0.3">
      <c r="A78" t="str">
        <f t="shared" si="5"/>
        <v>Warehouse Club Inc.</v>
      </c>
      <c r="B78">
        <v>406</v>
      </c>
      <c r="C78" t="s">
        <v>5952</v>
      </c>
      <c r="D78" t="s">
        <v>6008</v>
      </c>
      <c r="E78" t="s">
        <v>6007</v>
      </c>
      <c r="F78" t="s">
        <v>5789</v>
      </c>
      <c r="G78" t="s">
        <v>6178</v>
      </c>
      <c r="H78">
        <v>15.1</v>
      </c>
      <c r="I78" t="s">
        <v>6177</v>
      </c>
      <c r="J78">
        <v>14</v>
      </c>
      <c r="K78" t="s">
        <v>326</v>
      </c>
      <c r="L78" t="s">
        <v>5808</v>
      </c>
      <c r="M78">
        <v>612.75</v>
      </c>
      <c r="N78" t="s">
        <v>5744</v>
      </c>
      <c r="O78" t="s">
        <v>5887</v>
      </c>
      <c r="P78" t="s">
        <v>329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3137</v>
      </c>
      <c r="W78" t="s">
        <v>326</v>
      </c>
      <c r="X78">
        <v>1</v>
      </c>
      <c r="Y78" t="s">
        <v>3604</v>
      </c>
      <c r="Z78" t="s">
        <v>4515</v>
      </c>
      <c r="AA78" t="s">
        <v>2</v>
      </c>
      <c r="AB78" t="s">
        <v>3940</v>
      </c>
      <c r="AC78" t="s">
        <v>4519</v>
      </c>
      <c r="AD78" t="str">
        <f t="shared" ref="AD78:AD80" si="6">LEFT(I78,FIND(0,I78)-1)</f>
        <v>SEMI</v>
      </c>
      <c r="AE78" t="s">
        <v>6590</v>
      </c>
      <c r="AF78" t="s">
        <v>6177</v>
      </c>
    </row>
    <row r="79" spans="1:32" x14ac:dyDescent="0.3">
      <c r="A79" t="str">
        <f t="shared" si="5"/>
        <v>Accord Investments</v>
      </c>
      <c r="B79">
        <v>406</v>
      </c>
      <c r="C79" t="s">
        <v>5952</v>
      </c>
      <c r="D79" t="s">
        <v>6008</v>
      </c>
      <c r="E79" t="s">
        <v>6007</v>
      </c>
      <c r="F79" t="s">
        <v>5701</v>
      </c>
      <c r="G79" t="s">
        <v>6171</v>
      </c>
      <c r="H79">
        <v>7.1</v>
      </c>
      <c r="I79" t="s">
        <v>6176</v>
      </c>
      <c r="J79">
        <v>22</v>
      </c>
      <c r="K79" t="s">
        <v>326</v>
      </c>
      <c r="L79" t="s">
        <v>5699</v>
      </c>
      <c r="M79">
        <v>712</v>
      </c>
      <c r="N79" t="s">
        <v>5729</v>
      </c>
      <c r="O79" t="s">
        <v>6175</v>
      </c>
      <c r="P79" t="s">
        <v>329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3137</v>
      </c>
      <c r="W79" t="s">
        <v>326</v>
      </c>
      <c r="X79">
        <v>1</v>
      </c>
      <c r="Y79" t="s">
        <v>4837</v>
      </c>
      <c r="Z79" t="s">
        <v>4828</v>
      </c>
      <c r="AA79" t="s">
        <v>3769</v>
      </c>
      <c r="AB79" t="s">
        <v>3770</v>
      </c>
      <c r="AC79" t="s">
        <v>4832</v>
      </c>
      <c r="AD79" t="str">
        <f t="shared" si="6"/>
        <v>CLEM</v>
      </c>
      <c r="AE79" t="s">
        <v>6588</v>
      </c>
      <c r="AF79" t="s">
        <v>6176</v>
      </c>
    </row>
    <row r="80" spans="1:32" x14ac:dyDescent="0.3">
      <c r="A80" t="str">
        <f t="shared" si="5"/>
        <v>First Choice Yard Help</v>
      </c>
      <c r="B80">
        <v>406</v>
      </c>
      <c r="C80" t="s">
        <v>5952</v>
      </c>
      <c r="D80" t="s">
        <v>6008</v>
      </c>
      <c r="E80" t="s">
        <v>6007</v>
      </c>
      <c r="F80" t="s">
        <v>5701</v>
      </c>
      <c r="G80" t="s">
        <v>6171</v>
      </c>
      <c r="H80">
        <v>7.1</v>
      </c>
      <c r="I80" t="s">
        <v>6174</v>
      </c>
      <c r="J80">
        <v>13</v>
      </c>
      <c r="K80" t="s">
        <v>326</v>
      </c>
      <c r="L80" t="s">
        <v>5699</v>
      </c>
      <c r="M80">
        <v>522.16700000000003</v>
      </c>
      <c r="N80" t="s">
        <v>5722</v>
      </c>
      <c r="O80" t="s">
        <v>6173</v>
      </c>
      <c r="P80" t="s">
        <v>329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3137</v>
      </c>
      <c r="W80" t="s">
        <v>326</v>
      </c>
      <c r="X80">
        <v>1</v>
      </c>
      <c r="Y80" t="s">
        <v>4342</v>
      </c>
      <c r="Z80" t="s">
        <v>4331</v>
      </c>
      <c r="AA80" t="s">
        <v>4332</v>
      </c>
      <c r="AB80" t="s">
        <v>4333</v>
      </c>
      <c r="AC80" t="s">
        <v>4337</v>
      </c>
      <c r="AD80" t="str">
        <f t="shared" si="6"/>
        <v>PERK</v>
      </c>
      <c r="AE80" t="s">
        <v>6591</v>
      </c>
      <c r="AF80" t="s">
        <v>6174</v>
      </c>
    </row>
    <row r="81" spans="1:32" x14ac:dyDescent="0.3">
      <c r="A81" t="str">
        <f t="shared" si="5"/>
        <v>Old America Stores</v>
      </c>
      <c r="B81">
        <v>406</v>
      </c>
      <c r="C81" t="s">
        <v>5952</v>
      </c>
      <c r="D81" t="s">
        <v>6008</v>
      </c>
      <c r="E81" t="s">
        <v>6007</v>
      </c>
      <c r="F81" t="s">
        <v>5701</v>
      </c>
      <c r="G81" t="s">
        <v>6171</v>
      </c>
      <c r="H81">
        <v>7.1</v>
      </c>
      <c r="I81" t="s">
        <v>6172</v>
      </c>
      <c r="J81">
        <v>10.029999999999999</v>
      </c>
      <c r="K81" t="s">
        <v>326</v>
      </c>
      <c r="L81" t="s">
        <v>6152</v>
      </c>
      <c r="M81">
        <v>319.56700000000001</v>
      </c>
      <c r="N81" t="s">
        <v>5722</v>
      </c>
      <c r="O81">
        <v>308</v>
      </c>
      <c r="P81" t="s">
        <v>329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3137</v>
      </c>
      <c r="W81" t="s">
        <v>326</v>
      </c>
      <c r="X81">
        <v>3</v>
      </c>
      <c r="Y81" t="s">
        <v>4569</v>
      </c>
      <c r="Z81" t="s">
        <v>4558</v>
      </c>
      <c r="AA81" t="s">
        <v>4559</v>
      </c>
      <c r="AB81" t="s">
        <v>4560</v>
      </c>
      <c r="AC81" t="s">
        <v>4564</v>
      </c>
      <c r="AD81" t="str">
        <f>LEFT(I81,FIND(4,I81)-1)</f>
        <v>SONN</v>
      </c>
      <c r="AE81" t="s">
        <v>6587</v>
      </c>
      <c r="AF81" t="s">
        <v>6172</v>
      </c>
    </row>
    <row r="82" spans="1:32" x14ac:dyDescent="0.3">
      <c r="A82" t="str">
        <f t="shared" si="5"/>
        <v>Old America Stores</v>
      </c>
      <c r="B82">
        <v>406</v>
      </c>
      <c r="C82" t="s">
        <v>5952</v>
      </c>
      <c r="D82" t="s">
        <v>6008</v>
      </c>
      <c r="E82" t="s">
        <v>6007</v>
      </c>
      <c r="F82" t="s">
        <v>5701</v>
      </c>
      <c r="G82" t="s">
        <v>6171</v>
      </c>
      <c r="H82">
        <v>7.1</v>
      </c>
      <c r="I82" t="s">
        <v>6170</v>
      </c>
      <c r="J82">
        <v>7.2110000000000003</v>
      </c>
      <c r="K82" t="s">
        <v>326</v>
      </c>
      <c r="L82" t="s">
        <v>6169</v>
      </c>
      <c r="M82">
        <v>314.66300000000001</v>
      </c>
      <c r="N82" t="s">
        <v>5804</v>
      </c>
      <c r="O82" t="s">
        <v>6168</v>
      </c>
      <c r="P82" t="s">
        <v>329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3137</v>
      </c>
      <c r="W82" t="s">
        <v>326</v>
      </c>
      <c r="X82">
        <v>3</v>
      </c>
      <c r="Y82" t="s">
        <v>4569</v>
      </c>
      <c r="Z82" t="s">
        <v>4558</v>
      </c>
      <c r="AA82" t="s">
        <v>4559</v>
      </c>
      <c r="AB82" t="s">
        <v>4560</v>
      </c>
      <c r="AC82" t="s">
        <v>4564</v>
      </c>
      <c r="AD82" t="str">
        <f>LEFT(I82,FIND(4,I82)-1)</f>
        <v>SONN</v>
      </c>
      <c r="AE82" t="s">
        <v>6587</v>
      </c>
      <c r="AF82" t="s">
        <v>6170</v>
      </c>
    </row>
    <row r="83" spans="1:32" x14ac:dyDescent="0.3">
      <c r="A83" t="str">
        <f t="shared" si="5"/>
        <v>Pantry Food Stores</v>
      </c>
      <c r="B83">
        <v>406</v>
      </c>
      <c r="C83" t="s">
        <v>5952</v>
      </c>
      <c r="D83" t="s">
        <v>6008</v>
      </c>
      <c r="E83" t="s">
        <v>6007</v>
      </c>
      <c r="F83" t="s">
        <v>5700</v>
      </c>
      <c r="G83" t="s">
        <v>6147</v>
      </c>
      <c r="H83">
        <v>7.1</v>
      </c>
      <c r="I83" t="s">
        <v>6167</v>
      </c>
      <c r="J83">
        <v>9.0679999999999996</v>
      </c>
      <c r="K83" t="s">
        <v>326</v>
      </c>
      <c r="L83" t="s">
        <v>6166</v>
      </c>
      <c r="M83">
        <v>475.87299999999999</v>
      </c>
      <c r="N83" t="s">
        <v>5747</v>
      </c>
      <c r="O83" t="s">
        <v>5765</v>
      </c>
      <c r="P83" t="s">
        <v>329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3137</v>
      </c>
      <c r="W83" t="s">
        <v>326</v>
      </c>
      <c r="X83">
        <v>3</v>
      </c>
      <c r="Y83" t="s">
        <v>3342</v>
      </c>
      <c r="Z83" t="s">
        <v>3331</v>
      </c>
      <c r="AA83" t="s">
        <v>3332</v>
      </c>
      <c r="AB83" t="s">
        <v>3333</v>
      </c>
      <c r="AC83" t="s">
        <v>3337</v>
      </c>
      <c r="AD83" t="str">
        <f>LEFT(I83,FIND(4,I83)-1)</f>
        <v>IRON</v>
      </c>
      <c r="AE83" t="s">
        <v>6592</v>
      </c>
      <c r="AF83" t="s">
        <v>6167</v>
      </c>
    </row>
    <row r="84" spans="1:32" x14ac:dyDescent="0.3">
      <c r="A84" t="str">
        <f t="shared" si="5"/>
        <v>Pantry Food Stores</v>
      </c>
      <c r="B84">
        <v>406</v>
      </c>
      <c r="C84" t="s">
        <v>5952</v>
      </c>
      <c r="D84" t="s">
        <v>6008</v>
      </c>
      <c r="E84" t="s">
        <v>6007</v>
      </c>
      <c r="F84" t="s">
        <v>5700</v>
      </c>
      <c r="G84" t="s">
        <v>6147</v>
      </c>
      <c r="H84">
        <v>7.1</v>
      </c>
      <c r="I84" t="s">
        <v>6165</v>
      </c>
      <c r="J84">
        <v>7.2709999999999999</v>
      </c>
      <c r="K84" t="s">
        <v>326</v>
      </c>
      <c r="L84" t="s">
        <v>6078</v>
      </c>
      <c r="M84">
        <v>260.79700000000003</v>
      </c>
      <c r="N84" t="s">
        <v>5778</v>
      </c>
      <c r="O84" t="s">
        <v>5741</v>
      </c>
      <c r="P84" t="s">
        <v>329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3137</v>
      </c>
      <c r="W84" t="s">
        <v>326</v>
      </c>
      <c r="X84">
        <v>3</v>
      </c>
      <c r="Y84" t="s">
        <v>3342</v>
      </c>
      <c r="Z84" t="s">
        <v>3331</v>
      </c>
      <c r="AA84" t="s">
        <v>3332</v>
      </c>
      <c r="AB84" t="s">
        <v>3333</v>
      </c>
      <c r="AC84" t="s">
        <v>3337</v>
      </c>
      <c r="AD84" t="str">
        <f>LEFT(I84,FIND(4,I84)-1)</f>
        <v>IRON</v>
      </c>
      <c r="AE84" t="s">
        <v>6592</v>
      </c>
      <c r="AF84" t="s">
        <v>6165</v>
      </c>
    </row>
    <row r="85" spans="1:32" x14ac:dyDescent="0.3">
      <c r="A85" t="str">
        <f t="shared" si="5"/>
        <v>First Choice Yard Help</v>
      </c>
      <c r="B85">
        <v>406</v>
      </c>
      <c r="C85" t="s">
        <v>5952</v>
      </c>
      <c r="D85" t="s">
        <v>6008</v>
      </c>
      <c r="E85" t="s">
        <v>6007</v>
      </c>
      <c r="F85" t="s">
        <v>5700</v>
      </c>
      <c r="G85" t="s">
        <v>6147</v>
      </c>
      <c r="H85">
        <v>7.1</v>
      </c>
      <c r="I85" t="s">
        <v>6164</v>
      </c>
      <c r="J85">
        <v>13</v>
      </c>
      <c r="K85" t="s">
        <v>326</v>
      </c>
      <c r="L85" t="s">
        <v>6163</v>
      </c>
      <c r="M85">
        <v>567.5</v>
      </c>
      <c r="N85" t="s">
        <v>5760</v>
      </c>
      <c r="O85" t="s">
        <v>6162</v>
      </c>
      <c r="P85" t="s">
        <v>329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3137</v>
      </c>
      <c r="W85" t="s">
        <v>326</v>
      </c>
      <c r="X85">
        <v>1</v>
      </c>
      <c r="Y85" t="s">
        <v>4342</v>
      </c>
      <c r="Z85" t="s">
        <v>4331</v>
      </c>
      <c r="AA85" t="s">
        <v>4332</v>
      </c>
      <c r="AB85" t="s">
        <v>4333</v>
      </c>
      <c r="AC85" t="s">
        <v>4337</v>
      </c>
      <c r="AD85" t="str">
        <f t="shared" ref="AD85:AD87" si="7">LEFT(I85,FIND(0,I85)-1)</f>
        <v>PERK</v>
      </c>
      <c r="AE85" t="s">
        <v>6591</v>
      </c>
      <c r="AF85" t="s">
        <v>6164</v>
      </c>
    </row>
    <row r="86" spans="1:32" x14ac:dyDescent="0.3">
      <c r="A86" t="str">
        <f t="shared" si="5"/>
        <v>First Choice Yard Help</v>
      </c>
      <c r="B86">
        <v>406</v>
      </c>
      <c r="C86" t="s">
        <v>5952</v>
      </c>
      <c r="D86" t="s">
        <v>6008</v>
      </c>
      <c r="E86" t="s">
        <v>6007</v>
      </c>
      <c r="F86" t="s">
        <v>5700</v>
      </c>
      <c r="G86" t="s">
        <v>6147</v>
      </c>
      <c r="H86">
        <v>7.1</v>
      </c>
      <c r="I86" t="s">
        <v>6161</v>
      </c>
      <c r="J86">
        <v>13</v>
      </c>
      <c r="K86" t="s">
        <v>326</v>
      </c>
      <c r="L86" t="s">
        <v>5699</v>
      </c>
      <c r="M86">
        <v>533.33299999999997</v>
      </c>
      <c r="N86" t="s">
        <v>5760</v>
      </c>
      <c r="O86" t="s">
        <v>6160</v>
      </c>
      <c r="P86" t="s">
        <v>329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3137</v>
      </c>
      <c r="W86" t="s">
        <v>326</v>
      </c>
      <c r="X86">
        <v>3</v>
      </c>
      <c r="Y86" t="s">
        <v>4342</v>
      </c>
      <c r="Z86" t="s">
        <v>4331</v>
      </c>
      <c r="AA86" t="s">
        <v>4332</v>
      </c>
      <c r="AB86" t="s">
        <v>4333</v>
      </c>
      <c r="AC86" t="s">
        <v>4337</v>
      </c>
      <c r="AD86" t="str">
        <f t="shared" si="7"/>
        <v>PERK</v>
      </c>
      <c r="AE86" t="s">
        <v>6591</v>
      </c>
      <c r="AF86" t="s">
        <v>6161</v>
      </c>
    </row>
    <row r="87" spans="1:32" x14ac:dyDescent="0.3">
      <c r="A87" t="str">
        <f t="shared" si="5"/>
        <v>Newmark &amp; Lewis</v>
      </c>
      <c r="B87">
        <v>406</v>
      </c>
      <c r="C87" t="s">
        <v>5952</v>
      </c>
      <c r="D87" t="s">
        <v>6008</v>
      </c>
      <c r="E87" t="s">
        <v>6007</v>
      </c>
      <c r="F87" t="s">
        <v>5700</v>
      </c>
      <c r="G87" t="s">
        <v>6147</v>
      </c>
      <c r="H87">
        <v>7.1</v>
      </c>
      <c r="I87" t="s">
        <v>6159</v>
      </c>
      <c r="J87">
        <v>22</v>
      </c>
      <c r="K87" t="s">
        <v>326</v>
      </c>
      <c r="L87" t="s">
        <v>6158</v>
      </c>
      <c r="M87">
        <v>768.16700000000003</v>
      </c>
      <c r="N87" t="s">
        <v>5712</v>
      </c>
      <c r="O87" t="s">
        <v>6157</v>
      </c>
      <c r="P87" t="s">
        <v>329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3137</v>
      </c>
      <c r="W87" t="s">
        <v>326</v>
      </c>
      <c r="X87">
        <v>1</v>
      </c>
      <c r="Y87" t="s">
        <v>4447</v>
      </c>
      <c r="Z87" t="s">
        <v>4438</v>
      </c>
      <c r="AA87" t="s">
        <v>2</v>
      </c>
      <c r="AB87" t="s">
        <v>3367</v>
      </c>
      <c r="AC87" t="s">
        <v>4442</v>
      </c>
      <c r="AD87" t="str">
        <f t="shared" si="7"/>
        <v>RICO</v>
      </c>
      <c r="AE87" t="s">
        <v>6593</v>
      </c>
      <c r="AF87" t="s">
        <v>6159</v>
      </c>
    </row>
    <row r="88" spans="1:32" x14ac:dyDescent="0.3">
      <c r="A88" t="str">
        <f t="shared" si="5"/>
        <v>Newmark &amp; Lewis</v>
      </c>
      <c r="B88">
        <v>406</v>
      </c>
      <c r="C88" t="s">
        <v>5952</v>
      </c>
      <c r="D88" t="s">
        <v>6008</v>
      </c>
      <c r="E88" t="s">
        <v>6007</v>
      </c>
      <c r="F88" t="s">
        <v>5700</v>
      </c>
      <c r="G88" t="s">
        <v>6147</v>
      </c>
      <c r="H88">
        <v>7.1</v>
      </c>
      <c r="I88" t="s">
        <v>6156</v>
      </c>
      <c r="J88">
        <v>7.71</v>
      </c>
      <c r="K88" t="s">
        <v>326</v>
      </c>
      <c r="L88" t="s">
        <v>6155</v>
      </c>
      <c r="M88">
        <v>231.3</v>
      </c>
      <c r="N88" t="s">
        <v>5778</v>
      </c>
      <c r="O88" t="s">
        <v>5741</v>
      </c>
      <c r="P88" t="s">
        <v>329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329</v>
      </c>
      <c r="W88" t="s">
        <v>5689</v>
      </c>
      <c r="X88">
        <v>0</v>
      </c>
      <c r="Y88" t="s">
        <v>4447</v>
      </c>
      <c r="Z88" t="s">
        <v>4438</v>
      </c>
      <c r="AA88" t="s">
        <v>2</v>
      </c>
      <c r="AB88" t="s">
        <v>3367</v>
      </c>
      <c r="AC88" t="s">
        <v>4442</v>
      </c>
      <c r="AD88" t="str">
        <f>LEFT(I88,FIND(4,I88)-1)</f>
        <v>RICO</v>
      </c>
      <c r="AE88" t="s">
        <v>6593</v>
      </c>
      <c r="AF88" t="s">
        <v>6156</v>
      </c>
    </row>
    <row r="89" spans="1:32" x14ac:dyDescent="0.3">
      <c r="A89" t="str">
        <f t="shared" si="5"/>
        <v>Old America Stores</v>
      </c>
      <c r="B89">
        <v>406</v>
      </c>
      <c r="C89" t="s">
        <v>5952</v>
      </c>
      <c r="D89" t="s">
        <v>6008</v>
      </c>
      <c r="E89" t="s">
        <v>6007</v>
      </c>
      <c r="F89" t="s">
        <v>5700</v>
      </c>
      <c r="G89" t="s">
        <v>6147</v>
      </c>
      <c r="H89">
        <v>7.1</v>
      </c>
      <c r="I89" t="s">
        <v>6154</v>
      </c>
      <c r="J89">
        <v>10.029999999999999</v>
      </c>
      <c r="K89" t="s">
        <v>326</v>
      </c>
      <c r="L89" t="s">
        <v>6152</v>
      </c>
      <c r="M89">
        <v>465.9</v>
      </c>
      <c r="N89" t="s">
        <v>5722</v>
      </c>
      <c r="O89" t="s">
        <v>6151</v>
      </c>
      <c r="P89" t="s">
        <v>329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3137</v>
      </c>
      <c r="W89" t="s">
        <v>326</v>
      </c>
      <c r="X89">
        <v>3</v>
      </c>
      <c r="Y89" t="s">
        <v>4569</v>
      </c>
      <c r="Z89" t="s">
        <v>4558</v>
      </c>
      <c r="AA89" t="s">
        <v>4559</v>
      </c>
      <c r="AB89" t="s">
        <v>4560</v>
      </c>
      <c r="AC89" t="s">
        <v>4564</v>
      </c>
      <c r="AD89" t="str">
        <f>LEFT(I89,FIND(4,I89)-1)</f>
        <v>SONN</v>
      </c>
      <c r="AE89" t="s">
        <v>6587</v>
      </c>
      <c r="AF89" t="s">
        <v>6154</v>
      </c>
    </row>
    <row r="90" spans="1:32" x14ac:dyDescent="0.3">
      <c r="A90" t="str">
        <f t="shared" si="5"/>
        <v>Old America Stores</v>
      </c>
      <c r="B90">
        <v>406</v>
      </c>
      <c r="C90" t="s">
        <v>5952</v>
      </c>
      <c r="D90" t="s">
        <v>6008</v>
      </c>
      <c r="E90" t="s">
        <v>6007</v>
      </c>
      <c r="F90" t="s">
        <v>5700</v>
      </c>
      <c r="G90" t="s">
        <v>6147</v>
      </c>
      <c r="H90">
        <v>7.1</v>
      </c>
      <c r="I90" t="s">
        <v>6153</v>
      </c>
      <c r="J90">
        <v>10.029999999999999</v>
      </c>
      <c r="K90" t="s">
        <v>326</v>
      </c>
      <c r="L90" t="s">
        <v>6152</v>
      </c>
      <c r="M90">
        <v>309.56700000000001</v>
      </c>
      <c r="N90" t="s">
        <v>5722</v>
      </c>
      <c r="O90" t="s">
        <v>6151</v>
      </c>
      <c r="P90" t="s">
        <v>329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3137</v>
      </c>
      <c r="W90" t="s">
        <v>326</v>
      </c>
      <c r="X90">
        <v>3</v>
      </c>
      <c r="Y90" t="s">
        <v>4569</v>
      </c>
      <c r="Z90" t="s">
        <v>4558</v>
      </c>
      <c r="AA90" t="s">
        <v>4559</v>
      </c>
      <c r="AB90" t="s">
        <v>4560</v>
      </c>
      <c r="AC90" t="s">
        <v>4564</v>
      </c>
      <c r="AD90" t="str">
        <f>LEFT(I90,FIND(4,I90)-1)</f>
        <v>SONN</v>
      </c>
      <c r="AE90" t="s">
        <v>6587</v>
      </c>
      <c r="AF90" t="s">
        <v>6153</v>
      </c>
    </row>
    <row r="91" spans="1:32" x14ac:dyDescent="0.3">
      <c r="A91" t="str">
        <f t="shared" si="5"/>
        <v>Destiny Realty</v>
      </c>
      <c r="B91">
        <v>406</v>
      </c>
      <c r="C91" t="s">
        <v>5952</v>
      </c>
      <c r="D91" t="s">
        <v>6008</v>
      </c>
      <c r="E91" t="s">
        <v>6007</v>
      </c>
      <c r="F91" t="s">
        <v>5700</v>
      </c>
      <c r="G91" t="s">
        <v>6147</v>
      </c>
      <c r="H91">
        <v>7.1</v>
      </c>
      <c r="I91" t="s">
        <v>6150</v>
      </c>
      <c r="J91">
        <v>7.915</v>
      </c>
      <c r="K91" t="s">
        <v>326</v>
      </c>
      <c r="L91" t="s">
        <v>6149</v>
      </c>
      <c r="M91">
        <v>320.11700000000002</v>
      </c>
      <c r="N91" t="s">
        <v>5747</v>
      </c>
      <c r="O91" t="s">
        <v>6148</v>
      </c>
      <c r="P91" t="s">
        <v>329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3137</v>
      </c>
      <c r="W91" t="s">
        <v>326</v>
      </c>
      <c r="X91">
        <v>3</v>
      </c>
      <c r="Y91" t="s">
        <v>3650</v>
      </c>
      <c r="Z91" t="s">
        <v>4589</v>
      </c>
      <c r="AA91" t="s">
        <v>19</v>
      </c>
      <c r="AB91" t="s">
        <v>41</v>
      </c>
      <c r="AC91" t="s">
        <v>4593</v>
      </c>
      <c r="AD91" t="str">
        <f>LEFT(I91,FIND(4,I91)-1)</f>
        <v>SOUT</v>
      </c>
      <c r="AE91" t="s">
        <v>6594</v>
      </c>
      <c r="AF91" t="s">
        <v>6150</v>
      </c>
    </row>
    <row r="92" spans="1:32" x14ac:dyDescent="0.3">
      <c r="A92" t="str">
        <f t="shared" si="5"/>
        <v>Jeans Unlimited</v>
      </c>
      <c r="B92">
        <v>406</v>
      </c>
      <c r="C92" t="s">
        <v>5952</v>
      </c>
      <c r="D92" t="s">
        <v>6008</v>
      </c>
      <c r="E92" t="s">
        <v>6007</v>
      </c>
      <c r="F92" t="s">
        <v>5700</v>
      </c>
      <c r="G92" t="s">
        <v>6147</v>
      </c>
      <c r="H92">
        <v>7.1</v>
      </c>
      <c r="I92" t="s">
        <v>6146</v>
      </c>
      <c r="J92">
        <v>3.238</v>
      </c>
      <c r="K92" t="s">
        <v>326</v>
      </c>
      <c r="L92" t="s">
        <v>5813</v>
      </c>
      <c r="M92">
        <v>142.47300000000001</v>
      </c>
      <c r="N92" t="s">
        <v>5729</v>
      </c>
      <c r="O92" t="s">
        <v>6145</v>
      </c>
      <c r="P92" t="s">
        <v>329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3137</v>
      </c>
      <c r="W92" t="s">
        <v>326</v>
      </c>
      <c r="X92">
        <v>3</v>
      </c>
      <c r="Y92" t="s">
        <v>3130</v>
      </c>
      <c r="Z92" t="s">
        <v>3120</v>
      </c>
      <c r="AA92" t="s">
        <v>19</v>
      </c>
      <c r="AB92" t="s">
        <v>3121</v>
      </c>
      <c r="AC92" t="s">
        <v>3125</v>
      </c>
      <c r="AD92" t="str">
        <f>LEFT(I92,FIND(4,I92)-1)</f>
        <v>SVAB</v>
      </c>
      <c r="AE92" t="s">
        <v>6595</v>
      </c>
      <c r="AF92" t="s">
        <v>6146</v>
      </c>
    </row>
    <row r="93" spans="1:32" x14ac:dyDescent="0.3">
      <c r="A93" t="str">
        <f t="shared" si="5"/>
        <v>Hugh M. Woods</v>
      </c>
      <c r="B93">
        <v>406</v>
      </c>
      <c r="C93" t="s">
        <v>5952</v>
      </c>
      <c r="D93" t="s">
        <v>6008</v>
      </c>
      <c r="E93" t="s">
        <v>6007</v>
      </c>
      <c r="F93" t="s">
        <v>5709</v>
      </c>
      <c r="G93" t="s">
        <v>6143</v>
      </c>
      <c r="H93">
        <v>7.1</v>
      </c>
      <c r="I93" t="s">
        <v>6144</v>
      </c>
      <c r="J93">
        <v>20</v>
      </c>
      <c r="K93" t="s">
        <v>326</v>
      </c>
      <c r="L93" t="s">
        <v>5699</v>
      </c>
      <c r="M93">
        <v>748.33299999999997</v>
      </c>
      <c r="N93" t="s">
        <v>5723</v>
      </c>
      <c r="O93">
        <v>140</v>
      </c>
      <c r="P93" t="s">
        <v>329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3137</v>
      </c>
      <c r="W93" t="s">
        <v>326</v>
      </c>
      <c r="X93">
        <v>1</v>
      </c>
      <c r="Y93" t="s">
        <v>4213</v>
      </c>
      <c r="Z93" t="s">
        <v>4205</v>
      </c>
      <c r="AA93" t="s">
        <v>2</v>
      </c>
      <c r="AB93" t="s">
        <v>3367</v>
      </c>
      <c r="AC93" t="s">
        <v>4209</v>
      </c>
      <c r="AD93" t="str">
        <f>LEFT(I93,FIND(0,I93)-1)</f>
        <v>MCDO</v>
      </c>
      <c r="AE93" t="s">
        <v>6596</v>
      </c>
      <c r="AF93" t="s">
        <v>6144</v>
      </c>
    </row>
    <row r="94" spans="1:32" x14ac:dyDescent="0.3">
      <c r="A94" t="str">
        <f t="shared" si="5"/>
        <v>Old America Stores</v>
      </c>
      <c r="B94">
        <v>406</v>
      </c>
      <c r="C94" t="s">
        <v>5952</v>
      </c>
      <c r="D94" t="s">
        <v>6008</v>
      </c>
      <c r="E94" t="s">
        <v>6007</v>
      </c>
      <c r="F94" t="s">
        <v>5709</v>
      </c>
      <c r="G94" t="s">
        <v>6143</v>
      </c>
      <c r="H94">
        <v>7.1</v>
      </c>
      <c r="I94" t="s">
        <v>6142</v>
      </c>
      <c r="J94">
        <v>6</v>
      </c>
      <c r="K94" t="s">
        <v>326</v>
      </c>
      <c r="L94" t="s">
        <v>5785</v>
      </c>
      <c r="M94">
        <v>187.667</v>
      </c>
      <c r="N94" t="s">
        <v>5722</v>
      </c>
      <c r="O94" t="s">
        <v>6141</v>
      </c>
      <c r="P94" t="s">
        <v>329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3137</v>
      </c>
      <c r="W94" t="s">
        <v>326</v>
      </c>
      <c r="X94">
        <v>3</v>
      </c>
      <c r="Y94" t="s">
        <v>4569</v>
      </c>
      <c r="Z94" t="s">
        <v>4558</v>
      </c>
      <c r="AA94" t="s">
        <v>4559</v>
      </c>
      <c r="AB94" t="s">
        <v>4560</v>
      </c>
      <c r="AC94" t="s">
        <v>4564</v>
      </c>
      <c r="AD94" t="str">
        <f>LEFT(I94,FIND(4,I94)-1)</f>
        <v>SONN</v>
      </c>
      <c r="AE94" t="s">
        <v>6587</v>
      </c>
      <c r="AF94" t="s">
        <v>6142</v>
      </c>
    </row>
    <row r="95" spans="1:32" x14ac:dyDescent="0.3">
      <c r="A95" t="str">
        <f t="shared" si="5"/>
        <v>Asian Junction</v>
      </c>
      <c r="B95">
        <v>406</v>
      </c>
      <c r="C95" t="s">
        <v>5952</v>
      </c>
      <c r="D95" t="s">
        <v>6008</v>
      </c>
      <c r="E95" t="s">
        <v>6007</v>
      </c>
      <c r="F95" t="s">
        <v>6140</v>
      </c>
      <c r="G95" t="s">
        <v>6139</v>
      </c>
      <c r="H95">
        <v>7.2</v>
      </c>
      <c r="I95" t="s">
        <v>6138</v>
      </c>
      <c r="J95">
        <v>4.7229999999999999</v>
      </c>
      <c r="K95" t="s">
        <v>326</v>
      </c>
      <c r="L95" t="s">
        <v>5773</v>
      </c>
      <c r="M95">
        <v>290.19</v>
      </c>
      <c r="N95" t="s">
        <v>6137</v>
      </c>
      <c r="O95" t="s">
        <v>6136</v>
      </c>
      <c r="P95" t="s">
        <v>329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3137</v>
      </c>
      <c r="W95" t="s">
        <v>326</v>
      </c>
      <c r="X95">
        <v>3</v>
      </c>
      <c r="Y95" t="s">
        <v>3037</v>
      </c>
      <c r="Z95" t="s">
        <v>3024</v>
      </c>
      <c r="AA95" t="s">
        <v>3025</v>
      </c>
      <c r="AB95" t="s">
        <v>3026</v>
      </c>
      <c r="AC95" t="s">
        <v>3030</v>
      </c>
      <c r="AD95" t="str">
        <f>LEFT(I95,FIND(4,I95)-1)</f>
        <v>AGS</v>
      </c>
      <c r="AE95" t="s">
        <v>6597</v>
      </c>
      <c r="AF95" t="s">
        <v>6138</v>
      </c>
    </row>
    <row r="96" spans="1:32" x14ac:dyDescent="0.3">
      <c r="A96" t="str">
        <f t="shared" si="5"/>
        <v>Strong Life</v>
      </c>
      <c r="B96">
        <v>406</v>
      </c>
      <c r="C96" t="s">
        <v>5952</v>
      </c>
      <c r="D96" t="s">
        <v>6008</v>
      </c>
      <c r="E96" t="s">
        <v>6007</v>
      </c>
      <c r="F96" t="s">
        <v>5697</v>
      </c>
      <c r="G96" t="s">
        <v>5563</v>
      </c>
      <c r="H96">
        <v>0</v>
      </c>
      <c r="I96" t="s">
        <v>6135</v>
      </c>
      <c r="J96">
        <v>4.0659999999999998</v>
      </c>
      <c r="K96" t="s">
        <v>326</v>
      </c>
      <c r="L96" t="s">
        <v>6134</v>
      </c>
      <c r="M96">
        <v>122.813</v>
      </c>
      <c r="N96" t="s">
        <v>6133</v>
      </c>
      <c r="O96" t="s">
        <v>6132</v>
      </c>
      <c r="P96" t="s">
        <v>329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3137</v>
      </c>
      <c r="W96" t="s">
        <v>326</v>
      </c>
      <c r="X96">
        <v>3</v>
      </c>
      <c r="Y96" t="s">
        <v>4717</v>
      </c>
      <c r="Z96" t="s">
        <v>4708</v>
      </c>
      <c r="AA96" t="s">
        <v>19</v>
      </c>
      <c r="AB96" t="s">
        <v>3674</v>
      </c>
      <c r="AC96" t="s">
        <v>4712</v>
      </c>
      <c r="AD96" t="str">
        <f>LEFT(I96,FIND(4,I96)-1)</f>
        <v>TBD</v>
      </c>
      <c r="AE96" t="s">
        <v>5389</v>
      </c>
      <c r="AF96" t="s">
        <v>6135</v>
      </c>
    </row>
    <row r="97" spans="1:32" x14ac:dyDescent="0.3">
      <c r="A97" t="str">
        <f t="shared" si="5"/>
        <v>Price's Electronics</v>
      </c>
      <c r="B97">
        <v>406</v>
      </c>
      <c r="C97" t="s">
        <v>5952</v>
      </c>
      <c r="D97" t="s">
        <v>6008</v>
      </c>
      <c r="E97" t="s">
        <v>6007</v>
      </c>
      <c r="F97" t="s">
        <v>5964</v>
      </c>
      <c r="G97" t="s">
        <v>5963</v>
      </c>
      <c r="H97">
        <v>15.5</v>
      </c>
      <c r="I97" t="s">
        <v>6131</v>
      </c>
      <c r="J97">
        <v>3.9449999999999998</v>
      </c>
      <c r="K97" t="s">
        <v>326</v>
      </c>
      <c r="L97" t="s">
        <v>6130</v>
      </c>
      <c r="M97">
        <v>130.18299999999999</v>
      </c>
      <c r="N97" t="s">
        <v>6129</v>
      </c>
      <c r="O97" t="s">
        <v>6035</v>
      </c>
      <c r="P97" t="s">
        <v>329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3137</v>
      </c>
      <c r="W97" t="s">
        <v>326</v>
      </c>
      <c r="X97">
        <v>1</v>
      </c>
      <c r="Y97" t="s">
        <v>4793</v>
      </c>
      <c r="Z97" t="s">
        <v>4782</v>
      </c>
      <c r="AA97" t="s">
        <v>4783</v>
      </c>
      <c r="AB97" t="s">
        <v>4784</v>
      </c>
      <c r="AC97" t="s">
        <v>4788</v>
      </c>
      <c r="AD97" t="str">
        <f>LEFT(I97,FIND(4,I97)-1)</f>
        <v>TYBO</v>
      </c>
      <c r="AE97" t="s">
        <v>6598</v>
      </c>
      <c r="AF97" t="s">
        <v>6131</v>
      </c>
    </row>
    <row r="98" spans="1:32" x14ac:dyDescent="0.3">
      <c r="A98" t="str">
        <f t="shared" si="5"/>
        <v>Brendle's</v>
      </c>
      <c r="B98">
        <v>406</v>
      </c>
      <c r="C98" t="s">
        <v>5952</v>
      </c>
      <c r="D98" t="s">
        <v>6008</v>
      </c>
      <c r="E98" t="s">
        <v>6007</v>
      </c>
      <c r="F98" t="s">
        <v>5772</v>
      </c>
      <c r="G98" t="s">
        <v>6124</v>
      </c>
      <c r="H98">
        <v>13.1</v>
      </c>
      <c r="I98" t="s">
        <v>6128</v>
      </c>
      <c r="J98">
        <v>5</v>
      </c>
      <c r="K98" t="s">
        <v>326</v>
      </c>
      <c r="L98" t="s">
        <v>6127</v>
      </c>
      <c r="M98">
        <v>286</v>
      </c>
      <c r="N98" t="s">
        <v>6126</v>
      </c>
      <c r="O98" t="s">
        <v>6125</v>
      </c>
      <c r="P98" t="s">
        <v>329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3137</v>
      </c>
      <c r="W98" t="s">
        <v>326</v>
      </c>
      <c r="X98">
        <v>3</v>
      </c>
      <c r="Y98" t="s">
        <v>3223</v>
      </c>
      <c r="Z98" t="s">
        <v>3211</v>
      </c>
      <c r="AA98" t="s">
        <v>3212</v>
      </c>
      <c r="AB98" t="s">
        <v>3213</v>
      </c>
      <c r="AC98" t="s">
        <v>3217</v>
      </c>
      <c r="AD98" t="str">
        <f>LEFT(I98,FIND(4,I98)-1)</f>
        <v>BDEL</v>
      </c>
      <c r="AE98" t="s">
        <v>6599</v>
      </c>
      <c r="AF98" t="s">
        <v>6128</v>
      </c>
    </row>
    <row r="99" spans="1:32" x14ac:dyDescent="0.3">
      <c r="A99" t="str">
        <f t="shared" si="5"/>
        <v>Destiny Realty</v>
      </c>
      <c r="B99">
        <v>406</v>
      </c>
      <c r="C99" t="s">
        <v>5952</v>
      </c>
      <c r="D99" t="s">
        <v>6008</v>
      </c>
      <c r="E99" t="s">
        <v>6007</v>
      </c>
      <c r="F99" t="s">
        <v>5772</v>
      </c>
      <c r="G99" t="s">
        <v>6124</v>
      </c>
      <c r="H99">
        <v>13.1</v>
      </c>
      <c r="I99" t="s">
        <v>6123</v>
      </c>
      <c r="J99">
        <v>13</v>
      </c>
      <c r="K99" t="s">
        <v>326</v>
      </c>
      <c r="L99" t="s">
        <v>5699</v>
      </c>
      <c r="M99">
        <v>440.83300000000003</v>
      </c>
      <c r="N99" t="s">
        <v>6122</v>
      </c>
      <c r="O99" t="s">
        <v>5719</v>
      </c>
      <c r="P99" t="s">
        <v>329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3137</v>
      </c>
      <c r="W99" t="s">
        <v>326</v>
      </c>
      <c r="X99">
        <v>3</v>
      </c>
      <c r="Y99" t="s">
        <v>3650</v>
      </c>
      <c r="Z99" t="s">
        <v>4589</v>
      </c>
      <c r="AA99" t="s">
        <v>19</v>
      </c>
      <c r="AB99" t="s">
        <v>41</v>
      </c>
      <c r="AC99" t="s">
        <v>4593</v>
      </c>
      <c r="AD99" t="str">
        <f>LEFT(I99,FIND(1,I99)-1)</f>
        <v>SOUT</v>
      </c>
      <c r="AE99" t="s">
        <v>6594</v>
      </c>
      <c r="AF99" t="s">
        <v>6123</v>
      </c>
    </row>
    <row r="100" spans="1:32" x14ac:dyDescent="0.3">
      <c r="A100" t="str">
        <f t="shared" si="5"/>
        <v>Wells &amp; Wade</v>
      </c>
      <c r="B100">
        <v>406</v>
      </c>
      <c r="C100" t="s">
        <v>5952</v>
      </c>
      <c r="D100" t="s">
        <v>6008</v>
      </c>
      <c r="E100" t="s">
        <v>6007</v>
      </c>
      <c r="F100" t="s">
        <v>5695</v>
      </c>
      <c r="G100" t="s">
        <v>5694</v>
      </c>
      <c r="H100">
        <v>13.1</v>
      </c>
      <c r="I100" t="s">
        <v>6121</v>
      </c>
      <c r="J100">
        <v>7.11</v>
      </c>
      <c r="K100" t="s">
        <v>326</v>
      </c>
      <c r="L100" t="s">
        <v>6014</v>
      </c>
      <c r="M100">
        <v>818.46699999999998</v>
      </c>
      <c r="N100" t="s">
        <v>6120</v>
      </c>
      <c r="O100" t="s">
        <v>6119</v>
      </c>
      <c r="P100" t="s">
        <v>329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3137</v>
      </c>
      <c r="W100" t="s">
        <v>326</v>
      </c>
      <c r="X100">
        <v>1</v>
      </c>
      <c r="Y100" t="s">
        <v>3204</v>
      </c>
      <c r="Z100" t="s">
        <v>3193</v>
      </c>
      <c r="AA100" t="s">
        <v>3194</v>
      </c>
      <c r="AB100" t="s">
        <v>3195</v>
      </c>
      <c r="AC100" t="s">
        <v>3199</v>
      </c>
      <c r="AD100" t="str">
        <f>LEFT(I100,FIND(4,I100)-1)</f>
        <v>BBCO</v>
      </c>
      <c r="AE100" t="s">
        <v>6586</v>
      </c>
      <c r="AF100" t="s">
        <v>6121</v>
      </c>
    </row>
    <row r="101" spans="1:32" x14ac:dyDescent="0.3">
      <c r="A101" t="str">
        <f t="shared" si="5"/>
        <v>Old America Stores</v>
      </c>
      <c r="B101">
        <v>406</v>
      </c>
      <c r="C101" t="s">
        <v>5952</v>
      </c>
      <c r="D101" t="s">
        <v>6008</v>
      </c>
      <c r="E101" t="s">
        <v>6007</v>
      </c>
      <c r="F101" t="s">
        <v>5695</v>
      </c>
      <c r="G101" t="s">
        <v>5694</v>
      </c>
      <c r="H101">
        <v>13.1</v>
      </c>
      <c r="I101" t="s">
        <v>6118</v>
      </c>
      <c r="J101">
        <v>3.879</v>
      </c>
      <c r="K101" t="s">
        <v>326</v>
      </c>
      <c r="L101" t="s">
        <v>6117</v>
      </c>
      <c r="M101">
        <v>152.03700000000001</v>
      </c>
      <c r="N101" t="s">
        <v>6116</v>
      </c>
      <c r="O101" t="s">
        <v>6115</v>
      </c>
      <c r="P101" t="s">
        <v>329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3137</v>
      </c>
      <c r="W101" t="s">
        <v>326</v>
      </c>
      <c r="X101">
        <v>1</v>
      </c>
      <c r="Y101" t="s">
        <v>4569</v>
      </c>
      <c r="Z101" t="s">
        <v>4558</v>
      </c>
      <c r="AA101" t="s">
        <v>4559</v>
      </c>
      <c r="AB101" t="s">
        <v>4560</v>
      </c>
      <c r="AC101" t="s">
        <v>4564</v>
      </c>
      <c r="AD101" t="str">
        <f>LEFT(I101,FIND(4,I101)-1)</f>
        <v>SONN</v>
      </c>
      <c r="AE101" t="s">
        <v>6587</v>
      </c>
      <c r="AF101" t="s">
        <v>6118</v>
      </c>
    </row>
    <row r="102" spans="1:32" x14ac:dyDescent="0.3">
      <c r="A102" t="str">
        <f t="shared" si="5"/>
        <v>Pro Yard Services</v>
      </c>
      <c r="B102">
        <v>406</v>
      </c>
      <c r="C102" t="s">
        <v>5952</v>
      </c>
      <c r="D102" t="s">
        <v>6008</v>
      </c>
      <c r="E102" t="s">
        <v>6007</v>
      </c>
      <c r="F102" t="s">
        <v>5993</v>
      </c>
      <c r="G102" t="s">
        <v>5992</v>
      </c>
      <c r="H102">
        <v>2.5</v>
      </c>
      <c r="I102" t="s">
        <v>6114</v>
      </c>
      <c r="J102">
        <v>7.1070000000000002</v>
      </c>
      <c r="K102" t="s">
        <v>326</v>
      </c>
      <c r="L102" t="s">
        <v>6113</v>
      </c>
      <c r="M102">
        <v>215.21</v>
      </c>
      <c r="N102" t="s">
        <v>6112</v>
      </c>
      <c r="O102" t="s">
        <v>6111</v>
      </c>
      <c r="P102" t="s">
        <v>329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3137</v>
      </c>
      <c r="W102" t="s">
        <v>326</v>
      </c>
      <c r="X102">
        <v>3</v>
      </c>
      <c r="Y102" t="s">
        <v>4687</v>
      </c>
      <c r="Z102" t="s">
        <v>4677</v>
      </c>
      <c r="AA102" t="s">
        <v>11</v>
      </c>
      <c r="AB102" t="s">
        <v>4678</v>
      </c>
      <c r="AC102" t="s">
        <v>4682</v>
      </c>
      <c r="AD102" t="str">
        <f>LEFT(I102,FIND(4,I102)-1)</f>
        <v>SPEC</v>
      </c>
      <c r="AE102" t="s">
        <v>6600</v>
      </c>
      <c r="AF102" t="s">
        <v>6114</v>
      </c>
    </row>
    <row r="103" spans="1:32" x14ac:dyDescent="0.3">
      <c r="A103" t="str">
        <f t="shared" si="5"/>
        <v>Old America Stores</v>
      </c>
      <c r="B103">
        <v>406</v>
      </c>
      <c r="C103" t="s">
        <v>5952</v>
      </c>
      <c r="D103" t="s">
        <v>6008</v>
      </c>
      <c r="E103" t="s">
        <v>6007</v>
      </c>
      <c r="F103" t="s">
        <v>5726</v>
      </c>
      <c r="G103" t="s">
        <v>6107</v>
      </c>
      <c r="H103">
        <v>13.4</v>
      </c>
      <c r="I103" t="s">
        <v>6110</v>
      </c>
      <c r="J103">
        <v>6</v>
      </c>
      <c r="K103" t="s">
        <v>326</v>
      </c>
      <c r="L103" t="s">
        <v>5785</v>
      </c>
      <c r="M103">
        <v>380</v>
      </c>
      <c r="N103" t="s">
        <v>6109</v>
      </c>
      <c r="O103" t="s">
        <v>6108</v>
      </c>
      <c r="P103" t="s">
        <v>329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3137</v>
      </c>
      <c r="W103" t="s">
        <v>326</v>
      </c>
      <c r="X103">
        <v>1</v>
      </c>
      <c r="Y103" t="s">
        <v>4569</v>
      </c>
      <c r="Z103" t="s">
        <v>4558</v>
      </c>
      <c r="AA103" t="s">
        <v>4559</v>
      </c>
      <c r="AB103" t="s">
        <v>4560</v>
      </c>
      <c r="AC103" t="s">
        <v>4564</v>
      </c>
      <c r="AD103" t="str">
        <f>LEFT(I103,FIND(4,I103)-1)</f>
        <v>SONN</v>
      </c>
      <c r="AE103" t="s">
        <v>6587</v>
      </c>
      <c r="AF103" t="s">
        <v>6110</v>
      </c>
    </row>
    <row r="104" spans="1:32" x14ac:dyDescent="0.3">
      <c r="A104" t="str">
        <f t="shared" si="5"/>
        <v>Old America Stores</v>
      </c>
      <c r="B104">
        <v>406</v>
      </c>
      <c r="C104" t="s">
        <v>5952</v>
      </c>
      <c r="D104" t="s">
        <v>6008</v>
      </c>
      <c r="E104" t="s">
        <v>6007</v>
      </c>
      <c r="F104" t="s">
        <v>5735</v>
      </c>
      <c r="G104" t="s">
        <v>6107</v>
      </c>
      <c r="H104">
        <v>13.4</v>
      </c>
      <c r="I104" t="s">
        <v>6106</v>
      </c>
      <c r="J104">
        <v>6</v>
      </c>
      <c r="K104" t="s">
        <v>326</v>
      </c>
      <c r="L104" t="s">
        <v>5785</v>
      </c>
      <c r="M104">
        <v>231</v>
      </c>
      <c r="N104" t="s">
        <v>6105</v>
      </c>
      <c r="O104">
        <v>3307</v>
      </c>
      <c r="P104" t="s">
        <v>329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3137</v>
      </c>
      <c r="W104" t="s">
        <v>326</v>
      </c>
      <c r="X104">
        <v>1</v>
      </c>
      <c r="Y104" t="s">
        <v>4569</v>
      </c>
      <c r="Z104" t="s">
        <v>4558</v>
      </c>
      <c r="AA104" t="s">
        <v>4559</v>
      </c>
      <c r="AB104" t="s">
        <v>4560</v>
      </c>
      <c r="AC104" t="s">
        <v>4564</v>
      </c>
      <c r="AD104" t="str">
        <f>LEFT(I104,FIND(4,I104)-1)</f>
        <v>SONN</v>
      </c>
      <c r="AE104" t="s">
        <v>6587</v>
      </c>
      <c r="AF104" t="s">
        <v>6106</v>
      </c>
    </row>
    <row r="105" spans="1:32" x14ac:dyDescent="0.3">
      <c r="A105" t="str">
        <f t="shared" si="5"/>
        <v>Wells &amp; Wade</v>
      </c>
      <c r="B105">
        <v>406</v>
      </c>
      <c r="C105" t="s">
        <v>5952</v>
      </c>
      <c r="D105" t="s">
        <v>6008</v>
      </c>
      <c r="E105" t="s">
        <v>6007</v>
      </c>
      <c r="F105" t="s">
        <v>6104</v>
      </c>
      <c r="G105" t="s">
        <v>5583</v>
      </c>
      <c r="H105">
        <v>0</v>
      </c>
      <c r="I105" t="s">
        <v>6103</v>
      </c>
      <c r="J105">
        <v>3.3010000000000002</v>
      </c>
      <c r="K105" t="s">
        <v>326</v>
      </c>
      <c r="L105" t="s">
        <v>6102</v>
      </c>
      <c r="M105">
        <v>113.03</v>
      </c>
      <c r="N105" t="s">
        <v>6101</v>
      </c>
      <c r="O105" t="s">
        <v>5959</v>
      </c>
      <c r="P105" t="s">
        <v>329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3137</v>
      </c>
      <c r="W105" t="s">
        <v>326</v>
      </c>
      <c r="X105">
        <v>1</v>
      </c>
      <c r="Y105" t="s">
        <v>3204</v>
      </c>
      <c r="Z105" t="s">
        <v>3193</v>
      </c>
      <c r="AA105" t="s">
        <v>3194</v>
      </c>
      <c r="AB105" t="s">
        <v>3195</v>
      </c>
      <c r="AC105" t="s">
        <v>3199</v>
      </c>
      <c r="AD105" t="str">
        <f>LEFT(I105,FIND(5,I105)-1)</f>
        <v>BBCO</v>
      </c>
      <c r="AE105" t="s">
        <v>6586</v>
      </c>
      <c r="AF105" t="s">
        <v>6103</v>
      </c>
    </row>
    <row r="106" spans="1:32" x14ac:dyDescent="0.3">
      <c r="A106" t="str">
        <f t="shared" si="5"/>
        <v>Wells &amp; Wade</v>
      </c>
      <c r="B106">
        <v>406</v>
      </c>
      <c r="C106" t="s">
        <v>5952</v>
      </c>
      <c r="D106" t="s">
        <v>6008</v>
      </c>
      <c r="E106" t="s">
        <v>6007</v>
      </c>
      <c r="F106" t="s">
        <v>6100</v>
      </c>
      <c r="G106" t="s">
        <v>6099</v>
      </c>
      <c r="H106">
        <v>16.8</v>
      </c>
      <c r="I106" t="s">
        <v>6098</v>
      </c>
      <c r="J106">
        <v>9.2140000000000004</v>
      </c>
      <c r="K106" t="s">
        <v>326</v>
      </c>
      <c r="L106" t="s">
        <v>6097</v>
      </c>
      <c r="M106">
        <v>310.42</v>
      </c>
      <c r="N106" t="s">
        <v>6096</v>
      </c>
      <c r="O106" t="s">
        <v>6095</v>
      </c>
      <c r="P106" t="s">
        <v>329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3137</v>
      </c>
      <c r="W106" t="s">
        <v>326</v>
      </c>
      <c r="X106">
        <v>1</v>
      </c>
      <c r="Y106" t="s">
        <v>3204</v>
      </c>
      <c r="Z106" t="s">
        <v>3193</v>
      </c>
      <c r="AA106" t="s">
        <v>3194</v>
      </c>
      <c r="AB106" t="s">
        <v>3195</v>
      </c>
      <c r="AC106" t="s">
        <v>3199</v>
      </c>
      <c r="AD106" t="str">
        <f>LEFT(I106,FIND(4,I106)-1)</f>
        <v>BBCO</v>
      </c>
      <c r="AE106" t="s">
        <v>6586</v>
      </c>
      <c r="AF106" t="s">
        <v>6098</v>
      </c>
    </row>
    <row r="107" spans="1:32" x14ac:dyDescent="0.3">
      <c r="A107" t="str">
        <f t="shared" si="5"/>
        <v>Red Food</v>
      </c>
      <c r="B107">
        <v>406</v>
      </c>
      <c r="C107" t="s">
        <v>5952</v>
      </c>
      <c r="D107" t="s">
        <v>6008</v>
      </c>
      <c r="E107" t="s">
        <v>6007</v>
      </c>
      <c r="F107" t="s">
        <v>5691</v>
      </c>
      <c r="G107" t="s">
        <v>5987</v>
      </c>
      <c r="H107">
        <v>16.100000000000001</v>
      </c>
      <c r="I107" t="s">
        <v>6094</v>
      </c>
      <c r="J107">
        <v>22</v>
      </c>
      <c r="K107" t="s">
        <v>326</v>
      </c>
      <c r="L107" t="s">
        <v>6051</v>
      </c>
      <c r="M107">
        <v>1545.5</v>
      </c>
      <c r="N107" t="s">
        <v>5693</v>
      </c>
      <c r="O107" t="s">
        <v>5734</v>
      </c>
      <c r="P107" t="s">
        <v>329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3137</v>
      </c>
      <c r="W107" t="s">
        <v>326</v>
      </c>
      <c r="X107">
        <v>1</v>
      </c>
      <c r="Y107" t="s">
        <v>4357</v>
      </c>
      <c r="Z107" t="s">
        <v>4348</v>
      </c>
      <c r="AA107" t="s">
        <v>4091</v>
      </c>
      <c r="AB107" t="s">
        <v>4092</v>
      </c>
      <c r="AC107" t="s">
        <v>4352</v>
      </c>
      <c r="AD107" t="str">
        <f t="shared" ref="AD107:AD108" si="8">LEFT(I107,FIND(0,I107)-1)</f>
        <v>BADE</v>
      </c>
      <c r="AE107" t="s">
        <v>6601</v>
      </c>
      <c r="AF107" t="s">
        <v>6094</v>
      </c>
    </row>
    <row r="108" spans="1:32" x14ac:dyDescent="0.3">
      <c r="A108" t="str">
        <f t="shared" si="5"/>
        <v>Britling Cafeterias</v>
      </c>
      <c r="B108">
        <v>406</v>
      </c>
      <c r="C108" t="s">
        <v>5952</v>
      </c>
      <c r="D108" t="s">
        <v>6008</v>
      </c>
      <c r="E108" t="s">
        <v>6007</v>
      </c>
      <c r="F108" t="s">
        <v>5691</v>
      </c>
      <c r="G108" t="s">
        <v>5987</v>
      </c>
      <c r="H108">
        <v>16.100000000000001</v>
      </c>
      <c r="I108" t="s">
        <v>6093</v>
      </c>
      <c r="J108">
        <v>17</v>
      </c>
      <c r="K108" t="s">
        <v>326</v>
      </c>
      <c r="L108" t="s">
        <v>6051</v>
      </c>
      <c r="M108">
        <v>1438</v>
      </c>
      <c r="N108" t="s">
        <v>6092</v>
      </c>
      <c r="O108" t="s">
        <v>6091</v>
      </c>
      <c r="P108" t="s">
        <v>329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3137</v>
      </c>
      <c r="W108" t="s">
        <v>326</v>
      </c>
      <c r="X108">
        <v>1</v>
      </c>
      <c r="Y108" t="s">
        <v>3239</v>
      </c>
      <c r="Z108" t="s">
        <v>3228</v>
      </c>
      <c r="AA108" t="s">
        <v>3229</v>
      </c>
      <c r="AB108" t="s">
        <v>3230</v>
      </c>
      <c r="AC108" t="s">
        <v>3234</v>
      </c>
      <c r="AD108" t="str">
        <f t="shared" si="8"/>
        <v>BATR</v>
      </c>
      <c r="AE108" t="s">
        <v>6602</v>
      </c>
      <c r="AF108" t="s">
        <v>6093</v>
      </c>
    </row>
    <row r="109" spans="1:32" x14ac:dyDescent="0.3">
      <c r="A109" t="str">
        <f t="shared" si="5"/>
        <v>Record World</v>
      </c>
      <c r="B109">
        <v>406</v>
      </c>
      <c r="C109" t="s">
        <v>5952</v>
      </c>
      <c r="D109" t="s">
        <v>6008</v>
      </c>
      <c r="E109" t="s">
        <v>6007</v>
      </c>
      <c r="F109" t="s">
        <v>5691</v>
      </c>
      <c r="G109" t="s">
        <v>5987</v>
      </c>
      <c r="H109">
        <v>16.100000000000001</v>
      </c>
      <c r="I109" t="s">
        <v>6090</v>
      </c>
      <c r="J109">
        <v>7.1950000000000003</v>
      </c>
      <c r="K109" t="s">
        <v>326</v>
      </c>
      <c r="L109" t="s">
        <v>5740</v>
      </c>
      <c r="M109">
        <v>541.03300000000002</v>
      </c>
      <c r="N109" t="s">
        <v>5756</v>
      </c>
      <c r="O109" t="s">
        <v>6089</v>
      </c>
      <c r="P109" t="s">
        <v>329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3137</v>
      </c>
      <c r="W109" t="s">
        <v>326</v>
      </c>
      <c r="X109">
        <v>3</v>
      </c>
      <c r="Y109" t="s">
        <v>3273</v>
      </c>
      <c r="Z109" t="s">
        <v>3262</v>
      </c>
      <c r="AA109" t="s">
        <v>3263</v>
      </c>
      <c r="AB109" t="s">
        <v>3264</v>
      </c>
      <c r="AC109" t="s">
        <v>3268</v>
      </c>
      <c r="AD109" t="str">
        <f>LEFT(I109,FIND(4,I109)-1)</f>
        <v>BMTL</v>
      </c>
      <c r="AE109" t="s">
        <v>6603</v>
      </c>
      <c r="AF109" t="s">
        <v>6090</v>
      </c>
    </row>
    <row r="110" spans="1:32" x14ac:dyDescent="0.3">
      <c r="A110" t="str">
        <f t="shared" si="5"/>
        <v>Earthworks Garden Kare</v>
      </c>
      <c r="B110">
        <v>406</v>
      </c>
      <c r="C110" t="s">
        <v>5952</v>
      </c>
      <c r="D110" t="s">
        <v>6008</v>
      </c>
      <c r="E110" t="s">
        <v>6007</v>
      </c>
      <c r="F110" t="s">
        <v>5691</v>
      </c>
      <c r="G110" t="s">
        <v>5987</v>
      </c>
      <c r="H110">
        <v>16.100000000000001</v>
      </c>
      <c r="I110" t="s">
        <v>6088</v>
      </c>
      <c r="J110">
        <v>22</v>
      </c>
      <c r="K110" t="s">
        <v>326</v>
      </c>
      <c r="L110" t="s">
        <v>6085</v>
      </c>
      <c r="M110">
        <v>1518.6669999999999</v>
      </c>
      <c r="N110" t="s">
        <v>6087</v>
      </c>
      <c r="O110" t="s">
        <v>5706</v>
      </c>
      <c r="P110" t="s">
        <v>329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3137</v>
      </c>
      <c r="W110" t="s">
        <v>326</v>
      </c>
      <c r="X110">
        <v>1</v>
      </c>
      <c r="Y110" t="s">
        <v>3409</v>
      </c>
      <c r="Z110" t="s">
        <v>3398</v>
      </c>
      <c r="AA110" t="s">
        <v>3399</v>
      </c>
      <c r="AB110" t="s">
        <v>3400</v>
      </c>
      <c r="AC110" t="s">
        <v>3404</v>
      </c>
      <c r="AD110" t="str">
        <f>LEFT(I110,FIND(4,I110)-1)</f>
        <v>DMG</v>
      </c>
      <c r="AE110" t="s">
        <v>6604</v>
      </c>
      <c r="AF110" t="s">
        <v>6088</v>
      </c>
    </row>
    <row r="111" spans="1:32" x14ac:dyDescent="0.3">
      <c r="A111" t="str">
        <f t="shared" si="5"/>
        <v>Earthworks Garden Kare</v>
      </c>
      <c r="B111">
        <v>406</v>
      </c>
      <c r="C111" t="s">
        <v>5952</v>
      </c>
      <c r="D111" t="s">
        <v>6008</v>
      </c>
      <c r="E111" t="s">
        <v>6007</v>
      </c>
      <c r="F111" t="s">
        <v>5691</v>
      </c>
      <c r="G111" t="s">
        <v>5987</v>
      </c>
      <c r="H111">
        <v>16.100000000000001</v>
      </c>
      <c r="I111" t="s">
        <v>6086</v>
      </c>
      <c r="J111">
        <v>12</v>
      </c>
      <c r="K111" t="s">
        <v>326</v>
      </c>
      <c r="L111" t="s">
        <v>6085</v>
      </c>
      <c r="M111">
        <v>723.8</v>
      </c>
      <c r="N111" t="s">
        <v>5707</v>
      </c>
      <c r="O111" t="s">
        <v>5692</v>
      </c>
      <c r="P111" t="s">
        <v>329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3137</v>
      </c>
      <c r="W111" t="s">
        <v>326</v>
      </c>
      <c r="X111">
        <v>3</v>
      </c>
      <c r="Y111" t="s">
        <v>3409</v>
      </c>
      <c r="Z111" t="s">
        <v>3398</v>
      </c>
      <c r="AA111" t="s">
        <v>3399</v>
      </c>
      <c r="AB111" t="s">
        <v>3400</v>
      </c>
      <c r="AC111" t="s">
        <v>3404</v>
      </c>
      <c r="AD111" t="str">
        <f>LEFT(I111,FIND(4,I111)-1)</f>
        <v>DMG</v>
      </c>
      <c r="AE111" t="s">
        <v>6604</v>
      </c>
      <c r="AF111" t="s">
        <v>6086</v>
      </c>
    </row>
    <row r="112" spans="1:32" x14ac:dyDescent="0.3">
      <c r="A112" t="str">
        <f t="shared" si="5"/>
        <v xml:space="preserve">The Fox and Hound </v>
      </c>
      <c r="B112">
        <v>406</v>
      </c>
      <c r="C112" t="s">
        <v>5952</v>
      </c>
      <c r="D112" t="s">
        <v>6008</v>
      </c>
      <c r="E112" t="s">
        <v>6007</v>
      </c>
      <c r="F112" t="s">
        <v>5691</v>
      </c>
      <c r="G112" t="s">
        <v>5987</v>
      </c>
      <c r="H112">
        <v>16.100000000000001</v>
      </c>
      <c r="I112" t="s">
        <v>6084</v>
      </c>
      <c r="J112">
        <v>7.3070000000000004</v>
      </c>
      <c r="K112" t="s">
        <v>326</v>
      </c>
      <c r="L112" t="s">
        <v>6083</v>
      </c>
      <c r="M112">
        <v>537.41999999999996</v>
      </c>
      <c r="N112" t="s">
        <v>5731</v>
      </c>
      <c r="O112" t="s">
        <v>6072</v>
      </c>
      <c r="P112" t="s">
        <v>329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3137</v>
      </c>
      <c r="W112" t="s">
        <v>326</v>
      </c>
      <c r="X112">
        <v>3</v>
      </c>
      <c r="Y112" t="s">
        <v>3290</v>
      </c>
      <c r="Z112" t="s">
        <v>3279</v>
      </c>
      <c r="AA112" t="s">
        <v>18</v>
      </c>
      <c r="AB112" t="s">
        <v>3280</v>
      </c>
      <c r="AC112" t="s">
        <v>3284</v>
      </c>
      <c r="AD112" t="str">
        <f>LEFT(I112,FIND(4,I112)-1)</f>
        <v>DTL</v>
      </c>
      <c r="AE112" t="s">
        <v>6605</v>
      </c>
      <c r="AF112" t="s">
        <v>6084</v>
      </c>
    </row>
    <row r="113" spans="1:32" x14ac:dyDescent="0.3">
      <c r="A113" t="str">
        <f t="shared" si="5"/>
        <v>Best Biz Survis</v>
      </c>
      <c r="B113">
        <v>406</v>
      </c>
      <c r="C113" t="s">
        <v>5952</v>
      </c>
      <c r="D113" t="s">
        <v>6008</v>
      </c>
      <c r="E113" t="s">
        <v>6007</v>
      </c>
      <c r="F113" t="s">
        <v>5691</v>
      </c>
      <c r="G113" t="s">
        <v>5987</v>
      </c>
      <c r="H113">
        <v>16.100000000000001</v>
      </c>
      <c r="I113" t="s">
        <v>6082</v>
      </c>
      <c r="J113">
        <v>25</v>
      </c>
      <c r="K113" t="s">
        <v>326</v>
      </c>
      <c r="L113" t="s">
        <v>5782</v>
      </c>
      <c r="M113">
        <v>1696.5</v>
      </c>
      <c r="N113" t="s">
        <v>5693</v>
      </c>
      <c r="O113" t="s">
        <v>6081</v>
      </c>
      <c r="P113" t="s">
        <v>329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3137</v>
      </c>
      <c r="W113" t="s">
        <v>326</v>
      </c>
      <c r="X113">
        <v>1</v>
      </c>
      <c r="Y113" t="s">
        <v>3699</v>
      </c>
      <c r="Z113" t="s">
        <v>3688</v>
      </c>
      <c r="AA113" t="s">
        <v>3689</v>
      </c>
      <c r="AB113" t="s">
        <v>3690</v>
      </c>
      <c r="AC113" t="s">
        <v>3694</v>
      </c>
      <c r="AD113" t="str">
        <f>LEFT(I113,FIND(0,I113)-1)</f>
        <v>GARY</v>
      </c>
      <c r="AE113" t="s">
        <v>6606</v>
      </c>
      <c r="AF113" t="s">
        <v>6082</v>
      </c>
    </row>
    <row r="114" spans="1:32" x14ac:dyDescent="0.3">
      <c r="A114" t="str">
        <f t="shared" si="5"/>
        <v>Monk House Sales</v>
      </c>
      <c r="B114">
        <v>406</v>
      </c>
      <c r="C114" t="s">
        <v>5952</v>
      </c>
      <c r="D114" t="s">
        <v>6008</v>
      </c>
      <c r="E114" t="s">
        <v>6007</v>
      </c>
      <c r="F114" t="s">
        <v>5691</v>
      </c>
      <c r="G114" t="s">
        <v>5987</v>
      </c>
      <c r="H114">
        <v>16.100000000000001</v>
      </c>
      <c r="I114" t="s">
        <v>6080</v>
      </c>
      <c r="J114">
        <v>7.2709999999999999</v>
      </c>
      <c r="K114" t="s">
        <v>326</v>
      </c>
      <c r="L114" t="s">
        <v>6078</v>
      </c>
      <c r="M114">
        <v>629.42700000000002</v>
      </c>
      <c r="N114" t="s">
        <v>5756</v>
      </c>
      <c r="O114" t="s">
        <v>5706</v>
      </c>
      <c r="P114" t="s">
        <v>329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3137</v>
      </c>
      <c r="W114" t="s">
        <v>326</v>
      </c>
      <c r="X114">
        <v>3</v>
      </c>
      <c r="Y114" t="s">
        <v>3748</v>
      </c>
      <c r="Z114" t="s">
        <v>3737</v>
      </c>
      <c r="AA114" t="s">
        <v>3738</v>
      </c>
      <c r="AB114" t="s">
        <v>3739</v>
      </c>
      <c r="AC114" t="s">
        <v>3743</v>
      </c>
      <c r="AD114" t="str">
        <f>LEFT(I114,FIND(4,I114)-1)</f>
        <v>GST</v>
      </c>
      <c r="AE114" t="s">
        <v>6607</v>
      </c>
      <c r="AF114" t="s">
        <v>6080</v>
      </c>
    </row>
    <row r="115" spans="1:32" x14ac:dyDescent="0.3">
      <c r="A115" t="str">
        <f t="shared" si="5"/>
        <v>Mervyn's</v>
      </c>
      <c r="B115">
        <v>406</v>
      </c>
      <c r="C115" t="s">
        <v>5952</v>
      </c>
      <c r="D115" t="s">
        <v>6008</v>
      </c>
      <c r="E115" t="s">
        <v>6007</v>
      </c>
      <c r="F115" t="s">
        <v>5691</v>
      </c>
      <c r="G115" t="s">
        <v>5987</v>
      </c>
      <c r="H115">
        <v>16.100000000000001</v>
      </c>
      <c r="I115" t="s">
        <v>6079</v>
      </c>
      <c r="J115">
        <v>7.2709999999999999</v>
      </c>
      <c r="K115" t="s">
        <v>326</v>
      </c>
      <c r="L115" t="s">
        <v>6078</v>
      </c>
      <c r="M115">
        <v>646.01</v>
      </c>
      <c r="N115" t="s">
        <v>5720</v>
      </c>
      <c r="O115" t="s">
        <v>5861</v>
      </c>
      <c r="P115" t="s">
        <v>329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3137</v>
      </c>
      <c r="W115" t="s">
        <v>326</v>
      </c>
      <c r="X115">
        <v>3</v>
      </c>
      <c r="Y115" t="s">
        <v>3838</v>
      </c>
      <c r="Z115" t="s">
        <v>3829</v>
      </c>
      <c r="AA115" t="s">
        <v>3140</v>
      </c>
      <c r="AB115" t="s">
        <v>3141</v>
      </c>
      <c r="AC115" t="s">
        <v>3833</v>
      </c>
      <c r="AD115" t="str">
        <f>LEFT(I115,FIND(4,I115)-1)</f>
        <v>HGT</v>
      </c>
      <c r="AE115" t="s">
        <v>6608</v>
      </c>
      <c r="AF115" t="s">
        <v>6079</v>
      </c>
    </row>
    <row r="116" spans="1:32" x14ac:dyDescent="0.3">
      <c r="A116" t="str">
        <f t="shared" si="5"/>
        <v>Strongbod</v>
      </c>
      <c r="B116">
        <v>406</v>
      </c>
      <c r="C116" t="s">
        <v>5952</v>
      </c>
      <c r="D116" t="s">
        <v>6008</v>
      </c>
      <c r="E116" t="s">
        <v>6007</v>
      </c>
      <c r="F116" t="s">
        <v>5691</v>
      </c>
      <c r="G116" t="s">
        <v>5987</v>
      </c>
      <c r="H116">
        <v>16.100000000000001</v>
      </c>
      <c r="I116" t="s">
        <v>6077</v>
      </c>
      <c r="J116">
        <v>7.31</v>
      </c>
      <c r="K116" t="s">
        <v>326</v>
      </c>
      <c r="L116" t="s">
        <v>6076</v>
      </c>
      <c r="M116">
        <v>655.76700000000005</v>
      </c>
      <c r="N116" t="s">
        <v>5704</v>
      </c>
      <c r="O116" t="s">
        <v>5734</v>
      </c>
      <c r="P116" t="s">
        <v>3655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3137</v>
      </c>
      <c r="W116" t="s">
        <v>326</v>
      </c>
      <c r="X116">
        <v>3</v>
      </c>
      <c r="Y116" t="s">
        <v>3809</v>
      </c>
      <c r="Z116" t="s">
        <v>3800</v>
      </c>
      <c r="AA116" t="s">
        <v>3245</v>
      </c>
      <c r="AB116" t="s">
        <v>3801</v>
      </c>
      <c r="AC116" t="s">
        <v>3805</v>
      </c>
      <c r="AD116" t="str">
        <f>LEFT(I116,FIND(4,I116)-1)</f>
        <v>HMT</v>
      </c>
      <c r="AE116" t="s">
        <v>6609</v>
      </c>
      <c r="AF116" t="s">
        <v>6077</v>
      </c>
    </row>
    <row r="117" spans="1:32" x14ac:dyDescent="0.3">
      <c r="A117" t="str">
        <f t="shared" si="5"/>
        <v>Record Bar</v>
      </c>
      <c r="B117">
        <v>406</v>
      </c>
      <c r="C117" t="s">
        <v>5952</v>
      </c>
      <c r="D117" t="s">
        <v>6008</v>
      </c>
      <c r="E117" t="s">
        <v>6007</v>
      </c>
      <c r="F117" t="s">
        <v>5691</v>
      </c>
      <c r="G117" t="s">
        <v>5987</v>
      </c>
      <c r="H117">
        <v>16.100000000000001</v>
      </c>
      <c r="I117" t="s">
        <v>6075</v>
      </c>
      <c r="J117">
        <v>7.2220000000000004</v>
      </c>
      <c r="K117" t="s">
        <v>326</v>
      </c>
      <c r="L117" t="s">
        <v>6074</v>
      </c>
      <c r="M117">
        <v>461.48700000000002</v>
      </c>
      <c r="N117" t="s">
        <v>5755</v>
      </c>
      <c r="O117">
        <v>367</v>
      </c>
      <c r="P117" t="s">
        <v>329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3137</v>
      </c>
      <c r="W117" t="s">
        <v>326</v>
      </c>
      <c r="X117">
        <v>3</v>
      </c>
      <c r="Y117" t="s">
        <v>3963</v>
      </c>
      <c r="Z117" t="s">
        <v>3954</v>
      </c>
      <c r="AA117" t="s">
        <v>3263</v>
      </c>
      <c r="AB117" t="s">
        <v>3264</v>
      </c>
      <c r="AC117" t="s">
        <v>3958</v>
      </c>
      <c r="AD117" t="str">
        <f>LEFT(I117,FIND(4,I117)-1)</f>
        <v>JBST</v>
      </c>
      <c r="AE117" t="s">
        <v>6610</v>
      </c>
      <c r="AF117" t="s">
        <v>6075</v>
      </c>
    </row>
    <row r="118" spans="1:32" x14ac:dyDescent="0.3">
      <c r="A118" t="str">
        <f t="shared" si="5"/>
        <v>Lawnscape Garden Maintenance</v>
      </c>
      <c r="B118">
        <v>406</v>
      </c>
      <c r="C118" t="s">
        <v>5952</v>
      </c>
      <c r="D118" t="s">
        <v>6008</v>
      </c>
      <c r="E118" t="s">
        <v>6007</v>
      </c>
      <c r="F118" t="s">
        <v>5691</v>
      </c>
      <c r="G118" t="s">
        <v>5987</v>
      </c>
      <c r="H118">
        <v>16.100000000000001</v>
      </c>
      <c r="I118" t="s">
        <v>6073</v>
      </c>
      <c r="J118">
        <v>15</v>
      </c>
      <c r="K118" t="s">
        <v>326</v>
      </c>
      <c r="L118" t="s">
        <v>5782</v>
      </c>
      <c r="M118">
        <v>1299.6669999999999</v>
      </c>
      <c r="N118" t="s">
        <v>5720</v>
      </c>
      <c r="O118" t="s">
        <v>6072</v>
      </c>
      <c r="P118" t="s">
        <v>329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3137</v>
      </c>
      <c r="W118" t="s">
        <v>326</v>
      </c>
      <c r="X118">
        <v>2</v>
      </c>
      <c r="Y118" t="s">
        <v>4371</v>
      </c>
      <c r="Z118" t="s">
        <v>4485</v>
      </c>
      <c r="AA118" t="s">
        <v>4486</v>
      </c>
      <c r="AB118" t="s">
        <v>4487</v>
      </c>
      <c r="AC118" t="s">
        <v>4491</v>
      </c>
      <c r="AD118" t="str">
        <f t="shared" ref="AD118:AD120" si="9">LEFT(I118,FIND(0,I118)-1)</f>
        <v>KAIN</v>
      </c>
      <c r="AE118" t="s">
        <v>6611</v>
      </c>
      <c r="AF118" t="s">
        <v>6073</v>
      </c>
    </row>
    <row r="119" spans="1:32" x14ac:dyDescent="0.3">
      <c r="A119" t="str">
        <f t="shared" si="5"/>
        <v>The Flying Bear</v>
      </c>
      <c r="B119">
        <v>406</v>
      </c>
      <c r="C119" t="s">
        <v>5952</v>
      </c>
      <c r="D119" t="s">
        <v>6008</v>
      </c>
      <c r="E119" t="s">
        <v>6007</v>
      </c>
      <c r="F119" t="s">
        <v>5691</v>
      </c>
      <c r="G119" t="s">
        <v>5987</v>
      </c>
      <c r="H119">
        <v>16.100000000000001</v>
      </c>
      <c r="I119" t="s">
        <v>6071</v>
      </c>
      <c r="J119">
        <v>20</v>
      </c>
      <c r="K119" t="s">
        <v>326</v>
      </c>
      <c r="L119" t="s">
        <v>5811</v>
      </c>
      <c r="M119">
        <v>1405.5</v>
      </c>
      <c r="N119" t="s">
        <v>5704</v>
      </c>
      <c r="O119" t="s">
        <v>6070</v>
      </c>
      <c r="P119" t="s">
        <v>329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3137</v>
      </c>
      <c r="W119" t="s">
        <v>326</v>
      </c>
      <c r="X119">
        <v>1</v>
      </c>
      <c r="Y119" t="s">
        <v>4200</v>
      </c>
      <c r="Z119" t="s">
        <v>4191</v>
      </c>
      <c r="AA119" t="s">
        <v>3104</v>
      </c>
      <c r="AB119" t="s">
        <v>3105</v>
      </c>
      <c r="AC119" t="s">
        <v>4195</v>
      </c>
      <c r="AD119" t="str">
        <f t="shared" si="9"/>
        <v>KEAT</v>
      </c>
      <c r="AE119" t="s">
        <v>6612</v>
      </c>
      <c r="AF119" t="s">
        <v>6071</v>
      </c>
    </row>
    <row r="120" spans="1:32" x14ac:dyDescent="0.3">
      <c r="A120" t="str">
        <f t="shared" si="5"/>
        <v>Great American Music</v>
      </c>
      <c r="B120">
        <v>406</v>
      </c>
      <c r="C120" t="s">
        <v>5952</v>
      </c>
      <c r="D120" t="s">
        <v>6008</v>
      </c>
      <c r="E120" t="s">
        <v>6007</v>
      </c>
      <c r="F120" t="s">
        <v>5691</v>
      </c>
      <c r="G120" t="s">
        <v>5987</v>
      </c>
      <c r="H120">
        <v>16.100000000000001</v>
      </c>
      <c r="I120" t="s">
        <v>6069</v>
      </c>
      <c r="J120">
        <v>22</v>
      </c>
      <c r="K120" t="s">
        <v>326</v>
      </c>
      <c r="L120" t="s">
        <v>5780</v>
      </c>
      <c r="M120">
        <v>1544.6669999999999</v>
      </c>
      <c r="N120" t="s">
        <v>5738</v>
      </c>
      <c r="O120" t="s">
        <v>5781</v>
      </c>
      <c r="P120" t="s">
        <v>329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3137</v>
      </c>
      <c r="W120" t="s">
        <v>326</v>
      </c>
      <c r="X120">
        <v>1</v>
      </c>
      <c r="Y120" t="s">
        <v>4069</v>
      </c>
      <c r="Z120" t="s">
        <v>4061</v>
      </c>
      <c r="AA120" t="s">
        <v>2</v>
      </c>
      <c r="AB120" t="s">
        <v>3908</v>
      </c>
      <c r="AC120" t="s">
        <v>4065</v>
      </c>
      <c r="AD120" t="str">
        <f t="shared" si="9"/>
        <v>KLMC</v>
      </c>
      <c r="AE120" t="s">
        <v>6613</v>
      </c>
      <c r="AF120" t="s">
        <v>6069</v>
      </c>
    </row>
    <row r="121" spans="1:32" x14ac:dyDescent="0.3">
      <c r="A121" t="str">
        <f t="shared" si="5"/>
        <v>Great American Music</v>
      </c>
      <c r="B121">
        <v>406</v>
      </c>
      <c r="C121" t="s">
        <v>5952</v>
      </c>
      <c r="D121" t="s">
        <v>6008</v>
      </c>
      <c r="E121" t="s">
        <v>6007</v>
      </c>
      <c r="F121" t="s">
        <v>5691</v>
      </c>
      <c r="G121" t="s">
        <v>5987</v>
      </c>
      <c r="H121">
        <v>16.100000000000001</v>
      </c>
      <c r="I121" t="s">
        <v>6068</v>
      </c>
      <c r="J121">
        <v>9.9480000000000004</v>
      </c>
      <c r="K121" t="s">
        <v>326</v>
      </c>
      <c r="L121" t="s">
        <v>5780</v>
      </c>
      <c r="M121">
        <v>769.71299999999997</v>
      </c>
      <c r="N121" t="s">
        <v>5703</v>
      </c>
      <c r="O121" t="s">
        <v>5734</v>
      </c>
      <c r="P121" t="s">
        <v>329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3137</v>
      </c>
      <c r="W121" t="s">
        <v>326</v>
      </c>
      <c r="X121">
        <v>3</v>
      </c>
      <c r="Y121" t="s">
        <v>4069</v>
      </c>
      <c r="Z121" t="s">
        <v>4061</v>
      </c>
      <c r="AA121" t="s">
        <v>2</v>
      </c>
      <c r="AB121" t="s">
        <v>3908</v>
      </c>
      <c r="AC121" t="s">
        <v>4065</v>
      </c>
      <c r="AD121" t="str">
        <f>LEFT(I121,FIND(4,I121)-1)</f>
        <v>KLMC</v>
      </c>
      <c r="AE121" t="s">
        <v>6613</v>
      </c>
      <c r="AF121" t="s">
        <v>6068</v>
      </c>
    </row>
    <row r="122" spans="1:32" x14ac:dyDescent="0.3">
      <c r="A122" t="str">
        <f t="shared" si="5"/>
        <v>Hugh M. Woods</v>
      </c>
      <c r="B122">
        <v>406</v>
      </c>
      <c r="C122" t="s">
        <v>5952</v>
      </c>
      <c r="D122" t="s">
        <v>6008</v>
      </c>
      <c r="E122" t="s">
        <v>6007</v>
      </c>
      <c r="F122" t="s">
        <v>5691</v>
      </c>
      <c r="G122" t="s">
        <v>5987</v>
      </c>
      <c r="H122">
        <v>16.100000000000001</v>
      </c>
      <c r="I122" t="s">
        <v>6067</v>
      </c>
      <c r="J122">
        <v>22</v>
      </c>
      <c r="K122" t="s">
        <v>326</v>
      </c>
      <c r="L122" t="s">
        <v>5699</v>
      </c>
      <c r="M122">
        <v>1558</v>
      </c>
      <c r="N122" t="s">
        <v>5693</v>
      </c>
      <c r="O122" t="s">
        <v>6066</v>
      </c>
      <c r="P122" t="s">
        <v>329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3137</v>
      </c>
      <c r="W122" t="s">
        <v>326</v>
      </c>
      <c r="X122">
        <v>1</v>
      </c>
      <c r="Y122" t="s">
        <v>4213</v>
      </c>
      <c r="Z122" t="s">
        <v>4205</v>
      </c>
      <c r="AA122" t="s">
        <v>2</v>
      </c>
      <c r="AB122" t="s">
        <v>3367</v>
      </c>
      <c r="AC122" t="s">
        <v>4209</v>
      </c>
      <c r="AD122" t="str">
        <f>LEFT(I122,FIND(0,I122)-1)</f>
        <v>MCDO</v>
      </c>
      <c r="AE122" t="s">
        <v>6596</v>
      </c>
      <c r="AF122" t="s">
        <v>6067</v>
      </c>
    </row>
    <row r="123" spans="1:32" x14ac:dyDescent="0.3">
      <c r="A123" t="str">
        <f t="shared" si="5"/>
        <v>Piccolo Mondo</v>
      </c>
      <c r="B123">
        <v>406</v>
      </c>
      <c r="C123" t="s">
        <v>5952</v>
      </c>
      <c r="D123" t="s">
        <v>6008</v>
      </c>
      <c r="E123" t="s">
        <v>6007</v>
      </c>
      <c r="F123" t="s">
        <v>5691</v>
      </c>
      <c r="G123" t="s">
        <v>5987</v>
      </c>
      <c r="H123">
        <v>16.100000000000001</v>
      </c>
      <c r="I123" t="s">
        <v>6065</v>
      </c>
      <c r="J123">
        <v>7.2709999999999999</v>
      </c>
      <c r="K123" t="s">
        <v>326</v>
      </c>
      <c r="L123" t="s">
        <v>6051</v>
      </c>
      <c r="M123">
        <v>612.76</v>
      </c>
      <c r="N123" t="s">
        <v>6064</v>
      </c>
      <c r="O123" t="s">
        <v>5913</v>
      </c>
      <c r="P123" t="s">
        <v>329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3137</v>
      </c>
      <c r="W123" t="s">
        <v>326</v>
      </c>
      <c r="X123">
        <v>3</v>
      </c>
      <c r="Y123" t="s">
        <v>4326</v>
      </c>
      <c r="Z123" t="s">
        <v>4315</v>
      </c>
      <c r="AA123" t="s">
        <v>4316</v>
      </c>
      <c r="AB123" t="s">
        <v>4317</v>
      </c>
      <c r="AC123" t="s">
        <v>4321</v>
      </c>
      <c r="AD123" t="str">
        <f>LEFT(I123,FIND(4,I123)-1)</f>
        <v>PBT</v>
      </c>
      <c r="AE123" t="s">
        <v>6614</v>
      </c>
      <c r="AF123" t="s">
        <v>6065</v>
      </c>
    </row>
    <row r="124" spans="1:32" x14ac:dyDescent="0.3">
      <c r="A124" t="str">
        <f t="shared" si="5"/>
        <v>National Shirt Shop</v>
      </c>
      <c r="B124">
        <v>406</v>
      </c>
      <c r="C124" t="s">
        <v>5952</v>
      </c>
      <c r="D124" t="s">
        <v>6008</v>
      </c>
      <c r="E124" t="s">
        <v>6007</v>
      </c>
      <c r="F124" t="s">
        <v>5691</v>
      </c>
      <c r="G124" t="s">
        <v>5987</v>
      </c>
      <c r="H124">
        <v>16.100000000000001</v>
      </c>
      <c r="I124" t="s">
        <v>6063</v>
      </c>
      <c r="J124">
        <v>5.1369999999999996</v>
      </c>
      <c r="K124" t="s">
        <v>326</v>
      </c>
      <c r="L124" t="s">
        <v>6062</v>
      </c>
      <c r="M124">
        <v>327.387</v>
      </c>
      <c r="N124" t="s">
        <v>5703</v>
      </c>
      <c r="O124" t="s">
        <v>5734</v>
      </c>
      <c r="P124" t="s">
        <v>329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3137</v>
      </c>
      <c r="W124" t="s">
        <v>326</v>
      </c>
      <c r="X124">
        <v>3</v>
      </c>
      <c r="Y124" t="s">
        <v>3933</v>
      </c>
      <c r="Z124" t="s">
        <v>3922</v>
      </c>
      <c r="AA124" t="s">
        <v>3923</v>
      </c>
      <c r="AB124" t="s">
        <v>3924</v>
      </c>
      <c r="AC124" t="s">
        <v>3928</v>
      </c>
      <c r="AD124" t="str">
        <f>LEFT(I124,FIND(4,I124)-1)</f>
        <v>RG</v>
      </c>
      <c r="AE124" t="s">
        <v>6615</v>
      </c>
      <c r="AF124" t="s">
        <v>6063</v>
      </c>
    </row>
    <row r="125" spans="1:32" x14ac:dyDescent="0.3">
      <c r="A125" t="str">
        <f t="shared" si="5"/>
        <v>Builders Square</v>
      </c>
      <c r="B125">
        <v>406</v>
      </c>
      <c r="C125" t="s">
        <v>5952</v>
      </c>
      <c r="D125" t="s">
        <v>6008</v>
      </c>
      <c r="E125" t="s">
        <v>6007</v>
      </c>
      <c r="F125" t="s">
        <v>5691</v>
      </c>
      <c r="G125" t="s">
        <v>5987</v>
      </c>
      <c r="H125">
        <v>16.100000000000001</v>
      </c>
      <c r="I125" t="s">
        <v>6061</v>
      </c>
      <c r="J125">
        <v>12</v>
      </c>
      <c r="K125" t="s">
        <v>326</v>
      </c>
      <c r="L125" t="s">
        <v>6060</v>
      </c>
      <c r="M125">
        <v>927.66700000000003</v>
      </c>
      <c r="N125" t="s">
        <v>5693</v>
      </c>
      <c r="O125" t="s">
        <v>5734</v>
      </c>
      <c r="P125" t="s">
        <v>329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3137</v>
      </c>
      <c r="W125" t="s">
        <v>326</v>
      </c>
      <c r="X125">
        <v>2</v>
      </c>
      <c r="Y125" t="s">
        <v>4054</v>
      </c>
      <c r="Z125" t="s">
        <v>4046</v>
      </c>
      <c r="AA125" t="s">
        <v>18</v>
      </c>
      <c r="AB125" t="s">
        <v>3383</v>
      </c>
      <c r="AC125" t="s">
        <v>4050</v>
      </c>
      <c r="AD125" t="str">
        <f t="shared" ref="AD125:AD127" si="10">IF(ISERR(LEFT(I125,FIND("-",I125)-1)),LEFT(I125,FIND(" ",I125)-1),LEFT(I125,FIND("-",I125)-1))</f>
        <v>SEK</v>
      </c>
      <c r="AE125" t="s">
        <v>6616</v>
      </c>
      <c r="AF125" t="s">
        <v>6061</v>
      </c>
    </row>
    <row r="126" spans="1:32" x14ac:dyDescent="0.3">
      <c r="A126" t="str">
        <f t="shared" si="5"/>
        <v>Music Plus</v>
      </c>
      <c r="B126">
        <v>406</v>
      </c>
      <c r="C126" t="s">
        <v>5952</v>
      </c>
      <c r="D126" t="s">
        <v>6008</v>
      </c>
      <c r="E126" t="s">
        <v>6007</v>
      </c>
      <c r="F126" t="s">
        <v>5691</v>
      </c>
      <c r="G126" t="s">
        <v>5987</v>
      </c>
      <c r="H126">
        <v>16.100000000000001</v>
      </c>
      <c r="I126" t="s">
        <v>6059</v>
      </c>
      <c r="J126">
        <v>15</v>
      </c>
      <c r="K126" t="s">
        <v>326</v>
      </c>
      <c r="L126" t="s">
        <v>5794</v>
      </c>
      <c r="M126">
        <v>1021.833</v>
      </c>
      <c r="N126" t="s">
        <v>6058</v>
      </c>
      <c r="O126" t="s">
        <v>6057</v>
      </c>
      <c r="P126" t="s">
        <v>329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3137</v>
      </c>
      <c r="W126" t="s">
        <v>326</v>
      </c>
      <c r="X126">
        <v>2</v>
      </c>
      <c r="Y126" t="s">
        <v>4611</v>
      </c>
      <c r="Z126" t="s">
        <v>4601</v>
      </c>
      <c r="AA126" t="s">
        <v>11</v>
      </c>
      <c r="AB126" t="s">
        <v>4602</v>
      </c>
      <c r="AC126" t="s">
        <v>4606</v>
      </c>
      <c r="AD126" t="str">
        <f>LEFT(I126,FIND(0,I126)-1)</f>
        <v>STEP</v>
      </c>
      <c r="AE126" t="s">
        <v>6617</v>
      </c>
      <c r="AF126" t="s">
        <v>6059</v>
      </c>
    </row>
    <row r="127" spans="1:32" x14ac:dyDescent="0.3">
      <c r="A127" t="str">
        <f t="shared" si="5"/>
        <v>American Wholesale Club</v>
      </c>
      <c r="B127">
        <v>406</v>
      </c>
      <c r="C127" t="s">
        <v>5952</v>
      </c>
      <c r="D127" t="s">
        <v>6008</v>
      </c>
      <c r="E127" t="s">
        <v>6007</v>
      </c>
      <c r="F127" t="s">
        <v>5691</v>
      </c>
      <c r="G127" t="s">
        <v>5987</v>
      </c>
      <c r="H127">
        <v>16.100000000000001</v>
      </c>
      <c r="I127" t="s">
        <v>6056</v>
      </c>
      <c r="J127">
        <v>12</v>
      </c>
      <c r="K127" t="s">
        <v>326</v>
      </c>
      <c r="L127" t="s">
        <v>5699</v>
      </c>
      <c r="M127">
        <v>829.41700000000003</v>
      </c>
      <c r="N127" t="s">
        <v>5693</v>
      </c>
      <c r="O127" t="s">
        <v>6055</v>
      </c>
      <c r="P127" t="s">
        <v>329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3137</v>
      </c>
      <c r="W127" t="s">
        <v>326</v>
      </c>
      <c r="X127">
        <v>3</v>
      </c>
      <c r="Y127" t="s">
        <v>4510</v>
      </c>
      <c r="Z127" t="s">
        <v>4501</v>
      </c>
      <c r="AA127" t="s">
        <v>3738</v>
      </c>
      <c r="AB127" t="s">
        <v>3739</v>
      </c>
      <c r="AC127" t="s">
        <v>4505</v>
      </c>
      <c r="AD127" t="str">
        <f t="shared" si="10"/>
        <v>TDT8</v>
      </c>
      <c r="AE127" t="s">
        <v>5596</v>
      </c>
      <c r="AF127" t="s">
        <v>6056</v>
      </c>
    </row>
    <row r="128" spans="1:32" x14ac:dyDescent="0.3">
      <c r="A128" t="str">
        <f t="shared" si="5"/>
        <v>Kids Mart</v>
      </c>
      <c r="B128">
        <v>406</v>
      </c>
      <c r="C128" t="s">
        <v>5952</v>
      </c>
      <c r="D128" t="s">
        <v>6008</v>
      </c>
      <c r="E128" t="s">
        <v>6007</v>
      </c>
      <c r="F128" t="s">
        <v>5691</v>
      </c>
      <c r="G128" t="s">
        <v>5987</v>
      </c>
      <c r="H128">
        <v>16.100000000000001</v>
      </c>
      <c r="I128" t="s">
        <v>6054</v>
      </c>
      <c r="J128">
        <v>18</v>
      </c>
      <c r="K128" t="s">
        <v>326</v>
      </c>
      <c r="L128" t="s">
        <v>5782</v>
      </c>
      <c r="M128">
        <v>1283.25</v>
      </c>
      <c r="N128" t="s">
        <v>5732</v>
      </c>
      <c r="O128" t="s">
        <v>6053</v>
      </c>
      <c r="P128" t="s">
        <v>329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3137</v>
      </c>
      <c r="W128" t="s">
        <v>326</v>
      </c>
      <c r="X128">
        <v>2</v>
      </c>
      <c r="Y128" t="s">
        <v>4101</v>
      </c>
      <c r="Z128" t="s">
        <v>4740</v>
      </c>
      <c r="AA128" t="s">
        <v>3562</v>
      </c>
      <c r="AB128" t="s">
        <v>3563</v>
      </c>
      <c r="AC128" t="s">
        <v>4744</v>
      </c>
      <c r="AD128" t="str">
        <f t="shared" ref="AD128:AD130" si="11">LEFT(I128,FIND(0,I128)-1)</f>
        <v>TERR</v>
      </c>
      <c r="AE128" t="s">
        <v>6618</v>
      </c>
      <c r="AF128" t="s">
        <v>6054</v>
      </c>
    </row>
    <row r="129" spans="1:32" x14ac:dyDescent="0.3">
      <c r="A129" t="str">
        <f t="shared" si="5"/>
        <v>KB Toys</v>
      </c>
      <c r="B129">
        <v>406</v>
      </c>
      <c r="C129" t="s">
        <v>5952</v>
      </c>
      <c r="D129" t="s">
        <v>6008</v>
      </c>
      <c r="E129" t="s">
        <v>6007</v>
      </c>
      <c r="F129" t="s">
        <v>5691</v>
      </c>
      <c r="G129" t="s">
        <v>5987</v>
      </c>
      <c r="H129">
        <v>16.100000000000001</v>
      </c>
      <c r="I129" t="s">
        <v>6052</v>
      </c>
      <c r="J129">
        <v>27</v>
      </c>
      <c r="K129" t="s">
        <v>326</v>
      </c>
      <c r="L129" t="s">
        <v>6051</v>
      </c>
      <c r="M129">
        <v>1821.5</v>
      </c>
      <c r="N129" t="s">
        <v>5711</v>
      </c>
      <c r="O129" t="s">
        <v>6050</v>
      </c>
      <c r="P129" t="s">
        <v>329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3137</v>
      </c>
      <c r="W129" t="s">
        <v>326</v>
      </c>
      <c r="X129">
        <v>1</v>
      </c>
      <c r="Y129" t="s">
        <v>4896</v>
      </c>
      <c r="Z129" t="s">
        <v>4885</v>
      </c>
      <c r="AA129" t="s">
        <v>4886</v>
      </c>
      <c r="AB129" t="s">
        <v>4887</v>
      </c>
      <c r="AC129" t="s">
        <v>4891</v>
      </c>
      <c r="AD129" t="str">
        <f t="shared" si="11"/>
        <v>ZAPP</v>
      </c>
      <c r="AE129" t="s">
        <v>6619</v>
      </c>
      <c r="AF129" t="s">
        <v>6052</v>
      </c>
    </row>
    <row r="130" spans="1:32" x14ac:dyDescent="0.3">
      <c r="A130" t="str">
        <f t="shared" si="5"/>
        <v>Child World</v>
      </c>
      <c r="B130">
        <v>406</v>
      </c>
      <c r="C130" t="s">
        <v>5952</v>
      </c>
      <c r="D130" t="s">
        <v>6008</v>
      </c>
      <c r="E130" t="s">
        <v>6007</v>
      </c>
      <c r="F130" t="s">
        <v>5691</v>
      </c>
      <c r="G130" t="s">
        <v>5987</v>
      </c>
      <c r="H130">
        <v>16.100000000000001</v>
      </c>
      <c r="I130" t="s">
        <v>6049</v>
      </c>
      <c r="J130">
        <v>17</v>
      </c>
      <c r="K130" t="s">
        <v>326</v>
      </c>
      <c r="L130" t="s">
        <v>5812</v>
      </c>
      <c r="M130">
        <v>1228.3330000000001</v>
      </c>
      <c r="N130" t="s">
        <v>6048</v>
      </c>
      <c r="O130" t="s">
        <v>6045</v>
      </c>
      <c r="P130" t="s">
        <v>329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3137</v>
      </c>
      <c r="W130" t="s">
        <v>326</v>
      </c>
      <c r="X130">
        <v>2</v>
      </c>
      <c r="Y130" t="s">
        <v>4880</v>
      </c>
      <c r="Z130" t="s">
        <v>4871</v>
      </c>
      <c r="AA130" t="s">
        <v>4872</v>
      </c>
      <c r="AB130" t="s">
        <v>4873</v>
      </c>
      <c r="AC130" t="s">
        <v>4877</v>
      </c>
      <c r="AD130" t="str">
        <f t="shared" si="11"/>
        <v>ZGRA</v>
      </c>
      <c r="AE130" t="s">
        <v>6620</v>
      </c>
      <c r="AF130" t="s">
        <v>6049</v>
      </c>
    </row>
    <row r="131" spans="1:32" x14ac:dyDescent="0.3">
      <c r="A131" t="str">
        <f t="shared" ref="A131:A194" si="12">Y131</f>
        <v>Child World</v>
      </c>
      <c r="B131">
        <v>406</v>
      </c>
      <c r="C131" t="s">
        <v>5952</v>
      </c>
      <c r="D131" t="s">
        <v>6008</v>
      </c>
      <c r="E131" t="s">
        <v>6007</v>
      </c>
      <c r="F131" t="s">
        <v>5691</v>
      </c>
      <c r="G131" t="s">
        <v>5987</v>
      </c>
      <c r="H131">
        <v>16.100000000000001</v>
      </c>
      <c r="I131" t="s">
        <v>6047</v>
      </c>
      <c r="J131">
        <v>17</v>
      </c>
      <c r="K131" t="s">
        <v>326</v>
      </c>
      <c r="L131" t="s">
        <v>5812</v>
      </c>
      <c r="M131">
        <v>1225.3330000000001</v>
      </c>
      <c r="N131" t="s">
        <v>6046</v>
      </c>
      <c r="O131" t="s">
        <v>6045</v>
      </c>
      <c r="P131" t="s">
        <v>329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3137</v>
      </c>
      <c r="W131" t="s">
        <v>326</v>
      </c>
      <c r="X131">
        <v>3</v>
      </c>
      <c r="Y131" t="s">
        <v>4880</v>
      </c>
      <c r="Z131" t="s">
        <v>4871</v>
      </c>
      <c r="AA131" t="s">
        <v>4872</v>
      </c>
      <c r="AB131" t="s">
        <v>4873</v>
      </c>
      <c r="AC131" t="s">
        <v>4877</v>
      </c>
      <c r="AD131" t="str">
        <f t="shared" ref="AD131:AD145" si="13">LEFT(I131,FIND(4,I131)-1)</f>
        <v>ZGRA</v>
      </c>
      <c r="AE131" t="s">
        <v>6620</v>
      </c>
      <c r="AF131" t="s">
        <v>6047</v>
      </c>
    </row>
    <row r="132" spans="1:32" x14ac:dyDescent="0.3">
      <c r="A132" t="str">
        <f t="shared" si="12"/>
        <v>Reliable Guidance</v>
      </c>
      <c r="B132">
        <v>406</v>
      </c>
      <c r="C132" t="s">
        <v>5952</v>
      </c>
      <c r="D132" t="s">
        <v>6008</v>
      </c>
      <c r="E132" t="s">
        <v>6007</v>
      </c>
      <c r="F132" t="s">
        <v>5958</v>
      </c>
      <c r="G132" t="s">
        <v>5957</v>
      </c>
      <c r="H132">
        <v>16</v>
      </c>
      <c r="I132" t="s">
        <v>6044</v>
      </c>
      <c r="J132">
        <v>4.0110000000000001</v>
      </c>
      <c r="K132" t="s">
        <v>326</v>
      </c>
      <c r="L132" t="s">
        <v>5733</v>
      </c>
      <c r="M132">
        <v>131.66300000000001</v>
      </c>
      <c r="N132" t="s">
        <v>6043</v>
      </c>
      <c r="O132" t="s">
        <v>6042</v>
      </c>
      <c r="P132" t="s">
        <v>329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3137</v>
      </c>
      <c r="W132" t="s">
        <v>326</v>
      </c>
      <c r="X132">
        <v>1</v>
      </c>
      <c r="Y132" t="s">
        <v>3572</v>
      </c>
      <c r="Z132" t="s">
        <v>3561</v>
      </c>
      <c r="AA132" t="s">
        <v>3562</v>
      </c>
      <c r="AB132" t="s">
        <v>3563</v>
      </c>
      <c r="AC132" t="s">
        <v>3567</v>
      </c>
      <c r="AD132" t="str">
        <f t="shared" si="13"/>
        <v>EDEN</v>
      </c>
      <c r="AE132" t="s">
        <v>6621</v>
      </c>
      <c r="AF132" t="s">
        <v>6044</v>
      </c>
    </row>
    <row r="133" spans="1:32" x14ac:dyDescent="0.3">
      <c r="A133" t="str">
        <f t="shared" si="12"/>
        <v>Body Toning</v>
      </c>
      <c r="B133">
        <v>406</v>
      </c>
      <c r="C133" t="s">
        <v>5952</v>
      </c>
      <c r="D133" t="s">
        <v>6008</v>
      </c>
      <c r="E133" t="s">
        <v>6007</v>
      </c>
      <c r="F133" t="s">
        <v>5730</v>
      </c>
      <c r="G133" t="s">
        <v>5599</v>
      </c>
      <c r="H133">
        <v>16.3</v>
      </c>
      <c r="I133" t="s">
        <v>6041</v>
      </c>
      <c r="J133">
        <v>7.1340000000000003</v>
      </c>
      <c r="K133" t="s">
        <v>326</v>
      </c>
      <c r="L133" t="s">
        <v>5770</v>
      </c>
      <c r="M133">
        <v>216.68700000000001</v>
      </c>
      <c r="N133" t="s">
        <v>5758</v>
      </c>
      <c r="O133" t="s">
        <v>5798</v>
      </c>
      <c r="P133" t="s">
        <v>329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3137</v>
      </c>
      <c r="W133" t="s">
        <v>326</v>
      </c>
      <c r="X133">
        <v>1</v>
      </c>
      <c r="Y133" t="s">
        <v>3186</v>
      </c>
      <c r="Z133" t="s">
        <v>3175</v>
      </c>
      <c r="AA133" t="s">
        <v>3176</v>
      </c>
      <c r="AB133" t="s">
        <v>3177</v>
      </c>
      <c r="AC133" t="s">
        <v>3181</v>
      </c>
      <c r="AD133" t="str">
        <f t="shared" si="13"/>
        <v>ASSER</v>
      </c>
      <c r="AE133" t="s">
        <v>6622</v>
      </c>
      <c r="AF133" t="s">
        <v>6041</v>
      </c>
    </row>
    <row r="134" spans="1:32" x14ac:dyDescent="0.3">
      <c r="A134" t="str">
        <f t="shared" si="12"/>
        <v>Knox Lumber</v>
      </c>
      <c r="B134">
        <v>406</v>
      </c>
      <c r="C134" t="s">
        <v>5952</v>
      </c>
      <c r="D134" t="s">
        <v>6008</v>
      </c>
      <c r="E134" t="s">
        <v>6007</v>
      </c>
      <c r="F134" t="s">
        <v>6040</v>
      </c>
      <c r="G134" t="s">
        <v>6039</v>
      </c>
      <c r="H134">
        <v>1</v>
      </c>
      <c r="I134" t="s">
        <v>6038</v>
      </c>
      <c r="J134">
        <v>5.827</v>
      </c>
      <c r="K134" t="s">
        <v>326</v>
      </c>
      <c r="L134" t="s">
        <v>6037</v>
      </c>
      <c r="M134">
        <v>229.81</v>
      </c>
      <c r="N134" t="s">
        <v>6036</v>
      </c>
      <c r="O134" t="s">
        <v>6035</v>
      </c>
      <c r="P134" t="s">
        <v>329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3137</v>
      </c>
      <c r="W134" t="s">
        <v>326</v>
      </c>
      <c r="X134">
        <v>1</v>
      </c>
      <c r="Y134" t="s">
        <v>4309</v>
      </c>
      <c r="Z134" t="s">
        <v>4298</v>
      </c>
      <c r="AA134" t="s">
        <v>4299</v>
      </c>
      <c r="AB134" t="s">
        <v>4300</v>
      </c>
      <c r="AC134" t="s">
        <v>4304</v>
      </c>
      <c r="AD134" t="str">
        <f t="shared" si="13"/>
        <v>PSTS</v>
      </c>
      <c r="AE134" t="s">
        <v>6623</v>
      </c>
      <c r="AF134" t="s">
        <v>6038</v>
      </c>
    </row>
    <row r="135" spans="1:32" x14ac:dyDescent="0.3">
      <c r="A135" t="str">
        <f t="shared" si="12"/>
        <v>Geri's Hamburgers</v>
      </c>
      <c r="B135">
        <v>406</v>
      </c>
      <c r="C135" t="s">
        <v>5952</v>
      </c>
      <c r="D135" t="s">
        <v>6008</v>
      </c>
      <c r="E135" t="s">
        <v>6007</v>
      </c>
      <c r="F135" t="s">
        <v>5974</v>
      </c>
      <c r="G135" t="s">
        <v>5973</v>
      </c>
      <c r="H135">
        <v>16.100000000000001</v>
      </c>
      <c r="I135" t="s">
        <v>6034</v>
      </c>
      <c r="J135">
        <v>3.238</v>
      </c>
      <c r="K135" t="s">
        <v>326</v>
      </c>
      <c r="L135" t="s">
        <v>5813</v>
      </c>
      <c r="M135">
        <v>256.613</v>
      </c>
      <c r="N135" t="s">
        <v>5693</v>
      </c>
      <c r="O135" t="s">
        <v>5692</v>
      </c>
      <c r="P135" t="s">
        <v>329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3137</v>
      </c>
      <c r="W135" t="s">
        <v>326</v>
      </c>
      <c r="X135">
        <v>2</v>
      </c>
      <c r="Y135" t="s">
        <v>4009</v>
      </c>
      <c r="Z135" t="s">
        <v>4000</v>
      </c>
      <c r="AA135" t="s">
        <v>3229</v>
      </c>
      <c r="AB135" t="s">
        <v>3230</v>
      </c>
      <c r="AC135" t="s">
        <v>4004</v>
      </c>
      <c r="AD135" t="str">
        <f t="shared" si="13"/>
        <v>JT</v>
      </c>
      <c r="AE135" t="s">
        <v>6624</v>
      </c>
      <c r="AF135" t="s">
        <v>6034</v>
      </c>
    </row>
    <row r="136" spans="1:32" x14ac:dyDescent="0.3">
      <c r="A136" t="str">
        <f t="shared" si="12"/>
        <v>Geri's Hamburgers</v>
      </c>
      <c r="B136">
        <v>406</v>
      </c>
      <c r="C136" t="s">
        <v>5952</v>
      </c>
      <c r="D136" t="s">
        <v>6008</v>
      </c>
      <c r="E136" t="s">
        <v>6007</v>
      </c>
      <c r="F136" t="s">
        <v>5974</v>
      </c>
      <c r="G136" t="s">
        <v>5973</v>
      </c>
      <c r="H136">
        <v>16.100000000000001</v>
      </c>
      <c r="I136" t="s">
        <v>6033</v>
      </c>
      <c r="J136">
        <v>3.238</v>
      </c>
      <c r="K136" t="s">
        <v>326</v>
      </c>
      <c r="L136" t="s">
        <v>5813</v>
      </c>
      <c r="M136">
        <v>259.77999999999997</v>
      </c>
      <c r="N136" t="s">
        <v>6032</v>
      </c>
      <c r="O136" t="s">
        <v>5734</v>
      </c>
      <c r="P136" t="s">
        <v>329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3137</v>
      </c>
      <c r="W136" t="s">
        <v>326</v>
      </c>
      <c r="X136">
        <v>1</v>
      </c>
      <c r="Y136" t="s">
        <v>4009</v>
      </c>
      <c r="Z136" t="s">
        <v>4000</v>
      </c>
      <c r="AA136" t="s">
        <v>3229</v>
      </c>
      <c r="AB136" t="s">
        <v>3230</v>
      </c>
      <c r="AC136" t="s">
        <v>4004</v>
      </c>
      <c r="AD136" t="str">
        <f t="shared" si="13"/>
        <v>JT</v>
      </c>
      <c r="AE136" t="s">
        <v>6624</v>
      </c>
      <c r="AF136" t="s">
        <v>6033</v>
      </c>
    </row>
    <row r="137" spans="1:32" x14ac:dyDescent="0.3">
      <c r="A137" t="str">
        <f t="shared" si="12"/>
        <v>Jeans Unlimited</v>
      </c>
      <c r="B137">
        <v>406</v>
      </c>
      <c r="C137" t="s">
        <v>5952</v>
      </c>
      <c r="D137" t="s">
        <v>6008</v>
      </c>
      <c r="E137" t="s">
        <v>6007</v>
      </c>
      <c r="F137" t="s">
        <v>5974</v>
      </c>
      <c r="G137" t="s">
        <v>5973</v>
      </c>
      <c r="H137">
        <v>16.100000000000001</v>
      </c>
      <c r="I137" t="s">
        <v>6031</v>
      </c>
      <c r="J137">
        <v>3.238</v>
      </c>
      <c r="K137" t="s">
        <v>326</v>
      </c>
      <c r="L137" t="s">
        <v>5813</v>
      </c>
      <c r="M137">
        <v>257.113</v>
      </c>
      <c r="N137" t="s">
        <v>5703</v>
      </c>
      <c r="O137" t="s">
        <v>5734</v>
      </c>
      <c r="P137" t="s">
        <v>329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3137</v>
      </c>
      <c r="W137" t="s">
        <v>326</v>
      </c>
      <c r="X137">
        <v>1</v>
      </c>
      <c r="Y137" t="s">
        <v>3130</v>
      </c>
      <c r="Z137" t="s">
        <v>3120</v>
      </c>
      <c r="AA137" t="s">
        <v>19</v>
      </c>
      <c r="AB137" t="s">
        <v>3121</v>
      </c>
      <c r="AC137" t="s">
        <v>3125</v>
      </c>
      <c r="AD137" t="str">
        <f t="shared" si="13"/>
        <v>SVAB</v>
      </c>
      <c r="AE137" t="s">
        <v>6595</v>
      </c>
      <c r="AF137" t="s">
        <v>6031</v>
      </c>
    </row>
    <row r="138" spans="1:32" x14ac:dyDescent="0.3">
      <c r="A138" t="str">
        <f t="shared" si="12"/>
        <v>Wells &amp; Wade</v>
      </c>
      <c r="B138">
        <v>406</v>
      </c>
      <c r="C138" t="s">
        <v>5952</v>
      </c>
      <c r="D138" t="s">
        <v>6008</v>
      </c>
      <c r="E138" t="s">
        <v>6007</v>
      </c>
      <c r="F138" t="s">
        <v>5759</v>
      </c>
      <c r="G138" t="s">
        <v>6029</v>
      </c>
      <c r="H138">
        <v>16.399999999999999</v>
      </c>
      <c r="I138" t="s">
        <v>6030</v>
      </c>
      <c r="J138">
        <v>7.1120000000000001</v>
      </c>
      <c r="K138" t="s">
        <v>326</v>
      </c>
      <c r="L138" t="s">
        <v>5754</v>
      </c>
      <c r="M138">
        <v>617.52700000000004</v>
      </c>
      <c r="N138" t="s">
        <v>5788</v>
      </c>
      <c r="O138" t="s">
        <v>5750</v>
      </c>
      <c r="P138" t="s">
        <v>329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3137</v>
      </c>
      <c r="W138" t="s">
        <v>326</v>
      </c>
      <c r="X138">
        <v>1</v>
      </c>
      <c r="Y138" t="s">
        <v>3204</v>
      </c>
      <c r="Z138" t="s">
        <v>3193</v>
      </c>
      <c r="AA138" t="s">
        <v>3194</v>
      </c>
      <c r="AB138" t="s">
        <v>3195</v>
      </c>
      <c r="AC138" t="s">
        <v>3199</v>
      </c>
      <c r="AD138" t="str">
        <f t="shared" si="13"/>
        <v>BBCO</v>
      </c>
      <c r="AE138" t="s">
        <v>6586</v>
      </c>
      <c r="AF138" t="s">
        <v>6030</v>
      </c>
    </row>
    <row r="139" spans="1:32" x14ac:dyDescent="0.3">
      <c r="A139" t="str">
        <f t="shared" si="12"/>
        <v>Enviro Architectural Designs</v>
      </c>
      <c r="B139">
        <v>406</v>
      </c>
      <c r="C139" t="s">
        <v>5952</v>
      </c>
      <c r="D139" t="s">
        <v>6008</v>
      </c>
      <c r="E139" t="s">
        <v>6007</v>
      </c>
      <c r="F139" t="s">
        <v>5759</v>
      </c>
      <c r="G139" t="s">
        <v>6029</v>
      </c>
      <c r="H139">
        <v>16.399999999999999</v>
      </c>
      <c r="I139" t="s">
        <v>6028</v>
      </c>
      <c r="J139">
        <v>7.6050000000000004</v>
      </c>
      <c r="K139" t="s">
        <v>326</v>
      </c>
      <c r="L139" t="s">
        <v>5812</v>
      </c>
      <c r="M139">
        <v>574.65</v>
      </c>
      <c r="N139" t="s">
        <v>5755</v>
      </c>
      <c r="O139">
        <v>330</v>
      </c>
      <c r="P139" t="s">
        <v>329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3137</v>
      </c>
      <c r="W139" t="s">
        <v>326</v>
      </c>
      <c r="X139">
        <v>1</v>
      </c>
      <c r="Y139" t="s">
        <v>4702</v>
      </c>
      <c r="Z139" t="s">
        <v>4692</v>
      </c>
      <c r="AA139" t="s">
        <v>3399</v>
      </c>
      <c r="AB139" t="s">
        <v>4693</v>
      </c>
      <c r="AC139" t="s">
        <v>4697</v>
      </c>
      <c r="AD139" t="str">
        <f t="shared" si="13"/>
        <v>SCS</v>
      </c>
      <c r="AE139" t="s">
        <v>6625</v>
      </c>
      <c r="AF139" t="s">
        <v>6028</v>
      </c>
    </row>
    <row r="140" spans="1:32" x14ac:dyDescent="0.3">
      <c r="A140" t="str">
        <f t="shared" si="12"/>
        <v>Wells &amp; Wade</v>
      </c>
      <c r="B140">
        <v>406</v>
      </c>
      <c r="C140" t="s">
        <v>5952</v>
      </c>
      <c r="D140" t="s">
        <v>6008</v>
      </c>
      <c r="E140" t="s">
        <v>6007</v>
      </c>
      <c r="F140" t="s">
        <v>6023</v>
      </c>
      <c r="G140" t="s">
        <v>6022</v>
      </c>
      <c r="H140">
        <v>10</v>
      </c>
      <c r="I140" t="s">
        <v>6027</v>
      </c>
      <c r="J140">
        <v>9.2140000000000004</v>
      </c>
      <c r="K140" t="s">
        <v>326</v>
      </c>
      <c r="L140" t="s">
        <v>6025</v>
      </c>
      <c r="M140">
        <v>318.42</v>
      </c>
      <c r="N140" t="s">
        <v>5722</v>
      </c>
      <c r="O140" t="s">
        <v>6024</v>
      </c>
      <c r="P140" t="s">
        <v>329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3137</v>
      </c>
      <c r="W140" t="s">
        <v>326</v>
      </c>
      <c r="X140">
        <v>3</v>
      </c>
      <c r="Y140" t="s">
        <v>3204</v>
      </c>
      <c r="Z140" t="s">
        <v>3193</v>
      </c>
      <c r="AA140" t="s">
        <v>3194</v>
      </c>
      <c r="AB140" t="s">
        <v>3195</v>
      </c>
      <c r="AC140" t="s">
        <v>3199</v>
      </c>
      <c r="AD140" t="str">
        <f t="shared" si="13"/>
        <v>BBCO</v>
      </c>
      <c r="AE140" t="s">
        <v>6586</v>
      </c>
      <c r="AF140" t="s">
        <v>6027</v>
      </c>
    </row>
    <row r="141" spans="1:32" x14ac:dyDescent="0.3">
      <c r="A141" t="str">
        <f t="shared" si="12"/>
        <v>Wells &amp; Wade</v>
      </c>
      <c r="B141">
        <v>406</v>
      </c>
      <c r="C141" t="s">
        <v>5952</v>
      </c>
      <c r="D141" t="s">
        <v>6008</v>
      </c>
      <c r="E141" t="s">
        <v>6007</v>
      </c>
      <c r="F141" t="s">
        <v>6023</v>
      </c>
      <c r="G141" t="s">
        <v>6022</v>
      </c>
      <c r="H141">
        <v>10</v>
      </c>
      <c r="I141" t="s">
        <v>6026</v>
      </c>
      <c r="J141">
        <v>9.2140000000000004</v>
      </c>
      <c r="K141" t="s">
        <v>326</v>
      </c>
      <c r="L141" t="s">
        <v>6025</v>
      </c>
      <c r="M141">
        <v>284.08699999999999</v>
      </c>
      <c r="N141" t="s">
        <v>5722</v>
      </c>
      <c r="O141" t="s">
        <v>6024</v>
      </c>
      <c r="P141" t="s">
        <v>329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3137</v>
      </c>
      <c r="W141" t="s">
        <v>326</v>
      </c>
      <c r="X141">
        <v>3</v>
      </c>
      <c r="Y141" t="s">
        <v>3204</v>
      </c>
      <c r="Z141" t="s">
        <v>3193</v>
      </c>
      <c r="AA141" t="s">
        <v>3194</v>
      </c>
      <c r="AB141" t="s">
        <v>3195</v>
      </c>
      <c r="AC141" t="s">
        <v>3199</v>
      </c>
      <c r="AD141" t="str">
        <f t="shared" si="13"/>
        <v>BBCO</v>
      </c>
      <c r="AE141" t="s">
        <v>6586</v>
      </c>
      <c r="AF141" t="s">
        <v>6026</v>
      </c>
    </row>
    <row r="142" spans="1:32" x14ac:dyDescent="0.3">
      <c r="A142" t="str">
        <f t="shared" si="12"/>
        <v>Alert Alarm Company</v>
      </c>
      <c r="B142">
        <v>406</v>
      </c>
      <c r="C142" t="s">
        <v>5952</v>
      </c>
      <c r="D142" t="s">
        <v>6008</v>
      </c>
      <c r="E142" t="s">
        <v>6007</v>
      </c>
      <c r="F142" t="s">
        <v>6023</v>
      </c>
      <c r="G142" t="s">
        <v>6022</v>
      </c>
      <c r="H142">
        <v>10</v>
      </c>
      <c r="I142" t="s">
        <v>6021</v>
      </c>
      <c r="J142">
        <v>4.66</v>
      </c>
      <c r="K142" t="s">
        <v>326</v>
      </c>
      <c r="L142" t="s">
        <v>5769</v>
      </c>
      <c r="M142">
        <v>160.96700000000001</v>
      </c>
      <c r="N142" t="s">
        <v>5752</v>
      </c>
      <c r="O142" t="s">
        <v>6020</v>
      </c>
      <c r="P142" t="s">
        <v>329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3137</v>
      </c>
      <c r="W142" t="s">
        <v>326</v>
      </c>
      <c r="X142">
        <v>1</v>
      </c>
      <c r="Y142" t="s">
        <v>4809</v>
      </c>
      <c r="Z142" t="s">
        <v>4799</v>
      </c>
      <c r="AA142" t="s">
        <v>4800</v>
      </c>
      <c r="AB142" t="s">
        <v>4801</v>
      </c>
      <c r="AC142" t="s">
        <v>4805</v>
      </c>
      <c r="AD142" t="str">
        <f t="shared" si="13"/>
        <v>VERT</v>
      </c>
      <c r="AE142" t="s">
        <v>6626</v>
      </c>
      <c r="AF142" t="s">
        <v>6021</v>
      </c>
    </row>
    <row r="143" spans="1:32" x14ac:dyDescent="0.3">
      <c r="A143" t="str">
        <f t="shared" si="12"/>
        <v>Old America Stores</v>
      </c>
      <c r="B143">
        <v>406</v>
      </c>
      <c r="C143" t="s">
        <v>5952</v>
      </c>
      <c r="D143" t="s">
        <v>6008</v>
      </c>
      <c r="E143" t="s">
        <v>6007</v>
      </c>
      <c r="F143" t="s">
        <v>6019</v>
      </c>
      <c r="G143" t="s">
        <v>6018</v>
      </c>
      <c r="H143">
        <v>10.199999999999999</v>
      </c>
      <c r="I143" t="s">
        <v>6017</v>
      </c>
      <c r="J143">
        <v>6</v>
      </c>
      <c r="K143" t="s">
        <v>326</v>
      </c>
      <c r="L143" t="s">
        <v>5785</v>
      </c>
      <c r="M143">
        <v>306.66699999999997</v>
      </c>
      <c r="N143" t="s">
        <v>5717</v>
      </c>
      <c r="O143" t="s">
        <v>6016</v>
      </c>
      <c r="P143" t="s">
        <v>329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3137</v>
      </c>
      <c r="W143" t="s">
        <v>326</v>
      </c>
      <c r="X143">
        <v>1</v>
      </c>
      <c r="Y143" t="s">
        <v>4569</v>
      </c>
      <c r="Z143" t="s">
        <v>4558</v>
      </c>
      <c r="AA143" t="s">
        <v>4559</v>
      </c>
      <c r="AB143" t="s">
        <v>4560</v>
      </c>
      <c r="AC143" t="s">
        <v>4564</v>
      </c>
      <c r="AD143" t="str">
        <f t="shared" si="13"/>
        <v>SONN</v>
      </c>
      <c r="AE143" t="s">
        <v>6587</v>
      </c>
      <c r="AF143" t="s">
        <v>6017</v>
      </c>
    </row>
    <row r="144" spans="1:32" x14ac:dyDescent="0.3">
      <c r="A144" t="str">
        <f t="shared" si="12"/>
        <v>Wells &amp; Wade</v>
      </c>
      <c r="B144">
        <v>406</v>
      </c>
      <c r="C144" t="s">
        <v>5952</v>
      </c>
      <c r="D144" t="s">
        <v>6008</v>
      </c>
      <c r="E144" t="s">
        <v>6007</v>
      </c>
      <c r="F144" t="s">
        <v>5724</v>
      </c>
      <c r="G144" t="s">
        <v>6012</v>
      </c>
      <c r="H144">
        <v>10.199999999999999</v>
      </c>
      <c r="I144" t="s">
        <v>6015</v>
      </c>
      <c r="J144">
        <v>9.2140000000000004</v>
      </c>
      <c r="K144" t="s">
        <v>326</v>
      </c>
      <c r="L144" t="s">
        <v>6014</v>
      </c>
      <c r="M144">
        <v>530.41999999999996</v>
      </c>
      <c r="N144" t="s">
        <v>5722</v>
      </c>
      <c r="O144" t="s">
        <v>6013</v>
      </c>
      <c r="P144" t="s">
        <v>329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3137</v>
      </c>
      <c r="W144" t="s">
        <v>326</v>
      </c>
      <c r="X144">
        <v>1</v>
      </c>
      <c r="Y144" t="s">
        <v>3204</v>
      </c>
      <c r="Z144" t="s">
        <v>3193</v>
      </c>
      <c r="AA144" t="s">
        <v>3194</v>
      </c>
      <c r="AB144" t="s">
        <v>3195</v>
      </c>
      <c r="AC144" t="s">
        <v>3199</v>
      </c>
      <c r="AD144" t="str">
        <f t="shared" si="13"/>
        <v>BBCO</v>
      </c>
      <c r="AE144" t="s">
        <v>6586</v>
      </c>
      <c r="AF144" t="s">
        <v>6015</v>
      </c>
    </row>
    <row r="145" spans="1:32" x14ac:dyDescent="0.3">
      <c r="A145" t="str">
        <f t="shared" si="12"/>
        <v>Jeans Unlimited</v>
      </c>
      <c r="B145">
        <v>406</v>
      </c>
      <c r="C145" t="s">
        <v>5952</v>
      </c>
      <c r="D145" t="s">
        <v>6008</v>
      </c>
      <c r="E145" t="s">
        <v>6007</v>
      </c>
      <c r="F145" t="s">
        <v>5724</v>
      </c>
      <c r="G145" t="s">
        <v>6012</v>
      </c>
      <c r="H145">
        <v>10.199999999999999</v>
      </c>
      <c r="I145" t="s">
        <v>6011</v>
      </c>
      <c r="J145">
        <v>6.8440000000000003</v>
      </c>
      <c r="K145" t="s">
        <v>326</v>
      </c>
      <c r="L145" t="s">
        <v>6010</v>
      </c>
      <c r="M145">
        <v>303.65300000000002</v>
      </c>
      <c r="N145" t="s">
        <v>5747</v>
      </c>
      <c r="O145" t="s">
        <v>6009</v>
      </c>
      <c r="P145" t="s">
        <v>329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3137</v>
      </c>
      <c r="W145" t="s">
        <v>326</v>
      </c>
      <c r="X145">
        <v>1</v>
      </c>
      <c r="Y145" t="s">
        <v>3130</v>
      </c>
      <c r="Z145" t="s">
        <v>3120</v>
      </c>
      <c r="AA145" t="s">
        <v>19</v>
      </c>
      <c r="AB145" t="s">
        <v>3121</v>
      </c>
      <c r="AC145" t="s">
        <v>3125</v>
      </c>
      <c r="AD145" t="str">
        <f t="shared" si="13"/>
        <v>SVAB</v>
      </c>
      <c r="AE145" t="s">
        <v>6595</v>
      </c>
      <c r="AF145" t="s">
        <v>6011</v>
      </c>
    </row>
    <row r="146" spans="1:32" x14ac:dyDescent="0.3">
      <c r="A146" t="str">
        <f t="shared" si="12"/>
        <v>Newmark &amp; Lewis</v>
      </c>
      <c r="B146">
        <v>406</v>
      </c>
      <c r="C146" t="s">
        <v>5952</v>
      </c>
      <c r="D146" t="s">
        <v>6008</v>
      </c>
      <c r="E146" t="s">
        <v>6007</v>
      </c>
      <c r="F146" t="s">
        <v>5787</v>
      </c>
      <c r="G146" t="s">
        <v>5949</v>
      </c>
      <c r="H146">
        <v>10.199999999999999</v>
      </c>
      <c r="I146" t="s">
        <v>6006</v>
      </c>
      <c r="J146">
        <v>10.106999999999999</v>
      </c>
      <c r="K146" t="s">
        <v>326</v>
      </c>
      <c r="L146" t="s">
        <v>5713</v>
      </c>
      <c r="M146">
        <v>438.29300000000001</v>
      </c>
      <c r="N146" t="s">
        <v>6005</v>
      </c>
      <c r="O146" t="s">
        <v>6004</v>
      </c>
      <c r="P146" t="s">
        <v>329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3137</v>
      </c>
      <c r="W146" t="s">
        <v>326</v>
      </c>
      <c r="X146">
        <v>1</v>
      </c>
      <c r="Y146" t="s">
        <v>4447</v>
      </c>
      <c r="Z146" t="s">
        <v>4438</v>
      </c>
      <c r="AA146" t="s">
        <v>2</v>
      </c>
      <c r="AB146" t="s">
        <v>3367</v>
      </c>
      <c r="AC146" t="s">
        <v>4442</v>
      </c>
      <c r="AD146" t="str">
        <f t="shared" ref="AD146:AD149" si="14">LEFT(I146,FIND(4,I146)-1)</f>
        <v>RICO</v>
      </c>
      <c r="AE146" t="s">
        <v>6593</v>
      </c>
      <c r="AF146" t="s">
        <v>6006</v>
      </c>
    </row>
    <row r="147" spans="1:32" x14ac:dyDescent="0.3">
      <c r="A147" t="str">
        <f t="shared" si="12"/>
        <v>Little Tavern</v>
      </c>
      <c r="B147">
        <v>406</v>
      </c>
      <c r="C147" t="s">
        <v>5952</v>
      </c>
      <c r="D147" t="s">
        <v>5976</v>
      </c>
      <c r="E147" t="s">
        <v>5975</v>
      </c>
      <c r="F147" t="s">
        <v>5999</v>
      </c>
      <c r="G147" t="s">
        <v>5998</v>
      </c>
      <c r="H147">
        <v>9.1999999999999993</v>
      </c>
      <c r="I147" t="s">
        <v>6003</v>
      </c>
      <c r="J147">
        <v>5.5010000000000003</v>
      </c>
      <c r="K147" t="s">
        <v>326</v>
      </c>
      <c r="L147" t="s">
        <v>6002</v>
      </c>
      <c r="M147">
        <v>166.363</v>
      </c>
      <c r="N147" t="s">
        <v>6001</v>
      </c>
      <c r="O147" t="s">
        <v>6000</v>
      </c>
      <c r="P147" t="s">
        <v>329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3137</v>
      </c>
      <c r="W147" t="s">
        <v>326</v>
      </c>
      <c r="X147">
        <v>1</v>
      </c>
      <c r="Y147" t="s">
        <v>4385</v>
      </c>
      <c r="Z147" t="s">
        <v>4377</v>
      </c>
      <c r="AA147" t="s">
        <v>3176</v>
      </c>
      <c r="AB147" t="s">
        <v>3177</v>
      </c>
      <c r="AC147" t="s">
        <v>4381</v>
      </c>
      <c r="AD147" t="str">
        <f t="shared" si="14"/>
        <v>PHO</v>
      </c>
      <c r="AE147" t="s">
        <v>6627</v>
      </c>
      <c r="AF147" t="s">
        <v>6003</v>
      </c>
    </row>
    <row r="148" spans="1:32" x14ac:dyDescent="0.3">
      <c r="A148" t="str">
        <f t="shared" si="12"/>
        <v>Little Tavern</v>
      </c>
      <c r="B148">
        <v>406</v>
      </c>
      <c r="C148" t="s">
        <v>5952</v>
      </c>
      <c r="D148" t="s">
        <v>5976</v>
      </c>
      <c r="E148" t="s">
        <v>5975</v>
      </c>
      <c r="F148" t="s">
        <v>5999</v>
      </c>
      <c r="G148" t="s">
        <v>5998</v>
      </c>
      <c r="H148">
        <v>9.1999999999999993</v>
      </c>
      <c r="I148" t="s">
        <v>5997</v>
      </c>
      <c r="J148">
        <v>5</v>
      </c>
      <c r="K148" t="s">
        <v>326</v>
      </c>
      <c r="L148" t="s">
        <v>5996</v>
      </c>
      <c r="M148">
        <v>151.667</v>
      </c>
      <c r="N148" t="s">
        <v>5995</v>
      </c>
      <c r="O148" t="s">
        <v>5994</v>
      </c>
      <c r="P148" t="s">
        <v>329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3137</v>
      </c>
      <c r="W148" t="s">
        <v>326</v>
      </c>
      <c r="X148">
        <v>3</v>
      </c>
      <c r="Y148" t="s">
        <v>4385</v>
      </c>
      <c r="Z148" t="s">
        <v>4377</v>
      </c>
      <c r="AA148" t="s">
        <v>3176</v>
      </c>
      <c r="AB148" t="s">
        <v>3177</v>
      </c>
      <c r="AC148" t="s">
        <v>4381</v>
      </c>
      <c r="AD148" t="str">
        <f t="shared" si="14"/>
        <v>PHO</v>
      </c>
      <c r="AE148" t="s">
        <v>6627</v>
      </c>
      <c r="AF148" t="s">
        <v>5997</v>
      </c>
    </row>
    <row r="149" spans="1:32" x14ac:dyDescent="0.3">
      <c r="A149" t="str">
        <f t="shared" si="12"/>
        <v>Museum Company</v>
      </c>
      <c r="B149">
        <v>406</v>
      </c>
      <c r="C149" t="s">
        <v>5952</v>
      </c>
      <c r="D149" t="s">
        <v>5976</v>
      </c>
      <c r="E149" t="s">
        <v>5975</v>
      </c>
      <c r="F149" t="s">
        <v>5993</v>
      </c>
      <c r="G149" t="s">
        <v>5992</v>
      </c>
      <c r="H149">
        <v>2.5</v>
      </c>
      <c r="I149" t="s">
        <v>5991</v>
      </c>
      <c r="J149">
        <v>6.1319999999999997</v>
      </c>
      <c r="K149" t="s">
        <v>326</v>
      </c>
      <c r="L149" t="s">
        <v>5990</v>
      </c>
      <c r="M149">
        <v>223.46</v>
      </c>
      <c r="N149" t="s">
        <v>5989</v>
      </c>
      <c r="O149" t="s">
        <v>5988</v>
      </c>
      <c r="P149" t="s">
        <v>329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3137</v>
      </c>
      <c r="W149" t="s">
        <v>326</v>
      </c>
      <c r="X149">
        <v>1</v>
      </c>
      <c r="Y149" t="s">
        <v>3150</v>
      </c>
      <c r="Z149" t="s">
        <v>3139</v>
      </c>
      <c r="AA149" t="s">
        <v>3140</v>
      </c>
      <c r="AB149" t="s">
        <v>3141</v>
      </c>
      <c r="AC149" t="s">
        <v>3145</v>
      </c>
      <c r="AD149" t="str">
        <f t="shared" si="14"/>
        <v>ATLA</v>
      </c>
      <c r="AE149" t="s">
        <v>6628</v>
      </c>
      <c r="AF149" t="s">
        <v>5991</v>
      </c>
    </row>
    <row r="150" spans="1:32" x14ac:dyDescent="0.3">
      <c r="A150" t="str">
        <f t="shared" si="12"/>
        <v>Cardinal Stores</v>
      </c>
      <c r="B150">
        <v>406</v>
      </c>
      <c r="C150" t="s">
        <v>5952</v>
      </c>
      <c r="D150" t="s">
        <v>5976</v>
      </c>
      <c r="E150" t="s">
        <v>5975</v>
      </c>
      <c r="F150" t="s">
        <v>5691</v>
      </c>
      <c r="G150" t="s">
        <v>5987</v>
      </c>
      <c r="H150">
        <v>16.100000000000001</v>
      </c>
      <c r="I150" t="s">
        <v>5986</v>
      </c>
      <c r="J150">
        <v>25</v>
      </c>
      <c r="K150" t="s">
        <v>326</v>
      </c>
      <c r="L150" t="s">
        <v>5699</v>
      </c>
      <c r="M150">
        <v>1500</v>
      </c>
      <c r="N150" t="s">
        <v>5738</v>
      </c>
      <c r="O150" t="s">
        <v>5923</v>
      </c>
      <c r="P150" t="s">
        <v>329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3137</v>
      </c>
      <c r="W150" t="s">
        <v>326</v>
      </c>
      <c r="X150">
        <v>1</v>
      </c>
      <c r="Y150" t="s">
        <v>3871</v>
      </c>
      <c r="Z150" t="s">
        <v>3860</v>
      </c>
      <c r="AA150" t="s">
        <v>3861</v>
      </c>
      <c r="AB150" t="s">
        <v>3862</v>
      </c>
      <c r="AC150" t="s">
        <v>3866</v>
      </c>
      <c r="AD150" t="str">
        <f>LEFT(I150,FIND(0,I150)-1)</f>
        <v>HANK</v>
      </c>
      <c r="AE150" t="s">
        <v>6629</v>
      </c>
      <c r="AF150" t="s">
        <v>5986</v>
      </c>
    </row>
    <row r="151" spans="1:32" x14ac:dyDescent="0.3">
      <c r="A151" t="str">
        <f t="shared" si="12"/>
        <v>Warehouse Club Inc.</v>
      </c>
      <c r="B151">
        <v>406</v>
      </c>
      <c r="C151" t="s">
        <v>5952</v>
      </c>
      <c r="D151" t="s">
        <v>5976</v>
      </c>
      <c r="E151" t="s">
        <v>5975</v>
      </c>
      <c r="F151" t="s">
        <v>5730</v>
      </c>
      <c r="G151" t="s">
        <v>5599</v>
      </c>
      <c r="H151">
        <v>16.3</v>
      </c>
      <c r="I151" t="s">
        <v>5985</v>
      </c>
      <c r="J151">
        <v>7.0739999999999998</v>
      </c>
      <c r="K151" t="s">
        <v>326</v>
      </c>
      <c r="L151" t="s">
        <v>5794</v>
      </c>
      <c r="M151">
        <v>273.887</v>
      </c>
      <c r="N151" t="s">
        <v>5984</v>
      </c>
      <c r="O151" t="s">
        <v>5983</v>
      </c>
      <c r="P151" t="s">
        <v>329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3137</v>
      </c>
      <c r="W151" t="s">
        <v>326</v>
      </c>
      <c r="X151">
        <v>1</v>
      </c>
      <c r="Y151" t="s">
        <v>3604</v>
      </c>
      <c r="Z151" t="s">
        <v>3594</v>
      </c>
      <c r="AA151" t="s">
        <v>3595</v>
      </c>
      <c r="AB151" t="s">
        <v>3596</v>
      </c>
      <c r="AC151" t="s">
        <v>3600</v>
      </c>
      <c r="AD151" t="str">
        <f t="shared" ref="AD151:AD156" si="15">LEFT(I151,FIND(4,I151)-1)</f>
        <v>Eagl</v>
      </c>
      <c r="AE151" t="s">
        <v>6630</v>
      </c>
      <c r="AF151" t="s">
        <v>5985</v>
      </c>
    </row>
    <row r="152" spans="1:32" x14ac:dyDescent="0.3">
      <c r="A152" t="str">
        <f t="shared" si="12"/>
        <v>Sandy's</v>
      </c>
      <c r="B152">
        <v>406</v>
      </c>
      <c r="C152" t="s">
        <v>5952</v>
      </c>
      <c r="D152" t="s">
        <v>5976</v>
      </c>
      <c r="E152" t="s">
        <v>5975</v>
      </c>
      <c r="F152" t="s">
        <v>5974</v>
      </c>
      <c r="G152" t="s">
        <v>5973</v>
      </c>
      <c r="H152">
        <v>16.100000000000001</v>
      </c>
      <c r="I152" t="s">
        <v>5982</v>
      </c>
      <c r="J152">
        <v>3.238</v>
      </c>
      <c r="K152" t="s">
        <v>326</v>
      </c>
      <c r="L152" t="s">
        <v>5813</v>
      </c>
      <c r="M152">
        <v>254.53</v>
      </c>
      <c r="N152" t="s">
        <v>5732</v>
      </c>
      <c r="O152" t="s">
        <v>5734</v>
      </c>
      <c r="P152" t="s">
        <v>329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3137</v>
      </c>
      <c r="W152" t="s">
        <v>326</v>
      </c>
      <c r="X152">
        <v>3</v>
      </c>
      <c r="Y152" t="s">
        <v>3392</v>
      </c>
      <c r="Z152" t="s">
        <v>3382</v>
      </c>
      <c r="AA152" t="s">
        <v>18</v>
      </c>
      <c r="AB152" t="s">
        <v>3383</v>
      </c>
      <c r="AC152" t="s">
        <v>3387</v>
      </c>
      <c r="AD152" t="str">
        <f t="shared" si="15"/>
        <v>DABL</v>
      </c>
      <c r="AE152" t="s">
        <v>6631</v>
      </c>
      <c r="AF152" t="s">
        <v>5982</v>
      </c>
    </row>
    <row r="153" spans="1:32" x14ac:dyDescent="0.3">
      <c r="A153" t="str">
        <f t="shared" si="12"/>
        <v>Sandy's</v>
      </c>
      <c r="B153">
        <v>406</v>
      </c>
      <c r="C153" t="s">
        <v>5952</v>
      </c>
      <c r="D153" t="s">
        <v>5976</v>
      </c>
      <c r="E153" t="s">
        <v>5975</v>
      </c>
      <c r="F153" t="s">
        <v>5974</v>
      </c>
      <c r="G153" t="s">
        <v>5973</v>
      </c>
      <c r="H153">
        <v>16.100000000000001</v>
      </c>
      <c r="I153" t="s">
        <v>5981</v>
      </c>
      <c r="J153">
        <v>3.238</v>
      </c>
      <c r="K153" t="s">
        <v>326</v>
      </c>
      <c r="L153" t="s">
        <v>5813</v>
      </c>
      <c r="M153">
        <v>257.697</v>
      </c>
      <c r="N153" t="s">
        <v>5693</v>
      </c>
      <c r="O153" t="s">
        <v>5734</v>
      </c>
      <c r="P153" t="s">
        <v>329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3137</v>
      </c>
      <c r="W153" t="s">
        <v>326</v>
      </c>
      <c r="X153">
        <v>1</v>
      </c>
      <c r="Y153" t="s">
        <v>3392</v>
      </c>
      <c r="Z153" t="s">
        <v>3382</v>
      </c>
      <c r="AA153" t="s">
        <v>18</v>
      </c>
      <c r="AB153" t="s">
        <v>3383</v>
      </c>
      <c r="AC153" t="s">
        <v>3387</v>
      </c>
      <c r="AD153" t="str">
        <f t="shared" si="15"/>
        <v>DABL</v>
      </c>
      <c r="AE153" t="s">
        <v>6631</v>
      </c>
      <c r="AF153" t="s">
        <v>5981</v>
      </c>
    </row>
    <row r="154" spans="1:32" x14ac:dyDescent="0.3">
      <c r="A154" t="str">
        <f t="shared" si="12"/>
        <v>Sandy's</v>
      </c>
      <c r="B154">
        <v>406</v>
      </c>
      <c r="C154" t="s">
        <v>5952</v>
      </c>
      <c r="D154" t="s">
        <v>5976</v>
      </c>
      <c r="E154" t="s">
        <v>5975</v>
      </c>
      <c r="F154" t="s">
        <v>5974</v>
      </c>
      <c r="G154" t="s">
        <v>5973</v>
      </c>
      <c r="H154">
        <v>16.100000000000001</v>
      </c>
      <c r="I154" t="s">
        <v>5980</v>
      </c>
      <c r="J154">
        <v>3.238</v>
      </c>
      <c r="K154" t="s">
        <v>326</v>
      </c>
      <c r="L154" t="s">
        <v>5813</v>
      </c>
      <c r="M154">
        <v>256.02999999999997</v>
      </c>
      <c r="N154" t="s">
        <v>5707</v>
      </c>
      <c r="O154" t="s">
        <v>5734</v>
      </c>
      <c r="P154" t="s">
        <v>329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3137</v>
      </c>
      <c r="W154" t="s">
        <v>326</v>
      </c>
      <c r="X154">
        <v>2</v>
      </c>
      <c r="Y154" t="s">
        <v>3392</v>
      </c>
      <c r="Z154" t="s">
        <v>3382</v>
      </c>
      <c r="AA154" t="s">
        <v>18</v>
      </c>
      <c r="AB154" t="s">
        <v>3383</v>
      </c>
      <c r="AC154" t="s">
        <v>3387</v>
      </c>
      <c r="AD154" t="str">
        <f t="shared" si="15"/>
        <v>DABL</v>
      </c>
      <c r="AE154" t="s">
        <v>6631</v>
      </c>
      <c r="AF154" t="s">
        <v>5980</v>
      </c>
    </row>
    <row r="155" spans="1:32" x14ac:dyDescent="0.3">
      <c r="A155" t="str">
        <f t="shared" si="12"/>
        <v>The Original House of Pies</v>
      </c>
      <c r="B155">
        <v>406</v>
      </c>
      <c r="C155" t="s">
        <v>5952</v>
      </c>
      <c r="D155" t="s">
        <v>5976</v>
      </c>
      <c r="E155" t="s">
        <v>5975</v>
      </c>
      <c r="F155" t="s">
        <v>5974</v>
      </c>
      <c r="G155" t="s">
        <v>5973</v>
      </c>
      <c r="H155">
        <v>16.100000000000001</v>
      </c>
      <c r="I155" t="s">
        <v>5979</v>
      </c>
      <c r="J155">
        <v>3.238</v>
      </c>
      <c r="K155" t="s">
        <v>326</v>
      </c>
      <c r="L155" t="s">
        <v>5813</v>
      </c>
      <c r="M155">
        <v>258.447</v>
      </c>
      <c r="N155" t="s">
        <v>5978</v>
      </c>
      <c r="O155" t="s">
        <v>5977</v>
      </c>
      <c r="P155" t="s">
        <v>329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3137</v>
      </c>
      <c r="W155" t="s">
        <v>326</v>
      </c>
      <c r="X155">
        <v>2</v>
      </c>
      <c r="Y155" t="s">
        <v>3014</v>
      </c>
      <c r="Z155" t="s">
        <v>2999</v>
      </c>
      <c r="AA155" t="s">
        <v>2</v>
      </c>
      <c r="AB155" t="s">
        <v>3001</v>
      </c>
      <c r="AC155" t="s">
        <v>3007</v>
      </c>
      <c r="AD155" t="str">
        <f t="shared" si="15"/>
        <v>TCT</v>
      </c>
      <c r="AE155" t="s">
        <v>6632</v>
      </c>
      <c r="AF155" t="s">
        <v>5979</v>
      </c>
    </row>
    <row r="156" spans="1:32" x14ac:dyDescent="0.3">
      <c r="A156" t="str">
        <f t="shared" si="12"/>
        <v>The Original House of Pies</v>
      </c>
      <c r="B156">
        <v>406</v>
      </c>
      <c r="C156" t="s">
        <v>5952</v>
      </c>
      <c r="D156" t="s">
        <v>5976</v>
      </c>
      <c r="E156" t="s">
        <v>5975</v>
      </c>
      <c r="F156" t="s">
        <v>5974</v>
      </c>
      <c r="G156" t="s">
        <v>5973</v>
      </c>
      <c r="H156">
        <v>16.100000000000001</v>
      </c>
      <c r="I156" t="s">
        <v>5972</v>
      </c>
      <c r="J156">
        <v>3.238</v>
      </c>
      <c r="K156" t="s">
        <v>326</v>
      </c>
      <c r="L156" t="s">
        <v>5813</v>
      </c>
      <c r="M156">
        <v>259.863</v>
      </c>
      <c r="N156" t="s">
        <v>5738</v>
      </c>
      <c r="O156" t="s">
        <v>5734</v>
      </c>
      <c r="P156" t="s">
        <v>329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3137</v>
      </c>
      <c r="W156" t="s">
        <v>326</v>
      </c>
      <c r="X156">
        <v>1</v>
      </c>
      <c r="Y156" t="s">
        <v>3014</v>
      </c>
      <c r="Z156" t="s">
        <v>2999</v>
      </c>
      <c r="AA156" t="s">
        <v>2</v>
      </c>
      <c r="AB156" t="s">
        <v>3001</v>
      </c>
      <c r="AC156" t="s">
        <v>3007</v>
      </c>
      <c r="AD156" t="str">
        <f t="shared" si="15"/>
        <v>TCT</v>
      </c>
      <c r="AE156" t="s">
        <v>6632</v>
      </c>
      <c r="AF156" t="s">
        <v>5972</v>
      </c>
    </row>
    <row r="157" spans="1:32" x14ac:dyDescent="0.3">
      <c r="A157" t="str">
        <f t="shared" si="12"/>
        <v>Service Merchandise</v>
      </c>
      <c r="B157">
        <v>406</v>
      </c>
      <c r="C157" t="s">
        <v>5952</v>
      </c>
      <c r="D157" t="s">
        <v>5951</v>
      </c>
      <c r="E157" t="s">
        <v>5950</v>
      </c>
      <c r="F157" t="s">
        <v>5710</v>
      </c>
      <c r="G157" t="s">
        <v>5969</v>
      </c>
      <c r="H157">
        <v>15.1</v>
      </c>
      <c r="I157" t="s">
        <v>5971</v>
      </c>
      <c r="J157">
        <v>23</v>
      </c>
      <c r="K157" t="s">
        <v>326</v>
      </c>
      <c r="L157" t="s">
        <v>5771</v>
      </c>
      <c r="M157">
        <v>708.66700000000003</v>
      </c>
      <c r="N157" t="s">
        <v>5729</v>
      </c>
      <c r="O157" t="s">
        <v>5970</v>
      </c>
      <c r="P157" t="s">
        <v>3655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3137</v>
      </c>
      <c r="W157" t="s">
        <v>326</v>
      </c>
      <c r="X157">
        <v>1</v>
      </c>
      <c r="Y157" t="s">
        <v>3471</v>
      </c>
      <c r="Z157" t="s">
        <v>3462</v>
      </c>
      <c r="AA157" t="s">
        <v>19</v>
      </c>
      <c r="AB157" t="s">
        <v>3121</v>
      </c>
      <c r="AC157" t="s">
        <v>3466</v>
      </c>
      <c r="AD157" t="str">
        <f t="shared" ref="AD157:AD158" si="16">LEFT(I157,FIND(0,I157)-1)</f>
        <v>DELT</v>
      </c>
      <c r="AE157" t="s">
        <v>6633</v>
      </c>
      <c r="AF157" t="s">
        <v>5971</v>
      </c>
    </row>
    <row r="158" spans="1:32" x14ac:dyDescent="0.3">
      <c r="A158" t="str">
        <f t="shared" si="12"/>
        <v>Service Merchandise</v>
      </c>
      <c r="B158">
        <v>406</v>
      </c>
      <c r="C158" t="s">
        <v>5952</v>
      </c>
      <c r="D158" t="s">
        <v>5951</v>
      </c>
      <c r="E158" t="s">
        <v>5950</v>
      </c>
      <c r="F158" t="s">
        <v>5710</v>
      </c>
      <c r="G158" t="s">
        <v>5969</v>
      </c>
      <c r="H158">
        <v>15.1</v>
      </c>
      <c r="I158" t="s">
        <v>5968</v>
      </c>
      <c r="J158">
        <v>23</v>
      </c>
      <c r="K158" t="s">
        <v>326</v>
      </c>
      <c r="L158" t="s">
        <v>5699</v>
      </c>
      <c r="M158">
        <v>702</v>
      </c>
      <c r="N158" t="s">
        <v>5717</v>
      </c>
      <c r="O158" t="s">
        <v>5749</v>
      </c>
      <c r="P158" t="s">
        <v>3655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3137</v>
      </c>
      <c r="W158" t="s">
        <v>326</v>
      </c>
      <c r="X158">
        <v>3</v>
      </c>
      <c r="Y158" t="s">
        <v>3471</v>
      </c>
      <c r="Z158" t="s">
        <v>3462</v>
      </c>
      <c r="AA158" t="s">
        <v>19</v>
      </c>
      <c r="AB158" t="s">
        <v>3121</v>
      </c>
      <c r="AC158" t="s">
        <v>3466</v>
      </c>
      <c r="AD158" t="str">
        <f t="shared" si="16"/>
        <v>DELT</v>
      </c>
      <c r="AE158" t="s">
        <v>6633</v>
      </c>
      <c r="AF158" t="s">
        <v>5968</v>
      </c>
    </row>
    <row r="159" spans="1:32" x14ac:dyDescent="0.3">
      <c r="A159" t="str">
        <f t="shared" si="12"/>
        <v>Service Merchandise</v>
      </c>
      <c r="B159">
        <v>406</v>
      </c>
      <c r="C159" t="s">
        <v>5952</v>
      </c>
      <c r="D159" t="s">
        <v>5951</v>
      </c>
      <c r="E159" t="s">
        <v>5950</v>
      </c>
      <c r="F159" t="s">
        <v>5728</v>
      </c>
      <c r="G159" t="s">
        <v>5967</v>
      </c>
      <c r="H159">
        <v>15.1</v>
      </c>
      <c r="I159" t="s">
        <v>5966</v>
      </c>
      <c r="J159">
        <v>16</v>
      </c>
      <c r="K159" t="s">
        <v>326</v>
      </c>
      <c r="L159" t="s">
        <v>5699</v>
      </c>
      <c r="M159">
        <v>482.33300000000003</v>
      </c>
      <c r="N159" t="s">
        <v>5717</v>
      </c>
      <c r="O159" t="s">
        <v>5965</v>
      </c>
      <c r="P159" t="s">
        <v>3655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3137</v>
      </c>
      <c r="W159" t="s">
        <v>326</v>
      </c>
      <c r="X159">
        <v>3</v>
      </c>
      <c r="Y159" t="s">
        <v>3471</v>
      </c>
      <c r="Z159" t="s">
        <v>3462</v>
      </c>
      <c r="AA159" t="s">
        <v>19</v>
      </c>
      <c r="AB159" t="s">
        <v>3121</v>
      </c>
      <c r="AC159" t="s">
        <v>3466</v>
      </c>
      <c r="AD159" t="str">
        <f>LEFT(I159,FIND(2,I159)-1)</f>
        <v>DELT</v>
      </c>
      <c r="AE159" t="s">
        <v>6633</v>
      </c>
      <c r="AF159" t="s">
        <v>5966</v>
      </c>
    </row>
    <row r="160" spans="1:32" x14ac:dyDescent="0.3">
      <c r="A160" t="str">
        <f t="shared" si="12"/>
        <v>Service Merchandise</v>
      </c>
      <c r="B160">
        <v>406</v>
      </c>
      <c r="C160" t="s">
        <v>5952</v>
      </c>
      <c r="D160" t="s">
        <v>5951</v>
      </c>
      <c r="E160" t="s">
        <v>5950</v>
      </c>
      <c r="F160" t="s">
        <v>5964</v>
      </c>
      <c r="G160" t="s">
        <v>5963</v>
      </c>
      <c r="H160">
        <v>15.5</v>
      </c>
      <c r="I160" t="s">
        <v>5962</v>
      </c>
      <c r="J160">
        <v>2.5510000000000002</v>
      </c>
      <c r="K160" t="s">
        <v>326</v>
      </c>
      <c r="L160" t="s">
        <v>5961</v>
      </c>
      <c r="M160">
        <v>80.53</v>
      </c>
      <c r="N160" t="s">
        <v>5960</v>
      </c>
      <c r="O160" t="s">
        <v>5959</v>
      </c>
      <c r="P160" t="s">
        <v>3655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3137</v>
      </c>
      <c r="W160" t="s">
        <v>326</v>
      </c>
      <c r="X160">
        <v>1</v>
      </c>
      <c r="Y160" t="s">
        <v>3471</v>
      </c>
      <c r="Z160" t="s">
        <v>3462</v>
      </c>
      <c r="AA160" t="s">
        <v>19</v>
      </c>
      <c r="AB160" t="s">
        <v>3121</v>
      </c>
      <c r="AC160" t="s">
        <v>3466</v>
      </c>
      <c r="AD160" t="str">
        <f t="shared" ref="AD160:AD161" si="17">LEFT(I160,FIND(4,I160)-1)</f>
        <v>DELT</v>
      </c>
      <c r="AE160" t="s">
        <v>6633</v>
      </c>
      <c r="AF160" t="s">
        <v>5962</v>
      </c>
    </row>
    <row r="161" spans="1:32" x14ac:dyDescent="0.3">
      <c r="A161" t="str">
        <f t="shared" si="12"/>
        <v>Mr. AG's</v>
      </c>
      <c r="B161">
        <v>406</v>
      </c>
      <c r="C161" t="s">
        <v>5952</v>
      </c>
      <c r="D161" t="s">
        <v>5951</v>
      </c>
      <c r="E161" t="s">
        <v>5950</v>
      </c>
      <c r="F161" t="s">
        <v>5958</v>
      </c>
      <c r="G161" t="s">
        <v>5957</v>
      </c>
      <c r="H161">
        <v>16</v>
      </c>
      <c r="I161" t="s">
        <v>5956</v>
      </c>
      <c r="J161">
        <v>5.5149999999999997</v>
      </c>
      <c r="K161" t="s">
        <v>326</v>
      </c>
      <c r="L161" t="s">
        <v>5955</v>
      </c>
      <c r="M161">
        <v>166.78299999999999</v>
      </c>
      <c r="N161" t="s">
        <v>5954</v>
      </c>
      <c r="O161" t="s">
        <v>5953</v>
      </c>
      <c r="P161" t="s">
        <v>329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3137</v>
      </c>
      <c r="W161" t="s">
        <v>326</v>
      </c>
      <c r="X161">
        <v>1</v>
      </c>
      <c r="Y161" t="s">
        <v>4275</v>
      </c>
      <c r="Z161" t="s">
        <v>4266</v>
      </c>
      <c r="AA161" t="s">
        <v>2</v>
      </c>
      <c r="AB161" t="s">
        <v>3908</v>
      </c>
      <c r="AC161" t="s">
        <v>4270</v>
      </c>
      <c r="AD161" t="str">
        <f t="shared" si="17"/>
        <v>MCRE</v>
      </c>
      <c r="AE161" t="s">
        <v>6634</v>
      </c>
      <c r="AF161" t="s">
        <v>5956</v>
      </c>
    </row>
    <row r="162" spans="1:32" x14ac:dyDescent="0.3">
      <c r="A162" t="str">
        <f t="shared" si="12"/>
        <v>Destiny Realty</v>
      </c>
      <c r="B162">
        <v>406</v>
      </c>
      <c r="C162" t="s">
        <v>5952</v>
      </c>
      <c r="D162" t="s">
        <v>5951</v>
      </c>
      <c r="E162" t="s">
        <v>5950</v>
      </c>
      <c r="F162" t="s">
        <v>5787</v>
      </c>
      <c r="G162" t="s">
        <v>5949</v>
      </c>
      <c r="H162">
        <v>10.199999999999999</v>
      </c>
      <c r="I162" t="s">
        <v>5948</v>
      </c>
      <c r="J162">
        <v>12</v>
      </c>
      <c r="K162" t="s">
        <v>326</v>
      </c>
      <c r="L162" t="s">
        <v>5793</v>
      </c>
      <c r="M162">
        <v>390</v>
      </c>
      <c r="N162" t="s">
        <v>5776</v>
      </c>
      <c r="O162" t="s">
        <v>5947</v>
      </c>
      <c r="P162" t="s">
        <v>329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3137</v>
      </c>
      <c r="W162" t="s">
        <v>326</v>
      </c>
      <c r="X162">
        <v>3</v>
      </c>
      <c r="Y162" t="s">
        <v>3650</v>
      </c>
      <c r="Z162" t="s">
        <v>3639</v>
      </c>
      <c r="AA162" t="s">
        <v>3640</v>
      </c>
      <c r="AB162" t="s">
        <v>3641</v>
      </c>
      <c r="AC162" t="s">
        <v>3645</v>
      </c>
      <c r="AD162" t="str">
        <f>LEFT(I162,FIND(0,I162)-1)</f>
        <v>GBBO</v>
      </c>
      <c r="AE162" t="s">
        <v>6635</v>
      </c>
      <c r="AF162" t="s">
        <v>5948</v>
      </c>
    </row>
    <row r="163" spans="1:32" x14ac:dyDescent="0.3">
      <c r="A163" t="str">
        <f t="shared" si="12"/>
        <v>Kinney Shoes</v>
      </c>
      <c r="B163">
        <v>407</v>
      </c>
      <c r="C163" t="s">
        <v>5937</v>
      </c>
      <c r="D163" t="s">
        <v>5736</v>
      </c>
      <c r="E163" t="s">
        <v>5946</v>
      </c>
      <c r="F163" t="s">
        <v>5701</v>
      </c>
      <c r="G163" t="s">
        <v>5945</v>
      </c>
      <c r="H163">
        <v>7.1</v>
      </c>
      <c r="I163" t="s">
        <v>5944</v>
      </c>
      <c r="J163">
        <v>4.1529999999999996</v>
      </c>
      <c r="K163" t="s">
        <v>326</v>
      </c>
      <c r="L163" t="s">
        <v>5943</v>
      </c>
      <c r="M163">
        <v>129.923</v>
      </c>
      <c r="N163" t="s">
        <v>5747</v>
      </c>
      <c r="O163" t="s">
        <v>5942</v>
      </c>
      <c r="P163" t="s">
        <v>329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3137</v>
      </c>
      <c r="W163" t="s">
        <v>326</v>
      </c>
      <c r="X163">
        <v>3</v>
      </c>
      <c r="Y163" t="s">
        <v>4626</v>
      </c>
      <c r="Z163" t="s">
        <v>4617</v>
      </c>
      <c r="AA163" t="s">
        <v>3923</v>
      </c>
      <c r="AB163" t="s">
        <v>3924</v>
      </c>
      <c r="AC163" t="s">
        <v>4621</v>
      </c>
      <c r="AD163" t="str">
        <f t="shared" ref="AD163:AD164" si="18">LEFT(I163,FIND(4,I163)-1)</f>
        <v>STRO</v>
      </c>
      <c r="AE163" t="s">
        <v>6636</v>
      </c>
      <c r="AF163" t="s">
        <v>5944</v>
      </c>
    </row>
    <row r="164" spans="1:32" x14ac:dyDescent="0.3">
      <c r="A164" t="str">
        <f t="shared" si="12"/>
        <v>Morrie Mages</v>
      </c>
      <c r="B164">
        <v>407</v>
      </c>
      <c r="C164" t="s">
        <v>5937</v>
      </c>
      <c r="D164" t="s">
        <v>5725</v>
      </c>
      <c r="E164" t="s">
        <v>5941</v>
      </c>
      <c r="F164" t="s">
        <v>5700</v>
      </c>
      <c r="G164" t="s">
        <v>5934</v>
      </c>
      <c r="H164">
        <v>7.1</v>
      </c>
      <c r="I164" t="s">
        <v>5940</v>
      </c>
      <c r="J164">
        <v>9.06</v>
      </c>
      <c r="K164" t="s">
        <v>326</v>
      </c>
      <c r="L164" t="s">
        <v>5939</v>
      </c>
      <c r="M164">
        <v>286.13299999999998</v>
      </c>
      <c r="N164" t="s">
        <v>5729</v>
      </c>
      <c r="O164" t="s">
        <v>5938</v>
      </c>
      <c r="P164" t="s">
        <v>329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3137</v>
      </c>
      <c r="W164" t="s">
        <v>326</v>
      </c>
      <c r="X164">
        <v>3</v>
      </c>
      <c r="Y164" t="s">
        <v>4463</v>
      </c>
      <c r="Z164" t="s">
        <v>4453</v>
      </c>
      <c r="AA164" t="s">
        <v>19</v>
      </c>
      <c r="AB164" t="s">
        <v>4454</v>
      </c>
      <c r="AC164" t="s">
        <v>4458</v>
      </c>
      <c r="AD164" t="str">
        <f t="shared" si="18"/>
        <v>RILI</v>
      </c>
      <c r="AE164" t="s">
        <v>6637</v>
      </c>
      <c r="AF164" t="s">
        <v>5940</v>
      </c>
    </row>
    <row r="165" spans="1:32" x14ac:dyDescent="0.3">
      <c r="A165" t="str">
        <f t="shared" si="12"/>
        <v>Universal Design Partners</v>
      </c>
      <c r="B165">
        <v>407</v>
      </c>
      <c r="C165" t="s">
        <v>5937</v>
      </c>
      <c r="D165" t="s">
        <v>5936</v>
      </c>
      <c r="E165" t="s">
        <v>5935</v>
      </c>
      <c r="F165" t="s">
        <v>5700</v>
      </c>
      <c r="G165" t="s">
        <v>5934</v>
      </c>
      <c r="H165">
        <v>7.1</v>
      </c>
      <c r="I165" t="s">
        <v>5933</v>
      </c>
      <c r="J165">
        <v>36</v>
      </c>
      <c r="K165" t="s">
        <v>326</v>
      </c>
      <c r="L165" t="s">
        <v>5699</v>
      </c>
      <c r="M165">
        <v>1085.3330000000001</v>
      </c>
      <c r="N165" t="s">
        <v>5932</v>
      </c>
      <c r="O165" t="s">
        <v>5698</v>
      </c>
      <c r="P165" t="s">
        <v>329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3137</v>
      </c>
      <c r="W165" t="s">
        <v>326</v>
      </c>
      <c r="X165">
        <v>3</v>
      </c>
      <c r="Y165" t="s">
        <v>3715</v>
      </c>
      <c r="Z165" t="s">
        <v>3704</v>
      </c>
      <c r="AA165" t="s">
        <v>3705</v>
      </c>
      <c r="AB165" t="s">
        <v>3706</v>
      </c>
      <c r="AC165" t="s">
        <v>3710</v>
      </c>
      <c r="AD165" t="str">
        <f t="shared" ref="AD165:AD194" si="19">IF(ISERR(LEFT(I165,FIND("-",I165)-1)),LEFT(I165,FIND(" ",I165)-1),LEFT(I165,FIND("-",I165)-1))</f>
        <v>EPPS</v>
      </c>
      <c r="AE165" t="s">
        <v>6638</v>
      </c>
      <c r="AF165" t="s">
        <v>5933</v>
      </c>
    </row>
    <row r="166" spans="1:32" x14ac:dyDescent="0.3">
      <c r="A166" t="str">
        <f t="shared" si="12"/>
        <v>The Goose and Duck</v>
      </c>
      <c r="B166">
        <v>408</v>
      </c>
      <c r="C166" t="s">
        <v>5816</v>
      </c>
      <c r="D166" t="s">
        <v>5886</v>
      </c>
      <c r="E166" t="s">
        <v>5885</v>
      </c>
      <c r="F166" t="s">
        <v>5931</v>
      </c>
      <c r="G166" t="s">
        <v>5930</v>
      </c>
      <c r="H166">
        <v>16.8</v>
      </c>
      <c r="I166" t="s">
        <v>5929</v>
      </c>
      <c r="J166">
        <v>10.137</v>
      </c>
      <c r="K166" t="s">
        <v>326</v>
      </c>
      <c r="L166" t="s">
        <v>5894</v>
      </c>
      <c r="M166">
        <v>356.27699999999999</v>
      </c>
      <c r="N166" t="s">
        <v>5928</v>
      </c>
      <c r="O166" t="s">
        <v>5927</v>
      </c>
      <c r="P166" t="s">
        <v>3655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3137</v>
      </c>
      <c r="W166" t="s">
        <v>326</v>
      </c>
      <c r="X166">
        <v>1</v>
      </c>
      <c r="Y166" t="s">
        <v>3824</v>
      </c>
      <c r="Z166" t="s">
        <v>3815</v>
      </c>
      <c r="AA166" t="s">
        <v>3176</v>
      </c>
      <c r="AB166" t="s">
        <v>3177</v>
      </c>
      <c r="AC166" t="s">
        <v>3819</v>
      </c>
      <c r="AD166" t="str">
        <f t="shared" ref="AD166:AD169" si="20">LEFT(I166,FIND(4,I166)-1)</f>
        <v>H&amp;ME</v>
      </c>
      <c r="AE166" t="s">
        <v>6639</v>
      </c>
      <c r="AF166" t="s">
        <v>5929</v>
      </c>
    </row>
    <row r="167" spans="1:32" x14ac:dyDescent="0.3">
      <c r="A167" t="str">
        <f t="shared" si="12"/>
        <v>Oranges Records &amp; Tapes</v>
      </c>
      <c r="B167">
        <v>408</v>
      </c>
      <c r="C167" t="s">
        <v>5816</v>
      </c>
      <c r="D167" t="s">
        <v>5886</v>
      </c>
      <c r="E167" t="s">
        <v>5885</v>
      </c>
      <c r="F167" t="s">
        <v>5828</v>
      </c>
      <c r="G167" t="s">
        <v>5827</v>
      </c>
      <c r="H167">
        <v>16.100000000000001</v>
      </c>
      <c r="I167" t="s">
        <v>5926</v>
      </c>
      <c r="J167">
        <v>6.827</v>
      </c>
      <c r="K167" t="s">
        <v>326</v>
      </c>
      <c r="L167" t="s">
        <v>5902</v>
      </c>
      <c r="M167">
        <v>431.28699999999998</v>
      </c>
      <c r="N167" t="s">
        <v>5925</v>
      </c>
      <c r="O167" t="s">
        <v>5692</v>
      </c>
      <c r="P167" t="s">
        <v>329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3137</v>
      </c>
      <c r="W167" t="s">
        <v>326</v>
      </c>
      <c r="X167">
        <v>1</v>
      </c>
      <c r="Y167" t="s">
        <v>3795</v>
      </c>
      <c r="Z167" t="s">
        <v>3785</v>
      </c>
      <c r="AA167" t="s">
        <v>48</v>
      </c>
      <c r="AB167" t="s">
        <v>3786</v>
      </c>
      <c r="AC167" t="s">
        <v>3790</v>
      </c>
      <c r="AD167" t="str">
        <f t="shared" si="20"/>
        <v>GRIZZ</v>
      </c>
      <c r="AE167" t="s">
        <v>6640</v>
      </c>
      <c r="AF167" t="s">
        <v>5926</v>
      </c>
    </row>
    <row r="168" spans="1:32" x14ac:dyDescent="0.3">
      <c r="A168" t="str">
        <f t="shared" si="12"/>
        <v>The Goose and Duck</v>
      </c>
      <c r="B168">
        <v>408</v>
      </c>
      <c r="C168" t="s">
        <v>5816</v>
      </c>
      <c r="D168" t="s">
        <v>5886</v>
      </c>
      <c r="E168" t="s">
        <v>5885</v>
      </c>
      <c r="F168" t="s">
        <v>5828</v>
      </c>
      <c r="G168" t="s">
        <v>5827</v>
      </c>
      <c r="H168">
        <v>16.100000000000001</v>
      </c>
      <c r="I168" t="s">
        <v>5924</v>
      </c>
      <c r="J168">
        <v>11.058</v>
      </c>
      <c r="K168" t="s">
        <v>326</v>
      </c>
      <c r="L168" t="s">
        <v>5753</v>
      </c>
      <c r="M168">
        <v>695.31299999999999</v>
      </c>
      <c r="N168" t="s">
        <v>5738</v>
      </c>
      <c r="O168" t="s">
        <v>5923</v>
      </c>
      <c r="P168" t="s">
        <v>3655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3137</v>
      </c>
      <c r="W168" t="s">
        <v>326</v>
      </c>
      <c r="X168">
        <v>1</v>
      </c>
      <c r="Y168" t="s">
        <v>3824</v>
      </c>
      <c r="Z168" t="s">
        <v>3815</v>
      </c>
      <c r="AA168" t="s">
        <v>3176</v>
      </c>
      <c r="AB168" t="s">
        <v>3177</v>
      </c>
      <c r="AC168" t="s">
        <v>3819</v>
      </c>
      <c r="AD168" t="str">
        <f t="shared" si="20"/>
        <v>H&amp;ME</v>
      </c>
      <c r="AE168" t="s">
        <v>6639</v>
      </c>
      <c r="AF168" t="s">
        <v>5924</v>
      </c>
    </row>
    <row r="169" spans="1:32" x14ac:dyDescent="0.3">
      <c r="A169" t="str">
        <f t="shared" si="12"/>
        <v>Specialty Restaurant Group</v>
      </c>
      <c r="B169">
        <v>408</v>
      </c>
      <c r="C169" t="s">
        <v>5816</v>
      </c>
      <c r="D169" t="s">
        <v>5886</v>
      </c>
      <c r="E169" t="s">
        <v>5885</v>
      </c>
      <c r="F169" t="s">
        <v>5828</v>
      </c>
      <c r="G169" t="s">
        <v>5827</v>
      </c>
      <c r="H169">
        <v>16.100000000000001</v>
      </c>
      <c r="I169" t="s">
        <v>5922</v>
      </c>
      <c r="J169">
        <v>4.9560000000000004</v>
      </c>
      <c r="K169" t="s">
        <v>326</v>
      </c>
      <c r="L169" t="s">
        <v>5921</v>
      </c>
      <c r="M169">
        <v>318.36</v>
      </c>
      <c r="N169" t="s">
        <v>5920</v>
      </c>
      <c r="O169" t="s">
        <v>5692</v>
      </c>
      <c r="P169" t="s">
        <v>329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329</v>
      </c>
      <c r="W169" t="s">
        <v>5689</v>
      </c>
      <c r="X169">
        <v>0</v>
      </c>
      <c r="Y169" t="s">
        <v>3901</v>
      </c>
      <c r="Z169" t="s">
        <v>3890</v>
      </c>
      <c r="AA169" t="s">
        <v>3891</v>
      </c>
      <c r="AB169" t="s">
        <v>3892</v>
      </c>
      <c r="AC169" t="s">
        <v>3896</v>
      </c>
      <c r="AD169" t="str">
        <f t="shared" si="20"/>
        <v>INCL</v>
      </c>
      <c r="AE169" t="s">
        <v>6641</v>
      </c>
      <c r="AF169" t="s">
        <v>5922</v>
      </c>
    </row>
    <row r="170" spans="1:32" x14ac:dyDescent="0.3">
      <c r="A170" t="str">
        <f t="shared" si="12"/>
        <v>Gamma Gas</v>
      </c>
      <c r="B170">
        <v>408</v>
      </c>
      <c r="C170" t="s">
        <v>5816</v>
      </c>
      <c r="D170" t="s">
        <v>5886</v>
      </c>
      <c r="E170" t="s">
        <v>5885</v>
      </c>
      <c r="F170" t="s">
        <v>5828</v>
      </c>
      <c r="G170" t="s">
        <v>5827</v>
      </c>
      <c r="H170">
        <v>16.100000000000001</v>
      </c>
      <c r="I170" t="s">
        <v>5919</v>
      </c>
      <c r="J170">
        <v>39</v>
      </c>
      <c r="K170" t="s">
        <v>326</v>
      </c>
      <c r="L170" t="s">
        <v>5699</v>
      </c>
      <c r="M170">
        <v>2386.8330000000001</v>
      </c>
      <c r="N170" t="s">
        <v>5705</v>
      </c>
      <c r="O170" t="s">
        <v>5918</v>
      </c>
      <c r="P170" t="s">
        <v>3655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3137</v>
      </c>
      <c r="W170" t="s">
        <v>326</v>
      </c>
      <c r="X170">
        <v>1</v>
      </c>
      <c r="Y170" t="s">
        <v>3424</v>
      </c>
      <c r="Z170" t="s">
        <v>3415</v>
      </c>
      <c r="AA170" t="s">
        <v>3245</v>
      </c>
      <c r="AB170" t="s">
        <v>3246</v>
      </c>
      <c r="AC170" t="s">
        <v>3419</v>
      </c>
      <c r="AD170" t="str">
        <f t="shared" si="19"/>
        <v>KNGT</v>
      </c>
      <c r="AE170" t="s">
        <v>6642</v>
      </c>
      <c r="AF170" t="s">
        <v>5919</v>
      </c>
    </row>
    <row r="171" spans="1:32" x14ac:dyDescent="0.3">
      <c r="A171" t="str">
        <f t="shared" si="12"/>
        <v>Kids Mart</v>
      </c>
      <c r="B171">
        <v>408</v>
      </c>
      <c r="C171" t="s">
        <v>5816</v>
      </c>
      <c r="D171" t="s">
        <v>5886</v>
      </c>
      <c r="E171" t="s">
        <v>5885</v>
      </c>
      <c r="F171" t="s">
        <v>5828</v>
      </c>
      <c r="G171" t="s">
        <v>5827</v>
      </c>
      <c r="H171">
        <v>16.100000000000001</v>
      </c>
      <c r="I171" t="s">
        <v>5917</v>
      </c>
      <c r="J171">
        <v>12</v>
      </c>
      <c r="K171" t="s">
        <v>326</v>
      </c>
      <c r="L171" t="s">
        <v>5699</v>
      </c>
      <c r="M171">
        <v>766.66700000000003</v>
      </c>
      <c r="N171" t="s">
        <v>5704</v>
      </c>
      <c r="O171" t="s">
        <v>5696</v>
      </c>
      <c r="P171" t="s">
        <v>329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3137</v>
      </c>
      <c r="W171" t="s">
        <v>326</v>
      </c>
      <c r="X171">
        <v>2</v>
      </c>
      <c r="Y171" t="s">
        <v>4101</v>
      </c>
      <c r="Z171" t="s">
        <v>4090</v>
      </c>
      <c r="AA171" t="s">
        <v>4091</v>
      </c>
      <c r="AB171" t="s">
        <v>4092</v>
      </c>
      <c r="AC171" t="s">
        <v>4096</v>
      </c>
      <c r="AD171" t="str">
        <f>LEFT(I171,FIND(0,I171)-1)</f>
        <v>LHTR</v>
      </c>
      <c r="AE171" t="s">
        <v>6643</v>
      </c>
      <c r="AF171" t="s">
        <v>5917</v>
      </c>
    </row>
    <row r="172" spans="1:32" x14ac:dyDescent="0.3">
      <c r="A172" t="str">
        <f t="shared" si="12"/>
        <v>Kids Mart</v>
      </c>
      <c r="B172">
        <v>408</v>
      </c>
      <c r="C172" t="s">
        <v>5816</v>
      </c>
      <c r="D172" t="s">
        <v>5886</v>
      </c>
      <c r="E172" t="s">
        <v>5885</v>
      </c>
      <c r="F172" t="s">
        <v>5828</v>
      </c>
      <c r="G172" t="s">
        <v>5827</v>
      </c>
      <c r="H172">
        <v>16.100000000000001</v>
      </c>
      <c r="I172" t="s">
        <v>5916</v>
      </c>
      <c r="J172">
        <v>5.1589999999999998</v>
      </c>
      <c r="K172" t="s">
        <v>326</v>
      </c>
      <c r="L172" t="s">
        <v>5915</v>
      </c>
      <c r="M172">
        <v>330.87299999999999</v>
      </c>
      <c r="N172" t="s">
        <v>5693</v>
      </c>
      <c r="O172" t="s">
        <v>5692</v>
      </c>
      <c r="P172" t="s">
        <v>329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3137</v>
      </c>
      <c r="W172" t="s">
        <v>326</v>
      </c>
      <c r="X172">
        <v>3</v>
      </c>
      <c r="Y172" t="s">
        <v>4101</v>
      </c>
      <c r="Z172" t="s">
        <v>4090</v>
      </c>
      <c r="AA172" t="s">
        <v>4091</v>
      </c>
      <c r="AB172" t="s">
        <v>4092</v>
      </c>
      <c r="AC172" t="s">
        <v>4096</v>
      </c>
      <c r="AD172" t="str">
        <f>LEFT(I172,FIND(4,I172)-1)</f>
        <v>LHTR</v>
      </c>
      <c r="AE172" t="s">
        <v>6643</v>
      </c>
      <c r="AF172" t="s">
        <v>5916</v>
      </c>
    </row>
    <row r="173" spans="1:32" x14ac:dyDescent="0.3">
      <c r="A173" t="str">
        <f t="shared" si="12"/>
        <v>Castle Realty</v>
      </c>
      <c r="B173">
        <v>408</v>
      </c>
      <c r="C173" t="s">
        <v>5816</v>
      </c>
      <c r="D173" t="s">
        <v>5886</v>
      </c>
      <c r="E173" t="s">
        <v>5885</v>
      </c>
      <c r="F173" t="s">
        <v>5828</v>
      </c>
      <c r="G173" t="s">
        <v>5827</v>
      </c>
      <c r="H173">
        <v>16.100000000000001</v>
      </c>
      <c r="I173" t="s">
        <v>5914</v>
      </c>
      <c r="J173">
        <v>20</v>
      </c>
      <c r="K173" t="s">
        <v>326</v>
      </c>
      <c r="L173" t="s">
        <v>5699</v>
      </c>
      <c r="M173">
        <v>1213.33</v>
      </c>
      <c r="N173" t="s">
        <v>5705</v>
      </c>
      <c r="O173" t="s">
        <v>5913</v>
      </c>
      <c r="P173" t="s">
        <v>329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329</v>
      </c>
      <c r="W173" t="s">
        <v>5689</v>
      </c>
      <c r="X173">
        <v>0</v>
      </c>
      <c r="Y173" t="s">
        <v>4432</v>
      </c>
      <c r="Z173" t="s">
        <v>4421</v>
      </c>
      <c r="AA173" t="s">
        <v>4422</v>
      </c>
      <c r="AB173" t="s">
        <v>4423</v>
      </c>
      <c r="AC173" t="s">
        <v>4427</v>
      </c>
      <c r="AD173" t="str">
        <f t="shared" si="19"/>
        <v>MCCO</v>
      </c>
      <c r="AE173" t="s">
        <v>6644</v>
      </c>
      <c r="AF173" t="s">
        <v>5914</v>
      </c>
    </row>
    <row r="174" spans="1:32" x14ac:dyDescent="0.3">
      <c r="A174" t="str">
        <f t="shared" si="12"/>
        <v>Castle Realty</v>
      </c>
      <c r="B174">
        <v>408</v>
      </c>
      <c r="C174" t="s">
        <v>5816</v>
      </c>
      <c r="D174" t="s">
        <v>5886</v>
      </c>
      <c r="E174" t="s">
        <v>5885</v>
      </c>
      <c r="F174" t="s">
        <v>5828</v>
      </c>
      <c r="G174" t="s">
        <v>5827</v>
      </c>
      <c r="H174">
        <v>16.100000000000001</v>
      </c>
      <c r="I174" t="s">
        <v>5912</v>
      </c>
      <c r="J174">
        <v>10.945</v>
      </c>
      <c r="K174" t="s">
        <v>326</v>
      </c>
      <c r="L174" t="s">
        <v>5702</v>
      </c>
      <c r="M174">
        <v>673.36699999999996</v>
      </c>
      <c r="N174" t="s">
        <v>5777</v>
      </c>
      <c r="O174" t="s">
        <v>5706</v>
      </c>
      <c r="P174" t="s">
        <v>3655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3137</v>
      </c>
      <c r="W174" t="s">
        <v>326</v>
      </c>
      <c r="X174">
        <v>1</v>
      </c>
      <c r="Y174" t="s">
        <v>4432</v>
      </c>
      <c r="Z174" t="s">
        <v>4421</v>
      </c>
      <c r="AA174" t="s">
        <v>4422</v>
      </c>
      <c r="AB174" t="s">
        <v>4423</v>
      </c>
      <c r="AC174" t="s">
        <v>4427</v>
      </c>
      <c r="AD174" t="str">
        <f>LEFT(I174,FIND(4,I174)-1)</f>
        <v>MCCO</v>
      </c>
      <c r="AE174" t="s">
        <v>6644</v>
      </c>
      <c r="AF174" t="s">
        <v>5912</v>
      </c>
    </row>
    <row r="175" spans="1:32" x14ac:dyDescent="0.3">
      <c r="A175" t="str">
        <f t="shared" si="12"/>
        <v>Family Toy</v>
      </c>
      <c r="B175">
        <v>408</v>
      </c>
      <c r="C175" t="s">
        <v>5816</v>
      </c>
      <c r="D175" t="s">
        <v>5886</v>
      </c>
      <c r="E175" t="s">
        <v>5885</v>
      </c>
      <c r="F175" t="s">
        <v>5828</v>
      </c>
      <c r="G175" t="s">
        <v>5827</v>
      </c>
      <c r="H175">
        <v>16.100000000000001</v>
      </c>
      <c r="I175" t="s">
        <v>5911</v>
      </c>
      <c r="J175">
        <v>35</v>
      </c>
      <c r="K175" t="s">
        <v>326</v>
      </c>
      <c r="L175" t="s">
        <v>5699</v>
      </c>
      <c r="M175">
        <v>2131.33</v>
      </c>
      <c r="N175" t="s">
        <v>5693</v>
      </c>
      <c r="O175" t="s">
        <v>5692</v>
      </c>
      <c r="P175" t="s">
        <v>3655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3137</v>
      </c>
      <c r="W175" t="s">
        <v>326</v>
      </c>
      <c r="X175">
        <v>1</v>
      </c>
      <c r="Y175" t="s">
        <v>3917</v>
      </c>
      <c r="Z175" t="s">
        <v>3907</v>
      </c>
      <c r="AA175" t="s">
        <v>2</v>
      </c>
      <c r="AB175" t="s">
        <v>3908</v>
      </c>
      <c r="AC175" t="s">
        <v>3912</v>
      </c>
      <c r="AD175" t="str">
        <f t="shared" si="19"/>
        <v>PETE</v>
      </c>
      <c r="AE175" t="s">
        <v>6645</v>
      </c>
      <c r="AF175" t="s">
        <v>5911</v>
      </c>
    </row>
    <row r="176" spans="1:32" x14ac:dyDescent="0.3">
      <c r="A176" t="str">
        <f t="shared" si="12"/>
        <v>Fisher Foods</v>
      </c>
      <c r="B176">
        <v>408</v>
      </c>
      <c r="C176" t="s">
        <v>5816</v>
      </c>
      <c r="D176" t="s">
        <v>5886</v>
      </c>
      <c r="E176" t="s">
        <v>5885</v>
      </c>
      <c r="F176" t="s">
        <v>5828</v>
      </c>
      <c r="G176" t="s">
        <v>5827</v>
      </c>
      <c r="H176">
        <v>16.100000000000001</v>
      </c>
      <c r="I176" t="s">
        <v>5910</v>
      </c>
      <c r="J176">
        <v>19</v>
      </c>
      <c r="K176" t="s">
        <v>326</v>
      </c>
      <c r="L176" t="s">
        <v>5699</v>
      </c>
      <c r="M176">
        <v>1171.1669999999999</v>
      </c>
      <c r="N176" t="s">
        <v>5693</v>
      </c>
      <c r="O176" t="s">
        <v>5706</v>
      </c>
      <c r="P176" t="s">
        <v>3655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3137</v>
      </c>
      <c r="W176" t="s">
        <v>326</v>
      </c>
      <c r="X176">
        <v>1</v>
      </c>
      <c r="Y176" t="s">
        <v>4480</v>
      </c>
      <c r="Z176" t="s">
        <v>4469</v>
      </c>
      <c r="AA176" t="s">
        <v>4470</v>
      </c>
      <c r="AB176" t="s">
        <v>4471</v>
      </c>
      <c r="AC176" t="s">
        <v>4475</v>
      </c>
      <c r="AD176" t="str">
        <f t="shared" si="19"/>
        <v>RITA</v>
      </c>
      <c r="AE176" t="s">
        <v>6646</v>
      </c>
      <c r="AF176" t="s">
        <v>5910</v>
      </c>
    </row>
    <row r="177" spans="1:32" x14ac:dyDescent="0.3">
      <c r="A177" t="str">
        <f t="shared" si="12"/>
        <v>The Goose and Duck</v>
      </c>
      <c r="B177">
        <v>408</v>
      </c>
      <c r="C177" t="s">
        <v>5816</v>
      </c>
      <c r="D177" t="s">
        <v>5886</v>
      </c>
      <c r="E177" t="s">
        <v>5885</v>
      </c>
      <c r="F177" t="s">
        <v>5853</v>
      </c>
      <c r="G177" t="s">
        <v>5852</v>
      </c>
      <c r="H177">
        <v>7.1</v>
      </c>
      <c r="I177" t="s">
        <v>5909</v>
      </c>
      <c r="J177">
        <v>12</v>
      </c>
      <c r="K177" t="s">
        <v>326</v>
      </c>
      <c r="L177" t="s">
        <v>5699</v>
      </c>
      <c r="M177">
        <v>424.33300000000003</v>
      </c>
      <c r="N177" t="s">
        <v>5908</v>
      </c>
      <c r="O177" t="s">
        <v>5907</v>
      </c>
      <c r="P177" t="s">
        <v>3655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3137</v>
      </c>
      <c r="W177" t="s">
        <v>326</v>
      </c>
      <c r="X177">
        <v>1</v>
      </c>
      <c r="Y177" t="s">
        <v>3824</v>
      </c>
      <c r="Z177" t="s">
        <v>3815</v>
      </c>
      <c r="AA177" t="s">
        <v>3176</v>
      </c>
      <c r="AB177" t="s">
        <v>3177</v>
      </c>
      <c r="AC177" t="s">
        <v>3819</v>
      </c>
      <c r="AD177" t="str">
        <f>LEFT(I177,FIND(2,I177)-1)</f>
        <v>H&amp;ME</v>
      </c>
      <c r="AE177" t="s">
        <v>6639</v>
      </c>
      <c r="AF177" t="s">
        <v>5909</v>
      </c>
    </row>
    <row r="178" spans="1:32" x14ac:dyDescent="0.3">
      <c r="A178" t="str">
        <f t="shared" si="12"/>
        <v>Castle Realty</v>
      </c>
      <c r="B178">
        <v>408</v>
      </c>
      <c r="C178" t="s">
        <v>5816</v>
      </c>
      <c r="D178" t="s">
        <v>5886</v>
      </c>
      <c r="E178" t="s">
        <v>5885</v>
      </c>
      <c r="F178" t="s">
        <v>5853</v>
      </c>
      <c r="G178" t="s">
        <v>5852</v>
      </c>
      <c r="H178">
        <v>7.1</v>
      </c>
      <c r="I178" t="s">
        <v>5906</v>
      </c>
      <c r="J178">
        <v>5.9560000000000004</v>
      </c>
      <c r="K178" t="s">
        <v>326</v>
      </c>
      <c r="L178" t="s">
        <v>5905</v>
      </c>
      <c r="M178">
        <v>178.68</v>
      </c>
      <c r="N178" t="s">
        <v>5712</v>
      </c>
      <c r="O178" t="s">
        <v>5904</v>
      </c>
      <c r="P178" t="s">
        <v>3655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3137</v>
      </c>
      <c r="W178" t="s">
        <v>326</v>
      </c>
      <c r="X178">
        <v>3</v>
      </c>
      <c r="Y178" t="s">
        <v>4432</v>
      </c>
      <c r="Z178" t="s">
        <v>4421</v>
      </c>
      <c r="AA178" t="s">
        <v>4422</v>
      </c>
      <c r="AB178" t="s">
        <v>4423</v>
      </c>
      <c r="AC178" t="s">
        <v>4427</v>
      </c>
      <c r="AD178" t="str">
        <f t="shared" ref="AD178:AD184" si="21">LEFT(I178,FIND(4,I178)-1)</f>
        <v>MCCO</v>
      </c>
      <c r="AE178" t="s">
        <v>6644</v>
      </c>
      <c r="AF178" t="s">
        <v>5906</v>
      </c>
    </row>
    <row r="179" spans="1:32" x14ac:dyDescent="0.3">
      <c r="A179" t="str">
        <f t="shared" si="12"/>
        <v>Oranges Records &amp; Tapes</v>
      </c>
      <c r="B179">
        <v>408</v>
      </c>
      <c r="C179" t="s">
        <v>5816</v>
      </c>
      <c r="D179" t="s">
        <v>5886</v>
      </c>
      <c r="E179" t="s">
        <v>5885</v>
      </c>
      <c r="F179" t="s">
        <v>5824</v>
      </c>
      <c r="G179" t="s">
        <v>5823</v>
      </c>
      <c r="H179">
        <v>7.3</v>
      </c>
      <c r="I179" t="s">
        <v>5903</v>
      </c>
      <c r="J179">
        <v>6.827</v>
      </c>
      <c r="K179" t="s">
        <v>326</v>
      </c>
      <c r="L179" t="s">
        <v>5902</v>
      </c>
      <c r="M179">
        <v>204.81</v>
      </c>
      <c r="N179" t="s">
        <v>5712</v>
      </c>
      <c r="O179" t="s">
        <v>5784</v>
      </c>
      <c r="P179" t="s">
        <v>329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3137</v>
      </c>
      <c r="W179" t="s">
        <v>326</v>
      </c>
      <c r="X179">
        <v>1</v>
      </c>
      <c r="Y179" t="s">
        <v>3795</v>
      </c>
      <c r="Z179" t="s">
        <v>3785</v>
      </c>
      <c r="AA179" t="s">
        <v>48</v>
      </c>
      <c r="AB179" t="s">
        <v>3786</v>
      </c>
      <c r="AC179" t="s">
        <v>3790</v>
      </c>
      <c r="AD179" t="str">
        <f t="shared" si="21"/>
        <v>GRIZZ</v>
      </c>
      <c r="AE179" t="s">
        <v>6640</v>
      </c>
      <c r="AF179" t="s">
        <v>5903</v>
      </c>
    </row>
    <row r="180" spans="1:32" x14ac:dyDescent="0.3">
      <c r="A180" t="str">
        <f t="shared" si="12"/>
        <v>Castle Realty</v>
      </c>
      <c r="B180">
        <v>408</v>
      </c>
      <c r="C180" t="s">
        <v>5816</v>
      </c>
      <c r="D180" t="s">
        <v>5886</v>
      </c>
      <c r="E180" t="s">
        <v>5885</v>
      </c>
      <c r="F180" t="s">
        <v>5824</v>
      </c>
      <c r="G180" t="s">
        <v>5823</v>
      </c>
      <c r="H180">
        <v>7.3</v>
      </c>
      <c r="I180" t="s">
        <v>5901</v>
      </c>
      <c r="J180">
        <v>10.945</v>
      </c>
      <c r="K180" t="s">
        <v>326</v>
      </c>
      <c r="L180" t="s">
        <v>5702</v>
      </c>
      <c r="M180">
        <v>342.85</v>
      </c>
      <c r="N180" t="s">
        <v>5712</v>
      </c>
      <c r="O180" t="s">
        <v>5815</v>
      </c>
      <c r="P180" t="s">
        <v>3655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3137</v>
      </c>
      <c r="W180" t="s">
        <v>326</v>
      </c>
      <c r="X180">
        <v>1</v>
      </c>
      <c r="Y180" t="s">
        <v>4432</v>
      </c>
      <c r="Z180" t="s">
        <v>4421</v>
      </c>
      <c r="AA180" t="s">
        <v>4422</v>
      </c>
      <c r="AB180" t="s">
        <v>4423</v>
      </c>
      <c r="AC180" t="s">
        <v>4427</v>
      </c>
      <c r="AD180" t="str">
        <f t="shared" si="21"/>
        <v>MCCO</v>
      </c>
      <c r="AE180" t="s">
        <v>6644</v>
      </c>
      <c r="AF180" t="s">
        <v>5901</v>
      </c>
    </row>
    <row r="181" spans="1:32" x14ac:dyDescent="0.3">
      <c r="A181" t="str">
        <f t="shared" si="12"/>
        <v>Edwards</v>
      </c>
      <c r="B181">
        <v>408</v>
      </c>
      <c r="C181" t="s">
        <v>5816</v>
      </c>
      <c r="D181" t="s">
        <v>5886</v>
      </c>
      <c r="E181" t="s">
        <v>5885</v>
      </c>
      <c r="F181" t="s">
        <v>5822</v>
      </c>
      <c r="G181" t="s">
        <v>5821</v>
      </c>
      <c r="H181">
        <v>7.3</v>
      </c>
      <c r="I181" t="s">
        <v>5900</v>
      </c>
      <c r="J181">
        <v>7.9669999999999996</v>
      </c>
      <c r="K181" t="s">
        <v>326</v>
      </c>
      <c r="L181" t="s">
        <v>5783</v>
      </c>
      <c r="M181">
        <v>242.01</v>
      </c>
      <c r="N181" t="s">
        <v>5742</v>
      </c>
      <c r="O181" t="s">
        <v>5814</v>
      </c>
      <c r="P181" t="s">
        <v>3655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3137</v>
      </c>
      <c r="W181" t="s">
        <v>326</v>
      </c>
      <c r="X181">
        <v>1</v>
      </c>
      <c r="Y181" t="s">
        <v>3307</v>
      </c>
      <c r="Z181" t="s">
        <v>3296</v>
      </c>
      <c r="AA181" t="s">
        <v>3297</v>
      </c>
      <c r="AB181" t="s">
        <v>3298</v>
      </c>
      <c r="AC181" t="s">
        <v>3302</v>
      </c>
      <c r="AD181" t="str">
        <f t="shared" si="21"/>
        <v>CANT</v>
      </c>
      <c r="AE181" t="s">
        <v>6647</v>
      </c>
      <c r="AF181" t="s">
        <v>5900</v>
      </c>
    </row>
    <row r="182" spans="1:32" x14ac:dyDescent="0.3">
      <c r="A182" t="str">
        <f t="shared" si="12"/>
        <v>The Goose and Duck</v>
      </c>
      <c r="B182">
        <v>408</v>
      </c>
      <c r="C182" t="s">
        <v>5816</v>
      </c>
      <c r="D182" t="s">
        <v>5886</v>
      </c>
      <c r="E182" t="s">
        <v>5885</v>
      </c>
      <c r="F182" t="s">
        <v>5822</v>
      </c>
      <c r="G182" t="s">
        <v>5821</v>
      </c>
      <c r="H182">
        <v>7.3</v>
      </c>
      <c r="I182" t="s">
        <v>5899</v>
      </c>
      <c r="J182">
        <v>10.137</v>
      </c>
      <c r="K182" t="s">
        <v>326</v>
      </c>
      <c r="L182" t="s">
        <v>5894</v>
      </c>
      <c r="M182">
        <v>320.44</v>
      </c>
      <c r="N182" t="s">
        <v>5893</v>
      </c>
      <c r="O182" t="s">
        <v>5898</v>
      </c>
      <c r="P182" t="s">
        <v>329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329</v>
      </c>
      <c r="W182" t="s">
        <v>326</v>
      </c>
      <c r="X182">
        <v>0</v>
      </c>
      <c r="Y182" t="s">
        <v>3824</v>
      </c>
      <c r="Z182" t="s">
        <v>3815</v>
      </c>
      <c r="AA182" t="s">
        <v>3176</v>
      </c>
      <c r="AB182" t="s">
        <v>3177</v>
      </c>
      <c r="AC182" t="s">
        <v>3819</v>
      </c>
      <c r="AD182" t="str">
        <f t="shared" si="21"/>
        <v>H&amp;ME</v>
      </c>
      <c r="AE182" t="s">
        <v>6639</v>
      </c>
      <c r="AF182" t="s">
        <v>5899</v>
      </c>
    </row>
    <row r="183" spans="1:32" x14ac:dyDescent="0.3">
      <c r="A183" t="str">
        <f t="shared" si="12"/>
        <v>The Goose and Duck</v>
      </c>
      <c r="B183">
        <v>408</v>
      </c>
      <c r="C183" t="s">
        <v>5816</v>
      </c>
      <c r="D183" t="s">
        <v>5886</v>
      </c>
      <c r="E183" t="s">
        <v>5885</v>
      </c>
      <c r="F183" t="s">
        <v>5836</v>
      </c>
      <c r="G183" t="s">
        <v>5835</v>
      </c>
      <c r="H183">
        <v>7.3</v>
      </c>
      <c r="I183" t="s">
        <v>5897</v>
      </c>
      <c r="J183">
        <v>7.077</v>
      </c>
      <c r="K183" t="s">
        <v>326</v>
      </c>
      <c r="L183" t="s">
        <v>5801</v>
      </c>
      <c r="M183">
        <v>225.64</v>
      </c>
      <c r="N183" t="s">
        <v>5766</v>
      </c>
      <c r="O183" t="s">
        <v>5896</v>
      </c>
      <c r="P183" t="s">
        <v>329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329</v>
      </c>
      <c r="W183" t="s">
        <v>326</v>
      </c>
      <c r="X183">
        <v>0</v>
      </c>
      <c r="Y183" t="s">
        <v>3824</v>
      </c>
      <c r="Z183" t="s">
        <v>3815</v>
      </c>
      <c r="AA183" t="s">
        <v>3176</v>
      </c>
      <c r="AB183" t="s">
        <v>3177</v>
      </c>
      <c r="AC183" t="s">
        <v>3819</v>
      </c>
      <c r="AD183" t="str">
        <f t="shared" si="21"/>
        <v>H&amp;ME</v>
      </c>
      <c r="AE183" t="s">
        <v>6639</v>
      </c>
      <c r="AF183" t="s">
        <v>5897</v>
      </c>
    </row>
    <row r="184" spans="1:32" x14ac:dyDescent="0.3">
      <c r="A184" t="str">
        <f t="shared" si="12"/>
        <v>The Goose and Duck</v>
      </c>
      <c r="B184">
        <v>408</v>
      </c>
      <c r="C184" t="s">
        <v>5816</v>
      </c>
      <c r="D184" t="s">
        <v>5886</v>
      </c>
      <c r="E184" t="s">
        <v>5885</v>
      </c>
      <c r="F184" t="s">
        <v>5834</v>
      </c>
      <c r="G184" t="s">
        <v>5833</v>
      </c>
      <c r="H184">
        <v>7.3</v>
      </c>
      <c r="I184" t="s">
        <v>5895</v>
      </c>
      <c r="J184">
        <v>10.137</v>
      </c>
      <c r="K184" t="s">
        <v>326</v>
      </c>
      <c r="L184" t="s">
        <v>5894</v>
      </c>
      <c r="M184">
        <v>340.77699999999999</v>
      </c>
      <c r="N184" t="s">
        <v>5893</v>
      </c>
      <c r="O184" t="s">
        <v>5892</v>
      </c>
      <c r="P184" t="s">
        <v>3655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3137</v>
      </c>
      <c r="W184" t="s">
        <v>326</v>
      </c>
      <c r="X184">
        <v>1</v>
      </c>
      <c r="Y184" t="s">
        <v>3824</v>
      </c>
      <c r="Z184" t="s">
        <v>3815</v>
      </c>
      <c r="AA184" t="s">
        <v>3176</v>
      </c>
      <c r="AB184" t="s">
        <v>3177</v>
      </c>
      <c r="AC184" t="s">
        <v>3819</v>
      </c>
      <c r="AD184" t="str">
        <f t="shared" si="21"/>
        <v>H&amp;ME</v>
      </c>
      <c r="AE184" t="s">
        <v>6639</v>
      </c>
      <c r="AF184" t="s">
        <v>5895</v>
      </c>
    </row>
    <row r="185" spans="1:32" x14ac:dyDescent="0.3">
      <c r="A185" t="str">
        <f t="shared" si="12"/>
        <v>Family Toy</v>
      </c>
      <c r="B185">
        <v>408</v>
      </c>
      <c r="C185" t="s">
        <v>5816</v>
      </c>
      <c r="D185" t="s">
        <v>5886</v>
      </c>
      <c r="E185" t="s">
        <v>5885</v>
      </c>
      <c r="F185" t="s">
        <v>5820</v>
      </c>
      <c r="G185" t="s">
        <v>5819</v>
      </c>
      <c r="H185">
        <v>13.3</v>
      </c>
      <c r="I185" t="s">
        <v>5891</v>
      </c>
      <c r="J185">
        <v>37</v>
      </c>
      <c r="K185" t="s">
        <v>326</v>
      </c>
      <c r="L185" t="s">
        <v>5699</v>
      </c>
      <c r="M185">
        <v>1157</v>
      </c>
      <c r="N185" t="s">
        <v>5763</v>
      </c>
      <c r="O185" t="s">
        <v>5890</v>
      </c>
      <c r="P185" t="s">
        <v>3655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3137</v>
      </c>
      <c r="W185" t="s">
        <v>326</v>
      </c>
      <c r="X185">
        <v>1</v>
      </c>
      <c r="Y185" t="s">
        <v>3917</v>
      </c>
      <c r="Z185" t="s">
        <v>3907</v>
      </c>
      <c r="AA185" t="s">
        <v>2</v>
      </c>
      <c r="AB185" t="s">
        <v>3908</v>
      </c>
      <c r="AC185" t="s">
        <v>3912</v>
      </c>
      <c r="AD185" t="str">
        <f t="shared" si="19"/>
        <v>PETE</v>
      </c>
      <c r="AE185" t="s">
        <v>6645</v>
      </c>
      <c r="AF185" t="s">
        <v>5891</v>
      </c>
    </row>
    <row r="186" spans="1:32" x14ac:dyDescent="0.3">
      <c r="A186" t="str">
        <f t="shared" si="12"/>
        <v>National Record Mart</v>
      </c>
      <c r="B186">
        <v>408</v>
      </c>
      <c r="C186" t="s">
        <v>5816</v>
      </c>
      <c r="D186" t="s">
        <v>5886</v>
      </c>
      <c r="E186" t="s">
        <v>5885</v>
      </c>
      <c r="F186" t="s">
        <v>5818</v>
      </c>
      <c r="G186" t="s">
        <v>5817</v>
      </c>
      <c r="H186">
        <v>15.1</v>
      </c>
      <c r="I186" t="s">
        <v>5889</v>
      </c>
      <c r="J186">
        <v>12</v>
      </c>
      <c r="K186" t="s">
        <v>326</v>
      </c>
      <c r="L186" t="s">
        <v>5699</v>
      </c>
      <c r="M186">
        <v>391.16699999999997</v>
      </c>
      <c r="N186" t="s">
        <v>5888</v>
      </c>
      <c r="O186" t="s">
        <v>5887</v>
      </c>
      <c r="P186" t="s">
        <v>3655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3137</v>
      </c>
      <c r="W186" t="s">
        <v>326</v>
      </c>
      <c r="X186">
        <v>1</v>
      </c>
      <c r="Y186" t="s">
        <v>4023</v>
      </c>
      <c r="Z186" t="s">
        <v>4014</v>
      </c>
      <c r="AA186" t="s">
        <v>3923</v>
      </c>
      <c r="AB186" t="s">
        <v>3924</v>
      </c>
      <c r="AC186" t="s">
        <v>4018</v>
      </c>
      <c r="AD186" t="str">
        <f t="shared" si="19"/>
        <v>KMAR</v>
      </c>
      <c r="AE186" t="s">
        <v>6648</v>
      </c>
      <c r="AF186" t="s">
        <v>5889</v>
      </c>
    </row>
    <row r="187" spans="1:32" x14ac:dyDescent="0.3">
      <c r="A187" t="str">
        <f t="shared" si="12"/>
        <v>Pantry Pride</v>
      </c>
      <c r="B187">
        <v>408</v>
      </c>
      <c r="C187" t="s">
        <v>5816</v>
      </c>
      <c r="D187" t="s">
        <v>5886</v>
      </c>
      <c r="E187" t="s">
        <v>5885</v>
      </c>
      <c r="F187" t="s">
        <v>5884</v>
      </c>
      <c r="G187" t="s">
        <v>5883</v>
      </c>
      <c r="H187">
        <v>15.1</v>
      </c>
      <c r="I187" t="s">
        <v>5882</v>
      </c>
      <c r="J187">
        <v>0.69899999999999995</v>
      </c>
      <c r="K187" t="s">
        <v>326</v>
      </c>
      <c r="L187" t="s">
        <v>5708</v>
      </c>
      <c r="M187">
        <v>20.97</v>
      </c>
      <c r="N187" t="s">
        <v>5881</v>
      </c>
      <c r="O187" t="s">
        <v>5880</v>
      </c>
      <c r="P187" t="s">
        <v>329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3137</v>
      </c>
      <c r="W187" t="s">
        <v>326</v>
      </c>
      <c r="X187">
        <v>1</v>
      </c>
      <c r="Y187" t="s">
        <v>3376</v>
      </c>
      <c r="Z187" t="s">
        <v>3366</v>
      </c>
      <c r="AA187" t="s">
        <v>2</v>
      </c>
      <c r="AB187" t="s">
        <v>3367</v>
      </c>
      <c r="AC187" t="s">
        <v>3371</v>
      </c>
      <c r="AD187" t="str">
        <f>LEFT(I187,FIND(4,I187)-1)</f>
        <v>DMEXC</v>
      </c>
      <c r="AE187" t="s">
        <v>6649</v>
      </c>
      <c r="AF187" t="s">
        <v>5882</v>
      </c>
    </row>
    <row r="188" spans="1:32" x14ac:dyDescent="0.3">
      <c r="A188" t="str">
        <f t="shared" si="12"/>
        <v>Company</v>
      </c>
      <c r="B188">
        <v>408</v>
      </c>
      <c r="C188" t="s">
        <v>5816</v>
      </c>
      <c r="D188" t="s">
        <v>5831</v>
      </c>
      <c r="E188" t="s">
        <v>5830</v>
      </c>
      <c r="F188" t="s">
        <v>5791</v>
      </c>
      <c r="G188" t="s">
        <v>5873</v>
      </c>
      <c r="H188">
        <v>9.1999999999999993</v>
      </c>
      <c r="I188" t="s">
        <v>5879</v>
      </c>
      <c r="J188">
        <v>2.89</v>
      </c>
      <c r="K188" t="s">
        <v>326</v>
      </c>
      <c r="L188" t="s">
        <v>5878</v>
      </c>
      <c r="M188">
        <v>107.367</v>
      </c>
      <c r="N188" t="s">
        <v>5760</v>
      </c>
      <c r="O188" t="s">
        <v>5877</v>
      </c>
      <c r="P188" t="s">
        <v>329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3137</v>
      </c>
      <c r="W188" t="s">
        <v>326</v>
      </c>
      <c r="X188">
        <v>3</v>
      </c>
      <c r="Y188" t="s">
        <v>2983</v>
      </c>
      <c r="Z188" t="s">
        <v>2964</v>
      </c>
      <c r="AA188" t="s">
        <v>0</v>
      </c>
      <c r="AB188" t="s">
        <v>2966</v>
      </c>
      <c r="AC188" t="s">
        <v>2972</v>
      </c>
      <c r="AD188" t="str">
        <f>LEFT(I188,FIND(4,I188)-1)</f>
        <v>ACTR</v>
      </c>
      <c r="AE188" t="s">
        <v>6650</v>
      </c>
      <c r="AF188" t="s">
        <v>5879</v>
      </c>
    </row>
    <row r="189" spans="1:32" x14ac:dyDescent="0.3">
      <c r="A189" t="str">
        <f t="shared" si="12"/>
        <v>Gas Depot</v>
      </c>
      <c r="B189">
        <v>408</v>
      </c>
      <c r="C189" t="s">
        <v>5816</v>
      </c>
      <c r="D189" t="s">
        <v>5831</v>
      </c>
      <c r="E189" t="s">
        <v>5830</v>
      </c>
      <c r="F189" t="s">
        <v>5791</v>
      </c>
      <c r="G189" t="s">
        <v>5873</v>
      </c>
      <c r="H189">
        <v>9.1999999999999993</v>
      </c>
      <c r="I189" t="s">
        <v>5876</v>
      </c>
      <c r="J189">
        <v>23</v>
      </c>
      <c r="K189" t="s">
        <v>326</v>
      </c>
      <c r="L189" t="s">
        <v>5699</v>
      </c>
      <c r="M189">
        <v>693.16700000000003</v>
      </c>
      <c r="N189" t="s">
        <v>5875</v>
      </c>
      <c r="O189" t="s">
        <v>5874</v>
      </c>
      <c r="P189" t="s">
        <v>3655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3137</v>
      </c>
      <c r="W189" t="s">
        <v>326</v>
      </c>
      <c r="X189">
        <v>1</v>
      </c>
      <c r="Y189" t="s">
        <v>3456</v>
      </c>
      <c r="Z189" t="s">
        <v>3447</v>
      </c>
      <c r="AA189" t="s">
        <v>2</v>
      </c>
      <c r="AB189" t="s">
        <v>3066</v>
      </c>
      <c r="AC189" t="s">
        <v>3451</v>
      </c>
      <c r="AD189" t="str">
        <f t="shared" si="19"/>
        <v>DAVE</v>
      </c>
      <c r="AE189" t="s">
        <v>6651</v>
      </c>
      <c r="AF189" t="s">
        <v>5876</v>
      </c>
    </row>
    <row r="190" spans="1:32" x14ac:dyDescent="0.3">
      <c r="A190" t="str">
        <f t="shared" si="12"/>
        <v>Waccamaw's Homeplace</v>
      </c>
      <c r="B190">
        <v>408</v>
      </c>
      <c r="C190" t="s">
        <v>5816</v>
      </c>
      <c r="D190" t="s">
        <v>5831</v>
      </c>
      <c r="E190" t="s">
        <v>5830</v>
      </c>
      <c r="F190" t="s">
        <v>5791</v>
      </c>
      <c r="G190" t="s">
        <v>5873</v>
      </c>
      <c r="H190">
        <v>9.1999999999999993</v>
      </c>
      <c r="I190" t="s">
        <v>5872</v>
      </c>
      <c r="J190">
        <v>33</v>
      </c>
      <c r="K190" t="s">
        <v>326</v>
      </c>
      <c r="L190" t="s">
        <v>5699</v>
      </c>
      <c r="M190">
        <v>992</v>
      </c>
      <c r="N190" t="s">
        <v>5871</v>
      </c>
      <c r="O190" t="s">
        <v>5870</v>
      </c>
      <c r="P190" t="s">
        <v>3655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3137</v>
      </c>
      <c r="W190" t="s">
        <v>326</v>
      </c>
      <c r="X190">
        <v>1</v>
      </c>
      <c r="Y190" t="s">
        <v>4085</v>
      </c>
      <c r="Z190" t="s">
        <v>4074</v>
      </c>
      <c r="AA190" t="s">
        <v>4075</v>
      </c>
      <c r="AB190" t="s">
        <v>4076</v>
      </c>
      <c r="AC190" t="s">
        <v>4080</v>
      </c>
      <c r="AD190" t="str">
        <f t="shared" si="19"/>
        <v>KAST</v>
      </c>
      <c r="AE190" t="s">
        <v>6652</v>
      </c>
      <c r="AF190" t="s">
        <v>5872</v>
      </c>
    </row>
    <row r="191" spans="1:32" x14ac:dyDescent="0.3">
      <c r="A191" t="str">
        <f t="shared" si="12"/>
        <v>The Original House of Pies</v>
      </c>
      <c r="B191">
        <v>408</v>
      </c>
      <c r="C191" t="s">
        <v>5816</v>
      </c>
      <c r="D191" t="s">
        <v>5831</v>
      </c>
      <c r="E191" t="s">
        <v>5830</v>
      </c>
      <c r="F191" t="s">
        <v>5869</v>
      </c>
      <c r="G191" t="s">
        <v>5868</v>
      </c>
      <c r="H191">
        <v>1.9</v>
      </c>
      <c r="I191" t="s">
        <v>5867</v>
      </c>
      <c r="J191">
        <v>10.962</v>
      </c>
      <c r="K191" t="s">
        <v>5689</v>
      </c>
      <c r="L191" t="s">
        <v>5866</v>
      </c>
      <c r="M191">
        <v>677.86</v>
      </c>
      <c r="N191" t="s">
        <v>5865</v>
      </c>
      <c r="O191" t="s">
        <v>5864</v>
      </c>
      <c r="P191" t="s">
        <v>3655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3137</v>
      </c>
      <c r="W191" t="s">
        <v>326</v>
      </c>
      <c r="X191">
        <v>1</v>
      </c>
      <c r="Y191" t="s">
        <v>3014</v>
      </c>
      <c r="Z191" t="s">
        <v>4647</v>
      </c>
      <c r="AA191" t="s">
        <v>4648</v>
      </c>
      <c r="AB191" t="s">
        <v>4649</v>
      </c>
      <c r="AC191" t="s">
        <v>4653</v>
      </c>
      <c r="AD191" t="str">
        <f>LEFT(I191,FIND(4,I191)-1)</f>
        <v>SSDS</v>
      </c>
      <c r="AE191" t="s">
        <v>6653</v>
      </c>
      <c r="AF191" t="s">
        <v>5867</v>
      </c>
    </row>
    <row r="192" spans="1:32" x14ac:dyDescent="0.3">
      <c r="A192" t="str">
        <f t="shared" si="12"/>
        <v>Brendle's</v>
      </c>
      <c r="B192">
        <v>408</v>
      </c>
      <c r="C192" t="s">
        <v>5816</v>
      </c>
      <c r="D192" t="s">
        <v>5831</v>
      </c>
      <c r="E192" t="s">
        <v>5830</v>
      </c>
      <c r="F192" t="s">
        <v>5828</v>
      </c>
      <c r="G192" t="s">
        <v>5827</v>
      </c>
      <c r="H192">
        <v>16.100000000000001</v>
      </c>
      <c r="I192" t="s">
        <v>5863</v>
      </c>
      <c r="J192">
        <v>22</v>
      </c>
      <c r="K192" t="s">
        <v>326</v>
      </c>
      <c r="L192" t="s">
        <v>5699</v>
      </c>
      <c r="M192">
        <v>1324.1669999999999</v>
      </c>
      <c r="N192" t="s">
        <v>5862</v>
      </c>
      <c r="O192" t="s">
        <v>5861</v>
      </c>
      <c r="P192" t="s">
        <v>3655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3137</v>
      </c>
      <c r="W192" t="s">
        <v>326</v>
      </c>
      <c r="X192">
        <v>1</v>
      </c>
      <c r="Y192" t="s">
        <v>3223</v>
      </c>
      <c r="Z192" t="s">
        <v>3754</v>
      </c>
      <c r="AA192" t="s">
        <v>2</v>
      </c>
      <c r="AB192" t="s">
        <v>3755</v>
      </c>
      <c r="AC192" t="s">
        <v>3759</v>
      </c>
      <c r="AD192" t="str">
        <f t="shared" si="19"/>
        <v>GRAS</v>
      </c>
      <c r="AE192" t="s">
        <v>6654</v>
      </c>
      <c r="AF192" t="s">
        <v>5863</v>
      </c>
    </row>
    <row r="193" spans="1:32" x14ac:dyDescent="0.3">
      <c r="A193" t="str">
        <f t="shared" si="12"/>
        <v>Red Owl</v>
      </c>
      <c r="B193">
        <v>408</v>
      </c>
      <c r="C193" t="s">
        <v>5816</v>
      </c>
      <c r="D193" t="s">
        <v>5831</v>
      </c>
      <c r="E193" t="s">
        <v>5830</v>
      </c>
      <c r="F193" t="s">
        <v>5828</v>
      </c>
      <c r="G193" t="s">
        <v>5827</v>
      </c>
      <c r="H193">
        <v>16.100000000000001</v>
      </c>
      <c r="I193" t="s">
        <v>5860</v>
      </c>
      <c r="J193">
        <v>27</v>
      </c>
      <c r="K193" t="s">
        <v>326</v>
      </c>
      <c r="L193" t="s">
        <v>5699</v>
      </c>
      <c r="M193">
        <v>1624.8330000000001</v>
      </c>
      <c r="N193" t="s">
        <v>5693</v>
      </c>
      <c r="O193" t="s">
        <v>5809</v>
      </c>
      <c r="P193" t="s">
        <v>329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3137</v>
      </c>
      <c r="W193" t="s">
        <v>326</v>
      </c>
      <c r="X193">
        <v>1</v>
      </c>
      <c r="Y193" t="s">
        <v>4128</v>
      </c>
      <c r="Z193" t="s">
        <v>4120</v>
      </c>
      <c r="AA193" t="s">
        <v>2</v>
      </c>
      <c r="AB193" t="s">
        <v>3367</v>
      </c>
      <c r="AC193" t="s">
        <v>4124</v>
      </c>
      <c r="AD193" t="str">
        <f t="shared" si="19"/>
        <v>HJOR</v>
      </c>
      <c r="AE193" t="s">
        <v>6655</v>
      </c>
      <c r="AF193" t="s">
        <v>5860</v>
      </c>
    </row>
    <row r="194" spans="1:32" x14ac:dyDescent="0.3">
      <c r="A194" t="str">
        <f t="shared" si="12"/>
        <v>Best Products</v>
      </c>
      <c r="B194">
        <v>408</v>
      </c>
      <c r="C194" t="s">
        <v>5816</v>
      </c>
      <c r="D194" t="s">
        <v>5831</v>
      </c>
      <c r="E194" t="s">
        <v>5830</v>
      </c>
      <c r="F194" t="s">
        <v>5828</v>
      </c>
      <c r="G194" t="s">
        <v>5827</v>
      </c>
      <c r="H194">
        <v>16.100000000000001</v>
      </c>
      <c r="I194" t="s">
        <v>5859</v>
      </c>
      <c r="J194">
        <v>24</v>
      </c>
      <c r="K194" t="s">
        <v>326</v>
      </c>
      <c r="L194" t="s">
        <v>5699</v>
      </c>
      <c r="M194">
        <v>1444.6669999999999</v>
      </c>
      <c r="N194" t="s">
        <v>5858</v>
      </c>
      <c r="O194" t="s">
        <v>5857</v>
      </c>
      <c r="P194" t="s">
        <v>329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3137</v>
      </c>
      <c r="W194" t="s">
        <v>326</v>
      </c>
      <c r="X194">
        <v>1</v>
      </c>
      <c r="Y194" t="s">
        <v>3076</v>
      </c>
      <c r="Z194" t="s">
        <v>3065</v>
      </c>
      <c r="AA194" t="s">
        <v>2</v>
      </c>
      <c r="AB194" t="s">
        <v>3066</v>
      </c>
      <c r="AC194" t="s">
        <v>3070</v>
      </c>
      <c r="AD194" t="str">
        <f t="shared" si="19"/>
        <v>SPRG</v>
      </c>
      <c r="AE194" t="s">
        <v>6656</v>
      </c>
      <c r="AF194" t="s">
        <v>5859</v>
      </c>
    </row>
    <row r="195" spans="1:32" x14ac:dyDescent="0.3">
      <c r="A195" t="str">
        <f t="shared" ref="A195:A199" si="22">Y195</f>
        <v>Witmark</v>
      </c>
      <c r="B195">
        <v>408</v>
      </c>
      <c r="C195" t="s">
        <v>5816</v>
      </c>
      <c r="D195" t="s">
        <v>5831</v>
      </c>
      <c r="E195" t="s">
        <v>5830</v>
      </c>
      <c r="F195" t="s">
        <v>5826</v>
      </c>
      <c r="G195" t="s">
        <v>5825</v>
      </c>
      <c r="H195">
        <v>16.2</v>
      </c>
      <c r="I195" t="s">
        <v>5856</v>
      </c>
      <c r="J195">
        <v>1.0660000000000001</v>
      </c>
      <c r="K195" t="s">
        <v>326</v>
      </c>
      <c r="L195" t="s">
        <v>5855</v>
      </c>
      <c r="M195">
        <v>59.15</v>
      </c>
      <c r="N195" t="s">
        <v>5720</v>
      </c>
      <c r="O195" t="s">
        <v>5854</v>
      </c>
      <c r="P195" t="s">
        <v>329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329</v>
      </c>
      <c r="W195" t="s">
        <v>326</v>
      </c>
      <c r="X195">
        <v>0</v>
      </c>
      <c r="Y195" t="s">
        <v>3588</v>
      </c>
      <c r="Z195" t="s">
        <v>3577</v>
      </c>
      <c r="AA195" t="s">
        <v>3578</v>
      </c>
      <c r="AB195" t="s">
        <v>3579</v>
      </c>
      <c r="AC195" t="s">
        <v>3583</v>
      </c>
      <c r="AD195" t="str">
        <f>LEFT(I195,FIND(4,I195)-1)</f>
        <v>EXSA</v>
      </c>
      <c r="AE195" t="s">
        <v>6657</v>
      </c>
      <c r="AF195" t="s">
        <v>5856</v>
      </c>
    </row>
    <row r="196" spans="1:32" x14ac:dyDescent="0.3">
      <c r="A196" t="str">
        <f t="shared" si="22"/>
        <v>Dave Cooks</v>
      </c>
      <c r="B196">
        <v>408</v>
      </c>
      <c r="C196" t="s">
        <v>5816</v>
      </c>
      <c r="D196" t="s">
        <v>5831</v>
      </c>
      <c r="E196" t="s">
        <v>5830</v>
      </c>
      <c r="F196" t="s">
        <v>5853</v>
      </c>
      <c r="G196" t="s">
        <v>5852</v>
      </c>
      <c r="H196">
        <v>7.1</v>
      </c>
      <c r="I196" t="s">
        <v>5851</v>
      </c>
      <c r="J196">
        <v>18</v>
      </c>
      <c r="K196" t="s">
        <v>326</v>
      </c>
      <c r="L196" t="s">
        <v>5699</v>
      </c>
      <c r="M196">
        <v>540</v>
      </c>
      <c r="N196" t="s">
        <v>5850</v>
      </c>
      <c r="O196" t="s">
        <v>5849</v>
      </c>
      <c r="P196" t="s">
        <v>3655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3137</v>
      </c>
      <c r="W196" t="s">
        <v>326</v>
      </c>
      <c r="X196">
        <v>1</v>
      </c>
      <c r="Y196" t="s">
        <v>4538</v>
      </c>
      <c r="Z196" t="s">
        <v>4529</v>
      </c>
      <c r="AA196" t="s">
        <v>2</v>
      </c>
      <c r="AB196" t="s">
        <v>3367</v>
      </c>
      <c r="AC196" t="s">
        <v>4533</v>
      </c>
      <c r="AD196" t="str">
        <f t="shared" ref="AD196:AD199" si="23">IF(ISERR(LEFT(I196,FIND("-",I196)-1)),LEFT(I196,FIND(" ",I196)-1),LEFT(I196,FIND("-",I196)-1))</f>
        <v>SRWA</v>
      </c>
      <c r="AE196" t="s">
        <v>6658</v>
      </c>
      <c r="AF196" t="s">
        <v>5851</v>
      </c>
    </row>
    <row r="197" spans="1:32" x14ac:dyDescent="0.3">
      <c r="A197" t="str">
        <f t="shared" si="22"/>
        <v>Waccamaw Pottery</v>
      </c>
      <c r="B197">
        <v>408</v>
      </c>
      <c r="C197" t="s">
        <v>5816</v>
      </c>
      <c r="D197" t="s">
        <v>5831</v>
      </c>
      <c r="E197" t="s">
        <v>5830</v>
      </c>
      <c r="F197" t="s">
        <v>5848</v>
      </c>
      <c r="G197" t="s">
        <v>5847</v>
      </c>
      <c r="H197">
        <v>7.3</v>
      </c>
      <c r="I197" t="s">
        <v>5846</v>
      </c>
      <c r="J197">
        <v>7.819</v>
      </c>
      <c r="K197" t="s">
        <v>326</v>
      </c>
      <c r="L197" t="s">
        <v>5832</v>
      </c>
      <c r="M197">
        <v>252.40299999999999</v>
      </c>
      <c r="N197" t="s">
        <v>5712</v>
      </c>
      <c r="O197" t="s">
        <v>5845</v>
      </c>
      <c r="P197" t="s">
        <v>329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3137</v>
      </c>
      <c r="W197" t="s">
        <v>326</v>
      </c>
      <c r="X197">
        <v>1</v>
      </c>
      <c r="Y197" t="s">
        <v>4763</v>
      </c>
      <c r="Z197" t="s">
        <v>4754</v>
      </c>
      <c r="AA197" t="s">
        <v>3025</v>
      </c>
      <c r="AB197" t="s">
        <v>3026</v>
      </c>
      <c r="AC197" t="s">
        <v>4758</v>
      </c>
      <c r="AD197" t="str">
        <f>LEFT(I197,FIND(4,I197)-1)</f>
        <v>TTCL</v>
      </c>
      <c r="AE197" t="s">
        <v>6659</v>
      </c>
      <c r="AF197" t="s">
        <v>5846</v>
      </c>
    </row>
    <row r="198" spans="1:32" x14ac:dyDescent="0.3">
      <c r="A198" t="str">
        <f t="shared" si="22"/>
        <v>Dave Cooks</v>
      </c>
      <c r="B198">
        <v>408</v>
      </c>
      <c r="C198" t="s">
        <v>5816</v>
      </c>
      <c r="D198" t="s">
        <v>5831</v>
      </c>
      <c r="E198" t="s">
        <v>5830</v>
      </c>
      <c r="F198" t="s">
        <v>5844</v>
      </c>
      <c r="G198" t="s">
        <v>5843</v>
      </c>
      <c r="H198">
        <v>7.3</v>
      </c>
      <c r="I198" t="s">
        <v>5842</v>
      </c>
      <c r="J198">
        <v>12</v>
      </c>
      <c r="K198" t="s">
        <v>326</v>
      </c>
      <c r="L198" t="s">
        <v>5841</v>
      </c>
      <c r="M198">
        <v>361.5</v>
      </c>
      <c r="N198" t="s">
        <v>5840</v>
      </c>
      <c r="O198" t="s">
        <v>5839</v>
      </c>
      <c r="P198" t="s">
        <v>3655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3137</v>
      </c>
      <c r="W198" t="s">
        <v>326</v>
      </c>
      <c r="X198">
        <v>1</v>
      </c>
      <c r="Y198" t="s">
        <v>4538</v>
      </c>
      <c r="Z198" t="s">
        <v>4529</v>
      </c>
      <c r="AA198" t="s">
        <v>2</v>
      </c>
      <c r="AB198" t="s">
        <v>3367</v>
      </c>
      <c r="AC198" t="s">
        <v>4533</v>
      </c>
      <c r="AD198" t="str">
        <f t="shared" si="23"/>
        <v>SRWA</v>
      </c>
      <c r="AE198" t="s">
        <v>6658</v>
      </c>
      <c r="AF198" t="s">
        <v>5842</v>
      </c>
    </row>
    <row r="199" spans="1:32" x14ac:dyDescent="0.3">
      <c r="A199" t="str">
        <f t="shared" si="22"/>
        <v>Dave Cooks</v>
      </c>
      <c r="B199">
        <v>408</v>
      </c>
      <c r="C199" t="s">
        <v>5816</v>
      </c>
      <c r="D199" t="s">
        <v>5831</v>
      </c>
      <c r="E199" t="s">
        <v>5830</v>
      </c>
      <c r="F199" t="s">
        <v>5824</v>
      </c>
      <c r="G199" t="s">
        <v>5823</v>
      </c>
      <c r="H199">
        <v>7.3</v>
      </c>
      <c r="I199" t="s">
        <v>5838</v>
      </c>
      <c r="J199">
        <v>22</v>
      </c>
      <c r="K199" t="s">
        <v>326</v>
      </c>
      <c r="L199" t="s">
        <v>5699</v>
      </c>
      <c r="M199">
        <v>666.66700000000003</v>
      </c>
      <c r="N199" t="s">
        <v>5716</v>
      </c>
      <c r="O199" t="s">
        <v>5837</v>
      </c>
      <c r="P199" t="s">
        <v>3655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3137</v>
      </c>
      <c r="W199" t="s">
        <v>326</v>
      </c>
      <c r="X199">
        <v>1</v>
      </c>
      <c r="Y199" t="s">
        <v>4538</v>
      </c>
      <c r="Z199" t="s">
        <v>4529</v>
      </c>
      <c r="AA199" t="s">
        <v>2</v>
      </c>
      <c r="AB199" t="s">
        <v>3367</v>
      </c>
      <c r="AC199" t="s">
        <v>4533</v>
      </c>
      <c r="AD199" t="str">
        <f t="shared" si="23"/>
        <v>SRWA</v>
      </c>
      <c r="AE199" t="s">
        <v>6658</v>
      </c>
      <c r="AF199" t="s">
        <v>5838</v>
      </c>
    </row>
  </sheetData>
  <autoFilter ref="A1:AE199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50"/>
  <sheetViews>
    <sheetView workbookViewId="0">
      <pane ySplit="1" topLeftCell="A2" activePane="bottomLeft" state="frozen"/>
      <selection activeCell="A2" sqref="A2"/>
      <selection pane="bottomLeft" activeCell="G2" sqref="G2:G150"/>
    </sheetView>
  </sheetViews>
  <sheetFormatPr defaultRowHeight="14.4" x14ac:dyDescent="0.3"/>
  <sheetData>
    <row r="1" spans="1:39" x14ac:dyDescent="0.3">
      <c r="A1" t="s">
        <v>2958</v>
      </c>
      <c r="B1" t="s">
        <v>2959</v>
      </c>
      <c r="C1" t="s">
        <v>2960</v>
      </c>
      <c r="D1" t="s">
        <v>2961</v>
      </c>
      <c r="E1" t="s">
        <v>2962</v>
      </c>
      <c r="F1" t="s">
        <v>2963</v>
      </c>
      <c r="G1" t="s">
        <v>2964</v>
      </c>
      <c r="H1" t="s">
        <v>0</v>
      </c>
      <c r="I1" t="s">
        <v>2965</v>
      </c>
      <c r="J1" t="s">
        <v>2966</v>
      </c>
      <c r="K1" t="s">
        <v>2967</v>
      </c>
      <c r="L1" t="s">
        <v>2968</v>
      </c>
      <c r="M1" t="s">
        <v>2969</v>
      </c>
      <c r="N1" t="s">
        <v>2970</v>
      </c>
      <c r="O1" t="s">
        <v>2971</v>
      </c>
      <c r="P1" t="s">
        <v>2972</v>
      </c>
      <c r="Q1" t="s">
        <v>2973</v>
      </c>
      <c r="R1" t="s">
        <v>2974</v>
      </c>
      <c r="S1" t="s">
        <v>2975</v>
      </c>
      <c r="T1" t="s">
        <v>2976</v>
      </c>
      <c r="U1" t="s">
        <v>2977</v>
      </c>
      <c r="V1" t="s">
        <v>2978</v>
      </c>
      <c r="W1" t="s">
        <v>2979</v>
      </c>
      <c r="X1" t="s">
        <v>2980</v>
      </c>
      <c r="Y1" t="s">
        <v>2981</v>
      </c>
      <c r="Z1" t="s">
        <v>2982</v>
      </c>
      <c r="AA1" t="s">
        <v>2983</v>
      </c>
      <c r="AB1" t="s">
        <v>2984</v>
      </c>
      <c r="AC1" t="s">
        <v>2985</v>
      </c>
      <c r="AD1" t="s">
        <v>2986</v>
      </c>
      <c r="AE1" t="s">
        <v>2987</v>
      </c>
      <c r="AF1" t="s">
        <v>2988</v>
      </c>
      <c r="AG1" t="s">
        <v>2989</v>
      </c>
      <c r="AH1" t="s">
        <v>2990</v>
      </c>
      <c r="AI1" t="s">
        <v>2991</v>
      </c>
      <c r="AJ1" t="s">
        <v>2992</v>
      </c>
      <c r="AK1" t="s">
        <v>2993</v>
      </c>
      <c r="AL1" t="s">
        <v>6673</v>
      </c>
      <c r="AM1" t="s">
        <v>6674</v>
      </c>
    </row>
    <row r="2" spans="1:39" x14ac:dyDescent="0.3">
      <c r="A2">
        <v>9</v>
      </c>
      <c r="B2" t="s">
        <v>2994</v>
      </c>
      <c r="C2" t="s">
        <v>2995</v>
      </c>
      <c r="D2" t="s">
        <v>2996</v>
      </c>
      <c r="E2" t="s">
        <v>2997</v>
      </c>
      <c r="F2" t="s">
        <v>2998</v>
      </c>
      <c r="G2" t="s">
        <v>2999</v>
      </c>
      <c r="H2" t="s">
        <v>2</v>
      </c>
      <c r="I2" t="s">
        <v>3000</v>
      </c>
      <c r="J2" t="s">
        <v>3001</v>
      </c>
      <c r="K2" t="s">
        <v>3002</v>
      </c>
      <c r="L2" t="s">
        <v>3003</v>
      </c>
      <c r="M2" t="s">
        <v>3004</v>
      </c>
      <c r="N2" t="s">
        <v>3005</v>
      </c>
      <c r="O2" t="s">
        <v>3006</v>
      </c>
      <c r="P2" t="s">
        <v>3007</v>
      </c>
      <c r="Q2" t="s">
        <v>3008</v>
      </c>
      <c r="R2">
        <v>18148</v>
      </c>
      <c r="S2" t="s">
        <v>3009</v>
      </c>
      <c r="T2">
        <v>4556229803844510</v>
      </c>
      <c r="U2">
        <v>122</v>
      </c>
      <c r="V2">
        <v>42125</v>
      </c>
      <c r="W2" t="s">
        <v>3010</v>
      </c>
      <c r="X2" t="s">
        <v>3011</v>
      </c>
      <c r="Y2" t="s">
        <v>3012</v>
      </c>
      <c r="Z2" t="s">
        <v>3013</v>
      </c>
      <c r="AA2" t="s">
        <v>3014</v>
      </c>
      <c r="AB2" t="s">
        <v>3015</v>
      </c>
      <c r="AC2" t="s">
        <v>3016</v>
      </c>
      <c r="AD2" t="s">
        <v>3017</v>
      </c>
      <c r="AE2">
        <v>166.3</v>
      </c>
      <c r="AF2">
        <v>75.599999999999994</v>
      </c>
      <c r="AG2" t="s">
        <v>3018</v>
      </c>
      <c r="AH2">
        <v>185</v>
      </c>
      <c r="AI2" t="s">
        <v>3019</v>
      </c>
      <c r="AJ2">
        <v>48.343285000000002</v>
      </c>
      <c r="AK2">
        <v>-123.398304</v>
      </c>
      <c r="AL2" t="str">
        <f>CONCATENATE(Names!D2," ",Names!F2)</f>
        <v>Brad Smith</v>
      </c>
      <c r="AM2" t="s">
        <v>6675</v>
      </c>
    </row>
    <row r="3" spans="1:39" x14ac:dyDescent="0.3">
      <c r="A3">
        <v>12</v>
      </c>
      <c r="B3" t="s">
        <v>3020</v>
      </c>
      <c r="C3" t="s">
        <v>3021</v>
      </c>
      <c r="D3" t="s">
        <v>3022</v>
      </c>
      <c r="E3" t="s">
        <v>324</v>
      </c>
      <c r="F3" t="s">
        <v>3023</v>
      </c>
      <c r="G3" t="s">
        <v>3024</v>
      </c>
      <c r="H3" t="s">
        <v>3025</v>
      </c>
      <c r="I3" t="s">
        <v>3000</v>
      </c>
      <c r="J3" t="s">
        <v>3026</v>
      </c>
      <c r="K3" t="s">
        <v>3002</v>
      </c>
      <c r="L3" t="s">
        <v>3003</v>
      </c>
      <c r="M3" t="s">
        <v>3027</v>
      </c>
      <c r="N3" t="s">
        <v>3028</v>
      </c>
      <c r="O3" t="s">
        <v>3029</v>
      </c>
      <c r="P3" t="s">
        <v>3030</v>
      </c>
      <c r="Q3" t="s">
        <v>3031</v>
      </c>
      <c r="R3">
        <v>22068</v>
      </c>
      <c r="S3" t="s">
        <v>3032</v>
      </c>
      <c r="T3">
        <v>5272052098916060</v>
      </c>
      <c r="U3">
        <v>640</v>
      </c>
      <c r="V3">
        <v>42979</v>
      </c>
      <c r="W3" t="s">
        <v>3033</v>
      </c>
      <c r="X3" t="s">
        <v>3034</v>
      </c>
      <c r="Y3" t="s">
        <v>3035</v>
      </c>
      <c r="Z3" t="s">
        <v>3036</v>
      </c>
      <c r="AA3" t="s">
        <v>3037</v>
      </c>
      <c r="AB3" t="s">
        <v>3038</v>
      </c>
      <c r="AC3" t="s">
        <v>3039</v>
      </c>
      <c r="AD3" t="s">
        <v>3040</v>
      </c>
      <c r="AE3">
        <v>181.3</v>
      </c>
      <c r="AF3">
        <v>82.4</v>
      </c>
      <c r="AG3" t="s">
        <v>3041</v>
      </c>
      <c r="AH3">
        <v>155</v>
      </c>
      <c r="AI3" t="s">
        <v>3042</v>
      </c>
      <c r="AJ3">
        <v>50.186095999999999</v>
      </c>
      <c r="AK3">
        <v>-122.90684400000001</v>
      </c>
      <c r="AL3" t="str">
        <f>CONCATENATE(Names!D3," ",Names!F3)</f>
        <v>Judy Holbert</v>
      </c>
      <c r="AM3" t="s">
        <v>6676</v>
      </c>
    </row>
    <row r="4" spans="1:39" x14ac:dyDescent="0.3">
      <c r="A4">
        <v>27</v>
      </c>
      <c r="B4" t="s">
        <v>2994</v>
      </c>
      <c r="C4" t="s">
        <v>2995</v>
      </c>
      <c r="D4" t="s">
        <v>3043</v>
      </c>
      <c r="E4" t="s">
        <v>328</v>
      </c>
      <c r="F4" t="s">
        <v>3044</v>
      </c>
      <c r="G4" t="s">
        <v>3045</v>
      </c>
      <c r="H4" t="s">
        <v>3046</v>
      </c>
      <c r="I4" t="s">
        <v>3000</v>
      </c>
      <c r="J4" t="s">
        <v>3047</v>
      </c>
      <c r="K4" t="s">
        <v>3002</v>
      </c>
      <c r="L4" t="s">
        <v>3003</v>
      </c>
      <c r="M4" t="s">
        <v>3048</v>
      </c>
      <c r="N4" t="s">
        <v>3049</v>
      </c>
      <c r="O4" t="s">
        <v>3050</v>
      </c>
      <c r="P4" t="s">
        <v>3051</v>
      </c>
      <c r="Q4" t="s">
        <v>3052</v>
      </c>
      <c r="R4">
        <v>15391</v>
      </c>
      <c r="S4" t="s">
        <v>3009</v>
      </c>
      <c r="T4">
        <v>4485343687549940</v>
      </c>
      <c r="U4">
        <v>408</v>
      </c>
      <c r="V4">
        <v>42644</v>
      </c>
      <c r="W4" t="s">
        <v>3053</v>
      </c>
      <c r="X4" t="s">
        <v>3054</v>
      </c>
      <c r="Y4" t="s">
        <v>3012</v>
      </c>
      <c r="Z4" t="s">
        <v>3055</v>
      </c>
      <c r="AA4" t="s">
        <v>3056</v>
      </c>
      <c r="AB4" t="s">
        <v>3057</v>
      </c>
      <c r="AC4" t="s">
        <v>3058</v>
      </c>
      <c r="AD4" t="s">
        <v>3059</v>
      </c>
      <c r="AE4">
        <v>164.6</v>
      </c>
      <c r="AF4">
        <v>74.8</v>
      </c>
      <c r="AG4" t="s">
        <v>3060</v>
      </c>
      <c r="AH4">
        <v>176</v>
      </c>
      <c r="AI4" t="s">
        <v>3061</v>
      </c>
      <c r="AJ4">
        <v>49.832746999999998</v>
      </c>
      <c r="AK4">
        <v>-121.430223</v>
      </c>
      <c r="AL4" t="str">
        <f>CONCATENATE(Names!D4," ",Names!F4)</f>
        <v>Clayton McCullough</v>
      </c>
      <c r="AM4" t="s">
        <v>6677</v>
      </c>
    </row>
    <row r="5" spans="1:39" x14ac:dyDescent="0.3">
      <c r="A5">
        <v>38</v>
      </c>
      <c r="B5" t="s">
        <v>3020</v>
      </c>
      <c r="C5" t="s">
        <v>3062</v>
      </c>
      <c r="D5" t="s">
        <v>3063</v>
      </c>
      <c r="E5" t="s">
        <v>2997</v>
      </c>
      <c r="F5" t="s">
        <v>3064</v>
      </c>
      <c r="G5" t="s">
        <v>3065</v>
      </c>
      <c r="H5" t="s">
        <v>2</v>
      </c>
      <c r="I5" t="s">
        <v>3000</v>
      </c>
      <c r="J5" t="s">
        <v>3066</v>
      </c>
      <c r="K5" t="s">
        <v>3002</v>
      </c>
      <c r="L5" t="s">
        <v>3003</v>
      </c>
      <c r="M5" t="s">
        <v>3067</v>
      </c>
      <c r="N5" t="s">
        <v>3068</v>
      </c>
      <c r="O5" t="s">
        <v>3069</v>
      </c>
      <c r="P5" t="s">
        <v>3070</v>
      </c>
      <c r="Q5" t="s">
        <v>3071</v>
      </c>
      <c r="R5">
        <v>30584</v>
      </c>
      <c r="S5" t="s">
        <v>3009</v>
      </c>
      <c r="T5">
        <v>4929519050724580</v>
      </c>
      <c r="U5">
        <v>746</v>
      </c>
      <c r="V5">
        <v>43070</v>
      </c>
      <c r="W5" t="s">
        <v>3072</v>
      </c>
      <c r="X5" t="s">
        <v>3073</v>
      </c>
      <c r="Y5" t="s">
        <v>3074</v>
      </c>
      <c r="Z5" t="s">
        <v>3075</v>
      </c>
      <c r="AA5" t="s">
        <v>3076</v>
      </c>
      <c r="AB5" t="s">
        <v>3077</v>
      </c>
      <c r="AC5" t="s">
        <v>3078</v>
      </c>
      <c r="AD5" t="s">
        <v>3059</v>
      </c>
      <c r="AE5">
        <v>177.5</v>
      </c>
      <c r="AF5">
        <v>80.7</v>
      </c>
      <c r="AG5" t="s">
        <v>3079</v>
      </c>
      <c r="AH5">
        <v>157</v>
      </c>
      <c r="AI5" t="s">
        <v>3080</v>
      </c>
      <c r="AJ5">
        <v>48.349907999999999</v>
      </c>
      <c r="AK5">
        <v>-123.43913999999999</v>
      </c>
      <c r="AL5" t="str">
        <f>CONCATENATE(Names!D5," ",Names!F5)</f>
        <v>Betty Tacker</v>
      </c>
      <c r="AM5" t="s">
        <v>6678</v>
      </c>
    </row>
    <row r="6" spans="1:39" x14ac:dyDescent="0.3">
      <c r="A6">
        <v>46</v>
      </c>
      <c r="B6" t="s">
        <v>3020</v>
      </c>
      <c r="C6" t="s">
        <v>3021</v>
      </c>
      <c r="D6" t="s">
        <v>3081</v>
      </c>
      <c r="E6" t="s">
        <v>100</v>
      </c>
      <c r="F6" t="s">
        <v>3082</v>
      </c>
      <c r="G6" t="s">
        <v>3083</v>
      </c>
      <c r="H6" t="s">
        <v>3084</v>
      </c>
      <c r="I6" t="s">
        <v>3000</v>
      </c>
      <c r="J6" t="s">
        <v>3085</v>
      </c>
      <c r="K6" t="s">
        <v>3002</v>
      </c>
      <c r="L6" t="s">
        <v>3003</v>
      </c>
      <c r="M6" t="s">
        <v>3086</v>
      </c>
      <c r="N6" t="s">
        <v>3087</v>
      </c>
      <c r="O6" t="s">
        <v>3088</v>
      </c>
      <c r="P6" t="s">
        <v>3089</v>
      </c>
      <c r="Q6" t="s">
        <v>3090</v>
      </c>
      <c r="R6">
        <v>18924</v>
      </c>
      <c r="S6" t="s">
        <v>3009</v>
      </c>
      <c r="T6">
        <v>4929390470025680</v>
      </c>
      <c r="U6">
        <v>124</v>
      </c>
      <c r="V6">
        <v>43313</v>
      </c>
      <c r="W6" t="s">
        <v>3091</v>
      </c>
      <c r="X6" t="s">
        <v>3092</v>
      </c>
      <c r="Y6" t="s">
        <v>3074</v>
      </c>
      <c r="Z6" t="s">
        <v>3093</v>
      </c>
      <c r="AA6" t="s">
        <v>3094</v>
      </c>
      <c r="AB6" t="s">
        <v>3095</v>
      </c>
      <c r="AC6" t="s">
        <v>3096</v>
      </c>
      <c r="AD6" t="s">
        <v>3097</v>
      </c>
      <c r="AE6">
        <v>226.4</v>
      </c>
      <c r="AF6">
        <v>102.9</v>
      </c>
      <c r="AG6" t="s">
        <v>3098</v>
      </c>
      <c r="AH6">
        <v>168</v>
      </c>
      <c r="AI6" t="s">
        <v>3099</v>
      </c>
      <c r="AJ6">
        <v>50.158667999999999</v>
      </c>
      <c r="AK6">
        <v>-124.861885</v>
      </c>
      <c r="AL6" t="str">
        <f>CONCATENATE(Names!D6," ",Names!F6)</f>
        <v>Gayle York</v>
      </c>
      <c r="AM6" t="s">
        <v>6679</v>
      </c>
    </row>
    <row r="7" spans="1:39" x14ac:dyDescent="0.3">
      <c r="A7">
        <v>48</v>
      </c>
      <c r="B7" t="s">
        <v>2994</v>
      </c>
      <c r="C7" t="s">
        <v>2995</v>
      </c>
      <c r="D7" t="s">
        <v>3100</v>
      </c>
      <c r="E7" t="s">
        <v>3101</v>
      </c>
      <c r="F7" t="s">
        <v>3102</v>
      </c>
      <c r="G7" t="s">
        <v>3103</v>
      </c>
      <c r="H7" t="s">
        <v>3104</v>
      </c>
      <c r="I7" t="s">
        <v>3000</v>
      </c>
      <c r="J7" t="s">
        <v>3105</v>
      </c>
      <c r="K7" t="s">
        <v>3002</v>
      </c>
      <c r="L7" t="s">
        <v>3003</v>
      </c>
      <c r="M7" t="s">
        <v>3106</v>
      </c>
      <c r="N7" t="s">
        <v>3107</v>
      </c>
      <c r="O7" t="s">
        <v>3108</v>
      </c>
      <c r="P7" t="s">
        <v>3109</v>
      </c>
      <c r="Q7" t="s">
        <v>3110</v>
      </c>
      <c r="R7">
        <v>21412</v>
      </c>
      <c r="S7" t="s">
        <v>3009</v>
      </c>
      <c r="T7">
        <v>4485044893729420</v>
      </c>
      <c r="U7">
        <v>687</v>
      </c>
      <c r="V7">
        <v>42856</v>
      </c>
      <c r="W7" t="s">
        <v>3111</v>
      </c>
      <c r="X7" t="s">
        <v>3112</v>
      </c>
      <c r="Y7" t="s">
        <v>3012</v>
      </c>
      <c r="Z7" t="s">
        <v>3113</v>
      </c>
      <c r="AA7" t="s">
        <v>3114</v>
      </c>
      <c r="AB7" t="s">
        <v>3115</v>
      </c>
      <c r="AC7" t="s">
        <v>3116</v>
      </c>
      <c r="AD7" t="s">
        <v>3059</v>
      </c>
      <c r="AE7">
        <v>150.5</v>
      </c>
      <c r="AF7">
        <v>68.400000000000006</v>
      </c>
      <c r="AG7" t="s">
        <v>3018</v>
      </c>
      <c r="AH7">
        <v>186</v>
      </c>
      <c r="AI7" t="s">
        <v>3117</v>
      </c>
      <c r="AJ7">
        <v>49.149808</v>
      </c>
      <c r="AK7">
        <v>-122.388766</v>
      </c>
      <c r="AL7" t="str">
        <f>CONCATENATE(Names!D7," ",Names!F7)</f>
        <v>Brian Healey</v>
      </c>
      <c r="AM7" t="s">
        <v>6680</v>
      </c>
    </row>
    <row r="8" spans="1:39" x14ac:dyDescent="0.3">
      <c r="A8">
        <v>50</v>
      </c>
      <c r="B8" t="s">
        <v>3020</v>
      </c>
      <c r="C8" t="s">
        <v>3062</v>
      </c>
      <c r="D8" t="s">
        <v>3118</v>
      </c>
      <c r="E8" t="s">
        <v>322</v>
      </c>
      <c r="F8" t="s">
        <v>3119</v>
      </c>
      <c r="G8" t="s">
        <v>3120</v>
      </c>
      <c r="H8" t="s">
        <v>19</v>
      </c>
      <c r="I8" t="s">
        <v>3000</v>
      </c>
      <c r="J8" t="s">
        <v>3121</v>
      </c>
      <c r="K8" t="s">
        <v>3002</v>
      </c>
      <c r="L8" t="s">
        <v>3003</v>
      </c>
      <c r="M8" t="s">
        <v>3122</v>
      </c>
      <c r="N8" t="s">
        <v>3123</v>
      </c>
      <c r="O8" t="s">
        <v>3124</v>
      </c>
      <c r="P8" t="s">
        <v>3125</v>
      </c>
      <c r="Q8" t="s">
        <v>3126</v>
      </c>
      <c r="R8">
        <v>29287</v>
      </c>
      <c r="S8" t="s">
        <v>3032</v>
      </c>
      <c r="T8">
        <v>5455154127820680</v>
      </c>
      <c r="U8">
        <v>706</v>
      </c>
      <c r="V8">
        <v>43160</v>
      </c>
      <c r="W8" t="s">
        <v>3127</v>
      </c>
      <c r="X8" t="s">
        <v>3128</v>
      </c>
      <c r="Y8" t="s">
        <v>3012</v>
      </c>
      <c r="Z8" t="s">
        <v>3129</v>
      </c>
      <c r="AA8" t="s">
        <v>3130</v>
      </c>
      <c r="AB8" t="s">
        <v>3131</v>
      </c>
      <c r="AC8" t="s">
        <v>3132</v>
      </c>
      <c r="AD8" t="s">
        <v>3133</v>
      </c>
      <c r="AE8">
        <v>172.9</v>
      </c>
      <c r="AF8">
        <v>78.599999999999994</v>
      </c>
      <c r="AG8" t="s">
        <v>3134</v>
      </c>
      <c r="AH8">
        <v>165</v>
      </c>
      <c r="AI8" t="s">
        <v>3135</v>
      </c>
      <c r="AJ8">
        <v>49.225717000000003</v>
      </c>
      <c r="AK8">
        <v>-123.096645</v>
      </c>
      <c r="AL8" t="str">
        <f>CONCATENATE(Names!D8," ",Names!F8)</f>
        <v>Rosa Mayer</v>
      </c>
      <c r="AM8" t="s">
        <v>6681</v>
      </c>
    </row>
    <row r="9" spans="1:39" x14ac:dyDescent="0.3">
      <c r="A9">
        <v>55</v>
      </c>
      <c r="B9" t="s">
        <v>2994</v>
      </c>
      <c r="C9" t="s">
        <v>2995</v>
      </c>
      <c r="D9" t="s">
        <v>3136</v>
      </c>
      <c r="E9" t="s">
        <v>3137</v>
      </c>
      <c r="F9" t="s">
        <v>3138</v>
      </c>
      <c r="G9" t="s">
        <v>3139</v>
      </c>
      <c r="H9" t="s">
        <v>3140</v>
      </c>
      <c r="I9" t="s">
        <v>3000</v>
      </c>
      <c r="J9" t="s">
        <v>3141</v>
      </c>
      <c r="K9" t="s">
        <v>3002</v>
      </c>
      <c r="L9" t="s">
        <v>3003</v>
      </c>
      <c r="M9" t="s">
        <v>3142</v>
      </c>
      <c r="N9" t="s">
        <v>3143</v>
      </c>
      <c r="O9" t="s">
        <v>3144</v>
      </c>
      <c r="P9" t="s">
        <v>3145</v>
      </c>
      <c r="Q9" t="s">
        <v>3146</v>
      </c>
      <c r="R9">
        <v>21706</v>
      </c>
      <c r="S9" t="s">
        <v>3009</v>
      </c>
      <c r="T9">
        <v>4916042802020680</v>
      </c>
      <c r="U9">
        <v>824</v>
      </c>
      <c r="V9">
        <v>43191</v>
      </c>
      <c r="W9" t="s">
        <v>3147</v>
      </c>
      <c r="X9" t="s">
        <v>3148</v>
      </c>
      <c r="Y9" t="s">
        <v>3012</v>
      </c>
      <c r="Z9" t="s">
        <v>3149</v>
      </c>
      <c r="AA9" t="s">
        <v>3150</v>
      </c>
      <c r="AB9" t="s">
        <v>3151</v>
      </c>
      <c r="AC9" t="s">
        <v>3152</v>
      </c>
      <c r="AD9" t="s">
        <v>3153</v>
      </c>
      <c r="AE9">
        <v>208.6</v>
      </c>
      <c r="AF9">
        <v>94.8</v>
      </c>
      <c r="AG9" t="s">
        <v>3098</v>
      </c>
      <c r="AH9">
        <v>168</v>
      </c>
      <c r="AI9" t="s">
        <v>3154</v>
      </c>
      <c r="AJ9">
        <v>49.918469000000002</v>
      </c>
      <c r="AK9">
        <v>-119.46439100000001</v>
      </c>
      <c r="AL9" t="str">
        <f>CONCATENATE(Names!D9," ",Names!F9)</f>
        <v>Albert Mills</v>
      </c>
      <c r="AM9" t="s">
        <v>6682</v>
      </c>
    </row>
    <row r="10" spans="1:39" x14ac:dyDescent="0.3">
      <c r="A10">
        <v>56</v>
      </c>
      <c r="B10" t="s">
        <v>3020</v>
      </c>
      <c r="C10" t="s">
        <v>3062</v>
      </c>
      <c r="D10" t="s">
        <v>3155</v>
      </c>
      <c r="E10" t="s">
        <v>3156</v>
      </c>
      <c r="F10" t="s">
        <v>3157</v>
      </c>
      <c r="G10" t="s">
        <v>3158</v>
      </c>
      <c r="H10" t="s">
        <v>19</v>
      </c>
      <c r="I10" t="s">
        <v>3000</v>
      </c>
      <c r="J10" t="s">
        <v>41</v>
      </c>
      <c r="K10" t="s">
        <v>3002</v>
      </c>
      <c r="L10" t="s">
        <v>3003</v>
      </c>
      <c r="M10" t="s">
        <v>3159</v>
      </c>
      <c r="N10" t="s">
        <v>3160</v>
      </c>
      <c r="O10" t="s">
        <v>3161</v>
      </c>
      <c r="P10" t="s">
        <v>3162</v>
      </c>
      <c r="Q10" t="s">
        <v>3163</v>
      </c>
      <c r="R10">
        <v>26934</v>
      </c>
      <c r="S10" t="s">
        <v>3032</v>
      </c>
      <c r="T10">
        <v>5501171180516120</v>
      </c>
      <c r="U10">
        <v>426</v>
      </c>
      <c r="V10">
        <v>43070</v>
      </c>
      <c r="W10" t="s">
        <v>3164</v>
      </c>
      <c r="X10" t="s">
        <v>3165</v>
      </c>
      <c r="Y10" t="s">
        <v>3166</v>
      </c>
      <c r="Z10" t="s">
        <v>3167</v>
      </c>
      <c r="AA10" t="s">
        <v>3168</v>
      </c>
      <c r="AB10" t="s">
        <v>3169</v>
      </c>
      <c r="AC10" t="s">
        <v>3170</v>
      </c>
      <c r="AD10" t="s">
        <v>3059</v>
      </c>
      <c r="AE10">
        <v>225.1</v>
      </c>
      <c r="AF10">
        <v>102.3</v>
      </c>
      <c r="AG10" t="s">
        <v>3171</v>
      </c>
      <c r="AH10">
        <v>173</v>
      </c>
      <c r="AI10" t="s">
        <v>3172</v>
      </c>
      <c r="AJ10">
        <v>49.276167999999998</v>
      </c>
      <c r="AK10">
        <v>-123.141111</v>
      </c>
      <c r="AL10" t="str">
        <f>CONCATENATE(Names!D10," ",Names!F10)</f>
        <v>Cynthia Whipple</v>
      </c>
      <c r="AM10" t="s">
        <v>6683</v>
      </c>
    </row>
    <row r="11" spans="1:39" x14ac:dyDescent="0.3">
      <c r="A11">
        <v>58</v>
      </c>
      <c r="B11" t="s">
        <v>2994</v>
      </c>
      <c r="C11" t="s">
        <v>2995</v>
      </c>
      <c r="D11" t="s">
        <v>3173</v>
      </c>
      <c r="E11" t="s">
        <v>322</v>
      </c>
      <c r="F11" t="s">
        <v>3174</v>
      </c>
      <c r="G11" t="s">
        <v>3175</v>
      </c>
      <c r="H11" t="s">
        <v>3176</v>
      </c>
      <c r="I11" t="s">
        <v>3000</v>
      </c>
      <c r="J11" t="s">
        <v>3177</v>
      </c>
      <c r="K11" t="s">
        <v>3002</v>
      </c>
      <c r="L11" t="s">
        <v>3003</v>
      </c>
      <c r="M11" t="s">
        <v>3178</v>
      </c>
      <c r="N11" t="s">
        <v>3179</v>
      </c>
      <c r="O11" t="s">
        <v>3180</v>
      </c>
      <c r="P11" t="s">
        <v>3181</v>
      </c>
      <c r="Q11" t="s">
        <v>3182</v>
      </c>
      <c r="R11">
        <v>21621</v>
      </c>
      <c r="S11" t="s">
        <v>3032</v>
      </c>
      <c r="T11">
        <v>5176627530133580</v>
      </c>
      <c r="U11">
        <v>969</v>
      </c>
      <c r="V11">
        <v>43770</v>
      </c>
      <c r="W11" t="s">
        <v>3183</v>
      </c>
      <c r="X11" t="s">
        <v>3184</v>
      </c>
      <c r="Y11" t="s">
        <v>3012</v>
      </c>
      <c r="Z11" t="s">
        <v>3185</v>
      </c>
      <c r="AA11" t="s">
        <v>3186</v>
      </c>
      <c r="AB11" t="s">
        <v>3187</v>
      </c>
      <c r="AC11" t="s">
        <v>3188</v>
      </c>
      <c r="AD11" t="s">
        <v>3153</v>
      </c>
      <c r="AE11">
        <v>250.4</v>
      </c>
      <c r="AF11">
        <v>113.8</v>
      </c>
      <c r="AG11" t="s">
        <v>3189</v>
      </c>
      <c r="AH11">
        <v>184</v>
      </c>
      <c r="AI11" t="s">
        <v>3190</v>
      </c>
      <c r="AJ11">
        <v>49.084206000000002</v>
      </c>
      <c r="AK11">
        <v>-121.928704</v>
      </c>
      <c r="AL11" t="str">
        <f>CONCATENATE(Names!D11," ",Names!F11)</f>
        <v>Michael Washington</v>
      </c>
      <c r="AM11" t="s">
        <v>6684</v>
      </c>
    </row>
    <row r="12" spans="1:39" x14ac:dyDescent="0.3">
      <c r="A12">
        <v>66</v>
      </c>
      <c r="B12" t="s">
        <v>3020</v>
      </c>
      <c r="C12" t="s">
        <v>3021</v>
      </c>
      <c r="D12" t="s">
        <v>3191</v>
      </c>
      <c r="E12" t="s">
        <v>3156</v>
      </c>
      <c r="F12" t="s">
        <v>3192</v>
      </c>
      <c r="G12" t="s">
        <v>3193</v>
      </c>
      <c r="H12" t="s">
        <v>3194</v>
      </c>
      <c r="I12" t="s">
        <v>3000</v>
      </c>
      <c r="J12" t="s">
        <v>3195</v>
      </c>
      <c r="K12" t="s">
        <v>3002</v>
      </c>
      <c r="L12" t="s">
        <v>3003</v>
      </c>
      <c r="M12" t="s">
        <v>3196</v>
      </c>
      <c r="N12" t="s">
        <v>3197</v>
      </c>
      <c r="O12" t="s">
        <v>3198</v>
      </c>
      <c r="P12" t="s">
        <v>3199</v>
      </c>
      <c r="Q12" t="s">
        <v>3200</v>
      </c>
      <c r="R12">
        <v>14587</v>
      </c>
      <c r="S12" t="s">
        <v>3032</v>
      </c>
      <c r="T12">
        <v>5500353859563750</v>
      </c>
      <c r="U12">
        <v>575</v>
      </c>
      <c r="V12">
        <v>43282</v>
      </c>
      <c r="W12" t="s">
        <v>3201</v>
      </c>
      <c r="X12" t="s">
        <v>3202</v>
      </c>
      <c r="Y12" t="s">
        <v>3074</v>
      </c>
      <c r="Z12" t="s">
        <v>3203</v>
      </c>
      <c r="AA12" t="s">
        <v>3204</v>
      </c>
      <c r="AB12" t="s">
        <v>3205</v>
      </c>
      <c r="AC12" t="s">
        <v>3206</v>
      </c>
      <c r="AD12" t="s">
        <v>3097</v>
      </c>
      <c r="AE12">
        <v>214.5</v>
      </c>
      <c r="AF12">
        <v>97.5</v>
      </c>
      <c r="AG12" t="s">
        <v>3207</v>
      </c>
      <c r="AH12">
        <v>170</v>
      </c>
      <c r="AI12" t="s">
        <v>3208</v>
      </c>
      <c r="AJ12">
        <v>49.389220999999999</v>
      </c>
      <c r="AK12">
        <v>-121.38471699999999</v>
      </c>
      <c r="AL12" t="str">
        <f>CONCATENATE(Names!D12," ",Names!F12)</f>
        <v>Sarah Ward</v>
      </c>
      <c r="AM12" t="s">
        <v>6685</v>
      </c>
    </row>
    <row r="13" spans="1:39" x14ac:dyDescent="0.3">
      <c r="A13">
        <v>67</v>
      </c>
      <c r="B13" t="s">
        <v>2994</v>
      </c>
      <c r="C13" t="s">
        <v>2995</v>
      </c>
      <c r="D13" t="s">
        <v>3209</v>
      </c>
      <c r="E13" t="s">
        <v>322</v>
      </c>
      <c r="F13" t="s">
        <v>3210</v>
      </c>
      <c r="G13" t="s">
        <v>3211</v>
      </c>
      <c r="H13" t="s">
        <v>3212</v>
      </c>
      <c r="I13" t="s">
        <v>3000</v>
      </c>
      <c r="J13" t="s">
        <v>3213</v>
      </c>
      <c r="K13" t="s">
        <v>3002</v>
      </c>
      <c r="L13" t="s">
        <v>3003</v>
      </c>
      <c r="M13" t="s">
        <v>3214</v>
      </c>
      <c r="N13" t="s">
        <v>3215</v>
      </c>
      <c r="O13" t="s">
        <v>3216</v>
      </c>
      <c r="P13" t="s">
        <v>3217</v>
      </c>
      <c r="Q13" t="s">
        <v>3218</v>
      </c>
      <c r="R13">
        <v>34450</v>
      </c>
      <c r="S13" t="s">
        <v>3009</v>
      </c>
      <c r="T13">
        <v>4556389088802860</v>
      </c>
      <c r="U13">
        <v>478</v>
      </c>
      <c r="V13">
        <v>43800</v>
      </c>
      <c r="W13" t="s">
        <v>3219</v>
      </c>
      <c r="X13" t="s">
        <v>3220</v>
      </c>
      <c r="Y13" t="s">
        <v>3221</v>
      </c>
      <c r="Z13" t="s">
        <v>3222</v>
      </c>
      <c r="AA13" t="s">
        <v>3223</v>
      </c>
      <c r="AB13" t="s">
        <v>3224</v>
      </c>
      <c r="AC13" t="s">
        <v>3225</v>
      </c>
      <c r="AD13" t="s">
        <v>3097</v>
      </c>
      <c r="AE13">
        <v>151.6</v>
      </c>
      <c r="AF13">
        <v>68.900000000000006</v>
      </c>
      <c r="AG13" t="s">
        <v>3207</v>
      </c>
      <c r="AH13">
        <v>171</v>
      </c>
      <c r="AI13" t="s">
        <v>3226</v>
      </c>
      <c r="AJ13">
        <v>50.251697</v>
      </c>
      <c r="AK13">
        <v>-125.976403</v>
      </c>
      <c r="AL13" t="str">
        <f>CONCATENATE(Names!D13," ",Names!F13)</f>
        <v>Harry Solomon</v>
      </c>
      <c r="AM13" t="s">
        <v>6686</v>
      </c>
    </row>
    <row r="14" spans="1:39" x14ac:dyDescent="0.3">
      <c r="A14">
        <v>77</v>
      </c>
      <c r="B14" t="s">
        <v>3020</v>
      </c>
      <c r="C14" t="s">
        <v>3021</v>
      </c>
      <c r="D14" t="s">
        <v>3227</v>
      </c>
      <c r="E14" t="s">
        <v>323</v>
      </c>
      <c r="F14" t="s">
        <v>3138</v>
      </c>
      <c r="G14" t="s">
        <v>3228</v>
      </c>
      <c r="H14" t="s">
        <v>3229</v>
      </c>
      <c r="I14" t="s">
        <v>3000</v>
      </c>
      <c r="J14" t="s">
        <v>3230</v>
      </c>
      <c r="K14" t="s">
        <v>3002</v>
      </c>
      <c r="L14" t="s">
        <v>3003</v>
      </c>
      <c r="M14" t="s">
        <v>3231</v>
      </c>
      <c r="N14" t="s">
        <v>3232</v>
      </c>
      <c r="O14" t="s">
        <v>3233</v>
      </c>
      <c r="P14" t="s">
        <v>3234</v>
      </c>
      <c r="Q14" t="s">
        <v>3235</v>
      </c>
      <c r="R14">
        <v>28007</v>
      </c>
      <c r="S14" t="s">
        <v>3032</v>
      </c>
      <c r="T14">
        <v>5170234964930250</v>
      </c>
      <c r="U14">
        <v>183</v>
      </c>
      <c r="V14">
        <v>42767</v>
      </c>
      <c r="W14" t="s">
        <v>3236</v>
      </c>
      <c r="X14" t="s">
        <v>3237</v>
      </c>
      <c r="Y14" t="s">
        <v>3074</v>
      </c>
      <c r="Z14" t="s">
        <v>3238</v>
      </c>
      <c r="AA14" t="s">
        <v>3239</v>
      </c>
      <c r="AB14" t="s">
        <v>3240</v>
      </c>
      <c r="AC14" t="s">
        <v>3241</v>
      </c>
      <c r="AD14" t="s">
        <v>3097</v>
      </c>
      <c r="AE14">
        <v>147.19999999999999</v>
      </c>
      <c r="AF14">
        <v>66.900000000000006</v>
      </c>
      <c r="AG14" t="s">
        <v>3041</v>
      </c>
      <c r="AH14">
        <v>156</v>
      </c>
      <c r="AI14" t="s">
        <v>3242</v>
      </c>
      <c r="AJ14">
        <v>49.165132</v>
      </c>
      <c r="AK14">
        <v>-122.902407</v>
      </c>
      <c r="AL14" t="str">
        <f>CONCATENATE(Names!D14," ",Names!F14)</f>
        <v>Cheryl Mills</v>
      </c>
    </row>
    <row r="15" spans="1:39" x14ac:dyDescent="0.3">
      <c r="A15">
        <v>84</v>
      </c>
      <c r="B15" t="s">
        <v>2994</v>
      </c>
      <c r="C15" t="s">
        <v>2995</v>
      </c>
      <c r="D15" t="s">
        <v>3173</v>
      </c>
      <c r="E15" t="s">
        <v>323</v>
      </c>
      <c r="F15" t="s">
        <v>3243</v>
      </c>
      <c r="G15" t="s">
        <v>3244</v>
      </c>
      <c r="H15" t="s">
        <v>3245</v>
      </c>
      <c r="I15" t="s">
        <v>3000</v>
      </c>
      <c r="J15" t="s">
        <v>3246</v>
      </c>
      <c r="K15" t="s">
        <v>3002</v>
      </c>
      <c r="L15" t="s">
        <v>3003</v>
      </c>
      <c r="M15" t="s">
        <v>3247</v>
      </c>
      <c r="N15" t="s">
        <v>3248</v>
      </c>
      <c r="O15" t="s">
        <v>3249</v>
      </c>
      <c r="P15" t="s">
        <v>3250</v>
      </c>
      <c r="Q15" t="s">
        <v>3251</v>
      </c>
      <c r="R15">
        <v>29059</v>
      </c>
      <c r="S15" t="s">
        <v>3032</v>
      </c>
      <c r="T15">
        <v>5594954541519580</v>
      </c>
      <c r="U15">
        <v>375</v>
      </c>
      <c r="V15">
        <v>43252</v>
      </c>
      <c r="W15" t="s">
        <v>3252</v>
      </c>
      <c r="X15" t="s">
        <v>3253</v>
      </c>
      <c r="Y15" t="s">
        <v>3012</v>
      </c>
      <c r="Z15" t="s">
        <v>3254</v>
      </c>
      <c r="AA15" t="s">
        <v>3255</v>
      </c>
      <c r="AB15" t="s">
        <v>3256</v>
      </c>
      <c r="AC15" t="s">
        <v>3257</v>
      </c>
      <c r="AD15" t="s">
        <v>3059</v>
      </c>
      <c r="AE15">
        <v>242</v>
      </c>
      <c r="AF15">
        <v>110</v>
      </c>
      <c r="AG15" t="s">
        <v>3258</v>
      </c>
      <c r="AH15">
        <v>179</v>
      </c>
      <c r="AI15" t="s">
        <v>3259</v>
      </c>
      <c r="AJ15">
        <v>49.159899000000003</v>
      </c>
      <c r="AK15">
        <v>-123.90131100000001</v>
      </c>
      <c r="AL15" t="str">
        <f>CONCATENATE(Names!D15," ",Names!F15)</f>
        <v>Michael Wilkerson</v>
      </c>
    </row>
    <row r="16" spans="1:39" x14ac:dyDescent="0.3">
      <c r="A16">
        <v>93</v>
      </c>
      <c r="B16" t="s">
        <v>3020</v>
      </c>
      <c r="C16" t="s">
        <v>3021</v>
      </c>
      <c r="D16" t="s">
        <v>3260</v>
      </c>
      <c r="E16" t="s">
        <v>330</v>
      </c>
      <c r="F16" t="s">
        <v>3261</v>
      </c>
      <c r="G16" t="s">
        <v>3262</v>
      </c>
      <c r="H16" t="s">
        <v>3263</v>
      </c>
      <c r="I16" t="s">
        <v>3000</v>
      </c>
      <c r="J16" t="s">
        <v>3264</v>
      </c>
      <c r="K16" t="s">
        <v>3002</v>
      </c>
      <c r="L16" t="s">
        <v>3003</v>
      </c>
      <c r="M16" t="s">
        <v>3265</v>
      </c>
      <c r="N16" t="s">
        <v>3266</v>
      </c>
      <c r="O16" t="s">
        <v>3267</v>
      </c>
      <c r="P16" t="s">
        <v>3268</v>
      </c>
      <c r="Q16" t="s">
        <v>3269</v>
      </c>
      <c r="R16">
        <v>32609</v>
      </c>
      <c r="S16" t="s">
        <v>3032</v>
      </c>
      <c r="T16">
        <v>5459277770054430</v>
      </c>
      <c r="U16">
        <v>818</v>
      </c>
      <c r="V16">
        <v>43497</v>
      </c>
      <c r="W16" t="s">
        <v>3270</v>
      </c>
      <c r="X16" t="s">
        <v>3271</v>
      </c>
      <c r="Y16" t="s">
        <v>3012</v>
      </c>
      <c r="Z16" t="s">
        <v>3272</v>
      </c>
      <c r="AA16" t="s">
        <v>3273</v>
      </c>
      <c r="AB16" t="s">
        <v>3274</v>
      </c>
      <c r="AC16" t="s">
        <v>3275</v>
      </c>
      <c r="AD16" t="s">
        <v>3097</v>
      </c>
      <c r="AE16">
        <v>159.1</v>
      </c>
      <c r="AF16">
        <v>72.3</v>
      </c>
      <c r="AG16" t="s">
        <v>3079</v>
      </c>
      <c r="AH16">
        <v>157</v>
      </c>
      <c r="AI16" t="s">
        <v>3276</v>
      </c>
      <c r="AJ16">
        <v>49.318072999999998</v>
      </c>
      <c r="AK16">
        <v>-123.015039</v>
      </c>
      <c r="AL16" t="str">
        <f>CONCATENATE(Names!D16," ",Names!F16)</f>
        <v>Celia Schreier</v>
      </c>
    </row>
    <row r="17" spans="1:38" x14ac:dyDescent="0.3">
      <c r="A17">
        <v>115</v>
      </c>
      <c r="B17" t="s">
        <v>3020</v>
      </c>
      <c r="C17" t="s">
        <v>3021</v>
      </c>
      <c r="D17" t="s">
        <v>3277</v>
      </c>
      <c r="E17" t="s">
        <v>2997</v>
      </c>
      <c r="F17" t="s">
        <v>3278</v>
      </c>
      <c r="G17" t="s">
        <v>3279</v>
      </c>
      <c r="H17" t="s">
        <v>18</v>
      </c>
      <c r="I17" t="s">
        <v>3000</v>
      </c>
      <c r="J17" t="s">
        <v>3280</v>
      </c>
      <c r="K17" t="s">
        <v>3002</v>
      </c>
      <c r="L17" t="s">
        <v>3003</v>
      </c>
      <c r="M17" t="s">
        <v>3281</v>
      </c>
      <c r="N17" t="s">
        <v>3282</v>
      </c>
      <c r="O17" t="s">
        <v>3283</v>
      </c>
      <c r="P17" t="s">
        <v>3284</v>
      </c>
      <c r="Q17" t="s">
        <v>3285</v>
      </c>
      <c r="R17">
        <v>14694</v>
      </c>
      <c r="S17" t="s">
        <v>3032</v>
      </c>
      <c r="T17">
        <v>5148820730421280</v>
      </c>
      <c r="U17">
        <v>682</v>
      </c>
      <c r="V17">
        <v>43556</v>
      </c>
      <c r="W17" t="s">
        <v>3286</v>
      </c>
      <c r="X17" t="s">
        <v>3287</v>
      </c>
      <c r="Y17" t="s">
        <v>3288</v>
      </c>
      <c r="Z17" t="s">
        <v>3289</v>
      </c>
      <c r="AA17" t="s">
        <v>3290</v>
      </c>
      <c r="AB17" t="s">
        <v>3291</v>
      </c>
      <c r="AC17" t="s">
        <v>3292</v>
      </c>
      <c r="AD17" t="s">
        <v>3133</v>
      </c>
      <c r="AE17">
        <v>165.9</v>
      </c>
      <c r="AF17">
        <v>75.400000000000006</v>
      </c>
      <c r="AG17" t="s">
        <v>3207</v>
      </c>
      <c r="AH17">
        <v>169</v>
      </c>
      <c r="AI17" t="s">
        <v>3293</v>
      </c>
      <c r="AJ17">
        <v>49.207543000000001</v>
      </c>
      <c r="AK17">
        <v>-122.79309499999999</v>
      </c>
      <c r="AL17" t="str">
        <f>CONCATENATE(Names!D17," ",Names!F17)</f>
        <v>Lillian Warner</v>
      </c>
    </row>
    <row r="18" spans="1:38" x14ac:dyDescent="0.3">
      <c r="A18">
        <v>117</v>
      </c>
      <c r="B18" t="s">
        <v>3020</v>
      </c>
      <c r="C18" t="s">
        <v>3021</v>
      </c>
      <c r="D18" t="s">
        <v>3294</v>
      </c>
      <c r="E18" t="s">
        <v>3101</v>
      </c>
      <c r="F18" t="s">
        <v>3295</v>
      </c>
      <c r="G18" t="s">
        <v>3296</v>
      </c>
      <c r="H18" t="s">
        <v>3297</v>
      </c>
      <c r="I18" t="s">
        <v>3000</v>
      </c>
      <c r="J18" t="s">
        <v>3298</v>
      </c>
      <c r="K18" t="s">
        <v>3002</v>
      </c>
      <c r="L18" t="s">
        <v>3003</v>
      </c>
      <c r="M18" t="s">
        <v>3299</v>
      </c>
      <c r="N18" t="s">
        <v>3300</v>
      </c>
      <c r="O18" t="s">
        <v>3301</v>
      </c>
      <c r="P18" t="s">
        <v>3302</v>
      </c>
      <c r="Q18" t="s">
        <v>3303</v>
      </c>
      <c r="R18">
        <v>24451</v>
      </c>
      <c r="S18" t="s">
        <v>3009</v>
      </c>
      <c r="T18">
        <v>4716519111244180</v>
      </c>
      <c r="U18">
        <v>241</v>
      </c>
      <c r="V18">
        <v>42217</v>
      </c>
      <c r="W18" t="s">
        <v>3304</v>
      </c>
      <c r="X18" t="s">
        <v>3305</v>
      </c>
      <c r="Y18" t="s">
        <v>3012</v>
      </c>
      <c r="Z18" t="s">
        <v>3306</v>
      </c>
      <c r="AA18" t="s">
        <v>3307</v>
      </c>
      <c r="AB18" t="s">
        <v>3308</v>
      </c>
      <c r="AC18" t="s">
        <v>3309</v>
      </c>
      <c r="AD18" t="s">
        <v>3133</v>
      </c>
      <c r="AE18">
        <v>230.6</v>
      </c>
      <c r="AF18">
        <v>104.8</v>
      </c>
      <c r="AG18" t="s">
        <v>3041</v>
      </c>
      <c r="AH18">
        <v>156</v>
      </c>
      <c r="AI18" t="s">
        <v>3310</v>
      </c>
      <c r="AJ18">
        <v>48.702210000000001</v>
      </c>
      <c r="AK18">
        <v>-123.759646</v>
      </c>
      <c r="AL18" t="str">
        <f>CONCATENATE(Names!D18," ",Names!F18)</f>
        <v>Marilyn Novak</v>
      </c>
    </row>
    <row r="19" spans="1:38" x14ac:dyDescent="0.3">
      <c r="A19">
        <v>118</v>
      </c>
      <c r="B19" t="s">
        <v>2994</v>
      </c>
      <c r="C19" t="s">
        <v>2995</v>
      </c>
      <c r="D19" t="s">
        <v>3311</v>
      </c>
      <c r="E19" t="s">
        <v>3156</v>
      </c>
      <c r="F19" t="s">
        <v>3312</v>
      </c>
      <c r="G19" t="s">
        <v>3313</v>
      </c>
      <c r="H19" t="s">
        <v>3314</v>
      </c>
      <c r="I19" t="s">
        <v>3000</v>
      </c>
      <c r="J19" t="s">
        <v>3315</v>
      </c>
      <c r="K19" t="s">
        <v>3002</v>
      </c>
      <c r="L19" t="s">
        <v>3003</v>
      </c>
      <c r="M19" t="s">
        <v>3316</v>
      </c>
      <c r="N19" t="s">
        <v>3317</v>
      </c>
      <c r="O19" t="s">
        <v>3318</v>
      </c>
      <c r="P19" t="s">
        <v>3319</v>
      </c>
      <c r="Q19" t="s">
        <v>3320</v>
      </c>
      <c r="R19">
        <v>13878</v>
      </c>
      <c r="S19" t="s">
        <v>3032</v>
      </c>
      <c r="T19">
        <v>5595899012560200</v>
      </c>
      <c r="U19">
        <v>522</v>
      </c>
      <c r="V19">
        <v>42583</v>
      </c>
      <c r="W19" t="s">
        <v>3321</v>
      </c>
      <c r="X19" t="s">
        <v>3322</v>
      </c>
      <c r="Y19" t="s">
        <v>3323</v>
      </c>
      <c r="Z19" t="s">
        <v>3324</v>
      </c>
      <c r="AA19" t="s">
        <v>3325</v>
      </c>
      <c r="AB19" t="s">
        <v>3326</v>
      </c>
      <c r="AC19" t="s">
        <v>3327</v>
      </c>
      <c r="AD19" t="s">
        <v>3059</v>
      </c>
      <c r="AE19">
        <v>143.4</v>
      </c>
      <c r="AF19">
        <v>65.2</v>
      </c>
      <c r="AG19" t="s">
        <v>3189</v>
      </c>
      <c r="AH19">
        <v>184</v>
      </c>
      <c r="AI19" t="s">
        <v>3328</v>
      </c>
      <c r="AJ19">
        <v>49.724280999999998</v>
      </c>
      <c r="AK19">
        <v>-119.424868</v>
      </c>
      <c r="AL19" t="str">
        <f>CONCATENATE(Names!D19," ",Names!F19)</f>
        <v>Joshua Bjork</v>
      </c>
    </row>
    <row r="20" spans="1:38" x14ac:dyDescent="0.3">
      <c r="A20">
        <v>120</v>
      </c>
      <c r="B20" t="s">
        <v>3020</v>
      </c>
      <c r="C20" t="s">
        <v>3021</v>
      </c>
      <c r="D20" t="s">
        <v>3329</v>
      </c>
      <c r="E20" t="s">
        <v>2997</v>
      </c>
      <c r="F20" t="s">
        <v>3330</v>
      </c>
      <c r="G20" t="s">
        <v>3331</v>
      </c>
      <c r="H20" t="s">
        <v>3332</v>
      </c>
      <c r="I20" t="s">
        <v>3000</v>
      </c>
      <c r="J20" t="s">
        <v>3333</v>
      </c>
      <c r="K20" t="s">
        <v>3002</v>
      </c>
      <c r="L20" t="s">
        <v>3003</v>
      </c>
      <c r="M20" t="s">
        <v>3334</v>
      </c>
      <c r="N20" t="s">
        <v>3335</v>
      </c>
      <c r="O20" t="s">
        <v>3336</v>
      </c>
      <c r="P20" t="s">
        <v>3337</v>
      </c>
      <c r="Q20" t="s">
        <v>3338</v>
      </c>
      <c r="R20">
        <v>28866</v>
      </c>
      <c r="S20" t="s">
        <v>3032</v>
      </c>
      <c r="T20">
        <v>5348280404769720</v>
      </c>
      <c r="U20">
        <v>185</v>
      </c>
      <c r="V20">
        <v>42736</v>
      </c>
      <c r="W20" t="s">
        <v>3339</v>
      </c>
      <c r="X20" t="s">
        <v>3340</v>
      </c>
      <c r="Y20" t="s">
        <v>3074</v>
      </c>
      <c r="Z20" t="s">
        <v>3341</v>
      </c>
      <c r="AA20" t="s">
        <v>3342</v>
      </c>
      <c r="AB20" t="s">
        <v>3343</v>
      </c>
      <c r="AC20" t="s">
        <v>3344</v>
      </c>
      <c r="AD20" t="s">
        <v>3097</v>
      </c>
      <c r="AE20">
        <v>119.2</v>
      </c>
      <c r="AF20">
        <v>54.2</v>
      </c>
      <c r="AG20" t="s">
        <v>3098</v>
      </c>
      <c r="AH20">
        <v>168</v>
      </c>
      <c r="AI20" t="s">
        <v>3345</v>
      </c>
      <c r="AJ20">
        <v>50.251888999999998</v>
      </c>
      <c r="AK20">
        <v>-115.911884</v>
      </c>
      <c r="AL20" t="str">
        <f>CONCATENATE(Names!D20," ",Names!F20)</f>
        <v>Patricia Riley</v>
      </c>
    </row>
    <row r="21" spans="1:38" x14ac:dyDescent="0.3">
      <c r="A21">
        <v>127</v>
      </c>
      <c r="B21" t="s">
        <v>3020</v>
      </c>
      <c r="C21" t="s">
        <v>3062</v>
      </c>
      <c r="D21" t="s">
        <v>3346</v>
      </c>
      <c r="E21" t="s">
        <v>330</v>
      </c>
      <c r="F21" t="s">
        <v>3347</v>
      </c>
      <c r="G21" t="s">
        <v>3348</v>
      </c>
      <c r="H21" t="s">
        <v>3349</v>
      </c>
      <c r="I21" t="s">
        <v>3000</v>
      </c>
      <c r="J21" t="s">
        <v>3350</v>
      </c>
      <c r="K21" t="s">
        <v>3002</v>
      </c>
      <c r="L21" t="s">
        <v>3003</v>
      </c>
      <c r="M21" t="s">
        <v>3351</v>
      </c>
      <c r="N21" t="s">
        <v>3352</v>
      </c>
      <c r="O21" t="s">
        <v>3353</v>
      </c>
      <c r="P21" t="s">
        <v>3354</v>
      </c>
      <c r="Q21" t="s">
        <v>3355</v>
      </c>
      <c r="R21">
        <v>15636</v>
      </c>
      <c r="S21" t="s">
        <v>3009</v>
      </c>
      <c r="T21">
        <v>4916000920276210</v>
      </c>
      <c r="U21">
        <v>954</v>
      </c>
      <c r="V21">
        <v>42186</v>
      </c>
      <c r="W21" t="s">
        <v>3356</v>
      </c>
      <c r="X21" t="s">
        <v>3357</v>
      </c>
      <c r="Y21" t="s">
        <v>3071</v>
      </c>
      <c r="Z21" t="s">
        <v>3358</v>
      </c>
      <c r="AA21" t="s">
        <v>3359</v>
      </c>
      <c r="AB21" t="s">
        <v>3360</v>
      </c>
      <c r="AC21" t="s">
        <v>3361</v>
      </c>
      <c r="AD21" t="s">
        <v>3153</v>
      </c>
      <c r="AE21">
        <v>218.7</v>
      </c>
      <c r="AF21">
        <v>99.4</v>
      </c>
      <c r="AG21" t="s">
        <v>3134</v>
      </c>
      <c r="AH21">
        <v>166</v>
      </c>
      <c r="AI21" t="s">
        <v>3362</v>
      </c>
      <c r="AJ21">
        <v>49.265169999999998</v>
      </c>
      <c r="AK21">
        <v>-122.894774</v>
      </c>
      <c r="AL21" t="str">
        <f>CONCATENATE(Names!D21," ",Names!F21)</f>
        <v>Beverly Clyde</v>
      </c>
    </row>
    <row r="22" spans="1:38" x14ac:dyDescent="0.3">
      <c r="A22">
        <v>142</v>
      </c>
      <c r="B22" t="s">
        <v>2994</v>
      </c>
      <c r="C22" t="s">
        <v>2995</v>
      </c>
      <c r="D22" t="s">
        <v>3363</v>
      </c>
      <c r="E22" t="s">
        <v>3364</v>
      </c>
      <c r="F22" t="s">
        <v>3365</v>
      </c>
      <c r="G22" t="s">
        <v>3366</v>
      </c>
      <c r="H22" t="s">
        <v>2</v>
      </c>
      <c r="I22" t="s">
        <v>3000</v>
      </c>
      <c r="J22" t="s">
        <v>3367</v>
      </c>
      <c r="K22" t="s">
        <v>3002</v>
      </c>
      <c r="L22" t="s">
        <v>3003</v>
      </c>
      <c r="M22" t="s">
        <v>3368</v>
      </c>
      <c r="N22" t="s">
        <v>3369</v>
      </c>
      <c r="O22" t="s">
        <v>3370</v>
      </c>
      <c r="P22" t="s">
        <v>3371</v>
      </c>
      <c r="Q22" t="s">
        <v>3372</v>
      </c>
      <c r="R22">
        <v>27939</v>
      </c>
      <c r="S22" t="s">
        <v>3009</v>
      </c>
      <c r="T22">
        <v>4485383240077990</v>
      </c>
      <c r="U22">
        <v>469</v>
      </c>
      <c r="V22">
        <v>43252</v>
      </c>
      <c r="W22" t="s">
        <v>3373</v>
      </c>
      <c r="X22" t="s">
        <v>3374</v>
      </c>
      <c r="Y22" t="s">
        <v>3012</v>
      </c>
      <c r="Z22" t="s">
        <v>3375</v>
      </c>
      <c r="AA22" t="s">
        <v>3376</v>
      </c>
      <c r="AB22" t="s">
        <v>3377</v>
      </c>
      <c r="AC22" t="s">
        <v>3378</v>
      </c>
      <c r="AD22" t="s">
        <v>3097</v>
      </c>
      <c r="AE22">
        <v>172.7</v>
      </c>
      <c r="AF22">
        <v>78.5</v>
      </c>
      <c r="AG22" t="s">
        <v>3189</v>
      </c>
      <c r="AH22">
        <v>183</v>
      </c>
      <c r="AI22" t="s">
        <v>3379</v>
      </c>
      <c r="AJ22">
        <v>48.521662999999997</v>
      </c>
      <c r="AK22">
        <v>-123.310254</v>
      </c>
      <c r="AL22" t="str">
        <f>CONCATENATE(Names!D22," ",Names!F22)</f>
        <v>Bill Finley</v>
      </c>
    </row>
    <row r="23" spans="1:38" x14ac:dyDescent="0.3">
      <c r="A23">
        <v>145</v>
      </c>
      <c r="B23" t="s">
        <v>2994</v>
      </c>
      <c r="C23" t="s">
        <v>2995</v>
      </c>
      <c r="D23" t="s">
        <v>3380</v>
      </c>
      <c r="E23" t="s">
        <v>2997</v>
      </c>
      <c r="F23" t="s">
        <v>3381</v>
      </c>
      <c r="G23" t="s">
        <v>3382</v>
      </c>
      <c r="H23" t="s">
        <v>18</v>
      </c>
      <c r="I23" t="s">
        <v>3000</v>
      </c>
      <c r="J23" t="s">
        <v>3383</v>
      </c>
      <c r="K23" t="s">
        <v>3002</v>
      </c>
      <c r="L23" t="s">
        <v>3003</v>
      </c>
      <c r="M23" t="s">
        <v>3384</v>
      </c>
      <c r="N23" t="s">
        <v>3385</v>
      </c>
      <c r="O23" t="s">
        <v>3386</v>
      </c>
      <c r="P23" t="s">
        <v>3387</v>
      </c>
      <c r="Q23" t="s">
        <v>3388</v>
      </c>
      <c r="R23">
        <v>25504</v>
      </c>
      <c r="S23" t="s">
        <v>3009</v>
      </c>
      <c r="T23">
        <v>4556480944029910</v>
      </c>
      <c r="U23">
        <v>823</v>
      </c>
      <c r="V23">
        <v>43282</v>
      </c>
      <c r="W23" t="s">
        <v>3389</v>
      </c>
      <c r="X23" t="s">
        <v>3390</v>
      </c>
      <c r="Y23" t="s">
        <v>3221</v>
      </c>
      <c r="Z23" t="s">
        <v>3391</v>
      </c>
      <c r="AA23" t="s">
        <v>3392</v>
      </c>
      <c r="AB23" t="s">
        <v>3393</v>
      </c>
      <c r="AC23" t="s">
        <v>3394</v>
      </c>
      <c r="AD23" t="s">
        <v>3059</v>
      </c>
      <c r="AE23">
        <v>218.2</v>
      </c>
      <c r="AF23">
        <v>99.2</v>
      </c>
      <c r="AG23" t="s">
        <v>3060</v>
      </c>
      <c r="AH23">
        <v>174</v>
      </c>
      <c r="AI23" t="s">
        <v>3395</v>
      </c>
      <c r="AJ23">
        <v>49.119669999999999</v>
      </c>
      <c r="AK23">
        <v>-122.916235</v>
      </c>
      <c r="AL23" t="str">
        <f>CONCATENATE(Names!D23," ",Names!F23)</f>
        <v>Charles Seng</v>
      </c>
    </row>
    <row r="24" spans="1:38" x14ac:dyDescent="0.3">
      <c r="A24">
        <v>156</v>
      </c>
      <c r="B24" t="s">
        <v>2994</v>
      </c>
      <c r="C24" t="s">
        <v>2995</v>
      </c>
      <c r="D24" t="s">
        <v>3396</v>
      </c>
      <c r="E24" t="s">
        <v>323</v>
      </c>
      <c r="F24" t="s">
        <v>3397</v>
      </c>
      <c r="G24" t="s">
        <v>3398</v>
      </c>
      <c r="H24" t="s">
        <v>3399</v>
      </c>
      <c r="I24" t="s">
        <v>3000</v>
      </c>
      <c r="J24" t="s">
        <v>3400</v>
      </c>
      <c r="K24" t="s">
        <v>3002</v>
      </c>
      <c r="L24" t="s">
        <v>3003</v>
      </c>
      <c r="M24" t="s">
        <v>3401</v>
      </c>
      <c r="N24" t="s">
        <v>3402</v>
      </c>
      <c r="O24" t="s">
        <v>3403</v>
      </c>
      <c r="P24" t="s">
        <v>3404</v>
      </c>
      <c r="Q24" t="s">
        <v>3405</v>
      </c>
      <c r="R24">
        <v>16369</v>
      </c>
      <c r="S24" t="s">
        <v>3009</v>
      </c>
      <c r="T24">
        <v>4556750362977860</v>
      </c>
      <c r="U24">
        <v>541</v>
      </c>
      <c r="V24">
        <v>43132</v>
      </c>
      <c r="W24" t="s">
        <v>3406</v>
      </c>
      <c r="X24" t="s">
        <v>3407</v>
      </c>
      <c r="Y24" t="s">
        <v>3012</v>
      </c>
      <c r="Z24" t="s">
        <v>3408</v>
      </c>
      <c r="AA24" t="s">
        <v>3409</v>
      </c>
      <c r="AB24" t="s">
        <v>3410</v>
      </c>
      <c r="AC24" t="s">
        <v>3411</v>
      </c>
      <c r="AD24" t="s">
        <v>3097</v>
      </c>
      <c r="AE24">
        <v>165.2</v>
      </c>
      <c r="AF24">
        <v>75.099999999999994</v>
      </c>
      <c r="AG24" t="s">
        <v>3207</v>
      </c>
      <c r="AH24">
        <v>171</v>
      </c>
      <c r="AI24" t="s">
        <v>3412</v>
      </c>
      <c r="AJ24">
        <v>49.155092000000003</v>
      </c>
      <c r="AK24">
        <v>-122.682652</v>
      </c>
      <c r="AL24" t="str">
        <f>CONCATENATE(Names!D24," ",Names!F24)</f>
        <v>Robert Miller</v>
      </c>
    </row>
    <row r="25" spans="1:38" x14ac:dyDescent="0.3">
      <c r="A25">
        <v>159</v>
      </c>
      <c r="B25" t="s">
        <v>2994</v>
      </c>
      <c r="C25" t="s">
        <v>2995</v>
      </c>
      <c r="D25" t="s">
        <v>3413</v>
      </c>
      <c r="E25" t="s">
        <v>3101</v>
      </c>
      <c r="F25" t="s">
        <v>3414</v>
      </c>
      <c r="G25" t="s">
        <v>3415</v>
      </c>
      <c r="H25" t="s">
        <v>3245</v>
      </c>
      <c r="I25" t="s">
        <v>3000</v>
      </c>
      <c r="J25" t="s">
        <v>3246</v>
      </c>
      <c r="K25" t="s">
        <v>3002</v>
      </c>
      <c r="L25" t="s">
        <v>3003</v>
      </c>
      <c r="M25" t="s">
        <v>3416</v>
      </c>
      <c r="N25" t="s">
        <v>3417</v>
      </c>
      <c r="O25" t="s">
        <v>3418</v>
      </c>
      <c r="P25" t="s">
        <v>3419</v>
      </c>
      <c r="Q25" t="s">
        <v>3420</v>
      </c>
      <c r="R25">
        <v>18976</v>
      </c>
      <c r="S25" t="s">
        <v>3009</v>
      </c>
      <c r="T25">
        <v>4716000272431220</v>
      </c>
      <c r="U25">
        <v>40</v>
      </c>
      <c r="V25">
        <v>43009</v>
      </c>
      <c r="W25" t="s">
        <v>3421</v>
      </c>
      <c r="X25" t="s">
        <v>3422</v>
      </c>
      <c r="Y25" t="s">
        <v>3012</v>
      </c>
      <c r="Z25" t="s">
        <v>3423</v>
      </c>
      <c r="AA25" t="s">
        <v>3424</v>
      </c>
      <c r="AB25" t="s">
        <v>3425</v>
      </c>
      <c r="AC25" t="s">
        <v>3426</v>
      </c>
      <c r="AD25" t="s">
        <v>3059</v>
      </c>
      <c r="AE25">
        <v>193.6</v>
      </c>
      <c r="AF25">
        <v>88</v>
      </c>
      <c r="AG25" t="s">
        <v>3018</v>
      </c>
      <c r="AH25">
        <v>185</v>
      </c>
      <c r="AI25" t="s">
        <v>3427</v>
      </c>
      <c r="AJ25">
        <v>49.108632</v>
      </c>
      <c r="AK25">
        <v>-123.87150200000001</v>
      </c>
      <c r="AL25" t="str">
        <f>CONCATENATE(Names!D25," ",Names!F25)</f>
        <v>David Kelly</v>
      </c>
    </row>
    <row r="26" spans="1:38" x14ac:dyDescent="0.3">
      <c r="A26">
        <v>161</v>
      </c>
      <c r="B26" t="s">
        <v>2994</v>
      </c>
      <c r="C26" t="s">
        <v>2995</v>
      </c>
      <c r="D26" t="s">
        <v>3428</v>
      </c>
      <c r="E26" t="s">
        <v>100</v>
      </c>
      <c r="F26" t="s">
        <v>3429</v>
      </c>
      <c r="G26" t="s">
        <v>3430</v>
      </c>
      <c r="H26" t="s">
        <v>3431</v>
      </c>
      <c r="I26" t="s">
        <v>3000</v>
      </c>
      <c r="J26" t="s">
        <v>3432</v>
      </c>
      <c r="K26" t="s">
        <v>3002</v>
      </c>
      <c r="L26" t="s">
        <v>3003</v>
      </c>
      <c r="M26" t="s">
        <v>3433</v>
      </c>
      <c r="N26" t="s">
        <v>3434</v>
      </c>
      <c r="O26" t="s">
        <v>3435</v>
      </c>
      <c r="P26" t="s">
        <v>3436</v>
      </c>
      <c r="Q26" t="s">
        <v>3320</v>
      </c>
      <c r="R26">
        <v>30596</v>
      </c>
      <c r="S26" t="s">
        <v>3009</v>
      </c>
      <c r="T26">
        <v>4716004125537570</v>
      </c>
      <c r="U26">
        <v>172</v>
      </c>
      <c r="V26">
        <v>43191</v>
      </c>
      <c r="W26" t="s">
        <v>3437</v>
      </c>
      <c r="X26" t="s">
        <v>3438</v>
      </c>
      <c r="Y26" t="s">
        <v>3012</v>
      </c>
      <c r="Z26" t="s">
        <v>3439</v>
      </c>
      <c r="AA26" t="s">
        <v>3440</v>
      </c>
      <c r="AB26" t="s">
        <v>3441</v>
      </c>
      <c r="AC26" t="s">
        <v>3442</v>
      </c>
      <c r="AD26" t="s">
        <v>3153</v>
      </c>
      <c r="AE26">
        <v>228.1</v>
      </c>
      <c r="AF26">
        <v>103.7</v>
      </c>
      <c r="AG26" t="s">
        <v>3443</v>
      </c>
      <c r="AH26">
        <v>180</v>
      </c>
      <c r="AI26" t="s">
        <v>3444</v>
      </c>
      <c r="AJ26">
        <v>50.921767000000003</v>
      </c>
      <c r="AK26">
        <v>-116.344166</v>
      </c>
      <c r="AL26" t="str">
        <f>CONCATENATE(Names!D26," ",Names!F26)</f>
        <v>Emory Hanson</v>
      </c>
    </row>
    <row r="27" spans="1:38" x14ac:dyDescent="0.3">
      <c r="A27">
        <v>162</v>
      </c>
      <c r="B27" t="s">
        <v>2994</v>
      </c>
      <c r="C27" t="s">
        <v>2995</v>
      </c>
      <c r="D27" t="s">
        <v>3445</v>
      </c>
      <c r="E27" t="s">
        <v>131</v>
      </c>
      <c r="F27" t="s">
        <v>3446</v>
      </c>
      <c r="G27" t="s">
        <v>3447</v>
      </c>
      <c r="H27" t="s">
        <v>2</v>
      </c>
      <c r="I27" t="s">
        <v>3000</v>
      </c>
      <c r="J27" t="s">
        <v>3066</v>
      </c>
      <c r="K27" t="s">
        <v>3002</v>
      </c>
      <c r="L27" t="s">
        <v>3003</v>
      </c>
      <c r="M27" t="s">
        <v>3448</v>
      </c>
      <c r="N27" t="s">
        <v>3449</v>
      </c>
      <c r="O27" t="s">
        <v>3450</v>
      </c>
      <c r="P27" t="s">
        <v>3451</v>
      </c>
      <c r="Q27" t="s">
        <v>3452</v>
      </c>
      <c r="R27">
        <v>23632</v>
      </c>
      <c r="S27" t="s">
        <v>3032</v>
      </c>
      <c r="T27">
        <v>5577577944947570</v>
      </c>
      <c r="U27">
        <v>364</v>
      </c>
      <c r="V27">
        <v>42614</v>
      </c>
      <c r="W27" t="s">
        <v>3453</v>
      </c>
      <c r="X27" t="s">
        <v>3454</v>
      </c>
      <c r="Y27" t="s">
        <v>3012</v>
      </c>
      <c r="Z27" t="s">
        <v>3455</v>
      </c>
      <c r="AA27" t="s">
        <v>3456</v>
      </c>
      <c r="AB27" t="s">
        <v>3457</v>
      </c>
      <c r="AC27" t="s">
        <v>3458</v>
      </c>
      <c r="AD27" t="s">
        <v>3153</v>
      </c>
      <c r="AE27">
        <v>150.9</v>
      </c>
      <c r="AF27">
        <v>68.599999999999994</v>
      </c>
      <c r="AG27" t="s">
        <v>3018</v>
      </c>
      <c r="AH27">
        <v>185</v>
      </c>
      <c r="AI27" t="s">
        <v>3459</v>
      </c>
      <c r="AJ27">
        <v>48.415871000000003</v>
      </c>
      <c r="AK27">
        <v>-123.392253</v>
      </c>
      <c r="AL27" t="str">
        <f>CONCATENATE(Names!D27," ",Names!F27)</f>
        <v>Richard Turner</v>
      </c>
    </row>
    <row r="28" spans="1:38" x14ac:dyDescent="0.3">
      <c r="A28">
        <v>163</v>
      </c>
      <c r="B28" t="s">
        <v>2994</v>
      </c>
      <c r="C28" t="s">
        <v>2995</v>
      </c>
      <c r="D28" t="s">
        <v>3460</v>
      </c>
      <c r="E28" t="s">
        <v>322</v>
      </c>
      <c r="F28" t="s">
        <v>3461</v>
      </c>
      <c r="G28" t="s">
        <v>3462</v>
      </c>
      <c r="H28" t="s">
        <v>19</v>
      </c>
      <c r="I28" t="s">
        <v>3000</v>
      </c>
      <c r="J28" t="s">
        <v>3121</v>
      </c>
      <c r="K28" t="s">
        <v>3002</v>
      </c>
      <c r="L28" t="s">
        <v>3003</v>
      </c>
      <c r="M28" t="s">
        <v>3463</v>
      </c>
      <c r="N28" t="s">
        <v>3464</v>
      </c>
      <c r="O28" t="s">
        <v>3465</v>
      </c>
      <c r="P28" t="s">
        <v>3466</v>
      </c>
      <c r="Q28" t="s">
        <v>3467</v>
      </c>
      <c r="R28">
        <v>33071</v>
      </c>
      <c r="S28" t="s">
        <v>3032</v>
      </c>
      <c r="T28">
        <v>5291426038920880</v>
      </c>
      <c r="U28">
        <v>479</v>
      </c>
      <c r="V28">
        <v>42186</v>
      </c>
      <c r="W28" t="s">
        <v>3468</v>
      </c>
      <c r="X28" t="s">
        <v>3469</v>
      </c>
      <c r="Y28" t="s">
        <v>3035</v>
      </c>
      <c r="Z28" t="s">
        <v>3470</v>
      </c>
      <c r="AA28" t="s">
        <v>3471</v>
      </c>
      <c r="AB28" t="s">
        <v>3472</v>
      </c>
      <c r="AC28" t="s">
        <v>3473</v>
      </c>
      <c r="AD28" t="s">
        <v>3153</v>
      </c>
      <c r="AE28">
        <v>125.8</v>
      </c>
      <c r="AF28">
        <v>57.2</v>
      </c>
      <c r="AG28" t="s">
        <v>3474</v>
      </c>
      <c r="AH28">
        <v>189</v>
      </c>
      <c r="AI28" t="s">
        <v>3475</v>
      </c>
      <c r="AJ28">
        <v>49.203986</v>
      </c>
      <c r="AK28">
        <v>-123.160493</v>
      </c>
      <c r="AL28" t="str">
        <f>CONCATENATE(Names!D28," ",Names!F28)</f>
        <v>Cletus Hill</v>
      </c>
    </row>
    <row r="29" spans="1:38" x14ac:dyDescent="0.3">
      <c r="A29">
        <v>165</v>
      </c>
      <c r="B29" t="s">
        <v>3020</v>
      </c>
      <c r="C29" t="s">
        <v>3021</v>
      </c>
      <c r="D29" t="s">
        <v>3476</v>
      </c>
      <c r="E29" t="s">
        <v>3477</v>
      </c>
      <c r="F29" t="s">
        <v>3478</v>
      </c>
      <c r="G29" t="s">
        <v>3479</v>
      </c>
      <c r="H29" t="s">
        <v>3399</v>
      </c>
      <c r="I29" t="s">
        <v>3000</v>
      </c>
      <c r="J29" t="s">
        <v>3400</v>
      </c>
      <c r="K29" t="s">
        <v>3002</v>
      </c>
      <c r="L29" t="s">
        <v>3003</v>
      </c>
      <c r="M29" t="s">
        <v>3480</v>
      </c>
      <c r="N29" t="s">
        <v>3481</v>
      </c>
      <c r="O29" t="s">
        <v>3482</v>
      </c>
      <c r="P29" t="s">
        <v>3483</v>
      </c>
      <c r="Q29" t="s">
        <v>3484</v>
      </c>
      <c r="R29">
        <v>14021</v>
      </c>
      <c r="S29" t="s">
        <v>3032</v>
      </c>
      <c r="T29">
        <v>5397871196298130</v>
      </c>
      <c r="U29">
        <v>804</v>
      </c>
      <c r="V29">
        <v>43313</v>
      </c>
      <c r="W29" t="s">
        <v>3485</v>
      </c>
      <c r="X29" t="s">
        <v>3486</v>
      </c>
      <c r="Y29" t="s">
        <v>3074</v>
      </c>
      <c r="Z29" t="s">
        <v>3487</v>
      </c>
      <c r="AA29" t="s">
        <v>3488</v>
      </c>
      <c r="AB29" t="s">
        <v>3489</v>
      </c>
      <c r="AC29" t="s">
        <v>3490</v>
      </c>
      <c r="AD29" t="s">
        <v>3059</v>
      </c>
      <c r="AE29">
        <v>167</v>
      </c>
      <c r="AF29">
        <v>75.900000000000006</v>
      </c>
      <c r="AG29" t="s">
        <v>3098</v>
      </c>
      <c r="AH29">
        <v>167</v>
      </c>
      <c r="AI29" t="s">
        <v>3491</v>
      </c>
      <c r="AJ29">
        <v>49.062114999999999</v>
      </c>
      <c r="AK29">
        <v>-122.61984200000001</v>
      </c>
      <c r="AL29" t="str">
        <f>CONCATENATE(Names!D29," ",Names!F29)</f>
        <v>Nancy Foley</v>
      </c>
    </row>
    <row r="30" spans="1:38" x14ac:dyDescent="0.3">
      <c r="A30">
        <v>166</v>
      </c>
      <c r="B30" t="s">
        <v>3020</v>
      </c>
      <c r="C30" t="s">
        <v>3062</v>
      </c>
      <c r="D30" t="s">
        <v>3492</v>
      </c>
      <c r="E30" t="s">
        <v>322</v>
      </c>
      <c r="F30" t="s">
        <v>3493</v>
      </c>
      <c r="G30" t="s">
        <v>3494</v>
      </c>
      <c r="H30" t="s">
        <v>3495</v>
      </c>
      <c r="I30" t="s">
        <v>3000</v>
      </c>
      <c r="J30" t="s">
        <v>3496</v>
      </c>
      <c r="K30" t="s">
        <v>3002</v>
      </c>
      <c r="L30" t="s">
        <v>3003</v>
      </c>
      <c r="M30" t="s">
        <v>3497</v>
      </c>
      <c r="N30" t="s">
        <v>3498</v>
      </c>
      <c r="O30" t="s">
        <v>3499</v>
      </c>
      <c r="P30" t="s">
        <v>3500</v>
      </c>
      <c r="Q30" t="s">
        <v>3501</v>
      </c>
      <c r="R30">
        <v>23921</v>
      </c>
      <c r="S30" t="s">
        <v>3009</v>
      </c>
      <c r="T30">
        <v>4485146035894200</v>
      </c>
      <c r="U30">
        <v>915</v>
      </c>
      <c r="V30">
        <v>43739</v>
      </c>
      <c r="W30" t="s">
        <v>3502</v>
      </c>
      <c r="X30" t="s">
        <v>3503</v>
      </c>
      <c r="Y30" t="s">
        <v>3074</v>
      </c>
      <c r="Z30" t="s">
        <v>3504</v>
      </c>
      <c r="AA30" t="s">
        <v>3505</v>
      </c>
      <c r="AB30" t="s">
        <v>3506</v>
      </c>
      <c r="AC30" t="s">
        <v>3507</v>
      </c>
      <c r="AD30" t="s">
        <v>3153</v>
      </c>
      <c r="AE30">
        <v>226.6</v>
      </c>
      <c r="AF30">
        <v>103</v>
      </c>
      <c r="AG30" t="s">
        <v>3508</v>
      </c>
      <c r="AH30">
        <v>161</v>
      </c>
      <c r="AI30" t="s">
        <v>3509</v>
      </c>
      <c r="AJ30">
        <v>48.976956999999999</v>
      </c>
      <c r="AK30">
        <v>-124.12745700000001</v>
      </c>
      <c r="AL30" t="str">
        <f>CONCATENATE(Names!D30," ",Names!F30)</f>
        <v>Nichole Mitchell</v>
      </c>
    </row>
    <row r="31" spans="1:38" x14ac:dyDescent="0.3">
      <c r="A31">
        <v>174</v>
      </c>
      <c r="B31" t="s">
        <v>2994</v>
      </c>
      <c r="C31" t="s">
        <v>2995</v>
      </c>
      <c r="D31" t="s">
        <v>3510</v>
      </c>
      <c r="E31" t="s">
        <v>3477</v>
      </c>
      <c r="F31" t="s">
        <v>3511</v>
      </c>
      <c r="G31" t="s">
        <v>3512</v>
      </c>
      <c r="H31" t="s">
        <v>19</v>
      </c>
      <c r="I31" t="s">
        <v>3000</v>
      </c>
      <c r="J31" t="s">
        <v>3513</v>
      </c>
      <c r="K31" t="s">
        <v>3002</v>
      </c>
      <c r="L31" t="s">
        <v>3003</v>
      </c>
      <c r="M31" t="s">
        <v>3514</v>
      </c>
      <c r="N31" t="s">
        <v>3515</v>
      </c>
      <c r="O31" t="s">
        <v>3516</v>
      </c>
      <c r="P31" t="s">
        <v>3517</v>
      </c>
      <c r="Q31" t="s">
        <v>3518</v>
      </c>
      <c r="R31">
        <v>22229</v>
      </c>
      <c r="S31" t="s">
        <v>3009</v>
      </c>
      <c r="T31">
        <v>4485957322304030</v>
      </c>
      <c r="U31">
        <v>848</v>
      </c>
      <c r="V31">
        <v>42156</v>
      </c>
      <c r="W31" t="s">
        <v>3519</v>
      </c>
      <c r="X31" t="s">
        <v>3520</v>
      </c>
      <c r="Y31" t="s">
        <v>3012</v>
      </c>
      <c r="Z31" t="s">
        <v>3521</v>
      </c>
      <c r="AA31" t="s">
        <v>3522</v>
      </c>
      <c r="AB31" t="s">
        <v>3523</v>
      </c>
      <c r="AC31" t="s">
        <v>3524</v>
      </c>
      <c r="AD31" t="s">
        <v>3097</v>
      </c>
      <c r="AE31">
        <v>141.5</v>
      </c>
      <c r="AF31">
        <v>64.3</v>
      </c>
      <c r="AG31" t="s">
        <v>3189</v>
      </c>
      <c r="AH31">
        <v>184</v>
      </c>
      <c r="AI31" t="s">
        <v>3525</v>
      </c>
      <c r="AJ31">
        <v>49.271194999999999</v>
      </c>
      <c r="AK31">
        <v>-123.209605</v>
      </c>
      <c r="AL31" t="str">
        <f>CONCATENATE(Names!D31," ",Names!F31)</f>
        <v>Ricky Nestor</v>
      </c>
    </row>
    <row r="32" spans="1:38" x14ac:dyDescent="0.3">
      <c r="A32">
        <v>180</v>
      </c>
      <c r="B32" t="s">
        <v>3020</v>
      </c>
      <c r="C32" t="s">
        <v>3062</v>
      </c>
      <c r="D32" t="s">
        <v>3526</v>
      </c>
      <c r="E32" t="s">
        <v>2997</v>
      </c>
      <c r="F32" t="s">
        <v>3527</v>
      </c>
      <c r="G32" t="s">
        <v>3528</v>
      </c>
      <c r="H32" t="s">
        <v>19</v>
      </c>
      <c r="I32" t="s">
        <v>3000</v>
      </c>
      <c r="J32" t="s">
        <v>3513</v>
      </c>
      <c r="K32" t="s">
        <v>3002</v>
      </c>
      <c r="L32" t="s">
        <v>3003</v>
      </c>
      <c r="M32" t="s">
        <v>3529</v>
      </c>
      <c r="N32" t="s">
        <v>3530</v>
      </c>
      <c r="O32" t="s">
        <v>3531</v>
      </c>
      <c r="P32" t="s">
        <v>3532</v>
      </c>
      <c r="Q32" t="s">
        <v>3533</v>
      </c>
      <c r="R32">
        <v>32061</v>
      </c>
      <c r="S32" t="s">
        <v>3032</v>
      </c>
      <c r="T32">
        <v>5481997479252670</v>
      </c>
      <c r="U32">
        <v>22</v>
      </c>
      <c r="V32">
        <v>43647</v>
      </c>
      <c r="W32" t="s">
        <v>3534</v>
      </c>
      <c r="X32" t="s">
        <v>3535</v>
      </c>
      <c r="Y32" t="s">
        <v>3074</v>
      </c>
      <c r="Z32" t="s">
        <v>3536</v>
      </c>
      <c r="AA32" t="s">
        <v>3537</v>
      </c>
      <c r="AB32" t="s">
        <v>3538</v>
      </c>
      <c r="AC32" t="s">
        <v>3539</v>
      </c>
      <c r="AD32" t="s">
        <v>3097</v>
      </c>
      <c r="AE32">
        <v>206.6</v>
      </c>
      <c r="AF32">
        <v>93.9</v>
      </c>
      <c r="AG32" t="s">
        <v>3098</v>
      </c>
      <c r="AH32">
        <v>167</v>
      </c>
      <c r="AI32" t="s">
        <v>3540</v>
      </c>
      <c r="AJ32">
        <v>49.232858</v>
      </c>
      <c r="AK32">
        <v>-123.104597</v>
      </c>
      <c r="AL32" t="str">
        <f>CONCATENATE(Names!D32," ",Names!F32)</f>
        <v>Dorothy Fisher</v>
      </c>
    </row>
    <row r="33" spans="1:38" x14ac:dyDescent="0.3">
      <c r="A33">
        <v>189</v>
      </c>
      <c r="B33" t="s">
        <v>2994</v>
      </c>
      <c r="C33" t="s">
        <v>2995</v>
      </c>
      <c r="D33" t="s">
        <v>3541</v>
      </c>
      <c r="E33" t="s">
        <v>3542</v>
      </c>
      <c r="F33" t="s">
        <v>3543</v>
      </c>
      <c r="G33" t="s">
        <v>3544</v>
      </c>
      <c r="H33" t="s">
        <v>15</v>
      </c>
      <c r="I33" t="s">
        <v>3000</v>
      </c>
      <c r="J33" t="s">
        <v>3545</v>
      </c>
      <c r="K33" t="s">
        <v>3002</v>
      </c>
      <c r="L33" t="s">
        <v>3003</v>
      </c>
      <c r="M33" t="s">
        <v>3546</v>
      </c>
      <c r="N33" t="s">
        <v>3547</v>
      </c>
      <c r="O33" t="s">
        <v>3548</v>
      </c>
      <c r="P33" t="s">
        <v>3549</v>
      </c>
      <c r="Q33" t="s">
        <v>3550</v>
      </c>
      <c r="R33">
        <v>22315</v>
      </c>
      <c r="S33" t="s">
        <v>3032</v>
      </c>
      <c r="T33">
        <v>5473336963531560</v>
      </c>
      <c r="U33">
        <v>284</v>
      </c>
      <c r="V33">
        <v>43709</v>
      </c>
      <c r="W33" t="s">
        <v>3551</v>
      </c>
      <c r="X33" t="s">
        <v>3552</v>
      </c>
      <c r="Y33" t="s">
        <v>3012</v>
      </c>
      <c r="Z33" t="s">
        <v>3553</v>
      </c>
      <c r="AA33" t="s">
        <v>3554</v>
      </c>
      <c r="AB33" t="s">
        <v>3555</v>
      </c>
      <c r="AC33" t="s">
        <v>3556</v>
      </c>
      <c r="AD33" t="s">
        <v>3097</v>
      </c>
      <c r="AE33">
        <v>203.1</v>
      </c>
      <c r="AF33">
        <v>92.3</v>
      </c>
      <c r="AG33" t="s">
        <v>3098</v>
      </c>
      <c r="AH33">
        <v>168</v>
      </c>
      <c r="AI33" t="s">
        <v>3557</v>
      </c>
      <c r="AJ33">
        <v>53.867328000000001</v>
      </c>
      <c r="AK33">
        <v>-122.760912</v>
      </c>
      <c r="AL33" t="str">
        <f>CONCATENATE(Names!D33," ",Names!F33)</f>
        <v>Bruce Welsh</v>
      </c>
    </row>
    <row r="34" spans="1:38" x14ac:dyDescent="0.3">
      <c r="A34">
        <v>197</v>
      </c>
      <c r="B34" t="s">
        <v>3020</v>
      </c>
      <c r="C34" t="s">
        <v>3021</v>
      </c>
      <c r="D34" t="s">
        <v>3558</v>
      </c>
      <c r="E34" t="s">
        <v>3559</v>
      </c>
      <c r="F34" t="s">
        <v>3560</v>
      </c>
      <c r="G34" t="s">
        <v>3561</v>
      </c>
      <c r="H34" t="s">
        <v>3562</v>
      </c>
      <c r="I34" t="s">
        <v>3000</v>
      </c>
      <c r="J34" t="s">
        <v>3563</v>
      </c>
      <c r="K34" t="s">
        <v>3002</v>
      </c>
      <c r="L34" t="s">
        <v>3003</v>
      </c>
      <c r="M34" t="s">
        <v>3564</v>
      </c>
      <c r="N34" t="s">
        <v>3565</v>
      </c>
      <c r="O34" t="s">
        <v>3566</v>
      </c>
      <c r="P34" t="s">
        <v>3567</v>
      </c>
      <c r="Q34" t="s">
        <v>3568</v>
      </c>
      <c r="R34">
        <v>27238</v>
      </c>
      <c r="S34" t="s">
        <v>3032</v>
      </c>
      <c r="T34">
        <v>5404402877243230</v>
      </c>
      <c r="U34">
        <v>725</v>
      </c>
      <c r="V34">
        <v>43191</v>
      </c>
      <c r="W34" t="s">
        <v>3569</v>
      </c>
      <c r="X34" t="s">
        <v>3570</v>
      </c>
      <c r="Y34" t="s">
        <v>3035</v>
      </c>
      <c r="Z34" t="s">
        <v>3571</v>
      </c>
      <c r="AA34" t="s">
        <v>3572</v>
      </c>
      <c r="AB34" t="s">
        <v>3573</v>
      </c>
      <c r="AC34" t="s">
        <v>3574</v>
      </c>
      <c r="AD34" t="s">
        <v>3059</v>
      </c>
      <c r="AE34">
        <v>190.1</v>
      </c>
      <c r="AF34">
        <v>86.4</v>
      </c>
      <c r="AG34" t="s">
        <v>3098</v>
      </c>
      <c r="AH34">
        <v>168</v>
      </c>
      <c r="AI34" t="s">
        <v>3575</v>
      </c>
      <c r="AJ34">
        <v>50.199173999999999</v>
      </c>
      <c r="AK34">
        <v>-117.782777</v>
      </c>
      <c r="AL34" t="str">
        <f>CONCATENATE(Names!D34," ",Names!F34)</f>
        <v>Alma Sterling</v>
      </c>
    </row>
    <row r="35" spans="1:38" x14ac:dyDescent="0.3">
      <c r="A35">
        <v>198</v>
      </c>
      <c r="B35" t="s">
        <v>2994</v>
      </c>
      <c r="C35" t="s">
        <v>2995</v>
      </c>
      <c r="D35" t="s">
        <v>3396</v>
      </c>
      <c r="E35" t="s">
        <v>325</v>
      </c>
      <c r="F35" t="s">
        <v>3576</v>
      </c>
      <c r="G35" t="s">
        <v>3577</v>
      </c>
      <c r="H35" t="s">
        <v>3578</v>
      </c>
      <c r="I35" t="s">
        <v>3000</v>
      </c>
      <c r="J35" t="s">
        <v>3579</v>
      </c>
      <c r="K35" t="s">
        <v>3002</v>
      </c>
      <c r="L35" t="s">
        <v>3003</v>
      </c>
      <c r="M35" t="s">
        <v>3580</v>
      </c>
      <c r="N35" t="s">
        <v>3581</v>
      </c>
      <c r="O35" t="s">
        <v>3582</v>
      </c>
      <c r="P35" t="s">
        <v>3583</v>
      </c>
      <c r="Q35" t="s">
        <v>3584</v>
      </c>
      <c r="R35">
        <v>33681</v>
      </c>
      <c r="S35" t="s">
        <v>3009</v>
      </c>
      <c r="T35">
        <v>4916099250176820</v>
      </c>
      <c r="U35">
        <v>336</v>
      </c>
      <c r="V35">
        <v>42036</v>
      </c>
      <c r="W35" t="s">
        <v>3585</v>
      </c>
      <c r="X35" t="s">
        <v>3586</v>
      </c>
      <c r="Y35" t="s">
        <v>3012</v>
      </c>
      <c r="Z35" t="s">
        <v>3587</v>
      </c>
      <c r="AA35" t="s">
        <v>3588</v>
      </c>
      <c r="AB35" t="s">
        <v>3589</v>
      </c>
      <c r="AC35" t="s">
        <v>3590</v>
      </c>
      <c r="AD35" t="s">
        <v>3059</v>
      </c>
      <c r="AE35">
        <v>174.2</v>
      </c>
      <c r="AF35">
        <v>79.2</v>
      </c>
      <c r="AG35" t="s">
        <v>3018</v>
      </c>
      <c r="AH35">
        <v>186</v>
      </c>
      <c r="AI35" t="s">
        <v>3591</v>
      </c>
      <c r="AJ35">
        <v>49.550196</v>
      </c>
      <c r="AK35">
        <v>-115.725538</v>
      </c>
      <c r="AL35" t="str">
        <f>CONCATENATE(Names!D35," ",Names!F35)</f>
        <v>Robert Hunt</v>
      </c>
    </row>
    <row r="36" spans="1:38" x14ac:dyDescent="0.3">
      <c r="A36">
        <v>202</v>
      </c>
      <c r="B36" t="s">
        <v>3020</v>
      </c>
      <c r="C36" t="s">
        <v>3062</v>
      </c>
      <c r="D36" t="s">
        <v>3592</v>
      </c>
      <c r="E36" t="s">
        <v>2997</v>
      </c>
      <c r="F36" t="s">
        <v>3593</v>
      </c>
      <c r="G36" t="s">
        <v>3594</v>
      </c>
      <c r="H36" t="s">
        <v>3595</v>
      </c>
      <c r="I36" t="s">
        <v>3000</v>
      </c>
      <c r="J36" t="s">
        <v>3596</v>
      </c>
      <c r="K36" t="s">
        <v>3002</v>
      </c>
      <c r="L36" t="s">
        <v>3003</v>
      </c>
      <c r="M36" t="s">
        <v>3597</v>
      </c>
      <c r="N36" t="s">
        <v>3598</v>
      </c>
      <c r="O36" t="s">
        <v>3599</v>
      </c>
      <c r="P36" t="s">
        <v>3600</v>
      </c>
      <c r="Q36" t="s">
        <v>2935</v>
      </c>
      <c r="R36">
        <v>21636</v>
      </c>
      <c r="S36" t="s">
        <v>3009</v>
      </c>
      <c r="T36">
        <v>4539384666188390</v>
      </c>
      <c r="U36">
        <v>727</v>
      </c>
      <c r="V36">
        <v>43040</v>
      </c>
      <c r="W36" t="s">
        <v>3601</v>
      </c>
      <c r="X36" t="s">
        <v>3602</v>
      </c>
      <c r="Y36" t="s">
        <v>3012</v>
      </c>
      <c r="Z36" t="s">
        <v>3603</v>
      </c>
      <c r="AA36" t="s">
        <v>3604</v>
      </c>
      <c r="AB36" t="s">
        <v>3605</v>
      </c>
      <c r="AC36" t="s">
        <v>3606</v>
      </c>
      <c r="AD36" t="s">
        <v>3153</v>
      </c>
      <c r="AE36">
        <v>225.7</v>
      </c>
      <c r="AF36">
        <v>102.6</v>
      </c>
      <c r="AG36" t="s">
        <v>3134</v>
      </c>
      <c r="AH36">
        <v>166</v>
      </c>
      <c r="AI36" t="s">
        <v>3607</v>
      </c>
      <c r="AJ36">
        <v>49.063017000000002</v>
      </c>
      <c r="AK36">
        <v>-121.899922</v>
      </c>
      <c r="AL36" t="str">
        <f>CONCATENATE(Names!D36," ",Names!F36)</f>
        <v>Stephanie Young</v>
      </c>
    </row>
    <row r="37" spans="1:38" x14ac:dyDescent="0.3">
      <c r="A37">
        <v>205</v>
      </c>
      <c r="B37" t="s">
        <v>3020</v>
      </c>
      <c r="C37" t="s">
        <v>3062</v>
      </c>
      <c r="D37" t="s">
        <v>3608</v>
      </c>
      <c r="E37" t="s">
        <v>100</v>
      </c>
      <c r="F37" t="s">
        <v>3609</v>
      </c>
      <c r="G37" t="s">
        <v>3610</v>
      </c>
      <c r="H37" t="s">
        <v>2</v>
      </c>
      <c r="I37" t="s">
        <v>3000</v>
      </c>
      <c r="J37" t="s">
        <v>3367</v>
      </c>
      <c r="K37" t="s">
        <v>3002</v>
      </c>
      <c r="L37" t="s">
        <v>3003</v>
      </c>
      <c r="M37" t="s">
        <v>3611</v>
      </c>
      <c r="N37" t="s">
        <v>3612</v>
      </c>
      <c r="O37" t="s">
        <v>3613</v>
      </c>
      <c r="P37" t="s">
        <v>3614</v>
      </c>
      <c r="Q37" t="s">
        <v>3615</v>
      </c>
      <c r="R37">
        <v>30398</v>
      </c>
      <c r="S37" t="s">
        <v>3032</v>
      </c>
      <c r="T37">
        <v>5471455017359370</v>
      </c>
      <c r="U37">
        <v>235</v>
      </c>
      <c r="V37">
        <v>43556</v>
      </c>
      <c r="W37" t="s">
        <v>3616</v>
      </c>
      <c r="X37" t="s">
        <v>3617</v>
      </c>
      <c r="Y37" t="s">
        <v>3071</v>
      </c>
      <c r="Z37" t="s">
        <v>3618</v>
      </c>
      <c r="AA37" t="s">
        <v>3619</v>
      </c>
      <c r="AB37" t="s">
        <v>3620</v>
      </c>
      <c r="AC37" t="s">
        <v>3621</v>
      </c>
      <c r="AD37" t="s">
        <v>3153</v>
      </c>
      <c r="AE37">
        <v>123</v>
      </c>
      <c r="AF37">
        <v>55.9</v>
      </c>
      <c r="AG37" t="s">
        <v>3171</v>
      </c>
      <c r="AH37">
        <v>173</v>
      </c>
      <c r="AI37" t="s">
        <v>3622</v>
      </c>
      <c r="AJ37">
        <v>48.396773000000003</v>
      </c>
      <c r="AK37">
        <v>-123.286137</v>
      </c>
      <c r="AL37" t="str">
        <f>CONCATENATE(Names!D37," ",Names!F37)</f>
        <v>Wilma Urbanski</v>
      </c>
    </row>
    <row r="38" spans="1:38" x14ac:dyDescent="0.3">
      <c r="A38">
        <v>220</v>
      </c>
      <c r="B38" t="s">
        <v>3020</v>
      </c>
      <c r="C38" t="s">
        <v>3062</v>
      </c>
      <c r="D38" t="s">
        <v>3623</v>
      </c>
      <c r="E38" t="s">
        <v>324</v>
      </c>
      <c r="F38" t="s">
        <v>3624</v>
      </c>
      <c r="G38" t="s">
        <v>3625</v>
      </c>
      <c r="H38" t="s">
        <v>19</v>
      </c>
      <c r="I38" t="s">
        <v>3000</v>
      </c>
      <c r="J38" t="s">
        <v>41</v>
      </c>
      <c r="K38" t="s">
        <v>3002</v>
      </c>
      <c r="L38" t="s">
        <v>3003</v>
      </c>
      <c r="M38" t="s">
        <v>3626</v>
      </c>
      <c r="N38" t="s">
        <v>3627</v>
      </c>
      <c r="O38" t="s">
        <v>3628</v>
      </c>
      <c r="P38" t="s">
        <v>3629</v>
      </c>
      <c r="Q38" t="s">
        <v>3630</v>
      </c>
      <c r="R38">
        <v>30670</v>
      </c>
      <c r="S38" t="s">
        <v>3009</v>
      </c>
      <c r="T38">
        <v>4929959369895440</v>
      </c>
      <c r="U38">
        <v>44</v>
      </c>
      <c r="V38">
        <v>42309</v>
      </c>
      <c r="W38" t="s">
        <v>3631</v>
      </c>
      <c r="X38" t="s">
        <v>3632</v>
      </c>
      <c r="Y38" t="s">
        <v>3035</v>
      </c>
      <c r="Z38" t="s">
        <v>3633</v>
      </c>
      <c r="AA38" t="s">
        <v>3037</v>
      </c>
      <c r="AB38" t="s">
        <v>3634</v>
      </c>
      <c r="AC38" t="s">
        <v>3635</v>
      </c>
      <c r="AD38" t="s">
        <v>3097</v>
      </c>
      <c r="AE38">
        <v>146.69999999999999</v>
      </c>
      <c r="AF38">
        <v>66.7</v>
      </c>
      <c r="AG38" t="s">
        <v>3171</v>
      </c>
      <c r="AH38">
        <v>173</v>
      </c>
      <c r="AI38" t="s">
        <v>3636</v>
      </c>
      <c r="AJ38">
        <v>49.269289999999998</v>
      </c>
      <c r="AK38">
        <v>-123.228229</v>
      </c>
      <c r="AL38" t="str">
        <f>CONCATENATE(Names!D38," ",Names!F38)</f>
        <v>Keli Warren</v>
      </c>
    </row>
    <row r="39" spans="1:38" x14ac:dyDescent="0.3">
      <c r="A39">
        <v>225</v>
      </c>
      <c r="B39" t="s">
        <v>2994</v>
      </c>
      <c r="C39" t="s">
        <v>2995</v>
      </c>
      <c r="D39" t="s">
        <v>3637</v>
      </c>
      <c r="E39" t="s">
        <v>3156</v>
      </c>
      <c r="F39" t="s">
        <v>3638</v>
      </c>
      <c r="G39" t="s">
        <v>3639</v>
      </c>
      <c r="H39" t="s">
        <v>3640</v>
      </c>
      <c r="I39" t="s">
        <v>3000</v>
      </c>
      <c r="J39" t="s">
        <v>3641</v>
      </c>
      <c r="K39" t="s">
        <v>3002</v>
      </c>
      <c r="L39" t="s">
        <v>3003</v>
      </c>
      <c r="M39" t="s">
        <v>3642</v>
      </c>
      <c r="N39" t="s">
        <v>3643</v>
      </c>
      <c r="O39" t="s">
        <v>3644</v>
      </c>
      <c r="P39" t="s">
        <v>3645</v>
      </c>
      <c r="Q39" t="s">
        <v>3646</v>
      </c>
      <c r="R39">
        <v>14909</v>
      </c>
      <c r="S39" t="s">
        <v>3009</v>
      </c>
      <c r="T39">
        <v>4539726755144060</v>
      </c>
      <c r="U39">
        <v>508</v>
      </c>
      <c r="V39">
        <v>43435</v>
      </c>
      <c r="W39" t="s">
        <v>3647</v>
      </c>
      <c r="X39" t="s">
        <v>3648</v>
      </c>
      <c r="Y39" t="s">
        <v>3012</v>
      </c>
      <c r="Z39" t="s">
        <v>3649</v>
      </c>
      <c r="AA39" t="s">
        <v>3650</v>
      </c>
      <c r="AB39" t="s">
        <v>3651</v>
      </c>
      <c r="AC39" t="s">
        <v>3652</v>
      </c>
      <c r="AD39" t="s">
        <v>3097</v>
      </c>
      <c r="AE39">
        <v>143.4</v>
      </c>
      <c r="AF39">
        <v>65.2</v>
      </c>
      <c r="AG39" t="s">
        <v>3189</v>
      </c>
      <c r="AH39">
        <v>183</v>
      </c>
      <c r="AI39" t="s">
        <v>3653</v>
      </c>
      <c r="AJ39">
        <v>49.209586000000002</v>
      </c>
      <c r="AK39">
        <v>-115.158976</v>
      </c>
      <c r="AL39" t="str">
        <f>CONCATENATE(Names!D39," ",Names!F39)</f>
        <v>Ralph Graham</v>
      </c>
    </row>
    <row r="40" spans="1:38" x14ac:dyDescent="0.3">
      <c r="A40">
        <v>234</v>
      </c>
      <c r="B40" t="s">
        <v>3020</v>
      </c>
      <c r="C40" t="s">
        <v>3062</v>
      </c>
      <c r="D40" t="s">
        <v>3654</v>
      </c>
      <c r="E40" t="s">
        <v>3655</v>
      </c>
      <c r="F40" t="s">
        <v>3656</v>
      </c>
      <c r="G40" t="s">
        <v>3657</v>
      </c>
      <c r="H40" t="s">
        <v>2</v>
      </c>
      <c r="I40" t="s">
        <v>3000</v>
      </c>
      <c r="J40" t="s">
        <v>3658</v>
      </c>
      <c r="K40" t="s">
        <v>3002</v>
      </c>
      <c r="L40" t="s">
        <v>3003</v>
      </c>
      <c r="M40" t="s">
        <v>3659</v>
      </c>
      <c r="N40" t="s">
        <v>3660</v>
      </c>
      <c r="O40" t="s">
        <v>3661</v>
      </c>
      <c r="P40" t="s">
        <v>3662</v>
      </c>
      <c r="Q40" t="s">
        <v>3663</v>
      </c>
      <c r="R40">
        <v>24336</v>
      </c>
      <c r="S40" t="s">
        <v>3009</v>
      </c>
      <c r="T40">
        <v>4539709392003340</v>
      </c>
      <c r="U40">
        <v>813</v>
      </c>
      <c r="V40">
        <v>42491</v>
      </c>
      <c r="W40" t="s">
        <v>3664</v>
      </c>
      <c r="X40" t="s">
        <v>3665</v>
      </c>
      <c r="Y40" t="s">
        <v>3166</v>
      </c>
      <c r="Z40" t="s">
        <v>3666</v>
      </c>
      <c r="AA40" t="s">
        <v>3667</v>
      </c>
      <c r="AB40" t="s">
        <v>3668</v>
      </c>
      <c r="AC40" t="s">
        <v>3669</v>
      </c>
      <c r="AD40" t="s">
        <v>3097</v>
      </c>
      <c r="AE40">
        <v>155.30000000000001</v>
      </c>
      <c r="AF40">
        <v>70.599999999999994</v>
      </c>
      <c r="AG40" t="s">
        <v>3134</v>
      </c>
      <c r="AH40">
        <v>166</v>
      </c>
      <c r="AI40" t="s">
        <v>3670</v>
      </c>
      <c r="AJ40">
        <v>48.342841999999997</v>
      </c>
      <c r="AK40">
        <v>-123.32530800000001</v>
      </c>
      <c r="AL40" t="str">
        <f>CONCATENATE(Names!D40," ",Names!F40)</f>
        <v>Margaret Greene</v>
      </c>
    </row>
    <row r="41" spans="1:38" x14ac:dyDescent="0.3">
      <c r="A41">
        <v>236</v>
      </c>
      <c r="B41" t="s">
        <v>3020</v>
      </c>
      <c r="C41" t="s">
        <v>3021</v>
      </c>
      <c r="D41" t="s">
        <v>3671</v>
      </c>
      <c r="E41" t="s">
        <v>2997</v>
      </c>
      <c r="F41" t="s">
        <v>3672</v>
      </c>
      <c r="G41" t="s">
        <v>3673</v>
      </c>
      <c r="H41" t="s">
        <v>19</v>
      </c>
      <c r="I41" t="s">
        <v>3000</v>
      </c>
      <c r="J41" t="s">
        <v>3674</v>
      </c>
      <c r="K41" t="s">
        <v>3002</v>
      </c>
      <c r="L41" t="s">
        <v>3003</v>
      </c>
      <c r="M41" t="s">
        <v>3675</v>
      </c>
      <c r="N41" t="s">
        <v>3676</v>
      </c>
      <c r="O41" t="s">
        <v>3677</v>
      </c>
      <c r="P41" t="s">
        <v>3678</v>
      </c>
      <c r="Q41" t="s">
        <v>3679</v>
      </c>
      <c r="R41">
        <v>18331</v>
      </c>
      <c r="S41" t="s">
        <v>3032</v>
      </c>
      <c r="T41">
        <v>5352392465776140</v>
      </c>
      <c r="U41">
        <v>130</v>
      </c>
      <c r="V41">
        <v>42767</v>
      </c>
      <c r="W41" t="s">
        <v>3680</v>
      </c>
      <c r="X41" t="s">
        <v>3681</v>
      </c>
      <c r="Y41" t="s">
        <v>3012</v>
      </c>
      <c r="Z41" t="s">
        <v>3682</v>
      </c>
      <c r="AA41" t="s">
        <v>3683</v>
      </c>
      <c r="AB41" t="s">
        <v>3684</v>
      </c>
      <c r="AC41" t="s">
        <v>3685</v>
      </c>
      <c r="AD41" t="s">
        <v>3153</v>
      </c>
      <c r="AE41">
        <v>216.5</v>
      </c>
      <c r="AF41">
        <v>98.4</v>
      </c>
      <c r="AG41" t="s">
        <v>3207</v>
      </c>
      <c r="AH41">
        <v>169</v>
      </c>
      <c r="AI41" t="s">
        <v>3686</v>
      </c>
      <c r="AJ41">
        <v>49.306668000000002</v>
      </c>
      <c r="AK41">
        <v>-123.224887</v>
      </c>
      <c r="AL41" t="str">
        <f>CONCATENATE(Names!D41," ",Names!F41)</f>
        <v>William Perreault</v>
      </c>
    </row>
    <row r="42" spans="1:38" x14ac:dyDescent="0.3">
      <c r="A42">
        <v>243</v>
      </c>
      <c r="B42" t="s">
        <v>3020</v>
      </c>
      <c r="C42" t="s">
        <v>3021</v>
      </c>
      <c r="D42" t="s">
        <v>3414</v>
      </c>
      <c r="E42" t="s">
        <v>3655</v>
      </c>
      <c r="F42" t="s">
        <v>3687</v>
      </c>
      <c r="G42" t="s">
        <v>3688</v>
      </c>
      <c r="H42" t="s">
        <v>3689</v>
      </c>
      <c r="I42" t="s">
        <v>3000</v>
      </c>
      <c r="J42" t="s">
        <v>3690</v>
      </c>
      <c r="K42" t="s">
        <v>3002</v>
      </c>
      <c r="L42" t="s">
        <v>3003</v>
      </c>
      <c r="M42" t="s">
        <v>3691</v>
      </c>
      <c r="N42" t="s">
        <v>3692</v>
      </c>
      <c r="O42" t="s">
        <v>3693</v>
      </c>
      <c r="P42" t="s">
        <v>3694</v>
      </c>
      <c r="Q42" t="s">
        <v>3695</v>
      </c>
      <c r="R42">
        <v>30819</v>
      </c>
      <c r="S42" t="s">
        <v>3009</v>
      </c>
      <c r="T42">
        <v>4556820375737440</v>
      </c>
      <c r="U42">
        <v>382</v>
      </c>
      <c r="V42">
        <v>42948</v>
      </c>
      <c r="W42" t="s">
        <v>3696</v>
      </c>
      <c r="X42" t="s">
        <v>3697</v>
      </c>
      <c r="Y42" t="s">
        <v>3221</v>
      </c>
      <c r="Z42" t="s">
        <v>3698</v>
      </c>
      <c r="AA42" t="s">
        <v>3699</v>
      </c>
      <c r="AB42" t="s">
        <v>3700</v>
      </c>
      <c r="AC42" t="s">
        <v>3701</v>
      </c>
      <c r="AD42" t="s">
        <v>3153</v>
      </c>
      <c r="AE42">
        <v>205.5</v>
      </c>
      <c r="AF42">
        <v>93.4</v>
      </c>
      <c r="AG42" t="s">
        <v>3098</v>
      </c>
      <c r="AH42">
        <v>168</v>
      </c>
      <c r="AI42" t="s">
        <v>3702</v>
      </c>
      <c r="AJ42">
        <v>51.578941999999998</v>
      </c>
      <c r="AK42">
        <v>-120.023771</v>
      </c>
      <c r="AL42" t="str">
        <f>CONCATENATE(Names!D42," ",Names!F42)</f>
        <v>Kelly Torrence</v>
      </c>
    </row>
    <row r="43" spans="1:38" x14ac:dyDescent="0.3">
      <c r="A43">
        <v>246</v>
      </c>
      <c r="B43" t="s">
        <v>2994</v>
      </c>
      <c r="C43" t="s">
        <v>2995</v>
      </c>
      <c r="D43" t="s">
        <v>3703</v>
      </c>
      <c r="E43" t="s">
        <v>131</v>
      </c>
      <c r="F43" t="s">
        <v>3493</v>
      </c>
      <c r="G43" t="s">
        <v>3704</v>
      </c>
      <c r="H43" t="s">
        <v>3705</v>
      </c>
      <c r="I43" t="s">
        <v>3000</v>
      </c>
      <c r="J43" t="s">
        <v>3706</v>
      </c>
      <c r="K43" t="s">
        <v>3002</v>
      </c>
      <c r="L43" t="s">
        <v>3003</v>
      </c>
      <c r="M43" t="s">
        <v>3707</v>
      </c>
      <c r="N43" t="s">
        <v>3708</v>
      </c>
      <c r="O43" t="s">
        <v>3709</v>
      </c>
      <c r="P43" t="s">
        <v>3710</v>
      </c>
      <c r="Q43" t="s">
        <v>3711</v>
      </c>
      <c r="R43">
        <v>23701</v>
      </c>
      <c r="S43" t="s">
        <v>3009</v>
      </c>
      <c r="T43">
        <v>4916378851120780</v>
      </c>
      <c r="U43">
        <v>767</v>
      </c>
      <c r="V43">
        <v>42767</v>
      </c>
      <c r="W43" t="s">
        <v>3712</v>
      </c>
      <c r="X43" t="s">
        <v>3713</v>
      </c>
      <c r="Y43" t="s">
        <v>3221</v>
      </c>
      <c r="Z43" t="s">
        <v>3714</v>
      </c>
      <c r="AA43" t="s">
        <v>3715</v>
      </c>
      <c r="AB43" t="s">
        <v>3716</v>
      </c>
      <c r="AC43" t="s">
        <v>3717</v>
      </c>
      <c r="AD43" t="s">
        <v>3133</v>
      </c>
      <c r="AE43">
        <v>232.1</v>
      </c>
      <c r="AF43">
        <v>105.5</v>
      </c>
      <c r="AG43" t="s">
        <v>3443</v>
      </c>
      <c r="AH43">
        <v>180</v>
      </c>
      <c r="AI43" t="s">
        <v>3718</v>
      </c>
      <c r="AJ43">
        <v>59.588903999999999</v>
      </c>
      <c r="AK43">
        <v>-133.66374300000001</v>
      </c>
      <c r="AL43" t="str">
        <f>CONCATENATE(Names!D43," ",Names!F43)</f>
        <v>Antonio Mitchell</v>
      </c>
    </row>
    <row r="44" spans="1:38" x14ac:dyDescent="0.3">
      <c r="A44">
        <v>249</v>
      </c>
      <c r="B44" t="s">
        <v>2994</v>
      </c>
      <c r="C44" t="s">
        <v>2995</v>
      </c>
      <c r="D44" t="s">
        <v>3719</v>
      </c>
      <c r="E44" t="s">
        <v>328</v>
      </c>
      <c r="F44" t="s">
        <v>3720</v>
      </c>
      <c r="G44" t="s">
        <v>3721</v>
      </c>
      <c r="H44" t="s">
        <v>3722</v>
      </c>
      <c r="I44" t="s">
        <v>3000</v>
      </c>
      <c r="J44" t="s">
        <v>3723</v>
      </c>
      <c r="K44" t="s">
        <v>3002</v>
      </c>
      <c r="L44" t="s">
        <v>3003</v>
      </c>
      <c r="M44" t="s">
        <v>3724</v>
      </c>
      <c r="N44" t="s">
        <v>3725</v>
      </c>
      <c r="O44" t="s">
        <v>3726</v>
      </c>
      <c r="P44" t="s">
        <v>3727</v>
      </c>
      <c r="Q44" t="s">
        <v>3330</v>
      </c>
      <c r="R44">
        <v>33962</v>
      </c>
      <c r="S44" t="s">
        <v>3032</v>
      </c>
      <c r="T44">
        <v>5350430634550290</v>
      </c>
      <c r="U44">
        <v>399</v>
      </c>
      <c r="V44">
        <v>42795</v>
      </c>
      <c r="W44" t="s">
        <v>3728</v>
      </c>
      <c r="X44" t="s">
        <v>3729</v>
      </c>
      <c r="Y44" t="s">
        <v>3012</v>
      </c>
      <c r="Z44" t="s">
        <v>3730</v>
      </c>
      <c r="AA44" t="s">
        <v>3731</v>
      </c>
      <c r="AB44" t="s">
        <v>3732</v>
      </c>
      <c r="AC44" t="s">
        <v>3733</v>
      </c>
      <c r="AD44" t="s">
        <v>3097</v>
      </c>
      <c r="AE44">
        <v>171.6</v>
      </c>
      <c r="AF44">
        <v>78</v>
      </c>
      <c r="AG44" t="s">
        <v>3189</v>
      </c>
      <c r="AH44">
        <v>182</v>
      </c>
      <c r="AI44" t="s">
        <v>3734</v>
      </c>
      <c r="AJ44">
        <v>49.268937000000001</v>
      </c>
      <c r="AK44">
        <v>-124.786536</v>
      </c>
      <c r="AL44" t="str">
        <f>CONCATENATE(Names!D44," ",Names!F44)</f>
        <v>Todd Daniels</v>
      </c>
    </row>
    <row r="45" spans="1:38" x14ac:dyDescent="0.3">
      <c r="A45">
        <v>250</v>
      </c>
      <c r="B45" t="s">
        <v>3020</v>
      </c>
      <c r="C45" t="s">
        <v>3062</v>
      </c>
      <c r="D45" t="s">
        <v>3735</v>
      </c>
      <c r="E45" t="s">
        <v>3655</v>
      </c>
      <c r="F45" t="s">
        <v>3736</v>
      </c>
      <c r="G45" t="s">
        <v>3737</v>
      </c>
      <c r="H45" t="s">
        <v>3738</v>
      </c>
      <c r="I45" t="s">
        <v>3000</v>
      </c>
      <c r="J45" t="s">
        <v>3739</v>
      </c>
      <c r="K45" t="s">
        <v>3002</v>
      </c>
      <c r="L45" t="s">
        <v>3003</v>
      </c>
      <c r="M45" t="s">
        <v>3740</v>
      </c>
      <c r="N45" t="s">
        <v>3741</v>
      </c>
      <c r="O45" t="s">
        <v>3742</v>
      </c>
      <c r="P45" t="s">
        <v>3743</v>
      </c>
      <c r="Q45" t="s">
        <v>3744</v>
      </c>
      <c r="R45">
        <v>22985</v>
      </c>
      <c r="S45" t="s">
        <v>3009</v>
      </c>
      <c r="T45">
        <v>4539916065181950</v>
      </c>
      <c r="U45">
        <v>717</v>
      </c>
      <c r="V45">
        <v>43101</v>
      </c>
      <c r="W45" t="s">
        <v>3745</v>
      </c>
      <c r="X45" t="s">
        <v>3746</v>
      </c>
      <c r="Y45" t="s">
        <v>3323</v>
      </c>
      <c r="Z45" t="s">
        <v>3747</v>
      </c>
      <c r="AA45" t="s">
        <v>3748</v>
      </c>
      <c r="AB45" t="s">
        <v>3749</v>
      </c>
      <c r="AC45" t="s">
        <v>3750</v>
      </c>
      <c r="AD45" t="s">
        <v>3097</v>
      </c>
      <c r="AE45">
        <v>171.8</v>
      </c>
      <c r="AF45">
        <v>78.099999999999994</v>
      </c>
      <c r="AG45" t="s">
        <v>3079</v>
      </c>
      <c r="AH45">
        <v>158</v>
      </c>
      <c r="AI45" t="s">
        <v>3751</v>
      </c>
      <c r="AJ45">
        <v>49.303266999999998</v>
      </c>
      <c r="AK45">
        <v>-123.07295999999999</v>
      </c>
      <c r="AL45" t="str">
        <f>CONCATENATE(Names!D45," ",Names!F45)</f>
        <v>Maggie Massey</v>
      </c>
    </row>
    <row r="46" spans="1:38" x14ac:dyDescent="0.3">
      <c r="A46">
        <v>254</v>
      </c>
      <c r="B46" t="s">
        <v>2994</v>
      </c>
      <c r="C46" t="s">
        <v>2995</v>
      </c>
      <c r="D46" t="s">
        <v>3752</v>
      </c>
      <c r="E46" t="s">
        <v>3655</v>
      </c>
      <c r="F46" t="s">
        <v>3753</v>
      </c>
      <c r="G46" t="s">
        <v>3754</v>
      </c>
      <c r="H46" t="s">
        <v>2</v>
      </c>
      <c r="I46" t="s">
        <v>3000</v>
      </c>
      <c r="J46" t="s">
        <v>3755</v>
      </c>
      <c r="K46" t="s">
        <v>3002</v>
      </c>
      <c r="L46" t="s">
        <v>3003</v>
      </c>
      <c r="M46" t="s">
        <v>3756</v>
      </c>
      <c r="N46" t="s">
        <v>3757</v>
      </c>
      <c r="O46" t="s">
        <v>3758</v>
      </c>
      <c r="P46" t="s">
        <v>3759</v>
      </c>
      <c r="Q46" t="s">
        <v>3760</v>
      </c>
      <c r="R46">
        <v>31714</v>
      </c>
      <c r="S46" t="s">
        <v>3032</v>
      </c>
      <c r="T46">
        <v>5455463670396130</v>
      </c>
      <c r="U46">
        <v>263</v>
      </c>
      <c r="V46">
        <v>43374</v>
      </c>
      <c r="W46" t="s">
        <v>3761</v>
      </c>
      <c r="X46" t="s">
        <v>3762</v>
      </c>
      <c r="Y46" t="s">
        <v>3012</v>
      </c>
      <c r="Z46" t="s">
        <v>3763</v>
      </c>
      <c r="AA46" t="s">
        <v>3223</v>
      </c>
      <c r="AB46" t="s">
        <v>3764</v>
      </c>
      <c r="AC46" t="s">
        <v>3765</v>
      </c>
      <c r="AD46" t="s">
        <v>3153</v>
      </c>
      <c r="AE46">
        <v>134.19999999999999</v>
      </c>
      <c r="AF46">
        <v>61</v>
      </c>
      <c r="AG46" t="s">
        <v>3060</v>
      </c>
      <c r="AH46">
        <v>175</v>
      </c>
      <c r="AI46" t="s">
        <v>3766</v>
      </c>
      <c r="AJ46">
        <v>48.350786999999997</v>
      </c>
      <c r="AK46">
        <v>-123.347781</v>
      </c>
      <c r="AL46" t="str">
        <f>CONCATENATE(Names!D46," ",Names!F46)</f>
        <v>Esteban Zavala</v>
      </c>
    </row>
    <row r="47" spans="1:38" x14ac:dyDescent="0.3">
      <c r="A47">
        <v>260</v>
      </c>
      <c r="B47" t="s">
        <v>2994</v>
      </c>
      <c r="C47" t="s">
        <v>2995</v>
      </c>
      <c r="D47" t="s">
        <v>3541</v>
      </c>
      <c r="E47" t="s">
        <v>100</v>
      </c>
      <c r="F47" t="s">
        <v>3767</v>
      </c>
      <c r="G47" t="s">
        <v>3768</v>
      </c>
      <c r="H47" t="s">
        <v>3769</v>
      </c>
      <c r="I47" t="s">
        <v>3000</v>
      </c>
      <c r="J47" t="s">
        <v>3770</v>
      </c>
      <c r="K47" t="s">
        <v>3002</v>
      </c>
      <c r="L47" t="s">
        <v>3003</v>
      </c>
      <c r="M47" t="s">
        <v>3771</v>
      </c>
      <c r="N47" t="s">
        <v>3772</v>
      </c>
      <c r="O47" t="s">
        <v>3773</v>
      </c>
      <c r="P47" t="s">
        <v>3774</v>
      </c>
      <c r="Q47" t="s">
        <v>3775</v>
      </c>
      <c r="R47">
        <v>33486</v>
      </c>
      <c r="S47" t="s">
        <v>3009</v>
      </c>
      <c r="T47">
        <v>4929162087842670</v>
      </c>
      <c r="U47">
        <v>507</v>
      </c>
      <c r="V47">
        <v>42583</v>
      </c>
      <c r="W47" t="s">
        <v>3776</v>
      </c>
      <c r="X47" t="s">
        <v>3777</v>
      </c>
      <c r="Y47" t="s">
        <v>3221</v>
      </c>
      <c r="Z47" t="s">
        <v>3778</v>
      </c>
      <c r="AA47" t="s">
        <v>3779</v>
      </c>
      <c r="AB47" t="s">
        <v>3780</v>
      </c>
      <c r="AC47" t="s">
        <v>3781</v>
      </c>
      <c r="AD47" t="s">
        <v>3153</v>
      </c>
      <c r="AE47">
        <v>216.7</v>
      </c>
      <c r="AF47">
        <v>98.5</v>
      </c>
      <c r="AG47" t="s">
        <v>3018</v>
      </c>
      <c r="AH47">
        <v>185</v>
      </c>
      <c r="AI47" t="s">
        <v>3782</v>
      </c>
      <c r="AJ47">
        <v>50.810496000000001</v>
      </c>
      <c r="AK47">
        <v>-127.46295600000001</v>
      </c>
      <c r="AL47" t="str">
        <f>CONCATENATE(Names!D47," ",Names!F47)</f>
        <v>Bruce Knuth</v>
      </c>
    </row>
    <row r="48" spans="1:38" x14ac:dyDescent="0.3">
      <c r="A48">
        <v>261</v>
      </c>
      <c r="B48" t="s">
        <v>2994</v>
      </c>
      <c r="C48" t="s">
        <v>2995</v>
      </c>
      <c r="D48" t="s">
        <v>3783</v>
      </c>
      <c r="E48" t="s">
        <v>325</v>
      </c>
      <c r="F48" t="s">
        <v>3784</v>
      </c>
      <c r="G48" t="s">
        <v>3785</v>
      </c>
      <c r="H48" t="s">
        <v>48</v>
      </c>
      <c r="I48" t="s">
        <v>3000</v>
      </c>
      <c r="J48" t="s">
        <v>3786</v>
      </c>
      <c r="K48" t="s">
        <v>3002</v>
      </c>
      <c r="L48" t="s">
        <v>3003</v>
      </c>
      <c r="M48" t="s">
        <v>3787</v>
      </c>
      <c r="N48" t="s">
        <v>3788</v>
      </c>
      <c r="O48" t="s">
        <v>3789</v>
      </c>
      <c r="P48" t="s">
        <v>3790</v>
      </c>
      <c r="Q48" t="s">
        <v>3791</v>
      </c>
      <c r="R48">
        <v>31731</v>
      </c>
      <c r="S48" t="s">
        <v>3009</v>
      </c>
      <c r="T48">
        <v>4539032742642340</v>
      </c>
      <c r="U48">
        <v>437</v>
      </c>
      <c r="V48">
        <v>42948</v>
      </c>
      <c r="W48" t="s">
        <v>3792</v>
      </c>
      <c r="X48" t="s">
        <v>3793</v>
      </c>
      <c r="Y48" t="s">
        <v>3012</v>
      </c>
      <c r="Z48" t="s">
        <v>3794</v>
      </c>
      <c r="AA48" t="s">
        <v>3795</v>
      </c>
      <c r="AB48" t="s">
        <v>3796</v>
      </c>
      <c r="AC48" t="s">
        <v>3797</v>
      </c>
      <c r="AD48" t="s">
        <v>3059</v>
      </c>
      <c r="AE48">
        <v>222.2</v>
      </c>
      <c r="AF48">
        <v>101</v>
      </c>
      <c r="AG48" t="s">
        <v>3207</v>
      </c>
      <c r="AH48">
        <v>169</v>
      </c>
      <c r="AI48" t="s">
        <v>3798</v>
      </c>
      <c r="AJ48">
        <v>50.206353</v>
      </c>
      <c r="AK48">
        <v>-119.17443900000001</v>
      </c>
      <c r="AL48" t="str">
        <f>CONCATENATE(Names!D48," ",Names!F48)</f>
        <v>Norman Owens</v>
      </c>
    </row>
    <row r="49" spans="1:38" x14ac:dyDescent="0.3">
      <c r="A49">
        <v>264</v>
      </c>
      <c r="B49" t="s">
        <v>3020</v>
      </c>
      <c r="C49" t="s">
        <v>3021</v>
      </c>
      <c r="D49" t="s">
        <v>3799</v>
      </c>
      <c r="E49" t="s">
        <v>2997</v>
      </c>
      <c r="F49" t="s">
        <v>3200</v>
      </c>
      <c r="G49" t="s">
        <v>3800</v>
      </c>
      <c r="H49" t="s">
        <v>3245</v>
      </c>
      <c r="I49" t="s">
        <v>3000</v>
      </c>
      <c r="J49" t="s">
        <v>3801</v>
      </c>
      <c r="K49" t="s">
        <v>3002</v>
      </c>
      <c r="L49" t="s">
        <v>3003</v>
      </c>
      <c r="M49" t="s">
        <v>3802</v>
      </c>
      <c r="N49" t="s">
        <v>3803</v>
      </c>
      <c r="O49" t="s">
        <v>3804</v>
      </c>
      <c r="P49" t="s">
        <v>3805</v>
      </c>
      <c r="Q49" t="s">
        <v>3446</v>
      </c>
      <c r="R49">
        <v>34046</v>
      </c>
      <c r="S49" t="s">
        <v>3009</v>
      </c>
      <c r="T49">
        <v>4556109265568130</v>
      </c>
      <c r="U49">
        <v>804</v>
      </c>
      <c r="V49">
        <v>42917</v>
      </c>
      <c r="W49" t="s">
        <v>3806</v>
      </c>
      <c r="X49" t="s">
        <v>3807</v>
      </c>
      <c r="Y49" t="s">
        <v>3012</v>
      </c>
      <c r="Z49" t="s">
        <v>3808</v>
      </c>
      <c r="AA49" t="s">
        <v>3809</v>
      </c>
      <c r="AB49" t="s">
        <v>3810</v>
      </c>
      <c r="AC49" t="s">
        <v>3811</v>
      </c>
      <c r="AD49" t="s">
        <v>3153</v>
      </c>
      <c r="AE49">
        <v>196.2</v>
      </c>
      <c r="AF49">
        <v>89.2</v>
      </c>
      <c r="AG49" t="s">
        <v>3508</v>
      </c>
      <c r="AH49">
        <v>161</v>
      </c>
      <c r="AI49" t="s">
        <v>3812</v>
      </c>
      <c r="AJ49">
        <v>49.176647000000003</v>
      </c>
      <c r="AK49">
        <v>-123.88379399999999</v>
      </c>
      <c r="AL49" t="str">
        <f>CONCATENATE(Names!D49," ",Names!F49)</f>
        <v>Hilary Williams</v>
      </c>
    </row>
    <row r="50" spans="1:38" x14ac:dyDescent="0.3">
      <c r="A50">
        <v>265</v>
      </c>
      <c r="B50" t="s">
        <v>3020</v>
      </c>
      <c r="C50" t="s">
        <v>3062</v>
      </c>
      <c r="D50" t="s">
        <v>3813</v>
      </c>
      <c r="E50" t="s">
        <v>3364</v>
      </c>
      <c r="F50" t="s">
        <v>3814</v>
      </c>
      <c r="G50" t="s">
        <v>3815</v>
      </c>
      <c r="H50" t="s">
        <v>3176</v>
      </c>
      <c r="I50" t="s">
        <v>3000</v>
      </c>
      <c r="J50" t="s">
        <v>3177</v>
      </c>
      <c r="K50" t="s">
        <v>3002</v>
      </c>
      <c r="L50" t="s">
        <v>3003</v>
      </c>
      <c r="M50" t="s">
        <v>3816</v>
      </c>
      <c r="N50" t="s">
        <v>3817</v>
      </c>
      <c r="O50" t="s">
        <v>3818</v>
      </c>
      <c r="P50" t="s">
        <v>3819</v>
      </c>
      <c r="Q50" t="s">
        <v>3820</v>
      </c>
      <c r="R50">
        <v>29448</v>
      </c>
      <c r="S50" t="s">
        <v>3032</v>
      </c>
      <c r="T50">
        <v>5137509452272370</v>
      </c>
      <c r="U50">
        <v>558</v>
      </c>
      <c r="V50">
        <v>42583</v>
      </c>
      <c r="W50" t="s">
        <v>3821</v>
      </c>
      <c r="X50" t="s">
        <v>3822</v>
      </c>
      <c r="Y50" t="s">
        <v>3074</v>
      </c>
      <c r="Z50" t="s">
        <v>3823</v>
      </c>
      <c r="AA50" t="s">
        <v>3824</v>
      </c>
      <c r="AB50" t="s">
        <v>3825</v>
      </c>
      <c r="AC50" t="s">
        <v>3826</v>
      </c>
      <c r="AD50" t="s">
        <v>3059</v>
      </c>
      <c r="AE50">
        <v>192.1</v>
      </c>
      <c r="AF50">
        <v>87.3</v>
      </c>
      <c r="AG50" t="s">
        <v>3060</v>
      </c>
      <c r="AH50">
        <v>174</v>
      </c>
      <c r="AI50" t="s">
        <v>3827</v>
      </c>
      <c r="AJ50">
        <v>49.129179999999998</v>
      </c>
      <c r="AK50">
        <v>-121.88642900000001</v>
      </c>
      <c r="AL50" t="str">
        <f>CONCATENATE(Names!D50," ",Names!F50)</f>
        <v>Laree Knoll</v>
      </c>
    </row>
    <row r="51" spans="1:38" x14ac:dyDescent="0.3">
      <c r="A51">
        <v>271</v>
      </c>
      <c r="B51" t="s">
        <v>2994</v>
      </c>
      <c r="C51" t="s">
        <v>2995</v>
      </c>
      <c r="D51" t="s">
        <v>3828</v>
      </c>
      <c r="E51" t="s">
        <v>3364</v>
      </c>
      <c r="F51" t="s">
        <v>3044</v>
      </c>
      <c r="G51" t="s">
        <v>3829</v>
      </c>
      <c r="H51" t="s">
        <v>3140</v>
      </c>
      <c r="I51" t="s">
        <v>3000</v>
      </c>
      <c r="J51" t="s">
        <v>3141</v>
      </c>
      <c r="K51" t="s">
        <v>3002</v>
      </c>
      <c r="L51" t="s">
        <v>3003</v>
      </c>
      <c r="M51" t="s">
        <v>3830</v>
      </c>
      <c r="N51" t="s">
        <v>3831</v>
      </c>
      <c r="O51" t="s">
        <v>3832</v>
      </c>
      <c r="P51" t="s">
        <v>3833</v>
      </c>
      <c r="Q51" t="s">
        <v>3834</v>
      </c>
      <c r="R51">
        <v>19736</v>
      </c>
      <c r="S51" t="s">
        <v>3009</v>
      </c>
      <c r="T51">
        <v>4929168028258690</v>
      </c>
      <c r="U51">
        <v>347</v>
      </c>
      <c r="V51">
        <v>43800</v>
      </c>
      <c r="W51" t="s">
        <v>3835</v>
      </c>
      <c r="X51" t="s">
        <v>3836</v>
      </c>
      <c r="Y51" t="s">
        <v>3012</v>
      </c>
      <c r="Z51" t="s">
        <v>3837</v>
      </c>
      <c r="AA51" t="s">
        <v>3838</v>
      </c>
      <c r="AB51" t="s">
        <v>3839</v>
      </c>
      <c r="AC51" t="s">
        <v>3840</v>
      </c>
      <c r="AD51" t="s">
        <v>3097</v>
      </c>
      <c r="AE51">
        <v>165</v>
      </c>
      <c r="AF51">
        <v>75</v>
      </c>
      <c r="AG51" t="s">
        <v>3207</v>
      </c>
      <c r="AH51">
        <v>170</v>
      </c>
      <c r="AI51" t="s">
        <v>3841</v>
      </c>
      <c r="AJ51">
        <v>49.905275000000003</v>
      </c>
      <c r="AK51">
        <v>-119.49523600000001</v>
      </c>
      <c r="AL51" t="str">
        <f>CONCATENATE(Names!D51," ",Names!F51)</f>
        <v>Timothy McCullough</v>
      </c>
    </row>
    <row r="52" spans="1:38" x14ac:dyDescent="0.3">
      <c r="A52">
        <v>277</v>
      </c>
      <c r="B52" t="s">
        <v>3020</v>
      </c>
      <c r="C52" t="s">
        <v>3062</v>
      </c>
      <c r="D52" t="s">
        <v>3842</v>
      </c>
      <c r="E52" t="s">
        <v>3137</v>
      </c>
      <c r="F52" t="s">
        <v>3843</v>
      </c>
      <c r="G52" t="s">
        <v>3844</v>
      </c>
      <c r="H52" t="s">
        <v>19</v>
      </c>
      <c r="I52" t="s">
        <v>3000</v>
      </c>
      <c r="J52" t="s">
        <v>3845</v>
      </c>
      <c r="K52" t="s">
        <v>3002</v>
      </c>
      <c r="L52" t="s">
        <v>3003</v>
      </c>
      <c r="M52" t="s">
        <v>3846</v>
      </c>
      <c r="N52" t="s">
        <v>3847</v>
      </c>
      <c r="O52" t="s">
        <v>3848</v>
      </c>
      <c r="P52" t="s">
        <v>3849</v>
      </c>
      <c r="Q52" t="s">
        <v>3850</v>
      </c>
      <c r="R52">
        <v>21833</v>
      </c>
      <c r="S52" t="s">
        <v>3032</v>
      </c>
      <c r="T52">
        <v>5166193014292080</v>
      </c>
      <c r="U52">
        <v>506</v>
      </c>
      <c r="V52">
        <v>42856</v>
      </c>
      <c r="W52" t="s">
        <v>3851</v>
      </c>
      <c r="X52" t="s">
        <v>3852</v>
      </c>
      <c r="Y52" t="s">
        <v>3074</v>
      </c>
      <c r="Z52" t="s">
        <v>3853</v>
      </c>
      <c r="AA52" t="s">
        <v>3854</v>
      </c>
      <c r="AB52" t="s">
        <v>3855</v>
      </c>
      <c r="AC52" t="s">
        <v>3856</v>
      </c>
      <c r="AD52" t="s">
        <v>3040</v>
      </c>
      <c r="AE52">
        <v>193.2</v>
      </c>
      <c r="AF52">
        <v>87.8</v>
      </c>
      <c r="AG52" t="s">
        <v>3041</v>
      </c>
      <c r="AH52">
        <v>155</v>
      </c>
      <c r="AI52" t="s">
        <v>3857</v>
      </c>
      <c r="AJ52">
        <v>49.341737000000002</v>
      </c>
      <c r="AK52">
        <v>-123.081604</v>
      </c>
      <c r="AL52" t="str">
        <f>CONCATENATE(Names!D52," ",Names!F52)</f>
        <v>Deborah McMillian</v>
      </c>
    </row>
    <row r="53" spans="1:38" x14ac:dyDescent="0.3">
      <c r="A53">
        <v>294</v>
      </c>
      <c r="B53" t="s">
        <v>3020</v>
      </c>
      <c r="C53" t="s">
        <v>3021</v>
      </c>
      <c r="D53" t="s">
        <v>3858</v>
      </c>
      <c r="E53" t="s">
        <v>322</v>
      </c>
      <c r="F53" t="s">
        <v>3859</v>
      </c>
      <c r="G53" t="s">
        <v>3860</v>
      </c>
      <c r="H53" t="s">
        <v>3861</v>
      </c>
      <c r="I53" t="s">
        <v>3000</v>
      </c>
      <c r="J53" t="s">
        <v>3862</v>
      </c>
      <c r="K53" t="s">
        <v>3002</v>
      </c>
      <c r="L53" t="s">
        <v>3003</v>
      </c>
      <c r="M53" t="s">
        <v>3863</v>
      </c>
      <c r="N53" t="s">
        <v>3864</v>
      </c>
      <c r="O53" t="s">
        <v>3865</v>
      </c>
      <c r="P53" t="s">
        <v>3866</v>
      </c>
      <c r="Q53" t="s">
        <v>3867</v>
      </c>
      <c r="R53">
        <v>33446</v>
      </c>
      <c r="S53" t="s">
        <v>3009</v>
      </c>
      <c r="T53">
        <v>4539015127402320</v>
      </c>
      <c r="U53">
        <v>907</v>
      </c>
      <c r="V53">
        <v>42705</v>
      </c>
      <c r="W53" t="s">
        <v>3868</v>
      </c>
      <c r="X53" t="s">
        <v>3869</v>
      </c>
      <c r="Y53" t="s">
        <v>3035</v>
      </c>
      <c r="Z53" t="s">
        <v>3870</v>
      </c>
      <c r="AA53" t="s">
        <v>3871</v>
      </c>
      <c r="AB53" t="s">
        <v>3872</v>
      </c>
      <c r="AC53" t="s">
        <v>3873</v>
      </c>
      <c r="AD53" t="s">
        <v>3059</v>
      </c>
      <c r="AE53">
        <v>149.19999999999999</v>
      </c>
      <c r="AF53">
        <v>67.8</v>
      </c>
      <c r="AG53" t="s">
        <v>3508</v>
      </c>
      <c r="AH53">
        <v>159</v>
      </c>
      <c r="AI53" t="s">
        <v>3874</v>
      </c>
      <c r="AJ53">
        <v>49.839069000000002</v>
      </c>
      <c r="AK53">
        <v>-118.059034</v>
      </c>
      <c r="AL53" t="str">
        <f>CONCATENATE(Names!D53," ",Names!F53)</f>
        <v>Pauline Benfield</v>
      </c>
    </row>
    <row r="54" spans="1:38" x14ac:dyDescent="0.3">
      <c r="A54">
        <v>305</v>
      </c>
      <c r="B54" t="s">
        <v>3020</v>
      </c>
      <c r="C54" t="s">
        <v>3021</v>
      </c>
      <c r="D54" t="s">
        <v>3875</v>
      </c>
      <c r="E54" t="s">
        <v>3101</v>
      </c>
      <c r="F54" t="s">
        <v>2998</v>
      </c>
      <c r="G54" t="s">
        <v>3876</v>
      </c>
      <c r="H54" t="s">
        <v>19</v>
      </c>
      <c r="I54" t="s">
        <v>3000</v>
      </c>
      <c r="J54" t="s">
        <v>3845</v>
      </c>
      <c r="K54" t="s">
        <v>3002</v>
      </c>
      <c r="L54" t="s">
        <v>3003</v>
      </c>
      <c r="M54" t="s">
        <v>3877</v>
      </c>
      <c r="N54" t="s">
        <v>3878</v>
      </c>
      <c r="O54" t="s">
        <v>3879</v>
      </c>
      <c r="P54" t="s">
        <v>3880</v>
      </c>
      <c r="Q54" t="s">
        <v>3288</v>
      </c>
      <c r="R54">
        <v>27528</v>
      </c>
      <c r="S54" t="s">
        <v>3009</v>
      </c>
      <c r="T54">
        <v>4929480487490910</v>
      </c>
      <c r="U54">
        <v>970</v>
      </c>
      <c r="V54">
        <v>42675</v>
      </c>
      <c r="W54" t="s">
        <v>3881</v>
      </c>
      <c r="X54" t="s">
        <v>3882</v>
      </c>
      <c r="Y54" t="s">
        <v>3012</v>
      </c>
      <c r="Z54" t="s">
        <v>3883</v>
      </c>
      <c r="AA54" t="s">
        <v>3884</v>
      </c>
      <c r="AB54" t="s">
        <v>3885</v>
      </c>
      <c r="AC54" t="s">
        <v>3886</v>
      </c>
      <c r="AD54" t="s">
        <v>3153</v>
      </c>
      <c r="AE54">
        <v>112.6</v>
      </c>
      <c r="AF54">
        <v>51.2</v>
      </c>
      <c r="AG54" t="s">
        <v>3134</v>
      </c>
      <c r="AH54">
        <v>166</v>
      </c>
      <c r="AI54" t="s">
        <v>3887</v>
      </c>
      <c r="AJ54">
        <v>49.154583000000002</v>
      </c>
      <c r="AK54">
        <v>-123.192795</v>
      </c>
      <c r="AL54" t="str">
        <f>CONCATENATE(Names!D54," ",Names!F54)</f>
        <v>Cortney Smith</v>
      </c>
    </row>
    <row r="55" spans="1:38" x14ac:dyDescent="0.3">
      <c r="A55">
        <v>310</v>
      </c>
      <c r="B55" t="s">
        <v>2994</v>
      </c>
      <c r="C55" t="s">
        <v>2995</v>
      </c>
      <c r="D55" t="s">
        <v>3888</v>
      </c>
      <c r="E55" t="s">
        <v>325</v>
      </c>
      <c r="F55" t="s">
        <v>3889</v>
      </c>
      <c r="G55" t="s">
        <v>3890</v>
      </c>
      <c r="H55" t="s">
        <v>3891</v>
      </c>
      <c r="I55" t="s">
        <v>3000</v>
      </c>
      <c r="J55" t="s">
        <v>3892</v>
      </c>
      <c r="K55" t="s">
        <v>3002</v>
      </c>
      <c r="L55" t="s">
        <v>3003</v>
      </c>
      <c r="M55" t="s">
        <v>3893</v>
      </c>
      <c r="N55" t="s">
        <v>3894</v>
      </c>
      <c r="O55" t="s">
        <v>3895</v>
      </c>
      <c r="P55" t="s">
        <v>3896</v>
      </c>
      <c r="Q55" t="s">
        <v>3897</v>
      </c>
      <c r="R55">
        <v>14070</v>
      </c>
      <c r="S55" t="s">
        <v>3032</v>
      </c>
      <c r="T55">
        <v>5132220569111510</v>
      </c>
      <c r="U55">
        <v>240</v>
      </c>
      <c r="V55">
        <v>43282</v>
      </c>
      <c r="W55" t="s">
        <v>3898</v>
      </c>
      <c r="X55" t="s">
        <v>3899</v>
      </c>
      <c r="Y55" t="s">
        <v>3012</v>
      </c>
      <c r="Z55" t="s">
        <v>3900</v>
      </c>
      <c r="AA55" t="s">
        <v>3901</v>
      </c>
      <c r="AB55" t="s">
        <v>3902</v>
      </c>
      <c r="AC55" t="s">
        <v>3903</v>
      </c>
      <c r="AD55" t="s">
        <v>3059</v>
      </c>
      <c r="AE55">
        <v>217.6</v>
      </c>
      <c r="AF55">
        <v>98.9</v>
      </c>
      <c r="AG55" t="s">
        <v>3189</v>
      </c>
      <c r="AH55">
        <v>182</v>
      </c>
      <c r="AI55" t="s">
        <v>3904</v>
      </c>
      <c r="AJ55">
        <v>49.409198000000004</v>
      </c>
      <c r="AK55">
        <v>-115.056448</v>
      </c>
      <c r="AL55" t="str">
        <f>CONCATENATE(Names!D55," ",Names!F55)</f>
        <v>John Key</v>
      </c>
    </row>
    <row r="56" spans="1:38" x14ac:dyDescent="0.3">
      <c r="A56">
        <v>314</v>
      </c>
      <c r="B56" t="s">
        <v>3020</v>
      </c>
      <c r="C56" t="s">
        <v>3062</v>
      </c>
      <c r="D56" t="s">
        <v>3905</v>
      </c>
      <c r="E56" t="s">
        <v>3655</v>
      </c>
      <c r="F56" t="s">
        <v>3906</v>
      </c>
      <c r="G56" t="s">
        <v>3907</v>
      </c>
      <c r="H56" t="s">
        <v>2</v>
      </c>
      <c r="I56" t="s">
        <v>3000</v>
      </c>
      <c r="J56" t="s">
        <v>3908</v>
      </c>
      <c r="K56" t="s">
        <v>3002</v>
      </c>
      <c r="L56" t="s">
        <v>3003</v>
      </c>
      <c r="M56" t="s">
        <v>3909</v>
      </c>
      <c r="N56" t="s">
        <v>3910</v>
      </c>
      <c r="O56" t="s">
        <v>3911</v>
      </c>
      <c r="P56" t="s">
        <v>3912</v>
      </c>
      <c r="Q56" t="s">
        <v>3913</v>
      </c>
      <c r="R56">
        <v>21321</v>
      </c>
      <c r="S56" t="s">
        <v>3032</v>
      </c>
      <c r="T56">
        <v>5538777231771170</v>
      </c>
      <c r="U56">
        <v>257</v>
      </c>
      <c r="V56">
        <v>42917</v>
      </c>
      <c r="W56" t="s">
        <v>3914</v>
      </c>
      <c r="X56" t="s">
        <v>3915</v>
      </c>
      <c r="Y56" t="s">
        <v>3074</v>
      </c>
      <c r="Z56" t="s">
        <v>3916</v>
      </c>
      <c r="AA56" t="s">
        <v>3917</v>
      </c>
      <c r="AB56" t="s">
        <v>3918</v>
      </c>
      <c r="AC56" t="s">
        <v>3919</v>
      </c>
      <c r="AD56" t="s">
        <v>3153</v>
      </c>
      <c r="AE56">
        <v>207.9</v>
      </c>
      <c r="AF56">
        <v>94.5</v>
      </c>
      <c r="AG56" t="s">
        <v>3134</v>
      </c>
      <c r="AH56">
        <v>165</v>
      </c>
      <c r="AI56" t="s">
        <v>3920</v>
      </c>
      <c r="AJ56">
        <v>48.387678000000001</v>
      </c>
      <c r="AK56">
        <v>-123.356206</v>
      </c>
      <c r="AL56" t="str">
        <f>CONCATENATE(Names!D56," ",Names!F56)</f>
        <v>Edna Fitz</v>
      </c>
    </row>
    <row r="57" spans="1:38" x14ac:dyDescent="0.3">
      <c r="A57">
        <v>316</v>
      </c>
      <c r="B57" t="s">
        <v>3020</v>
      </c>
      <c r="C57" t="s">
        <v>3021</v>
      </c>
      <c r="D57" t="s">
        <v>3526</v>
      </c>
      <c r="E57" t="s">
        <v>2997</v>
      </c>
      <c r="F57" t="s">
        <v>3921</v>
      </c>
      <c r="G57" t="s">
        <v>3922</v>
      </c>
      <c r="H57" t="s">
        <v>3923</v>
      </c>
      <c r="I57" t="s">
        <v>3000</v>
      </c>
      <c r="J57" t="s">
        <v>3924</v>
      </c>
      <c r="K57" t="s">
        <v>3002</v>
      </c>
      <c r="L57" t="s">
        <v>3003</v>
      </c>
      <c r="M57" t="s">
        <v>3925</v>
      </c>
      <c r="N57" t="s">
        <v>3926</v>
      </c>
      <c r="O57" t="s">
        <v>3927</v>
      </c>
      <c r="P57" t="s">
        <v>3928</v>
      </c>
      <c r="Q57" t="s">
        <v>3929</v>
      </c>
      <c r="R57">
        <v>19089</v>
      </c>
      <c r="S57" t="s">
        <v>3032</v>
      </c>
      <c r="T57">
        <v>5431451069127230</v>
      </c>
      <c r="U57">
        <v>692</v>
      </c>
      <c r="V57">
        <v>43132</v>
      </c>
      <c r="W57" t="s">
        <v>3930</v>
      </c>
      <c r="X57" t="s">
        <v>3931</v>
      </c>
      <c r="Y57" t="s">
        <v>3012</v>
      </c>
      <c r="Z57" t="s">
        <v>3932</v>
      </c>
      <c r="AA57" t="s">
        <v>3933</v>
      </c>
      <c r="AB57" t="s">
        <v>3934</v>
      </c>
      <c r="AC57" t="s">
        <v>3935</v>
      </c>
      <c r="AD57" t="s">
        <v>3040</v>
      </c>
      <c r="AE57">
        <v>119.5</v>
      </c>
      <c r="AF57">
        <v>54.3</v>
      </c>
      <c r="AG57" t="s">
        <v>3207</v>
      </c>
      <c r="AH57">
        <v>169</v>
      </c>
      <c r="AI57" t="s">
        <v>3936</v>
      </c>
      <c r="AJ57">
        <v>58.758881000000002</v>
      </c>
      <c r="AK57">
        <v>-122.54315699999999</v>
      </c>
      <c r="AL57" t="str">
        <f>CONCATENATE(Names!D57," ",Names!F57)</f>
        <v>Dorothy Petit</v>
      </c>
    </row>
    <row r="58" spans="1:38" x14ac:dyDescent="0.3">
      <c r="A58">
        <v>332</v>
      </c>
      <c r="B58" t="s">
        <v>2994</v>
      </c>
      <c r="C58" t="s">
        <v>2995</v>
      </c>
      <c r="D58" t="s">
        <v>3937</v>
      </c>
      <c r="E58" t="s">
        <v>3655</v>
      </c>
      <c r="F58" t="s">
        <v>3938</v>
      </c>
      <c r="G58" t="s">
        <v>3939</v>
      </c>
      <c r="H58" t="s">
        <v>2</v>
      </c>
      <c r="I58" t="s">
        <v>3000</v>
      </c>
      <c r="J58" t="s">
        <v>3940</v>
      </c>
      <c r="K58" t="s">
        <v>3002</v>
      </c>
      <c r="L58" t="s">
        <v>3003</v>
      </c>
      <c r="M58" t="s">
        <v>3941</v>
      </c>
      <c r="N58" t="s">
        <v>3942</v>
      </c>
      <c r="O58" t="s">
        <v>3943</v>
      </c>
      <c r="P58" t="s">
        <v>3944</v>
      </c>
      <c r="Q58" t="s">
        <v>3945</v>
      </c>
      <c r="R58">
        <v>13657</v>
      </c>
      <c r="S58" t="s">
        <v>3009</v>
      </c>
      <c r="T58">
        <v>4485001996379110</v>
      </c>
      <c r="U58">
        <v>891</v>
      </c>
      <c r="V58">
        <v>43709</v>
      </c>
      <c r="W58" t="s">
        <v>3946</v>
      </c>
      <c r="X58" t="s">
        <v>3947</v>
      </c>
      <c r="Y58" t="s">
        <v>3221</v>
      </c>
      <c r="Z58" t="s">
        <v>3948</v>
      </c>
      <c r="AA58" t="s">
        <v>3949</v>
      </c>
      <c r="AB58" t="s">
        <v>3950</v>
      </c>
      <c r="AC58" t="s">
        <v>3951</v>
      </c>
      <c r="AD58" t="s">
        <v>3059</v>
      </c>
      <c r="AE58">
        <v>180.6</v>
      </c>
      <c r="AF58">
        <v>82.1</v>
      </c>
      <c r="AG58" t="s">
        <v>3098</v>
      </c>
      <c r="AH58">
        <v>167</v>
      </c>
      <c r="AI58" t="s">
        <v>3952</v>
      </c>
      <c r="AJ58">
        <v>48.458281999999997</v>
      </c>
      <c r="AK58">
        <v>-123.309535</v>
      </c>
      <c r="AL58" t="str">
        <f>CONCATENATE(Names!D58," ",Names!F58)</f>
        <v>Ben Spear</v>
      </c>
    </row>
    <row r="59" spans="1:38" x14ac:dyDescent="0.3">
      <c r="A59">
        <v>333</v>
      </c>
      <c r="B59" t="s">
        <v>3020</v>
      </c>
      <c r="C59" t="s">
        <v>3062</v>
      </c>
      <c r="D59" t="s">
        <v>3953</v>
      </c>
      <c r="E59" t="s">
        <v>3477</v>
      </c>
      <c r="F59" t="s">
        <v>3363</v>
      </c>
      <c r="G59" t="s">
        <v>3954</v>
      </c>
      <c r="H59" t="s">
        <v>3263</v>
      </c>
      <c r="I59" t="s">
        <v>3000</v>
      </c>
      <c r="J59" t="s">
        <v>3264</v>
      </c>
      <c r="K59" t="s">
        <v>3002</v>
      </c>
      <c r="L59" t="s">
        <v>3003</v>
      </c>
      <c r="M59" t="s">
        <v>3955</v>
      </c>
      <c r="N59" t="s">
        <v>3956</v>
      </c>
      <c r="O59" t="s">
        <v>3957</v>
      </c>
      <c r="P59" t="s">
        <v>3958</v>
      </c>
      <c r="Q59" t="s">
        <v>3959</v>
      </c>
      <c r="R59">
        <v>33166</v>
      </c>
      <c r="S59" t="s">
        <v>3009</v>
      </c>
      <c r="T59">
        <v>4916462064084390</v>
      </c>
      <c r="U59">
        <v>6</v>
      </c>
      <c r="V59">
        <v>43344</v>
      </c>
      <c r="W59" t="s">
        <v>3960</v>
      </c>
      <c r="X59" t="s">
        <v>3961</v>
      </c>
      <c r="Y59" t="s">
        <v>3323</v>
      </c>
      <c r="Z59" t="s">
        <v>3962</v>
      </c>
      <c r="AA59" t="s">
        <v>3963</v>
      </c>
      <c r="AB59" t="s">
        <v>3964</v>
      </c>
      <c r="AC59" t="s">
        <v>3965</v>
      </c>
      <c r="AD59" t="s">
        <v>3097</v>
      </c>
      <c r="AE59">
        <v>214.1</v>
      </c>
      <c r="AF59">
        <v>97.3</v>
      </c>
      <c r="AG59" t="s">
        <v>3171</v>
      </c>
      <c r="AH59">
        <v>173</v>
      </c>
      <c r="AI59" t="s">
        <v>3966</v>
      </c>
      <c r="AJ59">
        <v>49.169786999999999</v>
      </c>
      <c r="AK59">
        <v>-122.956953</v>
      </c>
      <c r="AL59" t="str">
        <f>CONCATENATE(Names!D59," ",Names!F59)</f>
        <v>Alice Bill</v>
      </c>
    </row>
    <row r="60" spans="1:38" x14ac:dyDescent="0.3">
      <c r="A60">
        <v>334</v>
      </c>
      <c r="B60" t="s">
        <v>2994</v>
      </c>
      <c r="C60" t="s">
        <v>2995</v>
      </c>
      <c r="D60" t="s">
        <v>3967</v>
      </c>
      <c r="E60" t="s">
        <v>326</v>
      </c>
      <c r="F60" t="s">
        <v>3968</v>
      </c>
      <c r="G60" t="s">
        <v>3969</v>
      </c>
      <c r="H60" t="s">
        <v>19</v>
      </c>
      <c r="I60" t="s">
        <v>3000</v>
      </c>
      <c r="J60" t="s">
        <v>3970</v>
      </c>
      <c r="K60" t="s">
        <v>3002</v>
      </c>
      <c r="L60" t="s">
        <v>3003</v>
      </c>
      <c r="M60" t="s">
        <v>3971</v>
      </c>
      <c r="N60" t="s">
        <v>3972</v>
      </c>
      <c r="O60" t="s">
        <v>3973</v>
      </c>
      <c r="P60" t="s">
        <v>3974</v>
      </c>
      <c r="Q60" t="s">
        <v>3975</v>
      </c>
      <c r="R60">
        <v>24039</v>
      </c>
      <c r="S60" t="s">
        <v>3032</v>
      </c>
      <c r="T60">
        <v>5375761645820650</v>
      </c>
      <c r="U60">
        <v>259</v>
      </c>
      <c r="V60">
        <v>42795</v>
      </c>
      <c r="W60" t="s">
        <v>3976</v>
      </c>
      <c r="X60" t="s">
        <v>3977</v>
      </c>
      <c r="Y60" t="s">
        <v>3012</v>
      </c>
      <c r="Z60" t="s">
        <v>3978</v>
      </c>
      <c r="AA60" t="s">
        <v>3979</v>
      </c>
      <c r="AB60" t="s">
        <v>3980</v>
      </c>
      <c r="AC60" t="s">
        <v>3981</v>
      </c>
      <c r="AD60" t="s">
        <v>3059</v>
      </c>
      <c r="AE60">
        <v>179.1</v>
      </c>
      <c r="AF60">
        <v>81.400000000000006</v>
      </c>
      <c r="AG60" t="s">
        <v>3171</v>
      </c>
      <c r="AH60">
        <v>173</v>
      </c>
      <c r="AI60" t="s">
        <v>3982</v>
      </c>
      <c r="AJ60">
        <v>49.214899000000003</v>
      </c>
      <c r="AK60">
        <v>-123.117166</v>
      </c>
      <c r="AL60" t="str">
        <f>CONCATENATE(Names!D60," ",Names!F60)</f>
        <v>Martin Fields</v>
      </c>
    </row>
    <row r="61" spans="1:38" x14ac:dyDescent="0.3">
      <c r="A61">
        <v>339</v>
      </c>
      <c r="B61" t="s">
        <v>2994</v>
      </c>
      <c r="C61" t="s">
        <v>2995</v>
      </c>
      <c r="D61" t="s">
        <v>3983</v>
      </c>
      <c r="E61" t="s">
        <v>322</v>
      </c>
      <c r="F61" t="s">
        <v>3984</v>
      </c>
      <c r="G61" t="s">
        <v>3985</v>
      </c>
      <c r="H61" t="s">
        <v>3349</v>
      </c>
      <c r="I61" t="s">
        <v>3000</v>
      </c>
      <c r="J61" t="s">
        <v>3986</v>
      </c>
      <c r="K61" t="s">
        <v>3002</v>
      </c>
      <c r="L61" t="s">
        <v>3003</v>
      </c>
      <c r="M61" t="s">
        <v>3987</v>
      </c>
      <c r="N61" t="s">
        <v>3988</v>
      </c>
      <c r="O61" t="s">
        <v>3989</v>
      </c>
      <c r="P61" t="s">
        <v>3990</v>
      </c>
      <c r="Q61" t="s">
        <v>3991</v>
      </c>
      <c r="R61">
        <v>34014</v>
      </c>
      <c r="S61" t="s">
        <v>3009</v>
      </c>
      <c r="T61">
        <v>4556603574493390</v>
      </c>
      <c r="U61">
        <v>441</v>
      </c>
      <c r="V61">
        <v>42278</v>
      </c>
      <c r="W61" t="s">
        <v>3992</v>
      </c>
      <c r="X61" t="s">
        <v>3993</v>
      </c>
      <c r="Y61" t="s">
        <v>3288</v>
      </c>
      <c r="Z61" t="s">
        <v>3994</v>
      </c>
      <c r="AA61" t="s">
        <v>3995</v>
      </c>
      <c r="AB61" t="s">
        <v>3996</v>
      </c>
      <c r="AC61" t="s">
        <v>3997</v>
      </c>
      <c r="AD61" t="s">
        <v>3059</v>
      </c>
      <c r="AE61">
        <v>216.9</v>
      </c>
      <c r="AF61">
        <v>98.6</v>
      </c>
      <c r="AG61" t="s">
        <v>3474</v>
      </c>
      <c r="AH61">
        <v>189</v>
      </c>
      <c r="AI61" t="s">
        <v>3998</v>
      </c>
      <c r="AJ61">
        <v>49.173923000000002</v>
      </c>
      <c r="AK61">
        <v>-122.84033599999999</v>
      </c>
      <c r="AL61" t="str">
        <f>CONCATENATE(Names!D61," ",Names!F61)</f>
        <v>Keith Shepherd</v>
      </c>
    </row>
    <row r="62" spans="1:38" x14ac:dyDescent="0.3">
      <c r="A62">
        <v>355</v>
      </c>
      <c r="B62" t="s">
        <v>3020</v>
      </c>
      <c r="C62" t="s">
        <v>3021</v>
      </c>
      <c r="D62" t="s">
        <v>3654</v>
      </c>
      <c r="E62" t="s">
        <v>100</v>
      </c>
      <c r="F62" t="s">
        <v>3999</v>
      </c>
      <c r="G62" t="s">
        <v>4000</v>
      </c>
      <c r="H62" t="s">
        <v>3229</v>
      </c>
      <c r="I62" t="s">
        <v>3000</v>
      </c>
      <c r="J62" t="s">
        <v>3230</v>
      </c>
      <c r="K62" t="s">
        <v>3002</v>
      </c>
      <c r="L62" t="s">
        <v>3003</v>
      </c>
      <c r="M62" t="s">
        <v>4001</v>
      </c>
      <c r="N62" t="s">
        <v>4002</v>
      </c>
      <c r="O62" t="s">
        <v>4003</v>
      </c>
      <c r="P62" t="s">
        <v>4004</v>
      </c>
      <c r="Q62" t="s">
        <v>4005</v>
      </c>
      <c r="R62">
        <v>19119</v>
      </c>
      <c r="S62" t="s">
        <v>3009</v>
      </c>
      <c r="T62">
        <v>4485857286767500</v>
      </c>
      <c r="U62">
        <v>632</v>
      </c>
      <c r="V62">
        <v>42491</v>
      </c>
      <c r="W62" t="s">
        <v>4006</v>
      </c>
      <c r="X62" t="s">
        <v>4007</v>
      </c>
      <c r="Y62" t="s">
        <v>3012</v>
      </c>
      <c r="Z62" t="s">
        <v>4008</v>
      </c>
      <c r="AA62" t="s">
        <v>4009</v>
      </c>
      <c r="AB62" t="s">
        <v>4010</v>
      </c>
      <c r="AC62" t="s">
        <v>4011</v>
      </c>
      <c r="AD62" t="s">
        <v>3059</v>
      </c>
      <c r="AE62">
        <v>164.8</v>
      </c>
      <c r="AF62">
        <v>74.900000000000006</v>
      </c>
      <c r="AG62" t="s">
        <v>3508</v>
      </c>
      <c r="AH62">
        <v>160</v>
      </c>
      <c r="AI62" t="s">
        <v>4012</v>
      </c>
      <c r="AJ62">
        <v>49.162143999999998</v>
      </c>
      <c r="AK62">
        <v>-122.891931</v>
      </c>
      <c r="AL62" t="str">
        <f>CONCATENATE(Names!D62," ",Names!F62)</f>
        <v>Margaret Roberts</v>
      </c>
    </row>
    <row r="63" spans="1:38" x14ac:dyDescent="0.3">
      <c r="A63">
        <v>357</v>
      </c>
      <c r="B63" t="s">
        <v>3020</v>
      </c>
      <c r="C63" t="s">
        <v>3062</v>
      </c>
      <c r="D63" t="s">
        <v>4013</v>
      </c>
      <c r="E63" t="s">
        <v>100</v>
      </c>
      <c r="F63" t="s">
        <v>3218</v>
      </c>
      <c r="G63" t="s">
        <v>4014</v>
      </c>
      <c r="H63" t="s">
        <v>3923</v>
      </c>
      <c r="I63" t="s">
        <v>3000</v>
      </c>
      <c r="J63" t="s">
        <v>3924</v>
      </c>
      <c r="K63" t="s">
        <v>3002</v>
      </c>
      <c r="L63" t="s">
        <v>3003</v>
      </c>
      <c r="M63" t="s">
        <v>4015</v>
      </c>
      <c r="N63" t="s">
        <v>4016</v>
      </c>
      <c r="O63" t="s">
        <v>4017</v>
      </c>
      <c r="P63" t="s">
        <v>4018</v>
      </c>
      <c r="Q63" t="s">
        <v>4019</v>
      </c>
      <c r="R63">
        <v>24730</v>
      </c>
      <c r="S63" t="s">
        <v>3032</v>
      </c>
      <c r="T63">
        <v>5505304700031810</v>
      </c>
      <c r="U63">
        <v>860</v>
      </c>
      <c r="V63">
        <v>43009</v>
      </c>
      <c r="W63" t="s">
        <v>4020</v>
      </c>
      <c r="X63" t="s">
        <v>4021</v>
      </c>
      <c r="Y63" t="s">
        <v>3074</v>
      </c>
      <c r="Z63" t="s">
        <v>4022</v>
      </c>
      <c r="AA63" t="s">
        <v>4023</v>
      </c>
      <c r="AB63" t="s">
        <v>4024</v>
      </c>
      <c r="AC63" t="s">
        <v>4025</v>
      </c>
      <c r="AD63" t="s">
        <v>3097</v>
      </c>
      <c r="AE63">
        <v>224.2</v>
      </c>
      <c r="AF63">
        <v>101.9</v>
      </c>
      <c r="AG63" t="s">
        <v>3041</v>
      </c>
      <c r="AH63">
        <v>155</v>
      </c>
      <c r="AI63" t="s">
        <v>4026</v>
      </c>
      <c r="AJ63">
        <v>58.743550999999997</v>
      </c>
      <c r="AK63">
        <v>-122.55992500000001</v>
      </c>
      <c r="AL63" t="str">
        <f>CONCATENATE(Names!D63," ",Names!F63)</f>
        <v>Muriel Johnson</v>
      </c>
    </row>
    <row r="64" spans="1:38" x14ac:dyDescent="0.3">
      <c r="A64">
        <v>358</v>
      </c>
      <c r="B64" t="s">
        <v>2994</v>
      </c>
      <c r="C64" t="s">
        <v>2995</v>
      </c>
      <c r="D64" t="s">
        <v>4027</v>
      </c>
      <c r="E64" t="s">
        <v>3559</v>
      </c>
      <c r="F64" t="s">
        <v>4028</v>
      </c>
      <c r="G64" t="s">
        <v>4029</v>
      </c>
      <c r="H64" t="s">
        <v>4030</v>
      </c>
      <c r="I64" t="s">
        <v>3000</v>
      </c>
      <c r="J64" t="s">
        <v>3350</v>
      </c>
      <c r="K64" t="s">
        <v>3002</v>
      </c>
      <c r="L64" t="s">
        <v>3003</v>
      </c>
      <c r="M64" t="s">
        <v>4031</v>
      </c>
      <c r="N64" t="s">
        <v>4032</v>
      </c>
      <c r="O64" t="s">
        <v>4033</v>
      </c>
      <c r="P64" t="s">
        <v>4034</v>
      </c>
      <c r="Q64" t="s">
        <v>4035</v>
      </c>
      <c r="R64">
        <v>16218</v>
      </c>
      <c r="S64" t="s">
        <v>3009</v>
      </c>
      <c r="T64">
        <v>4485360984845760</v>
      </c>
      <c r="U64">
        <v>677</v>
      </c>
      <c r="V64">
        <v>42979</v>
      </c>
      <c r="W64" t="s">
        <v>4036</v>
      </c>
      <c r="X64" t="s">
        <v>4037</v>
      </c>
      <c r="Y64" t="s">
        <v>3323</v>
      </c>
      <c r="Z64" t="s">
        <v>4038</v>
      </c>
      <c r="AA64" t="s">
        <v>4039</v>
      </c>
      <c r="AB64" t="s">
        <v>4040</v>
      </c>
      <c r="AC64" t="s">
        <v>4041</v>
      </c>
      <c r="AD64" t="s">
        <v>3153</v>
      </c>
      <c r="AE64">
        <v>229.2</v>
      </c>
      <c r="AF64">
        <v>104.2</v>
      </c>
      <c r="AG64" t="s">
        <v>3171</v>
      </c>
      <c r="AH64">
        <v>173</v>
      </c>
      <c r="AI64" t="s">
        <v>4042</v>
      </c>
      <c r="AJ64">
        <v>49.278844999999997</v>
      </c>
      <c r="AK64">
        <v>-122.970467</v>
      </c>
      <c r="AL64" t="str">
        <f>CONCATENATE(Names!D64," ",Names!F64)</f>
        <v>Morgan Snider</v>
      </c>
    </row>
    <row r="65" spans="1:38" x14ac:dyDescent="0.3">
      <c r="A65">
        <v>364</v>
      </c>
      <c r="B65" t="s">
        <v>3020</v>
      </c>
      <c r="C65" t="s">
        <v>4043</v>
      </c>
      <c r="D65" t="s">
        <v>4044</v>
      </c>
      <c r="E65" t="s">
        <v>100</v>
      </c>
      <c r="F65" t="s">
        <v>4045</v>
      </c>
      <c r="G65" t="s">
        <v>4046</v>
      </c>
      <c r="H65" t="s">
        <v>18</v>
      </c>
      <c r="I65" t="s">
        <v>3000</v>
      </c>
      <c r="J65" t="s">
        <v>3383</v>
      </c>
      <c r="K65" t="s">
        <v>3002</v>
      </c>
      <c r="L65" t="s">
        <v>3003</v>
      </c>
      <c r="M65" t="s">
        <v>4047</v>
      </c>
      <c r="N65" t="s">
        <v>4048</v>
      </c>
      <c r="O65" t="s">
        <v>4049</v>
      </c>
      <c r="P65" t="s">
        <v>4050</v>
      </c>
      <c r="Q65" t="s">
        <v>2998</v>
      </c>
      <c r="R65">
        <v>26871</v>
      </c>
      <c r="S65" t="s">
        <v>3009</v>
      </c>
      <c r="T65">
        <v>4929477174794870</v>
      </c>
      <c r="U65">
        <v>396</v>
      </c>
      <c r="V65">
        <v>42522</v>
      </c>
      <c r="W65" t="s">
        <v>4051</v>
      </c>
      <c r="X65" t="s">
        <v>4052</v>
      </c>
      <c r="Y65" t="s">
        <v>3221</v>
      </c>
      <c r="Z65" t="s">
        <v>4053</v>
      </c>
      <c r="AA65" t="s">
        <v>4054</v>
      </c>
      <c r="AB65" t="s">
        <v>4055</v>
      </c>
      <c r="AC65" t="s">
        <v>4056</v>
      </c>
      <c r="AD65" t="s">
        <v>3040</v>
      </c>
      <c r="AE65">
        <v>211.9</v>
      </c>
      <c r="AF65">
        <v>96.3</v>
      </c>
      <c r="AG65" t="s">
        <v>4057</v>
      </c>
      <c r="AH65">
        <v>163</v>
      </c>
      <c r="AI65" t="s">
        <v>4058</v>
      </c>
      <c r="AJ65">
        <v>49.110475999999998</v>
      </c>
      <c r="AK65">
        <v>-122.892864</v>
      </c>
      <c r="AL65" t="str">
        <f>CONCATENATE(Names!D65," ",Names!F65)</f>
        <v>Ronda Carter</v>
      </c>
    </row>
    <row r="66" spans="1:38" x14ac:dyDescent="0.3">
      <c r="A66">
        <v>366</v>
      </c>
      <c r="B66" t="s">
        <v>2994</v>
      </c>
      <c r="C66" t="s">
        <v>2995</v>
      </c>
      <c r="D66" t="s">
        <v>4059</v>
      </c>
      <c r="E66" t="s">
        <v>3156</v>
      </c>
      <c r="F66" t="s">
        <v>4060</v>
      </c>
      <c r="G66" t="s">
        <v>4061</v>
      </c>
      <c r="H66" t="s">
        <v>2</v>
      </c>
      <c r="I66" t="s">
        <v>3000</v>
      </c>
      <c r="J66" t="s">
        <v>3908</v>
      </c>
      <c r="K66" t="s">
        <v>3002</v>
      </c>
      <c r="L66" t="s">
        <v>3003</v>
      </c>
      <c r="M66" t="s">
        <v>4062</v>
      </c>
      <c r="N66" t="s">
        <v>4063</v>
      </c>
      <c r="O66" t="s">
        <v>4064</v>
      </c>
      <c r="P66" t="s">
        <v>4065</v>
      </c>
      <c r="Q66" t="s">
        <v>3218</v>
      </c>
      <c r="R66">
        <v>23681</v>
      </c>
      <c r="S66" t="s">
        <v>3032</v>
      </c>
      <c r="T66">
        <v>5374996813203890</v>
      </c>
      <c r="U66">
        <v>385</v>
      </c>
      <c r="V66">
        <v>43374</v>
      </c>
      <c r="W66" t="s">
        <v>4066</v>
      </c>
      <c r="X66" t="s">
        <v>4067</v>
      </c>
      <c r="Y66" t="s">
        <v>3012</v>
      </c>
      <c r="Z66" t="s">
        <v>4068</v>
      </c>
      <c r="AA66" t="s">
        <v>4069</v>
      </c>
      <c r="AB66" t="s">
        <v>4070</v>
      </c>
      <c r="AC66" t="s">
        <v>4071</v>
      </c>
      <c r="AD66" t="s">
        <v>3017</v>
      </c>
      <c r="AE66">
        <v>193.6</v>
      </c>
      <c r="AF66">
        <v>88</v>
      </c>
      <c r="AG66" t="s">
        <v>3207</v>
      </c>
      <c r="AH66">
        <v>169</v>
      </c>
      <c r="AI66" t="s">
        <v>4072</v>
      </c>
      <c r="AJ66">
        <v>48.494928999999999</v>
      </c>
      <c r="AK66">
        <v>-123.36726299999999</v>
      </c>
      <c r="AL66" t="str">
        <f>CONCATENATE(Names!D66," ",Names!F66)</f>
        <v>Joseph Womack</v>
      </c>
    </row>
    <row r="67" spans="1:38" x14ac:dyDescent="0.3">
      <c r="A67">
        <v>372</v>
      </c>
      <c r="B67" t="s">
        <v>2994</v>
      </c>
      <c r="C67" t="s">
        <v>2995</v>
      </c>
      <c r="D67" t="s">
        <v>3173</v>
      </c>
      <c r="E67" t="s">
        <v>3364</v>
      </c>
      <c r="F67" t="s">
        <v>4073</v>
      </c>
      <c r="G67" t="s">
        <v>4074</v>
      </c>
      <c r="H67" t="s">
        <v>4075</v>
      </c>
      <c r="I67" t="s">
        <v>3000</v>
      </c>
      <c r="J67" t="s">
        <v>4076</v>
      </c>
      <c r="K67" t="s">
        <v>3002</v>
      </c>
      <c r="L67" t="s">
        <v>3003</v>
      </c>
      <c r="M67" t="s">
        <v>4077</v>
      </c>
      <c r="N67" t="s">
        <v>4078</v>
      </c>
      <c r="O67" t="s">
        <v>4079</v>
      </c>
      <c r="P67" t="s">
        <v>4080</v>
      </c>
      <c r="Q67" t="s">
        <v>4081</v>
      </c>
      <c r="R67">
        <v>23837</v>
      </c>
      <c r="S67" t="s">
        <v>3032</v>
      </c>
      <c r="T67">
        <v>5101024619669940</v>
      </c>
      <c r="U67">
        <v>434</v>
      </c>
      <c r="V67">
        <v>42095</v>
      </c>
      <c r="W67" t="s">
        <v>4082</v>
      </c>
      <c r="X67" t="s">
        <v>4083</v>
      </c>
      <c r="Y67" t="s">
        <v>3012</v>
      </c>
      <c r="Z67" t="s">
        <v>4084</v>
      </c>
      <c r="AA67" t="s">
        <v>4085</v>
      </c>
      <c r="AB67" t="s">
        <v>4086</v>
      </c>
      <c r="AC67" t="s">
        <v>4087</v>
      </c>
      <c r="AD67" t="s">
        <v>3040</v>
      </c>
      <c r="AE67">
        <v>214.3</v>
      </c>
      <c r="AF67">
        <v>97.4</v>
      </c>
      <c r="AG67" t="s">
        <v>3258</v>
      </c>
      <c r="AH67">
        <v>177</v>
      </c>
      <c r="AI67" t="s">
        <v>4088</v>
      </c>
      <c r="AJ67">
        <v>51.863886000000001</v>
      </c>
      <c r="AK67">
        <v>-124.65615200000001</v>
      </c>
      <c r="AL67" t="str">
        <f>CONCATENATE(Names!D67," ",Names!F67)</f>
        <v>Michael Pack</v>
      </c>
    </row>
    <row r="68" spans="1:38" x14ac:dyDescent="0.3">
      <c r="A68">
        <v>373</v>
      </c>
      <c r="B68" t="s">
        <v>2994</v>
      </c>
      <c r="C68" t="s">
        <v>2995</v>
      </c>
      <c r="D68" t="s">
        <v>4081</v>
      </c>
      <c r="E68" t="s">
        <v>2997</v>
      </c>
      <c r="F68" t="s">
        <v>4089</v>
      </c>
      <c r="G68" t="s">
        <v>4090</v>
      </c>
      <c r="H68" t="s">
        <v>4091</v>
      </c>
      <c r="I68" t="s">
        <v>3000</v>
      </c>
      <c r="J68" t="s">
        <v>4092</v>
      </c>
      <c r="K68" t="s">
        <v>3002</v>
      </c>
      <c r="L68" t="s">
        <v>3003</v>
      </c>
      <c r="M68" t="s">
        <v>4093</v>
      </c>
      <c r="N68" t="s">
        <v>4094</v>
      </c>
      <c r="O68" t="s">
        <v>4095</v>
      </c>
      <c r="P68" t="s">
        <v>4096</v>
      </c>
      <c r="Q68" t="s">
        <v>4097</v>
      </c>
      <c r="R68">
        <v>33750</v>
      </c>
      <c r="S68" t="s">
        <v>3009</v>
      </c>
      <c r="T68">
        <v>4556143766109160</v>
      </c>
      <c r="U68">
        <v>53</v>
      </c>
      <c r="V68">
        <v>42705</v>
      </c>
      <c r="W68" t="s">
        <v>4098</v>
      </c>
      <c r="X68" t="s">
        <v>4099</v>
      </c>
      <c r="Y68" t="s">
        <v>3323</v>
      </c>
      <c r="Z68" t="s">
        <v>4100</v>
      </c>
      <c r="AA68" t="s">
        <v>4101</v>
      </c>
      <c r="AB68" t="s">
        <v>4102</v>
      </c>
      <c r="AC68" t="s">
        <v>4103</v>
      </c>
      <c r="AD68" t="s">
        <v>3059</v>
      </c>
      <c r="AE68">
        <v>185.2</v>
      </c>
      <c r="AF68">
        <v>84.2</v>
      </c>
      <c r="AG68" t="s">
        <v>3171</v>
      </c>
      <c r="AH68">
        <v>172</v>
      </c>
      <c r="AI68" t="s">
        <v>4104</v>
      </c>
      <c r="AJ68">
        <v>49.067867</v>
      </c>
      <c r="AK68">
        <v>-122.504447</v>
      </c>
      <c r="AL68" t="str">
        <f>CONCATENATE(Names!D68," ",Names!F68)</f>
        <v>Lee Arrington</v>
      </c>
    </row>
    <row r="69" spans="1:38" x14ac:dyDescent="0.3">
      <c r="A69">
        <v>374</v>
      </c>
      <c r="B69" t="s">
        <v>3020</v>
      </c>
      <c r="C69" t="s">
        <v>3021</v>
      </c>
      <c r="D69" t="s">
        <v>4105</v>
      </c>
      <c r="E69" t="s">
        <v>328</v>
      </c>
      <c r="F69" t="s">
        <v>4106</v>
      </c>
      <c r="G69" t="s">
        <v>4107</v>
      </c>
      <c r="H69" t="s">
        <v>19</v>
      </c>
      <c r="I69" t="s">
        <v>3000</v>
      </c>
      <c r="J69" t="s">
        <v>3970</v>
      </c>
      <c r="K69" t="s">
        <v>3002</v>
      </c>
      <c r="L69" t="s">
        <v>3003</v>
      </c>
      <c r="M69" t="s">
        <v>4108</v>
      </c>
      <c r="N69" t="s">
        <v>4109</v>
      </c>
      <c r="O69" t="s">
        <v>4110</v>
      </c>
      <c r="P69" t="s">
        <v>4111</v>
      </c>
      <c r="Q69" t="s">
        <v>3420</v>
      </c>
      <c r="R69">
        <v>15507</v>
      </c>
      <c r="S69" t="s">
        <v>3009</v>
      </c>
      <c r="T69">
        <v>4556477214286650</v>
      </c>
      <c r="U69">
        <v>959</v>
      </c>
      <c r="V69">
        <v>43678</v>
      </c>
      <c r="W69" t="s">
        <v>4112</v>
      </c>
      <c r="X69" t="s">
        <v>4113</v>
      </c>
      <c r="Y69" t="s">
        <v>3288</v>
      </c>
      <c r="Z69" t="s">
        <v>4114</v>
      </c>
      <c r="AA69" t="s">
        <v>4115</v>
      </c>
      <c r="AB69" t="s">
        <v>4116</v>
      </c>
      <c r="AC69" t="s">
        <v>4117</v>
      </c>
      <c r="AD69" t="s">
        <v>3153</v>
      </c>
      <c r="AE69">
        <v>182.8</v>
      </c>
      <c r="AF69">
        <v>83.1</v>
      </c>
      <c r="AG69" t="s">
        <v>3134</v>
      </c>
      <c r="AH69">
        <v>164</v>
      </c>
      <c r="AI69" t="s">
        <v>4118</v>
      </c>
      <c r="AJ69">
        <v>49.327419999999996</v>
      </c>
      <c r="AK69">
        <v>-123.225787</v>
      </c>
      <c r="AL69" t="str">
        <f>CONCATENATE(Names!D69," ",Names!F69)</f>
        <v>Darlene Garcia</v>
      </c>
    </row>
    <row r="70" spans="1:38" x14ac:dyDescent="0.3">
      <c r="A70">
        <v>377</v>
      </c>
      <c r="B70" t="s">
        <v>3020</v>
      </c>
      <c r="C70" t="s">
        <v>3021</v>
      </c>
      <c r="D70" t="s">
        <v>4119</v>
      </c>
      <c r="E70" t="s">
        <v>3655</v>
      </c>
      <c r="F70" t="s">
        <v>3071</v>
      </c>
      <c r="G70" t="s">
        <v>4120</v>
      </c>
      <c r="H70" t="s">
        <v>2</v>
      </c>
      <c r="I70" t="s">
        <v>3000</v>
      </c>
      <c r="J70" t="s">
        <v>3367</v>
      </c>
      <c r="K70" t="s">
        <v>3002</v>
      </c>
      <c r="L70" t="s">
        <v>3003</v>
      </c>
      <c r="M70" t="s">
        <v>4121</v>
      </c>
      <c r="N70" t="s">
        <v>4122</v>
      </c>
      <c r="O70" t="s">
        <v>4123</v>
      </c>
      <c r="P70" t="s">
        <v>4124</v>
      </c>
      <c r="Q70" t="s">
        <v>3200</v>
      </c>
      <c r="R70">
        <v>18273</v>
      </c>
      <c r="S70" t="s">
        <v>3009</v>
      </c>
      <c r="T70">
        <v>4916039951166660</v>
      </c>
      <c r="U70">
        <v>836</v>
      </c>
      <c r="V70">
        <v>42767</v>
      </c>
      <c r="W70" t="s">
        <v>4125</v>
      </c>
      <c r="X70" t="s">
        <v>4126</v>
      </c>
      <c r="Y70" t="s">
        <v>3074</v>
      </c>
      <c r="Z70" t="s">
        <v>4127</v>
      </c>
      <c r="AA70" t="s">
        <v>4128</v>
      </c>
      <c r="AB70" t="s">
        <v>4129</v>
      </c>
      <c r="AC70" t="s">
        <v>4130</v>
      </c>
      <c r="AD70" t="s">
        <v>3153</v>
      </c>
      <c r="AE70">
        <v>208.1</v>
      </c>
      <c r="AF70">
        <v>94.6</v>
      </c>
      <c r="AG70" t="s">
        <v>3041</v>
      </c>
      <c r="AH70">
        <v>154</v>
      </c>
      <c r="AI70" t="s">
        <v>4131</v>
      </c>
      <c r="AJ70">
        <v>48.479866000000001</v>
      </c>
      <c r="AK70">
        <v>-123.433584</v>
      </c>
      <c r="AL70" t="str">
        <f>CONCATENATE(Names!D70," ",Names!F70)</f>
        <v>Mattie Brown</v>
      </c>
    </row>
    <row r="71" spans="1:38" x14ac:dyDescent="0.3">
      <c r="A71">
        <v>381</v>
      </c>
      <c r="B71" t="s">
        <v>2994</v>
      </c>
      <c r="C71" t="s">
        <v>2995</v>
      </c>
      <c r="D71" t="s">
        <v>4132</v>
      </c>
      <c r="E71" t="s">
        <v>2997</v>
      </c>
      <c r="F71" t="s">
        <v>3615</v>
      </c>
      <c r="G71" t="s">
        <v>4133</v>
      </c>
      <c r="H71" t="s">
        <v>4134</v>
      </c>
      <c r="I71" t="s">
        <v>3000</v>
      </c>
      <c r="J71" t="s">
        <v>4135</v>
      </c>
      <c r="K71" t="s">
        <v>3002</v>
      </c>
      <c r="L71" t="s">
        <v>3003</v>
      </c>
      <c r="M71" t="s">
        <v>4136</v>
      </c>
      <c r="N71" t="s">
        <v>4137</v>
      </c>
      <c r="O71" t="s">
        <v>4138</v>
      </c>
      <c r="P71" t="s">
        <v>4139</v>
      </c>
      <c r="Q71" t="s">
        <v>4140</v>
      </c>
      <c r="R71">
        <v>21393</v>
      </c>
      <c r="S71" t="s">
        <v>3009</v>
      </c>
      <c r="T71">
        <v>4485369147076750</v>
      </c>
      <c r="U71">
        <v>502</v>
      </c>
      <c r="V71">
        <v>42675</v>
      </c>
      <c r="W71" t="s">
        <v>4141</v>
      </c>
      <c r="X71" t="s">
        <v>4142</v>
      </c>
      <c r="Y71" t="s">
        <v>3012</v>
      </c>
      <c r="Z71" t="s">
        <v>4143</v>
      </c>
      <c r="AA71" t="s">
        <v>4144</v>
      </c>
      <c r="AB71" t="s">
        <v>4145</v>
      </c>
      <c r="AC71" t="s">
        <v>4146</v>
      </c>
      <c r="AD71" t="s">
        <v>3059</v>
      </c>
      <c r="AE71">
        <v>191.6</v>
      </c>
      <c r="AF71">
        <v>87.1</v>
      </c>
      <c r="AG71" t="s">
        <v>3134</v>
      </c>
      <c r="AH71">
        <v>166</v>
      </c>
      <c r="AI71" t="s">
        <v>4147</v>
      </c>
      <c r="AJ71">
        <v>49.354691000000003</v>
      </c>
      <c r="AK71">
        <v>-122.777601</v>
      </c>
      <c r="AL71" t="str">
        <f>CONCATENATE(Names!D71," ",Names!F71)</f>
        <v>Aron McDonald</v>
      </c>
    </row>
    <row r="72" spans="1:38" x14ac:dyDescent="0.3">
      <c r="A72">
        <v>390</v>
      </c>
      <c r="B72" t="s">
        <v>3020</v>
      </c>
      <c r="C72" t="s">
        <v>3062</v>
      </c>
      <c r="D72" t="s">
        <v>4148</v>
      </c>
      <c r="E72" t="s">
        <v>2997</v>
      </c>
      <c r="F72" t="s">
        <v>4149</v>
      </c>
      <c r="G72" t="s">
        <v>4150</v>
      </c>
      <c r="H72" t="s">
        <v>48</v>
      </c>
      <c r="I72" t="s">
        <v>3000</v>
      </c>
      <c r="J72" t="s">
        <v>3786</v>
      </c>
      <c r="K72" t="s">
        <v>3002</v>
      </c>
      <c r="L72" t="s">
        <v>3003</v>
      </c>
      <c r="M72" t="s">
        <v>4151</v>
      </c>
      <c r="N72" t="s">
        <v>4152</v>
      </c>
      <c r="O72" t="s">
        <v>4153</v>
      </c>
      <c r="P72" t="s">
        <v>4154</v>
      </c>
      <c r="Q72" t="s">
        <v>3397</v>
      </c>
      <c r="R72">
        <v>16312</v>
      </c>
      <c r="S72" t="s">
        <v>3009</v>
      </c>
      <c r="T72">
        <v>4716770652380410</v>
      </c>
      <c r="U72">
        <v>696</v>
      </c>
      <c r="V72">
        <v>42948</v>
      </c>
      <c r="W72" t="s">
        <v>4155</v>
      </c>
      <c r="X72" t="s">
        <v>4156</v>
      </c>
      <c r="Y72" t="s">
        <v>3012</v>
      </c>
      <c r="Z72" t="s">
        <v>4157</v>
      </c>
      <c r="AA72" t="s">
        <v>4158</v>
      </c>
      <c r="AB72" t="s">
        <v>4159</v>
      </c>
      <c r="AC72" t="s">
        <v>4160</v>
      </c>
      <c r="AD72" t="s">
        <v>3153</v>
      </c>
      <c r="AE72">
        <v>197.3</v>
      </c>
      <c r="AF72">
        <v>89.7</v>
      </c>
      <c r="AG72" t="s">
        <v>3134</v>
      </c>
      <c r="AH72">
        <v>165</v>
      </c>
      <c r="AI72" t="s">
        <v>4161</v>
      </c>
      <c r="AJ72">
        <v>50.319929000000002</v>
      </c>
      <c r="AK72">
        <v>-119.192809</v>
      </c>
      <c r="AL72" t="str">
        <f>CONCATENATE(Names!D72," ",Names!F72)</f>
        <v>Dianna Cook</v>
      </c>
    </row>
    <row r="73" spans="1:38" x14ac:dyDescent="0.3">
      <c r="A73">
        <v>400</v>
      </c>
      <c r="B73" t="s">
        <v>2994</v>
      </c>
      <c r="C73" t="s">
        <v>2995</v>
      </c>
      <c r="D73" t="s">
        <v>4162</v>
      </c>
      <c r="E73" t="s">
        <v>3156</v>
      </c>
      <c r="F73" t="s">
        <v>4163</v>
      </c>
      <c r="G73" t="s">
        <v>4164</v>
      </c>
      <c r="H73" t="s">
        <v>3263</v>
      </c>
      <c r="I73" t="s">
        <v>3000</v>
      </c>
      <c r="J73" t="s">
        <v>4165</v>
      </c>
      <c r="K73" t="s">
        <v>3002</v>
      </c>
      <c r="L73" t="s">
        <v>3003</v>
      </c>
      <c r="M73" t="s">
        <v>4166</v>
      </c>
      <c r="N73" t="s">
        <v>4167</v>
      </c>
      <c r="O73" t="s">
        <v>4168</v>
      </c>
      <c r="P73" t="s">
        <v>4169</v>
      </c>
      <c r="Q73" t="s">
        <v>3414</v>
      </c>
      <c r="R73">
        <v>20126</v>
      </c>
      <c r="S73" t="s">
        <v>3009</v>
      </c>
      <c r="T73">
        <v>4916357454632210</v>
      </c>
      <c r="U73">
        <v>88</v>
      </c>
      <c r="V73">
        <v>43466</v>
      </c>
      <c r="W73" t="s">
        <v>4170</v>
      </c>
      <c r="X73" t="s">
        <v>4171</v>
      </c>
      <c r="Y73" t="s">
        <v>3221</v>
      </c>
      <c r="Z73" t="s">
        <v>4172</v>
      </c>
      <c r="AA73" t="s">
        <v>4173</v>
      </c>
      <c r="AB73" t="s">
        <v>4174</v>
      </c>
      <c r="AC73" t="s">
        <v>4175</v>
      </c>
      <c r="AD73" t="s">
        <v>3097</v>
      </c>
      <c r="AE73">
        <v>155.5</v>
      </c>
      <c r="AF73">
        <v>70.7</v>
      </c>
      <c r="AG73" t="s">
        <v>3098</v>
      </c>
      <c r="AH73">
        <v>168</v>
      </c>
      <c r="AI73" t="s">
        <v>4176</v>
      </c>
      <c r="AJ73">
        <v>49.170023</v>
      </c>
      <c r="AK73">
        <v>-122.925072</v>
      </c>
      <c r="AL73" t="str">
        <f>CONCATENATE(Names!D73," ",Names!F73)</f>
        <v>Tommy Laboy</v>
      </c>
    </row>
    <row r="74" spans="1:38" x14ac:dyDescent="0.3">
      <c r="A74">
        <v>402</v>
      </c>
      <c r="B74" t="s">
        <v>2994</v>
      </c>
      <c r="C74" t="s">
        <v>2995</v>
      </c>
      <c r="D74" t="s">
        <v>4177</v>
      </c>
      <c r="E74" t="s">
        <v>327</v>
      </c>
      <c r="F74" t="s">
        <v>4178</v>
      </c>
      <c r="G74" t="s">
        <v>4179</v>
      </c>
      <c r="H74" t="s">
        <v>3245</v>
      </c>
      <c r="I74" t="s">
        <v>3000</v>
      </c>
      <c r="J74" t="s">
        <v>3801</v>
      </c>
      <c r="K74" t="s">
        <v>3002</v>
      </c>
      <c r="L74" t="s">
        <v>3003</v>
      </c>
      <c r="M74" t="s">
        <v>4180</v>
      </c>
      <c r="N74" t="s">
        <v>4181</v>
      </c>
      <c r="O74" t="s">
        <v>4182</v>
      </c>
      <c r="P74" t="s">
        <v>4183</v>
      </c>
      <c r="Q74" t="s">
        <v>3192</v>
      </c>
      <c r="R74">
        <v>34021</v>
      </c>
      <c r="S74" t="s">
        <v>3009</v>
      </c>
      <c r="T74">
        <v>4532344655196310</v>
      </c>
      <c r="U74">
        <v>929</v>
      </c>
      <c r="V74">
        <v>42767</v>
      </c>
      <c r="W74" t="s">
        <v>4184</v>
      </c>
      <c r="X74" t="s">
        <v>4185</v>
      </c>
      <c r="Y74" t="s">
        <v>3012</v>
      </c>
      <c r="Z74" t="s">
        <v>4186</v>
      </c>
      <c r="AA74" t="s">
        <v>3619</v>
      </c>
      <c r="AB74" t="s">
        <v>4187</v>
      </c>
      <c r="AC74" t="s">
        <v>4188</v>
      </c>
      <c r="AD74" t="s">
        <v>3153</v>
      </c>
      <c r="AE74">
        <v>127.8</v>
      </c>
      <c r="AF74">
        <v>58.1</v>
      </c>
      <c r="AG74" t="s">
        <v>3207</v>
      </c>
      <c r="AH74">
        <v>171</v>
      </c>
      <c r="AI74" t="s">
        <v>4189</v>
      </c>
      <c r="AJ74">
        <v>49.159022999999998</v>
      </c>
      <c r="AK74">
        <v>-123.839127</v>
      </c>
      <c r="AL74" t="str">
        <f>CONCATENATE(Names!D74," ",Names!F74)</f>
        <v>Clarence McKenzie</v>
      </c>
    </row>
    <row r="75" spans="1:38" x14ac:dyDescent="0.3">
      <c r="A75">
        <v>425</v>
      </c>
      <c r="B75" t="s">
        <v>3020</v>
      </c>
      <c r="C75" t="s">
        <v>3062</v>
      </c>
      <c r="D75" t="s">
        <v>3654</v>
      </c>
      <c r="E75" t="s">
        <v>2997</v>
      </c>
      <c r="F75" t="s">
        <v>4190</v>
      </c>
      <c r="G75" t="s">
        <v>4191</v>
      </c>
      <c r="H75" t="s">
        <v>3104</v>
      </c>
      <c r="I75" t="s">
        <v>3000</v>
      </c>
      <c r="J75" t="s">
        <v>3105</v>
      </c>
      <c r="K75" t="s">
        <v>3002</v>
      </c>
      <c r="L75" t="s">
        <v>3003</v>
      </c>
      <c r="M75" t="s">
        <v>4192</v>
      </c>
      <c r="N75" t="s">
        <v>4193</v>
      </c>
      <c r="O75" t="s">
        <v>4194</v>
      </c>
      <c r="P75" t="s">
        <v>4195</v>
      </c>
      <c r="Q75" t="s">
        <v>4196</v>
      </c>
      <c r="R75">
        <v>20182</v>
      </c>
      <c r="S75" t="s">
        <v>3032</v>
      </c>
      <c r="T75">
        <v>5153038736034600</v>
      </c>
      <c r="U75">
        <v>13</v>
      </c>
      <c r="V75">
        <v>42491</v>
      </c>
      <c r="W75" t="s">
        <v>4197</v>
      </c>
      <c r="X75" t="s">
        <v>4198</v>
      </c>
      <c r="Y75" t="s">
        <v>3012</v>
      </c>
      <c r="Z75" t="s">
        <v>4199</v>
      </c>
      <c r="AA75" t="s">
        <v>4200</v>
      </c>
      <c r="AB75" t="s">
        <v>4201</v>
      </c>
      <c r="AC75" t="s">
        <v>4202</v>
      </c>
      <c r="AD75" t="s">
        <v>3097</v>
      </c>
      <c r="AE75">
        <v>194.5</v>
      </c>
      <c r="AF75">
        <v>88.4</v>
      </c>
      <c r="AG75" t="s">
        <v>3079</v>
      </c>
      <c r="AH75">
        <v>158</v>
      </c>
      <c r="AI75" t="s">
        <v>4203</v>
      </c>
      <c r="AJ75">
        <v>49.149307</v>
      </c>
      <c r="AK75">
        <v>-122.34475</v>
      </c>
      <c r="AL75" t="str">
        <f>CONCATENATE(Names!D75," ",Names!F75)</f>
        <v>Margaret Reynolds</v>
      </c>
    </row>
    <row r="76" spans="1:38" x14ac:dyDescent="0.3">
      <c r="A76">
        <v>427</v>
      </c>
      <c r="B76" t="s">
        <v>3020</v>
      </c>
      <c r="C76" t="s">
        <v>3062</v>
      </c>
      <c r="D76" t="s">
        <v>3294</v>
      </c>
      <c r="E76" t="s">
        <v>324</v>
      </c>
      <c r="F76" t="s">
        <v>4204</v>
      </c>
      <c r="G76" t="s">
        <v>4205</v>
      </c>
      <c r="H76" t="s">
        <v>2</v>
      </c>
      <c r="I76" t="s">
        <v>3000</v>
      </c>
      <c r="J76" t="s">
        <v>3367</v>
      </c>
      <c r="K76" t="s">
        <v>3002</v>
      </c>
      <c r="L76" t="s">
        <v>3003</v>
      </c>
      <c r="M76" t="s">
        <v>4206</v>
      </c>
      <c r="N76" t="s">
        <v>4207</v>
      </c>
      <c r="O76" t="s">
        <v>4208</v>
      </c>
      <c r="P76" t="s">
        <v>4209</v>
      </c>
      <c r="Q76" t="s">
        <v>4027</v>
      </c>
      <c r="R76">
        <v>21180</v>
      </c>
      <c r="S76" t="s">
        <v>3032</v>
      </c>
      <c r="T76">
        <v>5499105457219760</v>
      </c>
      <c r="U76">
        <v>736</v>
      </c>
      <c r="V76">
        <v>42552</v>
      </c>
      <c r="W76" t="s">
        <v>4210</v>
      </c>
      <c r="X76" t="s">
        <v>4211</v>
      </c>
      <c r="Y76" t="s">
        <v>3012</v>
      </c>
      <c r="Z76" t="s">
        <v>4212</v>
      </c>
      <c r="AA76" t="s">
        <v>4213</v>
      </c>
      <c r="AB76" t="s">
        <v>4214</v>
      </c>
      <c r="AC76" t="s">
        <v>4215</v>
      </c>
      <c r="AD76" t="s">
        <v>3059</v>
      </c>
      <c r="AE76">
        <v>207</v>
      </c>
      <c r="AF76">
        <v>94.1</v>
      </c>
      <c r="AG76" t="s">
        <v>4216</v>
      </c>
      <c r="AH76">
        <v>152</v>
      </c>
      <c r="AI76" t="s">
        <v>4217</v>
      </c>
      <c r="AJ76">
        <v>48.499057999999998</v>
      </c>
      <c r="AK76">
        <v>-123.25019</v>
      </c>
      <c r="AL76" t="str">
        <f>CONCATENATE(Names!D76," ",Names!F76)</f>
        <v>Marilyn Wright</v>
      </c>
    </row>
    <row r="77" spans="1:38" x14ac:dyDescent="0.3">
      <c r="A77">
        <v>430</v>
      </c>
      <c r="B77" t="s">
        <v>3020</v>
      </c>
      <c r="C77" t="s">
        <v>3021</v>
      </c>
      <c r="D77" t="s">
        <v>4218</v>
      </c>
      <c r="E77" t="s">
        <v>3364</v>
      </c>
      <c r="F77" t="s">
        <v>2998</v>
      </c>
      <c r="G77" t="s">
        <v>4219</v>
      </c>
      <c r="H77" t="s">
        <v>3245</v>
      </c>
      <c r="I77" t="s">
        <v>3000</v>
      </c>
      <c r="J77" t="s">
        <v>3246</v>
      </c>
      <c r="K77" t="s">
        <v>3002</v>
      </c>
      <c r="L77" t="s">
        <v>3003</v>
      </c>
      <c r="M77" t="s">
        <v>4220</v>
      </c>
      <c r="N77" t="s">
        <v>4221</v>
      </c>
      <c r="O77" t="s">
        <v>4222</v>
      </c>
      <c r="P77" t="s">
        <v>4223</v>
      </c>
      <c r="Q77" t="s">
        <v>4224</v>
      </c>
      <c r="R77">
        <v>14771</v>
      </c>
      <c r="S77" t="s">
        <v>3032</v>
      </c>
      <c r="T77">
        <v>5116727733431700</v>
      </c>
      <c r="U77">
        <v>793</v>
      </c>
      <c r="V77">
        <v>42856</v>
      </c>
      <c r="W77" t="s">
        <v>4225</v>
      </c>
      <c r="X77" t="s">
        <v>4226</v>
      </c>
      <c r="Y77" t="s">
        <v>3012</v>
      </c>
      <c r="Z77" t="s">
        <v>4227</v>
      </c>
      <c r="AA77" t="s">
        <v>4228</v>
      </c>
      <c r="AB77" t="s">
        <v>4229</v>
      </c>
      <c r="AC77" t="s">
        <v>4230</v>
      </c>
      <c r="AD77" t="s">
        <v>3097</v>
      </c>
      <c r="AE77">
        <v>202</v>
      </c>
      <c r="AF77">
        <v>91.8</v>
      </c>
      <c r="AG77" t="s">
        <v>3207</v>
      </c>
      <c r="AH77">
        <v>171</v>
      </c>
      <c r="AI77" t="s">
        <v>4231</v>
      </c>
      <c r="AJ77">
        <v>49.090153000000001</v>
      </c>
      <c r="AK77">
        <v>-123.99179700000001</v>
      </c>
      <c r="AL77" t="str">
        <f>CONCATENATE(Names!D77," ",Names!F77)</f>
        <v>Renee Smith</v>
      </c>
    </row>
    <row r="78" spans="1:38" x14ac:dyDescent="0.3">
      <c r="A78">
        <v>432</v>
      </c>
      <c r="B78" t="s">
        <v>2994</v>
      </c>
      <c r="C78" t="s">
        <v>2995</v>
      </c>
      <c r="D78" t="s">
        <v>4232</v>
      </c>
      <c r="E78" t="s">
        <v>3156</v>
      </c>
      <c r="F78" t="s">
        <v>4233</v>
      </c>
      <c r="G78" t="s">
        <v>4234</v>
      </c>
      <c r="H78" t="s">
        <v>4235</v>
      </c>
      <c r="I78" t="s">
        <v>3000</v>
      </c>
      <c r="J78" t="s">
        <v>4236</v>
      </c>
      <c r="K78" t="s">
        <v>3002</v>
      </c>
      <c r="L78" t="s">
        <v>3003</v>
      </c>
      <c r="M78" t="s">
        <v>4237</v>
      </c>
      <c r="N78" t="s">
        <v>4238</v>
      </c>
      <c r="O78" t="s">
        <v>4239</v>
      </c>
      <c r="P78" t="s">
        <v>4240</v>
      </c>
      <c r="Q78" t="s">
        <v>4241</v>
      </c>
      <c r="R78">
        <v>28879</v>
      </c>
      <c r="S78" t="s">
        <v>3032</v>
      </c>
      <c r="T78">
        <v>5274026349370290</v>
      </c>
      <c r="U78">
        <v>321</v>
      </c>
      <c r="V78">
        <v>42156</v>
      </c>
      <c r="W78" t="s">
        <v>4242</v>
      </c>
      <c r="X78" t="s">
        <v>4243</v>
      </c>
      <c r="Y78" t="s">
        <v>3035</v>
      </c>
      <c r="Z78" t="s">
        <v>4244</v>
      </c>
      <c r="AA78" t="s">
        <v>4245</v>
      </c>
      <c r="AB78" t="s">
        <v>4246</v>
      </c>
      <c r="AC78" t="s">
        <v>4247</v>
      </c>
      <c r="AD78" t="s">
        <v>3097</v>
      </c>
      <c r="AE78">
        <v>202.2</v>
      </c>
      <c r="AF78">
        <v>91.9</v>
      </c>
      <c r="AG78" t="s">
        <v>3060</v>
      </c>
      <c r="AH78">
        <v>175</v>
      </c>
      <c r="AI78" t="s">
        <v>4248</v>
      </c>
      <c r="AJ78">
        <v>49.065240000000003</v>
      </c>
      <c r="AK78">
        <v>-122.525385</v>
      </c>
      <c r="AL78" t="str">
        <f>CONCATENATE(Names!D78," ",Names!F78)</f>
        <v>Carlton Perez</v>
      </c>
    </row>
    <row r="79" spans="1:38" x14ac:dyDescent="0.3">
      <c r="A79">
        <v>433</v>
      </c>
      <c r="B79" t="s">
        <v>2994</v>
      </c>
      <c r="C79" t="s">
        <v>2995</v>
      </c>
      <c r="D79" t="s">
        <v>4059</v>
      </c>
      <c r="E79" t="s">
        <v>4249</v>
      </c>
      <c r="F79" t="s">
        <v>3320</v>
      </c>
      <c r="G79" t="s">
        <v>4250</v>
      </c>
      <c r="H79" t="s">
        <v>4251</v>
      </c>
      <c r="I79" t="s">
        <v>3000</v>
      </c>
      <c r="J79" t="s">
        <v>4252</v>
      </c>
      <c r="K79" t="s">
        <v>3002</v>
      </c>
      <c r="L79" t="s">
        <v>3003</v>
      </c>
      <c r="M79" t="s">
        <v>4253</v>
      </c>
      <c r="N79" t="s">
        <v>4254</v>
      </c>
      <c r="O79" t="s">
        <v>4255</v>
      </c>
      <c r="P79" t="s">
        <v>4256</v>
      </c>
      <c r="Q79" t="s">
        <v>4257</v>
      </c>
      <c r="R79">
        <v>16254</v>
      </c>
      <c r="S79" t="s">
        <v>3009</v>
      </c>
      <c r="T79">
        <v>4929407916922110</v>
      </c>
      <c r="U79">
        <v>662</v>
      </c>
      <c r="V79">
        <v>42095</v>
      </c>
      <c r="W79" t="s">
        <v>4258</v>
      </c>
      <c r="X79" t="s">
        <v>4259</v>
      </c>
      <c r="Y79" t="s">
        <v>3012</v>
      </c>
      <c r="Z79" t="s">
        <v>4260</v>
      </c>
      <c r="AA79" t="s">
        <v>4261</v>
      </c>
      <c r="AB79" t="s">
        <v>4262</v>
      </c>
      <c r="AC79" t="s">
        <v>4263</v>
      </c>
      <c r="AD79" t="s">
        <v>3097</v>
      </c>
      <c r="AE79">
        <v>165.9</v>
      </c>
      <c r="AF79">
        <v>75.400000000000006</v>
      </c>
      <c r="AG79" t="s">
        <v>3060</v>
      </c>
      <c r="AH79">
        <v>174</v>
      </c>
      <c r="AI79" t="s">
        <v>4264</v>
      </c>
      <c r="AJ79">
        <v>54.466746999999998</v>
      </c>
      <c r="AK79">
        <v>-128.619201</v>
      </c>
      <c r="AL79" t="str">
        <f>CONCATENATE(Names!D79," ",Names!F79)</f>
        <v>Joseph Jones</v>
      </c>
    </row>
    <row r="80" spans="1:38" x14ac:dyDescent="0.3">
      <c r="A80">
        <v>438</v>
      </c>
      <c r="B80" t="s">
        <v>3020</v>
      </c>
      <c r="C80" t="s">
        <v>3062</v>
      </c>
      <c r="D80" t="s">
        <v>3329</v>
      </c>
      <c r="E80" t="s">
        <v>2997</v>
      </c>
      <c r="F80" t="s">
        <v>4265</v>
      </c>
      <c r="G80" t="s">
        <v>4266</v>
      </c>
      <c r="H80" t="s">
        <v>2</v>
      </c>
      <c r="I80" t="s">
        <v>3000</v>
      </c>
      <c r="J80" t="s">
        <v>3908</v>
      </c>
      <c r="K80" t="s">
        <v>3002</v>
      </c>
      <c r="L80" t="s">
        <v>3003</v>
      </c>
      <c r="M80" t="s">
        <v>4267</v>
      </c>
      <c r="N80" t="s">
        <v>4268</v>
      </c>
      <c r="O80" t="s">
        <v>4269</v>
      </c>
      <c r="P80" t="s">
        <v>4270</v>
      </c>
      <c r="Q80" t="s">
        <v>4271</v>
      </c>
      <c r="R80">
        <v>16674</v>
      </c>
      <c r="S80" t="s">
        <v>3009</v>
      </c>
      <c r="T80">
        <v>4532076369361500</v>
      </c>
      <c r="U80">
        <v>132</v>
      </c>
      <c r="V80">
        <v>42036</v>
      </c>
      <c r="W80" t="s">
        <v>4272</v>
      </c>
      <c r="X80" t="s">
        <v>4273</v>
      </c>
      <c r="Y80" t="s">
        <v>3221</v>
      </c>
      <c r="Z80" t="s">
        <v>4274</v>
      </c>
      <c r="AA80" t="s">
        <v>4275</v>
      </c>
      <c r="AB80" t="s">
        <v>4276</v>
      </c>
      <c r="AC80" t="s">
        <v>4277</v>
      </c>
      <c r="AD80" t="s">
        <v>3097</v>
      </c>
      <c r="AE80">
        <v>219.3</v>
      </c>
      <c r="AF80">
        <v>99.7</v>
      </c>
      <c r="AG80" t="s">
        <v>3207</v>
      </c>
      <c r="AH80">
        <v>169</v>
      </c>
      <c r="AI80" t="s">
        <v>4278</v>
      </c>
      <c r="AJ80">
        <v>48.422815999999997</v>
      </c>
      <c r="AK80">
        <v>-123.363781</v>
      </c>
      <c r="AL80" t="str">
        <f>CONCATENATE(Names!D80," ",Names!F80)</f>
        <v>Patricia Baker</v>
      </c>
    </row>
    <row r="81" spans="1:38" x14ac:dyDescent="0.3">
      <c r="A81">
        <v>440</v>
      </c>
      <c r="B81" t="s">
        <v>2994</v>
      </c>
      <c r="C81" t="s">
        <v>2995</v>
      </c>
      <c r="D81" t="s">
        <v>4279</v>
      </c>
      <c r="E81" t="s">
        <v>322</v>
      </c>
      <c r="F81" t="s">
        <v>4280</v>
      </c>
      <c r="G81" t="s">
        <v>4281</v>
      </c>
      <c r="H81" t="s">
        <v>4282</v>
      </c>
      <c r="I81" t="s">
        <v>3000</v>
      </c>
      <c r="J81" t="s">
        <v>4283</v>
      </c>
      <c r="K81" t="s">
        <v>3002</v>
      </c>
      <c r="L81" t="s">
        <v>3003</v>
      </c>
      <c r="M81" t="s">
        <v>4284</v>
      </c>
      <c r="N81" t="s">
        <v>4285</v>
      </c>
      <c r="O81" t="s">
        <v>4286</v>
      </c>
      <c r="P81" t="s">
        <v>4287</v>
      </c>
      <c r="Q81" t="s">
        <v>4288</v>
      </c>
      <c r="R81">
        <v>15559</v>
      </c>
      <c r="S81" t="s">
        <v>3009</v>
      </c>
      <c r="T81">
        <v>4485792470214100</v>
      </c>
      <c r="U81">
        <v>931</v>
      </c>
      <c r="V81">
        <v>42767</v>
      </c>
      <c r="W81" t="s">
        <v>4289</v>
      </c>
      <c r="X81" t="s">
        <v>4290</v>
      </c>
      <c r="Y81" t="s">
        <v>3323</v>
      </c>
      <c r="Z81" t="s">
        <v>4291</v>
      </c>
      <c r="AA81" t="s">
        <v>4292</v>
      </c>
      <c r="AB81" t="s">
        <v>4293</v>
      </c>
      <c r="AC81" t="s">
        <v>4294</v>
      </c>
      <c r="AD81" t="s">
        <v>3097</v>
      </c>
      <c r="AE81">
        <v>141.9</v>
      </c>
      <c r="AF81">
        <v>64.5</v>
      </c>
      <c r="AG81" t="s">
        <v>3189</v>
      </c>
      <c r="AH81">
        <v>182</v>
      </c>
      <c r="AI81" t="s">
        <v>4295</v>
      </c>
      <c r="AJ81">
        <v>49.266252000000001</v>
      </c>
      <c r="AK81">
        <v>-122.73481</v>
      </c>
      <c r="AL81" t="str">
        <f>CONCATENATE(Names!D81," ",Names!F81)</f>
        <v>Darryl Delaney</v>
      </c>
    </row>
    <row r="82" spans="1:38" x14ac:dyDescent="0.3">
      <c r="A82">
        <v>443</v>
      </c>
      <c r="B82" t="s">
        <v>2994</v>
      </c>
      <c r="C82" t="s">
        <v>2995</v>
      </c>
      <c r="D82" t="s">
        <v>4296</v>
      </c>
      <c r="E82" t="s">
        <v>2997</v>
      </c>
      <c r="F82" t="s">
        <v>4297</v>
      </c>
      <c r="G82" t="s">
        <v>4298</v>
      </c>
      <c r="H82" t="s">
        <v>4299</v>
      </c>
      <c r="I82" t="s">
        <v>3000</v>
      </c>
      <c r="J82" t="s">
        <v>4300</v>
      </c>
      <c r="K82" t="s">
        <v>3002</v>
      </c>
      <c r="L82" t="s">
        <v>3003</v>
      </c>
      <c r="M82" t="s">
        <v>4301</v>
      </c>
      <c r="N82" t="s">
        <v>4302</v>
      </c>
      <c r="O82" t="s">
        <v>4303</v>
      </c>
      <c r="P82" t="s">
        <v>4304</v>
      </c>
      <c r="Q82" t="s">
        <v>4305</v>
      </c>
      <c r="R82">
        <v>27696</v>
      </c>
      <c r="S82" t="s">
        <v>3009</v>
      </c>
      <c r="T82">
        <v>4485298847377740</v>
      </c>
      <c r="U82">
        <v>702</v>
      </c>
      <c r="V82">
        <v>42736</v>
      </c>
      <c r="W82" t="s">
        <v>4306</v>
      </c>
      <c r="X82" t="s">
        <v>4307</v>
      </c>
      <c r="Y82" t="s">
        <v>3323</v>
      </c>
      <c r="Z82" t="s">
        <v>4308</v>
      </c>
      <c r="AA82" t="s">
        <v>4309</v>
      </c>
      <c r="AB82" t="s">
        <v>4310</v>
      </c>
      <c r="AC82" t="s">
        <v>4311</v>
      </c>
      <c r="AD82" t="s">
        <v>3097</v>
      </c>
      <c r="AE82">
        <v>247.5</v>
      </c>
      <c r="AF82">
        <v>112.5</v>
      </c>
      <c r="AG82" t="s">
        <v>3474</v>
      </c>
      <c r="AH82">
        <v>189</v>
      </c>
      <c r="AI82" t="s">
        <v>4312</v>
      </c>
      <c r="AJ82">
        <v>53.356563000000001</v>
      </c>
      <c r="AK82">
        <v>-120.103944</v>
      </c>
      <c r="AL82" t="str">
        <f>CONCATENATE(Names!D82," ",Names!F82)</f>
        <v>Louie Gust</v>
      </c>
    </row>
    <row r="83" spans="1:38" x14ac:dyDescent="0.3">
      <c r="A83">
        <v>444</v>
      </c>
      <c r="B83" t="s">
        <v>3020</v>
      </c>
      <c r="C83" t="s">
        <v>3021</v>
      </c>
      <c r="D83" t="s">
        <v>4313</v>
      </c>
      <c r="E83" t="s">
        <v>4249</v>
      </c>
      <c r="F83" t="s">
        <v>4314</v>
      </c>
      <c r="G83" t="s">
        <v>4315</v>
      </c>
      <c r="H83" t="s">
        <v>4316</v>
      </c>
      <c r="I83" t="s">
        <v>3000</v>
      </c>
      <c r="J83" t="s">
        <v>4317</v>
      </c>
      <c r="K83" t="s">
        <v>3002</v>
      </c>
      <c r="L83" t="s">
        <v>3003</v>
      </c>
      <c r="M83" t="s">
        <v>4318</v>
      </c>
      <c r="N83" t="s">
        <v>4319</v>
      </c>
      <c r="O83" t="s">
        <v>4320</v>
      </c>
      <c r="P83" t="s">
        <v>4321</v>
      </c>
      <c r="Q83" t="s">
        <v>4322</v>
      </c>
      <c r="R83">
        <v>19439</v>
      </c>
      <c r="S83" t="s">
        <v>3009</v>
      </c>
      <c r="T83">
        <v>4485134624786160</v>
      </c>
      <c r="U83">
        <v>46</v>
      </c>
      <c r="V83">
        <v>43344</v>
      </c>
      <c r="W83" t="s">
        <v>4323</v>
      </c>
      <c r="X83" t="s">
        <v>4324</v>
      </c>
      <c r="Y83" t="s">
        <v>3166</v>
      </c>
      <c r="Z83" t="s">
        <v>4325</v>
      </c>
      <c r="AA83" t="s">
        <v>4326</v>
      </c>
      <c r="AB83" t="s">
        <v>4327</v>
      </c>
      <c r="AC83" t="s">
        <v>4328</v>
      </c>
      <c r="AD83" t="s">
        <v>3097</v>
      </c>
      <c r="AE83">
        <v>161.5</v>
      </c>
      <c r="AF83">
        <v>73.400000000000006</v>
      </c>
      <c r="AG83" t="s">
        <v>4216</v>
      </c>
      <c r="AH83">
        <v>153</v>
      </c>
      <c r="AI83" t="s">
        <v>4329</v>
      </c>
      <c r="AJ83">
        <v>52.172862000000002</v>
      </c>
      <c r="AK83">
        <v>-119.39223699999999</v>
      </c>
      <c r="AL83" t="str">
        <f>CONCATENATE(Names!D83," ",Names!F83)</f>
        <v>Tabitha Simpson</v>
      </c>
    </row>
    <row r="84" spans="1:38" x14ac:dyDescent="0.3">
      <c r="A84">
        <v>449</v>
      </c>
      <c r="B84" t="s">
        <v>2994</v>
      </c>
      <c r="C84" t="s">
        <v>2995</v>
      </c>
      <c r="D84" t="s">
        <v>3445</v>
      </c>
      <c r="E84" t="s">
        <v>3364</v>
      </c>
      <c r="F84" t="s">
        <v>4330</v>
      </c>
      <c r="G84" t="s">
        <v>4331</v>
      </c>
      <c r="H84" t="s">
        <v>4332</v>
      </c>
      <c r="I84" t="s">
        <v>3000</v>
      </c>
      <c r="J84" t="s">
        <v>4333</v>
      </c>
      <c r="K84" t="s">
        <v>3002</v>
      </c>
      <c r="L84" t="s">
        <v>3003</v>
      </c>
      <c r="M84" t="s">
        <v>4334</v>
      </c>
      <c r="N84" t="s">
        <v>4335</v>
      </c>
      <c r="O84" t="s">
        <v>4336</v>
      </c>
      <c r="P84" t="s">
        <v>4337</v>
      </c>
      <c r="Q84" t="s">
        <v>4338</v>
      </c>
      <c r="R84">
        <v>21583</v>
      </c>
      <c r="S84" t="s">
        <v>3009</v>
      </c>
      <c r="T84">
        <v>4929588594216720</v>
      </c>
      <c r="U84">
        <v>233</v>
      </c>
      <c r="V84">
        <v>43525</v>
      </c>
      <c r="W84" t="s">
        <v>4339</v>
      </c>
      <c r="X84" t="s">
        <v>4340</v>
      </c>
      <c r="Y84" t="s">
        <v>3012</v>
      </c>
      <c r="Z84" t="s">
        <v>4341</v>
      </c>
      <c r="AA84" t="s">
        <v>4342</v>
      </c>
      <c r="AB84" t="s">
        <v>4343</v>
      </c>
      <c r="AC84" t="s">
        <v>4344</v>
      </c>
      <c r="AD84" t="s">
        <v>3153</v>
      </c>
      <c r="AE84">
        <v>235.4</v>
      </c>
      <c r="AF84">
        <v>107</v>
      </c>
      <c r="AG84" t="s">
        <v>3443</v>
      </c>
      <c r="AH84">
        <v>181</v>
      </c>
      <c r="AI84" t="s">
        <v>4345</v>
      </c>
      <c r="AJ84">
        <v>50.751756</v>
      </c>
      <c r="AK84">
        <v>-119.09783400000001</v>
      </c>
      <c r="AL84" t="str">
        <f>CONCATENATE(Names!D84," ",Names!F84)</f>
        <v>Richard Dobbins</v>
      </c>
    </row>
    <row r="85" spans="1:38" x14ac:dyDescent="0.3">
      <c r="A85">
        <v>450</v>
      </c>
      <c r="B85" t="s">
        <v>3020</v>
      </c>
      <c r="C85" t="s">
        <v>3021</v>
      </c>
      <c r="D85" t="s">
        <v>4346</v>
      </c>
      <c r="E85" t="s">
        <v>2997</v>
      </c>
      <c r="F85" t="s">
        <v>4347</v>
      </c>
      <c r="G85" t="s">
        <v>4348</v>
      </c>
      <c r="H85" t="s">
        <v>4091</v>
      </c>
      <c r="I85" t="s">
        <v>3000</v>
      </c>
      <c r="J85" t="s">
        <v>4092</v>
      </c>
      <c r="K85" t="s">
        <v>3002</v>
      </c>
      <c r="L85" t="s">
        <v>3003</v>
      </c>
      <c r="M85" t="s">
        <v>4349</v>
      </c>
      <c r="N85" t="s">
        <v>4350</v>
      </c>
      <c r="O85" t="s">
        <v>4351</v>
      </c>
      <c r="P85" t="s">
        <v>4352</v>
      </c>
      <c r="Q85" t="s">
        <v>4353</v>
      </c>
      <c r="R85">
        <v>27263</v>
      </c>
      <c r="S85" t="s">
        <v>3032</v>
      </c>
      <c r="T85">
        <v>5363306913729700</v>
      </c>
      <c r="U85">
        <v>837</v>
      </c>
      <c r="V85">
        <v>42461</v>
      </c>
      <c r="W85" t="s">
        <v>4354</v>
      </c>
      <c r="X85" t="s">
        <v>4355</v>
      </c>
      <c r="Y85" t="s">
        <v>3166</v>
      </c>
      <c r="Z85" t="s">
        <v>4356</v>
      </c>
      <c r="AA85" t="s">
        <v>4357</v>
      </c>
      <c r="AB85" t="s">
        <v>4358</v>
      </c>
      <c r="AC85" t="s">
        <v>4359</v>
      </c>
      <c r="AD85" t="s">
        <v>3097</v>
      </c>
      <c r="AE85">
        <v>218.9</v>
      </c>
      <c r="AF85">
        <v>99.5</v>
      </c>
      <c r="AG85" t="s">
        <v>4057</v>
      </c>
      <c r="AH85">
        <v>163</v>
      </c>
      <c r="AI85" t="s">
        <v>4360</v>
      </c>
      <c r="AJ85">
        <v>48.986078999999997</v>
      </c>
      <c r="AK85">
        <v>-122.49001699999999</v>
      </c>
      <c r="AL85" t="str">
        <f>CONCATENATE(Names!D85," ",Names!F85)</f>
        <v>Jessica Taylor</v>
      </c>
    </row>
    <row r="86" spans="1:38" x14ac:dyDescent="0.3">
      <c r="A86">
        <v>462</v>
      </c>
      <c r="B86" t="s">
        <v>2994</v>
      </c>
      <c r="C86" t="s">
        <v>2995</v>
      </c>
      <c r="D86" t="s">
        <v>3679</v>
      </c>
      <c r="E86" t="s">
        <v>3477</v>
      </c>
      <c r="F86" t="s">
        <v>4361</v>
      </c>
      <c r="G86" t="s">
        <v>4362</v>
      </c>
      <c r="H86" t="s">
        <v>3399</v>
      </c>
      <c r="I86" t="s">
        <v>3000</v>
      </c>
      <c r="J86" t="s">
        <v>4363</v>
      </c>
      <c r="K86" t="s">
        <v>3002</v>
      </c>
      <c r="L86" t="s">
        <v>3003</v>
      </c>
      <c r="M86" t="s">
        <v>4364</v>
      </c>
      <c r="N86" t="s">
        <v>4365</v>
      </c>
      <c r="O86" t="s">
        <v>4366</v>
      </c>
      <c r="P86" t="s">
        <v>4367</v>
      </c>
      <c r="Q86" t="s">
        <v>4059</v>
      </c>
      <c r="R86">
        <v>18000</v>
      </c>
      <c r="S86" t="s">
        <v>3032</v>
      </c>
      <c r="T86">
        <v>5592618023783610</v>
      </c>
      <c r="U86">
        <v>968</v>
      </c>
      <c r="V86">
        <v>42979</v>
      </c>
      <c r="W86" t="s">
        <v>4368</v>
      </c>
      <c r="X86" t="s">
        <v>4369</v>
      </c>
      <c r="Y86" t="s">
        <v>3012</v>
      </c>
      <c r="Z86" t="s">
        <v>4370</v>
      </c>
      <c r="AA86" t="s">
        <v>4371</v>
      </c>
      <c r="AB86" t="s">
        <v>4372</v>
      </c>
      <c r="AC86" t="s">
        <v>4373</v>
      </c>
      <c r="AD86" t="s">
        <v>3017</v>
      </c>
      <c r="AE86">
        <v>238.7</v>
      </c>
      <c r="AF86">
        <v>108.5</v>
      </c>
      <c r="AG86" t="s">
        <v>3018</v>
      </c>
      <c r="AH86">
        <v>186</v>
      </c>
      <c r="AI86" t="s">
        <v>4374</v>
      </c>
      <c r="AJ86">
        <v>49.176136</v>
      </c>
      <c r="AK86">
        <v>-122.57038900000001</v>
      </c>
      <c r="AL86" t="str">
        <f>CONCATENATE(Names!D86," ",Names!F86)</f>
        <v>Thomas England</v>
      </c>
    </row>
    <row r="87" spans="1:38" x14ac:dyDescent="0.3">
      <c r="A87">
        <v>463</v>
      </c>
      <c r="B87" t="s">
        <v>3020</v>
      </c>
      <c r="C87" t="s">
        <v>3021</v>
      </c>
      <c r="D87" t="s">
        <v>4375</v>
      </c>
      <c r="E87" t="s">
        <v>3101</v>
      </c>
      <c r="F87" t="s">
        <v>4376</v>
      </c>
      <c r="G87" t="s">
        <v>4377</v>
      </c>
      <c r="H87" t="s">
        <v>3176</v>
      </c>
      <c r="I87" t="s">
        <v>3000</v>
      </c>
      <c r="J87" t="s">
        <v>3177</v>
      </c>
      <c r="K87" t="s">
        <v>3002</v>
      </c>
      <c r="L87" t="s">
        <v>3003</v>
      </c>
      <c r="M87" t="s">
        <v>4378</v>
      </c>
      <c r="N87" t="s">
        <v>4379</v>
      </c>
      <c r="O87" t="s">
        <v>4380</v>
      </c>
      <c r="P87" t="s">
        <v>4381</v>
      </c>
      <c r="Q87" t="s">
        <v>4297</v>
      </c>
      <c r="R87">
        <v>19161</v>
      </c>
      <c r="S87" t="s">
        <v>3009</v>
      </c>
      <c r="T87">
        <v>4485646572594640</v>
      </c>
      <c r="U87">
        <v>681</v>
      </c>
      <c r="V87">
        <v>43770</v>
      </c>
      <c r="W87" t="s">
        <v>4382</v>
      </c>
      <c r="X87" t="s">
        <v>4383</v>
      </c>
      <c r="Y87" t="s">
        <v>3074</v>
      </c>
      <c r="Z87" t="s">
        <v>4384</v>
      </c>
      <c r="AA87" t="s">
        <v>4385</v>
      </c>
      <c r="AB87" t="s">
        <v>4386</v>
      </c>
      <c r="AC87" t="s">
        <v>4387</v>
      </c>
      <c r="AD87" t="s">
        <v>3153</v>
      </c>
      <c r="AE87">
        <v>149.80000000000001</v>
      </c>
      <c r="AF87">
        <v>68.099999999999994</v>
      </c>
      <c r="AG87" t="s">
        <v>3134</v>
      </c>
      <c r="AH87">
        <v>164</v>
      </c>
      <c r="AI87" t="s">
        <v>4388</v>
      </c>
      <c r="AJ87">
        <v>49.240122999999997</v>
      </c>
      <c r="AK87">
        <v>-122.005323</v>
      </c>
      <c r="AL87" t="str">
        <f>CONCATENATE(Names!D87," ",Names!F87)</f>
        <v>Lashawn Matthew</v>
      </c>
    </row>
    <row r="88" spans="1:38" x14ac:dyDescent="0.3">
      <c r="A88">
        <v>478</v>
      </c>
      <c r="B88" t="s">
        <v>3020</v>
      </c>
      <c r="C88" t="s">
        <v>3021</v>
      </c>
      <c r="D88" t="s">
        <v>4389</v>
      </c>
      <c r="E88" t="s">
        <v>327</v>
      </c>
      <c r="F88" t="s">
        <v>4390</v>
      </c>
      <c r="G88" t="s">
        <v>4391</v>
      </c>
      <c r="H88" t="s">
        <v>3297</v>
      </c>
      <c r="I88" t="s">
        <v>3000</v>
      </c>
      <c r="J88" t="s">
        <v>4392</v>
      </c>
      <c r="K88" t="s">
        <v>3002</v>
      </c>
      <c r="L88" t="s">
        <v>3003</v>
      </c>
      <c r="M88" t="s">
        <v>4393</v>
      </c>
      <c r="N88" t="s">
        <v>4394</v>
      </c>
      <c r="O88" t="s">
        <v>4395</v>
      </c>
      <c r="P88" t="s">
        <v>4396</v>
      </c>
      <c r="Q88" t="s">
        <v>4397</v>
      </c>
      <c r="R88">
        <v>23301</v>
      </c>
      <c r="S88" t="s">
        <v>3009</v>
      </c>
      <c r="T88">
        <v>4539632637054550</v>
      </c>
      <c r="U88">
        <v>440</v>
      </c>
      <c r="V88">
        <v>42979</v>
      </c>
      <c r="W88" t="s">
        <v>4398</v>
      </c>
      <c r="X88" t="s">
        <v>4399</v>
      </c>
      <c r="Y88" t="s">
        <v>3221</v>
      </c>
      <c r="Z88" t="s">
        <v>4400</v>
      </c>
      <c r="AA88" t="s">
        <v>4401</v>
      </c>
      <c r="AB88" t="s">
        <v>4402</v>
      </c>
      <c r="AC88" t="s">
        <v>4403</v>
      </c>
      <c r="AD88" t="s">
        <v>3153</v>
      </c>
      <c r="AE88">
        <v>171.8</v>
      </c>
      <c r="AF88">
        <v>78.099999999999994</v>
      </c>
      <c r="AG88" t="s">
        <v>3098</v>
      </c>
      <c r="AH88">
        <v>167</v>
      </c>
      <c r="AI88" t="s">
        <v>4404</v>
      </c>
      <c r="AJ88">
        <v>48.697617999999999</v>
      </c>
      <c r="AK88">
        <v>-123.734217</v>
      </c>
      <c r="AL88" t="str">
        <f>CONCATENATE(Names!D88," ",Names!F88)</f>
        <v>Tangela Townsend</v>
      </c>
    </row>
    <row r="89" spans="1:38" x14ac:dyDescent="0.3">
      <c r="A89">
        <v>499</v>
      </c>
      <c r="B89" t="s">
        <v>3020</v>
      </c>
      <c r="C89" t="s">
        <v>3062</v>
      </c>
      <c r="D89" t="s">
        <v>4405</v>
      </c>
      <c r="E89" t="s">
        <v>322</v>
      </c>
      <c r="F89" t="s">
        <v>3897</v>
      </c>
      <c r="G89" t="s">
        <v>4406</v>
      </c>
      <c r="H89" t="s">
        <v>19</v>
      </c>
      <c r="I89" t="s">
        <v>3000</v>
      </c>
      <c r="J89" t="s">
        <v>3845</v>
      </c>
      <c r="K89" t="s">
        <v>3002</v>
      </c>
      <c r="L89" t="s">
        <v>3003</v>
      </c>
      <c r="M89" t="s">
        <v>4407</v>
      </c>
      <c r="N89" t="s">
        <v>4408</v>
      </c>
      <c r="O89" t="s">
        <v>4409</v>
      </c>
      <c r="P89" t="s">
        <v>4410</v>
      </c>
      <c r="Q89" t="s">
        <v>4411</v>
      </c>
      <c r="R89">
        <v>13632</v>
      </c>
      <c r="S89" t="s">
        <v>3032</v>
      </c>
      <c r="T89">
        <v>5446101966112130</v>
      </c>
      <c r="U89">
        <v>724</v>
      </c>
      <c r="V89">
        <v>42370</v>
      </c>
      <c r="W89" t="s">
        <v>4412</v>
      </c>
      <c r="X89" t="s">
        <v>4413</v>
      </c>
      <c r="Y89" t="s">
        <v>3221</v>
      </c>
      <c r="Z89" t="s">
        <v>4414</v>
      </c>
      <c r="AA89" t="s">
        <v>4415</v>
      </c>
      <c r="AB89" t="s">
        <v>4416</v>
      </c>
      <c r="AC89" t="s">
        <v>4417</v>
      </c>
      <c r="AD89" t="s">
        <v>3097</v>
      </c>
      <c r="AE89">
        <v>146.69999999999999</v>
      </c>
      <c r="AF89">
        <v>66.7</v>
      </c>
      <c r="AG89" t="s">
        <v>3098</v>
      </c>
      <c r="AH89">
        <v>167</v>
      </c>
      <c r="AI89" t="s">
        <v>4418</v>
      </c>
      <c r="AJ89">
        <v>49.183227000000002</v>
      </c>
      <c r="AK89">
        <v>-123.054936</v>
      </c>
      <c r="AL89" t="str">
        <f>CONCATENATE(Names!D89," ",Names!F89)</f>
        <v>Amanda Perkins</v>
      </c>
    </row>
    <row r="90" spans="1:38" x14ac:dyDescent="0.3">
      <c r="A90">
        <v>506</v>
      </c>
      <c r="B90" t="s">
        <v>3020</v>
      </c>
      <c r="C90" t="s">
        <v>3062</v>
      </c>
      <c r="D90" t="s">
        <v>4419</v>
      </c>
      <c r="E90" t="s">
        <v>3101</v>
      </c>
      <c r="F90" t="s">
        <v>4420</v>
      </c>
      <c r="G90" t="s">
        <v>4421</v>
      </c>
      <c r="H90" t="s">
        <v>4422</v>
      </c>
      <c r="I90" t="s">
        <v>3000</v>
      </c>
      <c r="J90" t="s">
        <v>4423</v>
      </c>
      <c r="K90" t="s">
        <v>3002</v>
      </c>
      <c r="L90" t="s">
        <v>3003</v>
      </c>
      <c r="M90" t="s">
        <v>4424</v>
      </c>
      <c r="N90" t="s">
        <v>4425</v>
      </c>
      <c r="O90" t="s">
        <v>4426</v>
      </c>
      <c r="P90" t="s">
        <v>4427</v>
      </c>
      <c r="Q90" t="s">
        <v>4428</v>
      </c>
      <c r="R90">
        <v>31931</v>
      </c>
      <c r="S90" t="s">
        <v>3009</v>
      </c>
      <c r="T90">
        <v>4929961010185900</v>
      </c>
      <c r="U90">
        <v>427</v>
      </c>
      <c r="V90">
        <v>43647</v>
      </c>
      <c r="W90" t="s">
        <v>4429</v>
      </c>
      <c r="X90" t="s">
        <v>4430</v>
      </c>
      <c r="Y90" t="s">
        <v>3012</v>
      </c>
      <c r="Z90" t="s">
        <v>4431</v>
      </c>
      <c r="AA90" t="s">
        <v>4432</v>
      </c>
      <c r="AB90" t="s">
        <v>4433</v>
      </c>
      <c r="AC90" t="s">
        <v>4434</v>
      </c>
      <c r="AD90" t="s">
        <v>3059</v>
      </c>
      <c r="AE90">
        <v>142.80000000000001</v>
      </c>
      <c r="AF90">
        <v>64.900000000000006</v>
      </c>
      <c r="AG90" t="s">
        <v>3098</v>
      </c>
      <c r="AH90">
        <v>167</v>
      </c>
      <c r="AI90" t="s">
        <v>4435</v>
      </c>
      <c r="AJ90">
        <v>54.358972999999999</v>
      </c>
      <c r="AK90">
        <v>-126.744015</v>
      </c>
      <c r="AL90" t="str">
        <f>CONCATENATE(Names!D90," ",Names!F90)</f>
        <v>Helen Machado</v>
      </c>
    </row>
    <row r="91" spans="1:38" x14ac:dyDescent="0.3">
      <c r="A91">
        <v>507</v>
      </c>
      <c r="B91" t="s">
        <v>3020</v>
      </c>
      <c r="C91" t="s">
        <v>3021</v>
      </c>
      <c r="D91" t="s">
        <v>4436</v>
      </c>
      <c r="E91" t="s">
        <v>322</v>
      </c>
      <c r="F91" t="s">
        <v>4437</v>
      </c>
      <c r="G91" t="s">
        <v>4438</v>
      </c>
      <c r="H91" t="s">
        <v>2</v>
      </c>
      <c r="I91" t="s">
        <v>3000</v>
      </c>
      <c r="J91" t="s">
        <v>3367</v>
      </c>
      <c r="K91" t="s">
        <v>3002</v>
      </c>
      <c r="L91" t="s">
        <v>3003</v>
      </c>
      <c r="M91" t="s">
        <v>4439</v>
      </c>
      <c r="N91" t="s">
        <v>4440</v>
      </c>
      <c r="O91" t="s">
        <v>4441</v>
      </c>
      <c r="P91" t="s">
        <v>4442</v>
      </c>
      <c r="Q91" t="s">
        <v>4443</v>
      </c>
      <c r="R91">
        <v>16486</v>
      </c>
      <c r="S91" t="s">
        <v>3032</v>
      </c>
      <c r="T91">
        <v>5593155219338320</v>
      </c>
      <c r="U91">
        <v>295</v>
      </c>
      <c r="V91">
        <v>43070</v>
      </c>
      <c r="W91" t="s">
        <v>4444</v>
      </c>
      <c r="X91" t="s">
        <v>4445</v>
      </c>
      <c r="Y91" t="s">
        <v>3166</v>
      </c>
      <c r="Z91" t="s">
        <v>4446</v>
      </c>
      <c r="AA91" t="s">
        <v>4447</v>
      </c>
      <c r="AB91" t="s">
        <v>4448</v>
      </c>
      <c r="AC91" t="s">
        <v>4449</v>
      </c>
      <c r="AD91" t="s">
        <v>3097</v>
      </c>
      <c r="AE91">
        <v>193.8</v>
      </c>
      <c r="AF91">
        <v>88.1</v>
      </c>
      <c r="AG91" t="s">
        <v>4216</v>
      </c>
      <c r="AH91">
        <v>153</v>
      </c>
      <c r="AI91" t="s">
        <v>4450</v>
      </c>
      <c r="AJ91">
        <v>48.424897999999999</v>
      </c>
      <c r="AK91">
        <v>-123.33927</v>
      </c>
      <c r="AL91" t="str">
        <f>CONCATENATE(Names!D91," ",Names!F91)</f>
        <v>Doris Nickens</v>
      </c>
    </row>
    <row r="92" spans="1:38" x14ac:dyDescent="0.3">
      <c r="A92">
        <v>511</v>
      </c>
      <c r="B92" t="s">
        <v>3020</v>
      </c>
      <c r="C92" t="s">
        <v>3062</v>
      </c>
      <c r="D92" t="s">
        <v>4451</v>
      </c>
      <c r="E92" t="s">
        <v>3655</v>
      </c>
      <c r="F92" t="s">
        <v>4452</v>
      </c>
      <c r="G92" t="s">
        <v>4453</v>
      </c>
      <c r="H92" t="s">
        <v>19</v>
      </c>
      <c r="I92" t="s">
        <v>3000</v>
      </c>
      <c r="J92" t="s">
        <v>4454</v>
      </c>
      <c r="K92" t="s">
        <v>3002</v>
      </c>
      <c r="L92" t="s">
        <v>3003</v>
      </c>
      <c r="M92" t="s">
        <v>4455</v>
      </c>
      <c r="N92" t="s">
        <v>4456</v>
      </c>
      <c r="O92" t="s">
        <v>4457</v>
      </c>
      <c r="P92" t="s">
        <v>4458</v>
      </c>
      <c r="Q92" t="s">
        <v>4459</v>
      </c>
      <c r="R92">
        <v>19847</v>
      </c>
      <c r="S92" t="s">
        <v>3009</v>
      </c>
      <c r="T92">
        <v>4556697484298540</v>
      </c>
      <c r="U92">
        <v>98</v>
      </c>
      <c r="V92">
        <v>43221</v>
      </c>
      <c r="W92" t="s">
        <v>4460</v>
      </c>
      <c r="X92" t="s">
        <v>4461</v>
      </c>
      <c r="Y92" t="s">
        <v>3166</v>
      </c>
      <c r="Z92" t="s">
        <v>4462</v>
      </c>
      <c r="AA92" t="s">
        <v>4463</v>
      </c>
      <c r="AB92" t="s">
        <v>4464</v>
      </c>
      <c r="AC92" t="s">
        <v>4465</v>
      </c>
      <c r="AD92" t="s">
        <v>3059</v>
      </c>
      <c r="AE92">
        <v>176.4</v>
      </c>
      <c r="AF92">
        <v>80.2</v>
      </c>
      <c r="AG92" t="s">
        <v>3134</v>
      </c>
      <c r="AH92">
        <v>165</v>
      </c>
      <c r="AI92" t="s">
        <v>4466</v>
      </c>
      <c r="AJ92">
        <v>49.184511999999998</v>
      </c>
      <c r="AK92">
        <v>-123.201891</v>
      </c>
      <c r="AL92" t="str">
        <f>CONCATENATE(Names!D92," ",Names!F92)</f>
        <v>Pearl Rice</v>
      </c>
    </row>
    <row r="93" spans="1:38" x14ac:dyDescent="0.3">
      <c r="A93">
        <v>513</v>
      </c>
      <c r="B93" t="s">
        <v>3020</v>
      </c>
      <c r="C93" t="s">
        <v>3062</v>
      </c>
      <c r="D93" t="s">
        <v>4467</v>
      </c>
      <c r="E93" t="s">
        <v>3364</v>
      </c>
      <c r="F93" t="s">
        <v>4468</v>
      </c>
      <c r="G93" t="s">
        <v>4469</v>
      </c>
      <c r="H93" t="s">
        <v>4470</v>
      </c>
      <c r="I93" t="s">
        <v>3000</v>
      </c>
      <c r="J93" t="s">
        <v>4471</v>
      </c>
      <c r="K93" t="s">
        <v>3002</v>
      </c>
      <c r="L93" t="s">
        <v>3003</v>
      </c>
      <c r="M93" t="s">
        <v>4472</v>
      </c>
      <c r="N93" t="s">
        <v>4473</v>
      </c>
      <c r="O93" t="s">
        <v>4474</v>
      </c>
      <c r="P93" t="s">
        <v>4475</v>
      </c>
      <c r="Q93" t="s">
        <v>4476</v>
      </c>
      <c r="R93">
        <v>28871</v>
      </c>
      <c r="S93" t="s">
        <v>3032</v>
      </c>
      <c r="T93">
        <v>5569506901020870</v>
      </c>
      <c r="U93">
        <v>159</v>
      </c>
      <c r="V93">
        <v>43647</v>
      </c>
      <c r="W93" t="s">
        <v>4477</v>
      </c>
      <c r="X93" t="s">
        <v>4478</v>
      </c>
      <c r="Y93" t="s">
        <v>3012</v>
      </c>
      <c r="Z93" t="s">
        <v>4479</v>
      </c>
      <c r="AA93" t="s">
        <v>4480</v>
      </c>
      <c r="AB93" t="s">
        <v>4481</v>
      </c>
      <c r="AC93" t="s">
        <v>4482</v>
      </c>
      <c r="AD93" t="s">
        <v>3153</v>
      </c>
      <c r="AE93">
        <v>174.2</v>
      </c>
      <c r="AF93">
        <v>79.2</v>
      </c>
      <c r="AG93" t="s">
        <v>3098</v>
      </c>
      <c r="AH93">
        <v>167</v>
      </c>
      <c r="AI93" t="s">
        <v>4483</v>
      </c>
      <c r="AJ93">
        <v>51.966943000000001</v>
      </c>
      <c r="AK93">
        <v>-122.603779</v>
      </c>
      <c r="AL93" t="str">
        <f>CONCATENATE(Names!D93," ",Names!F93)</f>
        <v>Eleanor Ballesteros</v>
      </c>
    </row>
    <row r="94" spans="1:38" x14ac:dyDescent="0.3">
      <c r="A94">
        <v>518</v>
      </c>
      <c r="B94" t="s">
        <v>2994</v>
      </c>
      <c r="C94" t="s">
        <v>2995</v>
      </c>
      <c r="D94" t="s">
        <v>4484</v>
      </c>
      <c r="E94" t="s">
        <v>131</v>
      </c>
      <c r="F94" t="s">
        <v>3221</v>
      </c>
      <c r="G94" t="s">
        <v>4485</v>
      </c>
      <c r="H94" t="s">
        <v>4486</v>
      </c>
      <c r="I94" t="s">
        <v>3000</v>
      </c>
      <c r="J94" t="s">
        <v>4487</v>
      </c>
      <c r="K94" t="s">
        <v>3002</v>
      </c>
      <c r="L94" t="s">
        <v>3003</v>
      </c>
      <c r="M94" t="s">
        <v>4488</v>
      </c>
      <c r="N94" t="s">
        <v>4489</v>
      </c>
      <c r="O94" t="s">
        <v>4490</v>
      </c>
      <c r="P94" t="s">
        <v>4491</v>
      </c>
      <c r="Q94" t="s">
        <v>4492</v>
      </c>
      <c r="R94">
        <v>22161</v>
      </c>
      <c r="S94" t="s">
        <v>3032</v>
      </c>
      <c r="T94">
        <v>5419117354070530</v>
      </c>
      <c r="U94">
        <v>355</v>
      </c>
      <c r="V94">
        <v>43800</v>
      </c>
      <c r="W94" t="s">
        <v>4493</v>
      </c>
      <c r="X94" t="s">
        <v>4494</v>
      </c>
      <c r="Y94" t="s">
        <v>3012</v>
      </c>
      <c r="Z94" t="s">
        <v>4495</v>
      </c>
      <c r="AA94" t="s">
        <v>4371</v>
      </c>
      <c r="AB94" t="s">
        <v>4496</v>
      </c>
      <c r="AC94" t="s">
        <v>4497</v>
      </c>
      <c r="AD94" t="s">
        <v>3059</v>
      </c>
      <c r="AE94">
        <v>245.5</v>
      </c>
      <c r="AF94">
        <v>111.6</v>
      </c>
      <c r="AG94" t="s">
        <v>3060</v>
      </c>
      <c r="AH94">
        <v>176</v>
      </c>
      <c r="AI94" t="s">
        <v>4498</v>
      </c>
      <c r="AJ94">
        <v>50.586221000000002</v>
      </c>
      <c r="AK94">
        <v>-116.075152</v>
      </c>
      <c r="AL94" t="str">
        <f>CONCATENATE(Names!D94," ",Names!F94)</f>
        <v>Jessie Green</v>
      </c>
    </row>
    <row r="95" spans="1:38" x14ac:dyDescent="0.3">
      <c r="A95">
        <v>527</v>
      </c>
      <c r="B95" t="s">
        <v>2994</v>
      </c>
      <c r="C95" t="s">
        <v>2995</v>
      </c>
      <c r="D95" t="s">
        <v>4499</v>
      </c>
      <c r="E95" t="s">
        <v>3364</v>
      </c>
      <c r="F95" t="s">
        <v>4500</v>
      </c>
      <c r="G95" t="s">
        <v>4501</v>
      </c>
      <c r="H95" t="s">
        <v>3738</v>
      </c>
      <c r="I95" t="s">
        <v>3000</v>
      </c>
      <c r="J95" t="s">
        <v>3739</v>
      </c>
      <c r="K95" t="s">
        <v>3002</v>
      </c>
      <c r="L95" t="s">
        <v>3003</v>
      </c>
      <c r="M95" t="s">
        <v>4502</v>
      </c>
      <c r="N95" t="s">
        <v>4503</v>
      </c>
      <c r="O95" t="s">
        <v>4504</v>
      </c>
      <c r="P95" t="s">
        <v>4505</v>
      </c>
      <c r="Q95" t="s">
        <v>4506</v>
      </c>
      <c r="R95">
        <v>26286</v>
      </c>
      <c r="S95" t="s">
        <v>3009</v>
      </c>
      <c r="T95">
        <v>4556900001278110</v>
      </c>
      <c r="U95">
        <v>436</v>
      </c>
      <c r="V95">
        <v>43435</v>
      </c>
      <c r="W95" t="s">
        <v>4507</v>
      </c>
      <c r="X95" t="s">
        <v>4508</v>
      </c>
      <c r="Y95" t="s">
        <v>3035</v>
      </c>
      <c r="Z95" t="s">
        <v>4509</v>
      </c>
      <c r="AA95" t="s">
        <v>4510</v>
      </c>
      <c r="AB95" t="s">
        <v>4511</v>
      </c>
      <c r="AC95" t="s">
        <v>4512</v>
      </c>
      <c r="AD95" t="s">
        <v>3153</v>
      </c>
      <c r="AE95">
        <v>174.2</v>
      </c>
      <c r="AF95">
        <v>79.2</v>
      </c>
      <c r="AG95" t="s">
        <v>3474</v>
      </c>
      <c r="AH95">
        <v>188</v>
      </c>
      <c r="AI95" t="s">
        <v>4513</v>
      </c>
      <c r="AJ95">
        <v>49.268903000000002</v>
      </c>
      <c r="AK95">
        <v>-123.085859</v>
      </c>
      <c r="AL95" t="str">
        <f>CONCATENATE(Names!D95," ",Names!F95)</f>
        <v>Ty Coats</v>
      </c>
    </row>
    <row r="96" spans="1:38" x14ac:dyDescent="0.3">
      <c r="A96">
        <v>533</v>
      </c>
      <c r="B96" t="s">
        <v>3020</v>
      </c>
      <c r="C96" t="s">
        <v>3021</v>
      </c>
      <c r="D96" t="s">
        <v>4514</v>
      </c>
      <c r="E96" t="s">
        <v>3655</v>
      </c>
      <c r="F96" t="s">
        <v>3372</v>
      </c>
      <c r="G96" t="s">
        <v>4515</v>
      </c>
      <c r="H96" t="s">
        <v>2</v>
      </c>
      <c r="I96" t="s">
        <v>3000</v>
      </c>
      <c r="J96" t="s">
        <v>3940</v>
      </c>
      <c r="K96" t="s">
        <v>3002</v>
      </c>
      <c r="L96" t="s">
        <v>3003</v>
      </c>
      <c r="M96" t="s">
        <v>4516</v>
      </c>
      <c r="N96" t="s">
        <v>4517</v>
      </c>
      <c r="O96" t="s">
        <v>4518</v>
      </c>
      <c r="P96" t="s">
        <v>4519</v>
      </c>
      <c r="Q96" t="s">
        <v>4520</v>
      </c>
      <c r="R96">
        <v>32496</v>
      </c>
      <c r="S96" t="s">
        <v>3032</v>
      </c>
      <c r="T96">
        <v>5298189796222490</v>
      </c>
      <c r="U96">
        <v>333</v>
      </c>
      <c r="V96">
        <v>43040</v>
      </c>
      <c r="W96" t="s">
        <v>4521</v>
      </c>
      <c r="X96" t="s">
        <v>4522</v>
      </c>
      <c r="Y96" t="s">
        <v>3074</v>
      </c>
      <c r="Z96" t="s">
        <v>4523</v>
      </c>
      <c r="AA96" t="s">
        <v>3604</v>
      </c>
      <c r="AB96" t="s">
        <v>4524</v>
      </c>
      <c r="AC96" t="s">
        <v>4525</v>
      </c>
      <c r="AD96" t="s">
        <v>3153</v>
      </c>
      <c r="AE96">
        <v>186.3</v>
      </c>
      <c r="AF96">
        <v>84.7</v>
      </c>
      <c r="AG96" t="s">
        <v>3508</v>
      </c>
      <c r="AH96">
        <v>160</v>
      </c>
      <c r="AI96" t="s">
        <v>4526</v>
      </c>
      <c r="AJ96">
        <v>48.508659999999999</v>
      </c>
      <c r="AK96">
        <v>-123.384771</v>
      </c>
      <c r="AL96" t="str">
        <f>CONCATENATE(Names!D96," ",Names!F96)</f>
        <v>Claudine Henry</v>
      </c>
    </row>
    <row r="97" spans="1:38" x14ac:dyDescent="0.3">
      <c r="A97">
        <v>540</v>
      </c>
      <c r="B97" t="s">
        <v>3020</v>
      </c>
      <c r="C97" t="s">
        <v>3021</v>
      </c>
      <c r="D97" t="s">
        <v>4527</v>
      </c>
      <c r="E97" t="s">
        <v>3559</v>
      </c>
      <c r="F97" t="s">
        <v>4528</v>
      </c>
      <c r="G97" t="s">
        <v>4529</v>
      </c>
      <c r="H97" t="s">
        <v>2</v>
      </c>
      <c r="I97" t="s">
        <v>3000</v>
      </c>
      <c r="J97" t="s">
        <v>3367</v>
      </c>
      <c r="K97" t="s">
        <v>3002</v>
      </c>
      <c r="L97" t="s">
        <v>3003</v>
      </c>
      <c r="M97" t="s">
        <v>4530</v>
      </c>
      <c r="N97" t="s">
        <v>4531</v>
      </c>
      <c r="O97" t="s">
        <v>4532</v>
      </c>
      <c r="P97" t="s">
        <v>4533</v>
      </c>
      <c r="Q97" t="s">
        <v>4534</v>
      </c>
      <c r="R97">
        <v>21939</v>
      </c>
      <c r="S97" t="s">
        <v>3009</v>
      </c>
      <c r="T97">
        <v>4485737923936180</v>
      </c>
      <c r="U97">
        <v>757</v>
      </c>
      <c r="V97">
        <v>43586</v>
      </c>
      <c r="W97" t="s">
        <v>4535</v>
      </c>
      <c r="X97" t="s">
        <v>4536</v>
      </c>
      <c r="Y97" t="s">
        <v>3012</v>
      </c>
      <c r="Z97" t="s">
        <v>4537</v>
      </c>
      <c r="AA97" t="s">
        <v>4538</v>
      </c>
      <c r="AB97" t="s">
        <v>4539</v>
      </c>
      <c r="AC97" t="s">
        <v>4540</v>
      </c>
      <c r="AD97" t="s">
        <v>3059</v>
      </c>
      <c r="AE97">
        <v>207.2</v>
      </c>
      <c r="AF97">
        <v>94.2</v>
      </c>
      <c r="AG97" t="s">
        <v>3207</v>
      </c>
      <c r="AH97">
        <v>170</v>
      </c>
      <c r="AI97" t="s">
        <v>4541</v>
      </c>
      <c r="AJ97">
        <v>48.524023999999997</v>
      </c>
      <c r="AK97">
        <v>-123.30391</v>
      </c>
      <c r="AL97" t="str">
        <f>CONCATENATE(Names!D97," ",Names!F97)</f>
        <v>Mary Saephan</v>
      </c>
    </row>
    <row r="98" spans="1:38" x14ac:dyDescent="0.3">
      <c r="A98">
        <v>545</v>
      </c>
      <c r="B98" t="s">
        <v>3020</v>
      </c>
      <c r="C98" t="s">
        <v>3062</v>
      </c>
      <c r="D98" t="s">
        <v>4542</v>
      </c>
      <c r="E98" t="s">
        <v>2997</v>
      </c>
      <c r="F98" t="s">
        <v>4543</v>
      </c>
      <c r="G98" t="s">
        <v>4544</v>
      </c>
      <c r="H98" t="s">
        <v>3349</v>
      </c>
      <c r="I98" t="s">
        <v>3000</v>
      </c>
      <c r="J98" t="s">
        <v>3986</v>
      </c>
      <c r="K98" t="s">
        <v>3002</v>
      </c>
      <c r="L98" t="s">
        <v>3003</v>
      </c>
      <c r="M98" t="s">
        <v>4545</v>
      </c>
      <c r="N98" t="s">
        <v>4546</v>
      </c>
      <c r="O98" t="s">
        <v>4547</v>
      </c>
      <c r="P98" t="s">
        <v>4548</v>
      </c>
      <c r="Q98" t="s">
        <v>4045</v>
      </c>
      <c r="R98">
        <v>18738</v>
      </c>
      <c r="S98" t="s">
        <v>3032</v>
      </c>
      <c r="T98">
        <v>5308046634468260</v>
      </c>
      <c r="U98">
        <v>698</v>
      </c>
      <c r="V98">
        <v>42005</v>
      </c>
      <c r="W98" t="s">
        <v>4549</v>
      </c>
      <c r="X98" t="s">
        <v>4550</v>
      </c>
      <c r="Y98" t="s">
        <v>3012</v>
      </c>
      <c r="Z98" t="s">
        <v>4551</v>
      </c>
      <c r="AA98" t="s">
        <v>4552</v>
      </c>
      <c r="AB98" t="s">
        <v>4553</v>
      </c>
      <c r="AC98" t="s">
        <v>4554</v>
      </c>
      <c r="AD98" t="s">
        <v>3097</v>
      </c>
      <c r="AE98">
        <v>110</v>
      </c>
      <c r="AF98">
        <v>50</v>
      </c>
      <c r="AG98" t="s">
        <v>4216</v>
      </c>
      <c r="AH98">
        <v>153</v>
      </c>
      <c r="AI98" t="s">
        <v>4555</v>
      </c>
      <c r="AJ98">
        <v>49.295093000000001</v>
      </c>
      <c r="AK98">
        <v>-122.928376</v>
      </c>
      <c r="AL98" t="str">
        <f>CONCATENATE(Names!D98," ",Names!F98)</f>
        <v>Mildred Trevino</v>
      </c>
    </row>
    <row r="99" spans="1:38" x14ac:dyDescent="0.3">
      <c r="A99">
        <v>547</v>
      </c>
      <c r="B99" t="s">
        <v>2994</v>
      </c>
      <c r="C99" t="s">
        <v>2995</v>
      </c>
      <c r="D99" t="s">
        <v>4556</v>
      </c>
      <c r="E99" t="s">
        <v>326</v>
      </c>
      <c r="F99" t="s">
        <v>4557</v>
      </c>
      <c r="G99" t="s">
        <v>4558</v>
      </c>
      <c r="H99" t="s">
        <v>4559</v>
      </c>
      <c r="I99" t="s">
        <v>3000</v>
      </c>
      <c r="J99" t="s">
        <v>4560</v>
      </c>
      <c r="K99" t="s">
        <v>3002</v>
      </c>
      <c r="L99" t="s">
        <v>3003</v>
      </c>
      <c r="M99" t="s">
        <v>4561</v>
      </c>
      <c r="N99" t="s">
        <v>4562</v>
      </c>
      <c r="O99" t="s">
        <v>4563</v>
      </c>
      <c r="P99" t="s">
        <v>4564</v>
      </c>
      <c r="Q99" t="s">
        <v>4565</v>
      </c>
      <c r="R99">
        <v>33771</v>
      </c>
      <c r="S99" t="s">
        <v>3009</v>
      </c>
      <c r="T99">
        <v>4916866971041800</v>
      </c>
      <c r="U99">
        <v>522</v>
      </c>
      <c r="V99">
        <v>42767</v>
      </c>
      <c r="W99" t="s">
        <v>4566</v>
      </c>
      <c r="X99" t="s">
        <v>4567</v>
      </c>
      <c r="Y99" t="s">
        <v>3221</v>
      </c>
      <c r="Z99" t="s">
        <v>4568</v>
      </c>
      <c r="AA99" t="s">
        <v>4569</v>
      </c>
      <c r="AB99" t="s">
        <v>4570</v>
      </c>
      <c r="AC99" t="s">
        <v>4571</v>
      </c>
      <c r="AD99" t="s">
        <v>3153</v>
      </c>
      <c r="AE99">
        <v>198.4</v>
      </c>
      <c r="AF99">
        <v>90.2</v>
      </c>
      <c r="AG99" t="s">
        <v>3018</v>
      </c>
      <c r="AH99">
        <v>185</v>
      </c>
      <c r="AI99" t="s">
        <v>4572</v>
      </c>
      <c r="AJ99">
        <v>49.415908999999999</v>
      </c>
      <c r="AK99">
        <v>-123.2443</v>
      </c>
      <c r="AL99" t="str">
        <f>CONCATENATE(Names!D99," ",Names!F99)</f>
        <v>Peter Murray</v>
      </c>
    </row>
    <row r="100" spans="1:38" x14ac:dyDescent="0.3">
      <c r="A100">
        <v>564</v>
      </c>
      <c r="B100" t="s">
        <v>3020</v>
      </c>
      <c r="C100" t="s">
        <v>3021</v>
      </c>
      <c r="D100" t="s">
        <v>4573</v>
      </c>
      <c r="E100" t="s">
        <v>2997</v>
      </c>
      <c r="F100" t="s">
        <v>4347</v>
      </c>
      <c r="G100" t="s">
        <v>4574</v>
      </c>
      <c r="H100" t="s">
        <v>19</v>
      </c>
      <c r="I100" t="s">
        <v>3000</v>
      </c>
      <c r="J100" t="s">
        <v>41</v>
      </c>
      <c r="K100" t="s">
        <v>3002</v>
      </c>
      <c r="L100" t="s">
        <v>3003</v>
      </c>
      <c r="M100" t="s">
        <v>4575</v>
      </c>
      <c r="N100" t="s">
        <v>4576</v>
      </c>
      <c r="O100" t="s">
        <v>4577</v>
      </c>
      <c r="P100" t="s">
        <v>4578</v>
      </c>
      <c r="Q100" t="s">
        <v>4579</v>
      </c>
      <c r="R100">
        <v>17966</v>
      </c>
      <c r="S100" t="s">
        <v>3032</v>
      </c>
      <c r="T100">
        <v>5218535350393930</v>
      </c>
      <c r="U100">
        <v>932</v>
      </c>
      <c r="V100">
        <v>43160</v>
      </c>
      <c r="W100" t="s">
        <v>4580</v>
      </c>
      <c r="X100" t="s">
        <v>4581</v>
      </c>
      <c r="Y100" t="s">
        <v>3323</v>
      </c>
      <c r="Z100" t="s">
        <v>4582</v>
      </c>
      <c r="AA100" t="s">
        <v>4583</v>
      </c>
      <c r="AB100" t="s">
        <v>4584</v>
      </c>
      <c r="AC100" t="s">
        <v>4585</v>
      </c>
      <c r="AD100" t="s">
        <v>3059</v>
      </c>
      <c r="AE100">
        <v>193.6</v>
      </c>
      <c r="AF100">
        <v>88</v>
      </c>
      <c r="AG100" t="s">
        <v>3079</v>
      </c>
      <c r="AH100">
        <v>158</v>
      </c>
      <c r="AI100" t="s">
        <v>4586</v>
      </c>
      <c r="AJ100">
        <v>49.215083</v>
      </c>
      <c r="AK100">
        <v>-123.114062</v>
      </c>
      <c r="AL100" t="str">
        <f>CONCATENATE(Names!D100," ",Names!F100)</f>
        <v>Evelyn Taylor</v>
      </c>
    </row>
    <row r="101" spans="1:38" x14ac:dyDescent="0.3">
      <c r="A101">
        <v>572</v>
      </c>
      <c r="B101" t="s">
        <v>2994</v>
      </c>
      <c r="C101" t="s">
        <v>2995</v>
      </c>
      <c r="D101" t="s">
        <v>4587</v>
      </c>
      <c r="E101" t="s">
        <v>2997</v>
      </c>
      <c r="F101" t="s">
        <v>4588</v>
      </c>
      <c r="G101" t="s">
        <v>4589</v>
      </c>
      <c r="H101" t="s">
        <v>19</v>
      </c>
      <c r="I101" t="s">
        <v>3000</v>
      </c>
      <c r="J101" t="s">
        <v>41</v>
      </c>
      <c r="K101" t="s">
        <v>3002</v>
      </c>
      <c r="L101" t="s">
        <v>3003</v>
      </c>
      <c r="M101" t="s">
        <v>4590</v>
      </c>
      <c r="N101" t="s">
        <v>4591</v>
      </c>
      <c r="O101" t="s">
        <v>4592</v>
      </c>
      <c r="P101" t="s">
        <v>4593</v>
      </c>
      <c r="Q101" t="s">
        <v>4594</v>
      </c>
      <c r="R101">
        <v>17081</v>
      </c>
      <c r="S101" t="s">
        <v>3032</v>
      </c>
      <c r="T101">
        <v>5564732146100370</v>
      </c>
      <c r="U101">
        <v>523</v>
      </c>
      <c r="V101">
        <v>42795</v>
      </c>
      <c r="W101" t="s">
        <v>4595</v>
      </c>
      <c r="X101" t="s">
        <v>4596</v>
      </c>
      <c r="Y101" t="s">
        <v>3012</v>
      </c>
      <c r="Z101" t="s">
        <v>4597</v>
      </c>
      <c r="AA101" t="s">
        <v>3650</v>
      </c>
      <c r="AB101" t="s">
        <v>4598</v>
      </c>
      <c r="AC101" t="s">
        <v>4599</v>
      </c>
      <c r="AD101" t="s">
        <v>3040</v>
      </c>
      <c r="AE101">
        <v>169.8</v>
      </c>
      <c r="AF101">
        <v>77.2</v>
      </c>
      <c r="AG101" t="s">
        <v>4057</v>
      </c>
      <c r="AH101">
        <v>163</v>
      </c>
      <c r="AI101" t="s">
        <v>4600</v>
      </c>
      <c r="AJ101">
        <v>49.29148</v>
      </c>
      <c r="AK101">
        <v>-123.161027</v>
      </c>
      <c r="AL101" t="str">
        <f>CONCATENATE(Names!D101," ",Names!F101)</f>
        <v>Francesco Mullins</v>
      </c>
    </row>
    <row r="102" spans="1:38" x14ac:dyDescent="0.3">
      <c r="A102">
        <v>574</v>
      </c>
      <c r="B102" t="s">
        <v>2994</v>
      </c>
      <c r="C102" t="s">
        <v>2995</v>
      </c>
      <c r="D102" t="s">
        <v>3679</v>
      </c>
      <c r="E102" t="s">
        <v>3137</v>
      </c>
      <c r="F102" t="s">
        <v>3138</v>
      </c>
      <c r="G102" t="s">
        <v>4601</v>
      </c>
      <c r="H102" t="s">
        <v>11</v>
      </c>
      <c r="I102" t="s">
        <v>3000</v>
      </c>
      <c r="J102" t="s">
        <v>4602</v>
      </c>
      <c r="K102" t="s">
        <v>3002</v>
      </c>
      <c r="L102" t="s">
        <v>3003</v>
      </c>
      <c r="M102" t="s">
        <v>4603</v>
      </c>
      <c r="N102" t="s">
        <v>4604</v>
      </c>
      <c r="O102" t="s">
        <v>4605</v>
      </c>
      <c r="P102" t="s">
        <v>4606</v>
      </c>
      <c r="Q102" t="s">
        <v>4607</v>
      </c>
      <c r="R102">
        <v>23493</v>
      </c>
      <c r="S102" t="s">
        <v>3032</v>
      </c>
      <c r="T102">
        <v>5122438467452050</v>
      </c>
      <c r="U102">
        <v>893</v>
      </c>
      <c r="V102">
        <v>43313</v>
      </c>
      <c r="W102" t="s">
        <v>4608</v>
      </c>
      <c r="X102" t="s">
        <v>4609</v>
      </c>
      <c r="Y102" t="s">
        <v>3012</v>
      </c>
      <c r="Z102" t="s">
        <v>4610</v>
      </c>
      <c r="AA102" t="s">
        <v>4611</v>
      </c>
      <c r="AB102" t="s">
        <v>4612</v>
      </c>
      <c r="AC102" t="s">
        <v>4613</v>
      </c>
      <c r="AD102" t="s">
        <v>3097</v>
      </c>
      <c r="AE102">
        <v>193.2</v>
      </c>
      <c r="AF102">
        <v>87.8</v>
      </c>
      <c r="AG102" t="s">
        <v>3207</v>
      </c>
      <c r="AH102">
        <v>171</v>
      </c>
      <c r="AI102" t="s">
        <v>4614</v>
      </c>
      <c r="AJ102">
        <v>50.581811000000002</v>
      </c>
      <c r="AK102">
        <v>-120.39577</v>
      </c>
      <c r="AL102" t="str">
        <f>CONCATENATE(Names!D102," ",Names!F102)</f>
        <v>Thomas Mills</v>
      </c>
    </row>
    <row r="103" spans="1:38" x14ac:dyDescent="0.3">
      <c r="A103">
        <v>593</v>
      </c>
      <c r="B103" t="s">
        <v>3020</v>
      </c>
      <c r="C103" t="s">
        <v>3021</v>
      </c>
      <c r="D103" t="s">
        <v>4615</v>
      </c>
      <c r="E103" t="s">
        <v>2997</v>
      </c>
      <c r="F103" t="s">
        <v>4616</v>
      </c>
      <c r="G103" t="s">
        <v>4617</v>
      </c>
      <c r="H103" t="s">
        <v>3923</v>
      </c>
      <c r="I103" t="s">
        <v>3000</v>
      </c>
      <c r="J103" t="s">
        <v>3924</v>
      </c>
      <c r="K103" t="s">
        <v>3002</v>
      </c>
      <c r="L103" t="s">
        <v>3003</v>
      </c>
      <c r="M103" t="s">
        <v>4618</v>
      </c>
      <c r="N103" t="s">
        <v>4619</v>
      </c>
      <c r="O103" t="s">
        <v>4620</v>
      </c>
      <c r="P103" t="s">
        <v>4621</v>
      </c>
      <c r="Q103" t="s">
        <v>4622</v>
      </c>
      <c r="R103">
        <v>20344</v>
      </c>
      <c r="S103" t="s">
        <v>3032</v>
      </c>
      <c r="T103">
        <v>5516327624489540</v>
      </c>
      <c r="U103">
        <v>495</v>
      </c>
      <c r="V103">
        <v>43282</v>
      </c>
      <c r="W103" t="s">
        <v>4623</v>
      </c>
      <c r="X103" t="s">
        <v>4624</v>
      </c>
      <c r="Y103" t="s">
        <v>3221</v>
      </c>
      <c r="Z103" t="s">
        <v>4625</v>
      </c>
      <c r="AA103" t="s">
        <v>4626</v>
      </c>
      <c r="AB103" t="s">
        <v>4627</v>
      </c>
      <c r="AC103" t="s">
        <v>4628</v>
      </c>
      <c r="AD103" t="s">
        <v>3097</v>
      </c>
      <c r="AE103">
        <v>207.2</v>
      </c>
      <c r="AF103">
        <v>94.2</v>
      </c>
      <c r="AG103" t="s">
        <v>3134</v>
      </c>
      <c r="AH103">
        <v>165</v>
      </c>
      <c r="AI103" t="s">
        <v>4629</v>
      </c>
      <c r="AJ103">
        <v>58.902890999999997</v>
      </c>
      <c r="AK103">
        <v>-122.595888</v>
      </c>
      <c r="AL103" t="str">
        <f>CONCATENATE(Names!D103," ",Names!F103)</f>
        <v>Marla Schreffler</v>
      </c>
    </row>
    <row r="104" spans="1:38" x14ac:dyDescent="0.3">
      <c r="A104">
        <v>594</v>
      </c>
      <c r="B104" t="s">
        <v>2994</v>
      </c>
      <c r="C104" t="s">
        <v>2995</v>
      </c>
      <c r="D104" t="s">
        <v>4630</v>
      </c>
      <c r="E104" t="s">
        <v>325</v>
      </c>
      <c r="F104" t="s">
        <v>3550</v>
      </c>
      <c r="G104" t="s">
        <v>4631</v>
      </c>
      <c r="H104" t="s">
        <v>15</v>
      </c>
      <c r="I104" t="s">
        <v>3000</v>
      </c>
      <c r="J104" t="s">
        <v>4632</v>
      </c>
      <c r="K104" t="s">
        <v>3002</v>
      </c>
      <c r="L104" t="s">
        <v>3003</v>
      </c>
      <c r="M104" t="s">
        <v>4633</v>
      </c>
      <c r="N104" t="s">
        <v>4634</v>
      </c>
      <c r="O104" t="s">
        <v>4635</v>
      </c>
      <c r="P104" t="s">
        <v>4636</v>
      </c>
      <c r="Q104" t="s">
        <v>4637</v>
      </c>
      <c r="R104">
        <v>29549</v>
      </c>
      <c r="S104" t="s">
        <v>3009</v>
      </c>
      <c r="T104">
        <v>4556006750584020</v>
      </c>
      <c r="U104">
        <v>415</v>
      </c>
      <c r="V104">
        <v>43344</v>
      </c>
      <c r="W104" t="s">
        <v>4638</v>
      </c>
      <c r="X104" t="s">
        <v>4639</v>
      </c>
      <c r="Y104" t="s">
        <v>3012</v>
      </c>
      <c r="Z104" t="s">
        <v>4640</v>
      </c>
      <c r="AA104" t="s">
        <v>4641</v>
      </c>
      <c r="AB104" t="s">
        <v>4642</v>
      </c>
      <c r="AC104" t="s">
        <v>4643</v>
      </c>
      <c r="AD104" t="s">
        <v>3097</v>
      </c>
      <c r="AE104">
        <v>182.2</v>
      </c>
      <c r="AF104">
        <v>82.8</v>
      </c>
      <c r="AG104" t="s">
        <v>3098</v>
      </c>
      <c r="AH104">
        <v>168</v>
      </c>
      <c r="AI104" t="s">
        <v>4644</v>
      </c>
      <c r="AJ104">
        <v>53.903880000000001</v>
      </c>
      <c r="AK104">
        <v>-122.76051699999999</v>
      </c>
      <c r="AL104" t="str">
        <f>CONCATENATE(Names!D104," ",Names!F104)</f>
        <v>Mark Lindsey</v>
      </c>
    </row>
    <row r="105" spans="1:38" x14ac:dyDescent="0.3">
      <c r="A105">
        <v>595</v>
      </c>
      <c r="B105" t="s">
        <v>3020</v>
      </c>
      <c r="C105" t="s">
        <v>3062</v>
      </c>
      <c r="D105" t="s">
        <v>4645</v>
      </c>
      <c r="E105" t="s">
        <v>322</v>
      </c>
      <c r="F105" t="s">
        <v>4646</v>
      </c>
      <c r="G105" t="s">
        <v>4647</v>
      </c>
      <c r="H105" t="s">
        <v>4648</v>
      </c>
      <c r="I105" t="s">
        <v>3000</v>
      </c>
      <c r="J105" t="s">
        <v>4649</v>
      </c>
      <c r="K105" t="s">
        <v>3002</v>
      </c>
      <c r="L105" t="s">
        <v>3003</v>
      </c>
      <c r="M105" t="s">
        <v>4650</v>
      </c>
      <c r="N105" t="s">
        <v>4651</v>
      </c>
      <c r="O105" t="s">
        <v>4652</v>
      </c>
      <c r="P105" t="s">
        <v>4653</v>
      </c>
      <c r="Q105" t="s">
        <v>3221</v>
      </c>
      <c r="R105">
        <v>16535</v>
      </c>
      <c r="S105" t="s">
        <v>3032</v>
      </c>
      <c r="T105">
        <v>5510811939782190</v>
      </c>
      <c r="U105">
        <v>838</v>
      </c>
      <c r="V105">
        <v>42217</v>
      </c>
      <c r="W105" t="s">
        <v>4654</v>
      </c>
      <c r="X105" t="s">
        <v>4655</v>
      </c>
      <c r="Y105" t="s">
        <v>3221</v>
      </c>
      <c r="Z105" t="s">
        <v>4656</v>
      </c>
      <c r="AA105" t="s">
        <v>3014</v>
      </c>
      <c r="AB105" t="s">
        <v>4657</v>
      </c>
      <c r="AC105" t="s">
        <v>4658</v>
      </c>
      <c r="AD105" t="s">
        <v>3059</v>
      </c>
      <c r="AE105">
        <v>208.6</v>
      </c>
      <c r="AF105">
        <v>94.8</v>
      </c>
      <c r="AG105" t="s">
        <v>4216</v>
      </c>
      <c r="AH105">
        <v>152</v>
      </c>
      <c r="AI105" t="s">
        <v>4659</v>
      </c>
      <c r="AJ105">
        <v>56.170653000000001</v>
      </c>
      <c r="AK105">
        <v>-120.862359</v>
      </c>
      <c r="AL105" t="str">
        <f>CONCATENATE(Names!D105," ",Names!F105)</f>
        <v>Anita Fernandez</v>
      </c>
    </row>
    <row r="106" spans="1:38" x14ac:dyDescent="0.3">
      <c r="A106">
        <v>598</v>
      </c>
      <c r="B106" t="s">
        <v>2994</v>
      </c>
      <c r="C106" t="s">
        <v>2995</v>
      </c>
      <c r="D106" t="s">
        <v>4660</v>
      </c>
      <c r="E106" t="s">
        <v>3137</v>
      </c>
      <c r="F106" t="s">
        <v>4661</v>
      </c>
      <c r="G106" t="s">
        <v>4662</v>
      </c>
      <c r="H106" t="s">
        <v>3245</v>
      </c>
      <c r="I106" t="s">
        <v>3000</v>
      </c>
      <c r="J106" t="s">
        <v>4663</v>
      </c>
      <c r="K106" t="s">
        <v>3002</v>
      </c>
      <c r="L106" t="s">
        <v>3003</v>
      </c>
      <c r="M106" t="s">
        <v>4664</v>
      </c>
      <c r="N106" t="s">
        <v>4665</v>
      </c>
      <c r="O106" t="s">
        <v>4666</v>
      </c>
      <c r="P106" t="s">
        <v>4667</v>
      </c>
      <c r="Q106" t="s">
        <v>4668</v>
      </c>
      <c r="R106">
        <v>18198</v>
      </c>
      <c r="S106" t="s">
        <v>3032</v>
      </c>
      <c r="T106">
        <v>5263111727367260</v>
      </c>
      <c r="U106">
        <v>725</v>
      </c>
      <c r="V106">
        <v>42856</v>
      </c>
      <c r="W106" t="s">
        <v>4669</v>
      </c>
      <c r="X106" t="s">
        <v>4670</v>
      </c>
      <c r="Y106" t="s">
        <v>3166</v>
      </c>
      <c r="Z106" t="s">
        <v>4671</v>
      </c>
      <c r="AA106" t="s">
        <v>3537</v>
      </c>
      <c r="AB106" t="s">
        <v>4672</v>
      </c>
      <c r="AC106" t="s">
        <v>4673</v>
      </c>
      <c r="AD106" t="s">
        <v>3059</v>
      </c>
      <c r="AE106">
        <v>169</v>
      </c>
      <c r="AF106">
        <v>76.8</v>
      </c>
      <c r="AG106" t="s">
        <v>3189</v>
      </c>
      <c r="AH106">
        <v>182</v>
      </c>
      <c r="AI106" t="s">
        <v>4674</v>
      </c>
      <c r="AJ106">
        <v>49.100313</v>
      </c>
      <c r="AK106">
        <v>-123.93248699999999</v>
      </c>
      <c r="AL106" t="str">
        <f>CONCATENATE(Names!D106," ",Names!F106)</f>
        <v>Cory Streeter</v>
      </c>
    </row>
    <row r="107" spans="1:38" x14ac:dyDescent="0.3">
      <c r="A107">
        <v>600</v>
      </c>
      <c r="B107" t="s">
        <v>3020</v>
      </c>
      <c r="C107" t="s">
        <v>3021</v>
      </c>
      <c r="D107" t="s">
        <v>4675</v>
      </c>
      <c r="E107" t="s">
        <v>2997</v>
      </c>
      <c r="F107" t="s">
        <v>4676</v>
      </c>
      <c r="G107" t="s">
        <v>4677</v>
      </c>
      <c r="H107" t="s">
        <v>11</v>
      </c>
      <c r="I107" t="s">
        <v>3000</v>
      </c>
      <c r="J107" t="s">
        <v>4678</v>
      </c>
      <c r="K107" t="s">
        <v>3002</v>
      </c>
      <c r="L107" t="s">
        <v>3003</v>
      </c>
      <c r="M107" t="s">
        <v>4679</v>
      </c>
      <c r="N107" t="s">
        <v>4680</v>
      </c>
      <c r="O107" t="s">
        <v>4681</v>
      </c>
      <c r="P107" t="s">
        <v>4682</v>
      </c>
      <c r="Q107" t="s">
        <v>4683</v>
      </c>
      <c r="R107">
        <v>20923</v>
      </c>
      <c r="S107" t="s">
        <v>3009</v>
      </c>
      <c r="T107">
        <v>4532299790581600</v>
      </c>
      <c r="U107">
        <v>909</v>
      </c>
      <c r="V107">
        <v>43282</v>
      </c>
      <c r="W107" t="s">
        <v>4684</v>
      </c>
      <c r="X107" t="s">
        <v>4685</v>
      </c>
      <c r="Y107" t="s">
        <v>3071</v>
      </c>
      <c r="Z107" t="s">
        <v>4686</v>
      </c>
      <c r="AA107" t="s">
        <v>4687</v>
      </c>
      <c r="AB107" t="s">
        <v>4688</v>
      </c>
      <c r="AC107" t="s">
        <v>4689</v>
      </c>
      <c r="AD107" t="s">
        <v>3059</v>
      </c>
      <c r="AE107">
        <v>142.30000000000001</v>
      </c>
      <c r="AF107">
        <v>64.7</v>
      </c>
      <c r="AG107" t="s">
        <v>3207</v>
      </c>
      <c r="AH107">
        <v>170</v>
      </c>
      <c r="AI107" t="s">
        <v>4690</v>
      </c>
      <c r="AJ107">
        <v>50.577537</v>
      </c>
      <c r="AK107">
        <v>-120.34015100000001</v>
      </c>
      <c r="AL107" t="str">
        <f>CONCATENATE(Names!D107," ",Names!F107)</f>
        <v>Jeanne Huskins</v>
      </c>
    </row>
    <row r="108" spans="1:38" x14ac:dyDescent="0.3">
      <c r="A108">
        <v>602</v>
      </c>
      <c r="B108" t="s">
        <v>3020</v>
      </c>
      <c r="C108" t="s">
        <v>3021</v>
      </c>
      <c r="D108" t="s">
        <v>3294</v>
      </c>
      <c r="E108" t="s">
        <v>2997</v>
      </c>
      <c r="F108" t="s">
        <v>4691</v>
      </c>
      <c r="G108" t="s">
        <v>4692</v>
      </c>
      <c r="H108" t="s">
        <v>3399</v>
      </c>
      <c r="I108" t="s">
        <v>3000</v>
      </c>
      <c r="J108" t="s">
        <v>4693</v>
      </c>
      <c r="K108" t="s">
        <v>3002</v>
      </c>
      <c r="L108" t="s">
        <v>3003</v>
      </c>
      <c r="M108" t="s">
        <v>4694</v>
      </c>
      <c r="N108" t="s">
        <v>4695</v>
      </c>
      <c r="O108" t="s">
        <v>4696</v>
      </c>
      <c r="P108" t="s">
        <v>4697</v>
      </c>
      <c r="Q108" t="s">
        <v>4698</v>
      </c>
      <c r="R108">
        <v>13810</v>
      </c>
      <c r="S108" t="s">
        <v>3009</v>
      </c>
      <c r="T108">
        <v>4716127454634710</v>
      </c>
      <c r="U108">
        <v>215</v>
      </c>
      <c r="V108">
        <v>42339</v>
      </c>
      <c r="W108" t="s">
        <v>4699</v>
      </c>
      <c r="X108" t="s">
        <v>4700</v>
      </c>
      <c r="Y108" t="s">
        <v>3166</v>
      </c>
      <c r="Z108" t="s">
        <v>4701</v>
      </c>
      <c r="AA108" t="s">
        <v>4702</v>
      </c>
      <c r="AB108" t="s">
        <v>4703</v>
      </c>
      <c r="AC108" t="s">
        <v>4704</v>
      </c>
      <c r="AD108" t="s">
        <v>3097</v>
      </c>
      <c r="AE108">
        <v>117</v>
      </c>
      <c r="AF108">
        <v>53.2</v>
      </c>
      <c r="AG108" t="s">
        <v>4057</v>
      </c>
      <c r="AH108">
        <v>163</v>
      </c>
      <c r="AI108" t="s">
        <v>4705</v>
      </c>
      <c r="AJ108">
        <v>49.073625</v>
      </c>
      <c r="AK108">
        <v>-122.57146400000001</v>
      </c>
      <c r="AL108" t="str">
        <f>CONCATENATE(Names!D108," ",Names!F108)</f>
        <v>Marilyn Bendel</v>
      </c>
    </row>
    <row r="109" spans="1:38" x14ac:dyDescent="0.3">
      <c r="A109">
        <v>607</v>
      </c>
      <c r="B109" t="s">
        <v>3020</v>
      </c>
      <c r="C109" t="s">
        <v>3021</v>
      </c>
      <c r="D109" t="s">
        <v>4706</v>
      </c>
      <c r="E109" t="s">
        <v>322</v>
      </c>
      <c r="F109" t="s">
        <v>4707</v>
      </c>
      <c r="G109" t="s">
        <v>4708</v>
      </c>
      <c r="H109" t="s">
        <v>19</v>
      </c>
      <c r="I109" t="s">
        <v>3000</v>
      </c>
      <c r="J109" t="s">
        <v>3674</v>
      </c>
      <c r="K109" t="s">
        <v>3002</v>
      </c>
      <c r="L109" t="s">
        <v>3003</v>
      </c>
      <c r="M109" t="s">
        <v>4709</v>
      </c>
      <c r="N109" t="s">
        <v>4710</v>
      </c>
      <c r="O109" t="s">
        <v>4711</v>
      </c>
      <c r="P109" t="s">
        <v>4712</v>
      </c>
      <c r="Q109" t="s">
        <v>4713</v>
      </c>
      <c r="R109">
        <v>32912</v>
      </c>
      <c r="S109" t="s">
        <v>3032</v>
      </c>
      <c r="T109">
        <v>5419988907510310</v>
      </c>
      <c r="U109">
        <v>206</v>
      </c>
      <c r="V109">
        <v>43009</v>
      </c>
      <c r="W109" t="s">
        <v>4714</v>
      </c>
      <c r="X109" t="s">
        <v>4715</v>
      </c>
      <c r="Y109" t="s">
        <v>3012</v>
      </c>
      <c r="Z109" t="s">
        <v>4716</v>
      </c>
      <c r="AA109" t="s">
        <v>4717</v>
      </c>
      <c r="AB109" t="s">
        <v>4718</v>
      </c>
      <c r="AC109" t="s">
        <v>4719</v>
      </c>
      <c r="AD109" t="s">
        <v>3059</v>
      </c>
      <c r="AE109">
        <v>206.4</v>
      </c>
      <c r="AF109">
        <v>93.8</v>
      </c>
      <c r="AG109" t="s">
        <v>4057</v>
      </c>
      <c r="AH109">
        <v>163</v>
      </c>
      <c r="AI109" t="s">
        <v>4720</v>
      </c>
      <c r="AJ109">
        <v>49.158800999999997</v>
      </c>
      <c r="AK109">
        <v>-123.190336</v>
      </c>
      <c r="AL109" t="str">
        <f>CONCATENATE(Names!D109," ",Names!F109)</f>
        <v>Rita Ison</v>
      </c>
    </row>
    <row r="110" spans="1:38" x14ac:dyDescent="0.3">
      <c r="A110">
        <v>614</v>
      </c>
      <c r="B110" t="s">
        <v>3020</v>
      </c>
      <c r="C110" t="s">
        <v>3021</v>
      </c>
      <c r="D110" t="s">
        <v>4721</v>
      </c>
      <c r="E110" t="s">
        <v>325</v>
      </c>
      <c r="F110" t="s">
        <v>4722</v>
      </c>
      <c r="G110" t="s">
        <v>4723</v>
      </c>
      <c r="H110" t="s">
        <v>4724</v>
      </c>
      <c r="I110" t="s">
        <v>3000</v>
      </c>
      <c r="J110" t="s">
        <v>4725</v>
      </c>
      <c r="K110" t="s">
        <v>3002</v>
      </c>
      <c r="L110" t="s">
        <v>3003</v>
      </c>
      <c r="M110" t="s">
        <v>4726</v>
      </c>
      <c r="N110" t="s">
        <v>4727</v>
      </c>
      <c r="O110" t="s">
        <v>4728</v>
      </c>
      <c r="P110" t="s">
        <v>4729</v>
      </c>
      <c r="Q110" t="s">
        <v>4730</v>
      </c>
      <c r="R110">
        <v>16388</v>
      </c>
      <c r="S110" t="s">
        <v>3009</v>
      </c>
      <c r="T110">
        <v>4716445918373890</v>
      </c>
      <c r="U110">
        <v>351</v>
      </c>
      <c r="V110">
        <v>43586</v>
      </c>
      <c r="W110" t="s">
        <v>4731</v>
      </c>
      <c r="X110" t="s">
        <v>4732</v>
      </c>
      <c r="Y110" t="s">
        <v>3012</v>
      </c>
      <c r="Z110" t="s">
        <v>4733</v>
      </c>
      <c r="AA110" t="s">
        <v>4734</v>
      </c>
      <c r="AB110" t="s">
        <v>4735</v>
      </c>
      <c r="AC110" t="s">
        <v>4736</v>
      </c>
      <c r="AD110" t="s">
        <v>3059</v>
      </c>
      <c r="AE110">
        <v>210.1</v>
      </c>
      <c r="AF110">
        <v>95.5</v>
      </c>
      <c r="AG110" t="s">
        <v>3098</v>
      </c>
      <c r="AH110">
        <v>168</v>
      </c>
      <c r="AI110" t="s">
        <v>4737</v>
      </c>
      <c r="AJ110">
        <v>49.167848999999997</v>
      </c>
      <c r="AK110">
        <v>-114.99745299999999</v>
      </c>
      <c r="AL110" t="str">
        <f>CONCATENATE(Names!D110," ",Names!F110)</f>
        <v>Jennifer Schiro</v>
      </c>
    </row>
    <row r="111" spans="1:38" x14ac:dyDescent="0.3">
      <c r="A111">
        <v>621</v>
      </c>
      <c r="B111" t="s">
        <v>2994</v>
      </c>
      <c r="C111" t="s">
        <v>4043</v>
      </c>
      <c r="D111" t="s">
        <v>4738</v>
      </c>
      <c r="E111" t="s">
        <v>131</v>
      </c>
      <c r="F111" t="s">
        <v>4739</v>
      </c>
      <c r="G111" t="s">
        <v>4740</v>
      </c>
      <c r="H111" t="s">
        <v>3562</v>
      </c>
      <c r="I111" t="s">
        <v>3000</v>
      </c>
      <c r="J111" t="s">
        <v>3563</v>
      </c>
      <c r="K111" t="s">
        <v>3002</v>
      </c>
      <c r="L111" t="s">
        <v>3003</v>
      </c>
      <c r="M111" t="s">
        <v>4741</v>
      </c>
      <c r="N111" t="s">
        <v>4742</v>
      </c>
      <c r="O111" t="s">
        <v>4743</v>
      </c>
      <c r="P111" t="s">
        <v>4744</v>
      </c>
      <c r="Q111" t="s">
        <v>4745</v>
      </c>
      <c r="R111">
        <v>19654</v>
      </c>
      <c r="S111" t="s">
        <v>3032</v>
      </c>
      <c r="T111">
        <v>5597959255121050</v>
      </c>
      <c r="U111">
        <v>991</v>
      </c>
      <c r="V111">
        <v>43101</v>
      </c>
      <c r="W111" t="s">
        <v>4746</v>
      </c>
      <c r="X111" t="s">
        <v>4747</v>
      </c>
      <c r="Y111" t="s">
        <v>3323</v>
      </c>
      <c r="Z111" t="s">
        <v>4748</v>
      </c>
      <c r="AA111" t="s">
        <v>4101</v>
      </c>
      <c r="AB111" t="s">
        <v>4749</v>
      </c>
      <c r="AC111" t="s">
        <v>4750</v>
      </c>
      <c r="AD111" t="s">
        <v>3153</v>
      </c>
      <c r="AE111">
        <v>212.3</v>
      </c>
      <c r="AF111">
        <v>96.5</v>
      </c>
      <c r="AG111" t="s">
        <v>3207</v>
      </c>
      <c r="AH111">
        <v>169</v>
      </c>
      <c r="AI111" t="s">
        <v>4751</v>
      </c>
      <c r="AJ111">
        <v>50.171787999999999</v>
      </c>
      <c r="AK111">
        <v>-117.75859199999999</v>
      </c>
      <c r="AL111" t="str">
        <f>CONCATENATE(Names!D111," ",Names!F111)</f>
        <v>Juan Clifton</v>
      </c>
    </row>
    <row r="112" spans="1:38" x14ac:dyDescent="0.3">
      <c r="A112">
        <v>625</v>
      </c>
      <c r="B112" t="s">
        <v>3020</v>
      </c>
      <c r="C112" t="s">
        <v>3062</v>
      </c>
      <c r="D112" t="s">
        <v>4752</v>
      </c>
      <c r="E112" t="s">
        <v>3137</v>
      </c>
      <c r="F112" t="s">
        <v>4753</v>
      </c>
      <c r="G112" t="s">
        <v>4754</v>
      </c>
      <c r="H112" t="s">
        <v>3025</v>
      </c>
      <c r="I112" t="s">
        <v>3000</v>
      </c>
      <c r="J112" t="s">
        <v>3026</v>
      </c>
      <c r="K112" t="s">
        <v>3002</v>
      </c>
      <c r="L112" t="s">
        <v>3003</v>
      </c>
      <c r="M112" t="s">
        <v>4755</v>
      </c>
      <c r="N112" t="s">
        <v>4756</v>
      </c>
      <c r="O112" t="s">
        <v>4757</v>
      </c>
      <c r="P112" t="s">
        <v>4758</v>
      </c>
      <c r="Q112" t="s">
        <v>4759</v>
      </c>
      <c r="R112">
        <v>20596</v>
      </c>
      <c r="S112" t="s">
        <v>3032</v>
      </c>
      <c r="T112">
        <v>5163739240165560</v>
      </c>
      <c r="U112">
        <v>368</v>
      </c>
      <c r="V112">
        <v>42095</v>
      </c>
      <c r="W112" t="s">
        <v>4760</v>
      </c>
      <c r="X112" t="s">
        <v>4761</v>
      </c>
      <c r="Y112" t="s">
        <v>3012</v>
      </c>
      <c r="Z112" t="s">
        <v>4762</v>
      </c>
      <c r="AA112" t="s">
        <v>4763</v>
      </c>
      <c r="AB112" t="s">
        <v>4764</v>
      </c>
      <c r="AC112" t="s">
        <v>4765</v>
      </c>
      <c r="AD112" t="s">
        <v>3059</v>
      </c>
      <c r="AE112">
        <v>214.3</v>
      </c>
      <c r="AF112">
        <v>97.4</v>
      </c>
      <c r="AG112" t="s">
        <v>4057</v>
      </c>
      <c r="AH112">
        <v>163</v>
      </c>
      <c r="AI112" t="s">
        <v>4766</v>
      </c>
      <c r="AJ112">
        <v>50.087986999999998</v>
      </c>
      <c r="AK112">
        <v>-122.965525</v>
      </c>
      <c r="AL112" t="str">
        <f>CONCATENATE(Names!D112," ",Names!F112)</f>
        <v>Lupe Agosto</v>
      </c>
    </row>
    <row r="113" spans="1:38" x14ac:dyDescent="0.3">
      <c r="A113">
        <v>635</v>
      </c>
      <c r="B113" t="s">
        <v>2994</v>
      </c>
      <c r="C113" t="s">
        <v>2995</v>
      </c>
      <c r="D113" t="s">
        <v>4767</v>
      </c>
      <c r="E113" t="s">
        <v>3364</v>
      </c>
      <c r="F113" t="s">
        <v>2998</v>
      </c>
      <c r="G113" t="s">
        <v>4768</v>
      </c>
      <c r="H113" t="s">
        <v>19</v>
      </c>
      <c r="I113" t="s">
        <v>3000</v>
      </c>
      <c r="J113" t="s">
        <v>41</v>
      </c>
      <c r="K113" t="s">
        <v>3002</v>
      </c>
      <c r="L113" t="s">
        <v>3003</v>
      </c>
      <c r="M113" t="s">
        <v>4769</v>
      </c>
      <c r="N113" t="s">
        <v>4770</v>
      </c>
      <c r="O113" t="s">
        <v>4771</v>
      </c>
      <c r="P113" t="s">
        <v>4772</v>
      </c>
      <c r="Q113" t="s">
        <v>4773</v>
      </c>
      <c r="R113">
        <v>25058</v>
      </c>
      <c r="S113" t="s">
        <v>3009</v>
      </c>
      <c r="T113">
        <v>4485869719506970</v>
      </c>
      <c r="U113">
        <v>114</v>
      </c>
      <c r="V113">
        <v>42370</v>
      </c>
      <c r="W113" t="s">
        <v>4774</v>
      </c>
      <c r="X113" t="s">
        <v>4775</v>
      </c>
      <c r="Y113" t="s">
        <v>3012</v>
      </c>
      <c r="Z113" t="s">
        <v>4776</v>
      </c>
      <c r="AA113" t="s">
        <v>4777</v>
      </c>
      <c r="AB113" t="s">
        <v>4778</v>
      </c>
      <c r="AC113" t="s">
        <v>4779</v>
      </c>
      <c r="AD113" t="s">
        <v>3059</v>
      </c>
      <c r="AE113">
        <v>211.6</v>
      </c>
      <c r="AF113">
        <v>96.2</v>
      </c>
      <c r="AG113" t="s">
        <v>3060</v>
      </c>
      <c r="AH113">
        <v>174</v>
      </c>
      <c r="AI113" t="s">
        <v>4780</v>
      </c>
      <c r="AJ113">
        <v>49.251569000000003</v>
      </c>
      <c r="AK113">
        <v>-123.115718</v>
      </c>
      <c r="AL113" t="str">
        <f>CONCATENATE(Names!D113," ",Names!F113)</f>
        <v>Nicholas Smith</v>
      </c>
    </row>
    <row r="114" spans="1:38" x14ac:dyDescent="0.3">
      <c r="A114">
        <v>643</v>
      </c>
      <c r="B114" t="s">
        <v>2994</v>
      </c>
      <c r="C114" t="s">
        <v>2995</v>
      </c>
      <c r="D114" t="s">
        <v>3671</v>
      </c>
      <c r="E114" t="s">
        <v>2997</v>
      </c>
      <c r="F114" t="s">
        <v>4781</v>
      </c>
      <c r="G114" t="s">
        <v>4782</v>
      </c>
      <c r="H114" t="s">
        <v>4783</v>
      </c>
      <c r="I114" t="s">
        <v>3000</v>
      </c>
      <c r="J114" t="s">
        <v>4784</v>
      </c>
      <c r="K114" t="s">
        <v>3002</v>
      </c>
      <c r="L114" t="s">
        <v>3003</v>
      </c>
      <c r="M114" t="s">
        <v>4785</v>
      </c>
      <c r="N114" t="s">
        <v>4786</v>
      </c>
      <c r="O114" t="s">
        <v>4787</v>
      </c>
      <c r="P114" t="s">
        <v>4788</v>
      </c>
      <c r="Q114" t="s">
        <v>4789</v>
      </c>
      <c r="R114">
        <v>24489</v>
      </c>
      <c r="S114" t="s">
        <v>3009</v>
      </c>
      <c r="T114">
        <v>4556160808899140</v>
      </c>
      <c r="U114">
        <v>170</v>
      </c>
      <c r="V114">
        <v>43405</v>
      </c>
      <c r="W114" t="s">
        <v>4790</v>
      </c>
      <c r="X114" t="s">
        <v>4791</v>
      </c>
      <c r="Y114" t="s">
        <v>3012</v>
      </c>
      <c r="Z114" t="s">
        <v>4792</v>
      </c>
      <c r="AA114" t="s">
        <v>4793</v>
      </c>
      <c r="AB114" t="s">
        <v>4794</v>
      </c>
      <c r="AC114" t="s">
        <v>4795</v>
      </c>
      <c r="AD114" t="s">
        <v>4796</v>
      </c>
      <c r="AE114">
        <v>173.1</v>
      </c>
      <c r="AF114">
        <v>78.7</v>
      </c>
      <c r="AG114" t="s">
        <v>3060</v>
      </c>
      <c r="AH114">
        <v>176</v>
      </c>
      <c r="AI114" t="s">
        <v>4797</v>
      </c>
      <c r="AJ114">
        <v>49.669724000000002</v>
      </c>
      <c r="AK114">
        <v>-124.991927</v>
      </c>
      <c r="AL114" t="str">
        <f>CONCATENATE(Names!D114," ",Names!F114)</f>
        <v>William Henthorn</v>
      </c>
    </row>
    <row r="115" spans="1:38" x14ac:dyDescent="0.3">
      <c r="A115">
        <v>644</v>
      </c>
      <c r="B115" t="s">
        <v>2994</v>
      </c>
      <c r="C115" t="s">
        <v>2995</v>
      </c>
      <c r="D115" t="s">
        <v>3445</v>
      </c>
      <c r="E115" t="s">
        <v>325</v>
      </c>
      <c r="F115" t="s">
        <v>4798</v>
      </c>
      <c r="G115" t="s">
        <v>4799</v>
      </c>
      <c r="H115" t="s">
        <v>4800</v>
      </c>
      <c r="I115" t="s">
        <v>3000</v>
      </c>
      <c r="J115" t="s">
        <v>4801</v>
      </c>
      <c r="K115" t="s">
        <v>3002</v>
      </c>
      <c r="L115" t="s">
        <v>3003</v>
      </c>
      <c r="M115" t="s">
        <v>4802</v>
      </c>
      <c r="N115" t="s">
        <v>4803</v>
      </c>
      <c r="O115" t="s">
        <v>4804</v>
      </c>
      <c r="P115" t="s">
        <v>4805</v>
      </c>
      <c r="Q115" t="s">
        <v>2998</v>
      </c>
      <c r="R115">
        <v>30243</v>
      </c>
      <c r="S115" t="s">
        <v>3009</v>
      </c>
      <c r="T115">
        <v>4539833781824280</v>
      </c>
      <c r="U115">
        <v>132</v>
      </c>
      <c r="V115">
        <v>43160</v>
      </c>
      <c r="W115" t="s">
        <v>4806</v>
      </c>
      <c r="X115" t="s">
        <v>4807</v>
      </c>
      <c r="Y115" t="s">
        <v>3012</v>
      </c>
      <c r="Z115" t="s">
        <v>4808</v>
      </c>
      <c r="AA115" t="s">
        <v>4809</v>
      </c>
      <c r="AB115" t="s">
        <v>4810</v>
      </c>
      <c r="AC115" t="s">
        <v>4811</v>
      </c>
      <c r="AD115" t="s">
        <v>3097</v>
      </c>
      <c r="AE115">
        <v>148.30000000000001</v>
      </c>
      <c r="AF115">
        <v>67.400000000000006</v>
      </c>
      <c r="AG115" t="s">
        <v>3258</v>
      </c>
      <c r="AH115">
        <v>178</v>
      </c>
      <c r="AI115" t="s">
        <v>4812</v>
      </c>
      <c r="AJ115">
        <v>49.142794000000002</v>
      </c>
      <c r="AK115">
        <v>-117.25279500000001</v>
      </c>
      <c r="AL115" t="str">
        <f>CONCATENATE(Names!D115," ",Names!F115)</f>
        <v>Richard Kline</v>
      </c>
    </row>
    <row r="116" spans="1:38" x14ac:dyDescent="0.3">
      <c r="A116">
        <v>649</v>
      </c>
      <c r="B116" t="s">
        <v>3020</v>
      </c>
      <c r="C116" t="s">
        <v>3062</v>
      </c>
      <c r="D116" t="s">
        <v>4813</v>
      </c>
      <c r="E116" t="s">
        <v>3477</v>
      </c>
      <c r="F116" t="s">
        <v>4814</v>
      </c>
      <c r="G116" t="s">
        <v>4815</v>
      </c>
      <c r="H116" t="s">
        <v>4559</v>
      </c>
      <c r="I116" t="s">
        <v>3000</v>
      </c>
      <c r="J116" t="s">
        <v>4816</v>
      </c>
      <c r="K116" t="s">
        <v>3002</v>
      </c>
      <c r="L116" t="s">
        <v>3003</v>
      </c>
      <c r="M116" t="s">
        <v>4817</v>
      </c>
      <c r="N116" t="s">
        <v>4818</v>
      </c>
      <c r="O116" t="s">
        <v>4819</v>
      </c>
      <c r="P116" t="s">
        <v>4820</v>
      </c>
      <c r="Q116" t="s">
        <v>2998</v>
      </c>
      <c r="R116">
        <v>23302</v>
      </c>
      <c r="S116" t="s">
        <v>3032</v>
      </c>
      <c r="T116">
        <v>5125904128482250</v>
      </c>
      <c r="U116">
        <v>754</v>
      </c>
      <c r="V116">
        <v>42583</v>
      </c>
      <c r="W116" t="s">
        <v>4821</v>
      </c>
      <c r="X116" t="s">
        <v>4822</v>
      </c>
      <c r="Y116" t="s">
        <v>3074</v>
      </c>
      <c r="Z116" t="s">
        <v>3423</v>
      </c>
      <c r="AA116" t="s">
        <v>4823</v>
      </c>
      <c r="AB116" t="s">
        <v>4824</v>
      </c>
      <c r="AC116" t="s">
        <v>4825</v>
      </c>
      <c r="AD116" t="s">
        <v>3133</v>
      </c>
      <c r="AE116">
        <v>214.3</v>
      </c>
      <c r="AF116">
        <v>97.4</v>
      </c>
      <c r="AG116" t="s">
        <v>3171</v>
      </c>
      <c r="AH116">
        <v>172</v>
      </c>
      <c r="AI116" t="s">
        <v>4826</v>
      </c>
      <c r="AJ116">
        <v>49.370086999999998</v>
      </c>
      <c r="AK116">
        <v>-123.252122</v>
      </c>
      <c r="AL116" t="str">
        <f>CONCATENATE(Names!D116," ",Names!F116)</f>
        <v>Emma Baylor</v>
      </c>
    </row>
    <row r="117" spans="1:38" x14ac:dyDescent="0.3">
      <c r="A117">
        <v>651</v>
      </c>
      <c r="B117" t="s">
        <v>3020</v>
      </c>
      <c r="C117" t="s">
        <v>3021</v>
      </c>
      <c r="D117" t="s">
        <v>4527</v>
      </c>
      <c r="E117" t="s">
        <v>2997</v>
      </c>
      <c r="F117" t="s">
        <v>4827</v>
      </c>
      <c r="G117" t="s">
        <v>4828</v>
      </c>
      <c r="H117" t="s">
        <v>3769</v>
      </c>
      <c r="I117" t="s">
        <v>3000</v>
      </c>
      <c r="J117" t="s">
        <v>3770</v>
      </c>
      <c r="K117" t="s">
        <v>3002</v>
      </c>
      <c r="L117" t="s">
        <v>3003</v>
      </c>
      <c r="M117" t="s">
        <v>4829</v>
      </c>
      <c r="N117" t="s">
        <v>4830</v>
      </c>
      <c r="O117" t="s">
        <v>4831</v>
      </c>
      <c r="P117" t="s">
        <v>4832</v>
      </c>
      <c r="Q117" t="s">
        <v>4833</v>
      </c>
      <c r="R117">
        <v>14202</v>
      </c>
      <c r="S117" t="s">
        <v>3032</v>
      </c>
      <c r="T117">
        <v>5146889531699860</v>
      </c>
      <c r="U117">
        <v>533</v>
      </c>
      <c r="V117">
        <v>42156</v>
      </c>
      <c r="W117" t="s">
        <v>4834</v>
      </c>
      <c r="X117" t="s">
        <v>4835</v>
      </c>
      <c r="Y117" t="s">
        <v>3012</v>
      </c>
      <c r="Z117" t="s">
        <v>4836</v>
      </c>
      <c r="AA117" t="s">
        <v>4837</v>
      </c>
      <c r="AB117" t="s">
        <v>4838</v>
      </c>
      <c r="AC117" t="s">
        <v>4839</v>
      </c>
      <c r="AD117" t="s">
        <v>4796</v>
      </c>
      <c r="AE117">
        <v>113.1</v>
      </c>
      <c r="AF117">
        <v>51.4</v>
      </c>
      <c r="AG117" t="s">
        <v>3041</v>
      </c>
      <c r="AH117">
        <v>154</v>
      </c>
      <c r="AI117" t="s">
        <v>4840</v>
      </c>
      <c r="AJ117">
        <v>50.761274</v>
      </c>
      <c r="AK117">
        <v>-127.58124599999999</v>
      </c>
      <c r="AL117" t="str">
        <f>CONCATENATE(Names!D117," ",Names!F117)</f>
        <v>Mary Pointer</v>
      </c>
    </row>
    <row r="118" spans="1:38" x14ac:dyDescent="0.3">
      <c r="A118">
        <v>653</v>
      </c>
      <c r="B118" t="s">
        <v>2994</v>
      </c>
      <c r="C118" t="s">
        <v>2995</v>
      </c>
      <c r="D118" t="s">
        <v>3396</v>
      </c>
      <c r="E118" t="s">
        <v>327</v>
      </c>
      <c r="F118" t="s">
        <v>4841</v>
      </c>
      <c r="G118" t="s">
        <v>4842</v>
      </c>
      <c r="H118" t="s">
        <v>50</v>
      </c>
      <c r="I118" t="s">
        <v>3000</v>
      </c>
      <c r="J118" t="s">
        <v>4843</v>
      </c>
      <c r="K118" t="s">
        <v>3002</v>
      </c>
      <c r="L118" t="s">
        <v>3003</v>
      </c>
      <c r="M118" t="s">
        <v>4844</v>
      </c>
      <c r="N118" t="s">
        <v>4845</v>
      </c>
      <c r="O118" t="s">
        <v>4846</v>
      </c>
      <c r="P118" t="s">
        <v>4847</v>
      </c>
      <c r="Q118" t="s">
        <v>4848</v>
      </c>
      <c r="R118">
        <v>13985</v>
      </c>
      <c r="S118" t="s">
        <v>3032</v>
      </c>
      <c r="T118">
        <v>5515738006251740</v>
      </c>
      <c r="U118">
        <v>100</v>
      </c>
      <c r="V118">
        <v>43586</v>
      </c>
      <c r="W118" t="s">
        <v>4849</v>
      </c>
      <c r="X118" t="s">
        <v>4850</v>
      </c>
      <c r="Y118" t="s">
        <v>3012</v>
      </c>
      <c r="Z118" t="s">
        <v>4851</v>
      </c>
      <c r="AA118" t="s">
        <v>4852</v>
      </c>
      <c r="AB118" t="s">
        <v>4853</v>
      </c>
      <c r="AC118" t="s">
        <v>4854</v>
      </c>
      <c r="AD118" t="s">
        <v>3097</v>
      </c>
      <c r="AE118">
        <v>213.2</v>
      </c>
      <c r="AF118">
        <v>96.9</v>
      </c>
      <c r="AG118" t="s">
        <v>3189</v>
      </c>
      <c r="AH118">
        <v>183</v>
      </c>
      <c r="AI118" t="s">
        <v>4855</v>
      </c>
      <c r="AJ118">
        <v>49.704338</v>
      </c>
      <c r="AK118">
        <v>-124.94614900000001</v>
      </c>
      <c r="AL118" t="str">
        <f>CONCATENATE(Names!D118," ",Names!F118)</f>
        <v>Robert Anderson</v>
      </c>
    </row>
    <row r="119" spans="1:38" x14ac:dyDescent="0.3">
      <c r="A119">
        <v>654</v>
      </c>
      <c r="B119" t="s">
        <v>2994</v>
      </c>
      <c r="C119" t="s">
        <v>2995</v>
      </c>
      <c r="D119" t="s">
        <v>3637</v>
      </c>
      <c r="E119" t="s">
        <v>2997</v>
      </c>
      <c r="F119" t="s">
        <v>2998</v>
      </c>
      <c r="G119" t="s">
        <v>4856</v>
      </c>
      <c r="H119" t="s">
        <v>3349</v>
      </c>
      <c r="I119" t="s">
        <v>3000</v>
      </c>
      <c r="J119" t="s">
        <v>3986</v>
      </c>
      <c r="K119" t="s">
        <v>3002</v>
      </c>
      <c r="L119" t="s">
        <v>3003</v>
      </c>
      <c r="M119" t="s">
        <v>4857</v>
      </c>
      <c r="N119" t="s">
        <v>4858</v>
      </c>
      <c r="O119" t="s">
        <v>4859</v>
      </c>
      <c r="P119" t="s">
        <v>4860</v>
      </c>
      <c r="Q119" t="s">
        <v>3008</v>
      </c>
      <c r="R119">
        <v>33663</v>
      </c>
      <c r="S119" t="s">
        <v>3009</v>
      </c>
      <c r="T119">
        <v>4556682234049730</v>
      </c>
      <c r="U119">
        <v>649</v>
      </c>
      <c r="V119">
        <v>43009</v>
      </c>
      <c r="W119" t="s">
        <v>4861</v>
      </c>
      <c r="X119" t="s">
        <v>4862</v>
      </c>
      <c r="Y119" t="s">
        <v>3323</v>
      </c>
      <c r="Z119" t="s">
        <v>4863</v>
      </c>
      <c r="AA119" t="s">
        <v>4864</v>
      </c>
      <c r="AB119" t="s">
        <v>4865</v>
      </c>
      <c r="AC119" t="s">
        <v>4866</v>
      </c>
      <c r="AD119" t="s">
        <v>3059</v>
      </c>
      <c r="AE119">
        <v>225.9</v>
      </c>
      <c r="AF119">
        <v>102.7</v>
      </c>
      <c r="AG119" t="s">
        <v>4867</v>
      </c>
      <c r="AH119">
        <v>190</v>
      </c>
      <c r="AI119" t="s">
        <v>4868</v>
      </c>
      <c r="AJ119">
        <v>49.147925000000001</v>
      </c>
      <c r="AK119">
        <v>-122.84389</v>
      </c>
      <c r="AL119" t="str">
        <f>CONCATENATE(Names!D119," ",Names!F119)</f>
        <v>Ralph Smith</v>
      </c>
    </row>
    <row r="120" spans="1:38" x14ac:dyDescent="0.3">
      <c r="A120">
        <v>657</v>
      </c>
      <c r="B120" t="s">
        <v>2994</v>
      </c>
      <c r="C120" t="s">
        <v>2995</v>
      </c>
      <c r="D120" t="s">
        <v>4869</v>
      </c>
      <c r="E120" t="s">
        <v>3137</v>
      </c>
      <c r="F120" t="s">
        <v>4870</v>
      </c>
      <c r="G120" t="s">
        <v>4871</v>
      </c>
      <c r="H120" t="s">
        <v>4872</v>
      </c>
      <c r="I120" t="s">
        <v>3000</v>
      </c>
      <c r="J120" t="s">
        <v>4873</v>
      </c>
      <c r="K120" t="s">
        <v>3002</v>
      </c>
      <c r="L120" t="s">
        <v>3003</v>
      </c>
      <c r="M120" t="s">
        <v>4874</v>
      </c>
      <c r="N120" t="s">
        <v>4875</v>
      </c>
      <c r="O120" t="s">
        <v>4876</v>
      </c>
      <c r="P120" t="s">
        <v>4877</v>
      </c>
      <c r="Q120" t="s">
        <v>3593</v>
      </c>
      <c r="R120">
        <v>18997</v>
      </c>
      <c r="S120" t="s">
        <v>3009</v>
      </c>
      <c r="T120">
        <v>4916275723250530</v>
      </c>
      <c r="U120">
        <v>58</v>
      </c>
      <c r="V120">
        <v>43556</v>
      </c>
      <c r="W120" t="s">
        <v>4878</v>
      </c>
      <c r="X120" t="s">
        <v>4879</v>
      </c>
      <c r="Y120" t="s">
        <v>3323</v>
      </c>
      <c r="Z120" t="s">
        <v>4733</v>
      </c>
      <c r="AA120" t="s">
        <v>4880</v>
      </c>
      <c r="AB120" t="s">
        <v>4881</v>
      </c>
      <c r="AC120" t="s">
        <v>4882</v>
      </c>
      <c r="AD120" t="s">
        <v>3097</v>
      </c>
      <c r="AE120">
        <v>187.9</v>
      </c>
      <c r="AF120">
        <v>85.4</v>
      </c>
      <c r="AG120" t="s">
        <v>3443</v>
      </c>
      <c r="AH120">
        <v>181</v>
      </c>
      <c r="AI120" t="s">
        <v>4883</v>
      </c>
      <c r="AJ120">
        <v>56.936726999999998</v>
      </c>
      <c r="AK120">
        <v>-130.179867</v>
      </c>
      <c r="AL120" t="str">
        <f>CONCATENATE(Names!D120," ",Names!F120)</f>
        <v>Renaldo Gerber</v>
      </c>
    </row>
    <row r="121" spans="1:38" x14ac:dyDescent="0.3">
      <c r="A121">
        <v>672</v>
      </c>
      <c r="B121" t="s">
        <v>2994</v>
      </c>
      <c r="C121" t="s">
        <v>2995</v>
      </c>
      <c r="D121" t="s">
        <v>4884</v>
      </c>
      <c r="E121" t="s">
        <v>3156</v>
      </c>
      <c r="F121" t="s">
        <v>3320</v>
      </c>
      <c r="G121" t="s">
        <v>4885</v>
      </c>
      <c r="H121" t="s">
        <v>4886</v>
      </c>
      <c r="I121" t="s">
        <v>3000</v>
      </c>
      <c r="J121" t="s">
        <v>4887</v>
      </c>
      <c r="K121" t="s">
        <v>3002</v>
      </c>
      <c r="L121" t="s">
        <v>3003</v>
      </c>
      <c r="M121" t="s">
        <v>4888</v>
      </c>
      <c r="N121" t="s">
        <v>4889</v>
      </c>
      <c r="O121" t="s">
        <v>4890</v>
      </c>
      <c r="P121" t="s">
        <v>4891</v>
      </c>
      <c r="Q121" t="s">
        <v>4892</v>
      </c>
      <c r="R121">
        <v>25536</v>
      </c>
      <c r="S121" t="s">
        <v>3032</v>
      </c>
      <c r="T121">
        <v>5414290779777070</v>
      </c>
      <c r="U121">
        <v>208</v>
      </c>
      <c r="V121">
        <v>42705</v>
      </c>
      <c r="W121" t="s">
        <v>4893</v>
      </c>
      <c r="X121" t="s">
        <v>4894</v>
      </c>
      <c r="Y121" t="s">
        <v>3323</v>
      </c>
      <c r="Z121" t="s">
        <v>4895</v>
      </c>
      <c r="AA121" t="s">
        <v>4896</v>
      </c>
      <c r="AB121" t="s">
        <v>4897</v>
      </c>
      <c r="AC121" t="s">
        <v>4898</v>
      </c>
      <c r="AD121" t="s">
        <v>3059</v>
      </c>
      <c r="AE121">
        <v>165</v>
      </c>
      <c r="AF121">
        <v>75</v>
      </c>
      <c r="AG121" t="s">
        <v>3018</v>
      </c>
      <c r="AH121">
        <v>185</v>
      </c>
      <c r="AI121" t="s">
        <v>4899</v>
      </c>
      <c r="AJ121">
        <v>54.196550000000002</v>
      </c>
      <c r="AK121">
        <v>-125.70297100000001</v>
      </c>
      <c r="AL121" t="str">
        <f>CONCATENATE(Names!D121," ",Names!F121)</f>
        <v>Billy Jones</v>
      </c>
    </row>
    <row r="122" spans="1:38" x14ac:dyDescent="0.3">
      <c r="A122">
        <v>677</v>
      </c>
      <c r="B122" t="s">
        <v>2994</v>
      </c>
      <c r="C122" t="s">
        <v>2995</v>
      </c>
      <c r="D122" t="s">
        <v>3380</v>
      </c>
      <c r="E122" t="s">
        <v>326</v>
      </c>
      <c r="F122" t="s">
        <v>4106</v>
      </c>
      <c r="G122" t="s">
        <v>4900</v>
      </c>
      <c r="H122" t="s">
        <v>3297</v>
      </c>
      <c r="I122" t="s">
        <v>3000</v>
      </c>
      <c r="J122" t="s">
        <v>3298</v>
      </c>
      <c r="K122" t="s">
        <v>3002</v>
      </c>
      <c r="L122" t="s">
        <v>3003</v>
      </c>
      <c r="M122" t="s">
        <v>4901</v>
      </c>
      <c r="N122" t="s">
        <v>4902</v>
      </c>
      <c r="O122" t="s">
        <v>4903</v>
      </c>
      <c r="P122" t="s">
        <v>4904</v>
      </c>
      <c r="Q122" t="s">
        <v>4905</v>
      </c>
      <c r="R122">
        <v>17662</v>
      </c>
      <c r="S122" t="s">
        <v>3032</v>
      </c>
      <c r="T122">
        <v>5422829014022100</v>
      </c>
      <c r="U122">
        <v>521</v>
      </c>
      <c r="V122">
        <v>42461</v>
      </c>
      <c r="W122" t="s">
        <v>4906</v>
      </c>
      <c r="X122" t="s">
        <v>4907</v>
      </c>
      <c r="Y122" t="s">
        <v>3012</v>
      </c>
      <c r="Z122" t="s">
        <v>4908</v>
      </c>
      <c r="AA122" t="s">
        <v>4909</v>
      </c>
      <c r="AB122" t="s">
        <v>4910</v>
      </c>
      <c r="AC122" t="s">
        <v>4911</v>
      </c>
      <c r="AD122" t="s">
        <v>3059</v>
      </c>
      <c r="AE122">
        <v>183.7</v>
      </c>
      <c r="AF122">
        <v>83.5</v>
      </c>
      <c r="AG122" t="s">
        <v>3207</v>
      </c>
      <c r="AH122">
        <v>171</v>
      </c>
      <c r="AI122" t="s">
        <v>4912</v>
      </c>
      <c r="AJ122">
        <v>48.704732999999997</v>
      </c>
      <c r="AK122">
        <v>-123.729287</v>
      </c>
      <c r="AL122" t="str">
        <f>CONCATENATE(Names!D122," ",Names!F122)</f>
        <v>Charles Garcia</v>
      </c>
    </row>
    <row r="123" spans="1:38" x14ac:dyDescent="0.3">
      <c r="A123">
        <v>678</v>
      </c>
      <c r="B123" t="s">
        <v>2994</v>
      </c>
      <c r="C123" t="s">
        <v>2995</v>
      </c>
      <c r="D123" t="s">
        <v>4913</v>
      </c>
      <c r="E123" t="s">
        <v>3156</v>
      </c>
      <c r="F123" t="s">
        <v>4841</v>
      </c>
      <c r="G123" t="s">
        <v>4914</v>
      </c>
      <c r="H123" t="s">
        <v>4134</v>
      </c>
      <c r="I123" t="s">
        <v>3000</v>
      </c>
      <c r="J123" t="s">
        <v>4135</v>
      </c>
      <c r="K123" t="s">
        <v>3002</v>
      </c>
      <c r="L123" t="s">
        <v>3003</v>
      </c>
      <c r="M123" t="s">
        <v>4915</v>
      </c>
      <c r="N123" t="s">
        <v>4916</v>
      </c>
      <c r="O123" t="s">
        <v>4917</v>
      </c>
      <c r="P123" t="s">
        <v>4918</v>
      </c>
      <c r="Q123" t="s">
        <v>4919</v>
      </c>
      <c r="R123">
        <v>27160</v>
      </c>
      <c r="S123" t="s">
        <v>3009</v>
      </c>
      <c r="T123">
        <v>4916342115243980</v>
      </c>
      <c r="U123">
        <v>883</v>
      </c>
      <c r="V123">
        <v>43647</v>
      </c>
      <c r="W123" t="s">
        <v>4920</v>
      </c>
      <c r="X123" t="s">
        <v>4921</v>
      </c>
      <c r="Y123" t="s">
        <v>3012</v>
      </c>
      <c r="Z123" t="s">
        <v>4922</v>
      </c>
      <c r="AA123" t="s">
        <v>4923</v>
      </c>
      <c r="AB123" t="s">
        <v>4924</v>
      </c>
      <c r="AC123" t="s">
        <v>4925</v>
      </c>
      <c r="AD123" t="s">
        <v>3097</v>
      </c>
      <c r="AE123">
        <v>240.5</v>
      </c>
      <c r="AF123">
        <v>109.3</v>
      </c>
      <c r="AG123" t="s">
        <v>3018</v>
      </c>
      <c r="AH123">
        <v>186</v>
      </c>
      <c r="AI123" t="s">
        <v>4926</v>
      </c>
      <c r="AJ123">
        <v>49.330153000000003</v>
      </c>
      <c r="AK123">
        <v>-122.83730799999999</v>
      </c>
      <c r="AL123" t="str">
        <f>CONCATENATE(Names!D123," ",Names!F123)</f>
        <v>Wayne Anderson</v>
      </c>
    </row>
    <row r="124" spans="1:38" x14ac:dyDescent="0.3">
      <c r="A124">
        <v>686</v>
      </c>
      <c r="B124" t="s">
        <v>2994</v>
      </c>
      <c r="C124" t="s">
        <v>2995</v>
      </c>
      <c r="D124" t="s">
        <v>4556</v>
      </c>
      <c r="E124" t="s">
        <v>329</v>
      </c>
      <c r="F124" t="s">
        <v>4927</v>
      </c>
      <c r="G124" t="s">
        <v>4928</v>
      </c>
      <c r="H124" t="s">
        <v>4929</v>
      </c>
      <c r="I124" t="s">
        <v>3000</v>
      </c>
      <c r="J124" t="s">
        <v>4930</v>
      </c>
      <c r="K124" t="s">
        <v>3002</v>
      </c>
      <c r="L124" t="s">
        <v>3003</v>
      </c>
      <c r="M124" t="s">
        <v>4931</v>
      </c>
      <c r="N124" t="s">
        <v>4932</v>
      </c>
      <c r="O124" t="s">
        <v>4933</v>
      </c>
      <c r="P124" t="s">
        <v>4934</v>
      </c>
      <c r="Q124" t="s">
        <v>4265</v>
      </c>
      <c r="R124">
        <v>30456</v>
      </c>
      <c r="S124" t="s">
        <v>3032</v>
      </c>
      <c r="T124">
        <v>5261365140959160</v>
      </c>
      <c r="U124">
        <v>323</v>
      </c>
      <c r="V124">
        <v>43132</v>
      </c>
      <c r="W124" t="s">
        <v>4935</v>
      </c>
      <c r="X124" t="s">
        <v>4936</v>
      </c>
      <c r="Y124" t="s">
        <v>3012</v>
      </c>
      <c r="Z124" t="s">
        <v>4937</v>
      </c>
      <c r="AA124" t="s">
        <v>4909</v>
      </c>
      <c r="AB124" t="s">
        <v>4938</v>
      </c>
      <c r="AC124" t="s">
        <v>4939</v>
      </c>
      <c r="AD124" t="s">
        <v>3153</v>
      </c>
      <c r="AE124">
        <v>177.3</v>
      </c>
      <c r="AF124">
        <v>80.599999999999994</v>
      </c>
      <c r="AG124" t="s">
        <v>3189</v>
      </c>
      <c r="AH124">
        <v>182</v>
      </c>
      <c r="AI124" t="s">
        <v>4940</v>
      </c>
      <c r="AJ124">
        <v>52.332141999999997</v>
      </c>
      <c r="AK124">
        <v>-121.430952</v>
      </c>
      <c r="AL124" t="str">
        <f>CONCATENATE(Names!D124," ",Names!F124)</f>
        <v>Peter Miner</v>
      </c>
    </row>
    <row r="125" spans="1:38" x14ac:dyDescent="0.3">
      <c r="A125">
        <v>696</v>
      </c>
      <c r="B125" t="s">
        <v>3020</v>
      </c>
      <c r="C125" t="s">
        <v>4043</v>
      </c>
      <c r="D125" t="s">
        <v>4941</v>
      </c>
      <c r="E125" t="s">
        <v>3364</v>
      </c>
      <c r="F125" t="s">
        <v>3200</v>
      </c>
      <c r="G125" t="s">
        <v>4942</v>
      </c>
      <c r="H125" t="s">
        <v>4943</v>
      </c>
      <c r="I125" t="s">
        <v>3000</v>
      </c>
      <c r="J125" t="s">
        <v>4944</v>
      </c>
      <c r="K125" t="s">
        <v>3002</v>
      </c>
      <c r="L125" t="s">
        <v>3003</v>
      </c>
      <c r="M125" t="s">
        <v>4945</v>
      </c>
      <c r="N125" t="s">
        <v>4946</v>
      </c>
      <c r="O125" t="s">
        <v>4947</v>
      </c>
      <c r="P125" t="s">
        <v>4948</v>
      </c>
      <c r="Q125" t="s">
        <v>3568</v>
      </c>
      <c r="R125">
        <v>30263</v>
      </c>
      <c r="S125" t="s">
        <v>3009</v>
      </c>
      <c r="T125">
        <v>4539312199529070</v>
      </c>
      <c r="U125">
        <v>449</v>
      </c>
      <c r="V125">
        <v>42705</v>
      </c>
      <c r="W125" t="s">
        <v>4949</v>
      </c>
      <c r="X125" t="s">
        <v>4950</v>
      </c>
      <c r="Y125" t="s">
        <v>3166</v>
      </c>
      <c r="Z125" t="s">
        <v>4951</v>
      </c>
      <c r="AA125" t="s">
        <v>4952</v>
      </c>
      <c r="AB125" t="s">
        <v>4953</v>
      </c>
      <c r="AC125" t="s">
        <v>4954</v>
      </c>
      <c r="AD125" t="s">
        <v>3097</v>
      </c>
      <c r="AE125">
        <v>218.5</v>
      </c>
      <c r="AF125">
        <v>99.3</v>
      </c>
      <c r="AG125" t="s">
        <v>3508</v>
      </c>
      <c r="AH125">
        <v>159</v>
      </c>
      <c r="AI125" t="s">
        <v>4955</v>
      </c>
      <c r="AJ125">
        <v>49.367364999999999</v>
      </c>
      <c r="AK125">
        <v>-117.632175</v>
      </c>
      <c r="AL125" t="str">
        <f>CONCATENATE(Names!D125," ",Names!F125)</f>
        <v>Frances Williams</v>
      </c>
    </row>
    <row r="126" spans="1:38" x14ac:dyDescent="0.3">
      <c r="A126">
        <v>697</v>
      </c>
      <c r="B126" t="s">
        <v>2994</v>
      </c>
      <c r="C126" t="s">
        <v>2995</v>
      </c>
      <c r="D126" t="s">
        <v>4956</v>
      </c>
      <c r="E126" t="s">
        <v>325</v>
      </c>
      <c r="F126" t="s">
        <v>4957</v>
      </c>
      <c r="G126" t="s">
        <v>4958</v>
      </c>
      <c r="H126" t="s">
        <v>4282</v>
      </c>
      <c r="I126" t="s">
        <v>3000</v>
      </c>
      <c r="J126" t="s">
        <v>4283</v>
      </c>
      <c r="K126" t="s">
        <v>3002</v>
      </c>
      <c r="L126" t="s">
        <v>3003</v>
      </c>
      <c r="M126" t="s">
        <v>4959</v>
      </c>
      <c r="N126" t="s">
        <v>4960</v>
      </c>
      <c r="O126" t="s">
        <v>4961</v>
      </c>
      <c r="P126" t="s">
        <v>4962</v>
      </c>
      <c r="Q126" t="s">
        <v>4963</v>
      </c>
      <c r="R126">
        <v>20634</v>
      </c>
      <c r="S126" t="s">
        <v>3032</v>
      </c>
      <c r="T126">
        <v>5378200957082370</v>
      </c>
      <c r="U126">
        <v>142</v>
      </c>
      <c r="V126">
        <v>43101</v>
      </c>
      <c r="W126" t="s">
        <v>4964</v>
      </c>
      <c r="X126" t="s">
        <v>4965</v>
      </c>
      <c r="Y126" t="s">
        <v>3012</v>
      </c>
      <c r="Z126" t="s">
        <v>4966</v>
      </c>
      <c r="AA126" t="s">
        <v>3014</v>
      </c>
      <c r="AB126" t="s">
        <v>4967</v>
      </c>
      <c r="AC126" t="s">
        <v>4968</v>
      </c>
      <c r="AD126" t="s">
        <v>3153</v>
      </c>
      <c r="AE126">
        <v>210.5</v>
      </c>
      <c r="AF126">
        <v>95.7</v>
      </c>
      <c r="AG126" t="s">
        <v>3018</v>
      </c>
      <c r="AH126">
        <v>186</v>
      </c>
      <c r="AI126" t="s">
        <v>4969</v>
      </c>
      <c r="AJ126">
        <v>49.218933</v>
      </c>
      <c r="AK126">
        <v>-122.805316</v>
      </c>
      <c r="AL126" t="str">
        <f>CONCATENATE(Names!D126," ",Names!F126)</f>
        <v>Steve Brantley</v>
      </c>
    </row>
    <row r="127" spans="1:38" x14ac:dyDescent="0.3">
      <c r="A127">
        <v>712</v>
      </c>
      <c r="B127" t="s">
        <v>2994</v>
      </c>
      <c r="C127" t="s">
        <v>2995</v>
      </c>
      <c r="D127" t="s">
        <v>4970</v>
      </c>
      <c r="E127" t="s">
        <v>2997</v>
      </c>
      <c r="F127" t="s">
        <v>4971</v>
      </c>
      <c r="G127" t="s">
        <v>4972</v>
      </c>
      <c r="H127" t="s">
        <v>2</v>
      </c>
      <c r="I127" t="s">
        <v>3000</v>
      </c>
      <c r="J127" t="s">
        <v>3908</v>
      </c>
      <c r="K127" t="s">
        <v>3002</v>
      </c>
      <c r="L127" t="s">
        <v>3003</v>
      </c>
      <c r="M127" t="s">
        <v>4973</v>
      </c>
      <c r="N127" t="s">
        <v>4974</v>
      </c>
      <c r="O127" t="s">
        <v>4975</v>
      </c>
      <c r="P127" t="s">
        <v>4976</v>
      </c>
      <c r="Q127" t="s">
        <v>4476</v>
      </c>
      <c r="R127">
        <v>25258</v>
      </c>
      <c r="S127" t="s">
        <v>3032</v>
      </c>
      <c r="T127">
        <v>5452790814384290</v>
      </c>
      <c r="U127">
        <v>875</v>
      </c>
      <c r="V127">
        <v>42795</v>
      </c>
      <c r="W127" t="s">
        <v>4977</v>
      </c>
      <c r="X127" t="s">
        <v>4978</v>
      </c>
      <c r="Y127" t="s">
        <v>3012</v>
      </c>
      <c r="Z127" t="s">
        <v>4979</v>
      </c>
      <c r="AA127" t="s">
        <v>4980</v>
      </c>
      <c r="AB127" t="s">
        <v>4981</v>
      </c>
      <c r="AC127" t="s">
        <v>4982</v>
      </c>
      <c r="AD127" t="s">
        <v>3017</v>
      </c>
      <c r="AE127">
        <v>163.19999999999999</v>
      </c>
      <c r="AF127">
        <v>74.2</v>
      </c>
      <c r="AG127" t="s">
        <v>3189</v>
      </c>
      <c r="AH127">
        <v>182</v>
      </c>
      <c r="AI127" t="s">
        <v>4983</v>
      </c>
      <c r="AJ127">
        <v>48.492766000000003</v>
      </c>
      <c r="AK127">
        <v>-123.388198</v>
      </c>
      <c r="AL127" t="str">
        <f>CONCATENATE(Names!D127," ",Names!F127)</f>
        <v>Jimmy Innocent</v>
      </c>
    </row>
    <row r="128" spans="1:38" x14ac:dyDescent="0.3">
      <c r="A128">
        <v>721</v>
      </c>
      <c r="B128" t="s">
        <v>2994</v>
      </c>
      <c r="C128" t="s">
        <v>2995</v>
      </c>
      <c r="D128" t="s">
        <v>4984</v>
      </c>
      <c r="E128" t="s">
        <v>328</v>
      </c>
      <c r="F128" t="s">
        <v>4607</v>
      </c>
      <c r="G128" t="s">
        <v>4985</v>
      </c>
      <c r="H128" t="s">
        <v>4282</v>
      </c>
      <c r="I128" t="s">
        <v>3000</v>
      </c>
      <c r="J128" t="s">
        <v>4283</v>
      </c>
      <c r="K128" t="s">
        <v>3002</v>
      </c>
      <c r="L128" t="s">
        <v>3003</v>
      </c>
      <c r="M128" t="s">
        <v>4986</v>
      </c>
      <c r="N128" t="s">
        <v>4987</v>
      </c>
      <c r="O128" t="s">
        <v>4988</v>
      </c>
      <c r="P128" t="s">
        <v>4989</v>
      </c>
      <c r="Q128" t="s">
        <v>4990</v>
      </c>
      <c r="R128">
        <v>15301</v>
      </c>
      <c r="S128" t="s">
        <v>3009</v>
      </c>
      <c r="T128">
        <v>4916696288513080</v>
      </c>
      <c r="U128">
        <v>66</v>
      </c>
      <c r="V128">
        <v>42795</v>
      </c>
      <c r="W128" t="s">
        <v>4991</v>
      </c>
      <c r="X128" t="s">
        <v>4992</v>
      </c>
      <c r="Y128" t="s">
        <v>3012</v>
      </c>
      <c r="Z128" t="s">
        <v>4993</v>
      </c>
      <c r="AA128" t="s">
        <v>4994</v>
      </c>
      <c r="AB128" t="s">
        <v>4995</v>
      </c>
      <c r="AC128" t="s">
        <v>4996</v>
      </c>
      <c r="AD128" t="s">
        <v>3133</v>
      </c>
      <c r="AE128">
        <v>232.8</v>
      </c>
      <c r="AF128">
        <v>105.8</v>
      </c>
      <c r="AG128" t="s">
        <v>3258</v>
      </c>
      <c r="AH128">
        <v>178</v>
      </c>
      <c r="AI128" t="s">
        <v>4997</v>
      </c>
      <c r="AJ128">
        <v>49.245742</v>
      </c>
      <c r="AK128">
        <v>-122.69691899999999</v>
      </c>
      <c r="AL128" t="str">
        <f>CONCATENATE(Names!D128," ",Names!F128)</f>
        <v>Travis Jackson</v>
      </c>
    </row>
    <row r="129" spans="1:38" x14ac:dyDescent="0.3">
      <c r="A129">
        <v>723</v>
      </c>
      <c r="B129" t="s">
        <v>3020</v>
      </c>
      <c r="C129" t="s">
        <v>3021</v>
      </c>
      <c r="D129" t="s">
        <v>4998</v>
      </c>
      <c r="E129" t="s">
        <v>322</v>
      </c>
      <c r="F129" t="s">
        <v>4999</v>
      </c>
      <c r="G129" t="s">
        <v>5000</v>
      </c>
      <c r="H129" t="s">
        <v>19</v>
      </c>
      <c r="I129" t="s">
        <v>3000</v>
      </c>
      <c r="J129" t="s">
        <v>3121</v>
      </c>
      <c r="K129" t="s">
        <v>3002</v>
      </c>
      <c r="L129" t="s">
        <v>3003</v>
      </c>
      <c r="M129" t="s">
        <v>5001</v>
      </c>
      <c r="N129" t="s">
        <v>5002</v>
      </c>
      <c r="O129" t="s">
        <v>5003</v>
      </c>
      <c r="P129" t="s">
        <v>5004</v>
      </c>
      <c r="Q129" t="s">
        <v>5005</v>
      </c>
      <c r="R129">
        <v>25229</v>
      </c>
      <c r="S129" t="s">
        <v>3032</v>
      </c>
      <c r="T129">
        <v>5327462357326370</v>
      </c>
      <c r="U129">
        <v>808</v>
      </c>
      <c r="V129">
        <v>42186</v>
      </c>
      <c r="W129" t="s">
        <v>5006</v>
      </c>
      <c r="X129" t="s">
        <v>5007</v>
      </c>
      <c r="Y129" t="s">
        <v>3074</v>
      </c>
      <c r="Z129" t="s">
        <v>5008</v>
      </c>
      <c r="AA129" t="s">
        <v>5009</v>
      </c>
      <c r="AB129" t="s">
        <v>5010</v>
      </c>
      <c r="AC129" t="s">
        <v>5011</v>
      </c>
      <c r="AD129" t="s">
        <v>3097</v>
      </c>
      <c r="AE129">
        <v>118.1</v>
      </c>
      <c r="AF129">
        <v>53.7</v>
      </c>
      <c r="AG129" t="s">
        <v>3041</v>
      </c>
      <c r="AH129">
        <v>155</v>
      </c>
      <c r="AI129" t="s">
        <v>5012</v>
      </c>
      <c r="AJ129">
        <v>49.208967999999999</v>
      </c>
      <c r="AK129">
        <v>-123.149747</v>
      </c>
      <c r="AL129" t="str">
        <f>CONCATENATE(Names!D129," ",Names!F129)</f>
        <v>Sue Shores</v>
      </c>
    </row>
    <row r="130" spans="1:38" x14ac:dyDescent="0.3">
      <c r="A130">
        <v>731</v>
      </c>
      <c r="B130" t="s">
        <v>2994</v>
      </c>
      <c r="C130" t="s">
        <v>2995</v>
      </c>
      <c r="D130" t="s">
        <v>3396</v>
      </c>
      <c r="E130" t="s">
        <v>322</v>
      </c>
      <c r="F130" t="s">
        <v>5013</v>
      </c>
      <c r="G130" t="s">
        <v>5014</v>
      </c>
      <c r="H130" t="s">
        <v>5015</v>
      </c>
      <c r="I130" t="s">
        <v>3000</v>
      </c>
      <c r="J130" t="s">
        <v>5016</v>
      </c>
      <c r="K130" t="s">
        <v>3002</v>
      </c>
      <c r="L130" t="s">
        <v>3003</v>
      </c>
      <c r="M130" t="s">
        <v>5017</v>
      </c>
      <c r="N130" t="s">
        <v>5018</v>
      </c>
      <c r="O130" t="s">
        <v>5019</v>
      </c>
      <c r="P130" t="s">
        <v>5020</v>
      </c>
      <c r="Q130" t="s">
        <v>3679</v>
      </c>
      <c r="R130">
        <v>23331</v>
      </c>
      <c r="S130" t="s">
        <v>3009</v>
      </c>
      <c r="T130">
        <v>4485502697281220</v>
      </c>
      <c r="U130">
        <v>851</v>
      </c>
      <c r="V130">
        <v>43070</v>
      </c>
      <c r="W130" t="s">
        <v>5021</v>
      </c>
      <c r="X130" t="s">
        <v>5022</v>
      </c>
      <c r="Y130" t="s">
        <v>3221</v>
      </c>
      <c r="Z130" t="s">
        <v>5023</v>
      </c>
      <c r="AA130" t="s">
        <v>5024</v>
      </c>
      <c r="AB130" t="s">
        <v>5025</v>
      </c>
      <c r="AC130" t="s">
        <v>5026</v>
      </c>
      <c r="AD130" t="s">
        <v>3097</v>
      </c>
      <c r="AE130">
        <v>187.7</v>
      </c>
      <c r="AF130">
        <v>85.3</v>
      </c>
      <c r="AG130" t="s">
        <v>3018</v>
      </c>
      <c r="AH130">
        <v>186</v>
      </c>
      <c r="AI130" t="s">
        <v>5027</v>
      </c>
      <c r="AJ130">
        <v>50.394190000000002</v>
      </c>
      <c r="AK130">
        <v>-121.394002</v>
      </c>
      <c r="AL130" t="str">
        <f>CONCATENATE(Names!D130," ",Names!F130)</f>
        <v>Robert Goodson</v>
      </c>
    </row>
    <row r="131" spans="1:38" x14ac:dyDescent="0.3">
      <c r="A131">
        <v>744</v>
      </c>
      <c r="B131" t="s">
        <v>3020</v>
      </c>
      <c r="C131" t="s">
        <v>3021</v>
      </c>
      <c r="D131" t="s">
        <v>5028</v>
      </c>
      <c r="E131" t="s">
        <v>325</v>
      </c>
      <c r="F131" t="s">
        <v>5029</v>
      </c>
      <c r="G131" t="s">
        <v>5030</v>
      </c>
      <c r="H131" t="s">
        <v>2</v>
      </c>
      <c r="I131" t="s">
        <v>3000</v>
      </c>
      <c r="J131" t="s">
        <v>3367</v>
      </c>
      <c r="K131" t="s">
        <v>3002</v>
      </c>
      <c r="L131" t="s">
        <v>3003</v>
      </c>
      <c r="M131" t="s">
        <v>5031</v>
      </c>
      <c r="N131" t="s">
        <v>5032</v>
      </c>
      <c r="O131" t="s">
        <v>5033</v>
      </c>
      <c r="P131" t="s">
        <v>5034</v>
      </c>
      <c r="Q131" t="s">
        <v>5035</v>
      </c>
      <c r="R131">
        <v>14783</v>
      </c>
      <c r="S131" t="s">
        <v>3032</v>
      </c>
      <c r="T131">
        <v>5290102379576160</v>
      </c>
      <c r="U131">
        <v>57</v>
      </c>
      <c r="V131">
        <v>42736</v>
      </c>
      <c r="W131" t="s">
        <v>5036</v>
      </c>
      <c r="X131" t="s">
        <v>5037</v>
      </c>
      <c r="Y131" t="s">
        <v>3012</v>
      </c>
      <c r="Z131" t="s">
        <v>5038</v>
      </c>
      <c r="AA131" t="s">
        <v>5039</v>
      </c>
      <c r="AB131" t="s">
        <v>5040</v>
      </c>
      <c r="AC131" t="s">
        <v>5041</v>
      </c>
      <c r="AD131" t="s">
        <v>3153</v>
      </c>
      <c r="AE131">
        <v>208.1</v>
      </c>
      <c r="AF131">
        <v>94.6</v>
      </c>
      <c r="AG131" t="s">
        <v>3098</v>
      </c>
      <c r="AH131">
        <v>167</v>
      </c>
      <c r="AI131" t="s">
        <v>5042</v>
      </c>
      <c r="AJ131">
        <v>48.385269000000001</v>
      </c>
      <c r="AK131">
        <v>-123.34003199999999</v>
      </c>
      <c r="AL131" t="str">
        <f>CONCATENATE(Names!D131," ",Names!F131)</f>
        <v>Elaine Stewart</v>
      </c>
    </row>
    <row r="132" spans="1:38" x14ac:dyDescent="0.3">
      <c r="A132">
        <v>745</v>
      </c>
      <c r="B132" t="s">
        <v>2994</v>
      </c>
      <c r="C132" t="s">
        <v>2995</v>
      </c>
      <c r="D132" t="s">
        <v>3445</v>
      </c>
      <c r="E132" t="s">
        <v>325</v>
      </c>
      <c r="F132" t="s">
        <v>5043</v>
      </c>
      <c r="G132" t="s">
        <v>5044</v>
      </c>
      <c r="H132" t="s">
        <v>3245</v>
      </c>
      <c r="I132" t="s">
        <v>3000</v>
      </c>
      <c r="J132" t="s">
        <v>3801</v>
      </c>
      <c r="K132" t="s">
        <v>3002</v>
      </c>
      <c r="L132" t="s">
        <v>3003</v>
      </c>
      <c r="M132" t="s">
        <v>5045</v>
      </c>
      <c r="N132" t="s">
        <v>5046</v>
      </c>
      <c r="O132" t="s">
        <v>5047</v>
      </c>
      <c r="P132" t="s">
        <v>5048</v>
      </c>
      <c r="Q132" t="s">
        <v>5049</v>
      </c>
      <c r="R132">
        <v>30190</v>
      </c>
      <c r="S132" t="s">
        <v>3032</v>
      </c>
      <c r="T132">
        <v>5404961433105030</v>
      </c>
      <c r="U132">
        <v>413</v>
      </c>
      <c r="V132">
        <v>42583</v>
      </c>
      <c r="W132" t="s">
        <v>5050</v>
      </c>
      <c r="X132" t="s">
        <v>5051</v>
      </c>
      <c r="Y132" t="s">
        <v>3012</v>
      </c>
      <c r="Z132" t="s">
        <v>5052</v>
      </c>
      <c r="AA132" t="s">
        <v>5053</v>
      </c>
      <c r="AB132" t="s">
        <v>5054</v>
      </c>
      <c r="AC132" t="s">
        <v>5055</v>
      </c>
      <c r="AD132" t="s">
        <v>3059</v>
      </c>
      <c r="AE132">
        <v>169.6</v>
      </c>
      <c r="AF132">
        <v>77.099999999999994</v>
      </c>
      <c r="AG132" t="s">
        <v>3207</v>
      </c>
      <c r="AH132">
        <v>169</v>
      </c>
      <c r="AI132" t="s">
        <v>5056</v>
      </c>
      <c r="AJ132">
        <v>49.082503000000003</v>
      </c>
      <c r="AK132">
        <v>-123.91565300000001</v>
      </c>
      <c r="AL132" t="str">
        <f>CONCATENATE(Names!D132," ",Names!F132)</f>
        <v>Richard Forrester</v>
      </c>
    </row>
    <row r="133" spans="1:38" x14ac:dyDescent="0.3">
      <c r="A133">
        <v>747</v>
      </c>
      <c r="B133" t="s">
        <v>2994</v>
      </c>
      <c r="C133" t="s">
        <v>2995</v>
      </c>
      <c r="D133" t="s">
        <v>3173</v>
      </c>
      <c r="E133" t="s">
        <v>328</v>
      </c>
      <c r="F133" t="s">
        <v>5057</v>
      </c>
      <c r="G133" t="s">
        <v>5058</v>
      </c>
      <c r="H133" t="s">
        <v>19</v>
      </c>
      <c r="I133" t="s">
        <v>3000</v>
      </c>
      <c r="J133" t="s">
        <v>3121</v>
      </c>
      <c r="K133" t="s">
        <v>3002</v>
      </c>
      <c r="L133" t="s">
        <v>3003</v>
      </c>
      <c r="M133" t="s">
        <v>5059</v>
      </c>
      <c r="N133" t="s">
        <v>5060</v>
      </c>
      <c r="O133" t="s">
        <v>5061</v>
      </c>
      <c r="P133" t="s">
        <v>5062</v>
      </c>
      <c r="Q133" t="s">
        <v>3719</v>
      </c>
      <c r="R133">
        <v>27318</v>
      </c>
      <c r="S133" t="s">
        <v>3009</v>
      </c>
      <c r="T133">
        <v>4532173823350320</v>
      </c>
      <c r="U133">
        <v>608</v>
      </c>
      <c r="V133">
        <v>43282</v>
      </c>
      <c r="W133" t="s">
        <v>5063</v>
      </c>
      <c r="X133" t="s">
        <v>5064</v>
      </c>
      <c r="Y133" t="s">
        <v>3012</v>
      </c>
      <c r="Z133" t="s">
        <v>5065</v>
      </c>
      <c r="AA133" t="s">
        <v>5066</v>
      </c>
      <c r="AB133" t="s">
        <v>5067</v>
      </c>
      <c r="AC133" t="s">
        <v>5068</v>
      </c>
      <c r="AD133" t="s">
        <v>3059</v>
      </c>
      <c r="AE133">
        <v>223.3</v>
      </c>
      <c r="AF133">
        <v>101.5</v>
      </c>
      <c r="AG133" t="s">
        <v>3189</v>
      </c>
      <c r="AH133">
        <v>184</v>
      </c>
      <c r="AI133" t="s">
        <v>5069</v>
      </c>
      <c r="AJ133">
        <v>49.249594000000002</v>
      </c>
      <c r="AK133">
        <v>-123.051334</v>
      </c>
      <c r="AL133" t="str">
        <f>CONCATENATE(Names!D133," ",Names!F133)</f>
        <v>Michael White</v>
      </c>
    </row>
    <row r="134" spans="1:38" x14ac:dyDescent="0.3">
      <c r="A134">
        <v>748</v>
      </c>
      <c r="B134" t="s">
        <v>2994</v>
      </c>
      <c r="C134" t="s">
        <v>2995</v>
      </c>
      <c r="D134" t="s">
        <v>3396</v>
      </c>
      <c r="E134" t="s">
        <v>4249</v>
      </c>
      <c r="F134" t="s">
        <v>5070</v>
      </c>
      <c r="G134" t="s">
        <v>5071</v>
      </c>
      <c r="H134" t="s">
        <v>11</v>
      </c>
      <c r="I134" t="s">
        <v>3000</v>
      </c>
      <c r="J134" t="s">
        <v>5072</v>
      </c>
      <c r="K134" t="s">
        <v>3002</v>
      </c>
      <c r="L134" t="s">
        <v>3003</v>
      </c>
      <c r="M134" t="s">
        <v>5073</v>
      </c>
      <c r="N134" t="s">
        <v>5074</v>
      </c>
      <c r="O134" t="s">
        <v>5075</v>
      </c>
      <c r="P134" t="s">
        <v>5076</v>
      </c>
      <c r="Q134" t="s">
        <v>5077</v>
      </c>
      <c r="R134">
        <v>23811</v>
      </c>
      <c r="S134" t="s">
        <v>3009</v>
      </c>
      <c r="T134">
        <v>4716954576901950</v>
      </c>
      <c r="U134">
        <v>206</v>
      </c>
      <c r="V134">
        <v>42217</v>
      </c>
      <c r="W134" t="s">
        <v>5078</v>
      </c>
      <c r="X134" t="s">
        <v>5079</v>
      </c>
      <c r="Y134" t="s">
        <v>3221</v>
      </c>
      <c r="Z134" t="s">
        <v>5080</v>
      </c>
      <c r="AA134" t="s">
        <v>5081</v>
      </c>
      <c r="AB134" t="s">
        <v>5082</v>
      </c>
      <c r="AC134" t="s">
        <v>5083</v>
      </c>
      <c r="AD134" t="s">
        <v>3097</v>
      </c>
      <c r="AE134">
        <v>194.5</v>
      </c>
      <c r="AF134">
        <v>88.4</v>
      </c>
      <c r="AG134" t="s">
        <v>3258</v>
      </c>
      <c r="AH134">
        <v>179</v>
      </c>
      <c r="AI134" t="s">
        <v>5084</v>
      </c>
      <c r="AJ134">
        <v>50.718438999999996</v>
      </c>
      <c r="AK134">
        <v>-120.421426</v>
      </c>
      <c r="AL134" t="str">
        <f>CONCATENATE(Names!D134," ",Names!F134)</f>
        <v>Robert Millard</v>
      </c>
    </row>
    <row r="135" spans="1:38" x14ac:dyDescent="0.3">
      <c r="A135">
        <v>763</v>
      </c>
      <c r="B135" t="s">
        <v>2994</v>
      </c>
      <c r="C135" t="s">
        <v>2995</v>
      </c>
      <c r="D135" t="s">
        <v>5085</v>
      </c>
      <c r="E135" t="s">
        <v>322</v>
      </c>
      <c r="F135" t="s">
        <v>2998</v>
      </c>
      <c r="G135" t="s">
        <v>5086</v>
      </c>
      <c r="H135" t="s">
        <v>2</v>
      </c>
      <c r="I135" t="s">
        <v>3000</v>
      </c>
      <c r="J135" t="s">
        <v>3367</v>
      </c>
      <c r="K135" t="s">
        <v>3002</v>
      </c>
      <c r="L135" t="s">
        <v>3003</v>
      </c>
      <c r="M135" t="s">
        <v>5087</v>
      </c>
      <c r="N135" t="s">
        <v>5088</v>
      </c>
      <c r="O135" t="s">
        <v>5089</v>
      </c>
      <c r="P135" t="s">
        <v>5090</v>
      </c>
      <c r="Q135" t="s">
        <v>5091</v>
      </c>
      <c r="R135">
        <v>33962</v>
      </c>
      <c r="S135" t="s">
        <v>3009</v>
      </c>
      <c r="T135">
        <v>4916913029124010</v>
      </c>
      <c r="U135">
        <v>861</v>
      </c>
      <c r="V135">
        <v>42125</v>
      </c>
      <c r="W135" t="s">
        <v>5092</v>
      </c>
      <c r="X135" t="s">
        <v>5093</v>
      </c>
      <c r="Y135" t="s">
        <v>3012</v>
      </c>
      <c r="Z135" t="s">
        <v>5094</v>
      </c>
      <c r="AA135" t="s">
        <v>5095</v>
      </c>
      <c r="AB135" t="s">
        <v>5096</v>
      </c>
      <c r="AC135" t="s">
        <v>5097</v>
      </c>
      <c r="AD135" t="s">
        <v>3097</v>
      </c>
      <c r="AE135">
        <v>159.9</v>
      </c>
      <c r="AF135">
        <v>72.7</v>
      </c>
      <c r="AG135" t="s">
        <v>3443</v>
      </c>
      <c r="AH135">
        <v>180</v>
      </c>
      <c r="AI135" t="s">
        <v>5098</v>
      </c>
      <c r="AJ135">
        <v>48.383313999999999</v>
      </c>
      <c r="AK135">
        <v>-123.276433</v>
      </c>
      <c r="AL135" t="str">
        <f>CONCATENATE(Names!D135," ",Names!F135)</f>
        <v>Brandon Smith</v>
      </c>
    </row>
    <row r="136" spans="1:38" x14ac:dyDescent="0.3">
      <c r="A136">
        <v>780</v>
      </c>
      <c r="B136" t="s">
        <v>3020</v>
      </c>
      <c r="C136" t="s">
        <v>3062</v>
      </c>
      <c r="D136" t="s">
        <v>5099</v>
      </c>
      <c r="E136" t="s">
        <v>327</v>
      </c>
      <c r="F136" t="s">
        <v>5100</v>
      </c>
      <c r="G136" t="s">
        <v>5101</v>
      </c>
      <c r="H136" t="s">
        <v>19</v>
      </c>
      <c r="I136" t="s">
        <v>3000</v>
      </c>
      <c r="J136" t="s">
        <v>4454</v>
      </c>
      <c r="K136" t="s">
        <v>3002</v>
      </c>
      <c r="L136" t="s">
        <v>3003</v>
      </c>
      <c r="M136" t="s">
        <v>5102</v>
      </c>
      <c r="N136" t="s">
        <v>5103</v>
      </c>
      <c r="O136" t="s">
        <v>5104</v>
      </c>
      <c r="P136" t="s">
        <v>5105</v>
      </c>
      <c r="Q136" t="s">
        <v>5106</v>
      </c>
      <c r="R136">
        <v>23023</v>
      </c>
      <c r="S136" t="s">
        <v>3009</v>
      </c>
      <c r="T136">
        <v>4916377501522100</v>
      </c>
      <c r="U136">
        <v>391</v>
      </c>
      <c r="V136">
        <v>42887</v>
      </c>
      <c r="W136" t="s">
        <v>5107</v>
      </c>
      <c r="X136" t="s">
        <v>5108</v>
      </c>
      <c r="Y136" t="s">
        <v>3323</v>
      </c>
      <c r="Z136" t="s">
        <v>5109</v>
      </c>
      <c r="AA136" t="s">
        <v>5110</v>
      </c>
      <c r="AB136" t="s">
        <v>5111</v>
      </c>
      <c r="AC136" t="s">
        <v>5112</v>
      </c>
      <c r="AD136" t="s">
        <v>3059</v>
      </c>
      <c r="AE136">
        <v>220.7</v>
      </c>
      <c r="AF136">
        <v>100.3</v>
      </c>
      <c r="AG136" t="s">
        <v>4057</v>
      </c>
      <c r="AH136">
        <v>163</v>
      </c>
      <c r="AI136" t="s">
        <v>5113</v>
      </c>
      <c r="AJ136">
        <v>49.193643999999999</v>
      </c>
      <c r="AK136">
        <v>-123.078287</v>
      </c>
      <c r="AL136" t="str">
        <f>CONCATENATE(Names!D136," ",Names!F136)</f>
        <v>Stacy Peavy</v>
      </c>
    </row>
    <row r="137" spans="1:38" x14ac:dyDescent="0.3">
      <c r="A137">
        <v>787</v>
      </c>
      <c r="B137" t="s">
        <v>2994</v>
      </c>
      <c r="C137" t="s">
        <v>2995</v>
      </c>
      <c r="D137" t="s">
        <v>5114</v>
      </c>
      <c r="E137" t="s">
        <v>322</v>
      </c>
      <c r="F137" t="s">
        <v>2998</v>
      </c>
      <c r="G137" t="s">
        <v>5115</v>
      </c>
      <c r="H137" t="s">
        <v>5116</v>
      </c>
      <c r="I137" t="s">
        <v>3000</v>
      </c>
      <c r="J137" t="s">
        <v>5117</v>
      </c>
      <c r="K137" t="s">
        <v>3002</v>
      </c>
      <c r="L137" t="s">
        <v>3003</v>
      </c>
      <c r="M137" t="s">
        <v>5118</v>
      </c>
      <c r="N137" t="s">
        <v>5119</v>
      </c>
      <c r="O137" t="s">
        <v>5120</v>
      </c>
      <c r="P137" t="s">
        <v>5121</v>
      </c>
      <c r="Q137" t="s">
        <v>3461</v>
      </c>
      <c r="R137">
        <v>23771</v>
      </c>
      <c r="S137" t="s">
        <v>3032</v>
      </c>
      <c r="T137">
        <v>5517432741592750</v>
      </c>
      <c r="U137">
        <v>954</v>
      </c>
      <c r="V137">
        <v>43191</v>
      </c>
      <c r="W137" t="s">
        <v>5122</v>
      </c>
      <c r="X137" t="s">
        <v>5123</v>
      </c>
      <c r="Y137" t="s">
        <v>3012</v>
      </c>
      <c r="Z137" t="s">
        <v>5124</v>
      </c>
      <c r="AA137" t="s">
        <v>5125</v>
      </c>
      <c r="AB137" t="s">
        <v>5126</v>
      </c>
      <c r="AC137" t="s">
        <v>5127</v>
      </c>
      <c r="AD137" t="s">
        <v>3097</v>
      </c>
      <c r="AE137">
        <v>222</v>
      </c>
      <c r="AF137">
        <v>100.9</v>
      </c>
      <c r="AG137" t="s">
        <v>3018</v>
      </c>
      <c r="AH137">
        <v>186</v>
      </c>
      <c r="AI137" t="s">
        <v>5128</v>
      </c>
      <c r="AJ137">
        <v>50.518087999999999</v>
      </c>
      <c r="AK137">
        <v>-122.407383</v>
      </c>
      <c r="AL137" t="str">
        <f>CONCATENATE(Names!D137," ",Names!F137)</f>
        <v>Kevin Smith</v>
      </c>
    </row>
    <row r="138" spans="1:38" x14ac:dyDescent="0.3">
      <c r="A138">
        <v>791</v>
      </c>
      <c r="B138" t="s">
        <v>3020</v>
      </c>
      <c r="C138" t="s">
        <v>3021</v>
      </c>
      <c r="D138" t="s">
        <v>3155</v>
      </c>
      <c r="E138" t="s">
        <v>2997</v>
      </c>
      <c r="F138" t="s">
        <v>5129</v>
      </c>
      <c r="G138" t="s">
        <v>5130</v>
      </c>
      <c r="H138" t="s">
        <v>5131</v>
      </c>
      <c r="I138" t="s">
        <v>3000</v>
      </c>
      <c r="J138" t="s">
        <v>5132</v>
      </c>
      <c r="K138" t="s">
        <v>3002</v>
      </c>
      <c r="L138" t="s">
        <v>3003</v>
      </c>
      <c r="M138" t="s">
        <v>5133</v>
      </c>
      <c r="N138" t="s">
        <v>5134</v>
      </c>
      <c r="O138" t="s">
        <v>5135</v>
      </c>
      <c r="P138" t="s">
        <v>5136</v>
      </c>
      <c r="Q138" t="s">
        <v>5137</v>
      </c>
      <c r="R138">
        <v>22822</v>
      </c>
      <c r="S138" t="s">
        <v>3032</v>
      </c>
      <c r="T138">
        <v>5537918479384510</v>
      </c>
      <c r="U138">
        <v>899</v>
      </c>
      <c r="V138">
        <v>43770</v>
      </c>
      <c r="W138" t="s">
        <v>5138</v>
      </c>
      <c r="X138" t="s">
        <v>5139</v>
      </c>
      <c r="Y138" t="s">
        <v>3074</v>
      </c>
      <c r="Z138" t="s">
        <v>5140</v>
      </c>
      <c r="AA138" t="s">
        <v>4510</v>
      </c>
      <c r="AB138" t="s">
        <v>5141</v>
      </c>
      <c r="AC138" t="s">
        <v>5142</v>
      </c>
      <c r="AD138" t="s">
        <v>3153</v>
      </c>
      <c r="AE138">
        <v>196.7</v>
      </c>
      <c r="AF138">
        <v>89.4</v>
      </c>
      <c r="AG138" t="s">
        <v>3134</v>
      </c>
      <c r="AH138">
        <v>165</v>
      </c>
      <c r="AI138" t="s">
        <v>5143</v>
      </c>
      <c r="AJ138">
        <v>55.787661</v>
      </c>
      <c r="AK138">
        <v>-121.65866800000001</v>
      </c>
      <c r="AL138" t="str">
        <f>CONCATENATE(Names!D138," ",Names!F138)</f>
        <v>Cynthia Buckley</v>
      </c>
    </row>
    <row r="139" spans="1:38" x14ac:dyDescent="0.3">
      <c r="A139">
        <v>805</v>
      </c>
      <c r="B139" t="s">
        <v>3020</v>
      </c>
      <c r="C139" t="s">
        <v>3062</v>
      </c>
      <c r="D139" t="s">
        <v>3155</v>
      </c>
      <c r="E139" t="s">
        <v>131</v>
      </c>
      <c r="F139" t="s">
        <v>2998</v>
      </c>
      <c r="G139" t="s">
        <v>5144</v>
      </c>
      <c r="H139" t="s">
        <v>5145</v>
      </c>
      <c r="I139" t="s">
        <v>3000</v>
      </c>
      <c r="J139" t="s">
        <v>5146</v>
      </c>
      <c r="K139" t="s">
        <v>3002</v>
      </c>
      <c r="L139" t="s">
        <v>3003</v>
      </c>
      <c r="M139" t="s">
        <v>5147</v>
      </c>
      <c r="N139" t="s">
        <v>5148</v>
      </c>
      <c r="O139" t="s">
        <v>5149</v>
      </c>
      <c r="P139" t="s">
        <v>5150</v>
      </c>
      <c r="Q139" t="s">
        <v>5151</v>
      </c>
      <c r="R139">
        <v>25280</v>
      </c>
      <c r="S139" t="s">
        <v>3032</v>
      </c>
      <c r="T139">
        <v>5555944900313870</v>
      </c>
      <c r="U139">
        <v>550</v>
      </c>
      <c r="V139">
        <v>42036</v>
      </c>
      <c r="W139" t="s">
        <v>5152</v>
      </c>
      <c r="X139" t="s">
        <v>5153</v>
      </c>
      <c r="Y139" t="s">
        <v>3221</v>
      </c>
      <c r="Z139" t="s">
        <v>5154</v>
      </c>
      <c r="AA139" t="s">
        <v>5155</v>
      </c>
      <c r="AB139" t="s">
        <v>5156</v>
      </c>
      <c r="AC139" t="s">
        <v>5157</v>
      </c>
      <c r="AD139" t="s">
        <v>3097</v>
      </c>
      <c r="AE139">
        <v>117</v>
      </c>
      <c r="AF139">
        <v>53.2</v>
      </c>
      <c r="AG139" t="s">
        <v>3508</v>
      </c>
      <c r="AH139">
        <v>161</v>
      </c>
      <c r="AI139" t="s">
        <v>5158</v>
      </c>
      <c r="AJ139">
        <v>52.314408</v>
      </c>
      <c r="AK139">
        <v>-121.576109</v>
      </c>
      <c r="AL139" t="str">
        <f>CONCATENATE(Names!D139," ",Names!F139)</f>
        <v>Cynthia Smith</v>
      </c>
    </row>
    <row r="140" spans="1:38" x14ac:dyDescent="0.3">
      <c r="A140">
        <v>806</v>
      </c>
      <c r="B140" t="s">
        <v>2994</v>
      </c>
      <c r="C140" t="s">
        <v>2995</v>
      </c>
      <c r="D140" t="s">
        <v>5159</v>
      </c>
      <c r="E140" t="s">
        <v>131</v>
      </c>
      <c r="F140" t="s">
        <v>3615</v>
      </c>
      <c r="G140" t="s">
        <v>5160</v>
      </c>
      <c r="H140" t="s">
        <v>5161</v>
      </c>
      <c r="I140" t="s">
        <v>3000</v>
      </c>
      <c r="J140" t="s">
        <v>5162</v>
      </c>
      <c r="K140" t="s">
        <v>3002</v>
      </c>
      <c r="L140" t="s">
        <v>3003</v>
      </c>
      <c r="M140" t="s">
        <v>5163</v>
      </c>
      <c r="N140" t="s">
        <v>5164</v>
      </c>
      <c r="O140" t="s">
        <v>5165</v>
      </c>
      <c r="P140" t="s">
        <v>5166</v>
      </c>
      <c r="Q140" t="s">
        <v>5167</v>
      </c>
      <c r="R140">
        <v>28714</v>
      </c>
      <c r="S140" t="s">
        <v>3009</v>
      </c>
      <c r="T140">
        <v>4929534822593410</v>
      </c>
      <c r="U140">
        <v>451</v>
      </c>
      <c r="V140">
        <v>43617</v>
      </c>
      <c r="W140" t="s">
        <v>5168</v>
      </c>
      <c r="X140" t="s">
        <v>5169</v>
      </c>
      <c r="Y140" t="s">
        <v>3288</v>
      </c>
      <c r="Z140" t="s">
        <v>5170</v>
      </c>
      <c r="AA140" t="s">
        <v>5171</v>
      </c>
      <c r="AB140" t="s">
        <v>5172</v>
      </c>
      <c r="AC140" t="s">
        <v>5173</v>
      </c>
      <c r="AD140" t="s">
        <v>3133</v>
      </c>
      <c r="AE140">
        <v>216.7</v>
      </c>
      <c r="AF140">
        <v>98.5</v>
      </c>
      <c r="AG140" t="s">
        <v>3018</v>
      </c>
      <c r="AH140">
        <v>186</v>
      </c>
      <c r="AI140" t="s">
        <v>5174</v>
      </c>
      <c r="AJ140">
        <v>51.677951999999998</v>
      </c>
      <c r="AK140">
        <v>-119.738534</v>
      </c>
      <c r="AL140" t="str">
        <f>CONCATENATE(Names!D140," ",Names!F140)</f>
        <v>Edward McDonald</v>
      </c>
    </row>
    <row r="141" spans="1:38" x14ac:dyDescent="0.3">
      <c r="A141">
        <v>811</v>
      </c>
      <c r="B141" t="s">
        <v>2994</v>
      </c>
      <c r="C141" t="s">
        <v>4043</v>
      </c>
      <c r="D141" t="s">
        <v>5175</v>
      </c>
      <c r="E141" t="s">
        <v>3101</v>
      </c>
      <c r="F141" t="s">
        <v>3889</v>
      </c>
      <c r="G141" t="s">
        <v>5176</v>
      </c>
      <c r="H141" t="s">
        <v>4282</v>
      </c>
      <c r="I141" t="s">
        <v>3000</v>
      </c>
      <c r="J141" t="s">
        <v>4283</v>
      </c>
      <c r="K141" t="s">
        <v>3002</v>
      </c>
      <c r="L141" t="s">
        <v>3003</v>
      </c>
      <c r="M141" t="s">
        <v>5177</v>
      </c>
      <c r="N141" t="s">
        <v>5178</v>
      </c>
      <c r="O141" t="s">
        <v>5179</v>
      </c>
      <c r="P141" t="s">
        <v>5180</v>
      </c>
      <c r="Q141" t="s">
        <v>4773</v>
      </c>
      <c r="R141">
        <v>34757</v>
      </c>
      <c r="S141" t="s">
        <v>3009</v>
      </c>
      <c r="T141">
        <v>4716658042218260</v>
      </c>
      <c r="U141">
        <v>575</v>
      </c>
      <c r="V141">
        <v>42064</v>
      </c>
      <c r="W141" t="s">
        <v>5181</v>
      </c>
      <c r="X141" t="s">
        <v>5182</v>
      </c>
      <c r="Y141" t="s">
        <v>3012</v>
      </c>
      <c r="Z141" t="s">
        <v>5124</v>
      </c>
      <c r="AA141" t="s">
        <v>5183</v>
      </c>
      <c r="AB141" t="s">
        <v>5184</v>
      </c>
      <c r="AC141" t="s">
        <v>5185</v>
      </c>
      <c r="AD141" t="s">
        <v>3059</v>
      </c>
      <c r="AE141">
        <v>122.3</v>
      </c>
      <c r="AF141">
        <v>55.6</v>
      </c>
      <c r="AG141" t="s">
        <v>3189</v>
      </c>
      <c r="AH141">
        <v>182</v>
      </c>
      <c r="AI141" t="s">
        <v>5186</v>
      </c>
      <c r="AJ141">
        <v>49.240755999999998</v>
      </c>
      <c r="AK141">
        <v>-122.85124399999999</v>
      </c>
      <c r="AL141" t="str">
        <f>CONCATENATE(Names!D141," ",Names!F141)</f>
        <v>Derrick Key</v>
      </c>
    </row>
    <row r="142" spans="1:38" x14ac:dyDescent="0.3">
      <c r="A142">
        <v>816</v>
      </c>
      <c r="B142" t="s">
        <v>3020</v>
      </c>
      <c r="C142" t="s">
        <v>3021</v>
      </c>
      <c r="D142" t="s">
        <v>3558</v>
      </c>
      <c r="E142" t="s">
        <v>322</v>
      </c>
      <c r="F142" t="s">
        <v>5187</v>
      </c>
      <c r="G142" t="s">
        <v>5188</v>
      </c>
      <c r="H142" t="s">
        <v>18</v>
      </c>
      <c r="I142" t="s">
        <v>3000</v>
      </c>
      <c r="J142" t="s">
        <v>3383</v>
      </c>
      <c r="K142" t="s">
        <v>3002</v>
      </c>
      <c r="L142" t="s">
        <v>3003</v>
      </c>
      <c r="M142" t="s">
        <v>5189</v>
      </c>
      <c r="N142" t="s">
        <v>5190</v>
      </c>
      <c r="O142" t="s">
        <v>5191</v>
      </c>
      <c r="P142" t="s">
        <v>5192</v>
      </c>
      <c r="Q142" t="s">
        <v>5193</v>
      </c>
      <c r="R142">
        <v>19562</v>
      </c>
      <c r="S142" t="s">
        <v>3032</v>
      </c>
      <c r="T142">
        <v>5249550133578060</v>
      </c>
      <c r="U142">
        <v>905</v>
      </c>
      <c r="V142">
        <v>42370</v>
      </c>
      <c r="W142" t="s">
        <v>5194</v>
      </c>
      <c r="X142" t="s">
        <v>5195</v>
      </c>
      <c r="Y142" t="s">
        <v>3012</v>
      </c>
      <c r="Z142" t="s">
        <v>5196</v>
      </c>
      <c r="AA142" t="s">
        <v>3779</v>
      </c>
      <c r="AB142" t="s">
        <v>5197</v>
      </c>
      <c r="AC142" t="s">
        <v>5198</v>
      </c>
      <c r="AD142" t="s">
        <v>3097</v>
      </c>
      <c r="AE142">
        <v>218.7</v>
      </c>
      <c r="AF142">
        <v>99.4</v>
      </c>
      <c r="AG142" t="s">
        <v>3098</v>
      </c>
      <c r="AH142">
        <v>168</v>
      </c>
      <c r="AI142" t="s">
        <v>5199</v>
      </c>
      <c r="AJ142">
        <v>49.079543000000001</v>
      </c>
      <c r="AK142">
        <v>-122.885744</v>
      </c>
      <c r="AL142" t="str">
        <f>CONCATENATE(Names!D142," ",Names!F142)</f>
        <v>Alma Huerta</v>
      </c>
    </row>
    <row r="143" spans="1:38" x14ac:dyDescent="0.3">
      <c r="A143">
        <v>820</v>
      </c>
      <c r="B143" t="s">
        <v>2994</v>
      </c>
      <c r="C143" t="s">
        <v>2995</v>
      </c>
      <c r="D143" t="s">
        <v>3888</v>
      </c>
      <c r="E143" t="s">
        <v>3137</v>
      </c>
      <c r="F143" t="s">
        <v>5200</v>
      </c>
      <c r="G143" t="s">
        <v>5201</v>
      </c>
      <c r="H143" t="s">
        <v>3025</v>
      </c>
      <c r="I143" t="s">
        <v>3000</v>
      </c>
      <c r="J143" t="s">
        <v>3026</v>
      </c>
      <c r="K143" t="s">
        <v>3002</v>
      </c>
      <c r="L143" t="s">
        <v>3003</v>
      </c>
      <c r="M143" t="s">
        <v>5202</v>
      </c>
      <c r="N143" t="s">
        <v>5203</v>
      </c>
      <c r="O143" t="s">
        <v>5204</v>
      </c>
      <c r="P143" t="s">
        <v>5205</v>
      </c>
      <c r="Q143" t="s">
        <v>5206</v>
      </c>
      <c r="R143">
        <v>31444</v>
      </c>
      <c r="S143" t="s">
        <v>3032</v>
      </c>
      <c r="T143">
        <v>5365466744458130</v>
      </c>
      <c r="U143">
        <v>270</v>
      </c>
      <c r="V143">
        <v>42948</v>
      </c>
      <c r="W143" t="s">
        <v>5207</v>
      </c>
      <c r="X143" t="s">
        <v>5208</v>
      </c>
      <c r="Y143" t="s">
        <v>3035</v>
      </c>
      <c r="Z143" t="s">
        <v>5209</v>
      </c>
      <c r="AA143" t="s">
        <v>5210</v>
      </c>
      <c r="AB143" t="s">
        <v>5211</v>
      </c>
      <c r="AC143" t="s">
        <v>5212</v>
      </c>
      <c r="AD143" t="s">
        <v>3097</v>
      </c>
      <c r="AE143">
        <v>166.1</v>
      </c>
      <c r="AF143">
        <v>75.5</v>
      </c>
      <c r="AG143" t="s">
        <v>3060</v>
      </c>
      <c r="AH143">
        <v>175</v>
      </c>
      <c r="AI143" t="s">
        <v>5213</v>
      </c>
      <c r="AJ143">
        <v>50.032964999999997</v>
      </c>
      <c r="AK143">
        <v>-122.960506</v>
      </c>
      <c r="AL143" t="str">
        <f>CONCATENATE(Names!D143," ",Names!F143)</f>
        <v>John Shaffer</v>
      </c>
    </row>
    <row r="144" spans="1:38" x14ac:dyDescent="0.3">
      <c r="A144">
        <v>821</v>
      </c>
      <c r="B144" t="s">
        <v>3020</v>
      </c>
      <c r="C144" t="s">
        <v>3062</v>
      </c>
      <c r="D144" t="s">
        <v>5214</v>
      </c>
      <c r="E144" t="s">
        <v>328</v>
      </c>
      <c r="F144" t="s">
        <v>5215</v>
      </c>
      <c r="G144" t="s">
        <v>5216</v>
      </c>
      <c r="H144" t="s">
        <v>2</v>
      </c>
      <c r="I144" t="s">
        <v>3000</v>
      </c>
      <c r="J144" t="s">
        <v>3908</v>
      </c>
      <c r="K144" t="s">
        <v>3002</v>
      </c>
      <c r="L144" t="s">
        <v>3003</v>
      </c>
      <c r="M144" t="s">
        <v>5217</v>
      </c>
      <c r="N144" t="s">
        <v>5218</v>
      </c>
      <c r="O144" t="s">
        <v>5219</v>
      </c>
      <c r="P144" t="s">
        <v>5220</v>
      </c>
      <c r="Q144" t="s">
        <v>5221</v>
      </c>
      <c r="R144">
        <v>26208</v>
      </c>
      <c r="S144" t="s">
        <v>3009</v>
      </c>
      <c r="T144">
        <v>4556631467912120</v>
      </c>
      <c r="U144">
        <v>744</v>
      </c>
      <c r="V144">
        <v>42005</v>
      </c>
      <c r="W144" t="s">
        <v>5222</v>
      </c>
      <c r="X144" t="s">
        <v>5223</v>
      </c>
      <c r="Y144" t="s">
        <v>3012</v>
      </c>
      <c r="Z144" t="s">
        <v>5224</v>
      </c>
      <c r="AA144" t="s">
        <v>5225</v>
      </c>
      <c r="AB144" t="s">
        <v>5226</v>
      </c>
      <c r="AC144" t="s">
        <v>5227</v>
      </c>
      <c r="AD144" t="s">
        <v>3097</v>
      </c>
      <c r="AE144">
        <v>119</v>
      </c>
      <c r="AF144">
        <v>54.1</v>
      </c>
      <c r="AG144" t="s">
        <v>3079</v>
      </c>
      <c r="AH144">
        <v>158</v>
      </c>
      <c r="AI144" t="s">
        <v>5228</v>
      </c>
      <c r="AJ144">
        <v>48.394902000000002</v>
      </c>
      <c r="AK144">
        <v>-123.268666</v>
      </c>
      <c r="AL144" t="str">
        <f>CONCATENATE(Names!D144," ",Names!F144)</f>
        <v>Lucille Robbins</v>
      </c>
    </row>
    <row r="145" spans="1:38" x14ac:dyDescent="0.3">
      <c r="A145">
        <v>829</v>
      </c>
      <c r="B145" t="s">
        <v>3020</v>
      </c>
      <c r="C145" t="s">
        <v>3021</v>
      </c>
      <c r="D145" t="s">
        <v>4645</v>
      </c>
      <c r="E145" t="s">
        <v>2997</v>
      </c>
      <c r="F145" t="s">
        <v>5229</v>
      </c>
      <c r="G145" t="s">
        <v>5230</v>
      </c>
      <c r="H145" t="s">
        <v>5231</v>
      </c>
      <c r="I145" t="s">
        <v>3000</v>
      </c>
      <c r="J145" t="s">
        <v>5232</v>
      </c>
      <c r="K145" t="s">
        <v>3002</v>
      </c>
      <c r="L145" t="s">
        <v>3003</v>
      </c>
      <c r="M145" t="s">
        <v>5233</v>
      </c>
      <c r="N145" t="s">
        <v>5234</v>
      </c>
      <c r="O145" t="s">
        <v>5235</v>
      </c>
      <c r="P145" t="s">
        <v>5236</v>
      </c>
      <c r="Q145" t="s">
        <v>5237</v>
      </c>
      <c r="R145">
        <v>28390</v>
      </c>
      <c r="S145" t="s">
        <v>3009</v>
      </c>
      <c r="T145">
        <v>4485868173088770</v>
      </c>
      <c r="U145">
        <v>601</v>
      </c>
      <c r="V145">
        <v>43647</v>
      </c>
      <c r="W145" t="s">
        <v>5238</v>
      </c>
      <c r="X145" t="s">
        <v>5239</v>
      </c>
      <c r="Y145" t="s">
        <v>3074</v>
      </c>
      <c r="Z145" t="s">
        <v>5240</v>
      </c>
      <c r="AA145" t="s">
        <v>5241</v>
      </c>
      <c r="AB145" t="s">
        <v>5242</v>
      </c>
      <c r="AC145" t="s">
        <v>5243</v>
      </c>
      <c r="AD145" t="s">
        <v>3040</v>
      </c>
      <c r="AE145">
        <v>225.9</v>
      </c>
      <c r="AF145">
        <v>102.7</v>
      </c>
      <c r="AG145" t="s">
        <v>3207</v>
      </c>
      <c r="AH145">
        <v>170</v>
      </c>
      <c r="AI145" t="s">
        <v>5244</v>
      </c>
      <c r="AJ145">
        <v>51.324131000000001</v>
      </c>
      <c r="AK145">
        <v>-116.989581</v>
      </c>
      <c r="AL145" t="str">
        <f>CONCATENATE(Names!D145," ",Names!F145)</f>
        <v>Anita Lozano</v>
      </c>
    </row>
    <row r="146" spans="1:38" x14ac:dyDescent="0.3">
      <c r="A146">
        <v>843</v>
      </c>
      <c r="B146" t="s">
        <v>2994</v>
      </c>
      <c r="C146" t="s">
        <v>2995</v>
      </c>
      <c r="D146" t="s">
        <v>5245</v>
      </c>
      <c r="E146" t="s">
        <v>325</v>
      </c>
      <c r="F146" t="s">
        <v>5246</v>
      </c>
      <c r="G146" t="s">
        <v>5247</v>
      </c>
      <c r="H146" t="s">
        <v>19</v>
      </c>
      <c r="I146" t="s">
        <v>3000</v>
      </c>
      <c r="J146" t="s">
        <v>3845</v>
      </c>
      <c r="K146" t="s">
        <v>3002</v>
      </c>
      <c r="L146" t="s">
        <v>3003</v>
      </c>
      <c r="M146" t="s">
        <v>5248</v>
      </c>
      <c r="N146" t="s">
        <v>5249</v>
      </c>
      <c r="O146" t="s">
        <v>5250</v>
      </c>
      <c r="P146" t="s">
        <v>5251</v>
      </c>
      <c r="Q146" t="s">
        <v>5252</v>
      </c>
      <c r="R146">
        <v>33859</v>
      </c>
      <c r="S146" t="s">
        <v>3032</v>
      </c>
      <c r="T146">
        <v>5424272977425470</v>
      </c>
      <c r="U146">
        <v>10</v>
      </c>
      <c r="V146">
        <v>42064</v>
      </c>
      <c r="W146" t="s">
        <v>5253</v>
      </c>
      <c r="X146" t="s">
        <v>5254</v>
      </c>
      <c r="Y146" t="s">
        <v>3012</v>
      </c>
      <c r="Z146" t="s">
        <v>5255</v>
      </c>
      <c r="AA146" t="s">
        <v>5256</v>
      </c>
      <c r="AB146" t="s">
        <v>5257</v>
      </c>
      <c r="AC146" t="s">
        <v>5258</v>
      </c>
      <c r="AD146" t="s">
        <v>3059</v>
      </c>
      <c r="AE146">
        <v>126.1</v>
      </c>
      <c r="AF146">
        <v>57.3</v>
      </c>
      <c r="AG146" t="s">
        <v>3018</v>
      </c>
      <c r="AH146">
        <v>185</v>
      </c>
      <c r="AI146" t="s">
        <v>5259</v>
      </c>
      <c r="AJ146">
        <v>49.331349000000003</v>
      </c>
      <c r="AK146">
        <v>-123.226226</v>
      </c>
      <c r="AL146" t="str">
        <f>CONCATENATE(Names!D146," ",Names!F146)</f>
        <v>Vincent Brokaw</v>
      </c>
    </row>
    <row r="147" spans="1:38" x14ac:dyDescent="0.3">
      <c r="A147">
        <v>848</v>
      </c>
      <c r="B147" t="s">
        <v>3020</v>
      </c>
      <c r="C147" t="s">
        <v>3062</v>
      </c>
      <c r="D147" t="s">
        <v>5260</v>
      </c>
      <c r="E147" t="s">
        <v>325</v>
      </c>
      <c r="F147" t="s">
        <v>5261</v>
      </c>
      <c r="G147" t="s">
        <v>5262</v>
      </c>
      <c r="H147" t="s">
        <v>5263</v>
      </c>
      <c r="I147" t="s">
        <v>3000</v>
      </c>
      <c r="J147" t="s">
        <v>5264</v>
      </c>
      <c r="K147" t="s">
        <v>3002</v>
      </c>
      <c r="L147" t="s">
        <v>3003</v>
      </c>
      <c r="M147" t="s">
        <v>5265</v>
      </c>
      <c r="N147" t="s">
        <v>5266</v>
      </c>
      <c r="O147" t="s">
        <v>5267</v>
      </c>
      <c r="P147" t="s">
        <v>5268</v>
      </c>
      <c r="Q147" t="s">
        <v>3518</v>
      </c>
      <c r="R147">
        <v>22061</v>
      </c>
      <c r="S147" t="s">
        <v>3032</v>
      </c>
      <c r="T147">
        <v>5557162397151160</v>
      </c>
      <c r="U147">
        <v>584</v>
      </c>
      <c r="V147">
        <v>43525</v>
      </c>
      <c r="W147" t="s">
        <v>5269</v>
      </c>
      <c r="X147" t="s">
        <v>5270</v>
      </c>
      <c r="Y147" t="s">
        <v>3074</v>
      </c>
      <c r="Z147" t="s">
        <v>5271</v>
      </c>
      <c r="AA147" t="s">
        <v>5272</v>
      </c>
      <c r="AB147" t="s">
        <v>5273</v>
      </c>
      <c r="AC147" t="s">
        <v>5274</v>
      </c>
      <c r="AD147" t="s">
        <v>3097</v>
      </c>
      <c r="AE147">
        <v>138.4</v>
      </c>
      <c r="AF147">
        <v>62.9</v>
      </c>
      <c r="AG147" t="s">
        <v>3041</v>
      </c>
      <c r="AH147">
        <v>155</v>
      </c>
      <c r="AI147" t="s">
        <v>5275</v>
      </c>
      <c r="AJ147">
        <v>49.039842999999998</v>
      </c>
      <c r="AK147">
        <v>-122.08176899999999</v>
      </c>
      <c r="AL147" t="str">
        <f>CONCATENATE(Names!D147," ",Names!F147)</f>
        <v>Diane Milton</v>
      </c>
    </row>
    <row r="148" spans="1:38" x14ac:dyDescent="0.3">
      <c r="A148">
        <v>856</v>
      </c>
      <c r="B148" t="s">
        <v>3020</v>
      </c>
      <c r="C148" t="s">
        <v>3062</v>
      </c>
      <c r="D148" t="s">
        <v>5276</v>
      </c>
      <c r="E148" t="s">
        <v>3655</v>
      </c>
      <c r="F148" t="s">
        <v>5277</v>
      </c>
      <c r="G148" t="s">
        <v>5278</v>
      </c>
      <c r="H148" t="s">
        <v>3399</v>
      </c>
      <c r="I148" t="s">
        <v>3000</v>
      </c>
      <c r="J148" t="s">
        <v>3400</v>
      </c>
      <c r="K148" t="s">
        <v>3002</v>
      </c>
      <c r="L148" t="s">
        <v>3003</v>
      </c>
      <c r="M148" t="s">
        <v>5279</v>
      </c>
      <c r="N148" t="s">
        <v>5280</v>
      </c>
      <c r="O148" t="s">
        <v>5281</v>
      </c>
      <c r="P148" t="s">
        <v>5282</v>
      </c>
      <c r="Q148" t="s">
        <v>5283</v>
      </c>
      <c r="R148">
        <v>19388</v>
      </c>
      <c r="S148" t="s">
        <v>3009</v>
      </c>
      <c r="T148">
        <v>4716309878378280</v>
      </c>
      <c r="U148">
        <v>357</v>
      </c>
      <c r="V148">
        <v>43617</v>
      </c>
      <c r="W148" t="s">
        <v>5284</v>
      </c>
      <c r="X148" t="s">
        <v>5285</v>
      </c>
      <c r="Y148" t="s">
        <v>3166</v>
      </c>
      <c r="Z148" t="s">
        <v>5286</v>
      </c>
      <c r="AA148" t="s">
        <v>5287</v>
      </c>
      <c r="AB148" t="s">
        <v>5288</v>
      </c>
      <c r="AC148" t="s">
        <v>5289</v>
      </c>
      <c r="AD148" t="s">
        <v>3153</v>
      </c>
      <c r="AE148">
        <v>189.6</v>
      </c>
      <c r="AF148">
        <v>86.2</v>
      </c>
      <c r="AG148" t="s">
        <v>3041</v>
      </c>
      <c r="AH148">
        <v>155</v>
      </c>
      <c r="AI148" t="s">
        <v>5290</v>
      </c>
      <c r="AJ148">
        <v>49.031691000000002</v>
      </c>
      <c r="AK148">
        <v>-122.628647</v>
      </c>
      <c r="AL148" t="str">
        <f>CONCATENATE(Names!D148," ",Names!F148)</f>
        <v>Norma Robinson</v>
      </c>
    </row>
    <row r="149" spans="1:38" x14ac:dyDescent="0.3">
      <c r="A149">
        <v>860</v>
      </c>
      <c r="B149" t="s">
        <v>2994</v>
      </c>
      <c r="C149" t="s">
        <v>2995</v>
      </c>
      <c r="D149" t="s">
        <v>5291</v>
      </c>
      <c r="E149" t="s">
        <v>2997</v>
      </c>
      <c r="F149" t="s">
        <v>5292</v>
      </c>
      <c r="G149" t="s">
        <v>5293</v>
      </c>
      <c r="H149" t="s">
        <v>48</v>
      </c>
      <c r="I149" t="s">
        <v>3000</v>
      </c>
      <c r="J149" t="s">
        <v>3786</v>
      </c>
      <c r="K149" t="s">
        <v>3002</v>
      </c>
      <c r="L149" t="s">
        <v>3003</v>
      </c>
      <c r="M149" t="s">
        <v>5294</v>
      </c>
      <c r="N149" t="s">
        <v>5295</v>
      </c>
      <c r="O149" t="s">
        <v>5296</v>
      </c>
      <c r="P149" t="s">
        <v>5297</v>
      </c>
      <c r="Q149" t="s">
        <v>5298</v>
      </c>
      <c r="R149">
        <v>13786</v>
      </c>
      <c r="S149" t="s">
        <v>3032</v>
      </c>
      <c r="T149">
        <v>5376053846537080</v>
      </c>
      <c r="U149">
        <v>604</v>
      </c>
      <c r="V149">
        <v>42064</v>
      </c>
      <c r="W149" t="s">
        <v>5299</v>
      </c>
      <c r="X149" t="s">
        <v>5300</v>
      </c>
      <c r="Y149" t="s">
        <v>3012</v>
      </c>
      <c r="Z149" t="s">
        <v>5301</v>
      </c>
      <c r="AA149" t="s">
        <v>5302</v>
      </c>
      <c r="AB149" t="s">
        <v>5303</v>
      </c>
      <c r="AC149" t="s">
        <v>5304</v>
      </c>
      <c r="AD149" t="s">
        <v>3097</v>
      </c>
      <c r="AE149">
        <v>131.1</v>
      </c>
      <c r="AF149">
        <v>59.6</v>
      </c>
      <c r="AG149" t="s">
        <v>3189</v>
      </c>
      <c r="AH149">
        <v>183</v>
      </c>
      <c r="AI149" t="s">
        <v>5305</v>
      </c>
      <c r="AJ149">
        <v>50.287396999999999</v>
      </c>
      <c r="AK149">
        <v>-119.24766200000001</v>
      </c>
      <c r="AL149" t="str">
        <f>CONCATENATE(Names!D149," ",Names!F149)</f>
        <v>Kenneth Powell</v>
      </c>
    </row>
    <row r="150" spans="1:38" x14ac:dyDescent="0.3">
      <c r="A150">
        <v>866</v>
      </c>
      <c r="B150" t="s">
        <v>2994</v>
      </c>
      <c r="C150" t="s">
        <v>2995</v>
      </c>
      <c r="D150" t="s">
        <v>5306</v>
      </c>
      <c r="E150" t="s">
        <v>330</v>
      </c>
      <c r="F150" t="s">
        <v>5307</v>
      </c>
      <c r="G150" t="s">
        <v>5308</v>
      </c>
      <c r="H150" t="s">
        <v>14</v>
      </c>
      <c r="I150" t="s">
        <v>3000</v>
      </c>
      <c r="J150" t="s">
        <v>5309</v>
      </c>
      <c r="K150" t="s">
        <v>3002</v>
      </c>
      <c r="L150" t="s">
        <v>3003</v>
      </c>
      <c r="M150" t="s">
        <v>5310</v>
      </c>
      <c r="N150" t="s">
        <v>5311</v>
      </c>
      <c r="O150" t="s">
        <v>5312</v>
      </c>
      <c r="P150" t="s">
        <v>5313</v>
      </c>
      <c r="Q150" t="s">
        <v>5314</v>
      </c>
      <c r="R150">
        <v>14546</v>
      </c>
      <c r="S150" t="s">
        <v>3009</v>
      </c>
      <c r="T150">
        <v>4539450755008020</v>
      </c>
      <c r="U150">
        <v>521</v>
      </c>
      <c r="V150">
        <v>43497</v>
      </c>
      <c r="W150" t="s">
        <v>5315</v>
      </c>
      <c r="X150" t="s">
        <v>5316</v>
      </c>
      <c r="Y150" t="s">
        <v>3012</v>
      </c>
      <c r="Z150" t="s">
        <v>5317</v>
      </c>
      <c r="AA150" t="s">
        <v>5318</v>
      </c>
      <c r="AB150" t="s">
        <v>5319</v>
      </c>
      <c r="AC150" t="s">
        <v>5320</v>
      </c>
      <c r="AD150" t="s">
        <v>3097</v>
      </c>
      <c r="AE150">
        <v>180</v>
      </c>
      <c r="AF150">
        <v>81.8</v>
      </c>
      <c r="AG150" t="s">
        <v>3171</v>
      </c>
      <c r="AH150">
        <v>173</v>
      </c>
      <c r="AI150" t="s">
        <v>5321</v>
      </c>
      <c r="AJ150">
        <v>52.089404000000002</v>
      </c>
      <c r="AK150">
        <v>-122.183171</v>
      </c>
      <c r="AL150" t="str">
        <f>CONCATENATE(Names!D150," ",Names!F150)</f>
        <v>Carroll Core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J1" workbookViewId="0">
      <selection activeCell="V1" sqref="V1"/>
    </sheetView>
  </sheetViews>
  <sheetFormatPr defaultRowHeight="14.4" x14ac:dyDescent="0.3"/>
  <cols>
    <col min="1" max="1" width="4" bestFit="1" customWidth="1"/>
    <col min="2" max="2" width="15.33203125" bestFit="1" customWidth="1"/>
    <col min="3" max="4" width="15.33203125" customWidth="1"/>
    <col min="5" max="5" width="23.6640625" bestFit="1" customWidth="1"/>
    <col min="6" max="6" width="29.33203125" bestFit="1" customWidth="1"/>
    <col min="8" max="8" width="10.33203125" bestFit="1" customWidth="1"/>
    <col min="11" max="11" width="12.109375" bestFit="1" customWidth="1"/>
    <col min="19" max="19" width="28.33203125" bestFit="1" customWidth="1"/>
    <col min="20" max="20" width="30.664062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55</v>
      </c>
      <c r="D1" t="s">
        <v>5330</v>
      </c>
      <c r="E1" t="s">
        <v>5337</v>
      </c>
      <c r="F1" t="s">
        <v>0</v>
      </c>
      <c r="G1" t="s">
        <v>6</v>
      </c>
      <c r="H1" t="s">
        <v>67</v>
      </c>
      <c r="I1" t="s">
        <v>0</v>
      </c>
      <c r="J1" t="s">
        <v>26</v>
      </c>
      <c r="K1" t="s">
        <v>56</v>
      </c>
      <c r="L1" t="s">
        <v>77</v>
      </c>
      <c r="M1" t="s">
        <v>281</v>
      </c>
      <c r="N1" t="s">
        <v>317</v>
      </c>
      <c r="O1" t="s">
        <v>321</v>
      </c>
      <c r="P1" t="s">
        <v>331</v>
      </c>
      <c r="Q1" t="s">
        <v>332</v>
      </c>
      <c r="R1" t="s">
        <v>2837</v>
      </c>
      <c r="S1" t="s">
        <v>2888</v>
      </c>
      <c r="T1" t="s">
        <v>2920</v>
      </c>
      <c r="U1" t="s">
        <v>2921</v>
      </c>
      <c r="V1" t="s">
        <v>5366</v>
      </c>
    </row>
    <row r="2" spans="1:22" x14ac:dyDescent="0.3">
      <c r="A2">
        <v>1</v>
      </c>
      <c r="B2" t="s">
        <v>9</v>
      </c>
      <c r="C2" t="s">
        <v>7</v>
      </c>
      <c r="D2" t="s">
        <v>5328</v>
      </c>
      <c r="E2" t="s">
        <v>5334</v>
      </c>
      <c r="F2" t="s">
        <v>27</v>
      </c>
      <c r="G2">
        <f ca="1">RANDBETWEEN(10000000,50000000)</f>
        <v>18087712</v>
      </c>
      <c r="H2">
        <f ca="1">RANDBETWEEN(100,1000)</f>
        <v>374</v>
      </c>
      <c r="I2" t="s">
        <v>47</v>
      </c>
      <c r="J2" t="s">
        <v>37</v>
      </c>
      <c r="K2" t="s">
        <v>57</v>
      </c>
      <c r="L2" t="s">
        <v>78</v>
      </c>
      <c r="M2" t="s">
        <v>282</v>
      </c>
      <c r="N2" t="s">
        <v>318</v>
      </c>
      <c r="O2" t="s">
        <v>322</v>
      </c>
      <c r="P2">
        <v>1</v>
      </c>
      <c r="Q2" t="s">
        <v>334</v>
      </c>
      <c r="R2" t="s">
        <v>2838</v>
      </c>
      <c r="S2" t="s">
        <v>2889</v>
      </c>
      <c r="T2" t="s">
        <v>5364</v>
      </c>
      <c r="U2" t="s">
        <v>76</v>
      </c>
      <c r="V2" t="s">
        <v>5367</v>
      </c>
    </row>
    <row r="3" spans="1:22" x14ac:dyDescent="0.3">
      <c r="A3">
        <f>A2+1</f>
        <v>2</v>
      </c>
      <c r="B3" t="s">
        <v>10</v>
      </c>
      <c r="C3" t="s">
        <v>5338</v>
      </c>
      <c r="D3" t="s">
        <v>5331</v>
      </c>
      <c r="E3" t="s">
        <v>5335</v>
      </c>
      <c r="F3" t="s">
        <v>28</v>
      </c>
      <c r="G3">
        <f t="shared" ref="G3:G11" ca="1" si="0">RANDBETWEEN(10000000,50000000)</f>
        <v>30366115</v>
      </c>
      <c r="H3">
        <f t="shared" ref="H3:H11" ca="1" si="1">RANDBETWEEN(100,1000)</f>
        <v>500</v>
      </c>
      <c r="I3" t="s">
        <v>48</v>
      </c>
      <c r="J3" t="s">
        <v>38</v>
      </c>
      <c r="K3" t="s">
        <v>58</v>
      </c>
      <c r="L3" t="s">
        <v>79</v>
      </c>
      <c r="M3" t="s">
        <v>283</v>
      </c>
      <c r="N3" t="s">
        <v>319</v>
      </c>
      <c r="O3" t="s">
        <v>323</v>
      </c>
      <c r="P3">
        <v>10</v>
      </c>
      <c r="Q3" t="s">
        <v>335</v>
      </c>
      <c r="R3" t="s">
        <v>2839</v>
      </c>
      <c r="S3" t="s">
        <v>2890</v>
      </c>
      <c r="T3" t="s">
        <v>5363</v>
      </c>
      <c r="U3" t="s">
        <v>5365</v>
      </c>
      <c r="V3" t="s">
        <v>5368</v>
      </c>
    </row>
    <row r="4" spans="1:22" x14ac:dyDescent="0.3">
      <c r="A4">
        <f t="shared" ref="A4:A67" si="2">A3+1</f>
        <v>3</v>
      </c>
      <c r="B4" t="s">
        <v>11</v>
      </c>
      <c r="C4" t="s">
        <v>5339</v>
      </c>
      <c r="D4" t="s">
        <v>5333</v>
      </c>
      <c r="E4" t="s">
        <v>5336</v>
      </c>
      <c r="F4" t="s">
        <v>29</v>
      </c>
      <c r="G4">
        <f t="shared" ca="1" si="0"/>
        <v>49238793</v>
      </c>
      <c r="H4">
        <f t="shared" ca="1" si="1"/>
        <v>201</v>
      </c>
      <c r="I4" t="s">
        <v>49</v>
      </c>
      <c r="J4" t="s">
        <v>39</v>
      </c>
      <c r="K4" t="s">
        <v>59</v>
      </c>
      <c r="L4" t="s">
        <v>80</v>
      </c>
      <c r="M4" t="s">
        <v>284</v>
      </c>
      <c r="N4" t="s">
        <v>250</v>
      </c>
      <c r="O4" t="s">
        <v>324</v>
      </c>
      <c r="P4">
        <v>11</v>
      </c>
      <c r="Q4" t="s">
        <v>336</v>
      </c>
      <c r="R4" t="s">
        <v>2840</v>
      </c>
      <c r="S4" t="s">
        <v>2891</v>
      </c>
      <c r="T4" t="s">
        <v>5362</v>
      </c>
      <c r="U4" t="s">
        <v>76</v>
      </c>
      <c r="V4" t="s">
        <v>5369</v>
      </c>
    </row>
    <row r="5" spans="1:22" x14ac:dyDescent="0.3">
      <c r="A5">
        <f t="shared" si="2"/>
        <v>4</v>
      </c>
      <c r="B5" t="s">
        <v>12</v>
      </c>
      <c r="C5" t="s">
        <v>5332</v>
      </c>
      <c r="F5" t="s">
        <v>30</v>
      </c>
      <c r="G5">
        <f t="shared" ca="1" si="0"/>
        <v>40030049</v>
      </c>
      <c r="H5">
        <f t="shared" ca="1" si="1"/>
        <v>187</v>
      </c>
      <c r="I5" t="s">
        <v>50</v>
      </c>
      <c r="J5" t="s">
        <v>40</v>
      </c>
      <c r="K5" t="s">
        <v>60</v>
      </c>
      <c r="L5" t="s">
        <v>81</v>
      </c>
      <c r="M5" t="s">
        <v>285</v>
      </c>
      <c r="N5" t="s">
        <v>320</v>
      </c>
      <c r="O5" t="s">
        <v>325</v>
      </c>
      <c r="P5">
        <v>12</v>
      </c>
      <c r="Q5" t="s">
        <v>337</v>
      </c>
      <c r="R5" t="s">
        <v>2841</v>
      </c>
      <c r="S5" t="s">
        <v>2892</v>
      </c>
      <c r="V5" t="s">
        <v>5370</v>
      </c>
    </row>
    <row r="6" spans="1:22" x14ac:dyDescent="0.3">
      <c r="A6">
        <f t="shared" si="2"/>
        <v>5</v>
      </c>
      <c r="B6" t="s">
        <v>13</v>
      </c>
      <c r="C6" t="s">
        <v>5340</v>
      </c>
      <c r="F6" t="s">
        <v>31</v>
      </c>
      <c r="G6">
        <f t="shared" ca="1" si="0"/>
        <v>40561399</v>
      </c>
      <c r="H6">
        <f t="shared" ca="1" si="1"/>
        <v>909</v>
      </c>
      <c r="I6" t="s">
        <v>19</v>
      </c>
      <c r="J6" t="s">
        <v>41</v>
      </c>
      <c r="K6" t="s">
        <v>61</v>
      </c>
      <c r="L6">
        <v>121</v>
      </c>
      <c r="M6" t="s">
        <v>98</v>
      </c>
      <c r="N6" t="s">
        <v>273</v>
      </c>
      <c r="O6" t="s">
        <v>326</v>
      </c>
      <c r="P6">
        <v>13</v>
      </c>
      <c r="Q6" t="s">
        <v>338</v>
      </c>
      <c r="R6" t="s">
        <v>2842</v>
      </c>
      <c r="S6" t="s">
        <v>2893</v>
      </c>
      <c r="V6" t="s">
        <v>5371</v>
      </c>
    </row>
    <row r="7" spans="1:22" x14ac:dyDescent="0.3">
      <c r="A7">
        <f t="shared" si="2"/>
        <v>6</v>
      </c>
      <c r="B7" t="s">
        <v>14</v>
      </c>
      <c r="C7" t="s">
        <v>76</v>
      </c>
      <c r="F7" t="s">
        <v>32</v>
      </c>
      <c r="G7">
        <f t="shared" ca="1" si="0"/>
        <v>38892147</v>
      </c>
      <c r="H7">
        <f t="shared" ca="1" si="1"/>
        <v>744</v>
      </c>
      <c r="I7" t="s">
        <v>51</v>
      </c>
      <c r="J7" t="s">
        <v>42</v>
      </c>
      <c r="K7" t="s">
        <v>62</v>
      </c>
      <c r="L7">
        <v>2145</v>
      </c>
      <c r="M7" t="s">
        <v>286</v>
      </c>
      <c r="O7" t="s">
        <v>327</v>
      </c>
      <c r="P7">
        <v>14</v>
      </c>
      <c r="Q7" t="s">
        <v>339</v>
      </c>
      <c r="R7" t="s">
        <v>2843</v>
      </c>
      <c r="S7" t="s">
        <v>2894</v>
      </c>
      <c r="V7" t="s">
        <v>5324</v>
      </c>
    </row>
    <row r="8" spans="1:22" x14ac:dyDescent="0.3">
      <c r="A8">
        <f t="shared" si="2"/>
        <v>7</v>
      </c>
      <c r="B8" t="s">
        <v>15</v>
      </c>
      <c r="F8" t="s">
        <v>33</v>
      </c>
      <c r="G8">
        <f t="shared" ca="1" si="0"/>
        <v>17926441</v>
      </c>
      <c r="H8">
        <f t="shared" ca="1" si="1"/>
        <v>195</v>
      </c>
      <c r="I8" t="s">
        <v>52</v>
      </c>
      <c r="J8" t="s">
        <v>43</v>
      </c>
      <c r="K8" t="s">
        <v>63</v>
      </c>
      <c r="L8" t="s">
        <v>82</v>
      </c>
      <c r="M8" t="s">
        <v>112</v>
      </c>
      <c r="O8" t="s">
        <v>328</v>
      </c>
      <c r="P8">
        <v>15</v>
      </c>
      <c r="Q8" t="s">
        <v>340</v>
      </c>
      <c r="R8" t="s">
        <v>2844</v>
      </c>
      <c r="S8" t="s">
        <v>2895</v>
      </c>
    </row>
    <row r="9" spans="1:22" x14ac:dyDescent="0.3">
      <c r="A9">
        <f t="shared" si="2"/>
        <v>8</v>
      </c>
      <c r="B9" t="s">
        <v>16</v>
      </c>
      <c r="F9" t="s">
        <v>34</v>
      </c>
      <c r="G9">
        <f t="shared" ca="1" si="0"/>
        <v>35286514</v>
      </c>
      <c r="H9">
        <f t="shared" ca="1" si="1"/>
        <v>408</v>
      </c>
      <c r="I9" t="s">
        <v>2</v>
      </c>
      <c r="J9" t="s">
        <v>44</v>
      </c>
      <c r="K9" t="s">
        <v>64</v>
      </c>
      <c r="L9" t="s">
        <v>83</v>
      </c>
      <c r="M9" t="s">
        <v>287</v>
      </c>
      <c r="O9" t="s">
        <v>329</v>
      </c>
      <c r="P9">
        <v>16</v>
      </c>
      <c r="Q9" t="s">
        <v>341</v>
      </c>
      <c r="R9" t="s">
        <v>2845</v>
      </c>
      <c r="S9" t="s">
        <v>2896</v>
      </c>
    </row>
    <row r="10" spans="1:22" x14ac:dyDescent="0.3">
      <c r="A10">
        <f t="shared" si="2"/>
        <v>9</v>
      </c>
      <c r="B10" t="s">
        <v>17</v>
      </c>
      <c r="F10" t="s">
        <v>35</v>
      </c>
      <c r="G10">
        <f t="shared" ca="1" si="0"/>
        <v>27553367</v>
      </c>
      <c r="H10">
        <f t="shared" ca="1" si="1"/>
        <v>330</v>
      </c>
      <c r="I10" t="s">
        <v>5</v>
      </c>
      <c r="J10" t="s">
        <v>45</v>
      </c>
      <c r="K10" t="s">
        <v>65</v>
      </c>
      <c r="L10">
        <v>300</v>
      </c>
      <c r="M10" t="s">
        <v>113</v>
      </c>
      <c r="O10" t="s">
        <v>330</v>
      </c>
      <c r="P10">
        <v>17</v>
      </c>
      <c r="Q10" t="s">
        <v>342</v>
      </c>
      <c r="R10" t="s">
        <v>2846</v>
      </c>
      <c r="S10" t="s">
        <v>2897</v>
      </c>
    </row>
    <row r="11" spans="1:22" x14ac:dyDescent="0.3">
      <c r="A11">
        <f t="shared" si="2"/>
        <v>10</v>
      </c>
      <c r="B11" t="s">
        <v>2</v>
      </c>
      <c r="F11" t="s">
        <v>36</v>
      </c>
      <c r="G11">
        <f t="shared" ca="1" si="0"/>
        <v>30742993</v>
      </c>
      <c r="H11">
        <f t="shared" ca="1" si="1"/>
        <v>624</v>
      </c>
      <c r="I11" t="s">
        <v>53</v>
      </c>
      <c r="J11" t="s">
        <v>46</v>
      </c>
      <c r="K11" t="s">
        <v>66</v>
      </c>
      <c r="L11" t="s">
        <v>84</v>
      </c>
      <c r="M11" t="s">
        <v>114</v>
      </c>
      <c r="P11">
        <v>18</v>
      </c>
      <c r="Q11" t="s">
        <v>343</v>
      </c>
      <c r="R11" t="s">
        <v>2847</v>
      </c>
      <c r="S11" t="s">
        <v>2898</v>
      </c>
    </row>
    <row r="12" spans="1:22" x14ac:dyDescent="0.3">
      <c r="A12">
        <f t="shared" si="2"/>
        <v>11</v>
      </c>
      <c r="B12" t="s">
        <v>18</v>
      </c>
      <c r="L12">
        <v>3500</v>
      </c>
      <c r="M12" t="s">
        <v>124</v>
      </c>
      <c r="P12">
        <v>19</v>
      </c>
      <c r="Q12" t="s">
        <v>344</v>
      </c>
      <c r="R12" t="s">
        <v>2848</v>
      </c>
      <c r="S12" t="s">
        <v>2899</v>
      </c>
    </row>
    <row r="13" spans="1:22" x14ac:dyDescent="0.3">
      <c r="A13">
        <f t="shared" si="2"/>
        <v>12</v>
      </c>
      <c r="B13" t="s">
        <v>19</v>
      </c>
      <c r="L13">
        <v>3800</v>
      </c>
      <c r="M13" t="s">
        <v>288</v>
      </c>
      <c r="P13">
        <v>20</v>
      </c>
      <c r="Q13" t="s">
        <v>345</v>
      </c>
      <c r="R13" t="s">
        <v>2849</v>
      </c>
      <c r="S13" t="s">
        <v>2900</v>
      </c>
    </row>
    <row r="14" spans="1:22" x14ac:dyDescent="0.3">
      <c r="A14">
        <f t="shared" si="2"/>
        <v>13</v>
      </c>
      <c r="B14" t="s">
        <v>20</v>
      </c>
      <c r="L14">
        <v>450</v>
      </c>
      <c r="M14" t="s">
        <v>125</v>
      </c>
      <c r="P14">
        <v>201</v>
      </c>
      <c r="Q14" t="s">
        <v>346</v>
      </c>
      <c r="R14" t="s">
        <v>2850</v>
      </c>
      <c r="S14" t="s">
        <v>2901</v>
      </c>
    </row>
    <row r="15" spans="1:22" x14ac:dyDescent="0.3">
      <c r="A15">
        <f t="shared" si="2"/>
        <v>14</v>
      </c>
      <c r="B15" t="s">
        <v>21</v>
      </c>
      <c r="L15">
        <v>4500</v>
      </c>
      <c r="M15" t="s">
        <v>289</v>
      </c>
      <c r="P15">
        <v>21</v>
      </c>
      <c r="Q15" t="s">
        <v>347</v>
      </c>
      <c r="R15" t="s">
        <v>2851</v>
      </c>
      <c r="S15" t="s">
        <v>2902</v>
      </c>
    </row>
    <row r="16" spans="1:22" x14ac:dyDescent="0.3">
      <c r="A16">
        <f t="shared" si="2"/>
        <v>15</v>
      </c>
      <c r="B16" t="s">
        <v>22</v>
      </c>
      <c r="L16" t="s">
        <v>85</v>
      </c>
      <c r="M16" t="s">
        <v>141</v>
      </c>
      <c r="P16">
        <v>22</v>
      </c>
      <c r="Q16" t="s">
        <v>348</v>
      </c>
      <c r="R16" t="s">
        <v>2852</v>
      </c>
      <c r="S16" t="s">
        <v>2903</v>
      </c>
    </row>
    <row r="17" spans="1:19" x14ac:dyDescent="0.3">
      <c r="A17">
        <f t="shared" si="2"/>
        <v>16</v>
      </c>
      <c r="B17" t="s">
        <v>23</v>
      </c>
      <c r="L17" t="s">
        <v>86</v>
      </c>
      <c r="M17" t="s">
        <v>150</v>
      </c>
      <c r="P17">
        <v>23</v>
      </c>
      <c r="Q17" t="s">
        <v>349</v>
      </c>
      <c r="R17" t="s">
        <v>2853</v>
      </c>
      <c r="S17" t="s">
        <v>2904</v>
      </c>
    </row>
    <row r="18" spans="1:19" x14ac:dyDescent="0.3">
      <c r="A18">
        <f t="shared" si="2"/>
        <v>17</v>
      </c>
      <c r="B18" t="s">
        <v>24</v>
      </c>
      <c r="L18" t="s">
        <v>87</v>
      </c>
      <c r="M18" t="s">
        <v>153</v>
      </c>
      <c r="P18">
        <v>24</v>
      </c>
      <c r="Q18" t="s">
        <v>350</v>
      </c>
      <c r="R18" t="s">
        <v>2854</v>
      </c>
      <c r="S18" t="s">
        <v>2905</v>
      </c>
    </row>
    <row r="19" spans="1:19" x14ac:dyDescent="0.3">
      <c r="A19">
        <f t="shared" si="2"/>
        <v>18</v>
      </c>
      <c r="B19" t="s">
        <v>25</v>
      </c>
      <c r="L19" t="s">
        <v>88</v>
      </c>
      <c r="M19" t="s">
        <v>290</v>
      </c>
      <c r="P19">
        <v>25</v>
      </c>
      <c r="Q19" t="s">
        <v>349</v>
      </c>
      <c r="R19" t="s">
        <v>2855</v>
      </c>
      <c r="S19" t="s">
        <v>2906</v>
      </c>
    </row>
    <row r="20" spans="1:19" x14ac:dyDescent="0.3">
      <c r="A20">
        <f t="shared" si="2"/>
        <v>19</v>
      </c>
      <c r="L20" t="s">
        <v>89</v>
      </c>
      <c r="M20" t="s">
        <v>154</v>
      </c>
      <c r="P20">
        <v>26</v>
      </c>
      <c r="Q20" t="s">
        <v>351</v>
      </c>
      <c r="R20" t="s">
        <v>2856</v>
      </c>
      <c r="S20" t="s">
        <v>2907</v>
      </c>
    </row>
    <row r="21" spans="1:19" x14ac:dyDescent="0.3">
      <c r="A21">
        <f t="shared" si="2"/>
        <v>20</v>
      </c>
      <c r="L21" t="s">
        <v>90</v>
      </c>
      <c r="M21" t="s">
        <v>291</v>
      </c>
      <c r="P21">
        <v>27</v>
      </c>
      <c r="Q21" t="s">
        <v>352</v>
      </c>
      <c r="R21" t="s">
        <v>2857</v>
      </c>
      <c r="S21" t="s">
        <v>2908</v>
      </c>
    </row>
    <row r="22" spans="1:19" x14ac:dyDescent="0.3">
      <c r="A22">
        <f t="shared" si="2"/>
        <v>21</v>
      </c>
      <c r="L22" t="s">
        <v>91</v>
      </c>
      <c r="M22" t="s">
        <v>292</v>
      </c>
      <c r="P22">
        <v>28</v>
      </c>
      <c r="Q22" t="s">
        <v>353</v>
      </c>
      <c r="R22" t="s">
        <v>2858</v>
      </c>
      <c r="S22" t="s">
        <v>2909</v>
      </c>
    </row>
    <row r="23" spans="1:19" x14ac:dyDescent="0.3">
      <c r="A23">
        <f t="shared" si="2"/>
        <v>22</v>
      </c>
      <c r="L23" t="s">
        <v>92</v>
      </c>
      <c r="M23" t="s">
        <v>155</v>
      </c>
      <c r="P23">
        <v>29</v>
      </c>
      <c r="Q23" t="s">
        <v>354</v>
      </c>
      <c r="R23" t="s">
        <v>2859</v>
      </c>
      <c r="S23" t="s">
        <v>2910</v>
      </c>
    </row>
    <row r="24" spans="1:19" x14ac:dyDescent="0.3">
      <c r="A24">
        <f t="shared" si="2"/>
        <v>23</v>
      </c>
      <c r="L24" t="s">
        <v>93</v>
      </c>
      <c r="M24" t="s">
        <v>171</v>
      </c>
      <c r="P24">
        <v>3</v>
      </c>
      <c r="Q24" t="s">
        <v>355</v>
      </c>
      <c r="R24" t="s">
        <v>2860</v>
      </c>
      <c r="S24" t="s">
        <v>2911</v>
      </c>
    </row>
    <row r="25" spans="1:19" x14ac:dyDescent="0.3">
      <c r="A25">
        <f t="shared" si="2"/>
        <v>24</v>
      </c>
      <c r="L25" t="s">
        <v>94</v>
      </c>
      <c r="M25" t="s">
        <v>178</v>
      </c>
      <c r="P25">
        <v>30</v>
      </c>
      <c r="Q25" t="s">
        <v>356</v>
      </c>
      <c r="R25" t="s">
        <v>2861</v>
      </c>
      <c r="S25" t="s">
        <v>2912</v>
      </c>
    </row>
    <row r="26" spans="1:19" x14ac:dyDescent="0.3">
      <c r="A26">
        <f t="shared" si="2"/>
        <v>25</v>
      </c>
      <c r="L26" t="s">
        <v>95</v>
      </c>
      <c r="M26" t="s">
        <v>193</v>
      </c>
      <c r="P26">
        <v>31</v>
      </c>
      <c r="Q26" t="s">
        <v>357</v>
      </c>
      <c r="R26" t="s">
        <v>2862</v>
      </c>
      <c r="S26" t="s">
        <v>2913</v>
      </c>
    </row>
    <row r="27" spans="1:19" x14ac:dyDescent="0.3">
      <c r="A27">
        <f t="shared" si="2"/>
        <v>26</v>
      </c>
      <c r="L27" t="s">
        <v>96</v>
      </c>
      <c r="M27" t="s">
        <v>293</v>
      </c>
      <c r="P27">
        <v>32</v>
      </c>
      <c r="Q27" t="s">
        <v>358</v>
      </c>
      <c r="R27" t="s">
        <v>2863</v>
      </c>
      <c r="S27" t="s">
        <v>2914</v>
      </c>
    </row>
    <row r="28" spans="1:19" x14ac:dyDescent="0.3">
      <c r="A28">
        <f t="shared" si="2"/>
        <v>27</v>
      </c>
      <c r="L28" t="s">
        <v>97</v>
      </c>
      <c r="M28" t="s">
        <v>195</v>
      </c>
      <c r="P28">
        <v>33</v>
      </c>
      <c r="Q28" t="s">
        <v>359</v>
      </c>
      <c r="R28" t="s">
        <v>2864</v>
      </c>
      <c r="S28" t="s">
        <v>2915</v>
      </c>
    </row>
    <row r="29" spans="1:19" x14ac:dyDescent="0.3">
      <c r="A29">
        <f t="shared" si="2"/>
        <v>28</v>
      </c>
      <c r="L29" t="s">
        <v>98</v>
      </c>
      <c r="M29" t="s">
        <v>198</v>
      </c>
      <c r="P29">
        <v>34</v>
      </c>
      <c r="Q29" t="s">
        <v>360</v>
      </c>
      <c r="R29" t="s">
        <v>2865</v>
      </c>
      <c r="S29" t="s">
        <v>2916</v>
      </c>
    </row>
    <row r="30" spans="1:19" x14ac:dyDescent="0.3">
      <c r="A30">
        <f t="shared" si="2"/>
        <v>29</v>
      </c>
      <c r="L30" t="s">
        <v>99</v>
      </c>
      <c r="M30" t="s">
        <v>200</v>
      </c>
      <c r="P30">
        <v>35</v>
      </c>
      <c r="Q30" t="s">
        <v>361</v>
      </c>
      <c r="R30" t="s">
        <v>2866</v>
      </c>
      <c r="S30" t="s">
        <v>2917</v>
      </c>
    </row>
    <row r="31" spans="1:19" x14ac:dyDescent="0.3">
      <c r="A31">
        <f t="shared" si="2"/>
        <v>30</v>
      </c>
      <c r="L31" t="s">
        <v>100</v>
      </c>
      <c r="M31" t="s">
        <v>294</v>
      </c>
      <c r="P31">
        <v>36</v>
      </c>
      <c r="Q31" t="s">
        <v>362</v>
      </c>
      <c r="R31" t="s">
        <v>2867</v>
      </c>
      <c r="S31" t="s">
        <v>2918</v>
      </c>
    </row>
    <row r="32" spans="1:19" x14ac:dyDescent="0.3">
      <c r="A32">
        <f t="shared" si="2"/>
        <v>31</v>
      </c>
      <c r="L32" t="s">
        <v>101</v>
      </c>
      <c r="M32" t="s">
        <v>295</v>
      </c>
      <c r="P32">
        <v>37</v>
      </c>
      <c r="Q32" t="s">
        <v>363</v>
      </c>
      <c r="R32" t="s">
        <v>2868</v>
      </c>
      <c r="S32" t="s">
        <v>2919</v>
      </c>
    </row>
    <row r="33" spans="1:18" x14ac:dyDescent="0.3">
      <c r="A33">
        <f t="shared" si="2"/>
        <v>32</v>
      </c>
      <c r="L33" t="s">
        <v>102</v>
      </c>
      <c r="M33" t="s">
        <v>296</v>
      </c>
      <c r="P33">
        <v>38</v>
      </c>
      <c r="Q33" t="s">
        <v>364</v>
      </c>
      <c r="R33" t="s">
        <v>2869</v>
      </c>
    </row>
    <row r="34" spans="1:18" x14ac:dyDescent="0.3">
      <c r="A34">
        <f t="shared" si="2"/>
        <v>33</v>
      </c>
      <c r="L34" t="s">
        <v>103</v>
      </c>
      <c r="M34" t="s">
        <v>297</v>
      </c>
      <c r="P34">
        <v>39</v>
      </c>
      <c r="Q34" t="s">
        <v>365</v>
      </c>
      <c r="R34" t="s">
        <v>2870</v>
      </c>
    </row>
    <row r="35" spans="1:18" x14ac:dyDescent="0.3">
      <c r="A35">
        <f t="shared" si="2"/>
        <v>34</v>
      </c>
      <c r="L35" t="s">
        <v>104</v>
      </c>
      <c r="M35" t="s">
        <v>298</v>
      </c>
      <c r="P35">
        <v>40</v>
      </c>
      <c r="Q35" t="s">
        <v>366</v>
      </c>
      <c r="R35" t="s">
        <v>2871</v>
      </c>
    </row>
    <row r="36" spans="1:18" x14ac:dyDescent="0.3">
      <c r="A36">
        <f t="shared" si="2"/>
        <v>35</v>
      </c>
      <c r="L36" t="s">
        <v>105</v>
      </c>
      <c r="M36" t="s">
        <v>201</v>
      </c>
      <c r="P36">
        <v>41</v>
      </c>
      <c r="Q36" t="s">
        <v>360</v>
      </c>
      <c r="R36" t="s">
        <v>2872</v>
      </c>
    </row>
    <row r="37" spans="1:18" x14ac:dyDescent="0.3">
      <c r="A37">
        <f t="shared" si="2"/>
        <v>36</v>
      </c>
      <c r="L37" t="s">
        <v>106</v>
      </c>
      <c r="M37" t="s">
        <v>299</v>
      </c>
      <c r="P37">
        <v>42</v>
      </c>
      <c r="Q37" t="s">
        <v>367</v>
      </c>
      <c r="R37" t="s">
        <v>2873</v>
      </c>
    </row>
    <row r="38" spans="1:18" x14ac:dyDescent="0.3">
      <c r="A38">
        <f t="shared" si="2"/>
        <v>37</v>
      </c>
      <c r="L38" t="s">
        <v>107</v>
      </c>
      <c r="M38" t="s">
        <v>300</v>
      </c>
      <c r="P38">
        <v>44</v>
      </c>
      <c r="Q38" t="s">
        <v>368</v>
      </c>
      <c r="R38" t="s">
        <v>2874</v>
      </c>
    </row>
    <row r="39" spans="1:18" x14ac:dyDescent="0.3">
      <c r="A39">
        <f t="shared" si="2"/>
        <v>38</v>
      </c>
      <c r="L39" t="s">
        <v>108</v>
      </c>
      <c r="M39" t="s">
        <v>301</v>
      </c>
      <c r="P39">
        <v>45</v>
      </c>
      <c r="Q39" t="s">
        <v>369</v>
      </c>
      <c r="R39" t="s">
        <v>2875</v>
      </c>
    </row>
    <row r="40" spans="1:18" x14ac:dyDescent="0.3">
      <c r="A40">
        <f t="shared" si="2"/>
        <v>39</v>
      </c>
      <c r="L40" t="s">
        <v>109</v>
      </c>
      <c r="M40" t="s">
        <v>302</v>
      </c>
      <c r="P40">
        <v>46</v>
      </c>
      <c r="Q40" t="s">
        <v>367</v>
      </c>
      <c r="R40" t="s">
        <v>2876</v>
      </c>
    </row>
    <row r="41" spans="1:18" x14ac:dyDescent="0.3">
      <c r="A41">
        <f t="shared" si="2"/>
        <v>40</v>
      </c>
      <c r="L41" t="s">
        <v>110</v>
      </c>
      <c r="M41" t="s">
        <v>205</v>
      </c>
      <c r="P41">
        <v>47</v>
      </c>
      <c r="Q41" t="s">
        <v>370</v>
      </c>
      <c r="R41" t="s">
        <v>2877</v>
      </c>
    </row>
    <row r="42" spans="1:18" x14ac:dyDescent="0.3">
      <c r="A42">
        <f t="shared" si="2"/>
        <v>41</v>
      </c>
      <c r="L42" t="s">
        <v>111</v>
      </c>
      <c r="M42" t="s">
        <v>303</v>
      </c>
      <c r="P42">
        <v>48</v>
      </c>
      <c r="Q42" t="s">
        <v>371</v>
      </c>
      <c r="R42" t="s">
        <v>2878</v>
      </c>
    </row>
    <row r="43" spans="1:18" x14ac:dyDescent="0.3">
      <c r="A43">
        <f t="shared" si="2"/>
        <v>42</v>
      </c>
      <c r="L43" t="s">
        <v>112</v>
      </c>
      <c r="M43" t="s">
        <v>304</v>
      </c>
      <c r="P43">
        <v>49</v>
      </c>
      <c r="Q43" t="s">
        <v>372</v>
      </c>
      <c r="R43" t="s">
        <v>2879</v>
      </c>
    </row>
    <row r="44" spans="1:18" x14ac:dyDescent="0.3">
      <c r="A44">
        <f t="shared" si="2"/>
        <v>43</v>
      </c>
      <c r="L44" t="s">
        <v>113</v>
      </c>
      <c r="M44" t="s">
        <v>305</v>
      </c>
      <c r="P44">
        <v>5</v>
      </c>
      <c r="Q44" t="s">
        <v>373</v>
      </c>
      <c r="R44" t="s">
        <v>2880</v>
      </c>
    </row>
    <row r="45" spans="1:18" x14ac:dyDescent="0.3">
      <c r="A45">
        <f t="shared" si="2"/>
        <v>44</v>
      </c>
      <c r="L45" t="s">
        <v>114</v>
      </c>
      <c r="M45" t="s">
        <v>306</v>
      </c>
      <c r="P45">
        <v>50</v>
      </c>
      <c r="Q45" t="s">
        <v>374</v>
      </c>
      <c r="R45" t="s">
        <v>2881</v>
      </c>
    </row>
    <row r="46" spans="1:18" x14ac:dyDescent="0.3">
      <c r="A46">
        <f t="shared" si="2"/>
        <v>45</v>
      </c>
      <c r="L46" t="s">
        <v>115</v>
      </c>
      <c r="M46" t="s">
        <v>213</v>
      </c>
      <c r="P46">
        <v>51</v>
      </c>
      <c r="Q46" t="s">
        <v>375</v>
      </c>
      <c r="R46" t="s">
        <v>2882</v>
      </c>
    </row>
    <row r="47" spans="1:18" x14ac:dyDescent="0.3">
      <c r="A47">
        <f t="shared" si="2"/>
        <v>46</v>
      </c>
      <c r="L47" t="s">
        <v>116</v>
      </c>
      <c r="M47" t="s">
        <v>307</v>
      </c>
      <c r="P47">
        <v>52</v>
      </c>
      <c r="Q47" t="s">
        <v>376</v>
      </c>
      <c r="R47" t="s">
        <v>2883</v>
      </c>
    </row>
    <row r="48" spans="1:18" x14ac:dyDescent="0.3">
      <c r="A48">
        <f t="shared" si="2"/>
        <v>47</v>
      </c>
      <c r="L48" t="s">
        <v>117</v>
      </c>
      <c r="M48" t="s">
        <v>308</v>
      </c>
      <c r="P48">
        <v>53</v>
      </c>
      <c r="Q48" t="s">
        <v>377</v>
      </c>
      <c r="R48" t="s">
        <v>2884</v>
      </c>
    </row>
    <row r="49" spans="1:18" x14ac:dyDescent="0.3">
      <c r="A49">
        <f t="shared" si="2"/>
        <v>48</v>
      </c>
      <c r="L49" t="s">
        <v>118</v>
      </c>
      <c r="M49" t="s">
        <v>309</v>
      </c>
      <c r="P49">
        <v>54</v>
      </c>
      <c r="Q49" t="s">
        <v>378</v>
      </c>
      <c r="R49" t="s">
        <v>2885</v>
      </c>
    </row>
    <row r="50" spans="1:18" x14ac:dyDescent="0.3">
      <c r="A50">
        <f t="shared" si="2"/>
        <v>49</v>
      </c>
      <c r="L50" t="s">
        <v>119</v>
      </c>
      <c r="M50" t="s">
        <v>310</v>
      </c>
      <c r="P50">
        <v>55</v>
      </c>
      <c r="Q50" t="s">
        <v>379</v>
      </c>
      <c r="R50" t="s">
        <v>2886</v>
      </c>
    </row>
    <row r="51" spans="1:18" x14ac:dyDescent="0.3">
      <c r="A51">
        <f t="shared" si="2"/>
        <v>50</v>
      </c>
      <c r="L51" t="s">
        <v>120</v>
      </c>
      <c r="M51" t="s">
        <v>226</v>
      </c>
      <c r="P51">
        <v>56</v>
      </c>
      <c r="Q51" t="s">
        <v>380</v>
      </c>
      <c r="R51" t="s">
        <v>2887</v>
      </c>
    </row>
    <row r="52" spans="1:18" x14ac:dyDescent="0.3">
      <c r="A52">
        <f t="shared" si="2"/>
        <v>51</v>
      </c>
      <c r="L52" t="s">
        <v>121</v>
      </c>
      <c r="M52" t="s">
        <v>261</v>
      </c>
      <c r="P52">
        <v>57</v>
      </c>
      <c r="Q52" t="s">
        <v>381</v>
      </c>
    </row>
    <row r="53" spans="1:18" x14ac:dyDescent="0.3">
      <c r="A53">
        <f t="shared" si="2"/>
        <v>52</v>
      </c>
      <c r="L53" t="s">
        <v>122</v>
      </c>
      <c r="M53" t="s">
        <v>263</v>
      </c>
      <c r="P53">
        <v>58</v>
      </c>
      <c r="Q53" t="s">
        <v>382</v>
      </c>
    </row>
    <row r="54" spans="1:18" x14ac:dyDescent="0.3">
      <c r="A54">
        <f t="shared" si="2"/>
        <v>53</v>
      </c>
      <c r="L54" t="s">
        <v>123</v>
      </c>
      <c r="M54" t="s">
        <v>311</v>
      </c>
      <c r="P54">
        <v>59</v>
      </c>
      <c r="Q54" t="s">
        <v>383</v>
      </c>
    </row>
    <row r="55" spans="1:18" x14ac:dyDescent="0.3">
      <c r="A55">
        <f t="shared" si="2"/>
        <v>54</v>
      </c>
      <c r="L55" t="s">
        <v>124</v>
      </c>
      <c r="M55" t="s">
        <v>312</v>
      </c>
      <c r="P55">
        <v>6</v>
      </c>
      <c r="Q55" t="s">
        <v>384</v>
      </c>
    </row>
    <row r="56" spans="1:18" x14ac:dyDescent="0.3">
      <c r="A56">
        <f t="shared" si="2"/>
        <v>55</v>
      </c>
      <c r="L56" t="s">
        <v>125</v>
      </c>
      <c r="M56" t="s">
        <v>269</v>
      </c>
      <c r="P56">
        <v>60</v>
      </c>
      <c r="Q56" t="s">
        <v>385</v>
      </c>
    </row>
    <row r="57" spans="1:18" x14ac:dyDescent="0.3">
      <c r="A57">
        <f t="shared" si="2"/>
        <v>56</v>
      </c>
      <c r="L57" t="s">
        <v>126</v>
      </c>
      <c r="M57" t="s">
        <v>313</v>
      </c>
      <c r="P57">
        <v>61</v>
      </c>
      <c r="Q57" t="s">
        <v>386</v>
      </c>
    </row>
    <row r="58" spans="1:18" x14ac:dyDescent="0.3">
      <c r="A58">
        <f t="shared" si="2"/>
        <v>57</v>
      </c>
      <c r="L58" t="s">
        <v>127</v>
      </c>
      <c r="M58" t="s">
        <v>314</v>
      </c>
      <c r="P58">
        <v>62</v>
      </c>
      <c r="Q58" t="s">
        <v>387</v>
      </c>
    </row>
    <row r="59" spans="1:18" x14ac:dyDescent="0.3">
      <c r="A59">
        <f t="shared" si="2"/>
        <v>58</v>
      </c>
      <c r="L59" t="s">
        <v>128</v>
      </c>
      <c r="M59" t="s">
        <v>315</v>
      </c>
      <c r="P59">
        <v>63</v>
      </c>
      <c r="Q59" t="s">
        <v>388</v>
      </c>
    </row>
    <row r="60" spans="1:18" x14ac:dyDescent="0.3">
      <c r="A60">
        <f t="shared" si="2"/>
        <v>59</v>
      </c>
      <c r="L60" t="s">
        <v>129</v>
      </c>
      <c r="M60" t="s">
        <v>316</v>
      </c>
      <c r="P60">
        <v>64</v>
      </c>
      <c r="Q60" t="s">
        <v>389</v>
      </c>
    </row>
    <row r="61" spans="1:18" x14ac:dyDescent="0.3">
      <c r="A61">
        <f t="shared" si="2"/>
        <v>60</v>
      </c>
      <c r="L61" t="s">
        <v>130</v>
      </c>
      <c r="P61">
        <v>65</v>
      </c>
      <c r="Q61" t="s">
        <v>390</v>
      </c>
    </row>
    <row r="62" spans="1:18" x14ac:dyDescent="0.3">
      <c r="A62">
        <f t="shared" si="2"/>
        <v>61</v>
      </c>
      <c r="L62" t="s">
        <v>131</v>
      </c>
      <c r="P62">
        <v>66</v>
      </c>
      <c r="Q62" t="s">
        <v>391</v>
      </c>
    </row>
    <row r="63" spans="1:18" x14ac:dyDescent="0.3">
      <c r="A63">
        <f t="shared" si="2"/>
        <v>62</v>
      </c>
      <c r="L63" t="s">
        <v>132</v>
      </c>
      <c r="P63">
        <v>67</v>
      </c>
      <c r="Q63" t="s">
        <v>392</v>
      </c>
    </row>
    <row r="64" spans="1:18" x14ac:dyDescent="0.3">
      <c r="A64">
        <f t="shared" si="2"/>
        <v>63</v>
      </c>
      <c r="L64" t="s">
        <v>133</v>
      </c>
      <c r="P64">
        <v>68</v>
      </c>
      <c r="Q64" t="s">
        <v>393</v>
      </c>
    </row>
    <row r="65" spans="1:17" x14ac:dyDescent="0.3">
      <c r="A65">
        <f t="shared" si="2"/>
        <v>64</v>
      </c>
      <c r="L65" t="s">
        <v>134</v>
      </c>
      <c r="P65">
        <v>7</v>
      </c>
      <c r="Q65" t="s">
        <v>394</v>
      </c>
    </row>
    <row r="66" spans="1:17" x14ac:dyDescent="0.3">
      <c r="A66">
        <f t="shared" si="2"/>
        <v>65</v>
      </c>
      <c r="L66" t="s">
        <v>135</v>
      </c>
      <c r="P66">
        <v>70</v>
      </c>
      <c r="Q66" t="s">
        <v>395</v>
      </c>
    </row>
    <row r="67" spans="1:17" x14ac:dyDescent="0.3">
      <c r="A67">
        <f t="shared" si="2"/>
        <v>66</v>
      </c>
      <c r="L67" t="s">
        <v>136</v>
      </c>
      <c r="P67">
        <v>71</v>
      </c>
      <c r="Q67" t="s">
        <v>369</v>
      </c>
    </row>
    <row r="68" spans="1:17" x14ac:dyDescent="0.3">
      <c r="A68">
        <f t="shared" ref="A68:A131" si="3">A67+1</f>
        <v>67</v>
      </c>
      <c r="L68" t="s">
        <v>137</v>
      </c>
      <c r="P68">
        <v>72</v>
      </c>
      <c r="Q68" t="s">
        <v>396</v>
      </c>
    </row>
    <row r="69" spans="1:17" x14ac:dyDescent="0.3">
      <c r="A69">
        <f t="shared" si="3"/>
        <v>68</v>
      </c>
      <c r="L69" t="s">
        <v>138</v>
      </c>
      <c r="P69">
        <v>73</v>
      </c>
      <c r="Q69" t="s">
        <v>397</v>
      </c>
    </row>
    <row r="70" spans="1:17" x14ac:dyDescent="0.3">
      <c r="A70">
        <f t="shared" si="3"/>
        <v>69</v>
      </c>
      <c r="L70" t="s">
        <v>139</v>
      </c>
      <c r="P70">
        <v>75</v>
      </c>
      <c r="Q70" t="s">
        <v>398</v>
      </c>
    </row>
    <row r="71" spans="1:17" x14ac:dyDescent="0.3">
      <c r="A71">
        <f t="shared" si="3"/>
        <v>70</v>
      </c>
      <c r="L71" t="s">
        <v>140</v>
      </c>
      <c r="P71">
        <v>76</v>
      </c>
      <c r="Q71" t="s">
        <v>399</v>
      </c>
    </row>
    <row r="72" spans="1:17" x14ac:dyDescent="0.3">
      <c r="A72">
        <f t="shared" si="3"/>
        <v>71</v>
      </c>
      <c r="L72" t="s">
        <v>141</v>
      </c>
      <c r="P72">
        <v>77</v>
      </c>
      <c r="Q72" t="s">
        <v>400</v>
      </c>
    </row>
    <row r="73" spans="1:17" x14ac:dyDescent="0.3">
      <c r="A73">
        <f t="shared" si="3"/>
        <v>72</v>
      </c>
      <c r="L73" t="s">
        <v>142</v>
      </c>
      <c r="P73">
        <v>78</v>
      </c>
      <c r="Q73" t="s">
        <v>401</v>
      </c>
    </row>
    <row r="74" spans="1:17" x14ac:dyDescent="0.3">
      <c r="A74">
        <f t="shared" si="3"/>
        <v>73</v>
      </c>
      <c r="L74" t="s">
        <v>143</v>
      </c>
      <c r="P74">
        <v>8</v>
      </c>
      <c r="Q74" t="s">
        <v>369</v>
      </c>
    </row>
    <row r="75" spans="1:17" x14ac:dyDescent="0.3">
      <c r="A75">
        <f t="shared" si="3"/>
        <v>74</v>
      </c>
      <c r="L75" t="s">
        <v>144</v>
      </c>
      <c r="P75">
        <v>80</v>
      </c>
      <c r="Q75" t="s">
        <v>402</v>
      </c>
    </row>
    <row r="76" spans="1:17" x14ac:dyDescent="0.3">
      <c r="A76">
        <f t="shared" si="3"/>
        <v>75</v>
      </c>
      <c r="L76" t="s">
        <v>145</v>
      </c>
      <c r="P76">
        <v>81</v>
      </c>
      <c r="Q76" t="s">
        <v>403</v>
      </c>
    </row>
    <row r="77" spans="1:17" x14ac:dyDescent="0.3">
      <c r="A77">
        <f t="shared" si="3"/>
        <v>76</v>
      </c>
      <c r="L77" t="s">
        <v>146</v>
      </c>
      <c r="P77">
        <v>82</v>
      </c>
      <c r="Q77" t="s">
        <v>404</v>
      </c>
    </row>
    <row r="78" spans="1:17" x14ac:dyDescent="0.3">
      <c r="A78">
        <f t="shared" si="3"/>
        <v>77</v>
      </c>
      <c r="L78" t="s">
        <v>147</v>
      </c>
      <c r="P78">
        <v>83</v>
      </c>
      <c r="Q78" t="s">
        <v>405</v>
      </c>
    </row>
    <row r="79" spans="1:17" x14ac:dyDescent="0.3">
      <c r="A79">
        <f t="shared" si="3"/>
        <v>78</v>
      </c>
      <c r="L79" t="s">
        <v>148</v>
      </c>
      <c r="P79">
        <v>84</v>
      </c>
      <c r="Q79" t="s">
        <v>406</v>
      </c>
    </row>
    <row r="80" spans="1:17" x14ac:dyDescent="0.3">
      <c r="A80">
        <f t="shared" si="3"/>
        <v>79</v>
      </c>
      <c r="L80" t="s">
        <v>149</v>
      </c>
      <c r="P80">
        <v>85</v>
      </c>
      <c r="Q80" t="s">
        <v>407</v>
      </c>
    </row>
    <row r="81" spans="1:17" x14ac:dyDescent="0.3">
      <c r="A81">
        <f t="shared" si="3"/>
        <v>80</v>
      </c>
      <c r="L81" t="s">
        <v>150</v>
      </c>
      <c r="P81">
        <v>9</v>
      </c>
      <c r="Q81" t="s">
        <v>408</v>
      </c>
    </row>
    <row r="82" spans="1:17" x14ac:dyDescent="0.3">
      <c r="A82">
        <f t="shared" si="3"/>
        <v>81</v>
      </c>
      <c r="L82" t="s">
        <v>151</v>
      </c>
      <c r="P82">
        <v>90</v>
      </c>
      <c r="Q82" t="s">
        <v>409</v>
      </c>
    </row>
    <row r="83" spans="1:17" x14ac:dyDescent="0.3">
      <c r="A83">
        <f t="shared" si="3"/>
        <v>82</v>
      </c>
      <c r="L83" t="s">
        <v>152</v>
      </c>
      <c r="Q83" t="s">
        <v>410</v>
      </c>
    </row>
    <row r="84" spans="1:17" x14ac:dyDescent="0.3">
      <c r="A84">
        <f t="shared" si="3"/>
        <v>83</v>
      </c>
      <c r="L84" t="s">
        <v>153</v>
      </c>
      <c r="Q84" t="s">
        <v>411</v>
      </c>
    </row>
    <row r="85" spans="1:17" x14ac:dyDescent="0.3">
      <c r="A85">
        <f t="shared" si="3"/>
        <v>84</v>
      </c>
      <c r="L85" t="s">
        <v>154</v>
      </c>
      <c r="Q85" t="s">
        <v>412</v>
      </c>
    </row>
    <row r="86" spans="1:17" x14ac:dyDescent="0.3">
      <c r="A86">
        <f t="shared" si="3"/>
        <v>85</v>
      </c>
      <c r="L86" t="s">
        <v>155</v>
      </c>
      <c r="Q86" t="s">
        <v>413</v>
      </c>
    </row>
    <row r="87" spans="1:17" x14ac:dyDescent="0.3">
      <c r="A87">
        <f t="shared" si="3"/>
        <v>86</v>
      </c>
      <c r="L87" t="s">
        <v>156</v>
      </c>
      <c r="Q87" t="s">
        <v>414</v>
      </c>
    </row>
    <row r="88" spans="1:17" x14ac:dyDescent="0.3">
      <c r="A88">
        <f t="shared" si="3"/>
        <v>87</v>
      </c>
      <c r="L88" t="s">
        <v>157</v>
      </c>
      <c r="Q88" t="s">
        <v>415</v>
      </c>
    </row>
    <row r="89" spans="1:17" x14ac:dyDescent="0.3">
      <c r="A89">
        <f t="shared" si="3"/>
        <v>88</v>
      </c>
      <c r="L89" t="s">
        <v>158</v>
      </c>
      <c r="Q89" t="s">
        <v>416</v>
      </c>
    </row>
    <row r="90" spans="1:17" x14ac:dyDescent="0.3">
      <c r="A90">
        <f t="shared" si="3"/>
        <v>89</v>
      </c>
      <c r="L90" t="s">
        <v>159</v>
      </c>
      <c r="Q90" t="s">
        <v>417</v>
      </c>
    </row>
    <row r="91" spans="1:17" x14ac:dyDescent="0.3">
      <c r="A91">
        <f t="shared" si="3"/>
        <v>90</v>
      </c>
      <c r="L91" t="s">
        <v>160</v>
      </c>
      <c r="Q91" t="s">
        <v>418</v>
      </c>
    </row>
    <row r="92" spans="1:17" x14ac:dyDescent="0.3">
      <c r="A92">
        <f t="shared" si="3"/>
        <v>91</v>
      </c>
      <c r="L92" t="s">
        <v>161</v>
      </c>
      <c r="Q92" t="s">
        <v>419</v>
      </c>
    </row>
    <row r="93" spans="1:17" x14ac:dyDescent="0.3">
      <c r="A93">
        <f t="shared" si="3"/>
        <v>92</v>
      </c>
      <c r="L93" t="s">
        <v>162</v>
      </c>
      <c r="Q93" t="s">
        <v>420</v>
      </c>
    </row>
    <row r="94" spans="1:17" x14ac:dyDescent="0.3">
      <c r="A94">
        <f t="shared" si="3"/>
        <v>93</v>
      </c>
      <c r="L94" t="s">
        <v>163</v>
      </c>
      <c r="Q94" t="s">
        <v>421</v>
      </c>
    </row>
    <row r="95" spans="1:17" x14ac:dyDescent="0.3">
      <c r="A95">
        <f t="shared" si="3"/>
        <v>94</v>
      </c>
      <c r="L95" t="s">
        <v>164</v>
      </c>
      <c r="Q95" t="s">
        <v>422</v>
      </c>
    </row>
    <row r="96" spans="1:17" x14ac:dyDescent="0.3">
      <c r="A96">
        <f t="shared" si="3"/>
        <v>95</v>
      </c>
      <c r="L96" t="s">
        <v>165</v>
      </c>
      <c r="Q96" t="s">
        <v>423</v>
      </c>
    </row>
    <row r="97" spans="1:17" x14ac:dyDescent="0.3">
      <c r="A97">
        <f t="shared" si="3"/>
        <v>96</v>
      </c>
      <c r="L97" t="s">
        <v>166</v>
      </c>
      <c r="Q97" t="s">
        <v>424</v>
      </c>
    </row>
    <row r="98" spans="1:17" x14ac:dyDescent="0.3">
      <c r="A98">
        <f t="shared" si="3"/>
        <v>97</v>
      </c>
      <c r="L98" t="s">
        <v>167</v>
      </c>
      <c r="Q98" t="s">
        <v>425</v>
      </c>
    </row>
    <row r="99" spans="1:17" x14ac:dyDescent="0.3">
      <c r="A99">
        <f t="shared" si="3"/>
        <v>98</v>
      </c>
      <c r="L99" t="s">
        <v>168</v>
      </c>
      <c r="Q99" t="s">
        <v>426</v>
      </c>
    </row>
    <row r="100" spans="1:17" x14ac:dyDescent="0.3">
      <c r="A100">
        <f t="shared" si="3"/>
        <v>99</v>
      </c>
      <c r="L100" t="s">
        <v>169</v>
      </c>
      <c r="Q100" t="s">
        <v>427</v>
      </c>
    </row>
    <row r="101" spans="1:17" x14ac:dyDescent="0.3">
      <c r="A101">
        <f t="shared" si="3"/>
        <v>100</v>
      </c>
      <c r="L101" t="s">
        <v>170</v>
      </c>
      <c r="Q101" t="s">
        <v>428</v>
      </c>
    </row>
    <row r="102" spans="1:17" x14ac:dyDescent="0.3">
      <c r="A102">
        <f t="shared" si="3"/>
        <v>101</v>
      </c>
      <c r="L102" t="s">
        <v>171</v>
      </c>
      <c r="Q102" t="s">
        <v>429</v>
      </c>
    </row>
    <row r="103" spans="1:17" x14ac:dyDescent="0.3">
      <c r="A103">
        <f t="shared" si="3"/>
        <v>102</v>
      </c>
      <c r="L103" t="s">
        <v>172</v>
      </c>
      <c r="Q103" t="s">
        <v>430</v>
      </c>
    </row>
    <row r="104" spans="1:17" x14ac:dyDescent="0.3">
      <c r="A104">
        <f t="shared" si="3"/>
        <v>103</v>
      </c>
      <c r="L104" t="s">
        <v>173</v>
      </c>
      <c r="Q104" t="s">
        <v>431</v>
      </c>
    </row>
    <row r="105" spans="1:17" x14ac:dyDescent="0.3">
      <c r="A105">
        <f t="shared" si="3"/>
        <v>104</v>
      </c>
      <c r="L105" t="s">
        <v>174</v>
      </c>
      <c r="Q105" t="s">
        <v>432</v>
      </c>
    </row>
    <row r="106" spans="1:17" x14ac:dyDescent="0.3">
      <c r="A106">
        <f t="shared" si="3"/>
        <v>105</v>
      </c>
      <c r="L106" t="s">
        <v>175</v>
      </c>
      <c r="Q106" t="s">
        <v>433</v>
      </c>
    </row>
    <row r="107" spans="1:17" x14ac:dyDescent="0.3">
      <c r="A107">
        <f t="shared" si="3"/>
        <v>106</v>
      </c>
      <c r="L107" t="s">
        <v>176</v>
      </c>
      <c r="Q107" t="s">
        <v>434</v>
      </c>
    </row>
    <row r="108" spans="1:17" x14ac:dyDescent="0.3">
      <c r="A108">
        <f t="shared" si="3"/>
        <v>107</v>
      </c>
      <c r="L108" t="s">
        <v>177</v>
      </c>
      <c r="Q108" t="s">
        <v>435</v>
      </c>
    </row>
    <row r="109" spans="1:17" x14ac:dyDescent="0.3">
      <c r="A109">
        <f t="shared" si="3"/>
        <v>108</v>
      </c>
      <c r="L109" t="s">
        <v>178</v>
      </c>
      <c r="Q109" t="s">
        <v>436</v>
      </c>
    </row>
    <row r="110" spans="1:17" x14ac:dyDescent="0.3">
      <c r="A110">
        <f t="shared" si="3"/>
        <v>109</v>
      </c>
      <c r="L110" t="s">
        <v>179</v>
      </c>
      <c r="Q110" t="s">
        <v>437</v>
      </c>
    </row>
    <row r="111" spans="1:17" x14ac:dyDescent="0.3">
      <c r="A111">
        <f t="shared" si="3"/>
        <v>110</v>
      </c>
      <c r="L111" t="s">
        <v>180</v>
      </c>
      <c r="Q111" t="s">
        <v>438</v>
      </c>
    </row>
    <row r="112" spans="1:17" x14ac:dyDescent="0.3">
      <c r="A112">
        <f t="shared" si="3"/>
        <v>111</v>
      </c>
      <c r="L112" t="s">
        <v>181</v>
      </c>
      <c r="Q112" t="s">
        <v>439</v>
      </c>
    </row>
    <row r="113" spans="1:17" x14ac:dyDescent="0.3">
      <c r="A113">
        <f t="shared" si="3"/>
        <v>112</v>
      </c>
      <c r="L113" t="s">
        <v>182</v>
      </c>
      <c r="Q113" t="s">
        <v>440</v>
      </c>
    </row>
    <row r="114" spans="1:17" x14ac:dyDescent="0.3">
      <c r="A114">
        <f t="shared" si="3"/>
        <v>113</v>
      </c>
      <c r="L114" t="s">
        <v>183</v>
      </c>
      <c r="Q114" t="s">
        <v>441</v>
      </c>
    </row>
    <row r="115" spans="1:17" x14ac:dyDescent="0.3">
      <c r="A115">
        <f t="shared" si="3"/>
        <v>114</v>
      </c>
      <c r="L115" t="s">
        <v>184</v>
      </c>
      <c r="Q115" t="s">
        <v>442</v>
      </c>
    </row>
    <row r="116" spans="1:17" x14ac:dyDescent="0.3">
      <c r="A116">
        <f t="shared" si="3"/>
        <v>115</v>
      </c>
      <c r="L116" t="s">
        <v>185</v>
      </c>
      <c r="Q116" t="s">
        <v>443</v>
      </c>
    </row>
    <row r="117" spans="1:17" x14ac:dyDescent="0.3">
      <c r="A117">
        <f t="shared" si="3"/>
        <v>116</v>
      </c>
      <c r="L117" t="s">
        <v>186</v>
      </c>
      <c r="Q117" t="s">
        <v>444</v>
      </c>
    </row>
    <row r="118" spans="1:17" x14ac:dyDescent="0.3">
      <c r="A118">
        <f t="shared" si="3"/>
        <v>117</v>
      </c>
      <c r="L118" t="s">
        <v>187</v>
      </c>
      <c r="Q118" t="s">
        <v>445</v>
      </c>
    </row>
    <row r="119" spans="1:17" x14ac:dyDescent="0.3">
      <c r="A119">
        <f t="shared" si="3"/>
        <v>118</v>
      </c>
      <c r="L119" t="s">
        <v>188</v>
      </c>
      <c r="Q119" t="s">
        <v>446</v>
      </c>
    </row>
    <row r="120" spans="1:17" x14ac:dyDescent="0.3">
      <c r="A120">
        <f t="shared" si="3"/>
        <v>119</v>
      </c>
      <c r="L120" t="s">
        <v>189</v>
      </c>
      <c r="Q120" t="s">
        <v>447</v>
      </c>
    </row>
    <row r="121" spans="1:17" x14ac:dyDescent="0.3">
      <c r="A121">
        <f t="shared" si="3"/>
        <v>120</v>
      </c>
      <c r="L121" t="s">
        <v>190</v>
      </c>
      <c r="Q121" t="s">
        <v>448</v>
      </c>
    </row>
    <row r="122" spans="1:17" x14ac:dyDescent="0.3">
      <c r="A122">
        <f t="shared" si="3"/>
        <v>121</v>
      </c>
      <c r="L122" t="s">
        <v>191</v>
      </c>
      <c r="Q122" t="s">
        <v>449</v>
      </c>
    </row>
    <row r="123" spans="1:17" x14ac:dyDescent="0.3">
      <c r="A123">
        <f t="shared" si="3"/>
        <v>122</v>
      </c>
      <c r="L123" t="s">
        <v>192</v>
      </c>
      <c r="Q123" t="s">
        <v>450</v>
      </c>
    </row>
    <row r="124" spans="1:17" x14ac:dyDescent="0.3">
      <c r="A124">
        <f t="shared" si="3"/>
        <v>123</v>
      </c>
      <c r="L124" t="s">
        <v>193</v>
      </c>
      <c r="Q124" t="s">
        <v>451</v>
      </c>
    </row>
    <row r="125" spans="1:17" x14ac:dyDescent="0.3">
      <c r="A125">
        <f t="shared" si="3"/>
        <v>124</v>
      </c>
      <c r="L125" t="s">
        <v>194</v>
      </c>
      <c r="Q125" t="s">
        <v>452</v>
      </c>
    </row>
    <row r="126" spans="1:17" x14ac:dyDescent="0.3">
      <c r="A126">
        <f t="shared" si="3"/>
        <v>125</v>
      </c>
      <c r="L126" t="s">
        <v>195</v>
      </c>
      <c r="Q126" t="s">
        <v>453</v>
      </c>
    </row>
    <row r="127" spans="1:17" x14ac:dyDescent="0.3">
      <c r="A127">
        <f t="shared" si="3"/>
        <v>126</v>
      </c>
      <c r="L127" t="s">
        <v>196</v>
      </c>
      <c r="Q127" t="s">
        <v>454</v>
      </c>
    </row>
    <row r="128" spans="1:17" x14ac:dyDescent="0.3">
      <c r="A128">
        <f t="shared" si="3"/>
        <v>127</v>
      </c>
      <c r="L128" t="s">
        <v>197</v>
      </c>
      <c r="Q128" t="s">
        <v>455</v>
      </c>
    </row>
    <row r="129" spans="1:17" x14ac:dyDescent="0.3">
      <c r="A129">
        <f t="shared" si="3"/>
        <v>128</v>
      </c>
      <c r="L129" t="s">
        <v>198</v>
      </c>
      <c r="Q129" t="s">
        <v>456</v>
      </c>
    </row>
    <row r="130" spans="1:17" x14ac:dyDescent="0.3">
      <c r="A130">
        <f t="shared" si="3"/>
        <v>129</v>
      </c>
      <c r="L130" t="s">
        <v>199</v>
      </c>
      <c r="Q130" t="s">
        <v>457</v>
      </c>
    </row>
    <row r="131" spans="1:17" x14ac:dyDescent="0.3">
      <c r="A131">
        <f t="shared" si="3"/>
        <v>130</v>
      </c>
      <c r="L131" t="s">
        <v>200</v>
      </c>
      <c r="Q131" t="s">
        <v>458</v>
      </c>
    </row>
    <row r="132" spans="1:17" x14ac:dyDescent="0.3">
      <c r="A132">
        <f t="shared" ref="A132:A195" si="4">A131+1</f>
        <v>131</v>
      </c>
      <c r="L132" t="s">
        <v>201</v>
      </c>
      <c r="Q132" t="s">
        <v>459</v>
      </c>
    </row>
    <row r="133" spans="1:17" x14ac:dyDescent="0.3">
      <c r="A133">
        <f t="shared" si="4"/>
        <v>132</v>
      </c>
      <c r="L133" t="s">
        <v>202</v>
      </c>
      <c r="Q133" t="s">
        <v>437</v>
      </c>
    </row>
    <row r="134" spans="1:17" x14ac:dyDescent="0.3">
      <c r="A134">
        <f t="shared" si="4"/>
        <v>133</v>
      </c>
      <c r="L134" t="s">
        <v>203</v>
      </c>
      <c r="Q134" t="s">
        <v>460</v>
      </c>
    </row>
    <row r="135" spans="1:17" x14ac:dyDescent="0.3">
      <c r="A135">
        <f t="shared" si="4"/>
        <v>134</v>
      </c>
      <c r="L135" t="s">
        <v>204</v>
      </c>
      <c r="Q135" t="s">
        <v>461</v>
      </c>
    </row>
    <row r="136" spans="1:17" x14ac:dyDescent="0.3">
      <c r="A136">
        <f t="shared" si="4"/>
        <v>135</v>
      </c>
      <c r="L136" t="s">
        <v>205</v>
      </c>
      <c r="Q136" t="s">
        <v>462</v>
      </c>
    </row>
    <row r="137" spans="1:17" x14ac:dyDescent="0.3">
      <c r="A137">
        <f t="shared" si="4"/>
        <v>136</v>
      </c>
      <c r="L137" t="s">
        <v>206</v>
      </c>
      <c r="Q137" t="s">
        <v>463</v>
      </c>
    </row>
    <row r="138" spans="1:17" x14ac:dyDescent="0.3">
      <c r="A138">
        <f t="shared" si="4"/>
        <v>137</v>
      </c>
      <c r="L138" t="s">
        <v>207</v>
      </c>
      <c r="Q138" t="s">
        <v>428</v>
      </c>
    </row>
    <row r="139" spans="1:17" x14ac:dyDescent="0.3">
      <c r="A139">
        <f t="shared" si="4"/>
        <v>138</v>
      </c>
      <c r="L139" t="s">
        <v>208</v>
      </c>
      <c r="Q139" t="s">
        <v>464</v>
      </c>
    </row>
    <row r="140" spans="1:17" x14ac:dyDescent="0.3">
      <c r="A140">
        <f t="shared" si="4"/>
        <v>139</v>
      </c>
      <c r="L140" t="s">
        <v>209</v>
      </c>
      <c r="Q140" t="s">
        <v>465</v>
      </c>
    </row>
    <row r="141" spans="1:17" x14ac:dyDescent="0.3">
      <c r="A141">
        <f t="shared" si="4"/>
        <v>140</v>
      </c>
      <c r="L141" t="s">
        <v>210</v>
      </c>
      <c r="Q141" t="s">
        <v>466</v>
      </c>
    </row>
    <row r="142" spans="1:17" x14ac:dyDescent="0.3">
      <c r="A142">
        <f t="shared" si="4"/>
        <v>141</v>
      </c>
      <c r="L142" t="s">
        <v>211</v>
      </c>
      <c r="Q142" t="s">
        <v>466</v>
      </c>
    </row>
    <row r="143" spans="1:17" x14ac:dyDescent="0.3">
      <c r="A143">
        <f t="shared" si="4"/>
        <v>142</v>
      </c>
      <c r="L143" t="s">
        <v>212</v>
      </c>
      <c r="Q143" t="s">
        <v>467</v>
      </c>
    </row>
    <row r="144" spans="1:17" x14ac:dyDescent="0.3">
      <c r="A144">
        <f t="shared" si="4"/>
        <v>143</v>
      </c>
      <c r="L144" t="s">
        <v>77</v>
      </c>
      <c r="Q144" t="s">
        <v>468</v>
      </c>
    </row>
    <row r="145" spans="1:17" x14ac:dyDescent="0.3">
      <c r="A145">
        <f t="shared" si="4"/>
        <v>144</v>
      </c>
      <c r="L145" t="s">
        <v>213</v>
      </c>
      <c r="Q145" t="s">
        <v>467</v>
      </c>
    </row>
    <row r="146" spans="1:17" x14ac:dyDescent="0.3">
      <c r="A146">
        <f t="shared" si="4"/>
        <v>145</v>
      </c>
      <c r="L146" t="s">
        <v>214</v>
      </c>
      <c r="Q146" t="s">
        <v>469</v>
      </c>
    </row>
    <row r="147" spans="1:17" x14ac:dyDescent="0.3">
      <c r="A147">
        <f t="shared" si="4"/>
        <v>146</v>
      </c>
      <c r="L147" t="s">
        <v>215</v>
      </c>
      <c r="Q147" t="s">
        <v>470</v>
      </c>
    </row>
    <row r="148" spans="1:17" x14ac:dyDescent="0.3">
      <c r="A148">
        <f t="shared" si="4"/>
        <v>147</v>
      </c>
      <c r="L148" t="s">
        <v>216</v>
      </c>
      <c r="Q148" t="s">
        <v>471</v>
      </c>
    </row>
    <row r="149" spans="1:17" x14ac:dyDescent="0.3">
      <c r="A149">
        <f t="shared" si="4"/>
        <v>148</v>
      </c>
      <c r="L149" t="s">
        <v>217</v>
      </c>
      <c r="Q149" t="s">
        <v>472</v>
      </c>
    </row>
    <row r="150" spans="1:17" x14ac:dyDescent="0.3">
      <c r="A150">
        <f t="shared" si="4"/>
        <v>149</v>
      </c>
      <c r="L150" t="s">
        <v>218</v>
      </c>
      <c r="Q150" t="s">
        <v>473</v>
      </c>
    </row>
    <row r="151" spans="1:17" x14ac:dyDescent="0.3">
      <c r="A151">
        <f t="shared" si="4"/>
        <v>150</v>
      </c>
      <c r="L151" t="s">
        <v>219</v>
      </c>
      <c r="Q151" t="s">
        <v>474</v>
      </c>
    </row>
    <row r="152" spans="1:17" x14ac:dyDescent="0.3">
      <c r="A152">
        <f t="shared" si="4"/>
        <v>151</v>
      </c>
      <c r="L152" t="s">
        <v>220</v>
      </c>
      <c r="Q152" t="s">
        <v>475</v>
      </c>
    </row>
    <row r="153" spans="1:17" x14ac:dyDescent="0.3">
      <c r="A153">
        <f t="shared" si="4"/>
        <v>152</v>
      </c>
      <c r="L153" t="s">
        <v>221</v>
      </c>
      <c r="Q153" t="s">
        <v>476</v>
      </c>
    </row>
    <row r="154" spans="1:17" x14ac:dyDescent="0.3">
      <c r="A154">
        <f t="shared" si="4"/>
        <v>153</v>
      </c>
      <c r="L154" t="s">
        <v>222</v>
      </c>
      <c r="Q154" t="s">
        <v>477</v>
      </c>
    </row>
    <row r="155" spans="1:17" x14ac:dyDescent="0.3">
      <c r="A155">
        <f t="shared" si="4"/>
        <v>154</v>
      </c>
      <c r="L155" t="s">
        <v>223</v>
      </c>
      <c r="Q155" t="s">
        <v>478</v>
      </c>
    </row>
    <row r="156" spans="1:17" x14ac:dyDescent="0.3">
      <c r="A156">
        <f t="shared" si="4"/>
        <v>155</v>
      </c>
      <c r="L156" t="s">
        <v>224</v>
      </c>
      <c r="Q156" t="s">
        <v>479</v>
      </c>
    </row>
    <row r="157" spans="1:17" x14ac:dyDescent="0.3">
      <c r="A157">
        <f t="shared" si="4"/>
        <v>156</v>
      </c>
      <c r="L157" t="s">
        <v>225</v>
      </c>
      <c r="Q157" t="s">
        <v>480</v>
      </c>
    </row>
    <row r="158" spans="1:17" x14ac:dyDescent="0.3">
      <c r="A158">
        <f t="shared" si="4"/>
        <v>157</v>
      </c>
      <c r="L158" t="s">
        <v>226</v>
      </c>
      <c r="Q158" t="s">
        <v>481</v>
      </c>
    </row>
    <row r="159" spans="1:17" x14ac:dyDescent="0.3">
      <c r="A159">
        <f t="shared" si="4"/>
        <v>158</v>
      </c>
      <c r="L159" t="s">
        <v>227</v>
      </c>
      <c r="Q159" t="s">
        <v>482</v>
      </c>
    </row>
    <row r="160" spans="1:17" x14ac:dyDescent="0.3">
      <c r="A160">
        <f t="shared" si="4"/>
        <v>159</v>
      </c>
      <c r="L160" t="s">
        <v>228</v>
      </c>
      <c r="Q160" t="s">
        <v>483</v>
      </c>
    </row>
    <row r="161" spans="1:17" x14ac:dyDescent="0.3">
      <c r="A161">
        <f t="shared" si="4"/>
        <v>160</v>
      </c>
      <c r="L161" t="s">
        <v>229</v>
      </c>
      <c r="Q161" t="s">
        <v>484</v>
      </c>
    </row>
    <row r="162" spans="1:17" x14ac:dyDescent="0.3">
      <c r="A162">
        <f t="shared" si="4"/>
        <v>161</v>
      </c>
      <c r="L162" t="s">
        <v>230</v>
      </c>
      <c r="Q162" t="s">
        <v>485</v>
      </c>
    </row>
    <row r="163" spans="1:17" x14ac:dyDescent="0.3">
      <c r="A163">
        <f t="shared" si="4"/>
        <v>162</v>
      </c>
      <c r="L163" t="s">
        <v>231</v>
      </c>
      <c r="Q163" t="s">
        <v>486</v>
      </c>
    </row>
    <row r="164" spans="1:17" x14ac:dyDescent="0.3">
      <c r="A164">
        <f t="shared" si="4"/>
        <v>163</v>
      </c>
      <c r="L164" t="s">
        <v>232</v>
      </c>
      <c r="Q164" t="s">
        <v>487</v>
      </c>
    </row>
    <row r="165" spans="1:17" x14ac:dyDescent="0.3">
      <c r="A165">
        <f t="shared" si="4"/>
        <v>164</v>
      </c>
      <c r="L165" t="s">
        <v>233</v>
      </c>
      <c r="Q165" t="s">
        <v>488</v>
      </c>
    </row>
    <row r="166" spans="1:17" x14ac:dyDescent="0.3">
      <c r="A166">
        <f t="shared" si="4"/>
        <v>165</v>
      </c>
      <c r="L166" t="s">
        <v>234</v>
      </c>
      <c r="Q166" t="s">
        <v>489</v>
      </c>
    </row>
    <row r="167" spans="1:17" x14ac:dyDescent="0.3">
      <c r="A167">
        <f t="shared" si="4"/>
        <v>166</v>
      </c>
      <c r="L167" t="s">
        <v>235</v>
      </c>
      <c r="Q167" t="s">
        <v>490</v>
      </c>
    </row>
    <row r="168" spans="1:17" x14ac:dyDescent="0.3">
      <c r="A168">
        <f t="shared" si="4"/>
        <v>167</v>
      </c>
      <c r="L168" t="s">
        <v>236</v>
      </c>
      <c r="Q168" t="s">
        <v>491</v>
      </c>
    </row>
    <row r="169" spans="1:17" x14ac:dyDescent="0.3">
      <c r="A169">
        <f t="shared" si="4"/>
        <v>168</v>
      </c>
      <c r="L169" t="s">
        <v>237</v>
      </c>
      <c r="Q169" t="s">
        <v>492</v>
      </c>
    </row>
    <row r="170" spans="1:17" x14ac:dyDescent="0.3">
      <c r="A170">
        <f t="shared" si="4"/>
        <v>169</v>
      </c>
      <c r="L170" t="s">
        <v>238</v>
      </c>
      <c r="Q170" t="s">
        <v>493</v>
      </c>
    </row>
    <row r="171" spans="1:17" x14ac:dyDescent="0.3">
      <c r="A171">
        <f t="shared" si="4"/>
        <v>170</v>
      </c>
      <c r="L171" t="s">
        <v>239</v>
      </c>
      <c r="Q171" t="s">
        <v>494</v>
      </c>
    </row>
    <row r="172" spans="1:17" x14ac:dyDescent="0.3">
      <c r="A172">
        <f t="shared" si="4"/>
        <v>171</v>
      </c>
      <c r="L172" t="s">
        <v>240</v>
      </c>
      <c r="Q172" t="s">
        <v>495</v>
      </c>
    </row>
    <row r="173" spans="1:17" x14ac:dyDescent="0.3">
      <c r="A173">
        <f t="shared" si="4"/>
        <v>172</v>
      </c>
      <c r="L173" t="s">
        <v>241</v>
      </c>
      <c r="Q173" t="s">
        <v>496</v>
      </c>
    </row>
    <row r="174" spans="1:17" x14ac:dyDescent="0.3">
      <c r="A174">
        <f t="shared" si="4"/>
        <v>173</v>
      </c>
      <c r="L174" t="s">
        <v>242</v>
      </c>
      <c r="Q174" t="s">
        <v>497</v>
      </c>
    </row>
    <row r="175" spans="1:17" x14ac:dyDescent="0.3">
      <c r="A175">
        <f t="shared" si="4"/>
        <v>174</v>
      </c>
      <c r="L175" t="s">
        <v>243</v>
      </c>
      <c r="Q175" t="s">
        <v>498</v>
      </c>
    </row>
    <row r="176" spans="1:17" x14ac:dyDescent="0.3">
      <c r="A176">
        <f t="shared" si="4"/>
        <v>175</v>
      </c>
      <c r="L176" t="s">
        <v>244</v>
      </c>
      <c r="Q176" t="s">
        <v>499</v>
      </c>
    </row>
    <row r="177" spans="1:17" x14ac:dyDescent="0.3">
      <c r="A177">
        <f t="shared" si="4"/>
        <v>176</v>
      </c>
      <c r="L177" t="s">
        <v>245</v>
      </c>
      <c r="Q177" t="s">
        <v>500</v>
      </c>
    </row>
    <row r="178" spans="1:17" x14ac:dyDescent="0.3">
      <c r="A178">
        <f t="shared" si="4"/>
        <v>177</v>
      </c>
      <c r="L178" t="s">
        <v>246</v>
      </c>
      <c r="Q178" t="s">
        <v>501</v>
      </c>
    </row>
    <row r="179" spans="1:17" x14ac:dyDescent="0.3">
      <c r="A179">
        <f t="shared" si="4"/>
        <v>178</v>
      </c>
      <c r="L179" t="s">
        <v>247</v>
      </c>
      <c r="Q179" t="s">
        <v>502</v>
      </c>
    </row>
    <row r="180" spans="1:17" x14ac:dyDescent="0.3">
      <c r="A180">
        <f t="shared" si="4"/>
        <v>179</v>
      </c>
      <c r="L180" t="s">
        <v>248</v>
      </c>
      <c r="Q180" t="s">
        <v>503</v>
      </c>
    </row>
    <row r="181" spans="1:17" x14ac:dyDescent="0.3">
      <c r="A181">
        <f t="shared" si="4"/>
        <v>180</v>
      </c>
      <c r="L181" t="s">
        <v>249</v>
      </c>
      <c r="Q181" t="s">
        <v>504</v>
      </c>
    </row>
    <row r="182" spans="1:17" x14ac:dyDescent="0.3">
      <c r="A182">
        <f t="shared" si="4"/>
        <v>181</v>
      </c>
      <c r="L182" t="s">
        <v>250</v>
      </c>
      <c r="Q182" t="s">
        <v>505</v>
      </c>
    </row>
    <row r="183" spans="1:17" x14ac:dyDescent="0.3">
      <c r="A183">
        <f t="shared" si="4"/>
        <v>182</v>
      </c>
      <c r="L183" t="s">
        <v>251</v>
      </c>
      <c r="Q183" t="s">
        <v>506</v>
      </c>
    </row>
    <row r="184" spans="1:17" x14ac:dyDescent="0.3">
      <c r="A184">
        <f t="shared" si="4"/>
        <v>183</v>
      </c>
      <c r="L184" t="s">
        <v>252</v>
      </c>
      <c r="Q184" t="s">
        <v>507</v>
      </c>
    </row>
    <row r="185" spans="1:17" x14ac:dyDescent="0.3">
      <c r="A185">
        <f t="shared" si="4"/>
        <v>184</v>
      </c>
      <c r="L185" t="s">
        <v>253</v>
      </c>
      <c r="Q185" t="s">
        <v>508</v>
      </c>
    </row>
    <row r="186" spans="1:17" x14ac:dyDescent="0.3">
      <c r="A186">
        <f t="shared" si="4"/>
        <v>185</v>
      </c>
      <c r="L186" t="s">
        <v>254</v>
      </c>
      <c r="Q186" t="s">
        <v>475</v>
      </c>
    </row>
    <row r="187" spans="1:17" x14ac:dyDescent="0.3">
      <c r="A187">
        <f t="shared" si="4"/>
        <v>186</v>
      </c>
      <c r="L187" t="s">
        <v>255</v>
      </c>
      <c r="Q187" t="s">
        <v>509</v>
      </c>
    </row>
    <row r="188" spans="1:17" x14ac:dyDescent="0.3">
      <c r="A188">
        <f t="shared" si="4"/>
        <v>187</v>
      </c>
      <c r="L188" t="s">
        <v>256</v>
      </c>
      <c r="Q188" t="s">
        <v>510</v>
      </c>
    </row>
    <row r="189" spans="1:17" x14ac:dyDescent="0.3">
      <c r="A189">
        <f t="shared" si="4"/>
        <v>188</v>
      </c>
      <c r="L189" t="s">
        <v>257</v>
      </c>
      <c r="Q189" t="s">
        <v>511</v>
      </c>
    </row>
    <row r="190" spans="1:17" x14ac:dyDescent="0.3">
      <c r="A190">
        <f t="shared" si="4"/>
        <v>189</v>
      </c>
      <c r="L190" t="s">
        <v>258</v>
      </c>
      <c r="Q190" t="s">
        <v>512</v>
      </c>
    </row>
    <row r="191" spans="1:17" x14ac:dyDescent="0.3">
      <c r="A191">
        <f t="shared" si="4"/>
        <v>190</v>
      </c>
      <c r="L191" t="s">
        <v>259</v>
      </c>
      <c r="Q191" t="s">
        <v>513</v>
      </c>
    </row>
    <row r="192" spans="1:17" x14ac:dyDescent="0.3">
      <c r="A192">
        <f t="shared" si="4"/>
        <v>191</v>
      </c>
      <c r="L192" t="s">
        <v>260</v>
      </c>
      <c r="Q192" t="s">
        <v>514</v>
      </c>
    </row>
    <row r="193" spans="1:17" x14ac:dyDescent="0.3">
      <c r="A193">
        <f t="shared" si="4"/>
        <v>192</v>
      </c>
      <c r="L193" t="s">
        <v>261</v>
      </c>
      <c r="Q193" t="s">
        <v>515</v>
      </c>
    </row>
    <row r="194" spans="1:17" x14ac:dyDescent="0.3">
      <c r="A194">
        <f t="shared" si="4"/>
        <v>193</v>
      </c>
      <c r="L194" t="s">
        <v>262</v>
      </c>
      <c r="Q194" t="s">
        <v>516</v>
      </c>
    </row>
    <row r="195" spans="1:17" x14ac:dyDescent="0.3">
      <c r="A195">
        <f t="shared" si="4"/>
        <v>194</v>
      </c>
      <c r="L195" t="s">
        <v>263</v>
      </c>
      <c r="Q195" t="s">
        <v>517</v>
      </c>
    </row>
    <row r="196" spans="1:17" x14ac:dyDescent="0.3">
      <c r="A196">
        <f t="shared" ref="A196:A212" si="5">A195+1</f>
        <v>195</v>
      </c>
      <c r="L196" t="s">
        <v>264</v>
      </c>
      <c r="Q196" t="s">
        <v>518</v>
      </c>
    </row>
    <row r="197" spans="1:17" x14ac:dyDescent="0.3">
      <c r="A197">
        <f t="shared" si="5"/>
        <v>196</v>
      </c>
      <c r="L197" t="s">
        <v>265</v>
      </c>
      <c r="Q197" t="s">
        <v>519</v>
      </c>
    </row>
    <row r="198" spans="1:17" x14ac:dyDescent="0.3">
      <c r="A198">
        <f t="shared" si="5"/>
        <v>197</v>
      </c>
      <c r="L198" t="s">
        <v>266</v>
      </c>
      <c r="Q198" t="s">
        <v>475</v>
      </c>
    </row>
    <row r="199" spans="1:17" x14ac:dyDescent="0.3">
      <c r="A199">
        <f t="shared" si="5"/>
        <v>198</v>
      </c>
      <c r="L199" t="s">
        <v>267</v>
      </c>
      <c r="Q199" t="s">
        <v>520</v>
      </c>
    </row>
    <row r="200" spans="1:17" x14ac:dyDescent="0.3">
      <c r="A200">
        <f t="shared" si="5"/>
        <v>199</v>
      </c>
      <c r="L200" t="s">
        <v>268</v>
      </c>
      <c r="Q200" t="s">
        <v>521</v>
      </c>
    </row>
    <row r="201" spans="1:17" x14ac:dyDescent="0.3">
      <c r="A201">
        <f t="shared" si="5"/>
        <v>200</v>
      </c>
      <c r="L201" t="s">
        <v>269</v>
      </c>
      <c r="Q201" t="s">
        <v>522</v>
      </c>
    </row>
    <row r="202" spans="1:17" x14ac:dyDescent="0.3">
      <c r="A202">
        <f t="shared" si="5"/>
        <v>201</v>
      </c>
      <c r="L202" t="s">
        <v>270</v>
      </c>
      <c r="Q202" t="s">
        <v>523</v>
      </c>
    </row>
    <row r="203" spans="1:17" x14ac:dyDescent="0.3">
      <c r="A203">
        <f t="shared" si="5"/>
        <v>202</v>
      </c>
      <c r="L203" t="s">
        <v>271</v>
      </c>
      <c r="Q203" t="s">
        <v>524</v>
      </c>
    </row>
    <row r="204" spans="1:17" x14ac:dyDescent="0.3">
      <c r="A204">
        <f t="shared" si="5"/>
        <v>203</v>
      </c>
      <c r="L204" t="s">
        <v>272</v>
      </c>
      <c r="Q204" t="s">
        <v>475</v>
      </c>
    </row>
    <row r="205" spans="1:17" x14ac:dyDescent="0.3">
      <c r="A205">
        <f t="shared" si="5"/>
        <v>204</v>
      </c>
      <c r="L205" t="s">
        <v>273</v>
      </c>
      <c r="Q205" t="s">
        <v>525</v>
      </c>
    </row>
    <row r="206" spans="1:17" x14ac:dyDescent="0.3">
      <c r="A206">
        <f t="shared" si="5"/>
        <v>205</v>
      </c>
      <c r="L206" t="s">
        <v>274</v>
      </c>
      <c r="Q206" t="s">
        <v>418</v>
      </c>
    </row>
    <row r="207" spans="1:17" x14ac:dyDescent="0.3">
      <c r="A207">
        <f t="shared" si="5"/>
        <v>206</v>
      </c>
      <c r="L207" t="s">
        <v>275</v>
      </c>
      <c r="Q207" t="s">
        <v>526</v>
      </c>
    </row>
    <row r="208" spans="1:17" x14ac:dyDescent="0.3">
      <c r="A208">
        <f t="shared" si="5"/>
        <v>207</v>
      </c>
      <c r="L208" t="s">
        <v>276</v>
      </c>
      <c r="Q208" t="s">
        <v>527</v>
      </c>
    </row>
    <row r="209" spans="1:17" x14ac:dyDescent="0.3">
      <c r="A209">
        <f t="shared" si="5"/>
        <v>208</v>
      </c>
      <c r="L209" t="s">
        <v>277</v>
      </c>
      <c r="Q209" t="s">
        <v>528</v>
      </c>
    </row>
    <row r="210" spans="1:17" x14ac:dyDescent="0.3">
      <c r="A210">
        <f t="shared" si="5"/>
        <v>209</v>
      </c>
      <c r="L210" t="s">
        <v>278</v>
      </c>
      <c r="Q210" t="s">
        <v>529</v>
      </c>
    </row>
    <row r="211" spans="1:17" x14ac:dyDescent="0.3">
      <c r="A211">
        <f t="shared" si="5"/>
        <v>210</v>
      </c>
      <c r="L211" t="s">
        <v>279</v>
      </c>
      <c r="Q211" t="s">
        <v>530</v>
      </c>
    </row>
    <row r="212" spans="1:17" x14ac:dyDescent="0.3">
      <c r="A212">
        <f t="shared" si="5"/>
        <v>211</v>
      </c>
      <c r="L212" t="s">
        <v>280</v>
      </c>
      <c r="Q212" t="s">
        <v>531</v>
      </c>
    </row>
    <row r="213" spans="1:17" x14ac:dyDescent="0.3">
      <c r="Q213" t="s">
        <v>532</v>
      </c>
    </row>
    <row r="214" spans="1:17" x14ac:dyDescent="0.3">
      <c r="Q214" t="s">
        <v>533</v>
      </c>
    </row>
    <row r="215" spans="1:17" x14ac:dyDescent="0.3">
      <c r="Q215" t="s">
        <v>534</v>
      </c>
    </row>
    <row r="216" spans="1:17" x14ac:dyDescent="0.3">
      <c r="Q216" t="s">
        <v>535</v>
      </c>
    </row>
    <row r="217" spans="1:17" x14ac:dyDescent="0.3">
      <c r="Q217" t="s">
        <v>536</v>
      </c>
    </row>
    <row r="218" spans="1:17" x14ac:dyDescent="0.3">
      <c r="Q218" t="s">
        <v>537</v>
      </c>
    </row>
    <row r="219" spans="1:17" x14ac:dyDescent="0.3">
      <c r="Q219" t="s">
        <v>538</v>
      </c>
    </row>
    <row r="220" spans="1:17" x14ac:dyDescent="0.3">
      <c r="Q220" t="s">
        <v>539</v>
      </c>
    </row>
    <row r="221" spans="1:17" x14ac:dyDescent="0.3">
      <c r="Q221" t="s">
        <v>540</v>
      </c>
    </row>
    <row r="222" spans="1:17" x14ac:dyDescent="0.3">
      <c r="Q222" t="s">
        <v>541</v>
      </c>
    </row>
    <row r="223" spans="1:17" x14ac:dyDescent="0.3">
      <c r="Q223" t="s">
        <v>542</v>
      </c>
    </row>
    <row r="224" spans="1:17" x14ac:dyDescent="0.3">
      <c r="Q224" t="s">
        <v>543</v>
      </c>
    </row>
    <row r="225" spans="17:17" x14ac:dyDescent="0.3">
      <c r="Q225" t="s">
        <v>544</v>
      </c>
    </row>
    <row r="226" spans="17:17" x14ac:dyDescent="0.3">
      <c r="Q226" t="s">
        <v>545</v>
      </c>
    </row>
    <row r="227" spans="17:17" x14ac:dyDescent="0.3">
      <c r="Q227" t="s">
        <v>546</v>
      </c>
    </row>
    <row r="228" spans="17:17" x14ac:dyDescent="0.3">
      <c r="Q228" t="s">
        <v>547</v>
      </c>
    </row>
    <row r="229" spans="17:17" x14ac:dyDescent="0.3">
      <c r="Q229" t="s">
        <v>548</v>
      </c>
    </row>
    <row r="230" spans="17:17" x14ac:dyDescent="0.3">
      <c r="Q230" t="s">
        <v>549</v>
      </c>
    </row>
    <row r="231" spans="17:17" x14ac:dyDescent="0.3">
      <c r="Q231" t="s">
        <v>550</v>
      </c>
    </row>
    <row r="232" spans="17:17" x14ac:dyDescent="0.3">
      <c r="Q232" t="s">
        <v>551</v>
      </c>
    </row>
    <row r="233" spans="17:17" x14ac:dyDescent="0.3">
      <c r="Q233" t="s">
        <v>552</v>
      </c>
    </row>
    <row r="234" spans="17:17" x14ac:dyDescent="0.3">
      <c r="Q234" t="s">
        <v>553</v>
      </c>
    </row>
    <row r="235" spans="17:17" x14ac:dyDescent="0.3">
      <c r="Q235" t="s">
        <v>554</v>
      </c>
    </row>
    <row r="236" spans="17:17" x14ac:dyDescent="0.3">
      <c r="Q236" t="s">
        <v>555</v>
      </c>
    </row>
    <row r="237" spans="17:17" x14ac:dyDescent="0.3">
      <c r="Q237" t="s">
        <v>512</v>
      </c>
    </row>
    <row r="238" spans="17:17" x14ac:dyDescent="0.3">
      <c r="Q238" t="s">
        <v>520</v>
      </c>
    </row>
    <row r="239" spans="17:17" x14ac:dyDescent="0.3">
      <c r="Q239" t="s">
        <v>556</v>
      </c>
    </row>
    <row r="240" spans="17:17" x14ac:dyDescent="0.3">
      <c r="Q240" t="s">
        <v>557</v>
      </c>
    </row>
    <row r="241" spans="17:17" x14ac:dyDescent="0.3">
      <c r="Q241" t="s">
        <v>548</v>
      </c>
    </row>
    <row r="242" spans="17:17" x14ac:dyDescent="0.3">
      <c r="Q242" t="s">
        <v>558</v>
      </c>
    </row>
    <row r="243" spans="17:17" x14ac:dyDescent="0.3">
      <c r="Q243" t="s">
        <v>559</v>
      </c>
    </row>
    <row r="244" spans="17:17" x14ac:dyDescent="0.3">
      <c r="Q244" t="s">
        <v>560</v>
      </c>
    </row>
    <row r="245" spans="17:17" x14ac:dyDescent="0.3">
      <c r="Q245" t="s">
        <v>561</v>
      </c>
    </row>
    <row r="246" spans="17:17" x14ac:dyDescent="0.3">
      <c r="Q246" t="s">
        <v>562</v>
      </c>
    </row>
    <row r="247" spans="17:17" x14ac:dyDescent="0.3">
      <c r="Q247" t="s">
        <v>563</v>
      </c>
    </row>
    <row r="248" spans="17:17" x14ac:dyDescent="0.3">
      <c r="Q248" t="s">
        <v>564</v>
      </c>
    </row>
    <row r="249" spans="17:17" x14ac:dyDescent="0.3">
      <c r="Q249" t="s">
        <v>565</v>
      </c>
    </row>
    <row r="250" spans="17:17" x14ac:dyDescent="0.3">
      <c r="Q250" t="s">
        <v>566</v>
      </c>
    </row>
    <row r="251" spans="17:17" x14ac:dyDescent="0.3">
      <c r="Q251" t="s">
        <v>566</v>
      </c>
    </row>
    <row r="252" spans="17:17" x14ac:dyDescent="0.3">
      <c r="Q252" t="s">
        <v>567</v>
      </c>
    </row>
    <row r="253" spans="17:17" x14ac:dyDescent="0.3">
      <c r="Q253" t="s">
        <v>568</v>
      </c>
    </row>
    <row r="254" spans="17:17" x14ac:dyDescent="0.3">
      <c r="Q254" t="s">
        <v>569</v>
      </c>
    </row>
    <row r="255" spans="17:17" x14ac:dyDescent="0.3">
      <c r="Q255" t="s">
        <v>524</v>
      </c>
    </row>
    <row r="256" spans="17:17" x14ac:dyDescent="0.3">
      <c r="Q256" t="s">
        <v>570</v>
      </c>
    </row>
    <row r="257" spans="17:17" x14ac:dyDescent="0.3">
      <c r="Q257" t="s">
        <v>571</v>
      </c>
    </row>
    <row r="258" spans="17:17" x14ac:dyDescent="0.3">
      <c r="Q258" t="s">
        <v>572</v>
      </c>
    </row>
    <row r="259" spans="17:17" x14ac:dyDescent="0.3">
      <c r="Q259" t="s">
        <v>573</v>
      </c>
    </row>
    <row r="260" spans="17:17" x14ac:dyDescent="0.3">
      <c r="Q260" t="s">
        <v>574</v>
      </c>
    </row>
    <row r="261" spans="17:17" x14ac:dyDescent="0.3">
      <c r="Q261" t="s">
        <v>524</v>
      </c>
    </row>
    <row r="262" spans="17:17" x14ac:dyDescent="0.3">
      <c r="Q262" t="s">
        <v>569</v>
      </c>
    </row>
    <row r="263" spans="17:17" x14ac:dyDescent="0.3">
      <c r="Q263" t="s">
        <v>575</v>
      </c>
    </row>
    <row r="264" spans="17:17" x14ac:dyDescent="0.3">
      <c r="Q264" t="s">
        <v>576</v>
      </c>
    </row>
    <row r="265" spans="17:17" x14ac:dyDescent="0.3">
      <c r="Q265" t="s">
        <v>543</v>
      </c>
    </row>
    <row r="266" spans="17:17" x14ac:dyDescent="0.3">
      <c r="Q266" t="s">
        <v>520</v>
      </c>
    </row>
    <row r="267" spans="17:17" x14ac:dyDescent="0.3">
      <c r="Q267" t="s">
        <v>512</v>
      </c>
    </row>
    <row r="268" spans="17:17" x14ac:dyDescent="0.3">
      <c r="Q268" t="s">
        <v>555</v>
      </c>
    </row>
    <row r="269" spans="17:17" x14ac:dyDescent="0.3">
      <c r="Q269" t="s">
        <v>577</v>
      </c>
    </row>
    <row r="270" spans="17:17" x14ac:dyDescent="0.3">
      <c r="Q270" t="s">
        <v>578</v>
      </c>
    </row>
    <row r="271" spans="17:17" x14ac:dyDescent="0.3">
      <c r="Q271" t="s">
        <v>579</v>
      </c>
    </row>
    <row r="272" spans="17:17" x14ac:dyDescent="0.3">
      <c r="Q272" t="s">
        <v>580</v>
      </c>
    </row>
    <row r="273" spans="17:17" x14ac:dyDescent="0.3">
      <c r="Q273" t="s">
        <v>581</v>
      </c>
    </row>
    <row r="274" spans="17:17" x14ac:dyDescent="0.3">
      <c r="Q274" t="s">
        <v>582</v>
      </c>
    </row>
    <row r="275" spans="17:17" x14ac:dyDescent="0.3">
      <c r="Q275" t="s">
        <v>583</v>
      </c>
    </row>
    <row r="276" spans="17:17" x14ac:dyDescent="0.3">
      <c r="Q276" t="s">
        <v>584</v>
      </c>
    </row>
    <row r="277" spans="17:17" x14ac:dyDescent="0.3">
      <c r="Q277" t="s">
        <v>585</v>
      </c>
    </row>
    <row r="278" spans="17:17" x14ac:dyDescent="0.3">
      <c r="Q278" t="s">
        <v>586</v>
      </c>
    </row>
    <row r="279" spans="17:17" x14ac:dyDescent="0.3">
      <c r="Q279" t="s">
        <v>587</v>
      </c>
    </row>
    <row r="280" spans="17:17" x14ac:dyDescent="0.3">
      <c r="Q280" t="s">
        <v>588</v>
      </c>
    </row>
    <row r="281" spans="17:17" x14ac:dyDescent="0.3">
      <c r="Q281" t="s">
        <v>589</v>
      </c>
    </row>
    <row r="282" spans="17:17" x14ac:dyDescent="0.3">
      <c r="Q282" t="s">
        <v>590</v>
      </c>
    </row>
    <row r="283" spans="17:17" x14ac:dyDescent="0.3">
      <c r="Q283" t="s">
        <v>591</v>
      </c>
    </row>
    <row r="284" spans="17:17" x14ac:dyDescent="0.3">
      <c r="Q284" t="s">
        <v>592</v>
      </c>
    </row>
    <row r="285" spans="17:17" x14ac:dyDescent="0.3">
      <c r="Q285" t="s">
        <v>593</v>
      </c>
    </row>
    <row r="286" spans="17:17" x14ac:dyDescent="0.3">
      <c r="Q286" t="s">
        <v>544</v>
      </c>
    </row>
    <row r="287" spans="17:17" x14ac:dyDescent="0.3">
      <c r="Q287" t="s">
        <v>594</v>
      </c>
    </row>
    <row r="288" spans="17:17" x14ac:dyDescent="0.3">
      <c r="Q288" t="s">
        <v>595</v>
      </c>
    </row>
    <row r="289" spans="17:17" x14ac:dyDescent="0.3">
      <c r="Q289" t="s">
        <v>596</v>
      </c>
    </row>
    <row r="290" spans="17:17" x14ac:dyDescent="0.3">
      <c r="Q290" t="s">
        <v>597</v>
      </c>
    </row>
    <row r="291" spans="17:17" x14ac:dyDescent="0.3">
      <c r="Q291" t="s">
        <v>598</v>
      </c>
    </row>
    <row r="292" spans="17:17" x14ac:dyDescent="0.3">
      <c r="Q292" t="s">
        <v>599</v>
      </c>
    </row>
    <row r="293" spans="17:17" x14ac:dyDescent="0.3">
      <c r="Q293" t="s">
        <v>600</v>
      </c>
    </row>
    <row r="294" spans="17:17" x14ac:dyDescent="0.3">
      <c r="Q294" t="s">
        <v>601</v>
      </c>
    </row>
    <row r="295" spans="17:17" x14ac:dyDescent="0.3">
      <c r="Q295" t="s">
        <v>602</v>
      </c>
    </row>
    <row r="296" spans="17:17" x14ac:dyDescent="0.3">
      <c r="Q296" t="s">
        <v>603</v>
      </c>
    </row>
    <row r="297" spans="17:17" x14ac:dyDescent="0.3">
      <c r="Q297" t="s">
        <v>604</v>
      </c>
    </row>
    <row r="298" spans="17:17" x14ac:dyDescent="0.3">
      <c r="Q298" t="s">
        <v>605</v>
      </c>
    </row>
    <row r="299" spans="17:17" x14ac:dyDescent="0.3">
      <c r="Q299" t="s">
        <v>606</v>
      </c>
    </row>
    <row r="300" spans="17:17" x14ac:dyDescent="0.3">
      <c r="Q300" t="s">
        <v>588</v>
      </c>
    </row>
    <row r="301" spans="17:17" x14ac:dyDescent="0.3">
      <c r="Q301" t="s">
        <v>607</v>
      </c>
    </row>
    <row r="302" spans="17:17" x14ac:dyDescent="0.3">
      <c r="Q302" t="s">
        <v>608</v>
      </c>
    </row>
    <row r="303" spans="17:17" x14ac:dyDescent="0.3">
      <c r="Q303" t="s">
        <v>609</v>
      </c>
    </row>
    <row r="304" spans="17:17" x14ac:dyDescent="0.3">
      <c r="Q304" t="s">
        <v>610</v>
      </c>
    </row>
    <row r="305" spans="17:17" x14ac:dyDescent="0.3">
      <c r="Q305" t="s">
        <v>611</v>
      </c>
    </row>
    <row r="306" spans="17:17" x14ac:dyDescent="0.3">
      <c r="Q306" t="s">
        <v>612</v>
      </c>
    </row>
    <row r="307" spans="17:17" x14ac:dyDescent="0.3">
      <c r="Q307" t="s">
        <v>613</v>
      </c>
    </row>
    <row r="308" spans="17:17" x14ac:dyDescent="0.3">
      <c r="Q308" t="s">
        <v>614</v>
      </c>
    </row>
    <row r="309" spans="17:17" x14ac:dyDescent="0.3">
      <c r="Q309" t="s">
        <v>615</v>
      </c>
    </row>
    <row r="310" spans="17:17" x14ac:dyDescent="0.3">
      <c r="Q310" t="s">
        <v>616</v>
      </c>
    </row>
    <row r="311" spans="17:17" x14ac:dyDescent="0.3">
      <c r="Q311" t="s">
        <v>617</v>
      </c>
    </row>
    <row r="312" spans="17:17" x14ac:dyDescent="0.3">
      <c r="Q312" t="s">
        <v>616</v>
      </c>
    </row>
    <row r="313" spans="17:17" x14ac:dyDescent="0.3">
      <c r="Q313" t="s">
        <v>618</v>
      </c>
    </row>
    <row r="314" spans="17:17" x14ac:dyDescent="0.3">
      <c r="Q314" t="s">
        <v>619</v>
      </c>
    </row>
    <row r="315" spans="17:17" x14ac:dyDescent="0.3">
      <c r="Q315" t="s">
        <v>620</v>
      </c>
    </row>
    <row r="316" spans="17:17" x14ac:dyDescent="0.3">
      <c r="Q316" t="s">
        <v>621</v>
      </c>
    </row>
    <row r="317" spans="17:17" x14ac:dyDescent="0.3">
      <c r="Q317" t="s">
        <v>622</v>
      </c>
    </row>
    <row r="318" spans="17:17" x14ac:dyDescent="0.3">
      <c r="Q318" t="s">
        <v>623</v>
      </c>
    </row>
    <row r="319" spans="17:17" x14ac:dyDescent="0.3">
      <c r="Q319" t="s">
        <v>624</v>
      </c>
    </row>
    <row r="320" spans="17:17" x14ac:dyDescent="0.3">
      <c r="Q320" t="s">
        <v>625</v>
      </c>
    </row>
    <row r="321" spans="17:17" x14ac:dyDescent="0.3">
      <c r="Q321" t="s">
        <v>626</v>
      </c>
    </row>
    <row r="322" spans="17:17" x14ac:dyDescent="0.3">
      <c r="Q322" t="s">
        <v>627</v>
      </c>
    </row>
    <row r="323" spans="17:17" x14ac:dyDescent="0.3">
      <c r="Q323" t="s">
        <v>628</v>
      </c>
    </row>
    <row r="324" spans="17:17" x14ac:dyDescent="0.3">
      <c r="Q324" t="s">
        <v>629</v>
      </c>
    </row>
    <row r="325" spans="17:17" x14ac:dyDescent="0.3">
      <c r="Q325" t="s">
        <v>630</v>
      </c>
    </row>
    <row r="326" spans="17:17" x14ac:dyDescent="0.3">
      <c r="Q326" t="s">
        <v>631</v>
      </c>
    </row>
    <row r="327" spans="17:17" x14ac:dyDescent="0.3">
      <c r="Q327" t="s">
        <v>632</v>
      </c>
    </row>
    <row r="328" spans="17:17" x14ac:dyDescent="0.3">
      <c r="Q328" t="s">
        <v>633</v>
      </c>
    </row>
    <row r="329" spans="17:17" x14ac:dyDescent="0.3">
      <c r="Q329" t="s">
        <v>634</v>
      </c>
    </row>
    <row r="330" spans="17:17" x14ac:dyDescent="0.3">
      <c r="Q330" t="s">
        <v>635</v>
      </c>
    </row>
    <row r="331" spans="17:17" x14ac:dyDescent="0.3">
      <c r="Q331" t="s">
        <v>636</v>
      </c>
    </row>
    <row r="332" spans="17:17" x14ac:dyDescent="0.3">
      <c r="Q332" t="s">
        <v>637</v>
      </c>
    </row>
    <row r="333" spans="17:17" x14ac:dyDescent="0.3">
      <c r="Q333" t="s">
        <v>638</v>
      </c>
    </row>
    <row r="334" spans="17:17" x14ac:dyDescent="0.3">
      <c r="Q334" t="s">
        <v>639</v>
      </c>
    </row>
    <row r="335" spans="17:17" x14ac:dyDescent="0.3">
      <c r="Q335" t="s">
        <v>550</v>
      </c>
    </row>
    <row r="336" spans="17:17" x14ac:dyDescent="0.3">
      <c r="Q336" t="s">
        <v>640</v>
      </c>
    </row>
    <row r="337" spans="17:17" x14ac:dyDescent="0.3">
      <c r="Q337" t="s">
        <v>641</v>
      </c>
    </row>
    <row r="338" spans="17:17" x14ac:dyDescent="0.3">
      <c r="Q338" t="s">
        <v>642</v>
      </c>
    </row>
    <row r="339" spans="17:17" x14ac:dyDescent="0.3">
      <c r="Q339" t="s">
        <v>643</v>
      </c>
    </row>
    <row r="340" spans="17:17" x14ac:dyDescent="0.3">
      <c r="Q340" t="s">
        <v>639</v>
      </c>
    </row>
    <row r="341" spans="17:17" x14ac:dyDescent="0.3">
      <c r="Q341" t="s">
        <v>644</v>
      </c>
    </row>
    <row r="342" spans="17:17" x14ac:dyDescent="0.3">
      <c r="Q342" t="s">
        <v>645</v>
      </c>
    </row>
    <row r="343" spans="17:17" x14ac:dyDescent="0.3">
      <c r="Q343" t="s">
        <v>645</v>
      </c>
    </row>
    <row r="344" spans="17:17" x14ac:dyDescent="0.3">
      <c r="Q344" t="s">
        <v>646</v>
      </c>
    </row>
    <row r="345" spans="17:17" x14ac:dyDescent="0.3">
      <c r="Q345" t="s">
        <v>647</v>
      </c>
    </row>
    <row r="346" spans="17:17" x14ac:dyDescent="0.3">
      <c r="Q346" t="s">
        <v>648</v>
      </c>
    </row>
    <row r="347" spans="17:17" x14ac:dyDescent="0.3">
      <c r="Q347" t="s">
        <v>649</v>
      </c>
    </row>
    <row r="348" spans="17:17" x14ac:dyDescent="0.3">
      <c r="Q348" t="s">
        <v>650</v>
      </c>
    </row>
    <row r="349" spans="17:17" x14ac:dyDescent="0.3">
      <c r="Q349" t="s">
        <v>651</v>
      </c>
    </row>
    <row r="350" spans="17:17" x14ac:dyDescent="0.3">
      <c r="Q350" t="s">
        <v>652</v>
      </c>
    </row>
    <row r="351" spans="17:17" x14ac:dyDescent="0.3">
      <c r="Q351" t="s">
        <v>653</v>
      </c>
    </row>
    <row r="352" spans="17:17" x14ac:dyDescent="0.3">
      <c r="Q352" t="s">
        <v>654</v>
      </c>
    </row>
    <row r="353" spans="17:17" x14ac:dyDescent="0.3">
      <c r="Q353" t="s">
        <v>655</v>
      </c>
    </row>
    <row r="354" spans="17:17" x14ac:dyDescent="0.3">
      <c r="Q354" t="s">
        <v>656</v>
      </c>
    </row>
    <row r="355" spans="17:17" x14ac:dyDescent="0.3">
      <c r="Q355" t="s">
        <v>657</v>
      </c>
    </row>
    <row r="356" spans="17:17" x14ac:dyDescent="0.3">
      <c r="Q356" t="s">
        <v>658</v>
      </c>
    </row>
    <row r="357" spans="17:17" x14ac:dyDescent="0.3">
      <c r="Q357" t="s">
        <v>658</v>
      </c>
    </row>
    <row r="358" spans="17:17" x14ac:dyDescent="0.3">
      <c r="Q358" t="s">
        <v>657</v>
      </c>
    </row>
    <row r="359" spans="17:17" x14ac:dyDescent="0.3">
      <c r="Q359" t="s">
        <v>658</v>
      </c>
    </row>
    <row r="360" spans="17:17" x14ac:dyDescent="0.3">
      <c r="Q360" t="s">
        <v>659</v>
      </c>
    </row>
    <row r="361" spans="17:17" x14ac:dyDescent="0.3">
      <c r="Q361" t="s">
        <v>660</v>
      </c>
    </row>
    <row r="362" spans="17:17" x14ac:dyDescent="0.3">
      <c r="Q362" t="s">
        <v>661</v>
      </c>
    </row>
    <row r="363" spans="17:17" x14ac:dyDescent="0.3">
      <c r="Q363" t="s">
        <v>396</v>
      </c>
    </row>
    <row r="364" spans="17:17" x14ac:dyDescent="0.3">
      <c r="Q364" t="s">
        <v>662</v>
      </c>
    </row>
    <row r="365" spans="17:17" x14ac:dyDescent="0.3">
      <c r="Q365" t="s">
        <v>663</v>
      </c>
    </row>
    <row r="366" spans="17:17" x14ac:dyDescent="0.3">
      <c r="Q366" t="s">
        <v>664</v>
      </c>
    </row>
    <row r="367" spans="17:17" x14ac:dyDescent="0.3">
      <c r="Q367" t="s">
        <v>665</v>
      </c>
    </row>
    <row r="368" spans="17:17" x14ac:dyDescent="0.3">
      <c r="Q368" t="s">
        <v>666</v>
      </c>
    </row>
    <row r="369" spans="17:17" x14ac:dyDescent="0.3">
      <c r="Q369" t="s">
        <v>667</v>
      </c>
    </row>
    <row r="370" spans="17:17" x14ac:dyDescent="0.3">
      <c r="Q370" t="s">
        <v>659</v>
      </c>
    </row>
    <row r="371" spans="17:17" x14ac:dyDescent="0.3">
      <c r="Q371" t="s">
        <v>668</v>
      </c>
    </row>
    <row r="372" spans="17:17" x14ac:dyDescent="0.3">
      <c r="Q372" t="s">
        <v>667</v>
      </c>
    </row>
    <row r="373" spans="17:17" x14ac:dyDescent="0.3">
      <c r="Q373" t="s">
        <v>669</v>
      </c>
    </row>
    <row r="374" spans="17:17" x14ac:dyDescent="0.3">
      <c r="Q374" t="s">
        <v>670</v>
      </c>
    </row>
    <row r="375" spans="17:17" x14ac:dyDescent="0.3">
      <c r="Q375" t="s">
        <v>671</v>
      </c>
    </row>
    <row r="376" spans="17:17" x14ac:dyDescent="0.3">
      <c r="Q376" t="s">
        <v>672</v>
      </c>
    </row>
    <row r="377" spans="17:17" x14ac:dyDescent="0.3">
      <c r="Q377" t="s">
        <v>673</v>
      </c>
    </row>
    <row r="378" spans="17:17" x14ac:dyDescent="0.3">
      <c r="Q378" t="s">
        <v>674</v>
      </c>
    </row>
    <row r="379" spans="17:17" x14ac:dyDescent="0.3">
      <c r="Q379" t="s">
        <v>657</v>
      </c>
    </row>
    <row r="380" spans="17:17" x14ac:dyDescent="0.3">
      <c r="Q380" t="s">
        <v>658</v>
      </c>
    </row>
    <row r="381" spans="17:17" x14ac:dyDescent="0.3">
      <c r="Q381" t="s">
        <v>657</v>
      </c>
    </row>
    <row r="382" spans="17:17" x14ac:dyDescent="0.3">
      <c r="Q382" t="s">
        <v>675</v>
      </c>
    </row>
    <row r="383" spans="17:17" x14ac:dyDescent="0.3">
      <c r="Q383" t="s">
        <v>676</v>
      </c>
    </row>
    <row r="384" spans="17:17" x14ac:dyDescent="0.3">
      <c r="Q384" t="s">
        <v>677</v>
      </c>
    </row>
    <row r="385" spans="17:17" x14ac:dyDescent="0.3">
      <c r="Q385" t="s">
        <v>678</v>
      </c>
    </row>
    <row r="386" spans="17:17" x14ac:dyDescent="0.3">
      <c r="Q386" t="s">
        <v>679</v>
      </c>
    </row>
    <row r="387" spans="17:17" x14ac:dyDescent="0.3">
      <c r="Q387" t="s">
        <v>657</v>
      </c>
    </row>
    <row r="388" spans="17:17" x14ac:dyDescent="0.3">
      <c r="Q388" t="s">
        <v>680</v>
      </c>
    </row>
    <row r="389" spans="17:17" x14ac:dyDescent="0.3">
      <c r="Q389" t="s">
        <v>681</v>
      </c>
    </row>
    <row r="390" spans="17:17" x14ac:dyDescent="0.3">
      <c r="Q390" t="s">
        <v>682</v>
      </c>
    </row>
    <row r="391" spans="17:17" x14ac:dyDescent="0.3">
      <c r="Q391" t="s">
        <v>683</v>
      </c>
    </row>
    <row r="392" spans="17:17" x14ac:dyDescent="0.3">
      <c r="Q392" t="s">
        <v>684</v>
      </c>
    </row>
    <row r="393" spans="17:17" x14ac:dyDescent="0.3">
      <c r="Q393" t="s">
        <v>685</v>
      </c>
    </row>
    <row r="394" spans="17:17" x14ac:dyDescent="0.3">
      <c r="Q394" t="s">
        <v>686</v>
      </c>
    </row>
    <row r="395" spans="17:17" x14ac:dyDescent="0.3">
      <c r="Q395" t="s">
        <v>687</v>
      </c>
    </row>
    <row r="396" spans="17:17" x14ac:dyDescent="0.3">
      <c r="Q396" t="s">
        <v>688</v>
      </c>
    </row>
    <row r="397" spans="17:17" x14ac:dyDescent="0.3">
      <c r="Q397" t="s">
        <v>689</v>
      </c>
    </row>
    <row r="398" spans="17:17" x14ac:dyDescent="0.3">
      <c r="Q398" t="s">
        <v>690</v>
      </c>
    </row>
    <row r="399" spans="17:17" x14ac:dyDescent="0.3">
      <c r="Q399" t="s">
        <v>691</v>
      </c>
    </row>
    <row r="400" spans="17:17" x14ac:dyDescent="0.3">
      <c r="Q400" t="s">
        <v>692</v>
      </c>
    </row>
    <row r="401" spans="17:17" x14ac:dyDescent="0.3">
      <c r="Q401" t="s">
        <v>693</v>
      </c>
    </row>
    <row r="402" spans="17:17" x14ac:dyDescent="0.3">
      <c r="Q402" t="s">
        <v>694</v>
      </c>
    </row>
    <row r="403" spans="17:17" x14ac:dyDescent="0.3">
      <c r="Q403" t="s">
        <v>695</v>
      </c>
    </row>
    <row r="404" spans="17:17" x14ac:dyDescent="0.3">
      <c r="Q404" t="s">
        <v>696</v>
      </c>
    </row>
    <row r="405" spans="17:17" x14ac:dyDescent="0.3">
      <c r="Q405" t="s">
        <v>697</v>
      </c>
    </row>
    <row r="406" spans="17:17" x14ac:dyDescent="0.3">
      <c r="Q406" t="s">
        <v>698</v>
      </c>
    </row>
    <row r="407" spans="17:17" x14ac:dyDescent="0.3">
      <c r="Q407" t="s">
        <v>699</v>
      </c>
    </row>
    <row r="408" spans="17:17" x14ac:dyDescent="0.3">
      <c r="Q408" t="s">
        <v>700</v>
      </c>
    </row>
    <row r="409" spans="17:17" x14ac:dyDescent="0.3">
      <c r="Q409" t="s">
        <v>701</v>
      </c>
    </row>
    <row r="410" spans="17:17" x14ac:dyDescent="0.3">
      <c r="Q410" t="s">
        <v>702</v>
      </c>
    </row>
    <row r="411" spans="17:17" x14ac:dyDescent="0.3">
      <c r="Q411" t="s">
        <v>665</v>
      </c>
    </row>
    <row r="412" spans="17:17" x14ac:dyDescent="0.3">
      <c r="Q412" t="s">
        <v>703</v>
      </c>
    </row>
    <row r="413" spans="17:17" x14ac:dyDescent="0.3">
      <c r="Q413" t="s">
        <v>704</v>
      </c>
    </row>
    <row r="414" spans="17:17" x14ac:dyDescent="0.3">
      <c r="Q414" t="s">
        <v>705</v>
      </c>
    </row>
    <row r="415" spans="17:17" x14ac:dyDescent="0.3">
      <c r="Q415" t="s">
        <v>706</v>
      </c>
    </row>
    <row r="416" spans="17:17" x14ac:dyDescent="0.3">
      <c r="Q416" t="s">
        <v>707</v>
      </c>
    </row>
    <row r="417" spans="17:17" x14ac:dyDescent="0.3">
      <c r="Q417" t="s">
        <v>706</v>
      </c>
    </row>
    <row r="418" spans="17:17" x14ac:dyDescent="0.3">
      <c r="Q418" t="s">
        <v>708</v>
      </c>
    </row>
    <row r="419" spans="17:17" x14ac:dyDescent="0.3">
      <c r="Q419" t="s">
        <v>709</v>
      </c>
    </row>
    <row r="420" spans="17:17" x14ac:dyDescent="0.3">
      <c r="Q420" t="s">
        <v>710</v>
      </c>
    </row>
    <row r="421" spans="17:17" x14ac:dyDescent="0.3">
      <c r="Q421" t="s">
        <v>711</v>
      </c>
    </row>
    <row r="422" spans="17:17" x14ac:dyDescent="0.3">
      <c r="Q422" t="s">
        <v>712</v>
      </c>
    </row>
    <row r="423" spans="17:17" x14ac:dyDescent="0.3">
      <c r="Q423" t="s">
        <v>713</v>
      </c>
    </row>
    <row r="424" spans="17:17" x14ac:dyDescent="0.3">
      <c r="Q424" t="s">
        <v>714</v>
      </c>
    </row>
    <row r="425" spans="17:17" x14ac:dyDescent="0.3">
      <c r="Q425" t="s">
        <v>715</v>
      </c>
    </row>
    <row r="426" spans="17:17" x14ac:dyDescent="0.3">
      <c r="Q426" t="s">
        <v>716</v>
      </c>
    </row>
    <row r="427" spans="17:17" x14ac:dyDescent="0.3">
      <c r="Q427" t="s">
        <v>717</v>
      </c>
    </row>
    <row r="428" spans="17:17" x14ac:dyDescent="0.3">
      <c r="Q428" t="s">
        <v>716</v>
      </c>
    </row>
    <row r="429" spans="17:17" x14ac:dyDescent="0.3">
      <c r="Q429" t="s">
        <v>718</v>
      </c>
    </row>
    <row r="430" spans="17:17" x14ac:dyDescent="0.3">
      <c r="Q430" t="s">
        <v>719</v>
      </c>
    </row>
    <row r="431" spans="17:17" x14ac:dyDescent="0.3">
      <c r="Q431" t="s">
        <v>720</v>
      </c>
    </row>
    <row r="432" spans="17:17" x14ac:dyDescent="0.3">
      <c r="Q432" t="s">
        <v>700</v>
      </c>
    </row>
    <row r="433" spans="17:17" x14ac:dyDescent="0.3">
      <c r="Q433" t="s">
        <v>721</v>
      </c>
    </row>
    <row r="434" spans="17:17" x14ac:dyDescent="0.3">
      <c r="Q434" t="s">
        <v>722</v>
      </c>
    </row>
    <row r="435" spans="17:17" x14ac:dyDescent="0.3">
      <c r="Q435" t="s">
        <v>723</v>
      </c>
    </row>
    <row r="436" spans="17:17" x14ac:dyDescent="0.3">
      <c r="Q436" t="s">
        <v>724</v>
      </c>
    </row>
    <row r="437" spans="17:17" x14ac:dyDescent="0.3">
      <c r="Q437" t="s">
        <v>725</v>
      </c>
    </row>
    <row r="438" spans="17:17" x14ac:dyDescent="0.3">
      <c r="Q438" t="s">
        <v>726</v>
      </c>
    </row>
    <row r="439" spans="17:17" x14ac:dyDescent="0.3">
      <c r="Q439" t="s">
        <v>727</v>
      </c>
    </row>
    <row r="440" spans="17:17" x14ac:dyDescent="0.3">
      <c r="Q440" t="s">
        <v>728</v>
      </c>
    </row>
    <row r="441" spans="17:17" x14ac:dyDescent="0.3">
      <c r="Q441" t="s">
        <v>729</v>
      </c>
    </row>
    <row r="442" spans="17:17" x14ac:dyDescent="0.3">
      <c r="Q442" t="s">
        <v>712</v>
      </c>
    </row>
    <row r="443" spans="17:17" x14ac:dyDescent="0.3">
      <c r="Q443" t="s">
        <v>730</v>
      </c>
    </row>
    <row r="444" spans="17:17" x14ac:dyDescent="0.3">
      <c r="Q444" t="s">
        <v>731</v>
      </c>
    </row>
    <row r="445" spans="17:17" x14ac:dyDescent="0.3">
      <c r="Q445" t="s">
        <v>732</v>
      </c>
    </row>
    <row r="446" spans="17:17" x14ac:dyDescent="0.3">
      <c r="Q446" t="s">
        <v>722</v>
      </c>
    </row>
    <row r="447" spans="17:17" x14ac:dyDescent="0.3">
      <c r="Q447" t="s">
        <v>733</v>
      </c>
    </row>
    <row r="448" spans="17:17" x14ac:dyDescent="0.3">
      <c r="Q448" t="s">
        <v>702</v>
      </c>
    </row>
    <row r="449" spans="17:17" x14ac:dyDescent="0.3">
      <c r="Q449" t="s">
        <v>734</v>
      </c>
    </row>
    <row r="450" spans="17:17" x14ac:dyDescent="0.3">
      <c r="Q450" t="s">
        <v>735</v>
      </c>
    </row>
    <row r="451" spans="17:17" x14ac:dyDescent="0.3">
      <c r="Q451" t="s">
        <v>736</v>
      </c>
    </row>
    <row r="452" spans="17:17" x14ac:dyDescent="0.3">
      <c r="Q452" t="s">
        <v>737</v>
      </c>
    </row>
    <row r="453" spans="17:17" x14ac:dyDescent="0.3">
      <c r="Q453" t="s">
        <v>738</v>
      </c>
    </row>
    <row r="454" spans="17:17" x14ac:dyDescent="0.3">
      <c r="Q454" t="s">
        <v>650</v>
      </c>
    </row>
    <row r="455" spans="17:17" x14ac:dyDescent="0.3">
      <c r="Q455" t="s">
        <v>739</v>
      </c>
    </row>
    <row r="456" spans="17:17" x14ac:dyDescent="0.3">
      <c r="Q456" t="s">
        <v>740</v>
      </c>
    </row>
    <row r="457" spans="17:17" x14ac:dyDescent="0.3">
      <c r="Q457" t="s">
        <v>741</v>
      </c>
    </row>
    <row r="458" spans="17:17" x14ac:dyDescent="0.3">
      <c r="Q458" t="s">
        <v>742</v>
      </c>
    </row>
    <row r="459" spans="17:17" x14ac:dyDescent="0.3">
      <c r="Q459" t="s">
        <v>743</v>
      </c>
    </row>
    <row r="460" spans="17:17" x14ac:dyDescent="0.3">
      <c r="Q460" t="s">
        <v>744</v>
      </c>
    </row>
    <row r="461" spans="17:17" x14ac:dyDescent="0.3">
      <c r="Q461" t="s">
        <v>745</v>
      </c>
    </row>
    <row r="462" spans="17:17" x14ac:dyDescent="0.3">
      <c r="Q462" t="s">
        <v>719</v>
      </c>
    </row>
    <row r="463" spans="17:17" x14ac:dyDescent="0.3">
      <c r="Q463" t="s">
        <v>746</v>
      </c>
    </row>
    <row r="464" spans="17:17" x14ac:dyDescent="0.3">
      <c r="Q464" t="s">
        <v>747</v>
      </c>
    </row>
    <row r="465" spans="17:17" x14ac:dyDescent="0.3">
      <c r="Q465" t="s">
        <v>748</v>
      </c>
    </row>
    <row r="466" spans="17:17" x14ac:dyDescent="0.3">
      <c r="Q466" t="s">
        <v>749</v>
      </c>
    </row>
    <row r="467" spans="17:17" x14ac:dyDescent="0.3">
      <c r="Q467" t="s">
        <v>750</v>
      </c>
    </row>
    <row r="468" spans="17:17" x14ac:dyDescent="0.3">
      <c r="Q468" t="s">
        <v>751</v>
      </c>
    </row>
    <row r="469" spans="17:17" x14ac:dyDescent="0.3">
      <c r="Q469" t="s">
        <v>752</v>
      </c>
    </row>
    <row r="470" spans="17:17" x14ac:dyDescent="0.3">
      <c r="Q470" t="s">
        <v>753</v>
      </c>
    </row>
    <row r="471" spans="17:17" x14ac:dyDescent="0.3">
      <c r="Q471" t="s">
        <v>754</v>
      </c>
    </row>
    <row r="472" spans="17:17" x14ac:dyDescent="0.3">
      <c r="Q472" t="s">
        <v>688</v>
      </c>
    </row>
    <row r="473" spans="17:17" x14ac:dyDescent="0.3">
      <c r="Q473" t="s">
        <v>755</v>
      </c>
    </row>
    <row r="474" spans="17:17" x14ac:dyDescent="0.3">
      <c r="Q474" t="s">
        <v>756</v>
      </c>
    </row>
    <row r="475" spans="17:17" x14ac:dyDescent="0.3">
      <c r="Q475" t="s">
        <v>757</v>
      </c>
    </row>
    <row r="476" spans="17:17" x14ac:dyDescent="0.3">
      <c r="Q476" t="s">
        <v>758</v>
      </c>
    </row>
    <row r="477" spans="17:17" x14ac:dyDescent="0.3">
      <c r="Q477" t="s">
        <v>759</v>
      </c>
    </row>
    <row r="478" spans="17:17" x14ac:dyDescent="0.3">
      <c r="Q478" t="s">
        <v>701</v>
      </c>
    </row>
    <row r="479" spans="17:17" x14ac:dyDescent="0.3">
      <c r="Q479" t="s">
        <v>760</v>
      </c>
    </row>
    <row r="480" spans="17:17" x14ac:dyDescent="0.3">
      <c r="Q480" t="s">
        <v>761</v>
      </c>
    </row>
    <row r="481" spans="17:17" x14ac:dyDescent="0.3">
      <c r="Q481" t="s">
        <v>760</v>
      </c>
    </row>
    <row r="482" spans="17:17" x14ac:dyDescent="0.3">
      <c r="Q482" t="s">
        <v>762</v>
      </c>
    </row>
    <row r="483" spans="17:17" x14ac:dyDescent="0.3">
      <c r="Q483" t="s">
        <v>763</v>
      </c>
    </row>
    <row r="484" spans="17:17" x14ac:dyDescent="0.3">
      <c r="Q484" t="s">
        <v>764</v>
      </c>
    </row>
    <row r="485" spans="17:17" x14ac:dyDescent="0.3">
      <c r="Q485" t="s">
        <v>765</v>
      </c>
    </row>
    <row r="486" spans="17:17" x14ac:dyDescent="0.3">
      <c r="Q486" t="s">
        <v>766</v>
      </c>
    </row>
    <row r="487" spans="17:17" x14ac:dyDescent="0.3">
      <c r="Q487" t="s">
        <v>719</v>
      </c>
    </row>
    <row r="488" spans="17:17" x14ac:dyDescent="0.3">
      <c r="Q488" t="s">
        <v>754</v>
      </c>
    </row>
    <row r="489" spans="17:17" x14ac:dyDescent="0.3">
      <c r="Q489" t="s">
        <v>767</v>
      </c>
    </row>
    <row r="490" spans="17:17" x14ac:dyDescent="0.3">
      <c r="Q490" t="s">
        <v>768</v>
      </c>
    </row>
    <row r="491" spans="17:17" x14ac:dyDescent="0.3">
      <c r="Q491" t="s">
        <v>769</v>
      </c>
    </row>
    <row r="492" spans="17:17" x14ac:dyDescent="0.3">
      <c r="Q492" t="s">
        <v>770</v>
      </c>
    </row>
    <row r="493" spans="17:17" x14ac:dyDescent="0.3">
      <c r="Q493" t="s">
        <v>771</v>
      </c>
    </row>
    <row r="494" spans="17:17" x14ac:dyDescent="0.3">
      <c r="Q494" t="s">
        <v>772</v>
      </c>
    </row>
    <row r="495" spans="17:17" x14ac:dyDescent="0.3">
      <c r="Q495" t="s">
        <v>773</v>
      </c>
    </row>
    <row r="496" spans="17:17" x14ac:dyDescent="0.3">
      <c r="Q496" t="s">
        <v>774</v>
      </c>
    </row>
    <row r="497" spans="17:17" x14ac:dyDescent="0.3">
      <c r="Q497" t="s">
        <v>775</v>
      </c>
    </row>
    <row r="498" spans="17:17" x14ac:dyDescent="0.3">
      <c r="Q498" t="s">
        <v>776</v>
      </c>
    </row>
    <row r="499" spans="17:17" x14ac:dyDescent="0.3">
      <c r="Q499" t="s">
        <v>777</v>
      </c>
    </row>
    <row r="500" spans="17:17" x14ac:dyDescent="0.3">
      <c r="Q500" t="s">
        <v>778</v>
      </c>
    </row>
    <row r="501" spans="17:17" x14ac:dyDescent="0.3">
      <c r="Q501" t="s">
        <v>779</v>
      </c>
    </row>
    <row r="502" spans="17:17" x14ac:dyDescent="0.3">
      <c r="Q502" t="s">
        <v>780</v>
      </c>
    </row>
    <row r="503" spans="17:17" x14ac:dyDescent="0.3">
      <c r="Q503" t="s">
        <v>781</v>
      </c>
    </row>
    <row r="504" spans="17:17" x14ac:dyDescent="0.3">
      <c r="Q504" t="s">
        <v>782</v>
      </c>
    </row>
    <row r="505" spans="17:17" x14ac:dyDescent="0.3">
      <c r="Q505" t="s">
        <v>783</v>
      </c>
    </row>
    <row r="506" spans="17:17" x14ac:dyDescent="0.3">
      <c r="Q506" t="s">
        <v>784</v>
      </c>
    </row>
    <row r="507" spans="17:17" x14ac:dyDescent="0.3">
      <c r="Q507" t="s">
        <v>785</v>
      </c>
    </row>
    <row r="508" spans="17:17" x14ac:dyDescent="0.3">
      <c r="Q508" t="s">
        <v>786</v>
      </c>
    </row>
    <row r="509" spans="17:17" x14ac:dyDescent="0.3">
      <c r="Q509" t="s">
        <v>787</v>
      </c>
    </row>
    <row r="510" spans="17:17" x14ac:dyDescent="0.3">
      <c r="Q510" t="s">
        <v>788</v>
      </c>
    </row>
    <row r="511" spans="17:17" x14ac:dyDescent="0.3">
      <c r="Q511" t="s">
        <v>789</v>
      </c>
    </row>
    <row r="512" spans="17:17" x14ac:dyDescent="0.3">
      <c r="Q512" t="s">
        <v>790</v>
      </c>
    </row>
    <row r="513" spans="17:17" x14ac:dyDescent="0.3">
      <c r="Q513" t="s">
        <v>791</v>
      </c>
    </row>
    <row r="514" spans="17:17" x14ac:dyDescent="0.3">
      <c r="Q514" t="s">
        <v>792</v>
      </c>
    </row>
    <row r="515" spans="17:17" x14ac:dyDescent="0.3">
      <c r="Q515" t="s">
        <v>793</v>
      </c>
    </row>
    <row r="516" spans="17:17" x14ac:dyDescent="0.3">
      <c r="Q516" t="s">
        <v>794</v>
      </c>
    </row>
    <row r="517" spans="17:17" x14ac:dyDescent="0.3">
      <c r="Q517" t="s">
        <v>795</v>
      </c>
    </row>
    <row r="518" spans="17:17" x14ac:dyDescent="0.3">
      <c r="Q518" t="s">
        <v>796</v>
      </c>
    </row>
    <row r="519" spans="17:17" x14ac:dyDescent="0.3">
      <c r="Q519" t="s">
        <v>797</v>
      </c>
    </row>
    <row r="520" spans="17:17" x14ac:dyDescent="0.3">
      <c r="Q520" t="s">
        <v>798</v>
      </c>
    </row>
    <row r="521" spans="17:17" x14ac:dyDescent="0.3">
      <c r="Q521" t="s">
        <v>799</v>
      </c>
    </row>
    <row r="522" spans="17:17" x14ac:dyDescent="0.3">
      <c r="Q522" t="s">
        <v>800</v>
      </c>
    </row>
    <row r="523" spans="17:17" x14ac:dyDescent="0.3">
      <c r="Q523" t="s">
        <v>801</v>
      </c>
    </row>
    <row r="524" spans="17:17" x14ac:dyDescent="0.3">
      <c r="Q524" t="s">
        <v>802</v>
      </c>
    </row>
    <row r="525" spans="17:17" x14ac:dyDescent="0.3">
      <c r="Q525" t="s">
        <v>803</v>
      </c>
    </row>
    <row r="526" spans="17:17" x14ac:dyDescent="0.3">
      <c r="Q526" t="s">
        <v>804</v>
      </c>
    </row>
    <row r="527" spans="17:17" x14ac:dyDescent="0.3">
      <c r="Q527" t="s">
        <v>805</v>
      </c>
    </row>
    <row r="528" spans="17:17" x14ac:dyDescent="0.3">
      <c r="Q528" t="s">
        <v>806</v>
      </c>
    </row>
    <row r="529" spans="17:17" x14ac:dyDescent="0.3">
      <c r="Q529" t="s">
        <v>807</v>
      </c>
    </row>
    <row r="530" spans="17:17" x14ac:dyDescent="0.3">
      <c r="Q530" t="s">
        <v>808</v>
      </c>
    </row>
    <row r="531" spans="17:17" x14ac:dyDescent="0.3">
      <c r="Q531" t="s">
        <v>809</v>
      </c>
    </row>
    <row r="532" spans="17:17" x14ac:dyDescent="0.3">
      <c r="Q532" t="s">
        <v>810</v>
      </c>
    </row>
    <row r="533" spans="17:17" x14ac:dyDescent="0.3">
      <c r="Q533" t="s">
        <v>810</v>
      </c>
    </row>
    <row r="534" spans="17:17" x14ac:dyDescent="0.3">
      <c r="Q534" t="s">
        <v>811</v>
      </c>
    </row>
    <row r="535" spans="17:17" x14ac:dyDescent="0.3">
      <c r="Q535" t="s">
        <v>812</v>
      </c>
    </row>
    <row r="536" spans="17:17" x14ac:dyDescent="0.3">
      <c r="Q536" t="s">
        <v>813</v>
      </c>
    </row>
    <row r="537" spans="17:17" x14ac:dyDescent="0.3">
      <c r="Q537" t="s">
        <v>814</v>
      </c>
    </row>
    <row r="538" spans="17:17" x14ac:dyDescent="0.3">
      <c r="Q538" t="s">
        <v>815</v>
      </c>
    </row>
    <row r="539" spans="17:17" x14ac:dyDescent="0.3">
      <c r="Q539" t="s">
        <v>816</v>
      </c>
    </row>
    <row r="540" spans="17:17" x14ac:dyDescent="0.3">
      <c r="Q540" t="s">
        <v>817</v>
      </c>
    </row>
    <row r="541" spans="17:17" x14ac:dyDescent="0.3">
      <c r="Q541" t="s">
        <v>818</v>
      </c>
    </row>
    <row r="542" spans="17:17" x14ac:dyDescent="0.3">
      <c r="Q542" t="s">
        <v>819</v>
      </c>
    </row>
    <row r="543" spans="17:17" x14ac:dyDescent="0.3">
      <c r="Q543" t="s">
        <v>820</v>
      </c>
    </row>
    <row r="544" spans="17:17" x14ac:dyDescent="0.3">
      <c r="Q544" t="s">
        <v>821</v>
      </c>
    </row>
    <row r="545" spans="17:17" x14ac:dyDescent="0.3">
      <c r="Q545" t="s">
        <v>822</v>
      </c>
    </row>
    <row r="546" spans="17:17" x14ac:dyDescent="0.3">
      <c r="Q546" t="s">
        <v>823</v>
      </c>
    </row>
    <row r="547" spans="17:17" x14ac:dyDescent="0.3">
      <c r="Q547" t="s">
        <v>824</v>
      </c>
    </row>
    <row r="548" spans="17:17" x14ac:dyDescent="0.3">
      <c r="Q548" t="s">
        <v>825</v>
      </c>
    </row>
    <row r="549" spans="17:17" x14ac:dyDescent="0.3">
      <c r="Q549" t="s">
        <v>826</v>
      </c>
    </row>
    <row r="550" spans="17:17" x14ac:dyDescent="0.3">
      <c r="Q550" t="s">
        <v>827</v>
      </c>
    </row>
    <row r="551" spans="17:17" x14ac:dyDescent="0.3">
      <c r="Q551" t="s">
        <v>828</v>
      </c>
    </row>
    <row r="552" spans="17:17" x14ac:dyDescent="0.3">
      <c r="Q552" t="s">
        <v>829</v>
      </c>
    </row>
    <row r="553" spans="17:17" x14ac:dyDescent="0.3">
      <c r="Q553" t="s">
        <v>830</v>
      </c>
    </row>
    <row r="554" spans="17:17" x14ac:dyDescent="0.3">
      <c r="Q554" t="s">
        <v>831</v>
      </c>
    </row>
    <row r="555" spans="17:17" x14ac:dyDescent="0.3">
      <c r="Q555" t="s">
        <v>832</v>
      </c>
    </row>
    <row r="556" spans="17:17" x14ac:dyDescent="0.3">
      <c r="Q556" t="s">
        <v>833</v>
      </c>
    </row>
    <row r="557" spans="17:17" x14ac:dyDescent="0.3">
      <c r="Q557" t="s">
        <v>834</v>
      </c>
    </row>
    <row r="558" spans="17:17" x14ac:dyDescent="0.3">
      <c r="Q558" t="s">
        <v>835</v>
      </c>
    </row>
    <row r="559" spans="17:17" x14ac:dyDescent="0.3">
      <c r="Q559" t="s">
        <v>836</v>
      </c>
    </row>
    <row r="560" spans="17:17" x14ac:dyDescent="0.3">
      <c r="Q560" t="s">
        <v>837</v>
      </c>
    </row>
    <row r="561" spans="17:17" x14ac:dyDescent="0.3">
      <c r="Q561" t="s">
        <v>838</v>
      </c>
    </row>
    <row r="562" spans="17:17" x14ac:dyDescent="0.3">
      <c r="Q562" t="s">
        <v>839</v>
      </c>
    </row>
    <row r="563" spans="17:17" x14ac:dyDescent="0.3">
      <c r="Q563" t="s">
        <v>768</v>
      </c>
    </row>
    <row r="564" spans="17:17" x14ac:dyDescent="0.3">
      <c r="Q564" t="s">
        <v>769</v>
      </c>
    </row>
    <row r="565" spans="17:17" x14ac:dyDescent="0.3">
      <c r="Q565" t="s">
        <v>840</v>
      </c>
    </row>
    <row r="566" spans="17:17" x14ac:dyDescent="0.3">
      <c r="Q566" t="s">
        <v>841</v>
      </c>
    </row>
    <row r="567" spans="17:17" x14ac:dyDescent="0.3">
      <c r="Q567" t="s">
        <v>842</v>
      </c>
    </row>
    <row r="568" spans="17:17" x14ac:dyDescent="0.3">
      <c r="Q568" t="s">
        <v>843</v>
      </c>
    </row>
    <row r="569" spans="17:17" x14ac:dyDescent="0.3">
      <c r="Q569" t="s">
        <v>844</v>
      </c>
    </row>
    <row r="570" spans="17:17" x14ac:dyDescent="0.3">
      <c r="Q570" t="s">
        <v>845</v>
      </c>
    </row>
    <row r="571" spans="17:17" x14ac:dyDescent="0.3">
      <c r="Q571" t="s">
        <v>846</v>
      </c>
    </row>
    <row r="572" spans="17:17" x14ac:dyDescent="0.3">
      <c r="Q572" t="s">
        <v>847</v>
      </c>
    </row>
    <row r="573" spans="17:17" x14ac:dyDescent="0.3">
      <c r="Q573" t="s">
        <v>848</v>
      </c>
    </row>
    <row r="574" spans="17:17" x14ac:dyDescent="0.3">
      <c r="Q574" t="s">
        <v>849</v>
      </c>
    </row>
    <row r="575" spans="17:17" x14ac:dyDescent="0.3">
      <c r="Q575" t="s">
        <v>850</v>
      </c>
    </row>
    <row r="576" spans="17:17" x14ac:dyDescent="0.3">
      <c r="Q576" t="s">
        <v>582</v>
      </c>
    </row>
    <row r="577" spans="17:17" x14ac:dyDescent="0.3">
      <c r="Q577" t="s">
        <v>851</v>
      </c>
    </row>
    <row r="578" spans="17:17" x14ac:dyDescent="0.3">
      <c r="Q578" t="s">
        <v>852</v>
      </c>
    </row>
    <row r="579" spans="17:17" x14ac:dyDescent="0.3">
      <c r="Q579" t="s">
        <v>853</v>
      </c>
    </row>
    <row r="580" spans="17:17" x14ac:dyDescent="0.3">
      <c r="Q580" t="s">
        <v>854</v>
      </c>
    </row>
    <row r="581" spans="17:17" x14ac:dyDescent="0.3">
      <c r="Q581" t="s">
        <v>855</v>
      </c>
    </row>
    <row r="582" spans="17:17" x14ac:dyDescent="0.3">
      <c r="Q582" t="s">
        <v>856</v>
      </c>
    </row>
    <row r="583" spans="17:17" x14ac:dyDescent="0.3">
      <c r="Q583" t="s">
        <v>857</v>
      </c>
    </row>
    <row r="584" spans="17:17" x14ac:dyDescent="0.3">
      <c r="Q584" t="s">
        <v>858</v>
      </c>
    </row>
    <row r="585" spans="17:17" x14ac:dyDescent="0.3">
      <c r="Q585" t="s">
        <v>859</v>
      </c>
    </row>
    <row r="586" spans="17:17" x14ac:dyDescent="0.3">
      <c r="Q586" t="s">
        <v>700</v>
      </c>
    </row>
    <row r="587" spans="17:17" x14ac:dyDescent="0.3">
      <c r="Q587" t="s">
        <v>720</v>
      </c>
    </row>
    <row r="588" spans="17:17" x14ac:dyDescent="0.3">
      <c r="Q588" t="s">
        <v>860</v>
      </c>
    </row>
    <row r="589" spans="17:17" x14ac:dyDescent="0.3">
      <c r="Q589" t="s">
        <v>861</v>
      </c>
    </row>
    <row r="590" spans="17:17" x14ac:dyDescent="0.3">
      <c r="Q590" t="s">
        <v>862</v>
      </c>
    </row>
    <row r="591" spans="17:17" x14ac:dyDescent="0.3">
      <c r="Q591" t="s">
        <v>863</v>
      </c>
    </row>
    <row r="592" spans="17:17" x14ac:dyDescent="0.3">
      <c r="Q592" t="s">
        <v>864</v>
      </c>
    </row>
    <row r="593" spans="17:17" x14ac:dyDescent="0.3">
      <c r="Q593" t="s">
        <v>865</v>
      </c>
    </row>
    <row r="594" spans="17:17" x14ac:dyDescent="0.3">
      <c r="Q594" t="s">
        <v>866</v>
      </c>
    </row>
    <row r="595" spans="17:17" x14ac:dyDescent="0.3">
      <c r="Q595" t="s">
        <v>867</v>
      </c>
    </row>
    <row r="596" spans="17:17" x14ac:dyDescent="0.3">
      <c r="Q596" t="s">
        <v>868</v>
      </c>
    </row>
    <row r="597" spans="17:17" x14ac:dyDescent="0.3">
      <c r="Q597" t="s">
        <v>869</v>
      </c>
    </row>
    <row r="598" spans="17:17" x14ac:dyDescent="0.3">
      <c r="Q598" t="s">
        <v>870</v>
      </c>
    </row>
    <row r="599" spans="17:17" x14ac:dyDescent="0.3">
      <c r="Q599" t="s">
        <v>871</v>
      </c>
    </row>
    <row r="600" spans="17:17" x14ac:dyDescent="0.3">
      <c r="Q600" t="s">
        <v>872</v>
      </c>
    </row>
    <row r="601" spans="17:17" x14ac:dyDescent="0.3">
      <c r="Q601" t="s">
        <v>873</v>
      </c>
    </row>
    <row r="602" spans="17:17" x14ac:dyDescent="0.3">
      <c r="Q602" t="s">
        <v>874</v>
      </c>
    </row>
    <row r="603" spans="17:17" x14ac:dyDescent="0.3">
      <c r="Q603" t="s">
        <v>875</v>
      </c>
    </row>
    <row r="604" spans="17:17" x14ac:dyDescent="0.3">
      <c r="Q604" t="s">
        <v>876</v>
      </c>
    </row>
    <row r="605" spans="17:17" x14ac:dyDescent="0.3">
      <c r="Q605" t="s">
        <v>877</v>
      </c>
    </row>
    <row r="606" spans="17:17" x14ac:dyDescent="0.3">
      <c r="Q606" t="s">
        <v>878</v>
      </c>
    </row>
    <row r="607" spans="17:17" x14ac:dyDescent="0.3">
      <c r="Q607" t="s">
        <v>879</v>
      </c>
    </row>
    <row r="608" spans="17:17" x14ac:dyDescent="0.3">
      <c r="Q608" t="s">
        <v>880</v>
      </c>
    </row>
    <row r="609" spans="17:17" x14ac:dyDescent="0.3">
      <c r="Q609" t="s">
        <v>881</v>
      </c>
    </row>
    <row r="610" spans="17:17" x14ac:dyDescent="0.3">
      <c r="Q610" t="s">
        <v>882</v>
      </c>
    </row>
    <row r="611" spans="17:17" x14ac:dyDescent="0.3">
      <c r="Q611" t="s">
        <v>883</v>
      </c>
    </row>
    <row r="612" spans="17:17" x14ac:dyDescent="0.3">
      <c r="Q612" t="s">
        <v>884</v>
      </c>
    </row>
    <row r="613" spans="17:17" x14ac:dyDescent="0.3">
      <c r="Q613" t="s">
        <v>885</v>
      </c>
    </row>
    <row r="614" spans="17:17" x14ac:dyDescent="0.3">
      <c r="Q614" t="s">
        <v>886</v>
      </c>
    </row>
    <row r="615" spans="17:17" x14ac:dyDescent="0.3">
      <c r="Q615" t="s">
        <v>887</v>
      </c>
    </row>
    <row r="616" spans="17:17" x14ac:dyDescent="0.3">
      <c r="Q616" t="s">
        <v>888</v>
      </c>
    </row>
    <row r="617" spans="17:17" x14ac:dyDescent="0.3">
      <c r="Q617" t="s">
        <v>889</v>
      </c>
    </row>
    <row r="618" spans="17:17" x14ac:dyDescent="0.3">
      <c r="Q618" t="s">
        <v>890</v>
      </c>
    </row>
    <row r="619" spans="17:17" x14ac:dyDescent="0.3">
      <c r="Q619" t="s">
        <v>891</v>
      </c>
    </row>
    <row r="620" spans="17:17" x14ac:dyDescent="0.3">
      <c r="Q620" t="s">
        <v>892</v>
      </c>
    </row>
    <row r="621" spans="17:17" x14ac:dyDescent="0.3">
      <c r="Q621" t="s">
        <v>893</v>
      </c>
    </row>
    <row r="622" spans="17:17" x14ac:dyDescent="0.3">
      <c r="Q622" t="s">
        <v>894</v>
      </c>
    </row>
    <row r="623" spans="17:17" x14ac:dyDescent="0.3">
      <c r="Q623" t="s">
        <v>895</v>
      </c>
    </row>
    <row r="624" spans="17:17" x14ac:dyDescent="0.3">
      <c r="Q624" t="s">
        <v>896</v>
      </c>
    </row>
    <row r="625" spans="17:17" x14ac:dyDescent="0.3">
      <c r="Q625" t="s">
        <v>897</v>
      </c>
    </row>
    <row r="626" spans="17:17" x14ac:dyDescent="0.3">
      <c r="Q626" t="s">
        <v>898</v>
      </c>
    </row>
    <row r="627" spans="17:17" x14ac:dyDescent="0.3">
      <c r="Q627" t="s">
        <v>899</v>
      </c>
    </row>
    <row r="628" spans="17:17" x14ac:dyDescent="0.3">
      <c r="Q628" t="s">
        <v>387</v>
      </c>
    </row>
    <row r="629" spans="17:17" x14ac:dyDescent="0.3">
      <c r="Q629" t="s">
        <v>900</v>
      </c>
    </row>
    <row r="630" spans="17:17" x14ac:dyDescent="0.3">
      <c r="Q630" t="s">
        <v>886</v>
      </c>
    </row>
    <row r="631" spans="17:17" x14ac:dyDescent="0.3">
      <c r="Q631" t="s">
        <v>901</v>
      </c>
    </row>
    <row r="632" spans="17:17" x14ac:dyDescent="0.3">
      <c r="Q632" t="s">
        <v>885</v>
      </c>
    </row>
    <row r="633" spans="17:17" x14ac:dyDescent="0.3">
      <c r="Q633" t="s">
        <v>902</v>
      </c>
    </row>
    <row r="634" spans="17:17" x14ac:dyDescent="0.3">
      <c r="Q634" t="s">
        <v>903</v>
      </c>
    </row>
    <row r="635" spans="17:17" x14ac:dyDescent="0.3">
      <c r="Q635" t="s">
        <v>904</v>
      </c>
    </row>
    <row r="636" spans="17:17" x14ac:dyDescent="0.3">
      <c r="Q636" t="s">
        <v>905</v>
      </c>
    </row>
    <row r="637" spans="17:17" x14ac:dyDescent="0.3">
      <c r="Q637" t="s">
        <v>906</v>
      </c>
    </row>
    <row r="638" spans="17:17" x14ac:dyDescent="0.3">
      <c r="Q638" t="s">
        <v>907</v>
      </c>
    </row>
    <row r="639" spans="17:17" x14ac:dyDescent="0.3">
      <c r="Q639" t="s">
        <v>908</v>
      </c>
    </row>
    <row r="640" spans="17:17" x14ac:dyDescent="0.3">
      <c r="Q640" t="s">
        <v>909</v>
      </c>
    </row>
    <row r="641" spans="17:17" x14ac:dyDescent="0.3">
      <c r="Q641" t="s">
        <v>910</v>
      </c>
    </row>
    <row r="642" spans="17:17" x14ac:dyDescent="0.3">
      <c r="Q642" t="s">
        <v>911</v>
      </c>
    </row>
    <row r="643" spans="17:17" x14ac:dyDescent="0.3">
      <c r="Q643" t="s">
        <v>912</v>
      </c>
    </row>
    <row r="644" spans="17:17" x14ac:dyDescent="0.3">
      <c r="Q644" t="s">
        <v>913</v>
      </c>
    </row>
    <row r="645" spans="17:17" x14ac:dyDescent="0.3">
      <c r="Q645" t="s">
        <v>914</v>
      </c>
    </row>
    <row r="646" spans="17:17" x14ac:dyDescent="0.3">
      <c r="Q646" t="s">
        <v>915</v>
      </c>
    </row>
    <row r="647" spans="17:17" x14ac:dyDescent="0.3">
      <c r="Q647" t="s">
        <v>916</v>
      </c>
    </row>
    <row r="648" spans="17:17" x14ac:dyDescent="0.3">
      <c r="Q648" t="s">
        <v>917</v>
      </c>
    </row>
    <row r="649" spans="17:17" x14ac:dyDescent="0.3">
      <c r="Q649" t="s">
        <v>918</v>
      </c>
    </row>
    <row r="650" spans="17:17" x14ac:dyDescent="0.3">
      <c r="Q650" t="s">
        <v>919</v>
      </c>
    </row>
    <row r="651" spans="17:17" x14ac:dyDescent="0.3">
      <c r="Q651" t="s">
        <v>920</v>
      </c>
    </row>
    <row r="652" spans="17:17" x14ac:dyDescent="0.3">
      <c r="Q652" t="s">
        <v>921</v>
      </c>
    </row>
    <row r="653" spans="17:17" x14ac:dyDescent="0.3">
      <c r="Q653" t="s">
        <v>922</v>
      </c>
    </row>
    <row r="654" spans="17:17" x14ac:dyDescent="0.3">
      <c r="Q654" t="s">
        <v>876</v>
      </c>
    </row>
    <row r="655" spans="17:17" x14ac:dyDescent="0.3">
      <c r="Q655" t="s">
        <v>923</v>
      </c>
    </row>
    <row r="656" spans="17:17" x14ac:dyDescent="0.3">
      <c r="Q656" t="s">
        <v>924</v>
      </c>
    </row>
    <row r="657" spans="17:17" x14ac:dyDescent="0.3">
      <c r="Q657" t="s">
        <v>925</v>
      </c>
    </row>
    <row r="658" spans="17:17" x14ac:dyDescent="0.3">
      <c r="Q658" t="s">
        <v>926</v>
      </c>
    </row>
    <row r="659" spans="17:17" x14ac:dyDescent="0.3">
      <c r="Q659" t="s">
        <v>927</v>
      </c>
    </row>
    <row r="660" spans="17:17" x14ac:dyDescent="0.3">
      <c r="Q660" t="s">
        <v>928</v>
      </c>
    </row>
    <row r="661" spans="17:17" x14ac:dyDescent="0.3">
      <c r="Q661" t="s">
        <v>929</v>
      </c>
    </row>
    <row r="662" spans="17:17" x14ac:dyDescent="0.3">
      <c r="Q662" t="s">
        <v>930</v>
      </c>
    </row>
    <row r="663" spans="17:17" x14ac:dyDescent="0.3">
      <c r="Q663" t="s">
        <v>931</v>
      </c>
    </row>
    <row r="664" spans="17:17" x14ac:dyDescent="0.3">
      <c r="Q664" t="s">
        <v>932</v>
      </c>
    </row>
    <row r="665" spans="17:17" x14ac:dyDescent="0.3">
      <c r="Q665" t="s">
        <v>933</v>
      </c>
    </row>
    <row r="666" spans="17:17" x14ac:dyDescent="0.3">
      <c r="Q666" t="s">
        <v>934</v>
      </c>
    </row>
    <row r="667" spans="17:17" x14ac:dyDescent="0.3">
      <c r="Q667" t="s">
        <v>935</v>
      </c>
    </row>
    <row r="668" spans="17:17" x14ac:dyDescent="0.3">
      <c r="Q668" t="s">
        <v>936</v>
      </c>
    </row>
    <row r="669" spans="17:17" x14ac:dyDescent="0.3">
      <c r="Q669" t="s">
        <v>937</v>
      </c>
    </row>
    <row r="670" spans="17:17" x14ac:dyDescent="0.3">
      <c r="Q670" t="s">
        <v>938</v>
      </c>
    </row>
    <row r="671" spans="17:17" x14ac:dyDescent="0.3">
      <c r="Q671" t="s">
        <v>939</v>
      </c>
    </row>
    <row r="672" spans="17:17" x14ac:dyDescent="0.3">
      <c r="Q672" t="s">
        <v>940</v>
      </c>
    </row>
    <row r="673" spans="17:17" x14ac:dyDescent="0.3">
      <c r="Q673" t="s">
        <v>941</v>
      </c>
    </row>
    <row r="674" spans="17:17" x14ac:dyDescent="0.3">
      <c r="Q674" t="s">
        <v>942</v>
      </c>
    </row>
    <row r="675" spans="17:17" x14ac:dyDescent="0.3">
      <c r="Q675" t="s">
        <v>943</v>
      </c>
    </row>
    <row r="676" spans="17:17" x14ac:dyDescent="0.3">
      <c r="Q676" t="s">
        <v>944</v>
      </c>
    </row>
    <row r="677" spans="17:17" x14ac:dyDescent="0.3">
      <c r="Q677" t="s">
        <v>945</v>
      </c>
    </row>
    <row r="678" spans="17:17" x14ac:dyDescent="0.3">
      <c r="Q678" t="s">
        <v>946</v>
      </c>
    </row>
    <row r="679" spans="17:17" x14ac:dyDescent="0.3">
      <c r="Q679" t="s">
        <v>947</v>
      </c>
    </row>
    <row r="680" spans="17:17" x14ac:dyDescent="0.3">
      <c r="Q680" t="s">
        <v>948</v>
      </c>
    </row>
    <row r="681" spans="17:17" x14ac:dyDescent="0.3">
      <c r="Q681" t="s">
        <v>949</v>
      </c>
    </row>
    <row r="682" spans="17:17" x14ac:dyDescent="0.3">
      <c r="Q682" t="s">
        <v>711</v>
      </c>
    </row>
    <row r="683" spans="17:17" x14ac:dyDescent="0.3">
      <c r="Q683" t="s">
        <v>950</v>
      </c>
    </row>
    <row r="684" spans="17:17" x14ac:dyDescent="0.3">
      <c r="Q684" t="s">
        <v>951</v>
      </c>
    </row>
    <row r="685" spans="17:17" x14ac:dyDescent="0.3">
      <c r="Q685" t="s">
        <v>952</v>
      </c>
    </row>
    <row r="686" spans="17:17" x14ac:dyDescent="0.3">
      <c r="Q686" t="s">
        <v>953</v>
      </c>
    </row>
    <row r="687" spans="17:17" x14ac:dyDescent="0.3">
      <c r="Q687" t="s">
        <v>954</v>
      </c>
    </row>
    <row r="688" spans="17:17" x14ac:dyDescent="0.3">
      <c r="Q688" t="s">
        <v>711</v>
      </c>
    </row>
    <row r="689" spans="17:17" x14ac:dyDescent="0.3">
      <c r="Q689" t="s">
        <v>955</v>
      </c>
    </row>
    <row r="690" spans="17:17" x14ac:dyDescent="0.3">
      <c r="Q690" t="s">
        <v>949</v>
      </c>
    </row>
    <row r="691" spans="17:17" x14ac:dyDescent="0.3">
      <c r="Q691" t="s">
        <v>956</v>
      </c>
    </row>
    <row r="692" spans="17:17" x14ac:dyDescent="0.3">
      <c r="Q692" t="s">
        <v>711</v>
      </c>
    </row>
    <row r="693" spans="17:17" x14ac:dyDescent="0.3">
      <c r="Q693" t="s">
        <v>957</v>
      </c>
    </row>
    <row r="694" spans="17:17" x14ac:dyDescent="0.3">
      <c r="Q694" t="s">
        <v>958</v>
      </c>
    </row>
    <row r="695" spans="17:17" x14ac:dyDescent="0.3">
      <c r="Q695" t="s">
        <v>944</v>
      </c>
    </row>
    <row r="696" spans="17:17" x14ac:dyDescent="0.3">
      <c r="Q696" t="s">
        <v>946</v>
      </c>
    </row>
    <row r="697" spans="17:17" x14ac:dyDescent="0.3">
      <c r="Q697" t="s">
        <v>959</v>
      </c>
    </row>
    <row r="698" spans="17:17" x14ac:dyDescent="0.3">
      <c r="Q698" t="s">
        <v>960</v>
      </c>
    </row>
    <row r="699" spans="17:17" x14ac:dyDescent="0.3">
      <c r="Q699" t="s">
        <v>961</v>
      </c>
    </row>
    <row r="700" spans="17:17" x14ac:dyDescent="0.3">
      <c r="Q700" t="s">
        <v>962</v>
      </c>
    </row>
    <row r="701" spans="17:17" x14ac:dyDescent="0.3">
      <c r="Q701" t="s">
        <v>963</v>
      </c>
    </row>
    <row r="702" spans="17:17" x14ac:dyDescent="0.3">
      <c r="Q702" t="s">
        <v>964</v>
      </c>
    </row>
    <row r="703" spans="17:17" x14ac:dyDescent="0.3">
      <c r="Q703" t="s">
        <v>964</v>
      </c>
    </row>
    <row r="704" spans="17:17" x14ac:dyDescent="0.3">
      <c r="Q704" t="s">
        <v>965</v>
      </c>
    </row>
    <row r="705" spans="17:17" x14ac:dyDescent="0.3">
      <c r="Q705" t="s">
        <v>966</v>
      </c>
    </row>
    <row r="706" spans="17:17" x14ac:dyDescent="0.3">
      <c r="Q706" t="s">
        <v>967</v>
      </c>
    </row>
    <row r="707" spans="17:17" x14ac:dyDescent="0.3">
      <c r="Q707" t="s">
        <v>952</v>
      </c>
    </row>
    <row r="708" spans="17:17" x14ac:dyDescent="0.3">
      <c r="Q708" t="s">
        <v>968</v>
      </c>
    </row>
    <row r="709" spans="17:17" x14ac:dyDescent="0.3">
      <c r="Q709" t="s">
        <v>966</v>
      </c>
    </row>
    <row r="710" spans="17:17" x14ac:dyDescent="0.3">
      <c r="Q710" t="s">
        <v>969</v>
      </c>
    </row>
    <row r="711" spans="17:17" x14ac:dyDescent="0.3">
      <c r="Q711" t="s">
        <v>970</v>
      </c>
    </row>
    <row r="712" spans="17:17" x14ac:dyDescent="0.3">
      <c r="Q712" t="s">
        <v>971</v>
      </c>
    </row>
    <row r="713" spans="17:17" x14ac:dyDescent="0.3">
      <c r="Q713" t="s">
        <v>972</v>
      </c>
    </row>
    <row r="714" spans="17:17" x14ac:dyDescent="0.3">
      <c r="Q714" t="s">
        <v>973</v>
      </c>
    </row>
    <row r="715" spans="17:17" x14ac:dyDescent="0.3">
      <c r="Q715" t="s">
        <v>974</v>
      </c>
    </row>
    <row r="716" spans="17:17" x14ac:dyDescent="0.3">
      <c r="Q716" t="s">
        <v>975</v>
      </c>
    </row>
    <row r="717" spans="17:17" x14ac:dyDescent="0.3">
      <c r="Q717" t="s">
        <v>976</v>
      </c>
    </row>
    <row r="718" spans="17:17" x14ac:dyDescent="0.3">
      <c r="Q718" t="s">
        <v>975</v>
      </c>
    </row>
    <row r="719" spans="17:17" x14ac:dyDescent="0.3">
      <c r="Q719" t="s">
        <v>977</v>
      </c>
    </row>
    <row r="720" spans="17:17" x14ac:dyDescent="0.3">
      <c r="Q720" t="s">
        <v>978</v>
      </c>
    </row>
    <row r="721" spans="17:17" x14ac:dyDescent="0.3">
      <c r="Q721" t="s">
        <v>979</v>
      </c>
    </row>
    <row r="722" spans="17:17" x14ac:dyDescent="0.3">
      <c r="Q722" t="s">
        <v>980</v>
      </c>
    </row>
    <row r="723" spans="17:17" x14ac:dyDescent="0.3">
      <c r="Q723" t="s">
        <v>981</v>
      </c>
    </row>
    <row r="724" spans="17:17" x14ac:dyDescent="0.3">
      <c r="Q724" t="s">
        <v>982</v>
      </c>
    </row>
    <row r="725" spans="17:17" x14ac:dyDescent="0.3">
      <c r="Q725" t="s">
        <v>983</v>
      </c>
    </row>
    <row r="726" spans="17:17" x14ac:dyDescent="0.3">
      <c r="Q726" t="s">
        <v>984</v>
      </c>
    </row>
    <row r="727" spans="17:17" x14ac:dyDescent="0.3">
      <c r="Q727" t="s">
        <v>985</v>
      </c>
    </row>
    <row r="728" spans="17:17" x14ac:dyDescent="0.3">
      <c r="Q728" t="s">
        <v>986</v>
      </c>
    </row>
    <row r="729" spans="17:17" x14ac:dyDescent="0.3">
      <c r="Q729" t="s">
        <v>987</v>
      </c>
    </row>
    <row r="730" spans="17:17" x14ac:dyDescent="0.3">
      <c r="Q730" t="s">
        <v>988</v>
      </c>
    </row>
    <row r="731" spans="17:17" x14ac:dyDescent="0.3">
      <c r="Q731" t="s">
        <v>973</v>
      </c>
    </row>
    <row r="732" spans="17:17" x14ac:dyDescent="0.3">
      <c r="Q732" t="s">
        <v>989</v>
      </c>
    </row>
    <row r="733" spans="17:17" x14ac:dyDescent="0.3">
      <c r="Q733" t="s">
        <v>990</v>
      </c>
    </row>
    <row r="734" spans="17:17" x14ac:dyDescent="0.3">
      <c r="Q734" t="s">
        <v>991</v>
      </c>
    </row>
    <row r="735" spans="17:17" x14ac:dyDescent="0.3">
      <c r="Q735" t="s">
        <v>762</v>
      </c>
    </row>
    <row r="736" spans="17:17" x14ac:dyDescent="0.3">
      <c r="Q736" t="s">
        <v>992</v>
      </c>
    </row>
    <row r="737" spans="17:17" x14ac:dyDescent="0.3">
      <c r="Q737" t="s">
        <v>993</v>
      </c>
    </row>
    <row r="738" spans="17:17" x14ac:dyDescent="0.3">
      <c r="Q738" t="s">
        <v>986</v>
      </c>
    </row>
    <row r="739" spans="17:17" x14ac:dyDescent="0.3">
      <c r="Q739" t="s">
        <v>994</v>
      </c>
    </row>
    <row r="740" spans="17:17" x14ac:dyDescent="0.3">
      <c r="Q740" t="s">
        <v>995</v>
      </c>
    </row>
    <row r="741" spans="17:17" x14ac:dyDescent="0.3">
      <c r="Q741" t="s">
        <v>989</v>
      </c>
    </row>
    <row r="742" spans="17:17" x14ac:dyDescent="0.3">
      <c r="Q742" t="s">
        <v>996</v>
      </c>
    </row>
    <row r="743" spans="17:17" x14ac:dyDescent="0.3">
      <c r="Q743" t="s">
        <v>985</v>
      </c>
    </row>
    <row r="744" spans="17:17" x14ac:dyDescent="0.3">
      <c r="Q744" t="s">
        <v>997</v>
      </c>
    </row>
    <row r="745" spans="17:17" x14ac:dyDescent="0.3">
      <c r="Q745" t="s">
        <v>998</v>
      </c>
    </row>
    <row r="746" spans="17:17" x14ac:dyDescent="0.3">
      <c r="Q746" t="s">
        <v>893</v>
      </c>
    </row>
    <row r="747" spans="17:17" x14ac:dyDescent="0.3">
      <c r="Q747" t="s">
        <v>985</v>
      </c>
    </row>
    <row r="748" spans="17:17" x14ac:dyDescent="0.3">
      <c r="Q748" t="s">
        <v>971</v>
      </c>
    </row>
    <row r="749" spans="17:17" x14ac:dyDescent="0.3">
      <c r="Q749" t="s">
        <v>979</v>
      </c>
    </row>
    <row r="750" spans="17:17" x14ac:dyDescent="0.3">
      <c r="Q750" t="s">
        <v>999</v>
      </c>
    </row>
    <row r="751" spans="17:17" x14ac:dyDescent="0.3">
      <c r="Q751" t="s">
        <v>1000</v>
      </c>
    </row>
    <row r="752" spans="17:17" x14ac:dyDescent="0.3">
      <c r="Q752" t="s">
        <v>1001</v>
      </c>
    </row>
    <row r="753" spans="17:17" x14ac:dyDescent="0.3">
      <c r="Q753" t="s">
        <v>1002</v>
      </c>
    </row>
    <row r="754" spans="17:17" x14ac:dyDescent="0.3">
      <c r="Q754" t="s">
        <v>1003</v>
      </c>
    </row>
    <row r="755" spans="17:17" x14ac:dyDescent="0.3">
      <c r="Q755" t="s">
        <v>1004</v>
      </c>
    </row>
    <row r="756" spans="17:17" x14ac:dyDescent="0.3">
      <c r="Q756" t="s">
        <v>990</v>
      </c>
    </row>
    <row r="757" spans="17:17" x14ac:dyDescent="0.3">
      <c r="Q757" t="s">
        <v>1005</v>
      </c>
    </row>
    <row r="758" spans="17:17" x14ac:dyDescent="0.3">
      <c r="Q758" t="s">
        <v>1006</v>
      </c>
    </row>
    <row r="759" spans="17:17" x14ac:dyDescent="0.3">
      <c r="Q759" t="s">
        <v>1007</v>
      </c>
    </row>
    <row r="760" spans="17:17" x14ac:dyDescent="0.3">
      <c r="Q760" t="s">
        <v>1008</v>
      </c>
    </row>
    <row r="761" spans="17:17" x14ac:dyDescent="0.3">
      <c r="Q761" t="s">
        <v>1009</v>
      </c>
    </row>
    <row r="762" spans="17:17" x14ac:dyDescent="0.3">
      <c r="Q762" t="s">
        <v>1010</v>
      </c>
    </row>
    <row r="763" spans="17:17" x14ac:dyDescent="0.3">
      <c r="Q763" t="s">
        <v>1011</v>
      </c>
    </row>
    <row r="764" spans="17:17" x14ac:dyDescent="0.3">
      <c r="Q764" t="s">
        <v>1012</v>
      </c>
    </row>
    <row r="765" spans="17:17" x14ac:dyDescent="0.3">
      <c r="Q765" t="s">
        <v>1013</v>
      </c>
    </row>
    <row r="766" spans="17:17" x14ac:dyDescent="0.3">
      <c r="Q766" t="s">
        <v>1014</v>
      </c>
    </row>
    <row r="767" spans="17:17" x14ac:dyDescent="0.3">
      <c r="Q767" t="s">
        <v>1015</v>
      </c>
    </row>
    <row r="768" spans="17:17" x14ac:dyDescent="0.3">
      <c r="Q768" t="s">
        <v>1016</v>
      </c>
    </row>
    <row r="769" spans="17:17" x14ac:dyDescent="0.3">
      <c r="Q769" t="s">
        <v>1017</v>
      </c>
    </row>
    <row r="770" spans="17:17" x14ac:dyDescent="0.3">
      <c r="Q770" t="s">
        <v>1018</v>
      </c>
    </row>
    <row r="771" spans="17:17" x14ac:dyDescent="0.3">
      <c r="Q771" t="s">
        <v>1019</v>
      </c>
    </row>
    <row r="772" spans="17:17" x14ac:dyDescent="0.3">
      <c r="Q772" t="s">
        <v>1020</v>
      </c>
    </row>
    <row r="773" spans="17:17" x14ac:dyDescent="0.3">
      <c r="Q773" t="s">
        <v>1021</v>
      </c>
    </row>
    <row r="774" spans="17:17" x14ac:dyDescent="0.3">
      <c r="Q774" t="s">
        <v>1022</v>
      </c>
    </row>
    <row r="775" spans="17:17" x14ac:dyDescent="0.3">
      <c r="Q775" t="s">
        <v>1023</v>
      </c>
    </row>
    <row r="776" spans="17:17" x14ac:dyDescent="0.3">
      <c r="Q776" t="s">
        <v>1024</v>
      </c>
    </row>
    <row r="777" spans="17:17" x14ac:dyDescent="0.3">
      <c r="Q777" t="s">
        <v>1025</v>
      </c>
    </row>
    <row r="778" spans="17:17" x14ac:dyDescent="0.3">
      <c r="Q778" t="s">
        <v>1026</v>
      </c>
    </row>
    <row r="779" spans="17:17" x14ac:dyDescent="0.3">
      <c r="Q779" t="s">
        <v>1027</v>
      </c>
    </row>
    <row r="780" spans="17:17" x14ac:dyDescent="0.3">
      <c r="Q780" t="s">
        <v>1028</v>
      </c>
    </row>
    <row r="781" spans="17:17" x14ac:dyDescent="0.3">
      <c r="Q781" t="s">
        <v>1029</v>
      </c>
    </row>
    <row r="782" spans="17:17" x14ac:dyDescent="0.3">
      <c r="Q782" t="s">
        <v>1030</v>
      </c>
    </row>
    <row r="783" spans="17:17" x14ac:dyDescent="0.3">
      <c r="Q783" t="s">
        <v>1031</v>
      </c>
    </row>
    <row r="784" spans="17:17" x14ac:dyDescent="0.3">
      <c r="Q784" t="s">
        <v>1032</v>
      </c>
    </row>
    <row r="785" spans="17:17" x14ac:dyDescent="0.3">
      <c r="Q785" t="s">
        <v>1033</v>
      </c>
    </row>
    <row r="786" spans="17:17" x14ac:dyDescent="0.3">
      <c r="Q786" t="s">
        <v>1034</v>
      </c>
    </row>
    <row r="787" spans="17:17" x14ac:dyDescent="0.3">
      <c r="Q787" t="s">
        <v>1035</v>
      </c>
    </row>
    <row r="788" spans="17:17" x14ac:dyDescent="0.3">
      <c r="Q788" t="s">
        <v>1036</v>
      </c>
    </row>
    <row r="789" spans="17:17" x14ac:dyDescent="0.3">
      <c r="Q789" t="s">
        <v>1033</v>
      </c>
    </row>
    <row r="790" spans="17:17" x14ac:dyDescent="0.3">
      <c r="Q790" t="s">
        <v>1037</v>
      </c>
    </row>
    <row r="791" spans="17:17" x14ac:dyDescent="0.3">
      <c r="Q791" t="s">
        <v>1038</v>
      </c>
    </row>
    <row r="792" spans="17:17" x14ac:dyDescent="0.3">
      <c r="Q792" t="s">
        <v>1039</v>
      </c>
    </row>
    <row r="793" spans="17:17" x14ac:dyDescent="0.3">
      <c r="Q793" t="s">
        <v>1040</v>
      </c>
    </row>
    <row r="794" spans="17:17" x14ac:dyDescent="0.3">
      <c r="Q794" t="s">
        <v>1041</v>
      </c>
    </row>
    <row r="795" spans="17:17" x14ac:dyDescent="0.3">
      <c r="Q795" t="s">
        <v>1042</v>
      </c>
    </row>
    <row r="796" spans="17:17" x14ac:dyDescent="0.3">
      <c r="Q796" t="s">
        <v>1043</v>
      </c>
    </row>
    <row r="797" spans="17:17" x14ac:dyDescent="0.3">
      <c r="Q797" t="s">
        <v>1044</v>
      </c>
    </row>
    <row r="798" spans="17:17" x14ac:dyDescent="0.3">
      <c r="Q798" t="s">
        <v>1045</v>
      </c>
    </row>
    <row r="799" spans="17:17" x14ac:dyDescent="0.3">
      <c r="Q799" t="s">
        <v>1046</v>
      </c>
    </row>
    <row r="800" spans="17:17" x14ac:dyDescent="0.3">
      <c r="Q800" t="s">
        <v>1047</v>
      </c>
    </row>
    <row r="801" spans="17:17" x14ac:dyDescent="0.3">
      <c r="Q801" t="s">
        <v>1048</v>
      </c>
    </row>
    <row r="802" spans="17:17" x14ac:dyDescent="0.3">
      <c r="Q802" t="s">
        <v>1049</v>
      </c>
    </row>
    <row r="803" spans="17:17" x14ac:dyDescent="0.3">
      <c r="Q803" t="s">
        <v>1050</v>
      </c>
    </row>
    <row r="804" spans="17:17" x14ac:dyDescent="0.3">
      <c r="Q804" t="s">
        <v>1051</v>
      </c>
    </row>
    <row r="805" spans="17:17" x14ac:dyDescent="0.3">
      <c r="Q805" t="s">
        <v>1051</v>
      </c>
    </row>
    <row r="806" spans="17:17" x14ac:dyDescent="0.3">
      <c r="Q806" t="s">
        <v>1051</v>
      </c>
    </row>
    <row r="807" spans="17:17" x14ac:dyDescent="0.3">
      <c r="Q807" t="s">
        <v>1052</v>
      </c>
    </row>
    <row r="808" spans="17:17" x14ac:dyDescent="0.3">
      <c r="Q808" t="s">
        <v>1053</v>
      </c>
    </row>
    <row r="809" spans="17:17" x14ac:dyDescent="0.3">
      <c r="Q809" t="s">
        <v>1054</v>
      </c>
    </row>
    <row r="810" spans="17:17" x14ac:dyDescent="0.3">
      <c r="Q810" t="s">
        <v>1055</v>
      </c>
    </row>
    <row r="811" spans="17:17" x14ac:dyDescent="0.3">
      <c r="Q811" t="s">
        <v>1056</v>
      </c>
    </row>
    <row r="812" spans="17:17" x14ac:dyDescent="0.3">
      <c r="Q812" t="s">
        <v>1057</v>
      </c>
    </row>
    <row r="813" spans="17:17" x14ac:dyDescent="0.3">
      <c r="Q813" t="s">
        <v>1058</v>
      </c>
    </row>
    <row r="814" spans="17:17" x14ac:dyDescent="0.3">
      <c r="Q814" t="s">
        <v>1059</v>
      </c>
    </row>
    <row r="815" spans="17:17" x14ac:dyDescent="0.3">
      <c r="Q815" t="s">
        <v>1060</v>
      </c>
    </row>
    <row r="816" spans="17:17" x14ac:dyDescent="0.3">
      <c r="Q816" t="s">
        <v>1061</v>
      </c>
    </row>
    <row r="817" spans="17:17" x14ac:dyDescent="0.3">
      <c r="Q817" t="s">
        <v>1062</v>
      </c>
    </row>
    <row r="818" spans="17:17" x14ac:dyDescent="0.3">
      <c r="Q818" t="s">
        <v>1063</v>
      </c>
    </row>
    <row r="819" spans="17:17" x14ac:dyDescent="0.3">
      <c r="Q819" t="s">
        <v>1064</v>
      </c>
    </row>
    <row r="820" spans="17:17" x14ac:dyDescent="0.3">
      <c r="Q820" t="s">
        <v>1065</v>
      </c>
    </row>
    <row r="821" spans="17:17" x14ac:dyDescent="0.3">
      <c r="Q821" t="s">
        <v>1064</v>
      </c>
    </row>
    <row r="822" spans="17:17" x14ac:dyDescent="0.3">
      <c r="Q822" t="s">
        <v>1066</v>
      </c>
    </row>
    <row r="823" spans="17:17" x14ac:dyDescent="0.3">
      <c r="Q823" t="s">
        <v>1067</v>
      </c>
    </row>
    <row r="824" spans="17:17" x14ac:dyDescent="0.3">
      <c r="Q824" t="s">
        <v>1068</v>
      </c>
    </row>
    <row r="825" spans="17:17" x14ac:dyDescent="0.3">
      <c r="Q825" t="s">
        <v>1069</v>
      </c>
    </row>
    <row r="826" spans="17:17" x14ac:dyDescent="0.3">
      <c r="Q826" t="s">
        <v>1068</v>
      </c>
    </row>
    <row r="827" spans="17:17" x14ac:dyDescent="0.3">
      <c r="Q827" t="s">
        <v>1070</v>
      </c>
    </row>
    <row r="828" spans="17:17" x14ac:dyDescent="0.3">
      <c r="Q828" t="s">
        <v>1071</v>
      </c>
    </row>
    <row r="829" spans="17:17" x14ac:dyDescent="0.3">
      <c r="Q829" t="s">
        <v>1072</v>
      </c>
    </row>
    <row r="830" spans="17:17" x14ac:dyDescent="0.3">
      <c r="Q830" t="s">
        <v>1073</v>
      </c>
    </row>
    <row r="831" spans="17:17" x14ac:dyDescent="0.3">
      <c r="Q831" t="s">
        <v>1074</v>
      </c>
    </row>
    <row r="832" spans="17:17" x14ac:dyDescent="0.3">
      <c r="Q832" t="s">
        <v>1075</v>
      </c>
    </row>
    <row r="833" spans="17:17" x14ac:dyDescent="0.3">
      <c r="Q833" t="s">
        <v>1076</v>
      </c>
    </row>
    <row r="834" spans="17:17" x14ac:dyDescent="0.3">
      <c r="Q834" t="s">
        <v>1077</v>
      </c>
    </row>
    <row r="835" spans="17:17" x14ac:dyDescent="0.3">
      <c r="Q835" t="s">
        <v>1078</v>
      </c>
    </row>
    <row r="836" spans="17:17" x14ac:dyDescent="0.3">
      <c r="Q836" t="s">
        <v>1079</v>
      </c>
    </row>
    <row r="837" spans="17:17" x14ac:dyDescent="0.3">
      <c r="Q837" t="s">
        <v>1080</v>
      </c>
    </row>
    <row r="838" spans="17:17" x14ac:dyDescent="0.3">
      <c r="Q838" t="s">
        <v>1081</v>
      </c>
    </row>
    <row r="839" spans="17:17" x14ac:dyDescent="0.3">
      <c r="Q839" t="s">
        <v>1082</v>
      </c>
    </row>
    <row r="840" spans="17:17" x14ac:dyDescent="0.3">
      <c r="Q840" t="s">
        <v>1083</v>
      </c>
    </row>
    <row r="841" spans="17:17" x14ac:dyDescent="0.3">
      <c r="Q841" t="s">
        <v>1084</v>
      </c>
    </row>
    <row r="842" spans="17:17" x14ac:dyDescent="0.3">
      <c r="Q842" t="s">
        <v>1085</v>
      </c>
    </row>
    <row r="843" spans="17:17" x14ac:dyDescent="0.3">
      <c r="Q843" t="s">
        <v>1086</v>
      </c>
    </row>
    <row r="844" spans="17:17" x14ac:dyDescent="0.3">
      <c r="Q844" t="s">
        <v>1087</v>
      </c>
    </row>
    <row r="845" spans="17:17" x14ac:dyDescent="0.3">
      <c r="Q845" t="s">
        <v>1088</v>
      </c>
    </row>
    <row r="846" spans="17:17" x14ac:dyDescent="0.3">
      <c r="Q846" t="s">
        <v>1089</v>
      </c>
    </row>
    <row r="847" spans="17:17" x14ac:dyDescent="0.3">
      <c r="Q847" t="s">
        <v>1090</v>
      </c>
    </row>
    <row r="848" spans="17:17" x14ac:dyDescent="0.3">
      <c r="Q848" t="s">
        <v>1091</v>
      </c>
    </row>
    <row r="849" spans="17:17" x14ac:dyDescent="0.3">
      <c r="Q849" t="s">
        <v>1092</v>
      </c>
    </row>
    <row r="850" spans="17:17" x14ac:dyDescent="0.3">
      <c r="Q850" t="s">
        <v>1093</v>
      </c>
    </row>
    <row r="851" spans="17:17" x14ac:dyDescent="0.3">
      <c r="Q851" t="s">
        <v>1094</v>
      </c>
    </row>
    <row r="852" spans="17:17" x14ac:dyDescent="0.3">
      <c r="Q852" t="s">
        <v>1095</v>
      </c>
    </row>
    <row r="853" spans="17:17" x14ac:dyDescent="0.3">
      <c r="Q853" t="s">
        <v>1096</v>
      </c>
    </row>
    <row r="854" spans="17:17" x14ac:dyDescent="0.3">
      <c r="Q854" t="s">
        <v>1097</v>
      </c>
    </row>
    <row r="855" spans="17:17" x14ac:dyDescent="0.3">
      <c r="Q855" t="s">
        <v>1098</v>
      </c>
    </row>
    <row r="856" spans="17:17" x14ac:dyDescent="0.3">
      <c r="Q856" t="s">
        <v>1099</v>
      </c>
    </row>
    <row r="857" spans="17:17" x14ac:dyDescent="0.3">
      <c r="Q857" t="s">
        <v>1100</v>
      </c>
    </row>
    <row r="858" spans="17:17" x14ac:dyDescent="0.3">
      <c r="Q858" t="s">
        <v>1101</v>
      </c>
    </row>
    <row r="859" spans="17:17" x14ac:dyDescent="0.3">
      <c r="Q859" t="s">
        <v>1102</v>
      </c>
    </row>
    <row r="860" spans="17:17" x14ac:dyDescent="0.3">
      <c r="Q860" t="s">
        <v>1103</v>
      </c>
    </row>
    <row r="861" spans="17:17" x14ac:dyDescent="0.3">
      <c r="Q861" t="s">
        <v>1104</v>
      </c>
    </row>
    <row r="862" spans="17:17" x14ac:dyDescent="0.3">
      <c r="Q862" t="s">
        <v>1105</v>
      </c>
    </row>
    <row r="863" spans="17:17" x14ac:dyDescent="0.3">
      <c r="Q863" t="s">
        <v>1106</v>
      </c>
    </row>
    <row r="864" spans="17:17" x14ac:dyDescent="0.3">
      <c r="Q864" t="s">
        <v>1096</v>
      </c>
    </row>
    <row r="865" spans="17:17" x14ac:dyDescent="0.3">
      <c r="Q865" t="s">
        <v>1107</v>
      </c>
    </row>
    <row r="866" spans="17:17" x14ac:dyDescent="0.3">
      <c r="Q866" t="s">
        <v>1108</v>
      </c>
    </row>
    <row r="867" spans="17:17" x14ac:dyDescent="0.3">
      <c r="Q867" t="s">
        <v>1109</v>
      </c>
    </row>
    <row r="868" spans="17:17" x14ac:dyDescent="0.3">
      <c r="Q868" t="s">
        <v>1110</v>
      </c>
    </row>
    <row r="869" spans="17:17" x14ac:dyDescent="0.3">
      <c r="Q869" t="s">
        <v>1111</v>
      </c>
    </row>
    <row r="870" spans="17:17" x14ac:dyDescent="0.3">
      <c r="Q870" t="s">
        <v>1112</v>
      </c>
    </row>
    <row r="871" spans="17:17" x14ac:dyDescent="0.3">
      <c r="Q871" t="s">
        <v>1113</v>
      </c>
    </row>
    <row r="872" spans="17:17" x14ac:dyDescent="0.3">
      <c r="Q872" t="s">
        <v>1114</v>
      </c>
    </row>
    <row r="873" spans="17:17" x14ac:dyDescent="0.3">
      <c r="Q873" t="s">
        <v>1115</v>
      </c>
    </row>
    <row r="874" spans="17:17" x14ac:dyDescent="0.3">
      <c r="Q874" t="s">
        <v>1116</v>
      </c>
    </row>
    <row r="875" spans="17:17" x14ac:dyDescent="0.3">
      <c r="Q875" t="s">
        <v>1117</v>
      </c>
    </row>
    <row r="876" spans="17:17" x14ac:dyDescent="0.3">
      <c r="Q876" t="s">
        <v>1118</v>
      </c>
    </row>
    <row r="877" spans="17:17" x14ac:dyDescent="0.3">
      <c r="Q877" t="s">
        <v>1119</v>
      </c>
    </row>
    <row r="878" spans="17:17" x14ac:dyDescent="0.3">
      <c r="Q878" t="s">
        <v>1120</v>
      </c>
    </row>
    <row r="879" spans="17:17" x14ac:dyDescent="0.3">
      <c r="Q879" t="s">
        <v>1121</v>
      </c>
    </row>
    <row r="880" spans="17:17" x14ac:dyDescent="0.3">
      <c r="Q880" t="s">
        <v>1122</v>
      </c>
    </row>
    <row r="881" spans="17:17" x14ac:dyDescent="0.3">
      <c r="Q881" t="s">
        <v>1123</v>
      </c>
    </row>
    <row r="882" spans="17:17" x14ac:dyDescent="0.3">
      <c r="Q882" t="s">
        <v>1124</v>
      </c>
    </row>
    <row r="883" spans="17:17" x14ac:dyDescent="0.3">
      <c r="Q883" t="s">
        <v>1125</v>
      </c>
    </row>
    <row r="884" spans="17:17" x14ac:dyDescent="0.3">
      <c r="Q884" t="s">
        <v>1126</v>
      </c>
    </row>
    <row r="885" spans="17:17" x14ac:dyDescent="0.3">
      <c r="Q885" t="s">
        <v>1127</v>
      </c>
    </row>
    <row r="886" spans="17:17" x14ac:dyDescent="0.3">
      <c r="Q886" t="s">
        <v>1128</v>
      </c>
    </row>
    <row r="887" spans="17:17" x14ac:dyDescent="0.3">
      <c r="Q887" t="s">
        <v>1129</v>
      </c>
    </row>
    <row r="888" spans="17:17" x14ac:dyDescent="0.3">
      <c r="Q888" t="s">
        <v>1130</v>
      </c>
    </row>
    <row r="889" spans="17:17" x14ac:dyDescent="0.3">
      <c r="Q889" t="s">
        <v>1131</v>
      </c>
    </row>
    <row r="890" spans="17:17" x14ac:dyDescent="0.3">
      <c r="Q890" t="s">
        <v>1132</v>
      </c>
    </row>
    <row r="891" spans="17:17" x14ac:dyDescent="0.3">
      <c r="Q891" t="s">
        <v>1133</v>
      </c>
    </row>
    <row r="892" spans="17:17" x14ac:dyDescent="0.3">
      <c r="Q892" t="s">
        <v>1131</v>
      </c>
    </row>
    <row r="893" spans="17:17" x14ac:dyDescent="0.3">
      <c r="Q893" t="s">
        <v>1134</v>
      </c>
    </row>
    <row r="894" spans="17:17" x14ac:dyDescent="0.3">
      <c r="Q894" t="s">
        <v>1135</v>
      </c>
    </row>
    <row r="895" spans="17:17" x14ac:dyDescent="0.3">
      <c r="Q895" t="s">
        <v>1136</v>
      </c>
    </row>
    <row r="896" spans="17:17" x14ac:dyDescent="0.3">
      <c r="Q896" t="s">
        <v>1135</v>
      </c>
    </row>
    <row r="897" spans="17:17" x14ac:dyDescent="0.3">
      <c r="Q897" t="s">
        <v>1137</v>
      </c>
    </row>
    <row r="898" spans="17:17" x14ac:dyDescent="0.3">
      <c r="Q898" t="s">
        <v>1138</v>
      </c>
    </row>
    <row r="899" spans="17:17" x14ac:dyDescent="0.3">
      <c r="Q899" t="s">
        <v>1139</v>
      </c>
    </row>
    <row r="900" spans="17:17" x14ac:dyDescent="0.3">
      <c r="Q900" t="s">
        <v>1140</v>
      </c>
    </row>
    <row r="901" spans="17:17" x14ac:dyDescent="0.3">
      <c r="Q901" t="s">
        <v>1141</v>
      </c>
    </row>
    <row r="902" spans="17:17" x14ac:dyDescent="0.3">
      <c r="Q902" t="s">
        <v>1142</v>
      </c>
    </row>
    <row r="903" spans="17:17" x14ac:dyDescent="0.3">
      <c r="Q903" t="s">
        <v>1143</v>
      </c>
    </row>
    <row r="904" spans="17:17" x14ac:dyDescent="0.3">
      <c r="Q904" t="s">
        <v>1144</v>
      </c>
    </row>
    <row r="905" spans="17:17" x14ac:dyDescent="0.3">
      <c r="Q905" t="s">
        <v>1145</v>
      </c>
    </row>
    <row r="906" spans="17:17" x14ac:dyDescent="0.3">
      <c r="Q906" t="s">
        <v>1146</v>
      </c>
    </row>
    <row r="907" spans="17:17" x14ac:dyDescent="0.3">
      <c r="Q907" t="s">
        <v>1147</v>
      </c>
    </row>
    <row r="908" spans="17:17" x14ac:dyDescent="0.3">
      <c r="Q908" t="s">
        <v>1148</v>
      </c>
    </row>
    <row r="909" spans="17:17" x14ac:dyDescent="0.3">
      <c r="Q909" t="s">
        <v>1149</v>
      </c>
    </row>
    <row r="910" spans="17:17" x14ac:dyDescent="0.3">
      <c r="Q910" t="s">
        <v>1150</v>
      </c>
    </row>
    <row r="911" spans="17:17" x14ac:dyDescent="0.3">
      <c r="Q911" t="s">
        <v>1151</v>
      </c>
    </row>
    <row r="912" spans="17:17" x14ac:dyDescent="0.3">
      <c r="Q912" t="s">
        <v>1152</v>
      </c>
    </row>
    <row r="913" spans="17:17" x14ac:dyDescent="0.3">
      <c r="Q913" t="s">
        <v>1153</v>
      </c>
    </row>
    <row r="914" spans="17:17" x14ac:dyDescent="0.3">
      <c r="Q914" t="s">
        <v>1154</v>
      </c>
    </row>
    <row r="915" spans="17:17" x14ac:dyDescent="0.3">
      <c r="Q915" t="s">
        <v>1155</v>
      </c>
    </row>
    <row r="916" spans="17:17" x14ac:dyDescent="0.3">
      <c r="Q916" t="s">
        <v>1156</v>
      </c>
    </row>
    <row r="917" spans="17:17" x14ac:dyDescent="0.3">
      <c r="Q917" t="s">
        <v>1157</v>
      </c>
    </row>
    <row r="918" spans="17:17" x14ac:dyDescent="0.3">
      <c r="Q918" t="s">
        <v>1158</v>
      </c>
    </row>
    <row r="919" spans="17:17" x14ac:dyDescent="0.3">
      <c r="Q919" t="s">
        <v>1159</v>
      </c>
    </row>
    <row r="920" spans="17:17" x14ac:dyDescent="0.3">
      <c r="Q920" t="s">
        <v>1160</v>
      </c>
    </row>
    <row r="921" spans="17:17" x14ac:dyDescent="0.3">
      <c r="Q921" t="s">
        <v>1161</v>
      </c>
    </row>
    <row r="922" spans="17:17" x14ac:dyDescent="0.3">
      <c r="Q922" t="s">
        <v>1162</v>
      </c>
    </row>
    <row r="923" spans="17:17" x14ac:dyDescent="0.3">
      <c r="Q923" t="s">
        <v>1163</v>
      </c>
    </row>
    <row r="924" spans="17:17" x14ac:dyDescent="0.3">
      <c r="Q924" t="s">
        <v>1132</v>
      </c>
    </row>
    <row r="925" spans="17:17" x14ac:dyDescent="0.3">
      <c r="Q925" t="s">
        <v>1157</v>
      </c>
    </row>
    <row r="926" spans="17:17" x14ac:dyDescent="0.3">
      <c r="Q926" t="s">
        <v>1164</v>
      </c>
    </row>
    <row r="927" spans="17:17" x14ac:dyDescent="0.3">
      <c r="Q927" t="s">
        <v>1165</v>
      </c>
    </row>
    <row r="928" spans="17:17" x14ac:dyDescent="0.3">
      <c r="Q928" t="s">
        <v>1130</v>
      </c>
    </row>
    <row r="929" spans="17:17" x14ac:dyDescent="0.3">
      <c r="Q929" t="s">
        <v>1166</v>
      </c>
    </row>
    <row r="930" spans="17:17" x14ac:dyDescent="0.3">
      <c r="Q930" t="s">
        <v>1133</v>
      </c>
    </row>
    <row r="931" spans="17:17" x14ac:dyDescent="0.3">
      <c r="Q931" t="s">
        <v>1167</v>
      </c>
    </row>
    <row r="932" spans="17:17" x14ac:dyDescent="0.3">
      <c r="Q932" t="s">
        <v>1168</v>
      </c>
    </row>
    <row r="933" spans="17:17" x14ac:dyDescent="0.3">
      <c r="Q933" t="s">
        <v>1169</v>
      </c>
    </row>
    <row r="934" spans="17:17" x14ac:dyDescent="0.3">
      <c r="Q934" t="s">
        <v>1170</v>
      </c>
    </row>
    <row r="935" spans="17:17" x14ac:dyDescent="0.3">
      <c r="Q935" t="s">
        <v>1171</v>
      </c>
    </row>
    <row r="936" spans="17:17" x14ac:dyDescent="0.3">
      <c r="Q936" t="s">
        <v>1172</v>
      </c>
    </row>
    <row r="937" spans="17:17" x14ac:dyDescent="0.3">
      <c r="Q937" t="s">
        <v>1173</v>
      </c>
    </row>
    <row r="938" spans="17:17" x14ac:dyDescent="0.3">
      <c r="Q938" t="s">
        <v>1174</v>
      </c>
    </row>
    <row r="939" spans="17:17" x14ac:dyDescent="0.3">
      <c r="Q939" t="s">
        <v>1172</v>
      </c>
    </row>
    <row r="940" spans="17:17" x14ac:dyDescent="0.3">
      <c r="Q940" t="s">
        <v>1175</v>
      </c>
    </row>
    <row r="941" spans="17:17" x14ac:dyDescent="0.3">
      <c r="Q941" t="s">
        <v>1176</v>
      </c>
    </row>
    <row r="942" spans="17:17" x14ac:dyDescent="0.3">
      <c r="Q942" t="s">
        <v>1177</v>
      </c>
    </row>
    <row r="943" spans="17:17" x14ac:dyDescent="0.3">
      <c r="Q943" t="s">
        <v>1178</v>
      </c>
    </row>
    <row r="944" spans="17:17" x14ac:dyDescent="0.3">
      <c r="Q944" t="s">
        <v>1179</v>
      </c>
    </row>
    <row r="945" spans="17:17" x14ac:dyDescent="0.3">
      <c r="Q945" t="s">
        <v>1174</v>
      </c>
    </row>
    <row r="946" spans="17:17" x14ac:dyDescent="0.3">
      <c r="Q946" t="s">
        <v>1180</v>
      </c>
    </row>
    <row r="947" spans="17:17" x14ac:dyDescent="0.3">
      <c r="Q947" t="s">
        <v>1181</v>
      </c>
    </row>
    <row r="948" spans="17:17" x14ac:dyDescent="0.3">
      <c r="Q948" t="s">
        <v>1182</v>
      </c>
    </row>
    <row r="949" spans="17:17" x14ac:dyDescent="0.3">
      <c r="Q949" t="s">
        <v>1183</v>
      </c>
    </row>
    <row r="950" spans="17:17" x14ac:dyDescent="0.3">
      <c r="Q950" t="s">
        <v>1184</v>
      </c>
    </row>
    <row r="951" spans="17:17" x14ac:dyDescent="0.3">
      <c r="Q951" t="s">
        <v>1185</v>
      </c>
    </row>
    <row r="952" spans="17:17" x14ac:dyDescent="0.3">
      <c r="Q952" t="s">
        <v>1186</v>
      </c>
    </row>
    <row r="953" spans="17:17" x14ac:dyDescent="0.3">
      <c r="Q953" t="s">
        <v>1187</v>
      </c>
    </row>
    <row r="954" spans="17:17" x14ac:dyDescent="0.3">
      <c r="Q954" t="s">
        <v>1037</v>
      </c>
    </row>
    <row r="955" spans="17:17" x14ac:dyDescent="0.3">
      <c r="Q955" t="s">
        <v>1188</v>
      </c>
    </row>
    <row r="956" spans="17:17" x14ac:dyDescent="0.3">
      <c r="Q956" t="s">
        <v>1131</v>
      </c>
    </row>
    <row r="957" spans="17:17" x14ac:dyDescent="0.3">
      <c r="Q957" t="s">
        <v>1189</v>
      </c>
    </row>
    <row r="958" spans="17:17" x14ac:dyDescent="0.3">
      <c r="Q958" t="s">
        <v>1188</v>
      </c>
    </row>
    <row r="959" spans="17:17" x14ac:dyDescent="0.3">
      <c r="Q959" t="s">
        <v>1037</v>
      </c>
    </row>
    <row r="960" spans="17:17" x14ac:dyDescent="0.3">
      <c r="Q960" t="s">
        <v>1190</v>
      </c>
    </row>
    <row r="961" spans="17:17" x14ac:dyDescent="0.3">
      <c r="Q961" t="s">
        <v>1191</v>
      </c>
    </row>
    <row r="962" spans="17:17" x14ac:dyDescent="0.3">
      <c r="Q962" t="s">
        <v>1192</v>
      </c>
    </row>
    <row r="963" spans="17:17" x14ac:dyDescent="0.3">
      <c r="Q963" t="s">
        <v>1046</v>
      </c>
    </row>
    <row r="964" spans="17:17" x14ac:dyDescent="0.3">
      <c r="Q964" t="s">
        <v>1193</v>
      </c>
    </row>
    <row r="965" spans="17:17" x14ac:dyDescent="0.3">
      <c r="Q965" t="s">
        <v>1194</v>
      </c>
    </row>
    <row r="966" spans="17:17" x14ac:dyDescent="0.3">
      <c r="Q966" t="s">
        <v>1195</v>
      </c>
    </row>
    <row r="967" spans="17:17" x14ac:dyDescent="0.3">
      <c r="Q967" t="s">
        <v>1196</v>
      </c>
    </row>
    <row r="968" spans="17:17" x14ac:dyDescent="0.3">
      <c r="Q968" t="s">
        <v>1106</v>
      </c>
    </row>
    <row r="969" spans="17:17" x14ac:dyDescent="0.3">
      <c r="Q969" t="s">
        <v>1197</v>
      </c>
    </row>
    <row r="970" spans="17:17" x14ac:dyDescent="0.3">
      <c r="Q970" t="s">
        <v>1198</v>
      </c>
    </row>
    <row r="971" spans="17:17" x14ac:dyDescent="0.3">
      <c r="Q971" t="s">
        <v>1199</v>
      </c>
    </row>
    <row r="972" spans="17:17" x14ac:dyDescent="0.3">
      <c r="Q972" t="s">
        <v>1200</v>
      </c>
    </row>
    <row r="973" spans="17:17" x14ac:dyDescent="0.3">
      <c r="Q973" t="s">
        <v>1201</v>
      </c>
    </row>
    <row r="974" spans="17:17" x14ac:dyDescent="0.3">
      <c r="Q974" t="s">
        <v>1202</v>
      </c>
    </row>
    <row r="975" spans="17:17" x14ac:dyDescent="0.3">
      <c r="Q975" t="s">
        <v>1202</v>
      </c>
    </row>
    <row r="976" spans="17:17" x14ac:dyDescent="0.3">
      <c r="Q976" t="s">
        <v>1203</v>
      </c>
    </row>
    <row r="977" spans="17:17" x14ac:dyDescent="0.3">
      <c r="Q977" t="s">
        <v>1204</v>
      </c>
    </row>
    <row r="978" spans="17:17" x14ac:dyDescent="0.3">
      <c r="Q978" t="s">
        <v>1205</v>
      </c>
    </row>
    <row r="979" spans="17:17" x14ac:dyDescent="0.3">
      <c r="Q979" t="s">
        <v>1206</v>
      </c>
    </row>
    <row r="980" spans="17:17" x14ac:dyDescent="0.3">
      <c r="Q980" t="s">
        <v>1207</v>
      </c>
    </row>
    <row r="981" spans="17:17" x14ac:dyDescent="0.3">
      <c r="Q981" t="s">
        <v>1208</v>
      </c>
    </row>
    <row r="982" spans="17:17" x14ac:dyDescent="0.3">
      <c r="Q982" t="s">
        <v>1209</v>
      </c>
    </row>
    <row r="983" spans="17:17" x14ac:dyDescent="0.3">
      <c r="Q983" t="s">
        <v>1207</v>
      </c>
    </row>
    <row r="984" spans="17:17" x14ac:dyDescent="0.3">
      <c r="Q984" t="s">
        <v>1210</v>
      </c>
    </row>
    <row r="985" spans="17:17" x14ac:dyDescent="0.3">
      <c r="Q985" t="s">
        <v>1208</v>
      </c>
    </row>
    <row r="986" spans="17:17" x14ac:dyDescent="0.3">
      <c r="Q986" t="s">
        <v>1211</v>
      </c>
    </row>
    <row r="987" spans="17:17" x14ac:dyDescent="0.3">
      <c r="Q987" t="s">
        <v>1212</v>
      </c>
    </row>
    <row r="988" spans="17:17" x14ac:dyDescent="0.3">
      <c r="Q988" t="s">
        <v>1213</v>
      </c>
    </row>
    <row r="989" spans="17:17" x14ac:dyDescent="0.3">
      <c r="Q989" t="s">
        <v>1214</v>
      </c>
    </row>
    <row r="990" spans="17:17" x14ac:dyDescent="0.3">
      <c r="Q990" t="s">
        <v>1215</v>
      </c>
    </row>
    <row r="991" spans="17:17" x14ac:dyDescent="0.3">
      <c r="Q991" t="s">
        <v>1216</v>
      </c>
    </row>
    <row r="992" spans="17:17" x14ac:dyDescent="0.3">
      <c r="Q992" t="s">
        <v>1217</v>
      </c>
    </row>
    <row r="993" spans="17:17" x14ac:dyDescent="0.3">
      <c r="Q993" t="s">
        <v>1218</v>
      </c>
    </row>
    <row r="994" spans="17:17" x14ac:dyDescent="0.3">
      <c r="Q994" t="s">
        <v>1219</v>
      </c>
    </row>
    <row r="995" spans="17:17" x14ac:dyDescent="0.3">
      <c r="Q995" t="s">
        <v>1220</v>
      </c>
    </row>
    <row r="996" spans="17:17" x14ac:dyDescent="0.3">
      <c r="Q996" t="s">
        <v>1221</v>
      </c>
    </row>
    <row r="997" spans="17:17" x14ac:dyDescent="0.3">
      <c r="Q997" t="s">
        <v>1222</v>
      </c>
    </row>
    <row r="998" spans="17:17" x14ac:dyDescent="0.3">
      <c r="Q998" t="s">
        <v>1223</v>
      </c>
    </row>
    <row r="999" spans="17:17" x14ac:dyDescent="0.3">
      <c r="Q999" t="s">
        <v>1224</v>
      </c>
    </row>
    <row r="1000" spans="17:17" x14ac:dyDescent="0.3">
      <c r="Q1000" t="s">
        <v>1225</v>
      </c>
    </row>
    <row r="1001" spans="17:17" x14ac:dyDescent="0.3">
      <c r="Q1001" t="s">
        <v>1226</v>
      </c>
    </row>
    <row r="1002" spans="17:17" x14ac:dyDescent="0.3">
      <c r="Q1002" t="s">
        <v>1227</v>
      </c>
    </row>
    <row r="1003" spans="17:17" x14ac:dyDescent="0.3">
      <c r="Q1003" t="s">
        <v>1228</v>
      </c>
    </row>
    <row r="1004" spans="17:17" x14ac:dyDescent="0.3">
      <c r="Q1004" t="s">
        <v>1229</v>
      </c>
    </row>
    <row r="1005" spans="17:17" x14ac:dyDescent="0.3">
      <c r="Q1005" t="s">
        <v>1230</v>
      </c>
    </row>
    <row r="1006" spans="17:17" x14ac:dyDescent="0.3">
      <c r="Q1006" t="s">
        <v>1231</v>
      </c>
    </row>
    <row r="1007" spans="17:17" x14ac:dyDescent="0.3">
      <c r="Q1007" t="s">
        <v>1232</v>
      </c>
    </row>
    <row r="1008" spans="17:17" x14ac:dyDescent="0.3">
      <c r="Q1008" t="s">
        <v>1233</v>
      </c>
    </row>
    <row r="1009" spans="17:17" x14ac:dyDescent="0.3">
      <c r="Q1009" t="s">
        <v>1234</v>
      </c>
    </row>
    <row r="1010" spans="17:17" x14ac:dyDescent="0.3">
      <c r="Q1010" t="s">
        <v>1235</v>
      </c>
    </row>
    <row r="1011" spans="17:17" x14ac:dyDescent="0.3">
      <c r="Q1011" t="s">
        <v>1236</v>
      </c>
    </row>
    <row r="1012" spans="17:17" x14ac:dyDescent="0.3">
      <c r="Q1012" t="s">
        <v>1237</v>
      </c>
    </row>
    <row r="1013" spans="17:17" x14ac:dyDescent="0.3">
      <c r="Q1013" t="s">
        <v>1238</v>
      </c>
    </row>
    <row r="1014" spans="17:17" x14ac:dyDescent="0.3">
      <c r="Q1014" t="s">
        <v>1239</v>
      </c>
    </row>
    <row r="1015" spans="17:17" x14ac:dyDescent="0.3">
      <c r="Q1015" t="s">
        <v>1240</v>
      </c>
    </row>
    <row r="1016" spans="17:17" x14ac:dyDescent="0.3">
      <c r="Q1016" t="s">
        <v>1241</v>
      </c>
    </row>
    <row r="1017" spans="17:17" x14ac:dyDescent="0.3">
      <c r="Q1017" t="s">
        <v>1242</v>
      </c>
    </row>
    <row r="1018" spans="17:17" x14ac:dyDescent="0.3">
      <c r="Q1018" t="s">
        <v>1243</v>
      </c>
    </row>
    <row r="1019" spans="17:17" x14ac:dyDescent="0.3">
      <c r="Q1019" t="s">
        <v>1244</v>
      </c>
    </row>
    <row r="1020" spans="17:17" x14ac:dyDescent="0.3">
      <c r="Q1020" t="s">
        <v>1245</v>
      </c>
    </row>
    <row r="1021" spans="17:17" x14ac:dyDescent="0.3">
      <c r="Q1021" t="s">
        <v>1246</v>
      </c>
    </row>
    <row r="1022" spans="17:17" x14ac:dyDescent="0.3">
      <c r="Q1022" t="s">
        <v>1247</v>
      </c>
    </row>
    <row r="1023" spans="17:17" x14ac:dyDescent="0.3">
      <c r="Q1023" t="s">
        <v>1248</v>
      </c>
    </row>
    <row r="1024" spans="17:17" x14ac:dyDescent="0.3">
      <c r="Q1024" t="s">
        <v>1249</v>
      </c>
    </row>
    <row r="1025" spans="17:17" x14ac:dyDescent="0.3">
      <c r="Q1025" t="s">
        <v>1250</v>
      </c>
    </row>
    <row r="1026" spans="17:17" x14ac:dyDescent="0.3">
      <c r="Q1026" t="s">
        <v>1251</v>
      </c>
    </row>
    <row r="1027" spans="17:17" x14ac:dyDescent="0.3">
      <c r="Q1027" t="s">
        <v>1252</v>
      </c>
    </row>
    <row r="1028" spans="17:17" x14ac:dyDescent="0.3">
      <c r="Q1028" t="s">
        <v>1253</v>
      </c>
    </row>
    <row r="1029" spans="17:17" x14ac:dyDescent="0.3">
      <c r="Q1029" t="s">
        <v>1254</v>
      </c>
    </row>
    <row r="1030" spans="17:17" x14ac:dyDescent="0.3">
      <c r="Q1030" t="s">
        <v>1255</v>
      </c>
    </row>
    <row r="1031" spans="17:17" x14ac:dyDescent="0.3">
      <c r="Q1031" t="s">
        <v>1256</v>
      </c>
    </row>
    <row r="1032" spans="17:17" x14ac:dyDescent="0.3">
      <c r="Q1032" t="s">
        <v>1204</v>
      </c>
    </row>
    <row r="1033" spans="17:17" x14ac:dyDescent="0.3">
      <c r="Q1033" t="s">
        <v>1257</v>
      </c>
    </row>
    <row r="1034" spans="17:17" x14ac:dyDescent="0.3">
      <c r="Q1034" t="s">
        <v>1258</v>
      </c>
    </row>
    <row r="1035" spans="17:17" x14ac:dyDescent="0.3">
      <c r="Q1035" t="s">
        <v>1259</v>
      </c>
    </row>
    <row r="1036" spans="17:17" x14ac:dyDescent="0.3">
      <c r="Q1036" t="s">
        <v>1260</v>
      </c>
    </row>
    <row r="1037" spans="17:17" x14ac:dyDescent="0.3">
      <c r="Q1037" t="s">
        <v>1261</v>
      </c>
    </row>
    <row r="1038" spans="17:17" x14ac:dyDescent="0.3">
      <c r="Q1038" t="s">
        <v>1262</v>
      </c>
    </row>
    <row r="1039" spans="17:17" x14ac:dyDescent="0.3">
      <c r="Q1039" t="s">
        <v>1263</v>
      </c>
    </row>
    <row r="1040" spans="17:17" x14ac:dyDescent="0.3">
      <c r="Q1040" t="s">
        <v>1245</v>
      </c>
    </row>
    <row r="1041" spans="17:17" x14ac:dyDescent="0.3">
      <c r="Q1041" t="s">
        <v>1264</v>
      </c>
    </row>
    <row r="1042" spans="17:17" x14ac:dyDescent="0.3">
      <c r="Q1042" t="s">
        <v>1265</v>
      </c>
    </row>
    <row r="1043" spans="17:17" x14ac:dyDescent="0.3">
      <c r="Q1043" t="s">
        <v>1266</v>
      </c>
    </row>
    <row r="1044" spans="17:17" x14ac:dyDescent="0.3">
      <c r="Q1044" t="s">
        <v>1267</v>
      </c>
    </row>
    <row r="1045" spans="17:17" x14ac:dyDescent="0.3">
      <c r="Q1045" t="s">
        <v>1268</v>
      </c>
    </row>
    <row r="1046" spans="17:17" x14ac:dyDescent="0.3">
      <c r="Q1046" t="s">
        <v>1269</v>
      </c>
    </row>
    <row r="1047" spans="17:17" x14ac:dyDescent="0.3">
      <c r="Q1047" t="s">
        <v>1270</v>
      </c>
    </row>
    <row r="1048" spans="17:17" x14ac:dyDescent="0.3">
      <c r="Q1048" t="s">
        <v>1271</v>
      </c>
    </row>
    <row r="1049" spans="17:17" x14ac:dyDescent="0.3">
      <c r="Q1049" t="s">
        <v>1272</v>
      </c>
    </row>
    <row r="1050" spans="17:17" x14ac:dyDescent="0.3">
      <c r="Q1050" t="s">
        <v>1273</v>
      </c>
    </row>
    <row r="1051" spans="17:17" x14ac:dyDescent="0.3">
      <c r="Q1051" t="s">
        <v>1274</v>
      </c>
    </row>
    <row r="1052" spans="17:17" x14ac:dyDescent="0.3">
      <c r="Q1052" t="s">
        <v>1275</v>
      </c>
    </row>
    <row r="1053" spans="17:17" x14ac:dyDescent="0.3">
      <c r="Q1053" t="s">
        <v>1276</v>
      </c>
    </row>
    <row r="1054" spans="17:17" x14ac:dyDescent="0.3">
      <c r="Q1054" t="s">
        <v>1277</v>
      </c>
    </row>
    <row r="1055" spans="17:17" x14ac:dyDescent="0.3">
      <c r="Q1055" t="s">
        <v>1278</v>
      </c>
    </row>
    <row r="1056" spans="17:17" x14ac:dyDescent="0.3">
      <c r="Q1056" t="s">
        <v>1279</v>
      </c>
    </row>
    <row r="1057" spans="17:17" x14ac:dyDescent="0.3">
      <c r="Q1057" t="s">
        <v>1280</v>
      </c>
    </row>
    <row r="1058" spans="17:17" x14ac:dyDescent="0.3">
      <c r="Q1058" t="s">
        <v>1281</v>
      </c>
    </row>
    <row r="1059" spans="17:17" x14ac:dyDescent="0.3">
      <c r="Q1059" t="s">
        <v>1282</v>
      </c>
    </row>
    <row r="1060" spans="17:17" x14ac:dyDescent="0.3">
      <c r="Q1060" t="s">
        <v>1283</v>
      </c>
    </row>
    <row r="1061" spans="17:17" x14ac:dyDescent="0.3">
      <c r="Q1061" t="s">
        <v>1284</v>
      </c>
    </row>
    <row r="1062" spans="17:17" x14ac:dyDescent="0.3">
      <c r="Q1062" t="s">
        <v>1285</v>
      </c>
    </row>
    <row r="1063" spans="17:17" x14ac:dyDescent="0.3">
      <c r="Q1063" t="s">
        <v>1286</v>
      </c>
    </row>
    <row r="1064" spans="17:17" x14ac:dyDescent="0.3">
      <c r="Q1064" t="s">
        <v>1287</v>
      </c>
    </row>
    <row r="1065" spans="17:17" x14ac:dyDescent="0.3">
      <c r="Q1065" t="s">
        <v>1288</v>
      </c>
    </row>
    <row r="1066" spans="17:17" x14ac:dyDescent="0.3">
      <c r="Q1066" t="s">
        <v>403</v>
      </c>
    </row>
    <row r="1067" spans="17:17" x14ac:dyDescent="0.3">
      <c r="Q1067" t="s">
        <v>1289</v>
      </c>
    </row>
    <row r="1068" spans="17:17" x14ac:dyDescent="0.3">
      <c r="Q1068" t="s">
        <v>1290</v>
      </c>
    </row>
    <row r="1069" spans="17:17" x14ac:dyDescent="0.3">
      <c r="Q1069" t="s">
        <v>1291</v>
      </c>
    </row>
    <row r="1070" spans="17:17" x14ac:dyDescent="0.3">
      <c r="Q1070" t="s">
        <v>1292</v>
      </c>
    </row>
    <row r="1071" spans="17:17" x14ac:dyDescent="0.3">
      <c r="Q1071" t="s">
        <v>1293</v>
      </c>
    </row>
    <row r="1072" spans="17:17" x14ac:dyDescent="0.3">
      <c r="Q1072" t="s">
        <v>1294</v>
      </c>
    </row>
    <row r="1073" spans="17:17" x14ac:dyDescent="0.3">
      <c r="Q1073" t="s">
        <v>1295</v>
      </c>
    </row>
    <row r="1074" spans="17:17" x14ac:dyDescent="0.3">
      <c r="Q1074" t="s">
        <v>1296</v>
      </c>
    </row>
    <row r="1075" spans="17:17" x14ac:dyDescent="0.3">
      <c r="Q1075" t="s">
        <v>1297</v>
      </c>
    </row>
    <row r="1076" spans="17:17" x14ac:dyDescent="0.3">
      <c r="Q1076" t="s">
        <v>1298</v>
      </c>
    </row>
    <row r="1077" spans="17:17" x14ac:dyDescent="0.3">
      <c r="Q1077" t="s">
        <v>1299</v>
      </c>
    </row>
    <row r="1078" spans="17:17" x14ac:dyDescent="0.3">
      <c r="Q1078" t="s">
        <v>1300</v>
      </c>
    </row>
    <row r="1079" spans="17:17" x14ac:dyDescent="0.3">
      <c r="Q1079" t="s">
        <v>1301</v>
      </c>
    </row>
    <row r="1080" spans="17:17" x14ac:dyDescent="0.3">
      <c r="Q1080" t="s">
        <v>1302</v>
      </c>
    </row>
    <row r="1081" spans="17:17" x14ac:dyDescent="0.3">
      <c r="Q1081" t="s">
        <v>1303</v>
      </c>
    </row>
    <row r="1082" spans="17:17" x14ac:dyDescent="0.3">
      <c r="Q1082" t="s">
        <v>1304</v>
      </c>
    </row>
    <row r="1083" spans="17:17" x14ac:dyDescent="0.3">
      <c r="Q1083" t="s">
        <v>1305</v>
      </c>
    </row>
    <row r="1084" spans="17:17" x14ac:dyDescent="0.3">
      <c r="Q1084" t="s">
        <v>1306</v>
      </c>
    </row>
    <row r="1085" spans="17:17" x14ac:dyDescent="0.3">
      <c r="Q1085" t="s">
        <v>1307</v>
      </c>
    </row>
    <row r="1086" spans="17:17" x14ac:dyDescent="0.3">
      <c r="Q1086" t="s">
        <v>1308</v>
      </c>
    </row>
    <row r="1087" spans="17:17" x14ac:dyDescent="0.3">
      <c r="Q1087" t="s">
        <v>1309</v>
      </c>
    </row>
    <row r="1088" spans="17:17" x14ac:dyDescent="0.3">
      <c r="Q1088" t="s">
        <v>1310</v>
      </c>
    </row>
    <row r="1089" spans="17:17" x14ac:dyDescent="0.3">
      <c r="Q1089" t="s">
        <v>1311</v>
      </c>
    </row>
    <row r="1090" spans="17:17" x14ac:dyDescent="0.3">
      <c r="Q1090" t="s">
        <v>1194</v>
      </c>
    </row>
    <row r="1091" spans="17:17" x14ac:dyDescent="0.3">
      <c r="Q1091" t="s">
        <v>1312</v>
      </c>
    </row>
    <row r="1092" spans="17:17" x14ac:dyDescent="0.3">
      <c r="Q1092" t="s">
        <v>1313</v>
      </c>
    </row>
    <row r="1093" spans="17:17" x14ac:dyDescent="0.3">
      <c r="Q1093" t="s">
        <v>1313</v>
      </c>
    </row>
    <row r="1094" spans="17:17" x14ac:dyDescent="0.3">
      <c r="Q1094" t="s">
        <v>1314</v>
      </c>
    </row>
    <row r="1095" spans="17:17" x14ac:dyDescent="0.3">
      <c r="Q1095" t="s">
        <v>1315</v>
      </c>
    </row>
    <row r="1096" spans="17:17" x14ac:dyDescent="0.3">
      <c r="Q1096" t="s">
        <v>1316</v>
      </c>
    </row>
    <row r="1097" spans="17:17" x14ac:dyDescent="0.3">
      <c r="Q1097" t="s">
        <v>1317</v>
      </c>
    </row>
    <row r="1098" spans="17:17" x14ac:dyDescent="0.3">
      <c r="Q1098" t="s">
        <v>1318</v>
      </c>
    </row>
    <row r="1099" spans="17:17" x14ac:dyDescent="0.3">
      <c r="Q1099" t="s">
        <v>1319</v>
      </c>
    </row>
    <row r="1100" spans="17:17" x14ac:dyDescent="0.3">
      <c r="Q1100" t="s">
        <v>1320</v>
      </c>
    </row>
    <row r="1101" spans="17:17" x14ac:dyDescent="0.3">
      <c r="Q1101" t="s">
        <v>1321</v>
      </c>
    </row>
    <row r="1102" spans="17:17" x14ac:dyDescent="0.3">
      <c r="Q1102" t="s">
        <v>1322</v>
      </c>
    </row>
    <row r="1103" spans="17:17" x14ac:dyDescent="0.3">
      <c r="Q1103" t="s">
        <v>1323</v>
      </c>
    </row>
    <row r="1104" spans="17:17" x14ac:dyDescent="0.3">
      <c r="Q1104" t="s">
        <v>1324</v>
      </c>
    </row>
    <row r="1105" spans="17:17" x14ac:dyDescent="0.3">
      <c r="Q1105" t="s">
        <v>1325</v>
      </c>
    </row>
    <row r="1106" spans="17:17" x14ac:dyDescent="0.3">
      <c r="Q1106" t="s">
        <v>1237</v>
      </c>
    </row>
    <row r="1107" spans="17:17" x14ac:dyDescent="0.3">
      <c r="Q1107" t="s">
        <v>1326</v>
      </c>
    </row>
    <row r="1108" spans="17:17" x14ac:dyDescent="0.3">
      <c r="Q1108" t="s">
        <v>1327</v>
      </c>
    </row>
    <row r="1109" spans="17:17" x14ac:dyDescent="0.3">
      <c r="Q1109" t="s">
        <v>1328</v>
      </c>
    </row>
    <row r="1110" spans="17:17" x14ac:dyDescent="0.3">
      <c r="Q1110" t="s">
        <v>1329</v>
      </c>
    </row>
    <row r="1111" spans="17:17" x14ac:dyDescent="0.3">
      <c r="Q1111" t="s">
        <v>1330</v>
      </c>
    </row>
    <row r="1112" spans="17:17" x14ac:dyDescent="0.3">
      <c r="Q1112" t="s">
        <v>1331</v>
      </c>
    </row>
    <row r="1113" spans="17:17" x14ac:dyDescent="0.3">
      <c r="Q1113" t="s">
        <v>1332</v>
      </c>
    </row>
    <row r="1114" spans="17:17" x14ac:dyDescent="0.3">
      <c r="Q1114" t="s">
        <v>1333</v>
      </c>
    </row>
    <row r="1115" spans="17:17" x14ac:dyDescent="0.3">
      <c r="Q1115" t="s">
        <v>1334</v>
      </c>
    </row>
    <row r="1116" spans="17:17" x14ac:dyDescent="0.3">
      <c r="Q1116" t="s">
        <v>1335</v>
      </c>
    </row>
    <row r="1117" spans="17:17" x14ac:dyDescent="0.3">
      <c r="Q1117" t="s">
        <v>1336</v>
      </c>
    </row>
    <row r="1118" spans="17:17" x14ac:dyDescent="0.3">
      <c r="Q1118" t="s">
        <v>1337</v>
      </c>
    </row>
    <row r="1119" spans="17:17" x14ac:dyDescent="0.3">
      <c r="Q1119" t="s">
        <v>1338</v>
      </c>
    </row>
    <row r="1120" spans="17:17" x14ac:dyDescent="0.3">
      <c r="Q1120" t="s">
        <v>1339</v>
      </c>
    </row>
    <row r="1121" spans="17:17" x14ac:dyDescent="0.3">
      <c r="Q1121" t="s">
        <v>1340</v>
      </c>
    </row>
    <row r="1122" spans="17:17" x14ac:dyDescent="0.3">
      <c r="Q1122" t="s">
        <v>1341</v>
      </c>
    </row>
    <row r="1123" spans="17:17" x14ac:dyDescent="0.3">
      <c r="Q1123" t="s">
        <v>1342</v>
      </c>
    </row>
    <row r="1124" spans="17:17" x14ac:dyDescent="0.3">
      <c r="Q1124" t="s">
        <v>1343</v>
      </c>
    </row>
    <row r="1125" spans="17:17" x14ac:dyDescent="0.3">
      <c r="Q1125" t="s">
        <v>1344</v>
      </c>
    </row>
    <row r="1126" spans="17:17" x14ac:dyDescent="0.3">
      <c r="Q1126" t="s">
        <v>1345</v>
      </c>
    </row>
    <row r="1127" spans="17:17" x14ac:dyDescent="0.3">
      <c r="Q1127" t="s">
        <v>1346</v>
      </c>
    </row>
    <row r="1128" spans="17:17" x14ac:dyDescent="0.3">
      <c r="Q1128" t="s">
        <v>1347</v>
      </c>
    </row>
    <row r="1129" spans="17:17" x14ac:dyDescent="0.3">
      <c r="Q1129" t="s">
        <v>1348</v>
      </c>
    </row>
    <row r="1130" spans="17:17" x14ac:dyDescent="0.3">
      <c r="Q1130" t="s">
        <v>1349</v>
      </c>
    </row>
    <row r="1131" spans="17:17" x14ac:dyDescent="0.3">
      <c r="Q1131" t="s">
        <v>1350</v>
      </c>
    </row>
    <row r="1132" spans="17:17" x14ac:dyDescent="0.3">
      <c r="Q1132" t="s">
        <v>1351</v>
      </c>
    </row>
    <row r="1133" spans="17:17" x14ac:dyDescent="0.3">
      <c r="Q1133" t="s">
        <v>1352</v>
      </c>
    </row>
    <row r="1134" spans="17:17" x14ac:dyDescent="0.3">
      <c r="Q1134" t="s">
        <v>1353</v>
      </c>
    </row>
    <row r="1135" spans="17:17" x14ac:dyDescent="0.3">
      <c r="Q1135" t="s">
        <v>1354</v>
      </c>
    </row>
    <row r="1136" spans="17:17" x14ac:dyDescent="0.3">
      <c r="Q1136" t="s">
        <v>372</v>
      </c>
    </row>
    <row r="1137" spans="17:17" x14ac:dyDescent="0.3">
      <c r="Q1137" t="s">
        <v>1355</v>
      </c>
    </row>
    <row r="1138" spans="17:17" x14ac:dyDescent="0.3">
      <c r="Q1138" t="s">
        <v>1356</v>
      </c>
    </row>
    <row r="1139" spans="17:17" x14ac:dyDescent="0.3">
      <c r="Q1139" t="s">
        <v>1357</v>
      </c>
    </row>
    <row r="1140" spans="17:17" x14ac:dyDescent="0.3">
      <c r="Q1140" t="s">
        <v>1358</v>
      </c>
    </row>
    <row r="1141" spans="17:17" x14ac:dyDescent="0.3">
      <c r="Q1141" t="s">
        <v>1359</v>
      </c>
    </row>
    <row r="1142" spans="17:17" x14ac:dyDescent="0.3">
      <c r="Q1142" t="s">
        <v>1360</v>
      </c>
    </row>
    <row r="1143" spans="17:17" x14ac:dyDescent="0.3">
      <c r="Q1143" t="s">
        <v>1360</v>
      </c>
    </row>
    <row r="1144" spans="17:17" x14ac:dyDescent="0.3">
      <c r="Q1144" t="s">
        <v>1361</v>
      </c>
    </row>
    <row r="1145" spans="17:17" x14ac:dyDescent="0.3">
      <c r="Q1145" t="s">
        <v>1362</v>
      </c>
    </row>
    <row r="1146" spans="17:17" x14ac:dyDescent="0.3">
      <c r="Q1146" t="s">
        <v>1363</v>
      </c>
    </row>
    <row r="1147" spans="17:17" x14ac:dyDescent="0.3">
      <c r="Q1147" t="s">
        <v>1364</v>
      </c>
    </row>
    <row r="1148" spans="17:17" x14ac:dyDescent="0.3">
      <c r="Q1148" t="s">
        <v>1365</v>
      </c>
    </row>
    <row r="1149" spans="17:17" x14ac:dyDescent="0.3">
      <c r="Q1149" t="s">
        <v>1366</v>
      </c>
    </row>
    <row r="1150" spans="17:17" x14ac:dyDescent="0.3">
      <c r="Q1150" t="s">
        <v>1367</v>
      </c>
    </row>
    <row r="1151" spans="17:17" x14ac:dyDescent="0.3">
      <c r="Q1151" t="s">
        <v>1366</v>
      </c>
    </row>
    <row r="1152" spans="17:17" x14ac:dyDescent="0.3">
      <c r="Q1152" t="s">
        <v>1368</v>
      </c>
    </row>
    <row r="1153" spans="17:17" x14ac:dyDescent="0.3">
      <c r="Q1153" t="s">
        <v>1369</v>
      </c>
    </row>
    <row r="1154" spans="17:17" x14ac:dyDescent="0.3">
      <c r="Q1154" t="s">
        <v>1367</v>
      </c>
    </row>
    <row r="1155" spans="17:17" x14ac:dyDescent="0.3">
      <c r="Q1155" t="s">
        <v>1370</v>
      </c>
    </row>
    <row r="1156" spans="17:17" x14ac:dyDescent="0.3">
      <c r="Q1156" t="s">
        <v>1371</v>
      </c>
    </row>
    <row r="1157" spans="17:17" x14ac:dyDescent="0.3">
      <c r="Q1157" t="s">
        <v>1370</v>
      </c>
    </row>
    <row r="1158" spans="17:17" x14ac:dyDescent="0.3">
      <c r="Q1158" t="s">
        <v>1318</v>
      </c>
    </row>
    <row r="1159" spans="17:17" x14ac:dyDescent="0.3">
      <c r="Q1159" t="s">
        <v>1372</v>
      </c>
    </row>
    <row r="1160" spans="17:17" x14ac:dyDescent="0.3">
      <c r="Q1160" t="s">
        <v>1373</v>
      </c>
    </row>
    <row r="1161" spans="17:17" x14ac:dyDescent="0.3">
      <c r="Q1161" t="s">
        <v>1374</v>
      </c>
    </row>
    <row r="1162" spans="17:17" x14ac:dyDescent="0.3">
      <c r="Q1162" t="s">
        <v>1375</v>
      </c>
    </row>
    <row r="1163" spans="17:17" x14ac:dyDescent="0.3">
      <c r="Q1163" t="s">
        <v>1357</v>
      </c>
    </row>
    <row r="1164" spans="17:17" x14ac:dyDescent="0.3">
      <c r="Q1164" t="s">
        <v>1376</v>
      </c>
    </row>
    <row r="1165" spans="17:17" x14ac:dyDescent="0.3">
      <c r="Q1165" t="s">
        <v>1377</v>
      </c>
    </row>
    <row r="1166" spans="17:17" x14ac:dyDescent="0.3">
      <c r="Q1166" t="s">
        <v>1378</v>
      </c>
    </row>
    <row r="1167" spans="17:17" x14ac:dyDescent="0.3">
      <c r="Q1167" t="s">
        <v>1379</v>
      </c>
    </row>
    <row r="1168" spans="17:17" x14ac:dyDescent="0.3">
      <c r="Q1168" t="s">
        <v>1380</v>
      </c>
    </row>
    <row r="1169" spans="17:17" x14ac:dyDescent="0.3">
      <c r="Q1169" t="s">
        <v>1381</v>
      </c>
    </row>
    <row r="1170" spans="17:17" x14ac:dyDescent="0.3">
      <c r="Q1170" t="s">
        <v>1382</v>
      </c>
    </row>
    <row r="1171" spans="17:17" x14ac:dyDescent="0.3">
      <c r="Q1171" t="s">
        <v>1383</v>
      </c>
    </row>
    <row r="1172" spans="17:17" x14ac:dyDescent="0.3">
      <c r="Q1172" t="s">
        <v>1384</v>
      </c>
    </row>
    <row r="1173" spans="17:17" x14ac:dyDescent="0.3">
      <c r="Q1173" t="s">
        <v>1385</v>
      </c>
    </row>
    <row r="1174" spans="17:17" x14ac:dyDescent="0.3">
      <c r="Q1174" t="s">
        <v>639</v>
      </c>
    </row>
    <row r="1175" spans="17:17" x14ac:dyDescent="0.3">
      <c r="Q1175" t="s">
        <v>1386</v>
      </c>
    </row>
    <row r="1176" spans="17:17" x14ac:dyDescent="0.3">
      <c r="Q1176" t="s">
        <v>1387</v>
      </c>
    </row>
    <row r="1177" spans="17:17" x14ac:dyDescent="0.3">
      <c r="Q1177" t="s">
        <v>1388</v>
      </c>
    </row>
    <row r="1178" spans="17:17" x14ac:dyDescent="0.3">
      <c r="Q1178" t="s">
        <v>1389</v>
      </c>
    </row>
    <row r="1179" spans="17:17" x14ac:dyDescent="0.3">
      <c r="Q1179" t="s">
        <v>1390</v>
      </c>
    </row>
    <row r="1180" spans="17:17" x14ac:dyDescent="0.3">
      <c r="Q1180" t="s">
        <v>1391</v>
      </c>
    </row>
    <row r="1181" spans="17:17" x14ac:dyDescent="0.3">
      <c r="Q1181" t="s">
        <v>1392</v>
      </c>
    </row>
    <row r="1182" spans="17:17" x14ac:dyDescent="0.3">
      <c r="Q1182" t="s">
        <v>1392</v>
      </c>
    </row>
    <row r="1183" spans="17:17" x14ac:dyDescent="0.3">
      <c r="Q1183" t="s">
        <v>1393</v>
      </c>
    </row>
    <row r="1184" spans="17:17" x14ac:dyDescent="0.3">
      <c r="Q1184" t="s">
        <v>1394</v>
      </c>
    </row>
    <row r="1185" spans="17:17" x14ac:dyDescent="0.3">
      <c r="Q1185" t="s">
        <v>1395</v>
      </c>
    </row>
    <row r="1186" spans="17:17" x14ac:dyDescent="0.3">
      <c r="Q1186" t="s">
        <v>1396</v>
      </c>
    </row>
    <row r="1187" spans="17:17" x14ac:dyDescent="0.3">
      <c r="Q1187" t="s">
        <v>1397</v>
      </c>
    </row>
    <row r="1188" spans="17:17" x14ac:dyDescent="0.3">
      <c r="Q1188" t="s">
        <v>1398</v>
      </c>
    </row>
    <row r="1189" spans="17:17" x14ac:dyDescent="0.3">
      <c r="Q1189" t="s">
        <v>1399</v>
      </c>
    </row>
    <row r="1190" spans="17:17" x14ac:dyDescent="0.3">
      <c r="Q1190" t="s">
        <v>1400</v>
      </c>
    </row>
    <row r="1191" spans="17:17" x14ac:dyDescent="0.3">
      <c r="Q1191" t="s">
        <v>1401</v>
      </c>
    </row>
    <row r="1192" spans="17:17" x14ac:dyDescent="0.3">
      <c r="Q1192" t="s">
        <v>1402</v>
      </c>
    </row>
    <row r="1193" spans="17:17" x14ac:dyDescent="0.3">
      <c r="Q1193" t="s">
        <v>1403</v>
      </c>
    </row>
    <row r="1194" spans="17:17" x14ac:dyDescent="0.3">
      <c r="Q1194" t="s">
        <v>1404</v>
      </c>
    </row>
    <row r="1195" spans="17:17" x14ac:dyDescent="0.3">
      <c r="Q1195" t="s">
        <v>1405</v>
      </c>
    </row>
    <row r="1196" spans="17:17" x14ac:dyDescent="0.3">
      <c r="Q1196" t="s">
        <v>1406</v>
      </c>
    </row>
    <row r="1197" spans="17:17" x14ac:dyDescent="0.3">
      <c r="Q1197" t="s">
        <v>1407</v>
      </c>
    </row>
    <row r="1198" spans="17:17" x14ac:dyDescent="0.3">
      <c r="Q1198" t="s">
        <v>1408</v>
      </c>
    </row>
    <row r="1199" spans="17:17" x14ac:dyDescent="0.3">
      <c r="Q1199" t="s">
        <v>1409</v>
      </c>
    </row>
    <row r="1200" spans="17:17" x14ac:dyDescent="0.3">
      <c r="Q1200" t="s">
        <v>1410</v>
      </c>
    </row>
    <row r="1201" spans="17:17" x14ac:dyDescent="0.3">
      <c r="Q1201" t="s">
        <v>1411</v>
      </c>
    </row>
    <row r="1202" spans="17:17" x14ac:dyDescent="0.3">
      <c r="Q1202" t="s">
        <v>1412</v>
      </c>
    </row>
    <row r="1203" spans="17:17" x14ac:dyDescent="0.3">
      <c r="Q1203" t="s">
        <v>1413</v>
      </c>
    </row>
    <row r="1204" spans="17:17" x14ac:dyDescent="0.3">
      <c r="Q1204" t="s">
        <v>1414</v>
      </c>
    </row>
    <row r="1205" spans="17:17" x14ac:dyDescent="0.3">
      <c r="Q1205" t="s">
        <v>1414</v>
      </c>
    </row>
    <row r="1206" spans="17:17" x14ac:dyDescent="0.3">
      <c r="Q1206" t="s">
        <v>1415</v>
      </c>
    </row>
    <row r="1207" spans="17:17" x14ac:dyDescent="0.3">
      <c r="Q1207" t="s">
        <v>1416</v>
      </c>
    </row>
    <row r="1208" spans="17:17" x14ac:dyDescent="0.3">
      <c r="Q1208" t="s">
        <v>1363</v>
      </c>
    </row>
    <row r="1209" spans="17:17" x14ac:dyDescent="0.3">
      <c r="Q1209" t="s">
        <v>1417</v>
      </c>
    </row>
    <row r="1210" spans="17:17" x14ac:dyDescent="0.3">
      <c r="Q1210" t="s">
        <v>1418</v>
      </c>
    </row>
    <row r="1211" spans="17:17" x14ac:dyDescent="0.3">
      <c r="Q1211" t="s">
        <v>1419</v>
      </c>
    </row>
    <row r="1212" spans="17:17" x14ac:dyDescent="0.3">
      <c r="Q1212" t="s">
        <v>1420</v>
      </c>
    </row>
    <row r="1213" spans="17:17" x14ac:dyDescent="0.3">
      <c r="Q1213" t="s">
        <v>1421</v>
      </c>
    </row>
    <row r="1214" spans="17:17" x14ac:dyDescent="0.3">
      <c r="Q1214" t="s">
        <v>1422</v>
      </c>
    </row>
    <row r="1215" spans="17:17" x14ac:dyDescent="0.3">
      <c r="Q1215" t="s">
        <v>1422</v>
      </c>
    </row>
    <row r="1216" spans="17:17" x14ac:dyDescent="0.3">
      <c r="Q1216" t="s">
        <v>1423</v>
      </c>
    </row>
    <row r="1217" spans="17:17" x14ac:dyDescent="0.3">
      <c r="Q1217" t="s">
        <v>1424</v>
      </c>
    </row>
    <row r="1218" spans="17:17" x14ac:dyDescent="0.3">
      <c r="Q1218" t="s">
        <v>1425</v>
      </c>
    </row>
    <row r="1219" spans="17:17" x14ac:dyDescent="0.3">
      <c r="Q1219" t="s">
        <v>1359</v>
      </c>
    </row>
    <row r="1220" spans="17:17" x14ac:dyDescent="0.3">
      <c r="Q1220" t="s">
        <v>1426</v>
      </c>
    </row>
    <row r="1221" spans="17:17" x14ac:dyDescent="0.3">
      <c r="Q1221" t="s">
        <v>1427</v>
      </c>
    </row>
    <row r="1222" spans="17:17" x14ac:dyDescent="0.3">
      <c r="Q1222" t="s">
        <v>1428</v>
      </c>
    </row>
    <row r="1223" spans="17:17" x14ac:dyDescent="0.3">
      <c r="Q1223" t="s">
        <v>1429</v>
      </c>
    </row>
    <row r="1224" spans="17:17" x14ac:dyDescent="0.3">
      <c r="Q1224" t="s">
        <v>1430</v>
      </c>
    </row>
    <row r="1225" spans="17:17" x14ac:dyDescent="0.3">
      <c r="Q1225" t="s">
        <v>1431</v>
      </c>
    </row>
    <row r="1226" spans="17:17" x14ac:dyDescent="0.3">
      <c r="Q1226" t="s">
        <v>1432</v>
      </c>
    </row>
    <row r="1227" spans="17:17" x14ac:dyDescent="0.3">
      <c r="Q1227" t="s">
        <v>1433</v>
      </c>
    </row>
    <row r="1228" spans="17:17" x14ac:dyDescent="0.3">
      <c r="Q1228" t="s">
        <v>1434</v>
      </c>
    </row>
    <row r="1229" spans="17:17" x14ac:dyDescent="0.3">
      <c r="Q1229" t="s">
        <v>1435</v>
      </c>
    </row>
    <row r="1230" spans="17:17" x14ac:dyDescent="0.3">
      <c r="Q1230" t="s">
        <v>1436</v>
      </c>
    </row>
    <row r="1231" spans="17:17" x14ac:dyDescent="0.3">
      <c r="Q1231" t="s">
        <v>1437</v>
      </c>
    </row>
    <row r="1232" spans="17:17" x14ac:dyDescent="0.3">
      <c r="Q1232" t="s">
        <v>1438</v>
      </c>
    </row>
    <row r="1233" spans="17:17" x14ac:dyDescent="0.3">
      <c r="Q1233" t="s">
        <v>1439</v>
      </c>
    </row>
    <row r="1234" spans="17:17" x14ac:dyDescent="0.3">
      <c r="Q1234" t="s">
        <v>1440</v>
      </c>
    </row>
    <row r="1235" spans="17:17" x14ac:dyDescent="0.3">
      <c r="Q1235" t="s">
        <v>1441</v>
      </c>
    </row>
    <row r="1236" spans="17:17" x14ac:dyDescent="0.3">
      <c r="Q1236" t="s">
        <v>1442</v>
      </c>
    </row>
    <row r="1237" spans="17:17" x14ac:dyDescent="0.3">
      <c r="Q1237" t="s">
        <v>1443</v>
      </c>
    </row>
    <row r="1238" spans="17:17" x14ac:dyDescent="0.3">
      <c r="Q1238" t="s">
        <v>1444</v>
      </c>
    </row>
    <row r="1239" spans="17:17" x14ac:dyDescent="0.3">
      <c r="Q1239" t="s">
        <v>1445</v>
      </c>
    </row>
    <row r="1240" spans="17:17" x14ac:dyDescent="0.3">
      <c r="Q1240" t="s">
        <v>1446</v>
      </c>
    </row>
    <row r="1241" spans="17:17" x14ac:dyDescent="0.3">
      <c r="Q1241" t="s">
        <v>1447</v>
      </c>
    </row>
    <row r="1242" spans="17:17" x14ac:dyDescent="0.3">
      <c r="Q1242" t="s">
        <v>1448</v>
      </c>
    </row>
    <row r="1243" spans="17:17" x14ac:dyDescent="0.3">
      <c r="Q1243" t="s">
        <v>1449</v>
      </c>
    </row>
    <row r="1244" spans="17:17" x14ac:dyDescent="0.3">
      <c r="Q1244" t="s">
        <v>1432</v>
      </c>
    </row>
    <row r="1245" spans="17:17" x14ac:dyDescent="0.3">
      <c r="Q1245" t="s">
        <v>1450</v>
      </c>
    </row>
    <row r="1246" spans="17:17" x14ac:dyDescent="0.3">
      <c r="Q1246" t="s">
        <v>1451</v>
      </c>
    </row>
    <row r="1247" spans="17:17" x14ac:dyDescent="0.3">
      <c r="Q1247" t="s">
        <v>1452</v>
      </c>
    </row>
    <row r="1248" spans="17:17" x14ac:dyDescent="0.3">
      <c r="Q1248" t="s">
        <v>1452</v>
      </c>
    </row>
    <row r="1249" spans="17:17" x14ac:dyDescent="0.3">
      <c r="Q1249" t="s">
        <v>1453</v>
      </c>
    </row>
    <row r="1250" spans="17:17" x14ac:dyDescent="0.3">
      <c r="Q1250" t="s">
        <v>1454</v>
      </c>
    </row>
    <row r="1251" spans="17:17" x14ac:dyDescent="0.3">
      <c r="Q1251" t="s">
        <v>1455</v>
      </c>
    </row>
    <row r="1252" spans="17:17" x14ac:dyDescent="0.3">
      <c r="Q1252" t="s">
        <v>1456</v>
      </c>
    </row>
    <row r="1253" spans="17:17" x14ac:dyDescent="0.3">
      <c r="Q1253" t="s">
        <v>1457</v>
      </c>
    </row>
    <row r="1254" spans="17:17" x14ac:dyDescent="0.3">
      <c r="Q1254" t="s">
        <v>1458</v>
      </c>
    </row>
    <row r="1255" spans="17:17" x14ac:dyDescent="0.3">
      <c r="Q1255" t="s">
        <v>1400</v>
      </c>
    </row>
    <row r="1256" spans="17:17" x14ac:dyDescent="0.3">
      <c r="Q1256" t="s">
        <v>1459</v>
      </c>
    </row>
    <row r="1257" spans="17:17" x14ac:dyDescent="0.3">
      <c r="Q1257" t="s">
        <v>1460</v>
      </c>
    </row>
    <row r="1258" spans="17:17" x14ac:dyDescent="0.3">
      <c r="Q1258" t="s">
        <v>1461</v>
      </c>
    </row>
    <row r="1259" spans="17:17" x14ac:dyDescent="0.3">
      <c r="Q1259" t="s">
        <v>1443</v>
      </c>
    </row>
    <row r="1260" spans="17:17" x14ac:dyDescent="0.3">
      <c r="Q1260" t="s">
        <v>1462</v>
      </c>
    </row>
    <row r="1261" spans="17:17" x14ac:dyDescent="0.3">
      <c r="Q1261" t="s">
        <v>1463</v>
      </c>
    </row>
    <row r="1262" spans="17:17" x14ac:dyDescent="0.3">
      <c r="Q1262" t="s">
        <v>1464</v>
      </c>
    </row>
    <row r="1263" spans="17:17" x14ac:dyDescent="0.3">
      <c r="Q1263" t="s">
        <v>1465</v>
      </c>
    </row>
    <row r="1264" spans="17:17" x14ac:dyDescent="0.3">
      <c r="Q1264" t="s">
        <v>1466</v>
      </c>
    </row>
    <row r="1265" spans="17:17" x14ac:dyDescent="0.3">
      <c r="Q1265" t="s">
        <v>1312</v>
      </c>
    </row>
    <row r="1266" spans="17:17" x14ac:dyDescent="0.3">
      <c r="Q1266" t="s">
        <v>1467</v>
      </c>
    </row>
    <row r="1267" spans="17:17" x14ac:dyDescent="0.3">
      <c r="Q1267" t="s">
        <v>1468</v>
      </c>
    </row>
    <row r="1268" spans="17:17" x14ac:dyDescent="0.3">
      <c r="Q1268" t="s">
        <v>1469</v>
      </c>
    </row>
    <row r="1269" spans="17:17" x14ac:dyDescent="0.3">
      <c r="Q1269" t="s">
        <v>1470</v>
      </c>
    </row>
    <row r="1270" spans="17:17" x14ac:dyDescent="0.3">
      <c r="Q1270" t="s">
        <v>1471</v>
      </c>
    </row>
    <row r="1271" spans="17:17" x14ac:dyDescent="0.3">
      <c r="Q1271" t="s">
        <v>1472</v>
      </c>
    </row>
    <row r="1272" spans="17:17" x14ac:dyDescent="0.3">
      <c r="Q1272" t="s">
        <v>1473</v>
      </c>
    </row>
    <row r="1273" spans="17:17" x14ac:dyDescent="0.3">
      <c r="Q1273" t="s">
        <v>1474</v>
      </c>
    </row>
    <row r="1274" spans="17:17" x14ac:dyDescent="0.3">
      <c r="Q1274" t="s">
        <v>1475</v>
      </c>
    </row>
    <row r="1275" spans="17:17" x14ac:dyDescent="0.3">
      <c r="Q1275" t="s">
        <v>1476</v>
      </c>
    </row>
    <row r="1276" spans="17:17" x14ac:dyDescent="0.3">
      <c r="Q1276" t="s">
        <v>1477</v>
      </c>
    </row>
    <row r="1277" spans="17:17" x14ac:dyDescent="0.3">
      <c r="Q1277" t="s">
        <v>1478</v>
      </c>
    </row>
    <row r="1278" spans="17:17" x14ac:dyDescent="0.3">
      <c r="Q1278" t="s">
        <v>1479</v>
      </c>
    </row>
    <row r="1279" spans="17:17" x14ac:dyDescent="0.3">
      <c r="Q1279" t="s">
        <v>1480</v>
      </c>
    </row>
    <row r="1280" spans="17:17" x14ac:dyDescent="0.3">
      <c r="Q1280" t="s">
        <v>1481</v>
      </c>
    </row>
    <row r="1281" spans="17:17" x14ac:dyDescent="0.3">
      <c r="Q1281" t="s">
        <v>1482</v>
      </c>
    </row>
    <row r="1282" spans="17:17" x14ac:dyDescent="0.3">
      <c r="Q1282" t="s">
        <v>1483</v>
      </c>
    </row>
    <row r="1283" spans="17:17" x14ac:dyDescent="0.3">
      <c r="Q1283" t="s">
        <v>1484</v>
      </c>
    </row>
    <row r="1284" spans="17:17" x14ac:dyDescent="0.3">
      <c r="Q1284" t="s">
        <v>1485</v>
      </c>
    </row>
    <row r="1285" spans="17:17" x14ac:dyDescent="0.3">
      <c r="Q1285" t="s">
        <v>1486</v>
      </c>
    </row>
    <row r="1286" spans="17:17" x14ac:dyDescent="0.3">
      <c r="Q1286" t="s">
        <v>1487</v>
      </c>
    </row>
    <row r="1287" spans="17:17" x14ac:dyDescent="0.3">
      <c r="Q1287" t="s">
        <v>1488</v>
      </c>
    </row>
    <row r="1288" spans="17:17" x14ac:dyDescent="0.3">
      <c r="Q1288" t="s">
        <v>1489</v>
      </c>
    </row>
    <row r="1289" spans="17:17" x14ac:dyDescent="0.3">
      <c r="Q1289" t="s">
        <v>1490</v>
      </c>
    </row>
    <row r="1290" spans="17:17" x14ac:dyDescent="0.3">
      <c r="Q1290" t="s">
        <v>1491</v>
      </c>
    </row>
    <row r="1291" spans="17:17" x14ac:dyDescent="0.3">
      <c r="Q1291" t="s">
        <v>1491</v>
      </c>
    </row>
    <row r="1292" spans="17:17" x14ac:dyDescent="0.3">
      <c r="Q1292" t="s">
        <v>1492</v>
      </c>
    </row>
    <row r="1293" spans="17:17" x14ac:dyDescent="0.3">
      <c r="Q1293" t="s">
        <v>1493</v>
      </c>
    </row>
    <row r="1294" spans="17:17" x14ac:dyDescent="0.3">
      <c r="Q1294" t="s">
        <v>1494</v>
      </c>
    </row>
    <row r="1295" spans="17:17" x14ac:dyDescent="0.3">
      <c r="Q1295" t="s">
        <v>1495</v>
      </c>
    </row>
    <row r="1296" spans="17:17" x14ac:dyDescent="0.3">
      <c r="Q1296" t="s">
        <v>1496</v>
      </c>
    </row>
    <row r="1297" spans="17:17" x14ac:dyDescent="0.3">
      <c r="Q1297" t="s">
        <v>1497</v>
      </c>
    </row>
    <row r="1298" spans="17:17" x14ac:dyDescent="0.3">
      <c r="Q1298" t="s">
        <v>1498</v>
      </c>
    </row>
    <row r="1299" spans="17:17" x14ac:dyDescent="0.3">
      <c r="Q1299" t="s">
        <v>1499</v>
      </c>
    </row>
    <row r="1300" spans="17:17" x14ac:dyDescent="0.3">
      <c r="Q1300" t="s">
        <v>1500</v>
      </c>
    </row>
    <row r="1301" spans="17:17" x14ac:dyDescent="0.3">
      <c r="Q1301" t="s">
        <v>1501</v>
      </c>
    </row>
    <row r="1302" spans="17:17" x14ac:dyDescent="0.3">
      <c r="Q1302" t="s">
        <v>1502</v>
      </c>
    </row>
    <row r="1303" spans="17:17" x14ac:dyDescent="0.3">
      <c r="Q1303" t="s">
        <v>1503</v>
      </c>
    </row>
    <row r="1304" spans="17:17" x14ac:dyDescent="0.3">
      <c r="Q1304" t="s">
        <v>1504</v>
      </c>
    </row>
    <row r="1305" spans="17:17" x14ac:dyDescent="0.3">
      <c r="Q1305" t="s">
        <v>1505</v>
      </c>
    </row>
    <row r="1306" spans="17:17" x14ac:dyDescent="0.3">
      <c r="Q1306" t="s">
        <v>1506</v>
      </c>
    </row>
    <row r="1307" spans="17:17" x14ac:dyDescent="0.3">
      <c r="Q1307" t="s">
        <v>1507</v>
      </c>
    </row>
    <row r="1308" spans="17:17" x14ac:dyDescent="0.3">
      <c r="Q1308" t="s">
        <v>1508</v>
      </c>
    </row>
    <row r="1309" spans="17:17" x14ac:dyDescent="0.3">
      <c r="Q1309" t="s">
        <v>1509</v>
      </c>
    </row>
    <row r="1310" spans="17:17" x14ac:dyDescent="0.3">
      <c r="Q1310" t="s">
        <v>1510</v>
      </c>
    </row>
    <row r="1311" spans="17:17" x14ac:dyDescent="0.3">
      <c r="Q1311" t="s">
        <v>1511</v>
      </c>
    </row>
    <row r="1312" spans="17:17" x14ac:dyDescent="0.3">
      <c r="Q1312" t="s">
        <v>1512</v>
      </c>
    </row>
    <row r="1313" spans="17:17" x14ac:dyDescent="0.3">
      <c r="Q1313" t="s">
        <v>1513</v>
      </c>
    </row>
    <row r="1314" spans="17:17" x14ac:dyDescent="0.3">
      <c r="Q1314" t="s">
        <v>1514</v>
      </c>
    </row>
    <row r="1315" spans="17:17" x14ac:dyDescent="0.3">
      <c r="Q1315" t="s">
        <v>1515</v>
      </c>
    </row>
    <row r="1316" spans="17:17" x14ac:dyDescent="0.3">
      <c r="Q1316" t="s">
        <v>1516</v>
      </c>
    </row>
    <row r="1317" spans="17:17" x14ac:dyDescent="0.3">
      <c r="Q1317" t="s">
        <v>1517</v>
      </c>
    </row>
    <row r="1318" spans="17:17" x14ac:dyDescent="0.3">
      <c r="Q1318" t="s">
        <v>1518</v>
      </c>
    </row>
    <row r="1319" spans="17:17" x14ac:dyDescent="0.3">
      <c r="Q1319" t="s">
        <v>1519</v>
      </c>
    </row>
    <row r="1320" spans="17:17" x14ac:dyDescent="0.3">
      <c r="Q1320" t="s">
        <v>1520</v>
      </c>
    </row>
    <row r="1321" spans="17:17" x14ac:dyDescent="0.3">
      <c r="Q1321" t="s">
        <v>1521</v>
      </c>
    </row>
    <row r="1322" spans="17:17" x14ac:dyDescent="0.3">
      <c r="Q1322" t="s">
        <v>1522</v>
      </c>
    </row>
    <row r="1323" spans="17:17" x14ac:dyDescent="0.3">
      <c r="Q1323" t="s">
        <v>1523</v>
      </c>
    </row>
    <row r="1324" spans="17:17" x14ac:dyDescent="0.3">
      <c r="Q1324" t="s">
        <v>1524</v>
      </c>
    </row>
    <row r="1325" spans="17:17" x14ac:dyDescent="0.3">
      <c r="Q1325" t="s">
        <v>1525</v>
      </c>
    </row>
    <row r="1326" spans="17:17" x14ac:dyDescent="0.3">
      <c r="Q1326" t="s">
        <v>1526</v>
      </c>
    </row>
    <row r="1327" spans="17:17" x14ac:dyDescent="0.3">
      <c r="Q1327" t="s">
        <v>1527</v>
      </c>
    </row>
    <row r="1328" spans="17:17" x14ac:dyDescent="0.3">
      <c r="Q1328" t="s">
        <v>1528</v>
      </c>
    </row>
    <row r="1329" spans="17:17" x14ac:dyDescent="0.3">
      <c r="Q1329" t="s">
        <v>1529</v>
      </c>
    </row>
    <row r="1330" spans="17:17" x14ac:dyDescent="0.3">
      <c r="Q1330" t="s">
        <v>1530</v>
      </c>
    </row>
    <row r="1331" spans="17:17" x14ac:dyDescent="0.3">
      <c r="Q1331" t="s">
        <v>1531</v>
      </c>
    </row>
    <row r="1332" spans="17:17" x14ac:dyDescent="0.3">
      <c r="Q1332" t="s">
        <v>1532</v>
      </c>
    </row>
    <row r="1333" spans="17:17" x14ac:dyDescent="0.3">
      <c r="Q1333" t="s">
        <v>1533</v>
      </c>
    </row>
    <row r="1334" spans="17:17" x14ac:dyDescent="0.3">
      <c r="Q1334" t="s">
        <v>1534</v>
      </c>
    </row>
    <row r="1335" spans="17:17" x14ac:dyDescent="0.3">
      <c r="Q1335" t="s">
        <v>1535</v>
      </c>
    </row>
    <row r="1336" spans="17:17" x14ac:dyDescent="0.3">
      <c r="Q1336" t="s">
        <v>1536</v>
      </c>
    </row>
    <row r="1337" spans="17:17" x14ac:dyDescent="0.3">
      <c r="Q1337" t="s">
        <v>1537</v>
      </c>
    </row>
    <row r="1338" spans="17:17" x14ac:dyDescent="0.3">
      <c r="Q1338" t="s">
        <v>1538</v>
      </c>
    </row>
    <row r="1339" spans="17:17" x14ac:dyDescent="0.3">
      <c r="Q1339" t="s">
        <v>1539</v>
      </c>
    </row>
    <row r="1340" spans="17:17" x14ac:dyDescent="0.3">
      <c r="Q1340" t="s">
        <v>1540</v>
      </c>
    </row>
    <row r="1341" spans="17:17" x14ac:dyDescent="0.3">
      <c r="Q1341" t="s">
        <v>1541</v>
      </c>
    </row>
    <row r="1342" spans="17:17" x14ac:dyDescent="0.3">
      <c r="Q1342" t="s">
        <v>1541</v>
      </c>
    </row>
    <row r="1343" spans="17:17" x14ac:dyDescent="0.3">
      <c r="Q1343" t="s">
        <v>1542</v>
      </c>
    </row>
    <row r="1344" spans="17:17" x14ac:dyDescent="0.3">
      <c r="Q1344" t="s">
        <v>1543</v>
      </c>
    </row>
    <row r="1345" spans="17:17" x14ac:dyDescent="0.3">
      <c r="Q1345" t="s">
        <v>1544</v>
      </c>
    </row>
    <row r="1346" spans="17:17" x14ac:dyDescent="0.3">
      <c r="Q1346" t="s">
        <v>1545</v>
      </c>
    </row>
    <row r="1347" spans="17:17" x14ac:dyDescent="0.3">
      <c r="Q1347" t="s">
        <v>1546</v>
      </c>
    </row>
    <row r="1348" spans="17:17" x14ac:dyDescent="0.3">
      <c r="Q1348" t="s">
        <v>1547</v>
      </c>
    </row>
    <row r="1349" spans="17:17" x14ac:dyDescent="0.3">
      <c r="Q1349" t="s">
        <v>1548</v>
      </c>
    </row>
    <row r="1350" spans="17:17" x14ac:dyDescent="0.3">
      <c r="Q1350" t="s">
        <v>1549</v>
      </c>
    </row>
    <row r="1351" spans="17:17" x14ac:dyDescent="0.3">
      <c r="Q1351" t="s">
        <v>1550</v>
      </c>
    </row>
    <row r="1352" spans="17:17" x14ac:dyDescent="0.3">
      <c r="Q1352" t="s">
        <v>1551</v>
      </c>
    </row>
    <row r="1353" spans="17:17" x14ac:dyDescent="0.3">
      <c r="Q1353" t="s">
        <v>1552</v>
      </c>
    </row>
    <row r="1354" spans="17:17" x14ac:dyDescent="0.3">
      <c r="Q1354" t="s">
        <v>1553</v>
      </c>
    </row>
    <row r="1355" spans="17:17" x14ac:dyDescent="0.3">
      <c r="Q1355" t="s">
        <v>1554</v>
      </c>
    </row>
    <row r="1356" spans="17:17" x14ac:dyDescent="0.3">
      <c r="Q1356" t="s">
        <v>1555</v>
      </c>
    </row>
    <row r="1357" spans="17:17" x14ac:dyDescent="0.3">
      <c r="Q1357" t="s">
        <v>1556</v>
      </c>
    </row>
    <row r="1358" spans="17:17" x14ac:dyDescent="0.3">
      <c r="Q1358" t="s">
        <v>1557</v>
      </c>
    </row>
    <row r="1359" spans="17:17" x14ac:dyDescent="0.3">
      <c r="Q1359" t="s">
        <v>1558</v>
      </c>
    </row>
    <row r="1360" spans="17:17" x14ac:dyDescent="0.3">
      <c r="Q1360" t="s">
        <v>1559</v>
      </c>
    </row>
    <row r="1361" spans="17:17" x14ac:dyDescent="0.3">
      <c r="Q1361" t="s">
        <v>1560</v>
      </c>
    </row>
    <row r="1362" spans="17:17" x14ac:dyDescent="0.3">
      <c r="Q1362" t="s">
        <v>1561</v>
      </c>
    </row>
    <row r="1363" spans="17:17" x14ac:dyDescent="0.3">
      <c r="Q1363" t="s">
        <v>1562</v>
      </c>
    </row>
    <row r="1364" spans="17:17" x14ac:dyDescent="0.3">
      <c r="Q1364" t="s">
        <v>1563</v>
      </c>
    </row>
    <row r="1365" spans="17:17" x14ac:dyDescent="0.3">
      <c r="Q1365" t="s">
        <v>1564</v>
      </c>
    </row>
    <row r="1366" spans="17:17" x14ac:dyDescent="0.3">
      <c r="Q1366" t="s">
        <v>1565</v>
      </c>
    </row>
    <row r="1367" spans="17:17" x14ac:dyDescent="0.3">
      <c r="Q1367" t="s">
        <v>1566</v>
      </c>
    </row>
    <row r="1368" spans="17:17" x14ac:dyDescent="0.3">
      <c r="Q1368" t="s">
        <v>1567</v>
      </c>
    </row>
    <row r="1369" spans="17:17" x14ac:dyDescent="0.3">
      <c r="Q1369" t="s">
        <v>1562</v>
      </c>
    </row>
    <row r="1370" spans="17:17" x14ac:dyDescent="0.3">
      <c r="Q1370" t="s">
        <v>1562</v>
      </c>
    </row>
    <row r="1371" spans="17:17" x14ac:dyDescent="0.3">
      <c r="Q1371" t="s">
        <v>1568</v>
      </c>
    </row>
    <row r="1372" spans="17:17" x14ac:dyDescent="0.3">
      <c r="Q1372" t="s">
        <v>1569</v>
      </c>
    </row>
    <row r="1373" spans="17:17" x14ac:dyDescent="0.3">
      <c r="Q1373" t="s">
        <v>1570</v>
      </c>
    </row>
    <row r="1374" spans="17:17" x14ac:dyDescent="0.3">
      <c r="Q1374" t="s">
        <v>1571</v>
      </c>
    </row>
    <row r="1375" spans="17:17" x14ac:dyDescent="0.3">
      <c r="Q1375" t="s">
        <v>1572</v>
      </c>
    </row>
    <row r="1376" spans="17:17" x14ac:dyDescent="0.3">
      <c r="Q1376" t="s">
        <v>1573</v>
      </c>
    </row>
    <row r="1377" spans="17:17" x14ac:dyDescent="0.3">
      <c r="Q1377" t="s">
        <v>1574</v>
      </c>
    </row>
    <row r="1378" spans="17:17" x14ac:dyDescent="0.3">
      <c r="Q1378" t="s">
        <v>1575</v>
      </c>
    </row>
    <row r="1379" spans="17:17" x14ac:dyDescent="0.3">
      <c r="Q1379" t="s">
        <v>1576</v>
      </c>
    </row>
    <row r="1380" spans="17:17" x14ac:dyDescent="0.3">
      <c r="Q1380" t="s">
        <v>1577</v>
      </c>
    </row>
    <row r="1381" spans="17:17" x14ac:dyDescent="0.3">
      <c r="Q1381" t="s">
        <v>1578</v>
      </c>
    </row>
    <row r="1382" spans="17:17" x14ac:dyDescent="0.3">
      <c r="Q1382" t="s">
        <v>1579</v>
      </c>
    </row>
    <row r="1383" spans="17:17" x14ac:dyDescent="0.3">
      <c r="Q1383" t="s">
        <v>1580</v>
      </c>
    </row>
    <row r="1384" spans="17:17" x14ac:dyDescent="0.3">
      <c r="Q1384" t="s">
        <v>1581</v>
      </c>
    </row>
    <row r="1385" spans="17:17" x14ac:dyDescent="0.3">
      <c r="Q1385" t="s">
        <v>1582</v>
      </c>
    </row>
    <row r="1386" spans="17:17" x14ac:dyDescent="0.3">
      <c r="Q1386" t="s">
        <v>1562</v>
      </c>
    </row>
    <row r="1387" spans="17:17" x14ac:dyDescent="0.3">
      <c r="Q1387" t="s">
        <v>1583</v>
      </c>
    </row>
    <row r="1388" spans="17:17" x14ac:dyDescent="0.3">
      <c r="Q1388" t="s">
        <v>1581</v>
      </c>
    </row>
    <row r="1389" spans="17:17" x14ac:dyDescent="0.3">
      <c r="Q1389" t="s">
        <v>1584</v>
      </c>
    </row>
    <row r="1390" spans="17:17" x14ac:dyDescent="0.3">
      <c r="Q1390" t="s">
        <v>1581</v>
      </c>
    </row>
    <row r="1391" spans="17:17" x14ac:dyDescent="0.3">
      <c r="Q1391" t="s">
        <v>1582</v>
      </c>
    </row>
    <row r="1392" spans="17:17" x14ac:dyDescent="0.3">
      <c r="Q1392" t="s">
        <v>1567</v>
      </c>
    </row>
    <row r="1393" spans="17:17" x14ac:dyDescent="0.3">
      <c r="Q1393" t="s">
        <v>1583</v>
      </c>
    </row>
    <row r="1394" spans="17:17" x14ac:dyDescent="0.3">
      <c r="Q1394" t="s">
        <v>1562</v>
      </c>
    </row>
    <row r="1395" spans="17:17" x14ac:dyDescent="0.3">
      <c r="Q1395" t="s">
        <v>1563</v>
      </c>
    </row>
    <row r="1396" spans="17:17" x14ac:dyDescent="0.3">
      <c r="Q1396" t="s">
        <v>1584</v>
      </c>
    </row>
    <row r="1397" spans="17:17" x14ac:dyDescent="0.3">
      <c r="Q1397" t="s">
        <v>1582</v>
      </c>
    </row>
    <row r="1398" spans="17:17" x14ac:dyDescent="0.3">
      <c r="Q1398" t="s">
        <v>1585</v>
      </c>
    </row>
    <row r="1399" spans="17:17" x14ac:dyDescent="0.3">
      <c r="Q1399" t="s">
        <v>1563</v>
      </c>
    </row>
    <row r="1400" spans="17:17" x14ac:dyDescent="0.3">
      <c r="Q1400" t="s">
        <v>1585</v>
      </c>
    </row>
    <row r="1401" spans="17:17" x14ac:dyDescent="0.3">
      <c r="Q1401" t="s">
        <v>1565</v>
      </c>
    </row>
    <row r="1402" spans="17:17" x14ac:dyDescent="0.3">
      <c r="Q1402" t="s">
        <v>1565</v>
      </c>
    </row>
    <row r="1403" spans="17:17" x14ac:dyDescent="0.3">
      <c r="Q1403" t="s">
        <v>1561</v>
      </c>
    </row>
    <row r="1404" spans="17:17" x14ac:dyDescent="0.3">
      <c r="Q1404" t="s">
        <v>1563</v>
      </c>
    </row>
    <row r="1405" spans="17:17" x14ac:dyDescent="0.3">
      <c r="Q1405" t="s">
        <v>1584</v>
      </c>
    </row>
    <row r="1406" spans="17:17" x14ac:dyDescent="0.3">
      <c r="Q1406" t="s">
        <v>1562</v>
      </c>
    </row>
    <row r="1407" spans="17:17" x14ac:dyDescent="0.3">
      <c r="Q1407" t="s">
        <v>1567</v>
      </c>
    </row>
    <row r="1408" spans="17:17" x14ac:dyDescent="0.3">
      <c r="Q1408" t="s">
        <v>1565</v>
      </c>
    </row>
    <row r="1409" spans="17:17" x14ac:dyDescent="0.3">
      <c r="Q1409" t="s">
        <v>1565</v>
      </c>
    </row>
    <row r="1410" spans="17:17" x14ac:dyDescent="0.3">
      <c r="Q1410" t="s">
        <v>1563</v>
      </c>
    </row>
    <row r="1411" spans="17:17" x14ac:dyDescent="0.3">
      <c r="Q1411" t="s">
        <v>1565</v>
      </c>
    </row>
    <row r="1412" spans="17:17" x14ac:dyDescent="0.3">
      <c r="Q1412" t="s">
        <v>1562</v>
      </c>
    </row>
    <row r="1413" spans="17:17" x14ac:dyDescent="0.3">
      <c r="Q1413" t="s">
        <v>1586</v>
      </c>
    </row>
    <row r="1414" spans="17:17" x14ac:dyDescent="0.3">
      <c r="Q1414" t="s">
        <v>1587</v>
      </c>
    </row>
    <row r="1415" spans="17:17" x14ac:dyDescent="0.3">
      <c r="Q1415" t="s">
        <v>1588</v>
      </c>
    </row>
    <row r="1416" spans="17:17" x14ac:dyDescent="0.3">
      <c r="Q1416" t="s">
        <v>1589</v>
      </c>
    </row>
    <row r="1417" spans="17:17" x14ac:dyDescent="0.3">
      <c r="Q1417" t="s">
        <v>1590</v>
      </c>
    </row>
    <row r="1418" spans="17:17" x14ac:dyDescent="0.3">
      <c r="Q1418" t="s">
        <v>1591</v>
      </c>
    </row>
    <row r="1419" spans="17:17" x14ac:dyDescent="0.3">
      <c r="Q1419" t="s">
        <v>1592</v>
      </c>
    </row>
    <row r="1420" spans="17:17" x14ac:dyDescent="0.3">
      <c r="Q1420" t="s">
        <v>1593</v>
      </c>
    </row>
    <row r="1421" spans="17:17" x14ac:dyDescent="0.3">
      <c r="Q1421" t="s">
        <v>1594</v>
      </c>
    </row>
    <row r="1422" spans="17:17" x14ac:dyDescent="0.3">
      <c r="Q1422" t="s">
        <v>1595</v>
      </c>
    </row>
    <row r="1423" spans="17:17" x14ac:dyDescent="0.3">
      <c r="Q1423" t="s">
        <v>1596</v>
      </c>
    </row>
    <row r="1424" spans="17:17" x14ac:dyDescent="0.3">
      <c r="Q1424" t="s">
        <v>1597</v>
      </c>
    </row>
    <row r="1425" spans="17:17" x14ac:dyDescent="0.3">
      <c r="Q1425" t="s">
        <v>1598</v>
      </c>
    </row>
    <row r="1426" spans="17:17" x14ac:dyDescent="0.3">
      <c r="Q1426" t="s">
        <v>1590</v>
      </c>
    </row>
    <row r="1427" spans="17:17" x14ac:dyDescent="0.3">
      <c r="Q1427" t="s">
        <v>1599</v>
      </c>
    </row>
    <row r="1428" spans="17:17" x14ac:dyDescent="0.3">
      <c r="Q1428" t="s">
        <v>1600</v>
      </c>
    </row>
    <row r="1429" spans="17:17" x14ac:dyDescent="0.3">
      <c r="Q1429" t="s">
        <v>1601</v>
      </c>
    </row>
    <row r="1430" spans="17:17" x14ac:dyDescent="0.3">
      <c r="Q1430" t="s">
        <v>1602</v>
      </c>
    </row>
    <row r="1431" spans="17:17" x14ac:dyDescent="0.3">
      <c r="Q1431" t="s">
        <v>1603</v>
      </c>
    </row>
    <row r="1432" spans="17:17" x14ac:dyDescent="0.3">
      <c r="Q1432" t="s">
        <v>1604</v>
      </c>
    </row>
    <row r="1433" spans="17:17" x14ac:dyDescent="0.3">
      <c r="Q1433" t="s">
        <v>1602</v>
      </c>
    </row>
    <row r="1434" spans="17:17" x14ac:dyDescent="0.3">
      <c r="Q1434" t="s">
        <v>1605</v>
      </c>
    </row>
    <row r="1435" spans="17:17" x14ac:dyDescent="0.3">
      <c r="Q1435" t="s">
        <v>1606</v>
      </c>
    </row>
    <row r="1436" spans="17:17" x14ac:dyDescent="0.3">
      <c r="Q1436" t="s">
        <v>1607</v>
      </c>
    </row>
    <row r="1437" spans="17:17" x14ac:dyDescent="0.3">
      <c r="Q1437" t="s">
        <v>1608</v>
      </c>
    </row>
    <row r="1438" spans="17:17" x14ac:dyDescent="0.3">
      <c r="Q1438" t="s">
        <v>1609</v>
      </c>
    </row>
    <row r="1439" spans="17:17" x14ac:dyDescent="0.3">
      <c r="Q1439" t="s">
        <v>1610</v>
      </c>
    </row>
    <row r="1440" spans="17:17" x14ac:dyDescent="0.3">
      <c r="Q1440" t="s">
        <v>1611</v>
      </c>
    </row>
    <row r="1441" spans="17:17" x14ac:dyDescent="0.3">
      <c r="Q1441" t="s">
        <v>1612</v>
      </c>
    </row>
    <row r="1442" spans="17:17" x14ac:dyDescent="0.3">
      <c r="Q1442" t="s">
        <v>1613</v>
      </c>
    </row>
    <row r="1443" spans="17:17" x14ac:dyDescent="0.3">
      <c r="Q1443" t="s">
        <v>1606</v>
      </c>
    </row>
    <row r="1444" spans="17:17" x14ac:dyDescent="0.3">
      <c r="Q1444" t="s">
        <v>1614</v>
      </c>
    </row>
    <row r="1445" spans="17:17" x14ac:dyDescent="0.3">
      <c r="Q1445" t="s">
        <v>1615</v>
      </c>
    </row>
    <row r="1446" spans="17:17" x14ac:dyDescent="0.3">
      <c r="Q1446" t="s">
        <v>1616</v>
      </c>
    </row>
    <row r="1447" spans="17:17" x14ac:dyDescent="0.3">
      <c r="Q1447" t="s">
        <v>1617</v>
      </c>
    </row>
    <row r="1448" spans="17:17" x14ac:dyDescent="0.3">
      <c r="Q1448" t="s">
        <v>1618</v>
      </c>
    </row>
    <row r="1449" spans="17:17" x14ac:dyDescent="0.3">
      <c r="Q1449" t="s">
        <v>1619</v>
      </c>
    </row>
    <row r="1450" spans="17:17" x14ac:dyDescent="0.3">
      <c r="Q1450" t="s">
        <v>1620</v>
      </c>
    </row>
    <row r="1451" spans="17:17" x14ac:dyDescent="0.3">
      <c r="Q1451" t="s">
        <v>1621</v>
      </c>
    </row>
    <row r="1452" spans="17:17" x14ac:dyDescent="0.3">
      <c r="Q1452" t="s">
        <v>1622</v>
      </c>
    </row>
    <row r="1453" spans="17:17" x14ac:dyDescent="0.3">
      <c r="Q1453" t="s">
        <v>1623</v>
      </c>
    </row>
    <row r="1454" spans="17:17" x14ac:dyDescent="0.3">
      <c r="Q1454" t="s">
        <v>1624</v>
      </c>
    </row>
    <row r="1455" spans="17:17" x14ac:dyDescent="0.3">
      <c r="Q1455" t="s">
        <v>1625</v>
      </c>
    </row>
    <row r="1456" spans="17:17" x14ac:dyDescent="0.3">
      <c r="Q1456" t="s">
        <v>1626</v>
      </c>
    </row>
    <row r="1457" spans="17:17" x14ac:dyDescent="0.3">
      <c r="Q1457" t="s">
        <v>1627</v>
      </c>
    </row>
    <row r="1458" spans="17:17" x14ac:dyDescent="0.3">
      <c r="Q1458" t="s">
        <v>1628</v>
      </c>
    </row>
    <row r="1459" spans="17:17" x14ac:dyDescent="0.3">
      <c r="Q1459" t="s">
        <v>1629</v>
      </c>
    </row>
    <row r="1460" spans="17:17" x14ac:dyDescent="0.3">
      <c r="Q1460" t="s">
        <v>1630</v>
      </c>
    </row>
    <row r="1461" spans="17:17" x14ac:dyDescent="0.3">
      <c r="Q1461" t="s">
        <v>1631</v>
      </c>
    </row>
    <row r="1462" spans="17:17" x14ac:dyDescent="0.3">
      <c r="Q1462" t="s">
        <v>1632</v>
      </c>
    </row>
    <row r="1463" spans="17:17" x14ac:dyDescent="0.3">
      <c r="Q1463" t="s">
        <v>1633</v>
      </c>
    </row>
    <row r="1464" spans="17:17" x14ac:dyDescent="0.3">
      <c r="Q1464" t="s">
        <v>1634</v>
      </c>
    </row>
    <row r="1465" spans="17:17" x14ac:dyDescent="0.3">
      <c r="Q1465" t="s">
        <v>1635</v>
      </c>
    </row>
    <row r="1466" spans="17:17" x14ac:dyDescent="0.3">
      <c r="Q1466" t="s">
        <v>1636</v>
      </c>
    </row>
    <row r="1467" spans="17:17" x14ac:dyDescent="0.3">
      <c r="Q1467" t="s">
        <v>1637</v>
      </c>
    </row>
    <row r="1468" spans="17:17" x14ac:dyDescent="0.3">
      <c r="Q1468" t="s">
        <v>1638</v>
      </c>
    </row>
    <row r="1469" spans="17:17" x14ac:dyDescent="0.3">
      <c r="Q1469" t="s">
        <v>1504</v>
      </c>
    </row>
    <row r="1470" spans="17:17" x14ac:dyDescent="0.3">
      <c r="Q1470" t="s">
        <v>1639</v>
      </c>
    </row>
    <row r="1471" spans="17:17" x14ac:dyDescent="0.3">
      <c r="Q1471" t="s">
        <v>1640</v>
      </c>
    </row>
    <row r="1472" spans="17:17" x14ac:dyDescent="0.3">
      <c r="Q1472" t="s">
        <v>1641</v>
      </c>
    </row>
    <row r="1473" spans="17:17" x14ac:dyDescent="0.3">
      <c r="Q1473" t="s">
        <v>1642</v>
      </c>
    </row>
    <row r="1474" spans="17:17" x14ac:dyDescent="0.3">
      <c r="Q1474" t="s">
        <v>1643</v>
      </c>
    </row>
    <row r="1475" spans="17:17" x14ac:dyDescent="0.3">
      <c r="Q1475" t="s">
        <v>1644</v>
      </c>
    </row>
    <row r="1476" spans="17:17" x14ac:dyDescent="0.3">
      <c r="Q1476" t="s">
        <v>1645</v>
      </c>
    </row>
    <row r="1477" spans="17:17" x14ac:dyDescent="0.3">
      <c r="Q1477" t="s">
        <v>1646</v>
      </c>
    </row>
    <row r="1478" spans="17:17" x14ac:dyDescent="0.3">
      <c r="Q1478" t="s">
        <v>1647</v>
      </c>
    </row>
    <row r="1479" spans="17:17" x14ac:dyDescent="0.3">
      <c r="Q1479" t="s">
        <v>1641</v>
      </c>
    </row>
    <row r="1480" spans="17:17" x14ac:dyDescent="0.3">
      <c r="Q1480" t="s">
        <v>1630</v>
      </c>
    </row>
    <row r="1481" spans="17:17" x14ac:dyDescent="0.3">
      <c r="Q1481" t="s">
        <v>1607</v>
      </c>
    </row>
    <row r="1482" spans="17:17" x14ac:dyDescent="0.3">
      <c r="Q1482" t="s">
        <v>1648</v>
      </c>
    </row>
    <row r="1483" spans="17:17" x14ac:dyDescent="0.3">
      <c r="Q1483" t="s">
        <v>1649</v>
      </c>
    </row>
    <row r="1484" spans="17:17" x14ac:dyDescent="0.3">
      <c r="Q1484" t="s">
        <v>1650</v>
      </c>
    </row>
    <row r="1485" spans="17:17" x14ac:dyDescent="0.3">
      <c r="Q1485" t="s">
        <v>1651</v>
      </c>
    </row>
    <row r="1486" spans="17:17" x14ac:dyDescent="0.3">
      <c r="Q1486" t="s">
        <v>1652</v>
      </c>
    </row>
    <row r="1487" spans="17:17" x14ac:dyDescent="0.3">
      <c r="Q1487" t="s">
        <v>1653</v>
      </c>
    </row>
    <row r="1488" spans="17:17" x14ac:dyDescent="0.3">
      <c r="Q1488" t="s">
        <v>1654</v>
      </c>
    </row>
    <row r="1489" spans="17:17" x14ac:dyDescent="0.3">
      <c r="Q1489" t="s">
        <v>1608</v>
      </c>
    </row>
    <row r="1490" spans="17:17" x14ac:dyDescent="0.3">
      <c r="Q1490" t="s">
        <v>1655</v>
      </c>
    </row>
    <row r="1491" spans="17:17" x14ac:dyDescent="0.3">
      <c r="Q1491" t="s">
        <v>1656</v>
      </c>
    </row>
    <row r="1492" spans="17:17" x14ac:dyDescent="0.3">
      <c r="Q1492" t="s">
        <v>1608</v>
      </c>
    </row>
    <row r="1493" spans="17:17" x14ac:dyDescent="0.3">
      <c r="Q1493" t="s">
        <v>1655</v>
      </c>
    </row>
    <row r="1494" spans="17:17" x14ac:dyDescent="0.3">
      <c r="Q1494" t="s">
        <v>1657</v>
      </c>
    </row>
    <row r="1495" spans="17:17" x14ac:dyDescent="0.3">
      <c r="Q1495" t="s">
        <v>1658</v>
      </c>
    </row>
    <row r="1496" spans="17:17" x14ac:dyDescent="0.3">
      <c r="Q1496" t="s">
        <v>1659</v>
      </c>
    </row>
    <row r="1497" spans="17:17" x14ac:dyDescent="0.3">
      <c r="Q1497" t="s">
        <v>1660</v>
      </c>
    </row>
    <row r="1498" spans="17:17" x14ac:dyDescent="0.3">
      <c r="Q1498" t="s">
        <v>1661</v>
      </c>
    </row>
    <row r="1499" spans="17:17" x14ac:dyDescent="0.3">
      <c r="Q1499" t="s">
        <v>1662</v>
      </c>
    </row>
    <row r="1500" spans="17:17" x14ac:dyDescent="0.3">
      <c r="Q1500" t="s">
        <v>1663</v>
      </c>
    </row>
    <row r="1501" spans="17:17" x14ac:dyDescent="0.3">
      <c r="Q1501" t="s">
        <v>1664</v>
      </c>
    </row>
    <row r="1502" spans="17:17" x14ac:dyDescent="0.3">
      <c r="Q1502" t="s">
        <v>1603</v>
      </c>
    </row>
    <row r="1503" spans="17:17" x14ac:dyDescent="0.3">
      <c r="Q1503" t="s">
        <v>1665</v>
      </c>
    </row>
    <row r="1504" spans="17:17" x14ac:dyDescent="0.3">
      <c r="Q1504" t="s">
        <v>1666</v>
      </c>
    </row>
    <row r="1505" spans="17:17" x14ac:dyDescent="0.3">
      <c r="Q1505" t="s">
        <v>1667</v>
      </c>
    </row>
    <row r="1506" spans="17:17" x14ac:dyDescent="0.3">
      <c r="Q1506" t="s">
        <v>1668</v>
      </c>
    </row>
    <row r="1507" spans="17:17" x14ac:dyDescent="0.3">
      <c r="Q1507" t="s">
        <v>1669</v>
      </c>
    </row>
    <row r="1508" spans="17:17" x14ac:dyDescent="0.3">
      <c r="Q1508" t="s">
        <v>1670</v>
      </c>
    </row>
    <row r="1509" spans="17:17" x14ac:dyDescent="0.3">
      <c r="Q1509" t="s">
        <v>1671</v>
      </c>
    </row>
    <row r="1510" spans="17:17" x14ac:dyDescent="0.3">
      <c r="Q1510" t="s">
        <v>1672</v>
      </c>
    </row>
    <row r="1511" spans="17:17" x14ac:dyDescent="0.3">
      <c r="Q1511" t="s">
        <v>1673</v>
      </c>
    </row>
    <row r="1512" spans="17:17" x14ac:dyDescent="0.3">
      <c r="Q1512" t="s">
        <v>1674</v>
      </c>
    </row>
    <row r="1513" spans="17:17" x14ac:dyDescent="0.3">
      <c r="Q1513" t="s">
        <v>1675</v>
      </c>
    </row>
    <row r="1514" spans="17:17" x14ac:dyDescent="0.3">
      <c r="Q1514" t="s">
        <v>1676</v>
      </c>
    </row>
    <row r="1515" spans="17:17" x14ac:dyDescent="0.3">
      <c r="Q1515" t="s">
        <v>1677</v>
      </c>
    </row>
    <row r="1516" spans="17:17" x14ac:dyDescent="0.3">
      <c r="Q1516" t="s">
        <v>1678</v>
      </c>
    </row>
    <row r="1517" spans="17:17" x14ac:dyDescent="0.3">
      <c r="Q1517" t="s">
        <v>1679</v>
      </c>
    </row>
    <row r="1518" spans="17:17" x14ac:dyDescent="0.3">
      <c r="Q1518" t="s">
        <v>1680</v>
      </c>
    </row>
    <row r="1519" spans="17:17" x14ac:dyDescent="0.3">
      <c r="Q1519" t="s">
        <v>1681</v>
      </c>
    </row>
    <row r="1520" spans="17:17" x14ac:dyDescent="0.3">
      <c r="Q1520" t="s">
        <v>1682</v>
      </c>
    </row>
    <row r="1521" spans="17:17" x14ac:dyDescent="0.3">
      <c r="Q1521" t="s">
        <v>1683</v>
      </c>
    </row>
    <row r="1522" spans="17:17" x14ac:dyDescent="0.3">
      <c r="Q1522" t="s">
        <v>1684</v>
      </c>
    </row>
    <row r="1523" spans="17:17" x14ac:dyDescent="0.3">
      <c r="Q1523" t="s">
        <v>1685</v>
      </c>
    </row>
    <row r="1524" spans="17:17" x14ac:dyDescent="0.3">
      <c r="Q1524" t="s">
        <v>1686</v>
      </c>
    </row>
    <row r="1525" spans="17:17" x14ac:dyDescent="0.3">
      <c r="Q1525" t="s">
        <v>1687</v>
      </c>
    </row>
    <row r="1526" spans="17:17" x14ac:dyDescent="0.3">
      <c r="Q1526" t="s">
        <v>1688</v>
      </c>
    </row>
    <row r="1527" spans="17:17" x14ac:dyDescent="0.3">
      <c r="Q1527" t="s">
        <v>1689</v>
      </c>
    </row>
    <row r="1528" spans="17:17" x14ac:dyDescent="0.3">
      <c r="Q1528" t="s">
        <v>1690</v>
      </c>
    </row>
    <row r="1529" spans="17:17" x14ac:dyDescent="0.3">
      <c r="Q1529" t="s">
        <v>1691</v>
      </c>
    </row>
    <row r="1530" spans="17:17" x14ac:dyDescent="0.3">
      <c r="Q1530" t="s">
        <v>1692</v>
      </c>
    </row>
    <row r="1531" spans="17:17" x14ac:dyDescent="0.3">
      <c r="Q1531" t="s">
        <v>1434</v>
      </c>
    </row>
    <row r="1532" spans="17:17" x14ac:dyDescent="0.3">
      <c r="Q1532" t="s">
        <v>1693</v>
      </c>
    </row>
    <row r="1533" spans="17:17" x14ac:dyDescent="0.3">
      <c r="Q1533" t="s">
        <v>1694</v>
      </c>
    </row>
    <row r="1534" spans="17:17" x14ac:dyDescent="0.3">
      <c r="Q1534" t="s">
        <v>1695</v>
      </c>
    </row>
    <row r="1535" spans="17:17" x14ac:dyDescent="0.3">
      <c r="Q1535" t="s">
        <v>1696</v>
      </c>
    </row>
    <row r="1536" spans="17:17" x14ac:dyDescent="0.3">
      <c r="Q1536" t="s">
        <v>1697</v>
      </c>
    </row>
    <row r="1537" spans="17:17" x14ac:dyDescent="0.3">
      <c r="Q1537" t="s">
        <v>1698</v>
      </c>
    </row>
    <row r="1538" spans="17:17" x14ac:dyDescent="0.3">
      <c r="Q1538" t="s">
        <v>1699</v>
      </c>
    </row>
    <row r="1539" spans="17:17" x14ac:dyDescent="0.3">
      <c r="Q1539" t="s">
        <v>1700</v>
      </c>
    </row>
    <row r="1540" spans="17:17" x14ac:dyDescent="0.3">
      <c r="Q1540" t="s">
        <v>1701</v>
      </c>
    </row>
    <row r="1541" spans="17:17" x14ac:dyDescent="0.3">
      <c r="Q1541" t="s">
        <v>1702</v>
      </c>
    </row>
    <row r="1542" spans="17:17" x14ac:dyDescent="0.3">
      <c r="Q1542" t="s">
        <v>1576</v>
      </c>
    </row>
    <row r="1543" spans="17:17" x14ac:dyDescent="0.3">
      <c r="Q1543" t="s">
        <v>1703</v>
      </c>
    </row>
    <row r="1544" spans="17:17" x14ac:dyDescent="0.3">
      <c r="Q1544" t="s">
        <v>1704</v>
      </c>
    </row>
    <row r="1545" spans="17:17" x14ac:dyDescent="0.3">
      <c r="Q1545" t="s">
        <v>1705</v>
      </c>
    </row>
    <row r="1546" spans="17:17" x14ac:dyDescent="0.3">
      <c r="Q1546" t="s">
        <v>1706</v>
      </c>
    </row>
    <row r="1547" spans="17:17" x14ac:dyDescent="0.3">
      <c r="Q1547" t="s">
        <v>1707</v>
      </c>
    </row>
    <row r="1548" spans="17:17" x14ac:dyDescent="0.3">
      <c r="Q1548" t="s">
        <v>1708</v>
      </c>
    </row>
    <row r="1549" spans="17:17" x14ac:dyDescent="0.3">
      <c r="Q1549" t="s">
        <v>1709</v>
      </c>
    </row>
    <row r="1550" spans="17:17" x14ac:dyDescent="0.3">
      <c r="Q1550" t="s">
        <v>1710</v>
      </c>
    </row>
    <row r="1551" spans="17:17" x14ac:dyDescent="0.3">
      <c r="Q1551" t="s">
        <v>1711</v>
      </c>
    </row>
    <row r="1552" spans="17:17" x14ac:dyDescent="0.3">
      <c r="Q1552" t="s">
        <v>1712</v>
      </c>
    </row>
    <row r="1553" spans="17:17" x14ac:dyDescent="0.3">
      <c r="Q1553" t="s">
        <v>1713</v>
      </c>
    </row>
    <row r="1554" spans="17:17" x14ac:dyDescent="0.3">
      <c r="Q1554" t="s">
        <v>1714</v>
      </c>
    </row>
    <row r="1555" spans="17:17" x14ac:dyDescent="0.3">
      <c r="Q1555" t="s">
        <v>1715</v>
      </c>
    </row>
    <row r="1556" spans="17:17" x14ac:dyDescent="0.3">
      <c r="Q1556" t="s">
        <v>1716</v>
      </c>
    </row>
    <row r="1557" spans="17:17" x14ac:dyDescent="0.3">
      <c r="Q1557" t="s">
        <v>1717</v>
      </c>
    </row>
    <row r="1558" spans="17:17" x14ac:dyDescent="0.3">
      <c r="Q1558" t="s">
        <v>1718</v>
      </c>
    </row>
    <row r="1559" spans="17:17" x14ac:dyDescent="0.3">
      <c r="Q1559" t="s">
        <v>1719</v>
      </c>
    </row>
    <row r="1560" spans="17:17" x14ac:dyDescent="0.3">
      <c r="Q1560" t="s">
        <v>1720</v>
      </c>
    </row>
    <row r="1561" spans="17:17" x14ac:dyDescent="0.3">
      <c r="Q1561" t="s">
        <v>1721</v>
      </c>
    </row>
    <row r="1562" spans="17:17" x14ac:dyDescent="0.3">
      <c r="Q1562" t="s">
        <v>1722</v>
      </c>
    </row>
    <row r="1563" spans="17:17" x14ac:dyDescent="0.3">
      <c r="Q1563" t="s">
        <v>1723</v>
      </c>
    </row>
    <row r="1564" spans="17:17" x14ac:dyDescent="0.3">
      <c r="Q1564" t="s">
        <v>1724</v>
      </c>
    </row>
    <row r="1565" spans="17:17" x14ac:dyDescent="0.3">
      <c r="Q1565" t="s">
        <v>1725</v>
      </c>
    </row>
    <row r="1566" spans="17:17" x14ac:dyDescent="0.3">
      <c r="Q1566" t="s">
        <v>1726</v>
      </c>
    </row>
    <row r="1567" spans="17:17" x14ac:dyDescent="0.3">
      <c r="Q1567" t="s">
        <v>1727</v>
      </c>
    </row>
    <row r="1568" spans="17:17" x14ac:dyDescent="0.3">
      <c r="Q1568" t="s">
        <v>1728</v>
      </c>
    </row>
    <row r="1569" spans="17:17" x14ac:dyDescent="0.3">
      <c r="Q1569" t="s">
        <v>1726</v>
      </c>
    </row>
    <row r="1570" spans="17:17" x14ac:dyDescent="0.3">
      <c r="Q1570" t="s">
        <v>1729</v>
      </c>
    </row>
    <row r="1571" spans="17:17" x14ac:dyDescent="0.3">
      <c r="Q1571" t="s">
        <v>1730</v>
      </c>
    </row>
    <row r="1572" spans="17:17" x14ac:dyDescent="0.3">
      <c r="Q1572" t="s">
        <v>1731</v>
      </c>
    </row>
    <row r="1573" spans="17:17" x14ac:dyDescent="0.3">
      <c r="Q1573" t="s">
        <v>1732</v>
      </c>
    </row>
    <row r="1574" spans="17:17" x14ac:dyDescent="0.3">
      <c r="Q1574" t="s">
        <v>1733</v>
      </c>
    </row>
    <row r="1575" spans="17:17" x14ac:dyDescent="0.3">
      <c r="Q1575" t="s">
        <v>1729</v>
      </c>
    </row>
    <row r="1576" spans="17:17" x14ac:dyDescent="0.3">
      <c r="Q1576" t="s">
        <v>1734</v>
      </c>
    </row>
    <row r="1577" spans="17:17" x14ac:dyDescent="0.3">
      <c r="Q1577" t="s">
        <v>1735</v>
      </c>
    </row>
    <row r="1578" spans="17:17" x14ac:dyDescent="0.3">
      <c r="Q1578" t="s">
        <v>1736</v>
      </c>
    </row>
    <row r="1579" spans="17:17" x14ac:dyDescent="0.3">
      <c r="Q1579" t="s">
        <v>1737</v>
      </c>
    </row>
    <row r="1580" spans="17:17" x14ac:dyDescent="0.3">
      <c r="Q1580" t="s">
        <v>1727</v>
      </c>
    </row>
    <row r="1581" spans="17:17" x14ac:dyDescent="0.3">
      <c r="Q1581" t="s">
        <v>1734</v>
      </c>
    </row>
    <row r="1582" spans="17:17" x14ac:dyDescent="0.3">
      <c r="Q1582" t="s">
        <v>1738</v>
      </c>
    </row>
    <row r="1583" spans="17:17" x14ac:dyDescent="0.3">
      <c r="Q1583" t="s">
        <v>1739</v>
      </c>
    </row>
    <row r="1584" spans="17:17" x14ac:dyDescent="0.3">
      <c r="Q1584" t="s">
        <v>1740</v>
      </c>
    </row>
    <row r="1585" spans="17:17" x14ac:dyDescent="0.3">
      <c r="Q1585" t="s">
        <v>1741</v>
      </c>
    </row>
    <row r="1586" spans="17:17" x14ac:dyDescent="0.3">
      <c r="Q1586" t="s">
        <v>1742</v>
      </c>
    </row>
    <row r="1587" spans="17:17" x14ac:dyDescent="0.3">
      <c r="Q1587" t="s">
        <v>1743</v>
      </c>
    </row>
    <row r="1588" spans="17:17" x14ac:dyDescent="0.3">
      <c r="Q1588" t="s">
        <v>1744</v>
      </c>
    </row>
    <row r="1589" spans="17:17" x14ac:dyDescent="0.3">
      <c r="Q1589" t="s">
        <v>1745</v>
      </c>
    </row>
    <row r="1590" spans="17:17" x14ac:dyDescent="0.3">
      <c r="Q1590" t="s">
        <v>1746</v>
      </c>
    </row>
    <row r="1591" spans="17:17" x14ac:dyDescent="0.3">
      <c r="Q1591" t="s">
        <v>1747</v>
      </c>
    </row>
    <row r="1592" spans="17:17" x14ac:dyDescent="0.3">
      <c r="Q1592" t="s">
        <v>1503</v>
      </c>
    </row>
    <row r="1593" spans="17:17" x14ac:dyDescent="0.3">
      <c r="Q1593" t="s">
        <v>1638</v>
      </c>
    </row>
    <row r="1594" spans="17:17" x14ac:dyDescent="0.3">
      <c r="Q1594" t="s">
        <v>1748</v>
      </c>
    </row>
    <row r="1595" spans="17:17" x14ac:dyDescent="0.3">
      <c r="Q1595" t="s">
        <v>1521</v>
      </c>
    </row>
    <row r="1596" spans="17:17" x14ac:dyDescent="0.3">
      <c r="Q1596" t="s">
        <v>1515</v>
      </c>
    </row>
    <row r="1597" spans="17:17" x14ac:dyDescent="0.3">
      <c r="Q1597" t="s">
        <v>1749</v>
      </c>
    </row>
    <row r="1598" spans="17:17" x14ac:dyDescent="0.3">
      <c r="Q1598" t="s">
        <v>1750</v>
      </c>
    </row>
    <row r="1599" spans="17:17" x14ac:dyDescent="0.3">
      <c r="Q1599" t="s">
        <v>1751</v>
      </c>
    </row>
    <row r="1600" spans="17:17" x14ac:dyDescent="0.3">
      <c r="Q1600" t="s">
        <v>1752</v>
      </c>
    </row>
    <row r="1601" spans="17:17" x14ac:dyDescent="0.3">
      <c r="Q1601" t="s">
        <v>1753</v>
      </c>
    </row>
    <row r="1602" spans="17:17" x14ac:dyDescent="0.3">
      <c r="Q1602" t="s">
        <v>1754</v>
      </c>
    </row>
    <row r="1603" spans="17:17" x14ac:dyDescent="0.3">
      <c r="Q1603" t="s">
        <v>1755</v>
      </c>
    </row>
    <row r="1604" spans="17:17" x14ac:dyDescent="0.3">
      <c r="Q1604" t="s">
        <v>1756</v>
      </c>
    </row>
    <row r="1605" spans="17:17" x14ac:dyDescent="0.3">
      <c r="Q1605" t="s">
        <v>1757</v>
      </c>
    </row>
    <row r="1606" spans="17:17" x14ac:dyDescent="0.3">
      <c r="Q1606" t="s">
        <v>1758</v>
      </c>
    </row>
    <row r="1607" spans="17:17" x14ac:dyDescent="0.3">
      <c r="Q1607" t="s">
        <v>1759</v>
      </c>
    </row>
    <row r="1608" spans="17:17" x14ac:dyDescent="0.3">
      <c r="Q1608" t="s">
        <v>1760</v>
      </c>
    </row>
    <row r="1609" spans="17:17" x14ac:dyDescent="0.3">
      <c r="Q1609" t="s">
        <v>1761</v>
      </c>
    </row>
    <row r="1610" spans="17:17" x14ac:dyDescent="0.3">
      <c r="Q1610" t="s">
        <v>1762</v>
      </c>
    </row>
    <row r="1611" spans="17:17" x14ac:dyDescent="0.3">
      <c r="Q1611" t="s">
        <v>1763</v>
      </c>
    </row>
    <row r="1612" spans="17:17" x14ac:dyDescent="0.3">
      <c r="Q1612" t="s">
        <v>1764</v>
      </c>
    </row>
    <row r="1613" spans="17:17" x14ac:dyDescent="0.3">
      <c r="Q1613" t="s">
        <v>1765</v>
      </c>
    </row>
    <row r="1614" spans="17:17" x14ac:dyDescent="0.3">
      <c r="Q1614" t="s">
        <v>1766</v>
      </c>
    </row>
    <row r="1615" spans="17:17" x14ac:dyDescent="0.3">
      <c r="Q1615" t="s">
        <v>1767</v>
      </c>
    </row>
    <row r="1616" spans="17:17" x14ac:dyDescent="0.3">
      <c r="Q1616" t="s">
        <v>1762</v>
      </c>
    </row>
    <row r="1617" spans="17:17" x14ac:dyDescent="0.3">
      <c r="Q1617" t="s">
        <v>1768</v>
      </c>
    </row>
    <row r="1618" spans="17:17" x14ac:dyDescent="0.3">
      <c r="Q1618" t="s">
        <v>1769</v>
      </c>
    </row>
    <row r="1619" spans="17:17" x14ac:dyDescent="0.3">
      <c r="Q1619" t="s">
        <v>1770</v>
      </c>
    </row>
    <row r="1620" spans="17:17" x14ac:dyDescent="0.3">
      <c r="Q1620" t="s">
        <v>1771</v>
      </c>
    </row>
    <row r="1621" spans="17:17" x14ac:dyDescent="0.3">
      <c r="Q1621" t="s">
        <v>1772</v>
      </c>
    </row>
    <row r="1622" spans="17:17" x14ac:dyDescent="0.3">
      <c r="Q1622" t="s">
        <v>1773</v>
      </c>
    </row>
    <row r="1623" spans="17:17" x14ac:dyDescent="0.3">
      <c r="Q1623" t="s">
        <v>1774</v>
      </c>
    </row>
    <row r="1624" spans="17:17" x14ac:dyDescent="0.3">
      <c r="Q1624" t="s">
        <v>1775</v>
      </c>
    </row>
    <row r="1625" spans="17:17" x14ac:dyDescent="0.3">
      <c r="Q1625" t="s">
        <v>1776</v>
      </c>
    </row>
    <row r="1626" spans="17:17" x14ac:dyDescent="0.3">
      <c r="Q1626" t="s">
        <v>1726</v>
      </c>
    </row>
    <row r="1627" spans="17:17" x14ac:dyDescent="0.3">
      <c r="Q1627" t="s">
        <v>1777</v>
      </c>
    </row>
    <row r="1628" spans="17:17" x14ac:dyDescent="0.3">
      <c r="Q1628" t="s">
        <v>1778</v>
      </c>
    </row>
    <row r="1629" spans="17:17" x14ac:dyDescent="0.3">
      <c r="Q1629" t="s">
        <v>1779</v>
      </c>
    </row>
    <row r="1630" spans="17:17" x14ac:dyDescent="0.3">
      <c r="Q1630" t="s">
        <v>1746</v>
      </c>
    </row>
    <row r="1631" spans="17:17" x14ac:dyDescent="0.3">
      <c r="Q1631" t="s">
        <v>1780</v>
      </c>
    </row>
    <row r="1632" spans="17:17" x14ac:dyDescent="0.3">
      <c r="Q1632" t="s">
        <v>1719</v>
      </c>
    </row>
    <row r="1633" spans="17:17" x14ac:dyDescent="0.3">
      <c r="Q1633" t="s">
        <v>1720</v>
      </c>
    </row>
    <row r="1634" spans="17:17" x14ac:dyDescent="0.3">
      <c r="Q1634" t="s">
        <v>1717</v>
      </c>
    </row>
    <row r="1635" spans="17:17" x14ac:dyDescent="0.3">
      <c r="Q1635" t="s">
        <v>1781</v>
      </c>
    </row>
    <row r="1636" spans="17:17" x14ac:dyDescent="0.3">
      <c r="Q1636" t="s">
        <v>1782</v>
      </c>
    </row>
    <row r="1637" spans="17:17" x14ac:dyDescent="0.3">
      <c r="Q1637" t="s">
        <v>1783</v>
      </c>
    </row>
    <row r="1638" spans="17:17" x14ac:dyDescent="0.3">
      <c r="Q1638" t="s">
        <v>1784</v>
      </c>
    </row>
    <row r="1639" spans="17:17" x14ac:dyDescent="0.3">
      <c r="Q1639" t="s">
        <v>1785</v>
      </c>
    </row>
    <row r="1640" spans="17:17" x14ac:dyDescent="0.3">
      <c r="Q1640" t="s">
        <v>1786</v>
      </c>
    </row>
    <row r="1641" spans="17:17" x14ac:dyDescent="0.3">
      <c r="Q1641" t="s">
        <v>1787</v>
      </c>
    </row>
    <row r="1642" spans="17:17" x14ac:dyDescent="0.3">
      <c r="Q1642" t="s">
        <v>1788</v>
      </c>
    </row>
    <row r="1643" spans="17:17" x14ac:dyDescent="0.3">
      <c r="Q1643" t="s">
        <v>1789</v>
      </c>
    </row>
    <row r="1644" spans="17:17" x14ac:dyDescent="0.3">
      <c r="Q1644" t="s">
        <v>1790</v>
      </c>
    </row>
    <row r="1645" spans="17:17" x14ac:dyDescent="0.3">
      <c r="Q1645" t="s">
        <v>1791</v>
      </c>
    </row>
    <row r="1646" spans="17:17" x14ac:dyDescent="0.3">
      <c r="Q1646" t="s">
        <v>1792</v>
      </c>
    </row>
    <row r="1647" spans="17:17" x14ac:dyDescent="0.3">
      <c r="Q1647" t="s">
        <v>1793</v>
      </c>
    </row>
    <row r="1648" spans="17:17" x14ac:dyDescent="0.3">
      <c r="Q1648" t="s">
        <v>1794</v>
      </c>
    </row>
    <row r="1649" spans="17:17" x14ac:dyDescent="0.3">
      <c r="Q1649" t="s">
        <v>1795</v>
      </c>
    </row>
    <row r="1650" spans="17:17" x14ac:dyDescent="0.3">
      <c r="Q1650" t="s">
        <v>1796</v>
      </c>
    </row>
    <row r="1651" spans="17:17" x14ac:dyDescent="0.3">
      <c r="Q1651" t="s">
        <v>362</v>
      </c>
    </row>
    <row r="1652" spans="17:17" x14ac:dyDescent="0.3">
      <c r="Q1652" t="s">
        <v>1797</v>
      </c>
    </row>
    <row r="1653" spans="17:17" x14ac:dyDescent="0.3">
      <c r="Q1653" t="s">
        <v>1798</v>
      </c>
    </row>
    <row r="1654" spans="17:17" x14ac:dyDescent="0.3">
      <c r="Q1654" t="s">
        <v>1799</v>
      </c>
    </row>
    <row r="1655" spans="17:17" x14ac:dyDescent="0.3">
      <c r="Q1655" t="s">
        <v>1800</v>
      </c>
    </row>
    <row r="1656" spans="17:17" x14ac:dyDescent="0.3">
      <c r="Q1656" t="s">
        <v>1801</v>
      </c>
    </row>
    <row r="1657" spans="17:17" x14ac:dyDescent="0.3">
      <c r="Q1657" t="s">
        <v>1802</v>
      </c>
    </row>
    <row r="1658" spans="17:17" x14ac:dyDescent="0.3">
      <c r="Q1658" t="s">
        <v>1803</v>
      </c>
    </row>
    <row r="1659" spans="17:17" x14ac:dyDescent="0.3">
      <c r="Q1659" t="s">
        <v>1804</v>
      </c>
    </row>
    <row r="1660" spans="17:17" x14ac:dyDescent="0.3">
      <c r="Q1660" t="s">
        <v>1805</v>
      </c>
    </row>
    <row r="1661" spans="17:17" x14ac:dyDescent="0.3">
      <c r="Q1661" t="s">
        <v>1806</v>
      </c>
    </row>
    <row r="1662" spans="17:17" x14ac:dyDescent="0.3">
      <c r="Q1662" t="s">
        <v>1807</v>
      </c>
    </row>
    <row r="1663" spans="17:17" x14ac:dyDescent="0.3">
      <c r="Q1663" t="s">
        <v>1808</v>
      </c>
    </row>
    <row r="1664" spans="17:17" x14ac:dyDescent="0.3">
      <c r="Q1664" t="s">
        <v>1809</v>
      </c>
    </row>
    <row r="1665" spans="17:17" x14ac:dyDescent="0.3">
      <c r="Q1665" t="s">
        <v>1810</v>
      </c>
    </row>
    <row r="1666" spans="17:17" x14ac:dyDescent="0.3">
      <c r="Q1666" t="s">
        <v>1811</v>
      </c>
    </row>
    <row r="1667" spans="17:17" x14ac:dyDescent="0.3">
      <c r="Q1667" t="s">
        <v>1812</v>
      </c>
    </row>
    <row r="1668" spans="17:17" x14ac:dyDescent="0.3">
      <c r="Q1668" t="s">
        <v>1813</v>
      </c>
    </row>
    <row r="1669" spans="17:17" x14ac:dyDescent="0.3">
      <c r="Q1669" t="s">
        <v>1814</v>
      </c>
    </row>
    <row r="1670" spans="17:17" x14ac:dyDescent="0.3">
      <c r="Q1670" t="s">
        <v>1815</v>
      </c>
    </row>
    <row r="1671" spans="17:17" x14ac:dyDescent="0.3">
      <c r="Q1671" t="s">
        <v>1816</v>
      </c>
    </row>
    <row r="1672" spans="17:17" x14ac:dyDescent="0.3">
      <c r="Q1672" t="s">
        <v>1817</v>
      </c>
    </row>
    <row r="1673" spans="17:17" x14ac:dyDescent="0.3">
      <c r="Q1673" t="s">
        <v>1818</v>
      </c>
    </row>
    <row r="1674" spans="17:17" x14ac:dyDescent="0.3">
      <c r="Q1674" t="s">
        <v>1819</v>
      </c>
    </row>
    <row r="1675" spans="17:17" x14ac:dyDescent="0.3">
      <c r="Q1675" t="s">
        <v>1820</v>
      </c>
    </row>
    <row r="1676" spans="17:17" x14ac:dyDescent="0.3">
      <c r="Q1676" t="s">
        <v>1821</v>
      </c>
    </row>
    <row r="1677" spans="17:17" x14ac:dyDescent="0.3">
      <c r="Q1677" t="s">
        <v>1822</v>
      </c>
    </row>
    <row r="1678" spans="17:17" x14ac:dyDescent="0.3">
      <c r="Q1678" t="s">
        <v>1823</v>
      </c>
    </row>
    <row r="1679" spans="17:17" x14ac:dyDescent="0.3">
      <c r="Q1679" t="s">
        <v>1824</v>
      </c>
    </row>
    <row r="1680" spans="17:17" x14ac:dyDescent="0.3">
      <c r="Q1680" t="s">
        <v>1825</v>
      </c>
    </row>
    <row r="1681" spans="17:17" x14ac:dyDescent="0.3">
      <c r="Q1681" t="s">
        <v>1826</v>
      </c>
    </row>
    <row r="1682" spans="17:17" x14ac:dyDescent="0.3">
      <c r="Q1682" t="s">
        <v>1827</v>
      </c>
    </row>
    <row r="1683" spans="17:17" x14ac:dyDescent="0.3">
      <c r="Q1683" t="s">
        <v>1828</v>
      </c>
    </row>
    <row r="1684" spans="17:17" x14ac:dyDescent="0.3">
      <c r="Q1684" t="s">
        <v>1829</v>
      </c>
    </row>
    <row r="1685" spans="17:17" x14ac:dyDescent="0.3">
      <c r="Q1685" t="s">
        <v>1830</v>
      </c>
    </row>
    <row r="1686" spans="17:17" x14ac:dyDescent="0.3">
      <c r="Q1686" t="s">
        <v>1831</v>
      </c>
    </row>
    <row r="1687" spans="17:17" x14ac:dyDescent="0.3">
      <c r="Q1687" t="s">
        <v>1832</v>
      </c>
    </row>
    <row r="1688" spans="17:17" x14ac:dyDescent="0.3">
      <c r="Q1688" t="s">
        <v>1833</v>
      </c>
    </row>
    <row r="1689" spans="17:17" x14ac:dyDescent="0.3">
      <c r="Q1689" t="s">
        <v>1834</v>
      </c>
    </row>
    <row r="1690" spans="17:17" x14ac:dyDescent="0.3">
      <c r="Q1690" t="s">
        <v>1835</v>
      </c>
    </row>
    <row r="1691" spans="17:17" x14ac:dyDescent="0.3">
      <c r="Q1691" t="s">
        <v>1836</v>
      </c>
    </row>
    <row r="1692" spans="17:17" x14ac:dyDescent="0.3">
      <c r="Q1692" t="s">
        <v>1837</v>
      </c>
    </row>
    <row r="1693" spans="17:17" x14ac:dyDescent="0.3">
      <c r="Q1693" t="s">
        <v>1838</v>
      </c>
    </row>
    <row r="1694" spans="17:17" x14ac:dyDescent="0.3">
      <c r="Q1694" t="s">
        <v>1839</v>
      </c>
    </row>
    <row r="1695" spans="17:17" x14ac:dyDescent="0.3">
      <c r="Q1695" t="s">
        <v>1840</v>
      </c>
    </row>
    <row r="1696" spans="17:17" x14ac:dyDescent="0.3">
      <c r="Q1696" t="s">
        <v>1841</v>
      </c>
    </row>
    <row r="1697" spans="17:17" x14ac:dyDescent="0.3">
      <c r="Q1697" t="s">
        <v>1842</v>
      </c>
    </row>
    <row r="1698" spans="17:17" x14ac:dyDescent="0.3">
      <c r="Q1698" t="s">
        <v>1843</v>
      </c>
    </row>
    <row r="1699" spans="17:17" x14ac:dyDescent="0.3">
      <c r="Q1699" t="s">
        <v>1844</v>
      </c>
    </row>
    <row r="1700" spans="17:17" x14ac:dyDescent="0.3">
      <c r="Q1700" t="s">
        <v>1845</v>
      </c>
    </row>
    <row r="1701" spans="17:17" x14ac:dyDescent="0.3">
      <c r="Q1701" t="s">
        <v>1846</v>
      </c>
    </row>
    <row r="1702" spans="17:17" x14ac:dyDescent="0.3">
      <c r="Q1702" t="s">
        <v>1847</v>
      </c>
    </row>
    <row r="1703" spans="17:17" x14ac:dyDescent="0.3">
      <c r="Q1703" t="s">
        <v>1848</v>
      </c>
    </row>
    <row r="1704" spans="17:17" x14ac:dyDescent="0.3">
      <c r="Q1704" t="s">
        <v>1849</v>
      </c>
    </row>
    <row r="1705" spans="17:17" x14ac:dyDescent="0.3">
      <c r="Q1705" t="s">
        <v>1850</v>
      </c>
    </row>
    <row r="1706" spans="17:17" x14ac:dyDescent="0.3">
      <c r="Q1706" t="s">
        <v>1851</v>
      </c>
    </row>
    <row r="1707" spans="17:17" x14ac:dyDescent="0.3">
      <c r="Q1707" t="s">
        <v>1852</v>
      </c>
    </row>
    <row r="1708" spans="17:17" x14ac:dyDescent="0.3">
      <c r="Q1708" t="s">
        <v>1853</v>
      </c>
    </row>
    <row r="1709" spans="17:17" x14ac:dyDescent="0.3">
      <c r="Q1709" t="s">
        <v>1854</v>
      </c>
    </row>
    <row r="1710" spans="17:17" x14ac:dyDescent="0.3">
      <c r="Q1710" t="s">
        <v>1855</v>
      </c>
    </row>
    <row r="1711" spans="17:17" x14ac:dyDescent="0.3">
      <c r="Q1711" t="s">
        <v>1856</v>
      </c>
    </row>
    <row r="1712" spans="17:17" x14ac:dyDescent="0.3">
      <c r="Q1712" t="s">
        <v>1844</v>
      </c>
    </row>
    <row r="1713" spans="17:17" x14ac:dyDescent="0.3">
      <c r="Q1713" t="s">
        <v>1857</v>
      </c>
    </row>
    <row r="1714" spans="17:17" x14ac:dyDescent="0.3">
      <c r="Q1714" t="s">
        <v>1858</v>
      </c>
    </row>
    <row r="1715" spans="17:17" x14ac:dyDescent="0.3">
      <c r="Q1715" t="s">
        <v>1854</v>
      </c>
    </row>
    <row r="1716" spans="17:17" x14ac:dyDescent="0.3">
      <c r="Q1716" t="s">
        <v>1859</v>
      </c>
    </row>
    <row r="1717" spans="17:17" x14ac:dyDescent="0.3">
      <c r="Q1717" t="s">
        <v>1860</v>
      </c>
    </row>
    <row r="1718" spans="17:17" x14ac:dyDescent="0.3">
      <c r="Q1718" t="s">
        <v>1845</v>
      </c>
    </row>
    <row r="1719" spans="17:17" x14ac:dyDescent="0.3">
      <c r="Q1719" t="s">
        <v>1857</v>
      </c>
    </row>
    <row r="1720" spans="17:17" x14ac:dyDescent="0.3">
      <c r="Q1720" t="s">
        <v>1856</v>
      </c>
    </row>
    <row r="1721" spans="17:17" x14ac:dyDescent="0.3">
      <c r="Q1721" t="s">
        <v>1861</v>
      </c>
    </row>
    <row r="1722" spans="17:17" x14ac:dyDescent="0.3">
      <c r="Q1722" t="s">
        <v>1862</v>
      </c>
    </row>
    <row r="1723" spans="17:17" x14ac:dyDescent="0.3">
      <c r="Q1723" t="s">
        <v>1863</v>
      </c>
    </row>
    <row r="1724" spans="17:17" x14ac:dyDescent="0.3">
      <c r="Q1724" t="s">
        <v>1849</v>
      </c>
    </row>
    <row r="1725" spans="17:17" x14ac:dyDescent="0.3">
      <c r="Q1725" t="s">
        <v>1864</v>
      </c>
    </row>
    <row r="1726" spans="17:17" x14ac:dyDescent="0.3">
      <c r="Q1726" t="s">
        <v>1865</v>
      </c>
    </row>
    <row r="1727" spans="17:17" x14ac:dyDescent="0.3">
      <c r="Q1727" t="s">
        <v>1866</v>
      </c>
    </row>
    <row r="1728" spans="17:17" x14ac:dyDescent="0.3">
      <c r="Q1728" t="s">
        <v>1867</v>
      </c>
    </row>
    <row r="1729" spans="17:17" x14ac:dyDescent="0.3">
      <c r="Q1729" t="s">
        <v>1868</v>
      </c>
    </row>
    <row r="1730" spans="17:17" x14ac:dyDescent="0.3">
      <c r="Q1730" t="s">
        <v>1869</v>
      </c>
    </row>
    <row r="1731" spans="17:17" x14ac:dyDescent="0.3">
      <c r="Q1731" t="s">
        <v>1870</v>
      </c>
    </row>
    <row r="1732" spans="17:17" x14ac:dyDescent="0.3">
      <c r="Q1732" t="s">
        <v>1871</v>
      </c>
    </row>
    <row r="1733" spans="17:17" x14ac:dyDescent="0.3">
      <c r="Q1733" t="s">
        <v>1872</v>
      </c>
    </row>
    <row r="1734" spans="17:17" x14ac:dyDescent="0.3">
      <c r="Q1734" t="s">
        <v>1873</v>
      </c>
    </row>
    <row r="1735" spans="17:17" x14ac:dyDescent="0.3">
      <c r="Q1735" t="s">
        <v>1070</v>
      </c>
    </row>
    <row r="1736" spans="17:17" x14ac:dyDescent="0.3">
      <c r="Q1736" t="s">
        <v>1874</v>
      </c>
    </row>
    <row r="1737" spans="17:17" x14ac:dyDescent="0.3">
      <c r="Q1737" t="s">
        <v>1875</v>
      </c>
    </row>
    <row r="1738" spans="17:17" x14ac:dyDescent="0.3">
      <c r="Q1738" t="s">
        <v>1843</v>
      </c>
    </row>
    <row r="1739" spans="17:17" x14ac:dyDescent="0.3">
      <c r="Q1739" t="s">
        <v>1876</v>
      </c>
    </row>
    <row r="1740" spans="17:17" x14ac:dyDescent="0.3">
      <c r="Q1740" t="s">
        <v>1877</v>
      </c>
    </row>
    <row r="1741" spans="17:17" x14ac:dyDescent="0.3">
      <c r="Q1741" t="s">
        <v>1878</v>
      </c>
    </row>
    <row r="1742" spans="17:17" x14ac:dyDescent="0.3">
      <c r="Q1742" t="s">
        <v>1879</v>
      </c>
    </row>
    <row r="1743" spans="17:17" x14ac:dyDescent="0.3">
      <c r="Q1743" t="s">
        <v>1871</v>
      </c>
    </row>
    <row r="1744" spans="17:17" x14ac:dyDescent="0.3">
      <c r="Q1744" t="s">
        <v>1875</v>
      </c>
    </row>
    <row r="1745" spans="17:17" x14ac:dyDescent="0.3">
      <c r="Q1745" t="s">
        <v>1880</v>
      </c>
    </row>
    <row r="1746" spans="17:17" x14ac:dyDescent="0.3">
      <c r="Q1746" t="s">
        <v>1881</v>
      </c>
    </row>
    <row r="1747" spans="17:17" x14ac:dyDescent="0.3">
      <c r="Q1747" t="s">
        <v>1882</v>
      </c>
    </row>
    <row r="1748" spans="17:17" x14ac:dyDescent="0.3">
      <c r="Q1748" t="s">
        <v>1883</v>
      </c>
    </row>
    <row r="1749" spans="17:17" x14ac:dyDescent="0.3">
      <c r="Q1749" t="s">
        <v>1884</v>
      </c>
    </row>
    <row r="1750" spans="17:17" x14ac:dyDescent="0.3">
      <c r="Q1750" t="s">
        <v>1885</v>
      </c>
    </row>
    <row r="1751" spans="17:17" x14ac:dyDescent="0.3">
      <c r="Q1751" t="s">
        <v>1886</v>
      </c>
    </row>
    <row r="1752" spans="17:17" x14ac:dyDescent="0.3">
      <c r="Q1752" t="s">
        <v>1887</v>
      </c>
    </row>
    <row r="1753" spans="17:17" x14ac:dyDescent="0.3">
      <c r="Q1753" t="s">
        <v>1870</v>
      </c>
    </row>
    <row r="1754" spans="17:17" x14ac:dyDescent="0.3">
      <c r="Q1754" t="s">
        <v>1871</v>
      </c>
    </row>
    <row r="1755" spans="17:17" x14ac:dyDescent="0.3">
      <c r="Q1755" t="s">
        <v>1888</v>
      </c>
    </row>
    <row r="1756" spans="17:17" x14ac:dyDescent="0.3">
      <c r="Q1756" t="s">
        <v>1889</v>
      </c>
    </row>
    <row r="1757" spans="17:17" x14ac:dyDescent="0.3">
      <c r="Q1757" t="s">
        <v>1890</v>
      </c>
    </row>
    <row r="1758" spans="17:17" x14ac:dyDescent="0.3">
      <c r="Q1758" t="s">
        <v>1891</v>
      </c>
    </row>
    <row r="1759" spans="17:17" x14ac:dyDescent="0.3">
      <c r="Q1759" t="s">
        <v>1892</v>
      </c>
    </row>
    <row r="1760" spans="17:17" x14ac:dyDescent="0.3">
      <c r="Q1760" t="s">
        <v>1893</v>
      </c>
    </row>
    <row r="1761" spans="17:17" x14ac:dyDescent="0.3">
      <c r="Q1761" t="s">
        <v>1894</v>
      </c>
    </row>
    <row r="1762" spans="17:17" x14ac:dyDescent="0.3">
      <c r="Q1762" t="s">
        <v>1847</v>
      </c>
    </row>
    <row r="1763" spans="17:17" x14ac:dyDescent="0.3">
      <c r="Q1763" t="s">
        <v>1895</v>
      </c>
    </row>
    <row r="1764" spans="17:17" x14ac:dyDescent="0.3">
      <c r="Q1764" t="s">
        <v>1896</v>
      </c>
    </row>
    <row r="1765" spans="17:17" x14ac:dyDescent="0.3">
      <c r="Q1765" t="s">
        <v>1897</v>
      </c>
    </row>
    <row r="1766" spans="17:17" x14ac:dyDescent="0.3">
      <c r="Q1766" t="s">
        <v>1898</v>
      </c>
    </row>
    <row r="1767" spans="17:17" x14ac:dyDescent="0.3">
      <c r="Q1767" t="s">
        <v>1899</v>
      </c>
    </row>
    <row r="1768" spans="17:17" x14ac:dyDescent="0.3">
      <c r="Q1768" t="s">
        <v>1900</v>
      </c>
    </row>
    <row r="1769" spans="17:17" x14ac:dyDescent="0.3">
      <c r="Q1769" t="s">
        <v>1878</v>
      </c>
    </row>
    <row r="1770" spans="17:17" x14ac:dyDescent="0.3">
      <c r="Q1770" t="s">
        <v>1901</v>
      </c>
    </row>
    <row r="1771" spans="17:17" x14ac:dyDescent="0.3">
      <c r="Q1771" t="s">
        <v>1902</v>
      </c>
    </row>
    <row r="1772" spans="17:17" x14ac:dyDescent="0.3">
      <c r="Q1772" t="s">
        <v>1903</v>
      </c>
    </row>
    <row r="1773" spans="17:17" x14ac:dyDescent="0.3">
      <c r="Q1773" t="s">
        <v>1904</v>
      </c>
    </row>
    <row r="1774" spans="17:17" x14ac:dyDescent="0.3">
      <c r="Q1774" t="s">
        <v>1905</v>
      </c>
    </row>
    <row r="1775" spans="17:17" x14ac:dyDescent="0.3">
      <c r="Q1775" t="s">
        <v>1906</v>
      </c>
    </row>
    <row r="1776" spans="17:17" x14ac:dyDescent="0.3">
      <c r="Q1776" t="s">
        <v>1907</v>
      </c>
    </row>
    <row r="1777" spans="17:17" x14ac:dyDescent="0.3">
      <c r="Q1777" t="s">
        <v>1908</v>
      </c>
    </row>
    <row r="1778" spans="17:17" x14ac:dyDescent="0.3">
      <c r="Q1778" t="s">
        <v>1909</v>
      </c>
    </row>
    <row r="1779" spans="17:17" x14ac:dyDescent="0.3">
      <c r="Q1779" t="s">
        <v>1910</v>
      </c>
    </row>
    <row r="1780" spans="17:17" x14ac:dyDescent="0.3">
      <c r="Q1780" t="s">
        <v>1911</v>
      </c>
    </row>
    <row r="1781" spans="17:17" x14ac:dyDescent="0.3">
      <c r="Q1781" t="s">
        <v>1912</v>
      </c>
    </row>
    <row r="1782" spans="17:17" x14ac:dyDescent="0.3">
      <c r="Q1782" t="s">
        <v>1913</v>
      </c>
    </row>
    <row r="1783" spans="17:17" x14ac:dyDescent="0.3">
      <c r="Q1783" t="s">
        <v>1914</v>
      </c>
    </row>
    <row r="1784" spans="17:17" x14ac:dyDescent="0.3">
      <c r="Q1784" t="s">
        <v>1915</v>
      </c>
    </row>
    <row r="1785" spans="17:17" x14ac:dyDescent="0.3">
      <c r="Q1785" t="s">
        <v>1916</v>
      </c>
    </row>
    <row r="1786" spans="17:17" x14ac:dyDescent="0.3">
      <c r="Q1786" t="s">
        <v>1917</v>
      </c>
    </row>
    <row r="1787" spans="17:17" x14ac:dyDescent="0.3">
      <c r="Q1787" t="s">
        <v>1918</v>
      </c>
    </row>
    <row r="1788" spans="17:17" x14ac:dyDescent="0.3">
      <c r="Q1788" t="s">
        <v>1888</v>
      </c>
    </row>
    <row r="1789" spans="17:17" x14ac:dyDescent="0.3">
      <c r="Q1789" t="s">
        <v>1919</v>
      </c>
    </row>
    <row r="1790" spans="17:17" x14ac:dyDescent="0.3">
      <c r="Q1790" t="s">
        <v>1920</v>
      </c>
    </row>
    <row r="1791" spans="17:17" x14ac:dyDescent="0.3">
      <c r="Q1791" t="s">
        <v>1921</v>
      </c>
    </row>
    <row r="1792" spans="17:17" x14ac:dyDescent="0.3">
      <c r="Q1792" t="s">
        <v>1922</v>
      </c>
    </row>
    <row r="1793" spans="17:17" x14ac:dyDescent="0.3">
      <c r="Q1793" t="s">
        <v>1923</v>
      </c>
    </row>
    <row r="1794" spans="17:17" x14ac:dyDescent="0.3">
      <c r="Q1794" t="s">
        <v>1920</v>
      </c>
    </row>
    <row r="1795" spans="17:17" x14ac:dyDescent="0.3">
      <c r="Q1795" t="s">
        <v>1924</v>
      </c>
    </row>
    <row r="1796" spans="17:17" x14ac:dyDescent="0.3">
      <c r="Q1796" t="s">
        <v>1925</v>
      </c>
    </row>
    <row r="1797" spans="17:17" x14ac:dyDescent="0.3">
      <c r="Q1797" t="s">
        <v>1926</v>
      </c>
    </row>
    <row r="1798" spans="17:17" x14ac:dyDescent="0.3">
      <c r="Q1798" t="s">
        <v>1927</v>
      </c>
    </row>
    <row r="1799" spans="17:17" x14ac:dyDescent="0.3">
      <c r="Q1799" t="s">
        <v>1928</v>
      </c>
    </row>
    <row r="1800" spans="17:17" x14ac:dyDescent="0.3">
      <c r="Q1800" t="s">
        <v>1929</v>
      </c>
    </row>
    <row r="1801" spans="17:17" x14ac:dyDescent="0.3">
      <c r="Q1801" t="s">
        <v>1930</v>
      </c>
    </row>
    <row r="1802" spans="17:17" x14ac:dyDescent="0.3">
      <c r="Q1802" t="s">
        <v>1931</v>
      </c>
    </row>
    <row r="1803" spans="17:17" x14ac:dyDescent="0.3">
      <c r="Q1803" t="s">
        <v>1932</v>
      </c>
    </row>
    <row r="1804" spans="17:17" x14ac:dyDescent="0.3">
      <c r="Q1804" t="s">
        <v>1933</v>
      </c>
    </row>
    <row r="1805" spans="17:17" x14ac:dyDescent="0.3">
      <c r="Q1805" t="s">
        <v>1934</v>
      </c>
    </row>
    <row r="1806" spans="17:17" x14ac:dyDescent="0.3">
      <c r="Q1806" t="s">
        <v>1935</v>
      </c>
    </row>
    <row r="1807" spans="17:17" x14ac:dyDescent="0.3">
      <c r="Q1807" t="s">
        <v>1936</v>
      </c>
    </row>
    <row r="1808" spans="17:17" x14ac:dyDescent="0.3">
      <c r="Q1808" t="s">
        <v>1934</v>
      </c>
    </row>
    <row r="1809" spans="17:17" x14ac:dyDescent="0.3">
      <c r="Q1809" t="s">
        <v>1937</v>
      </c>
    </row>
    <row r="1810" spans="17:17" x14ac:dyDescent="0.3">
      <c r="Q1810" t="s">
        <v>1938</v>
      </c>
    </row>
    <row r="1811" spans="17:17" x14ac:dyDescent="0.3">
      <c r="Q1811" t="s">
        <v>1939</v>
      </c>
    </row>
    <row r="1812" spans="17:17" x14ac:dyDescent="0.3">
      <c r="Q1812" t="s">
        <v>1940</v>
      </c>
    </row>
    <row r="1813" spans="17:17" x14ac:dyDescent="0.3">
      <c r="Q1813" t="s">
        <v>360</v>
      </c>
    </row>
    <row r="1814" spans="17:17" x14ac:dyDescent="0.3">
      <c r="Q1814" t="s">
        <v>1941</v>
      </c>
    </row>
    <row r="1815" spans="17:17" x14ac:dyDescent="0.3">
      <c r="Q1815" t="s">
        <v>1942</v>
      </c>
    </row>
    <row r="1816" spans="17:17" x14ac:dyDescent="0.3">
      <c r="Q1816" t="s">
        <v>1943</v>
      </c>
    </row>
    <row r="1817" spans="17:17" x14ac:dyDescent="0.3">
      <c r="Q1817" t="s">
        <v>1944</v>
      </c>
    </row>
    <row r="1818" spans="17:17" x14ac:dyDescent="0.3">
      <c r="Q1818" t="s">
        <v>1945</v>
      </c>
    </row>
    <row r="1819" spans="17:17" x14ac:dyDescent="0.3">
      <c r="Q1819" t="s">
        <v>1946</v>
      </c>
    </row>
    <row r="1820" spans="17:17" x14ac:dyDescent="0.3">
      <c r="Q1820" t="s">
        <v>1947</v>
      </c>
    </row>
    <row r="1821" spans="17:17" x14ac:dyDescent="0.3">
      <c r="Q1821" t="s">
        <v>1926</v>
      </c>
    </row>
    <row r="1822" spans="17:17" x14ac:dyDescent="0.3">
      <c r="Q1822" t="s">
        <v>1948</v>
      </c>
    </row>
    <row r="1823" spans="17:17" x14ac:dyDescent="0.3">
      <c r="Q1823" t="s">
        <v>1949</v>
      </c>
    </row>
    <row r="1824" spans="17:17" x14ac:dyDescent="0.3">
      <c r="Q1824" t="s">
        <v>1950</v>
      </c>
    </row>
    <row r="1825" spans="17:17" x14ac:dyDescent="0.3">
      <c r="Q1825" t="s">
        <v>1951</v>
      </c>
    </row>
    <row r="1826" spans="17:17" x14ac:dyDescent="0.3">
      <c r="Q1826" t="s">
        <v>1952</v>
      </c>
    </row>
    <row r="1827" spans="17:17" x14ac:dyDescent="0.3">
      <c r="Q1827" t="s">
        <v>1953</v>
      </c>
    </row>
    <row r="1828" spans="17:17" x14ac:dyDescent="0.3">
      <c r="Q1828" t="s">
        <v>1954</v>
      </c>
    </row>
    <row r="1829" spans="17:17" x14ac:dyDescent="0.3">
      <c r="Q1829" t="s">
        <v>1955</v>
      </c>
    </row>
    <row r="1830" spans="17:17" x14ac:dyDescent="0.3">
      <c r="Q1830" t="s">
        <v>1956</v>
      </c>
    </row>
    <row r="1831" spans="17:17" x14ac:dyDescent="0.3">
      <c r="Q1831" t="s">
        <v>1957</v>
      </c>
    </row>
    <row r="1832" spans="17:17" x14ac:dyDescent="0.3">
      <c r="Q1832" t="s">
        <v>1908</v>
      </c>
    </row>
    <row r="1833" spans="17:17" x14ac:dyDescent="0.3">
      <c r="Q1833" t="s">
        <v>1958</v>
      </c>
    </row>
    <row r="1834" spans="17:17" x14ac:dyDescent="0.3">
      <c r="Q1834" t="s">
        <v>1959</v>
      </c>
    </row>
    <row r="1835" spans="17:17" x14ac:dyDescent="0.3">
      <c r="Q1835" t="s">
        <v>1960</v>
      </c>
    </row>
    <row r="1836" spans="17:17" x14ac:dyDescent="0.3">
      <c r="Q1836" t="s">
        <v>1961</v>
      </c>
    </row>
    <row r="1837" spans="17:17" x14ac:dyDescent="0.3">
      <c r="Q1837" t="s">
        <v>1962</v>
      </c>
    </row>
    <row r="1838" spans="17:17" x14ac:dyDescent="0.3">
      <c r="Q1838" t="s">
        <v>1960</v>
      </c>
    </row>
    <row r="1839" spans="17:17" x14ac:dyDescent="0.3">
      <c r="Q1839" t="s">
        <v>1962</v>
      </c>
    </row>
    <row r="1840" spans="17:17" x14ac:dyDescent="0.3">
      <c r="Q1840" t="s">
        <v>1963</v>
      </c>
    </row>
    <row r="1841" spans="17:17" x14ac:dyDescent="0.3">
      <c r="Q1841" t="s">
        <v>1964</v>
      </c>
    </row>
    <row r="1842" spans="17:17" x14ac:dyDescent="0.3">
      <c r="Q1842" t="s">
        <v>1965</v>
      </c>
    </row>
    <row r="1843" spans="17:17" x14ac:dyDescent="0.3">
      <c r="Q1843" t="s">
        <v>1966</v>
      </c>
    </row>
    <row r="1844" spans="17:17" x14ac:dyDescent="0.3">
      <c r="Q1844" t="s">
        <v>1967</v>
      </c>
    </row>
    <row r="1845" spans="17:17" x14ac:dyDescent="0.3">
      <c r="Q1845" t="s">
        <v>1968</v>
      </c>
    </row>
    <row r="1846" spans="17:17" x14ac:dyDescent="0.3">
      <c r="Q1846" t="s">
        <v>1968</v>
      </c>
    </row>
    <row r="1847" spans="17:17" x14ac:dyDescent="0.3">
      <c r="Q1847" t="s">
        <v>1969</v>
      </c>
    </row>
    <row r="1848" spans="17:17" x14ac:dyDescent="0.3">
      <c r="Q1848" t="s">
        <v>1970</v>
      </c>
    </row>
    <row r="1849" spans="17:17" x14ac:dyDescent="0.3">
      <c r="Q1849" t="s">
        <v>1966</v>
      </c>
    </row>
    <row r="1850" spans="17:17" x14ac:dyDescent="0.3">
      <c r="Q1850" t="s">
        <v>1971</v>
      </c>
    </row>
    <row r="1851" spans="17:17" x14ac:dyDescent="0.3">
      <c r="Q1851" t="s">
        <v>1972</v>
      </c>
    </row>
    <row r="1852" spans="17:17" x14ac:dyDescent="0.3">
      <c r="Q1852" t="s">
        <v>1973</v>
      </c>
    </row>
    <row r="1853" spans="17:17" x14ac:dyDescent="0.3">
      <c r="Q1853" t="s">
        <v>1974</v>
      </c>
    </row>
    <row r="1854" spans="17:17" x14ac:dyDescent="0.3">
      <c r="Q1854" t="s">
        <v>1975</v>
      </c>
    </row>
    <row r="1855" spans="17:17" x14ac:dyDescent="0.3">
      <c r="Q1855" t="s">
        <v>1976</v>
      </c>
    </row>
    <row r="1856" spans="17:17" x14ac:dyDescent="0.3">
      <c r="Q1856" t="s">
        <v>1977</v>
      </c>
    </row>
    <row r="1857" spans="17:17" x14ac:dyDescent="0.3">
      <c r="Q1857" t="s">
        <v>1978</v>
      </c>
    </row>
    <row r="1858" spans="17:17" x14ac:dyDescent="0.3">
      <c r="Q1858" t="s">
        <v>1979</v>
      </c>
    </row>
    <row r="1859" spans="17:17" x14ac:dyDescent="0.3">
      <c r="Q1859" t="s">
        <v>1980</v>
      </c>
    </row>
    <row r="1860" spans="17:17" x14ac:dyDescent="0.3">
      <c r="Q1860" t="s">
        <v>1981</v>
      </c>
    </row>
    <row r="1861" spans="17:17" x14ac:dyDescent="0.3">
      <c r="Q1861" t="s">
        <v>1982</v>
      </c>
    </row>
    <row r="1862" spans="17:17" x14ac:dyDescent="0.3">
      <c r="Q1862" t="s">
        <v>1983</v>
      </c>
    </row>
    <row r="1863" spans="17:17" x14ac:dyDescent="0.3">
      <c r="Q1863" t="s">
        <v>1984</v>
      </c>
    </row>
    <row r="1864" spans="17:17" x14ac:dyDescent="0.3">
      <c r="Q1864" t="s">
        <v>1985</v>
      </c>
    </row>
    <row r="1865" spans="17:17" x14ac:dyDescent="0.3">
      <c r="Q1865" t="s">
        <v>1986</v>
      </c>
    </row>
    <row r="1866" spans="17:17" x14ac:dyDescent="0.3">
      <c r="Q1866" t="s">
        <v>1987</v>
      </c>
    </row>
    <row r="1867" spans="17:17" x14ac:dyDescent="0.3">
      <c r="Q1867" t="s">
        <v>1988</v>
      </c>
    </row>
    <row r="1868" spans="17:17" x14ac:dyDescent="0.3">
      <c r="Q1868" t="s">
        <v>1989</v>
      </c>
    </row>
    <row r="1869" spans="17:17" x14ac:dyDescent="0.3">
      <c r="Q1869" t="s">
        <v>1990</v>
      </c>
    </row>
    <row r="1870" spans="17:17" x14ac:dyDescent="0.3">
      <c r="Q1870" t="s">
        <v>1991</v>
      </c>
    </row>
    <row r="1871" spans="17:17" x14ac:dyDescent="0.3">
      <c r="Q1871" t="s">
        <v>1992</v>
      </c>
    </row>
    <row r="1872" spans="17:17" x14ac:dyDescent="0.3">
      <c r="Q1872" t="s">
        <v>1991</v>
      </c>
    </row>
    <row r="1873" spans="17:17" x14ac:dyDescent="0.3">
      <c r="Q1873" t="s">
        <v>1993</v>
      </c>
    </row>
    <row r="1874" spans="17:17" x14ac:dyDescent="0.3">
      <c r="Q1874" t="s">
        <v>1994</v>
      </c>
    </row>
    <row r="1875" spans="17:17" x14ac:dyDescent="0.3">
      <c r="Q1875" t="s">
        <v>1995</v>
      </c>
    </row>
    <row r="1876" spans="17:17" x14ac:dyDescent="0.3">
      <c r="Q1876" t="s">
        <v>410</v>
      </c>
    </row>
    <row r="1877" spans="17:17" x14ac:dyDescent="0.3">
      <c r="Q1877" t="s">
        <v>1996</v>
      </c>
    </row>
    <row r="1878" spans="17:17" x14ac:dyDescent="0.3">
      <c r="Q1878" t="s">
        <v>1997</v>
      </c>
    </row>
    <row r="1879" spans="17:17" x14ac:dyDescent="0.3">
      <c r="Q1879" t="s">
        <v>1998</v>
      </c>
    </row>
    <row r="1880" spans="17:17" x14ac:dyDescent="0.3">
      <c r="Q1880" t="s">
        <v>1999</v>
      </c>
    </row>
    <row r="1881" spans="17:17" x14ac:dyDescent="0.3">
      <c r="Q1881" t="s">
        <v>2000</v>
      </c>
    </row>
    <row r="1882" spans="17:17" x14ac:dyDescent="0.3">
      <c r="Q1882" t="s">
        <v>2001</v>
      </c>
    </row>
    <row r="1883" spans="17:17" x14ac:dyDescent="0.3">
      <c r="Q1883" t="s">
        <v>2002</v>
      </c>
    </row>
    <row r="1884" spans="17:17" x14ac:dyDescent="0.3">
      <c r="Q1884" t="s">
        <v>2003</v>
      </c>
    </row>
    <row r="1885" spans="17:17" x14ac:dyDescent="0.3">
      <c r="Q1885" t="s">
        <v>2004</v>
      </c>
    </row>
    <row r="1886" spans="17:17" x14ac:dyDescent="0.3">
      <c r="Q1886" t="s">
        <v>2005</v>
      </c>
    </row>
    <row r="1887" spans="17:17" x14ac:dyDescent="0.3">
      <c r="Q1887" t="s">
        <v>2006</v>
      </c>
    </row>
    <row r="1888" spans="17:17" x14ac:dyDescent="0.3">
      <c r="Q1888" t="s">
        <v>2007</v>
      </c>
    </row>
    <row r="1889" spans="17:17" x14ac:dyDescent="0.3">
      <c r="Q1889" t="s">
        <v>2008</v>
      </c>
    </row>
    <row r="1890" spans="17:17" x14ac:dyDescent="0.3">
      <c r="Q1890" t="s">
        <v>2009</v>
      </c>
    </row>
    <row r="1891" spans="17:17" x14ac:dyDescent="0.3">
      <c r="Q1891" t="s">
        <v>2010</v>
      </c>
    </row>
    <row r="1892" spans="17:17" x14ac:dyDescent="0.3">
      <c r="Q1892" t="s">
        <v>2011</v>
      </c>
    </row>
    <row r="1893" spans="17:17" x14ac:dyDescent="0.3">
      <c r="Q1893" t="s">
        <v>2012</v>
      </c>
    </row>
    <row r="1894" spans="17:17" x14ac:dyDescent="0.3">
      <c r="Q1894" t="s">
        <v>2013</v>
      </c>
    </row>
    <row r="1895" spans="17:17" x14ac:dyDescent="0.3">
      <c r="Q1895" t="s">
        <v>2014</v>
      </c>
    </row>
    <row r="1896" spans="17:17" x14ac:dyDescent="0.3">
      <c r="Q1896" t="s">
        <v>2015</v>
      </c>
    </row>
    <row r="1897" spans="17:17" x14ac:dyDescent="0.3">
      <c r="Q1897" t="s">
        <v>2016</v>
      </c>
    </row>
    <row r="1898" spans="17:17" x14ac:dyDescent="0.3">
      <c r="Q1898" t="s">
        <v>1913</v>
      </c>
    </row>
    <row r="1899" spans="17:17" x14ac:dyDescent="0.3">
      <c r="Q1899" t="s">
        <v>2017</v>
      </c>
    </row>
    <row r="1900" spans="17:17" x14ac:dyDescent="0.3">
      <c r="Q1900" t="s">
        <v>2018</v>
      </c>
    </row>
    <row r="1901" spans="17:17" x14ac:dyDescent="0.3">
      <c r="Q1901" t="s">
        <v>1987</v>
      </c>
    </row>
    <row r="1902" spans="17:17" x14ac:dyDescent="0.3">
      <c r="Q1902" t="s">
        <v>2019</v>
      </c>
    </row>
    <row r="1903" spans="17:17" x14ac:dyDescent="0.3">
      <c r="Q1903" t="s">
        <v>2020</v>
      </c>
    </row>
    <row r="1904" spans="17:17" x14ac:dyDescent="0.3">
      <c r="Q1904" t="s">
        <v>2021</v>
      </c>
    </row>
    <row r="1905" spans="17:17" x14ac:dyDescent="0.3">
      <c r="Q1905" t="s">
        <v>1999</v>
      </c>
    </row>
    <row r="1906" spans="17:17" x14ac:dyDescent="0.3">
      <c r="Q1906" t="s">
        <v>1997</v>
      </c>
    </row>
    <row r="1907" spans="17:17" x14ac:dyDescent="0.3">
      <c r="Q1907" t="s">
        <v>2022</v>
      </c>
    </row>
    <row r="1908" spans="17:17" x14ac:dyDescent="0.3">
      <c r="Q1908" t="s">
        <v>2023</v>
      </c>
    </row>
    <row r="1909" spans="17:17" x14ac:dyDescent="0.3">
      <c r="Q1909" t="s">
        <v>2021</v>
      </c>
    </row>
    <row r="1910" spans="17:17" x14ac:dyDescent="0.3">
      <c r="Q1910" t="s">
        <v>2024</v>
      </c>
    </row>
    <row r="1911" spans="17:17" x14ac:dyDescent="0.3">
      <c r="Q1911" t="s">
        <v>2025</v>
      </c>
    </row>
    <row r="1912" spans="17:17" x14ac:dyDescent="0.3">
      <c r="Q1912" t="s">
        <v>2026</v>
      </c>
    </row>
    <row r="1913" spans="17:17" x14ac:dyDescent="0.3">
      <c r="Q1913" t="s">
        <v>2027</v>
      </c>
    </row>
    <row r="1914" spans="17:17" x14ac:dyDescent="0.3">
      <c r="Q1914" t="s">
        <v>2028</v>
      </c>
    </row>
    <row r="1915" spans="17:17" x14ac:dyDescent="0.3">
      <c r="Q1915" t="s">
        <v>2029</v>
      </c>
    </row>
    <row r="1916" spans="17:17" x14ac:dyDescent="0.3">
      <c r="Q1916" t="s">
        <v>2030</v>
      </c>
    </row>
    <row r="1917" spans="17:17" x14ac:dyDescent="0.3">
      <c r="Q1917" t="s">
        <v>2031</v>
      </c>
    </row>
    <row r="1918" spans="17:17" x14ac:dyDescent="0.3">
      <c r="Q1918" t="s">
        <v>2032</v>
      </c>
    </row>
    <row r="1919" spans="17:17" x14ac:dyDescent="0.3">
      <c r="Q1919" t="s">
        <v>2033</v>
      </c>
    </row>
    <row r="1920" spans="17:17" x14ac:dyDescent="0.3">
      <c r="Q1920" t="s">
        <v>2034</v>
      </c>
    </row>
    <row r="1921" spans="17:17" x14ac:dyDescent="0.3">
      <c r="Q1921" t="s">
        <v>2017</v>
      </c>
    </row>
    <row r="1922" spans="17:17" x14ac:dyDescent="0.3">
      <c r="Q1922" t="s">
        <v>2035</v>
      </c>
    </row>
    <row r="1923" spans="17:17" x14ac:dyDescent="0.3">
      <c r="Q1923" t="s">
        <v>2036</v>
      </c>
    </row>
    <row r="1924" spans="17:17" x14ac:dyDescent="0.3">
      <c r="Q1924" t="s">
        <v>2037</v>
      </c>
    </row>
    <row r="1925" spans="17:17" x14ac:dyDescent="0.3">
      <c r="Q1925" t="s">
        <v>2038</v>
      </c>
    </row>
    <row r="1926" spans="17:17" x14ac:dyDescent="0.3">
      <c r="Q1926" t="s">
        <v>2039</v>
      </c>
    </row>
    <row r="1927" spans="17:17" x14ac:dyDescent="0.3">
      <c r="Q1927" t="s">
        <v>2040</v>
      </c>
    </row>
    <row r="1928" spans="17:17" x14ac:dyDescent="0.3">
      <c r="Q1928" t="s">
        <v>2041</v>
      </c>
    </row>
    <row r="1929" spans="17:17" x14ac:dyDescent="0.3">
      <c r="Q1929" t="s">
        <v>2042</v>
      </c>
    </row>
    <row r="1930" spans="17:17" x14ac:dyDescent="0.3">
      <c r="Q1930" t="s">
        <v>2043</v>
      </c>
    </row>
    <row r="1931" spans="17:17" x14ac:dyDescent="0.3">
      <c r="Q1931" t="s">
        <v>2044</v>
      </c>
    </row>
    <row r="1932" spans="17:17" x14ac:dyDescent="0.3">
      <c r="Q1932" t="s">
        <v>2045</v>
      </c>
    </row>
    <row r="1933" spans="17:17" x14ac:dyDescent="0.3">
      <c r="Q1933" t="s">
        <v>2046</v>
      </c>
    </row>
    <row r="1934" spans="17:17" x14ac:dyDescent="0.3">
      <c r="Q1934" t="s">
        <v>1285</v>
      </c>
    </row>
    <row r="1935" spans="17:17" x14ac:dyDescent="0.3">
      <c r="Q1935" t="s">
        <v>2047</v>
      </c>
    </row>
    <row r="1936" spans="17:17" x14ac:dyDescent="0.3">
      <c r="Q1936" t="s">
        <v>2048</v>
      </c>
    </row>
    <row r="1937" spans="17:17" x14ac:dyDescent="0.3">
      <c r="Q1937" t="s">
        <v>2049</v>
      </c>
    </row>
    <row r="1938" spans="17:17" x14ac:dyDescent="0.3">
      <c r="Q1938" t="s">
        <v>2050</v>
      </c>
    </row>
    <row r="1939" spans="17:17" x14ac:dyDescent="0.3">
      <c r="Q1939" t="s">
        <v>2051</v>
      </c>
    </row>
    <row r="1940" spans="17:17" x14ac:dyDescent="0.3">
      <c r="Q1940" t="s">
        <v>2052</v>
      </c>
    </row>
    <row r="1941" spans="17:17" x14ac:dyDescent="0.3">
      <c r="Q1941" t="s">
        <v>2053</v>
      </c>
    </row>
    <row r="1942" spans="17:17" x14ac:dyDescent="0.3">
      <c r="Q1942" t="s">
        <v>2054</v>
      </c>
    </row>
    <row r="1943" spans="17:17" x14ac:dyDescent="0.3">
      <c r="Q1943" t="s">
        <v>2055</v>
      </c>
    </row>
    <row r="1944" spans="17:17" x14ac:dyDescent="0.3">
      <c r="Q1944" t="s">
        <v>2056</v>
      </c>
    </row>
    <row r="1945" spans="17:17" x14ac:dyDescent="0.3">
      <c r="Q1945" t="s">
        <v>2057</v>
      </c>
    </row>
    <row r="1946" spans="17:17" x14ac:dyDescent="0.3">
      <c r="Q1946" t="s">
        <v>2058</v>
      </c>
    </row>
    <row r="1947" spans="17:17" x14ac:dyDescent="0.3">
      <c r="Q1947" t="s">
        <v>2059</v>
      </c>
    </row>
    <row r="1948" spans="17:17" x14ac:dyDescent="0.3">
      <c r="Q1948" t="s">
        <v>2060</v>
      </c>
    </row>
    <row r="1949" spans="17:17" x14ac:dyDescent="0.3">
      <c r="Q1949" t="s">
        <v>2061</v>
      </c>
    </row>
    <row r="1950" spans="17:17" x14ac:dyDescent="0.3">
      <c r="Q1950" t="s">
        <v>2062</v>
      </c>
    </row>
    <row r="1951" spans="17:17" x14ac:dyDescent="0.3">
      <c r="Q1951" t="s">
        <v>2063</v>
      </c>
    </row>
    <row r="1952" spans="17:17" x14ac:dyDescent="0.3">
      <c r="Q1952" t="s">
        <v>2064</v>
      </c>
    </row>
    <row r="1953" spans="17:17" x14ac:dyDescent="0.3">
      <c r="Q1953" t="s">
        <v>2065</v>
      </c>
    </row>
    <row r="1954" spans="17:17" x14ac:dyDescent="0.3">
      <c r="Q1954" t="s">
        <v>2066</v>
      </c>
    </row>
    <row r="1955" spans="17:17" x14ac:dyDescent="0.3">
      <c r="Q1955" t="s">
        <v>2067</v>
      </c>
    </row>
    <row r="1956" spans="17:17" x14ac:dyDescent="0.3">
      <c r="Q1956" t="s">
        <v>2068</v>
      </c>
    </row>
    <row r="1957" spans="17:17" x14ac:dyDescent="0.3">
      <c r="Q1957" t="s">
        <v>2069</v>
      </c>
    </row>
    <row r="1958" spans="17:17" x14ac:dyDescent="0.3">
      <c r="Q1958" t="s">
        <v>2070</v>
      </c>
    </row>
    <row r="1959" spans="17:17" x14ac:dyDescent="0.3">
      <c r="Q1959" t="s">
        <v>2071</v>
      </c>
    </row>
    <row r="1960" spans="17:17" x14ac:dyDescent="0.3">
      <c r="Q1960" t="s">
        <v>2072</v>
      </c>
    </row>
    <row r="1961" spans="17:17" x14ac:dyDescent="0.3">
      <c r="Q1961" t="s">
        <v>2073</v>
      </c>
    </row>
    <row r="1962" spans="17:17" x14ac:dyDescent="0.3">
      <c r="Q1962" t="s">
        <v>2074</v>
      </c>
    </row>
    <row r="1963" spans="17:17" x14ac:dyDescent="0.3">
      <c r="Q1963" t="s">
        <v>2075</v>
      </c>
    </row>
    <row r="1964" spans="17:17" x14ac:dyDescent="0.3">
      <c r="Q1964" t="s">
        <v>2076</v>
      </c>
    </row>
    <row r="1965" spans="17:17" x14ac:dyDescent="0.3">
      <c r="Q1965" t="s">
        <v>2077</v>
      </c>
    </row>
    <row r="1966" spans="17:17" x14ac:dyDescent="0.3">
      <c r="Q1966" t="s">
        <v>2078</v>
      </c>
    </row>
    <row r="1967" spans="17:17" x14ac:dyDescent="0.3">
      <c r="Q1967" t="s">
        <v>2077</v>
      </c>
    </row>
    <row r="1968" spans="17:17" x14ac:dyDescent="0.3">
      <c r="Q1968" t="s">
        <v>2079</v>
      </c>
    </row>
    <row r="1969" spans="17:17" x14ac:dyDescent="0.3">
      <c r="Q1969" t="s">
        <v>2078</v>
      </c>
    </row>
    <row r="1970" spans="17:17" x14ac:dyDescent="0.3">
      <c r="Q1970" t="s">
        <v>2080</v>
      </c>
    </row>
    <row r="1971" spans="17:17" x14ac:dyDescent="0.3">
      <c r="Q1971" t="s">
        <v>2081</v>
      </c>
    </row>
    <row r="1972" spans="17:17" x14ac:dyDescent="0.3">
      <c r="Q1972" t="s">
        <v>2082</v>
      </c>
    </row>
    <row r="1973" spans="17:17" x14ac:dyDescent="0.3">
      <c r="Q1973" t="s">
        <v>2083</v>
      </c>
    </row>
    <row r="1974" spans="17:17" x14ac:dyDescent="0.3">
      <c r="Q1974" t="s">
        <v>2084</v>
      </c>
    </row>
    <row r="1975" spans="17:17" x14ac:dyDescent="0.3">
      <c r="Q1975" t="s">
        <v>2085</v>
      </c>
    </row>
    <row r="1976" spans="17:17" x14ac:dyDescent="0.3">
      <c r="Q1976" t="s">
        <v>2086</v>
      </c>
    </row>
    <row r="1977" spans="17:17" x14ac:dyDescent="0.3">
      <c r="Q1977" t="s">
        <v>2087</v>
      </c>
    </row>
    <row r="1978" spans="17:17" x14ac:dyDescent="0.3">
      <c r="Q1978" t="s">
        <v>2088</v>
      </c>
    </row>
    <row r="1979" spans="17:17" x14ac:dyDescent="0.3">
      <c r="Q1979" t="s">
        <v>2089</v>
      </c>
    </row>
    <row r="1980" spans="17:17" x14ac:dyDescent="0.3">
      <c r="Q1980" t="s">
        <v>2090</v>
      </c>
    </row>
    <row r="1981" spans="17:17" x14ac:dyDescent="0.3">
      <c r="Q1981" t="s">
        <v>2091</v>
      </c>
    </row>
    <row r="1982" spans="17:17" x14ac:dyDescent="0.3">
      <c r="Q1982" t="s">
        <v>2092</v>
      </c>
    </row>
    <row r="1983" spans="17:17" x14ac:dyDescent="0.3">
      <c r="Q1983" t="s">
        <v>2093</v>
      </c>
    </row>
    <row r="1984" spans="17:17" x14ac:dyDescent="0.3">
      <c r="Q1984" t="s">
        <v>2094</v>
      </c>
    </row>
    <row r="1985" spans="17:17" x14ac:dyDescent="0.3">
      <c r="Q1985" t="s">
        <v>2095</v>
      </c>
    </row>
    <row r="1986" spans="17:17" x14ac:dyDescent="0.3">
      <c r="Q1986" t="s">
        <v>2096</v>
      </c>
    </row>
    <row r="1987" spans="17:17" x14ac:dyDescent="0.3">
      <c r="Q1987" t="s">
        <v>2097</v>
      </c>
    </row>
    <row r="1988" spans="17:17" x14ac:dyDescent="0.3">
      <c r="Q1988" t="s">
        <v>2098</v>
      </c>
    </row>
    <row r="1989" spans="17:17" x14ac:dyDescent="0.3">
      <c r="Q1989" t="s">
        <v>2099</v>
      </c>
    </row>
    <row r="1990" spans="17:17" x14ac:dyDescent="0.3">
      <c r="Q1990" t="s">
        <v>2100</v>
      </c>
    </row>
    <row r="1991" spans="17:17" x14ac:dyDescent="0.3">
      <c r="Q1991" t="s">
        <v>2101</v>
      </c>
    </row>
    <row r="1992" spans="17:17" x14ac:dyDescent="0.3">
      <c r="Q1992" t="s">
        <v>2102</v>
      </c>
    </row>
    <row r="1993" spans="17:17" x14ac:dyDescent="0.3">
      <c r="Q1993" t="s">
        <v>2103</v>
      </c>
    </row>
    <row r="1994" spans="17:17" x14ac:dyDescent="0.3">
      <c r="Q1994" t="s">
        <v>2104</v>
      </c>
    </row>
    <row r="1995" spans="17:17" x14ac:dyDescent="0.3">
      <c r="Q1995" t="s">
        <v>2105</v>
      </c>
    </row>
    <row r="1996" spans="17:17" x14ac:dyDescent="0.3">
      <c r="Q1996" t="s">
        <v>2106</v>
      </c>
    </row>
    <row r="1997" spans="17:17" x14ac:dyDescent="0.3">
      <c r="Q1997" t="s">
        <v>2107</v>
      </c>
    </row>
    <row r="1998" spans="17:17" x14ac:dyDescent="0.3">
      <c r="Q1998" t="s">
        <v>2106</v>
      </c>
    </row>
    <row r="1999" spans="17:17" x14ac:dyDescent="0.3">
      <c r="Q1999" t="s">
        <v>2108</v>
      </c>
    </row>
    <row r="2000" spans="17:17" x14ac:dyDescent="0.3">
      <c r="Q2000" t="s">
        <v>2109</v>
      </c>
    </row>
    <row r="2001" spans="17:17" x14ac:dyDescent="0.3">
      <c r="Q2001" t="s">
        <v>2110</v>
      </c>
    </row>
    <row r="2002" spans="17:17" x14ac:dyDescent="0.3">
      <c r="Q2002" t="s">
        <v>2111</v>
      </c>
    </row>
    <row r="2003" spans="17:17" x14ac:dyDescent="0.3">
      <c r="Q2003" t="s">
        <v>2112</v>
      </c>
    </row>
    <row r="2004" spans="17:17" x14ac:dyDescent="0.3">
      <c r="Q2004" t="s">
        <v>2113</v>
      </c>
    </row>
    <row r="2005" spans="17:17" x14ac:dyDescent="0.3">
      <c r="Q2005" t="s">
        <v>2114</v>
      </c>
    </row>
    <row r="2006" spans="17:17" x14ac:dyDescent="0.3">
      <c r="Q2006" t="s">
        <v>2115</v>
      </c>
    </row>
    <row r="2007" spans="17:17" x14ac:dyDescent="0.3">
      <c r="Q2007" t="s">
        <v>2115</v>
      </c>
    </row>
    <row r="2008" spans="17:17" x14ac:dyDescent="0.3">
      <c r="Q2008" t="s">
        <v>2116</v>
      </c>
    </row>
    <row r="2009" spans="17:17" x14ac:dyDescent="0.3">
      <c r="Q2009" t="s">
        <v>2117</v>
      </c>
    </row>
    <row r="2010" spans="17:17" x14ac:dyDescent="0.3">
      <c r="Q2010" t="s">
        <v>2118</v>
      </c>
    </row>
    <row r="2011" spans="17:17" x14ac:dyDescent="0.3">
      <c r="Q2011" t="s">
        <v>2114</v>
      </c>
    </row>
    <row r="2012" spans="17:17" x14ac:dyDescent="0.3">
      <c r="Q2012" t="s">
        <v>2119</v>
      </c>
    </row>
    <row r="2013" spans="17:17" x14ac:dyDescent="0.3">
      <c r="Q2013" t="s">
        <v>2120</v>
      </c>
    </row>
    <row r="2014" spans="17:17" x14ac:dyDescent="0.3">
      <c r="Q2014" t="s">
        <v>2114</v>
      </c>
    </row>
    <row r="2015" spans="17:17" x14ac:dyDescent="0.3">
      <c r="Q2015" t="s">
        <v>2118</v>
      </c>
    </row>
    <row r="2016" spans="17:17" x14ac:dyDescent="0.3">
      <c r="Q2016" t="s">
        <v>2118</v>
      </c>
    </row>
    <row r="2017" spans="17:17" x14ac:dyDescent="0.3">
      <c r="Q2017" t="s">
        <v>2121</v>
      </c>
    </row>
    <row r="2018" spans="17:17" x14ac:dyDescent="0.3">
      <c r="Q2018" t="s">
        <v>2122</v>
      </c>
    </row>
    <row r="2019" spans="17:17" x14ac:dyDescent="0.3">
      <c r="Q2019" t="s">
        <v>2123</v>
      </c>
    </row>
    <row r="2020" spans="17:17" x14ac:dyDescent="0.3">
      <c r="Q2020" t="s">
        <v>2124</v>
      </c>
    </row>
    <row r="2021" spans="17:17" x14ac:dyDescent="0.3">
      <c r="Q2021" t="s">
        <v>2125</v>
      </c>
    </row>
    <row r="2022" spans="17:17" x14ac:dyDescent="0.3">
      <c r="Q2022" t="s">
        <v>2126</v>
      </c>
    </row>
    <row r="2023" spans="17:17" x14ac:dyDescent="0.3">
      <c r="Q2023" t="s">
        <v>2127</v>
      </c>
    </row>
    <row r="2024" spans="17:17" x14ac:dyDescent="0.3">
      <c r="Q2024" t="s">
        <v>2128</v>
      </c>
    </row>
    <row r="2025" spans="17:17" x14ac:dyDescent="0.3">
      <c r="Q2025" t="s">
        <v>2129</v>
      </c>
    </row>
    <row r="2026" spans="17:17" x14ac:dyDescent="0.3">
      <c r="Q2026" t="s">
        <v>2130</v>
      </c>
    </row>
    <row r="2027" spans="17:17" x14ac:dyDescent="0.3">
      <c r="Q2027" t="s">
        <v>2131</v>
      </c>
    </row>
    <row r="2028" spans="17:17" x14ac:dyDescent="0.3">
      <c r="Q2028" t="s">
        <v>2132</v>
      </c>
    </row>
    <row r="2029" spans="17:17" x14ac:dyDescent="0.3">
      <c r="Q2029" t="s">
        <v>2133</v>
      </c>
    </row>
    <row r="2030" spans="17:17" x14ac:dyDescent="0.3">
      <c r="Q2030" t="s">
        <v>2105</v>
      </c>
    </row>
    <row r="2031" spans="17:17" x14ac:dyDescent="0.3">
      <c r="Q2031" t="s">
        <v>2108</v>
      </c>
    </row>
    <row r="2032" spans="17:17" x14ac:dyDescent="0.3">
      <c r="Q2032" t="s">
        <v>2134</v>
      </c>
    </row>
    <row r="2033" spans="17:17" x14ac:dyDescent="0.3">
      <c r="Q2033" t="s">
        <v>2135</v>
      </c>
    </row>
    <row r="2034" spans="17:17" x14ac:dyDescent="0.3">
      <c r="Q2034" t="s">
        <v>2062</v>
      </c>
    </row>
    <row r="2035" spans="17:17" x14ac:dyDescent="0.3">
      <c r="Q2035" t="s">
        <v>2136</v>
      </c>
    </row>
    <row r="2036" spans="17:17" x14ac:dyDescent="0.3">
      <c r="Q2036" t="s">
        <v>2122</v>
      </c>
    </row>
    <row r="2037" spans="17:17" x14ac:dyDescent="0.3">
      <c r="Q2037" t="s">
        <v>2137</v>
      </c>
    </row>
    <row r="2038" spans="17:17" x14ac:dyDescent="0.3">
      <c r="Q2038" t="s">
        <v>2138</v>
      </c>
    </row>
    <row r="2039" spans="17:17" x14ac:dyDescent="0.3">
      <c r="Q2039" t="s">
        <v>2139</v>
      </c>
    </row>
    <row r="2040" spans="17:17" x14ac:dyDescent="0.3">
      <c r="Q2040" t="s">
        <v>2140</v>
      </c>
    </row>
    <row r="2041" spans="17:17" x14ac:dyDescent="0.3">
      <c r="Q2041" t="s">
        <v>2141</v>
      </c>
    </row>
    <row r="2042" spans="17:17" x14ac:dyDescent="0.3">
      <c r="Q2042" t="s">
        <v>2142</v>
      </c>
    </row>
    <row r="2043" spans="17:17" x14ac:dyDescent="0.3">
      <c r="Q2043" t="s">
        <v>2143</v>
      </c>
    </row>
    <row r="2044" spans="17:17" x14ac:dyDescent="0.3">
      <c r="Q2044" t="s">
        <v>2144</v>
      </c>
    </row>
    <row r="2045" spans="17:17" x14ac:dyDescent="0.3">
      <c r="Q2045" t="s">
        <v>2145</v>
      </c>
    </row>
    <row r="2046" spans="17:17" x14ac:dyDescent="0.3">
      <c r="Q2046" t="s">
        <v>2146</v>
      </c>
    </row>
    <row r="2047" spans="17:17" x14ac:dyDescent="0.3">
      <c r="Q2047" t="s">
        <v>2147</v>
      </c>
    </row>
    <row r="2048" spans="17:17" x14ac:dyDescent="0.3">
      <c r="Q2048" t="s">
        <v>2148</v>
      </c>
    </row>
    <row r="2049" spans="17:17" x14ac:dyDescent="0.3">
      <c r="Q2049" t="s">
        <v>2148</v>
      </c>
    </row>
    <row r="2050" spans="17:17" x14ac:dyDescent="0.3">
      <c r="Q2050" t="s">
        <v>2147</v>
      </c>
    </row>
    <row r="2051" spans="17:17" x14ac:dyDescent="0.3">
      <c r="Q2051" t="s">
        <v>2142</v>
      </c>
    </row>
    <row r="2052" spans="17:17" x14ac:dyDescent="0.3">
      <c r="Q2052" t="s">
        <v>2149</v>
      </c>
    </row>
    <row r="2053" spans="17:17" x14ac:dyDescent="0.3">
      <c r="Q2053" t="s">
        <v>2144</v>
      </c>
    </row>
    <row r="2054" spans="17:17" x14ac:dyDescent="0.3">
      <c r="Q2054" t="s">
        <v>2146</v>
      </c>
    </row>
    <row r="2055" spans="17:17" x14ac:dyDescent="0.3">
      <c r="Q2055" t="s">
        <v>2150</v>
      </c>
    </row>
    <row r="2056" spans="17:17" x14ac:dyDescent="0.3">
      <c r="Q2056" t="s">
        <v>2149</v>
      </c>
    </row>
    <row r="2057" spans="17:17" x14ac:dyDescent="0.3">
      <c r="Q2057" t="s">
        <v>2143</v>
      </c>
    </row>
    <row r="2058" spans="17:17" x14ac:dyDescent="0.3">
      <c r="Q2058" t="s">
        <v>2143</v>
      </c>
    </row>
    <row r="2059" spans="17:17" x14ac:dyDescent="0.3">
      <c r="Q2059" t="s">
        <v>2147</v>
      </c>
    </row>
    <row r="2060" spans="17:17" x14ac:dyDescent="0.3">
      <c r="Q2060" t="s">
        <v>2140</v>
      </c>
    </row>
    <row r="2061" spans="17:17" x14ac:dyDescent="0.3">
      <c r="Q2061" t="s">
        <v>2144</v>
      </c>
    </row>
    <row r="2062" spans="17:17" x14ac:dyDescent="0.3">
      <c r="Q2062" t="s">
        <v>2145</v>
      </c>
    </row>
    <row r="2063" spans="17:17" x14ac:dyDescent="0.3">
      <c r="Q2063" t="s">
        <v>2142</v>
      </c>
    </row>
    <row r="2064" spans="17:17" x14ac:dyDescent="0.3">
      <c r="Q2064" t="s">
        <v>2145</v>
      </c>
    </row>
    <row r="2065" spans="17:17" x14ac:dyDescent="0.3">
      <c r="Q2065" t="s">
        <v>2146</v>
      </c>
    </row>
    <row r="2066" spans="17:17" x14ac:dyDescent="0.3">
      <c r="Q2066" t="s">
        <v>2150</v>
      </c>
    </row>
    <row r="2067" spans="17:17" x14ac:dyDescent="0.3">
      <c r="Q2067" t="s">
        <v>2140</v>
      </c>
    </row>
    <row r="2068" spans="17:17" x14ac:dyDescent="0.3">
      <c r="Q2068" t="s">
        <v>2151</v>
      </c>
    </row>
    <row r="2069" spans="17:17" x14ac:dyDescent="0.3">
      <c r="Q2069" t="s">
        <v>2152</v>
      </c>
    </row>
    <row r="2070" spans="17:17" x14ac:dyDescent="0.3">
      <c r="Q2070" t="s">
        <v>2153</v>
      </c>
    </row>
    <row r="2071" spans="17:17" x14ac:dyDescent="0.3">
      <c r="Q2071" t="s">
        <v>2154</v>
      </c>
    </row>
    <row r="2072" spans="17:17" x14ac:dyDescent="0.3">
      <c r="Q2072" t="s">
        <v>2155</v>
      </c>
    </row>
    <row r="2073" spans="17:17" x14ac:dyDescent="0.3">
      <c r="Q2073" t="s">
        <v>2156</v>
      </c>
    </row>
    <row r="2074" spans="17:17" x14ac:dyDescent="0.3">
      <c r="Q2074" t="s">
        <v>2157</v>
      </c>
    </row>
    <row r="2075" spans="17:17" x14ac:dyDescent="0.3">
      <c r="Q2075" t="s">
        <v>2158</v>
      </c>
    </row>
    <row r="2076" spans="17:17" x14ac:dyDescent="0.3">
      <c r="Q2076" t="s">
        <v>2159</v>
      </c>
    </row>
    <row r="2077" spans="17:17" x14ac:dyDescent="0.3">
      <c r="Q2077" t="s">
        <v>2160</v>
      </c>
    </row>
    <row r="2078" spans="17:17" x14ac:dyDescent="0.3">
      <c r="Q2078" t="s">
        <v>2161</v>
      </c>
    </row>
    <row r="2079" spans="17:17" x14ac:dyDescent="0.3">
      <c r="Q2079" t="s">
        <v>2162</v>
      </c>
    </row>
    <row r="2080" spans="17:17" x14ac:dyDescent="0.3">
      <c r="Q2080" t="s">
        <v>2163</v>
      </c>
    </row>
    <row r="2081" spans="17:17" x14ac:dyDescent="0.3">
      <c r="Q2081" t="s">
        <v>2151</v>
      </c>
    </row>
    <row r="2082" spans="17:17" x14ac:dyDescent="0.3">
      <c r="Q2082" t="s">
        <v>2148</v>
      </c>
    </row>
    <row r="2083" spans="17:17" x14ac:dyDescent="0.3">
      <c r="Q2083" t="s">
        <v>2164</v>
      </c>
    </row>
    <row r="2084" spans="17:17" x14ac:dyDescent="0.3">
      <c r="Q2084" t="s">
        <v>2165</v>
      </c>
    </row>
    <row r="2085" spans="17:17" x14ac:dyDescent="0.3">
      <c r="Q2085" t="s">
        <v>2166</v>
      </c>
    </row>
    <row r="2086" spans="17:17" x14ac:dyDescent="0.3">
      <c r="Q2086" t="s">
        <v>2167</v>
      </c>
    </row>
    <row r="2087" spans="17:17" x14ac:dyDescent="0.3">
      <c r="Q2087" t="s">
        <v>2089</v>
      </c>
    </row>
    <row r="2088" spans="17:17" x14ac:dyDescent="0.3">
      <c r="Q2088" t="s">
        <v>2168</v>
      </c>
    </row>
    <row r="2089" spans="17:17" x14ac:dyDescent="0.3">
      <c r="Q2089" t="s">
        <v>2169</v>
      </c>
    </row>
    <row r="2090" spans="17:17" x14ac:dyDescent="0.3">
      <c r="Q2090" t="s">
        <v>2170</v>
      </c>
    </row>
    <row r="2091" spans="17:17" x14ac:dyDescent="0.3">
      <c r="Q2091" t="s">
        <v>2171</v>
      </c>
    </row>
    <row r="2092" spans="17:17" x14ac:dyDescent="0.3">
      <c r="Q2092" t="s">
        <v>2172</v>
      </c>
    </row>
    <row r="2093" spans="17:17" x14ac:dyDescent="0.3">
      <c r="Q2093" t="s">
        <v>2173</v>
      </c>
    </row>
    <row r="2094" spans="17:17" x14ac:dyDescent="0.3">
      <c r="Q2094" t="s">
        <v>2174</v>
      </c>
    </row>
    <row r="2095" spans="17:17" x14ac:dyDescent="0.3">
      <c r="Q2095" t="s">
        <v>2175</v>
      </c>
    </row>
    <row r="2096" spans="17:17" x14ac:dyDescent="0.3">
      <c r="Q2096" t="s">
        <v>2176</v>
      </c>
    </row>
    <row r="2097" spans="17:17" x14ac:dyDescent="0.3">
      <c r="Q2097" t="s">
        <v>2177</v>
      </c>
    </row>
    <row r="2098" spans="17:17" x14ac:dyDescent="0.3">
      <c r="Q2098" t="s">
        <v>2178</v>
      </c>
    </row>
    <row r="2099" spans="17:17" x14ac:dyDescent="0.3">
      <c r="Q2099" t="s">
        <v>2179</v>
      </c>
    </row>
    <row r="2100" spans="17:17" x14ac:dyDescent="0.3">
      <c r="Q2100" t="s">
        <v>2180</v>
      </c>
    </row>
    <row r="2101" spans="17:17" x14ac:dyDescent="0.3">
      <c r="Q2101" t="s">
        <v>2178</v>
      </c>
    </row>
    <row r="2102" spans="17:17" x14ac:dyDescent="0.3">
      <c r="Q2102" t="s">
        <v>2181</v>
      </c>
    </row>
    <row r="2103" spans="17:17" x14ac:dyDescent="0.3">
      <c r="Q2103" t="s">
        <v>2182</v>
      </c>
    </row>
    <row r="2104" spans="17:17" x14ac:dyDescent="0.3">
      <c r="Q2104" t="s">
        <v>2183</v>
      </c>
    </row>
    <row r="2105" spans="17:17" x14ac:dyDescent="0.3">
      <c r="Q2105" t="s">
        <v>2184</v>
      </c>
    </row>
    <row r="2106" spans="17:17" x14ac:dyDescent="0.3">
      <c r="Q2106" t="s">
        <v>2185</v>
      </c>
    </row>
    <row r="2107" spans="17:17" x14ac:dyDescent="0.3">
      <c r="Q2107" t="s">
        <v>2168</v>
      </c>
    </row>
    <row r="2108" spans="17:17" x14ac:dyDescent="0.3">
      <c r="Q2108" t="s">
        <v>2186</v>
      </c>
    </row>
    <row r="2109" spans="17:17" x14ac:dyDescent="0.3">
      <c r="Q2109" t="s">
        <v>2187</v>
      </c>
    </row>
    <row r="2110" spans="17:17" x14ac:dyDescent="0.3">
      <c r="Q2110" t="s">
        <v>2166</v>
      </c>
    </row>
    <row r="2111" spans="17:17" x14ac:dyDescent="0.3">
      <c r="Q2111" t="s">
        <v>2101</v>
      </c>
    </row>
    <row r="2112" spans="17:17" x14ac:dyDescent="0.3">
      <c r="Q2112" t="s">
        <v>2188</v>
      </c>
    </row>
    <row r="2113" spans="17:17" x14ac:dyDescent="0.3">
      <c r="Q2113" t="s">
        <v>2089</v>
      </c>
    </row>
    <row r="2114" spans="17:17" x14ac:dyDescent="0.3">
      <c r="Q2114" t="s">
        <v>2189</v>
      </c>
    </row>
    <row r="2115" spans="17:17" x14ac:dyDescent="0.3">
      <c r="Q2115" t="s">
        <v>2190</v>
      </c>
    </row>
    <row r="2116" spans="17:17" x14ac:dyDescent="0.3">
      <c r="Q2116" t="s">
        <v>2191</v>
      </c>
    </row>
    <row r="2117" spans="17:17" x14ac:dyDescent="0.3">
      <c r="Q2117" t="s">
        <v>2192</v>
      </c>
    </row>
    <row r="2118" spans="17:17" x14ac:dyDescent="0.3">
      <c r="Q2118" t="s">
        <v>2188</v>
      </c>
    </row>
    <row r="2119" spans="17:17" x14ac:dyDescent="0.3">
      <c r="Q2119" t="s">
        <v>2193</v>
      </c>
    </row>
    <row r="2120" spans="17:17" x14ac:dyDescent="0.3">
      <c r="Q2120" t="s">
        <v>2194</v>
      </c>
    </row>
    <row r="2121" spans="17:17" x14ac:dyDescent="0.3">
      <c r="Q2121" t="s">
        <v>2195</v>
      </c>
    </row>
    <row r="2122" spans="17:17" x14ac:dyDescent="0.3">
      <c r="Q2122" t="s">
        <v>2196</v>
      </c>
    </row>
    <row r="2123" spans="17:17" x14ac:dyDescent="0.3">
      <c r="Q2123" t="s">
        <v>2197</v>
      </c>
    </row>
    <row r="2124" spans="17:17" x14ac:dyDescent="0.3">
      <c r="Q2124" t="s">
        <v>2198</v>
      </c>
    </row>
    <row r="2125" spans="17:17" x14ac:dyDescent="0.3">
      <c r="Q2125" t="s">
        <v>2199</v>
      </c>
    </row>
    <row r="2126" spans="17:17" x14ac:dyDescent="0.3">
      <c r="Q2126" t="s">
        <v>2200</v>
      </c>
    </row>
    <row r="2127" spans="17:17" x14ac:dyDescent="0.3">
      <c r="Q2127" t="s">
        <v>2201</v>
      </c>
    </row>
    <row r="2128" spans="17:17" x14ac:dyDescent="0.3">
      <c r="Q2128" t="s">
        <v>2202</v>
      </c>
    </row>
    <row r="2129" spans="17:17" x14ac:dyDescent="0.3">
      <c r="Q2129" t="s">
        <v>2203</v>
      </c>
    </row>
    <row r="2130" spans="17:17" x14ac:dyDescent="0.3">
      <c r="Q2130" t="s">
        <v>2204</v>
      </c>
    </row>
    <row r="2131" spans="17:17" x14ac:dyDescent="0.3">
      <c r="Q2131" t="s">
        <v>2205</v>
      </c>
    </row>
    <row r="2132" spans="17:17" x14ac:dyDescent="0.3">
      <c r="Q2132" t="s">
        <v>2206</v>
      </c>
    </row>
    <row r="2133" spans="17:17" x14ac:dyDescent="0.3">
      <c r="Q2133" t="s">
        <v>2207</v>
      </c>
    </row>
    <row r="2134" spans="17:17" x14ac:dyDescent="0.3">
      <c r="Q2134" t="s">
        <v>2208</v>
      </c>
    </row>
    <row r="2135" spans="17:17" x14ac:dyDescent="0.3">
      <c r="Q2135" t="s">
        <v>2209</v>
      </c>
    </row>
    <row r="2136" spans="17:17" x14ac:dyDescent="0.3">
      <c r="Q2136" t="s">
        <v>2210</v>
      </c>
    </row>
    <row r="2137" spans="17:17" x14ac:dyDescent="0.3">
      <c r="Q2137" t="s">
        <v>2211</v>
      </c>
    </row>
    <row r="2138" spans="17:17" x14ac:dyDescent="0.3">
      <c r="Q2138" t="s">
        <v>2211</v>
      </c>
    </row>
    <row r="2139" spans="17:17" x14ac:dyDescent="0.3">
      <c r="Q2139" t="s">
        <v>2212</v>
      </c>
    </row>
    <row r="2140" spans="17:17" x14ac:dyDescent="0.3">
      <c r="Q2140" t="s">
        <v>2213</v>
      </c>
    </row>
    <row r="2141" spans="17:17" x14ac:dyDescent="0.3">
      <c r="Q2141" t="s">
        <v>2214</v>
      </c>
    </row>
    <row r="2142" spans="17:17" x14ac:dyDescent="0.3">
      <c r="Q2142" t="s">
        <v>2215</v>
      </c>
    </row>
    <row r="2143" spans="17:17" x14ac:dyDescent="0.3">
      <c r="Q2143" t="s">
        <v>2216</v>
      </c>
    </row>
    <row r="2144" spans="17:17" x14ac:dyDescent="0.3">
      <c r="Q2144" t="s">
        <v>2217</v>
      </c>
    </row>
    <row r="2145" spans="17:17" x14ac:dyDescent="0.3">
      <c r="Q2145" t="s">
        <v>2218</v>
      </c>
    </row>
    <row r="2146" spans="17:17" x14ac:dyDescent="0.3">
      <c r="Q2146" t="s">
        <v>2102</v>
      </c>
    </row>
    <row r="2147" spans="17:17" x14ac:dyDescent="0.3">
      <c r="Q2147" t="s">
        <v>2219</v>
      </c>
    </row>
    <row r="2148" spans="17:17" x14ac:dyDescent="0.3">
      <c r="Q2148" t="s">
        <v>2220</v>
      </c>
    </row>
    <row r="2149" spans="17:17" x14ac:dyDescent="0.3">
      <c r="Q2149" t="s">
        <v>2221</v>
      </c>
    </row>
    <row r="2150" spans="17:17" x14ac:dyDescent="0.3">
      <c r="Q2150" t="s">
        <v>2222</v>
      </c>
    </row>
    <row r="2151" spans="17:17" x14ac:dyDescent="0.3">
      <c r="Q2151" t="s">
        <v>2099</v>
      </c>
    </row>
    <row r="2152" spans="17:17" x14ac:dyDescent="0.3">
      <c r="Q2152" t="s">
        <v>2223</v>
      </c>
    </row>
    <row r="2153" spans="17:17" x14ac:dyDescent="0.3">
      <c r="Q2153" t="s">
        <v>2224</v>
      </c>
    </row>
    <row r="2154" spans="17:17" x14ac:dyDescent="0.3">
      <c r="Q2154" t="s">
        <v>2225</v>
      </c>
    </row>
    <row r="2155" spans="17:17" x14ac:dyDescent="0.3">
      <c r="Q2155" t="s">
        <v>2226</v>
      </c>
    </row>
    <row r="2156" spans="17:17" x14ac:dyDescent="0.3">
      <c r="Q2156" t="s">
        <v>2227</v>
      </c>
    </row>
    <row r="2157" spans="17:17" x14ac:dyDescent="0.3">
      <c r="Q2157" t="s">
        <v>2228</v>
      </c>
    </row>
    <row r="2158" spans="17:17" x14ac:dyDescent="0.3">
      <c r="Q2158" t="s">
        <v>2229</v>
      </c>
    </row>
    <row r="2159" spans="17:17" x14ac:dyDescent="0.3">
      <c r="Q2159" t="s">
        <v>2230</v>
      </c>
    </row>
    <row r="2160" spans="17:17" x14ac:dyDescent="0.3">
      <c r="Q2160" t="s">
        <v>2231</v>
      </c>
    </row>
    <row r="2161" spans="17:17" x14ac:dyDescent="0.3">
      <c r="Q2161" t="s">
        <v>2232</v>
      </c>
    </row>
    <row r="2162" spans="17:17" x14ac:dyDescent="0.3">
      <c r="Q2162" t="s">
        <v>2233</v>
      </c>
    </row>
    <row r="2163" spans="17:17" x14ac:dyDescent="0.3">
      <c r="Q2163" t="s">
        <v>2234</v>
      </c>
    </row>
    <row r="2164" spans="17:17" x14ac:dyDescent="0.3">
      <c r="Q2164" t="s">
        <v>2235</v>
      </c>
    </row>
    <row r="2165" spans="17:17" x14ac:dyDescent="0.3">
      <c r="Q2165" t="s">
        <v>2236</v>
      </c>
    </row>
    <row r="2166" spans="17:17" x14ac:dyDescent="0.3">
      <c r="Q2166" t="s">
        <v>2237</v>
      </c>
    </row>
    <row r="2167" spans="17:17" x14ac:dyDescent="0.3">
      <c r="Q2167" t="s">
        <v>2238</v>
      </c>
    </row>
    <row r="2168" spans="17:17" x14ac:dyDescent="0.3">
      <c r="Q2168" t="s">
        <v>2239</v>
      </c>
    </row>
    <row r="2169" spans="17:17" x14ac:dyDescent="0.3">
      <c r="Q2169" t="s">
        <v>2143</v>
      </c>
    </row>
    <row r="2170" spans="17:17" x14ac:dyDescent="0.3">
      <c r="Q2170" t="s">
        <v>2145</v>
      </c>
    </row>
    <row r="2171" spans="17:17" x14ac:dyDescent="0.3">
      <c r="Q2171" t="s">
        <v>2140</v>
      </c>
    </row>
    <row r="2172" spans="17:17" x14ac:dyDescent="0.3">
      <c r="Q2172" t="s">
        <v>2145</v>
      </c>
    </row>
    <row r="2173" spans="17:17" x14ac:dyDescent="0.3">
      <c r="Q2173" t="s">
        <v>2142</v>
      </c>
    </row>
    <row r="2174" spans="17:17" x14ac:dyDescent="0.3">
      <c r="Q2174" t="s">
        <v>2240</v>
      </c>
    </row>
    <row r="2175" spans="17:17" x14ac:dyDescent="0.3">
      <c r="Q2175" t="s">
        <v>2241</v>
      </c>
    </row>
    <row r="2176" spans="17:17" x14ac:dyDescent="0.3">
      <c r="Q2176" t="s">
        <v>2242</v>
      </c>
    </row>
    <row r="2177" spans="17:17" x14ac:dyDescent="0.3">
      <c r="Q2177" t="s">
        <v>2243</v>
      </c>
    </row>
    <row r="2178" spans="17:17" x14ac:dyDescent="0.3">
      <c r="Q2178" t="s">
        <v>2244</v>
      </c>
    </row>
    <row r="2179" spans="17:17" x14ac:dyDescent="0.3">
      <c r="Q2179" t="s">
        <v>2245</v>
      </c>
    </row>
    <row r="2180" spans="17:17" x14ac:dyDescent="0.3">
      <c r="Q2180" t="s">
        <v>2246</v>
      </c>
    </row>
    <row r="2181" spans="17:17" x14ac:dyDescent="0.3">
      <c r="Q2181" t="s">
        <v>2247</v>
      </c>
    </row>
    <row r="2182" spans="17:17" x14ac:dyDescent="0.3">
      <c r="Q2182" t="s">
        <v>2248</v>
      </c>
    </row>
    <row r="2183" spans="17:17" x14ac:dyDescent="0.3">
      <c r="Q2183" t="s">
        <v>2249</v>
      </c>
    </row>
    <row r="2184" spans="17:17" x14ac:dyDescent="0.3">
      <c r="Q2184" t="s">
        <v>2250</v>
      </c>
    </row>
    <row r="2185" spans="17:17" x14ac:dyDescent="0.3">
      <c r="Q2185" t="s">
        <v>2251</v>
      </c>
    </row>
    <row r="2186" spans="17:17" x14ac:dyDescent="0.3">
      <c r="Q2186" t="s">
        <v>2252</v>
      </c>
    </row>
    <row r="2187" spans="17:17" x14ac:dyDescent="0.3">
      <c r="Q2187" t="s">
        <v>2253</v>
      </c>
    </row>
    <row r="2188" spans="17:17" x14ac:dyDescent="0.3">
      <c r="Q2188" t="s">
        <v>2254</v>
      </c>
    </row>
    <row r="2189" spans="17:17" x14ac:dyDescent="0.3">
      <c r="Q2189" t="s">
        <v>2255</v>
      </c>
    </row>
    <row r="2190" spans="17:17" x14ac:dyDescent="0.3">
      <c r="Q2190" t="s">
        <v>2256</v>
      </c>
    </row>
    <row r="2191" spans="17:17" x14ac:dyDescent="0.3">
      <c r="Q2191" t="s">
        <v>2257</v>
      </c>
    </row>
    <row r="2192" spans="17:17" x14ac:dyDescent="0.3">
      <c r="Q2192" t="s">
        <v>2258</v>
      </c>
    </row>
    <row r="2193" spans="17:17" x14ac:dyDescent="0.3">
      <c r="Q2193" t="s">
        <v>2259</v>
      </c>
    </row>
    <row r="2194" spans="17:17" x14ac:dyDescent="0.3">
      <c r="Q2194" t="s">
        <v>2260</v>
      </c>
    </row>
    <row r="2195" spans="17:17" x14ac:dyDescent="0.3">
      <c r="Q2195" t="s">
        <v>2261</v>
      </c>
    </row>
    <row r="2196" spans="17:17" x14ac:dyDescent="0.3">
      <c r="Q2196" t="s">
        <v>2262</v>
      </c>
    </row>
    <row r="2197" spans="17:17" x14ac:dyDescent="0.3">
      <c r="Q2197" t="s">
        <v>2263</v>
      </c>
    </row>
    <row r="2198" spans="17:17" x14ac:dyDescent="0.3">
      <c r="Q2198" t="s">
        <v>2264</v>
      </c>
    </row>
    <row r="2199" spans="17:17" x14ac:dyDescent="0.3">
      <c r="Q2199" t="s">
        <v>2265</v>
      </c>
    </row>
    <row r="2200" spans="17:17" x14ac:dyDescent="0.3">
      <c r="Q2200" t="s">
        <v>2266</v>
      </c>
    </row>
    <row r="2201" spans="17:17" x14ac:dyDescent="0.3">
      <c r="Q2201" t="s">
        <v>2267</v>
      </c>
    </row>
    <row r="2202" spans="17:17" x14ac:dyDescent="0.3">
      <c r="Q2202" t="s">
        <v>2268</v>
      </c>
    </row>
    <row r="2203" spans="17:17" x14ac:dyDescent="0.3">
      <c r="Q2203" t="s">
        <v>2267</v>
      </c>
    </row>
    <row r="2204" spans="17:17" x14ac:dyDescent="0.3">
      <c r="Q2204" t="s">
        <v>2269</v>
      </c>
    </row>
    <row r="2205" spans="17:17" x14ac:dyDescent="0.3">
      <c r="Q2205" t="s">
        <v>2270</v>
      </c>
    </row>
    <row r="2206" spans="17:17" x14ac:dyDescent="0.3">
      <c r="Q2206" t="s">
        <v>2271</v>
      </c>
    </row>
    <row r="2207" spans="17:17" x14ac:dyDescent="0.3">
      <c r="Q2207" t="s">
        <v>2272</v>
      </c>
    </row>
    <row r="2208" spans="17:17" x14ac:dyDescent="0.3">
      <c r="Q2208" t="s">
        <v>2269</v>
      </c>
    </row>
    <row r="2209" spans="17:17" x14ac:dyDescent="0.3">
      <c r="Q2209" t="s">
        <v>2267</v>
      </c>
    </row>
    <row r="2210" spans="17:17" x14ac:dyDescent="0.3">
      <c r="Q2210" t="s">
        <v>2266</v>
      </c>
    </row>
    <row r="2211" spans="17:17" x14ac:dyDescent="0.3">
      <c r="Q2211" t="s">
        <v>2268</v>
      </c>
    </row>
    <row r="2212" spans="17:17" x14ac:dyDescent="0.3">
      <c r="Q2212" t="s">
        <v>2265</v>
      </c>
    </row>
    <row r="2213" spans="17:17" x14ac:dyDescent="0.3">
      <c r="Q2213" t="s">
        <v>2263</v>
      </c>
    </row>
    <row r="2214" spans="17:17" x14ac:dyDescent="0.3">
      <c r="Q2214" t="s">
        <v>2273</v>
      </c>
    </row>
    <row r="2215" spans="17:17" x14ac:dyDescent="0.3">
      <c r="Q2215" t="s">
        <v>2274</v>
      </c>
    </row>
    <row r="2216" spans="17:17" x14ac:dyDescent="0.3">
      <c r="Q2216" t="s">
        <v>2275</v>
      </c>
    </row>
    <row r="2217" spans="17:17" x14ac:dyDescent="0.3">
      <c r="Q2217" t="s">
        <v>2276</v>
      </c>
    </row>
    <row r="2218" spans="17:17" x14ac:dyDescent="0.3">
      <c r="Q2218" t="s">
        <v>2277</v>
      </c>
    </row>
    <row r="2219" spans="17:17" x14ac:dyDescent="0.3">
      <c r="Q2219" t="s">
        <v>2278</v>
      </c>
    </row>
    <row r="2220" spans="17:17" x14ac:dyDescent="0.3">
      <c r="Q2220" t="s">
        <v>2279</v>
      </c>
    </row>
    <row r="2221" spans="17:17" x14ac:dyDescent="0.3">
      <c r="Q2221" t="s">
        <v>2280</v>
      </c>
    </row>
    <row r="2222" spans="17:17" x14ac:dyDescent="0.3">
      <c r="Q2222" t="s">
        <v>2281</v>
      </c>
    </row>
    <row r="2223" spans="17:17" x14ac:dyDescent="0.3">
      <c r="Q2223" t="s">
        <v>2282</v>
      </c>
    </row>
    <row r="2224" spans="17:17" x14ac:dyDescent="0.3">
      <c r="Q2224" t="s">
        <v>2283</v>
      </c>
    </row>
    <row r="2225" spans="17:17" x14ac:dyDescent="0.3">
      <c r="Q2225" t="s">
        <v>2284</v>
      </c>
    </row>
    <row r="2226" spans="17:17" x14ac:dyDescent="0.3">
      <c r="Q2226" t="s">
        <v>2285</v>
      </c>
    </row>
    <row r="2227" spans="17:17" x14ac:dyDescent="0.3">
      <c r="Q2227" t="s">
        <v>2286</v>
      </c>
    </row>
    <row r="2228" spans="17:17" x14ac:dyDescent="0.3">
      <c r="Q2228" t="s">
        <v>2287</v>
      </c>
    </row>
    <row r="2229" spans="17:17" x14ac:dyDescent="0.3">
      <c r="Q2229" t="s">
        <v>2288</v>
      </c>
    </row>
    <row r="2230" spans="17:17" x14ac:dyDescent="0.3">
      <c r="Q2230" t="s">
        <v>2289</v>
      </c>
    </row>
    <row r="2231" spans="17:17" x14ac:dyDescent="0.3">
      <c r="Q2231" t="s">
        <v>2241</v>
      </c>
    </row>
    <row r="2232" spans="17:17" x14ac:dyDescent="0.3">
      <c r="Q2232" t="s">
        <v>2290</v>
      </c>
    </row>
    <row r="2233" spans="17:17" x14ac:dyDescent="0.3">
      <c r="Q2233" t="s">
        <v>2291</v>
      </c>
    </row>
    <row r="2234" spans="17:17" x14ac:dyDescent="0.3">
      <c r="Q2234" t="s">
        <v>2292</v>
      </c>
    </row>
    <row r="2235" spans="17:17" x14ac:dyDescent="0.3">
      <c r="Q2235" t="s">
        <v>2290</v>
      </c>
    </row>
    <row r="2236" spans="17:17" x14ac:dyDescent="0.3">
      <c r="Q2236" t="s">
        <v>2291</v>
      </c>
    </row>
    <row r="2237" spans="17:17" x14ac:dyDescent="0.3">
      <c r="Q2237" t="s">
        <v>2293</v>
      </c>
    </row>
    <row r="2238" spans="17:17" x14ac:dyDescent="0.3">
      <c r="Q2238" t="s">
        <v>2294</v>
      </c>
    </row>
    <row r="2239" spans="17:17" x14ac:dyDescent="0.3">
      <c r="Q2239" t="s">
        <v>2275</v>
      </c>
    </row>
    <row r="2240" spans="17:17" x14ac:dyDescent="0.3">
      <c r="Q2240" t="s">
        <v>2295</v>
      </c>
    </row>
    <row r="2241" spans="17:17" x14ac:dyDescent="0.3">
      <c r="Q2241" t="s">
        <v>2296</v>
      </c>
    </row>
    <row r="2242" spans="17:17" x14ac:dyDescent="0.3">
      <c r="Q2242" t="s">
        <v>2297</v>
      </c>
    </row>
    <row r="2243" spans="17:17" x14ac:dyDescent="0.3">
      <c r="Q2243" t="s">
        <v>2298</v>
      </c>
    </row>
    <row r="2244" spans="17:17" x14ac:dyDescent="0.3">
      <c r="Q2244" t="s">
        <v>2299</v>
      </c>
    </row>
    <row r="2245" spans="17:17" x14ac:dyDescent="0.3">
      <c r="Q2245" t="s">
        <v>2300</v>
      </c>
    </row>
    <row r="2246" spans="17:17" x14ac:dyDescent="0.3">
      <c r="Q2246" t="s">
        <v>2300</v>
      </c>
    </row>
    <row r="2247" spans="17:17" x14ac:dyDescent="0.3">
      <c r="Q2247" t="s">
        <v>2301</v>
      </c>
    </row>
    <row r="2248" spans="17:17" x14ac:dyDescent="0.3">
      <c r="Q2248" t="s">
        <v>2302</v>
      </c>
    </row>
    <row r="2249" spans="17:17" x14ac:dyDescent="0.3">
      <c r="Q2249" t="s">
        <v>2198</v>
      </c>
    </row>
    <row r="2250" spans="17:17" x14ac:dyDescent="0.3">
      <c r="Q2250" t="s">
        <v>2303</v>
      </c>
    </row>
    <row r="2251" spans="17:17" x14ac:dyDescent="0.3">
      <c r="Q2251" t="s">
        <v>2304</v>
      </c>
    </row>
    <row r="2252" spans="17:17" x14ac:dyDescent="0.3">
      <c r="Q2252" t="s">
        <v>2305</v>
      </c>
    </row>
    <row r="2253" spans="17:17" x14ac:dyDescent="0.3">
      <c r="Q2253" t="s">
        <v>2306</v>
      </c>
    </row>
    <row r="2254" spans="17:17" x14ac:dyDescent="0.3">
      <c r="Q2254" t="s">
        <v>2224</v>
      </c>
    </row>
    <row r="2255" spans="17:17" x14ac:dyDescent="0.3">
      <c r="Q2255" t="s">
        <v>2303</v>
      </c>
    </row>
    <row r="2256" spans="17:17" x14ac:dyDescent="0.3">
      <c r="Q2256" t="s">
        <v>2307</v>
      </c>
    </row>
    <row r="2257" spans="17:17" x14ac:dyDescent="0.3">
      <c r="Q2257" t="s">
        <v>2304</v>
      </c>
    </row>
    <row r="2258" spans="17:17" x14ac:dyDescent="0.3">
      <c r="Q2258" t="s">
        <v>2228</v>
      </c>
    </row>
    <row r="2259" spans="17:17" x14ac:dyDescent="0.3">
      <c r="Q2259" t="s">
        <v>2305</v>
      </c>
    </row>
    <row r="2260" spans="17:17" x14ac:dyDescent="0.3">
      <c r="Q2260" t="s">
        <v>2307</v>
      </c>
    </row>
    <row r="2261" spans="17:17" x14ac:dyDescent="0.3">
      <c r="Q2261" t="s">
        <v>2198</v>
      </c>
    </row>
    <row r="2262" spans="17:17" x14ac:dyDescent="0.3">
      <c r="Q2262" t="s">
        <v>2307</v>
      </c>
    </row>
    <row r="2263" spans="17:17" x14ac:dyDescent="0.3">
      <c r="Q2263" t="s">
        <v>2152</v>
      </c>
    </row>
    <row r="2264" spans="17:17" x14ac:dyDescent="0.3">
      <c r="Q2264" t="s">
        <v>2308</v>
      </c>
    </row>
    <row r="2265" spans="17:17" x14ac:dyDescent="0.3">
      <c r="Q2265" t="s">
        <v>2309</v>
      </c>
    </row>
    <row r="2266" spans="17:17" x14ac:dyDescent="0.3">
      <c r="Q2266" t="s">
        <v>2310</v>
      </c>
    </row>
    <row r="2267" spans="17:17" x14ac:dyDescent="0.3">
      <c r="Q2267" t="s">
        <v>2311</v>
      </c>
    </row>
    <row r="2268" spans="17:17" x14ac:dyDescent="0.3">
      <c r="Q2268" t="s">
        <v>2242</v>
      </c>
    </row>
    <row r="2269" spans="17:17" x14ac:dyDescent="0.3">
      <c r="Q2269" t="s">
        <v>2312</v>
      </c>
    </row>
    <row r="2270" spans="17:17" x14ac:dyDescent="0.3">
      <c r="Q2270" t="s">
        <v>2313</v>
      </c>
    </row>
    <row r="2271" spans="17:17" x14ac:dyDescent="0.3">
      <c r="Q2271" t="s">
        <v>2314</v>
      </c>
    </row>
    <row r="2272" spans="17:17" x14ac:dyDescent="0.3">
      <c r="Q2272" t="s">
        <v>2315</v>
      </c>
    </row>
    <row r="2273" spans="17:17" x14ac:dyDescent="0.3">
      <c r="Q2273" t="s">
        <v>2316</v>
      </c>
    </row>
    <row r="2274" spans="17:17" x14ac:dyDescent="0.3">
      <c r="Q2274" t="s">
        <v>2317</v>
      </c>
    </row>
    <row r="2275" spans="17:17" x14ac:dyDescent="0.3">
      <c r="Q2275" t="s">
        <v>2318</v>
      </c>
    </row>
    <row r="2276" spans="17:17" x14ac:dyDescent="0.3">
      <c r="Q2276" t="s">
        <v>2319</v>
      </c>
    </row>
    <row r="2277" spans="17:17" x14ac:dyDescent="0.3">
      <c r="Q2277" t="s">
        <v>2320</v>
      </c>
    </row>
    <row r="2278" spans="17:17" x14ac:dyDescent="0.3">
      <c r="Q2278" t="s">
        <v>2321</v>
      </c>
    </row>
    <row r="2279" spans="17:17" x14ac:dyDescent="0.3">
      <c r="Q2279" t="s">
        <v>2322</v>
      </c>
    </row>
    <row r="2280" spans="17:17" x14ac:dyDescent="0.3">
      <c r="Q2280" t="s">
        <v>2323</v>
      </c>
    </row>
    <row r="2281" spans="17:17" x14ac:dyDescent="0.3">
      <c r="Q2281" t="s">
        <v>2324</v>
      </c>
    </row>
    <row r="2282" spans="17:17" x14ac:dyDescent="0.3">
      <c r="Q2282" t="s">
        <v>2325</v>
      </c>
    </row>
    <row r="2283" spans="17:17" x14ac:dyDescent="0.3">
      <c r="Q2283" t="s">
        <v>2326</v>
      </c>
    </row>
    <row r="2284" spans="17:17" x14ac:dyDescent="0.3">
      <c r="Q2284" t="s">
        <v>2327</v>
      </c>
    </row>
    <row r="2285" spans="17:17" x14ac:dyDescent="0.3">
      <c r="Q2285" t="s">
        <v>2328</v>
      </c>
    </row>
    <row r="2286" spans="17:17" x14ac:dyDescent="0.3">
      <c r="Q2286" t="s">
        <v>2329</v>
      </c>
    </row>
    <row r="2287" spans="17:17" x14ac:dyDescent="0.3">
      <c r="Q2287" t="s">
        <v>2330</v>
      </c>
    </row>
    <row r="2288" spans="17:17" x14ac:dyDescent="0.3">
      <c r="Q2288" t="s">
        <v>2331</v>
      </c>
    </row>
    <row r="2289" spans="17:17" x14ac:dyDescent="0.3">
      <c r="Q2289" t="s">
        <v>2332</v>
      </c>
    </row>
    <row r="2290" spans="17:17" x14ac:dyDescent="0.3">
      <c r="Q2290" t="s">
        <v>2279</v>
      </c>
    </row>
    <row r="2291" spans="17:17" x14ac:dyDescent="0.3">
      <c r="Q2291" t="s">
        <v>2333</v>
      </c>
    </row>
    <row r="2292" spans="17:17" x14ac:dyDescent="0.3">
      <c r="Q2292" t="s">
        <v>2274</v>
      </c>
    </row>
    <row r="2293" spans="17:17" x14ac:dyDescent="0.3">
      <c r="Q2293" t="s">
        <v>2295</v>
      </c>
    </row>
    <row r="2294" spans="17:17" x14ac:dyDescent="0.3">
      <c r="Q2294" t="s">
        <v>2334</v>
      </c>
    </row>
    <row r="2295" spans="17:17" x14ac:dyDescent="0.3">
      <c r="Q2295" t="s">
        <v>2335</v>
      </c>
    </row>
    <row r="2296" spans="17:17" x14ac:dyDescent="0.3">
      <c r="Q2296" t="s">
        <v>2336</v>
      </c>
    </row>
    <row r="2297" spans="17:17" x14ac:dyDescent="0.3">
      <c r="Q2297" t="s">
        <v>2337</v>
      </c>
    </row>
    <row r="2298" spans="17:17" x14ac:dyDescent="0.3">
      <c r="Q2298" t="s">
        <v>2338</v>
      </c>
    </row>
    <row r="2299" spans="17:17" x14ac:dyDescent="0.3">
      <c r="Q2299" t="s">
        <v>2339</v>
      </c>
    </row>
    <row r="2300" spans="17:17" x14ac:dyDescent="0.3">
      <c r="Q2300" t="s">
        <v>2340</v>
      </c>
    </row>
    <row r="2301" spans="17:17" x14ac:dyDescent="0.3">
      <c r="Q2301" t="s">
        <v>2341</v>
      </c>
    </row>
    <row r="2302" spans="17:17" x14ac:dyDescent="0.3">
      <c r="Q2302" t="s">
        <v>2342</v>
      </c>
    </row>
    <row r="2303" spans="17:17" x14ac:dyDescent="0.3">
      <c r="Q2303" t="s">
        <v>2343</v>
      </c>
    </row>
    <row r="2304" spans="17:17" x14ac:dyDescent="0.3">
      <c r="Q2304" t="s">
        <v>2344</v>
      </c>
    </row>
    <row r="2305" spans="17:17" x14ac:dyDescent="0.3">
      <c r="Q2305" t="s">
        <v>2337</v>
      </c>
    </row>
    <row r="2306" spans="17:17" x14ac:dyDescent="0.3">
      <c r="Q2306" t="s">
        <v>2345</v>
      </c>
    </row>
    <row r="2307" spans="17:17" x14ac:dyDescent="0.3">
      <c r="Q2307" t="s">
        <v>2346</v>
      </c>
    </row>
    <row r="2308" spans="17:17" x14ac:dyDescent="0.3">
      <c r="Q2308" t="s">
        <v>2347</v>
      </c>
    </row>
    <row r="2309" spans="17:17" x14ac:dyDescent="0.3">
      <c r="Q2309" t="s">
        <v>2342</v>
      </c>
    </row>
    <row r="2310" spans="17:17" x14ac:dyDescent="0.3">
      <c r="Q2310" t="s">
        <v>2348</v>
      </c>
    </row>
    <row r="2311" spans="17:17" x14ac:dyDescent="0.3">
      <c r="Q2311" t="s">
        <v>2349</v>
      </c>
    </row>
    <row r="2312" spans="17:17" x14ac:dyDescent="0.3">
      <c r="Q2312" t="s">
        <v>2350</v>
      </c>
    </row>
    <row r="2313" spans="17:17" x14ac:dyDescent="0.3">
      <c r="Q2313" t="s">
        <v>2351</v>
      </c>
    </row>
    <row r="2314" spans="17:17" x14ac:dyDescent="0.3">
      <c r="Q2314" t="s">
        <v>2352</v>
      </c>
    </row>
    <row r="2315" spans="17:17" x14ac:dyDescent="0.3">
      <c r="Q2315" t="s">
        <v>2353</v>
      </c>
    </row>
    <row r="2316" spans="17:17" x14ac:dyDescent="0.3">
      <c r="Q2316" t="s">
        <v>2354</v>
      </c>
    </row>
    <row r="2317" spans="17:17" x14ac:dyDescent="0.3">
      <c r="Q2317" t="s">
        <v>2355</v>
      </c>
    </row>
    <row r="2318" spans="17:17" x14ac:dyDescent="0.3">
      <c r="Q2318" t="s">
        <v>2356</v>
      </c>
    </row>
    <row r="2319" spans="17:17" x14ac:dyDescent="0.3">
      <c r="Q2319" t="s">
        <v>2357</v>
      </c>
    </row>
    <row r="2320" spans="17:17" x14ac:dyDescent="0.3">
      <c r="Q2320" t="s">
        <v>2277</v>
      </c>
    </row>
    <row r="2321" spans="17:17" x14ac:dyDescent="0.3">
      <c r="Q2321" t="s">
        <v>2358</v>
      </c>
    </row>
    <row r="2322" spans="17:17" x14ac:dyDescent="0.3">
      <c r="Q2322" t="s">
        <v>2338</v>
      </c>
    </row>
    <row r="2323" spans="17:17" x14ac:dyDescent="0.3">
      <c r="Q2323" t="s">
        <v>2359</v>
      </c>
    </row>
    <row r="2324" spans="17:17" x14ac:dyDescent="0.3">
      <c r="Q2324" t="s">
        <v>2360</v>
      </c>
    </row>
    <row r="2325" spans="17:17" x14ac:dyDescent="0.3">
      <c r="Q2325" t="s">
        <v>2361</v>
      </c>
    </row>
    <row r="2326" spans="17:17" x14ac:dyDescent="0.3">
      <c r="Q2326" t="s">
        <v>2362</v>
      </c>
    </row>
    <row r="2327" spans="17:17" x14ac:dyDescent="0.3">
      <c r="Q2327" t="s">
        <v>2363</v>
      </c>
    </row>
    <row r="2328" spans="17:17" x14ac:dyDescent="0.3">
      <c r="Q2328" t="s">
        <v>2364</v>
      </c>
    </row>
    <row r="2329" spans="17:17" x14ac:dyDescent="0.3">
      <c r="Q2329" t="s">
        <v>2365</v>
      </c>
    </row>
    <row r="2330" spans="17:17" x14ac:dyDescent="0.3">
      <c r="Q2330" t="s">
        <v>2366</v>
      </c>
    </row>
    <row r="2331" spans="17:17" x14ac:dyDescent="0.3">
      <c r="Q2331" t="s">
        <v>2367</v>
      </c>
    </row>
    <row r="2332" spans="17:17" x14ac:dyDescent="0.3">
      <c r="Q2332" t="s">
        <v>2368</v>
      </c>
    </row>
    <row r="2333" spans="17:17" x14ac:dyDescent="0.3">
      <c r="Q2333" t="s">
        <v>2369</v>
      </c>
    </row>
    <row r="2334" spans="17:17" x14ac:dyDescent="0.3">
      <c r="Q2334" t="s">
        <v>2370</v>
      </c>
    </row>
    <row r="2335" spans="17:17" x14ac:dyDescent="0.3">
      <c r="Q2335" t="s">
        <v>2371</v>
      </c>
    </row>
    <row r="2336" spans="17:17" x14ac:dyDescent="0.3">
      <c r="Q2336" t="s">
        <v>2372</v>
      </c>
    </row>
    <row r="2337" spans="17:17" x14ac:dyDescent="0.3">
      <c r="Q2337" t="s">
        <v>2358</v>
      </c>
    </row>
    <row r="2338" spans="17:17" x14ac:dyDescent="0.3">
      <c r="Q2338" t="s">
        <v>2373</v>
      </c>
    </row>
    <row r="2339" spans="17:17" x14ac:dyDescent="0.3">
      <c r="Q2339" t="s">
        <v>2282</v>
      </c>
    </row>
    <row r="2340" spans="17:17" x14ac:dyDescent="0.3">
      <c r="Q2340" t="s">
        <v>2374</v>
      </c>
    </row>
    <row r="2341" spans="17:17" x14ac:dyDescent="0.3">
      <c r="Q2341" t="s">
        <v>2375</v>
      </c>
    </row>
    <row r="2342" spans="17:17" x14ac:dyDescent="0.3">
      <c r="Q2342" t="s">
        <v>2376</v>
      </c>
    </row>
    <row r="2343" spans="17:17" x14ac:dyDescent="0.3">
      <c r="Q2343" t="s">
        <v>2377</v>
      </c>
    </row>
    <row r="2344" spans="17:17" x14ac:dyDescent="0.3">
      <c r="Q2344" t="s">
        <v>2378</v>
      </c>
    </row>
    <row r="2345" spans="17:17" x14ac:dyDescent="0.3">
      <c r="Q2345" t="s">
        <v>2357</v>
      </c>
    </row>
    <row r="2346" spans="17:17" x14ac:dyDescent="0.3">
      <c r="Q2346" t="s">
        <v>2379</v>
      </c>
    </row>
    <row r="2347" spans="17:17" x14ac:dyDescent="0.3">
      <c r="Q2347" t="s">
        <v>2380</v>
      </c>
    </row>
    <row r="2348" spans="17:17" x14ac:dyDescent="0.3">
      <c r="Q2348" t="s">
        <v>2381</v>
      </c>
    </row>
    <row r="2349" spans="17:17" x14ac:dyDescent="0.3">
      <c r="Q2349" t="s">
        <v>2382</v>
      </c>
    </row>
    <row r="2350" spans="17:17" x14ac:dyDescent="0.3">
      <c r="Q2350" t="s">
        <v>2372</v>
      </c>
    </row>
    <row r="2351" spans="17:17" x14ac:dyDescent="0.3">
      <c r="Q2351" t="s">
        <v>2360</v>
      </c>
    </row>
    <row r="2352" spans="17:17" x14ac:dyDescent="0.3">
      <c r="Q2352" t="s">
        <v>2311</v>
      </c>
    </row>
    <row r="2353" spans="17:17" x14ac:dyDescent="0.3">
      <c r="Q2353" t="s">
        <v>2257</v>
      </c>
    </row>
    <row r="2354" spans="17:17" x14ac:dyDescent="0.3">
      <c r="Q2354" t="s">
        <v>2383</v>
      </c>
    </row>
    <row r="2355" spans="17:17" x14ac:dyDescent="0.3">
      <c r="Q2355" t="s">
        <v>2384</v>
      </c>
    </row>
    <row r="2356" spans="17:17" x14ac:dyDescent="0.3">
      <c r="Q2356" t="s">
        <v>2385</v>
      </c>
    </row>
    <row r="2357" spans="17:17" x14ac:dyDescent="0.3">
      <c r="Q2357" t="s">
        <v>2386</v>
      </c>
    </row>
    <row r="2358" spans="17:17" x14ac:dyDescent="0.3">
      <c r="Q2358" t="s">
        <v>2378</v>
      </c>
    </row>
    <row r="2359" spans="17:17" x14ac:dyDescent="0.3">
      <c r="Q2359" t="s">
        <v>2387</v>
      </c>
    </row>
    <row r="2360" spans="17:17" x14ac:dyDescent="0.3">
      <c r="Q2360" t="s">
        <v>2363</v>
      </c>
    </row>
    <row r="2361" spans="17:17" x14ac:dyDescent="0.3">
      <c r="Q2361" t="s">
        <v>2388</v>
      </c>
    </row>
    <row r="2362" spans="17:17" x14ac:dyDescent="0.3">
      <c r="Q2362" t="s">
        <v>2389</v>
      </c>
    </row>
    <row r="2363" spans="17:17" x14ac:dyDescent="0.3">
      <c r="Q2363" t="s">
        <v>2390</v>
      </c>
    </row>
    <row r="2364" spans="17:17" x14ac:dyDescent="0.3">
      <c r="Q2364" t="s">
        <v>2391</v>
      </c>
    </row>
    <row r="2365" spans="17:17" x14ac:dyDescent="0.3">
      <c r="Q2365" t="s">
        <v>2392</v>
      </c>
    </row>
    <row r="2366" spans="17:17" x14ac:dyDescent="0.3">
      <c r="Q2366" t="s">
        <v>2393</v>
      </c>
    </row>
    <row r="2367" spans="17:17" x14ac:dyDescent="0.3">
      <c r="Q2367" t="s">
        <v>2353</v>
      </c>
    </row>
    <row r="2368" spans="17:17" x14ac:dyDescent="0.3">
      <c r="Q2368" t="s">
        <v>2394</v>
      </c>
    </row>
    <row r="2369" spans="17:17" x14ac:dyDescent="0.3">
      <c r="Q2369" t="s">
        <v>2395</v>
      </c>
    </row>
    <row r="2370" spans="17:17" x14ac:dyDescent="0.3">
      <c r="Q2370" t="s">
        <v>2396</v>
      </c>
    </row>
    <row r="2371" spans="17:17" x14ac:dyDescent="0.3">
      <c r="Q2371" t="s">
        <v>2397</v>
      </c>
    </row>
    <row r="2372" spans="17:17" x14ac:dyDescent="0.3">
      <c r="Q2372" t="s">
        <v>2398</v>
      </c>
    </row>
    <row r="2373" spans="17:17" x14ac:dyDescent="0.3">
      <c r="Q2373" t="s">
        <v>2399</v>
      </c>
    </row>
    <row r="2374" spans="17:17" x14ac:dyDescent="0.3">
      <c r="Q2374" t="s">
        <v>2400</v>
      </c>
    </row>
    <row r="2375" spans="17:17" x14ac:dyDescent="0.3">
      <c r="Q2375" t="s">
        <v>2400</v>
      </c>
    </row>
    <row r="2376" spans="17:17" x14ac:dyDescent="0.3">
      <c r="Q2376" t="s">
        <v>2401</v>
      </c>
    </row>
    <row r="2377" spans="17:17" x14ac:dyDescent="0.3">
      <c r="Q2377" t="s">
        <v>2400</v>
      </c>
    </row>
    <row r="2378" spans="17:17" x14ac:dyDescent="0.3">
      <c r="Q2378" t="s">
        <v>2402</v>
      </c>
    </row>
    <row r="2379" spans="17:17" x14ac:dyDescent="0.3">
      <c r="Q2379" t="s">
        <v>2403</v>
      </c>
    </row>
    <row r="2380" spans="17:17" x14ac:dyDescent="0.3">
      <c r="Q2380" t="s">
        <v>2404</v>
      </c>
    </row>
    <row r="2381" spans="17:17" x14ac:dyDescent="0.3">
      <c r="Q2381" t="s">
        <v>2404</v>
      </c>
    </row>
    <row r="2382" spans="17:17" x14ac:dyDescent="0.3">
      <c r="Q2382" t="s">
        <v>2405</v>
      </c>
    </row>
    <row r="2383" spans="17:17" x14ac:dyDescent="0.3">
      <c r="Q2383" t="s">
        <v>2406</v>
      </c>
    </row>
    <row r="2384" spans="17:17" x14ac:dyDescent="0.3">
      <c r="Q2384" t="s">
        <v>2407</v>
      </c>
    </row>
    <row r="2385" spans="17:17" x14ac:dyDescent="0.3">
      <c r="Q2385" t="s">
        <v>2408</v>
      </c>
    </row>
    <row r="2386" spans="17:17" x14ac:dyDescent="0.3">
      <c r="Q2386" t="s">
        <v>2409</v>
      </c>
    </row>
    <row r="2387" spans="17:17" x14ac:dyDescent="0.3">
      <c r="Q2387" t="s">
        <v>2410</v>
      </c>
    </row>
    <row r="2388" spans="17:17" x14ac:dyDescent="0.3">
      <c r="Q2388" t="s">
        <v>2411</v>
      </c>
    </row>
    <row r="2389" spans="17:17" x14ac:dyDescent="0.3">
      <c r="Q2389" t="s">
        <v>2412</v>
      </c>
    </row>
    <row r="2390" spans="17:17" x14ac:dyDescent="0.3">
      <c r="Q2390" t="s">
        <v>2413</v>
      </c>
    </row>
    <row r="2391" spans="17:17" x14ac:dyDescent="0.3">
      <c r="Q2391" t="s">
        <v>2414</v>
      </c>
    </row>
    <row r="2392" spans="17:17" x14ac:dyDescent="0.3">
      <c r="Q2392" t="s">
        <v>2415</v>
      </c>
    </row>
    <row r="2393" spans="17:17" x14ac:dyDescent="0.3">
      <c r="Q2393" t="s">
        <v>2416</v>
      </c>
    </row>
    <row r="2394" spans="17:17" x14ac:dyDescent="0.3">
      <c r="Q2394" t="s">
        <v>2417</v>
      </c>
    </row>
    <row r="2395" spans="17:17" x14ac:dyDescent="0.3">
      <c r="Q2395" t="s">
        <v>2418</v>
      </c>
    </row>
    <row r="2396" spans="17:17" x14ac:dyDescent="0.3">
      <c r="Q2396" t="s">
        <v>2419</v>
      </c>
    </row>
    <row r="2397" spans="17:17" x14ac:dyDescent="0.3">
      <c r="Q2397" t="s">
        <v>2420</v>
      </c>
    </row>
    <row r="2398" spans="17:17" x14ac:dyDescent="0.3">
      <c r="Q2398" t="s">
        <v>939</v>
      </c>
    </row>
    <row r="2399" spans="17:17" x14ac:dyDescent="0.3">
      <c r="Q2399" t="s">
        <v>940</v>
      </c>
    </row>
    <row r="2400" spans="17:17" x14ac:dyDescent="0.3">
      <c r="Q2400" t="s">
        <v>2421</v>
      </c>
    </row>
    <row r="2401" spans="17:17" x14ac:dyDescent="0.3">
      <c r="Q2401" t="s">
        <v>2422</v>
      </c>
    </row>
    <row r="2402" spans="17:17" x14ac:dyDescent="0.3">
      <c r="Q2402" t="s">
        <v>2418</v>
      </c>
    </row>
    <row r="2403" spans="17:17" x14ac:dyDescent="0.3">
      <c r="Q2403" t="s">
        <v>2423</v>
      </c>
    </row>
    <row r="2404" spans="17:17" x14ac:dyDescent="0.3">
      <c r="Q2404" t="s">
        <v>2424</v>
      </c>
    </row>
    <row r="2405" spans="17:17" x14ac:dyDescent="0.3">
      <c r="Q2405" t="s">
        <v>2357</v>
      </c>
    </row>
    <row r="2406" spans="17:17" x14ac:dyDescent="0.3">
      <c r="Q2406" t="s">
        <v>2425</v>
      </c>
    </row>
    <row r="2407" spans="17:17" x14ac:dyDescent="0.3">
      <c r="Q2407" t="s">
        <v>2426</v>
      </c>
    </row>
    <row r="2408" spans="17:17" x14ac:dyDescent="0.3">
      <c r="Q2408" t="s">
        <v>2427</v>
      </c>
    </row>
    <row r="2409" spans="17:17" x14ac:dyDescent="0.3">
      <c r="Q2409" t="s">
        <v>2428</v>
      </c>
    </row>
    <row r="2410" spans="17:17" x14ac:dyDescent="0.3">
      <c r="Q2410" t="s">
        <v>2429</v>
      </c>
    </row>
    <row r="2411" spans="17:17" x14ac:dyDescent="0.3">
      <c r="Q2411" t="s">
        <v>2430</v>
      </c>
    </row>
    <row r="2412" spans="17:17" x14ac:dyDescent="0.3">
      <c r="Q2412" t="s">
        <v>2431</v>
      </c>
    </row>
    <row r="2413" spans="17:17" x14ac:dyDescent="0.3">
      <c r="Q2413" t="s">
        <v>2432</v>
      </c>
    </row>
    <row r="2414" spans="17:17" x14ac:dyDescent="0.3">
      <c r="Q2414" t="s">
        <v>2433</v>
      </c>
    </row>
    <row r="2415" spans="17:17" x14ac:dyDescent="0.3">
      <c r="Q2415" t="s">
        <v>2434</v>
      </c>
    </row>
    <row r="2416" spans="17:17" x14ac:dyDescent="0.3">
      <c r="Q2416" t="s">
        <v>2435</v>
      </c>
    </row>
    <row r="2417" spans="17:17" x14ac:dyDescent="0.3">
      <c r="Q2417" t="s">
        <v>2434</v>
      </c>
    </row>
    <row r="2418" spans="17:17" x14ac:dyDescent="0.3">
      <c r="Q2418" t="s">
        <v>2436</v>
      </c>
    </row>
    <row r="2419" spans="17:17" x14ac:dyDescent="0.3">
      <c r="Q2419" t="s">
        <v>2437</v>
      </c>
    </row>
    <row r="2420" spans="17:17" x14ac:dyDescent="0.3">
      <c r="Q2420" t="s">
        <v>2438</v>
      </c>
    </row>
    <row r="2421" spans="17:17" x14ac:dyDescent="0.3">
      <c r="Q2421" t="s">
        <v>2439</v>
      </c>
    </row>
    <row r="2422" spans="17:17" x14ac:dyDescent="0.3">
      <c r="Q2422" t="s">
        <v>2440</v>
      </c>
    </row>
    <row r="2423" spans="17:17" x14ac:dyDescent="0.3">
      <c r="Q2423" t="s">
        <v>2441</v>
      </c>
    </row>
    <row r="2424" spans="17:17" x14ac:dyDescent="0.3">
      <c r="Q2424" t="s">
        <v>2442</v>
      </c>
    </row>
    <row r="2425" spans="17:17" x14ac:dyDescent="0.3">
      <c r="Q2425" t="s">
        <v>2443</v>
      </c>
    </row>
    <row r="2426" spans="17:17" x14ac:dyDescent="0.3">
      <c r="Q2426" t="s">
        <v>2444</v>
      </c>
    </row>
    <row r="2427" spans="17:17" x14ac:dyDescent="0.3">
      <c r="Q2427" t="s">
        <v>2445</v>
      </c>
    </row>
    <row r="2428" spans="17:17" x14ac:dyDescent="0.3">
      <c r="Q2428" t="s">
        <v>2446</v>
      </c>
    </row>
    <row r="2429" spans="17:17" x14ac:dyDescent="0.3">
      <c r="Q2429" t="s">
        <v>2447</v>
      </c>
    </row>
    <row r="2430" spans="17:17" x14ac:dyDescent="0.3">
      <c r="Q2430" t="s">
        <v>2448</v>
      </c>
    </row>
    <row r="2431" spans="17:17" x14ac:dyDescent="0.3">
      <c r="Q2431" t="s">
        <v>2449</v>
      </c>
    </row>
    <row r="2432" spans="17:17" x14ac:dyDescent="0.3">
      <c r="Q2432" t="s">
        <v>2421</v>
      </c>
    </row>
    <row r="2433" spans="17:17" x14ac:dyDescent="0.3">
      <c r="Q2433" t="s">
        <v>2424</v>
      </c>
    </row>
    <row r="2434" spans="17:17" x14ac:dyDescent="0.3">
      <c r="Q2434" t="s">
        <v>2450</v>
      </c>
    </row>
    <row r="2435" spans="17:17" x14ac:dyDescent="0.3">
      <c r="Q2435" t="s">
        <v>2451</v>
      </c>
    </row>
    <row r="2436" spans="17:17" x14ac:dyDescent="0.3">
      <c r="Q2436" t="s">
        <v>2452</v>
      </c>
    </row>
    <row r="2437" spans="17:17" x14ac:dyDescent="0.3">
      <c r="Q2437" t="s">
        <v>2453</v>
      </c>
    </row>
    <row r="2438" spans="17:17" x14ac:dyDescent="0.3">
      <c r="Q2438" t="s">
        <v>2454</v>
      </c>
    </row>
    <row r="2439" spans="17:17" x14ac:dyDescent="0.3">
      <c r="Q2439" t="s">
        <v>2455</v>
      </c>
    </row>
    <row r="2440" spans="17:17" x14ac:dyDescent="0.3">
      <c r="Q2440" t="s">
        <v>2456</v>
      </c>
    </row>
    <row r="2441" spans="17:17" x14ac:dyDescent="0.3">
      <c r="Q2441" t="s">
        <v>2457</v>
      </c>
    </row>
    <row r="2442" spans="17:17" x14ac:dyDescent="0.3">
      <c r="Q2442" t="s">
        <v>2458</v>
      </c>
    </row>
    <row r="2443" spans="17:17" x14ac:dyDescent="0.3">
      <c r="Q2443" t="s">
        <v>2459</v>
      </c>
    </row>
    <row r="2444" spans="17:17" x14ac:dyDescent="0.3">
      <c r="Q2444" t="s">
        <v>2460</v>
      </c>
    </row>
    <row r="2445" spans="17:17" x14ac:dyDescent="0.3">
      <c r="Q2445" t="s">
        <v>2461</v>
      </c>
    </row>
    <row r="2446" spans="17:17" x14ac:dyDescent="0.3">
      <c r="Q2446" t="s">
        <v>2462</v>
      </c>
    </row>
    <row r="2447" spans="17:17" x14ac:dyDescent="0.3">
      <c r="Q2447" t="s">
        <v>2459</v>
      </c>
    </row>
    <row r="2448" spans="17:17" x14ac:dyDescent="0.3">
      <c r="Q2448" t="s">
        <v>2463</v>
      </c>
    </row>
    <row r="2449" spans="17:17" x14ac:dyDescent="0.3">
      <c r="Q2449" t="s">
        <v>2464</v>
      </c>
    </row>
    <row r="2450" spans="17:17" x14ac:dyDescent="0.3">
      <c r="Q2450" t="s">
        <v>2465</v>
      </c>
    </row>
    <row r="2451" spans="17:17" x14ac:dyDescent="0.3">
      <c r="Q2451" t="s">
        <v>2466</v>
      </c>
    </row>
    <row r="2452" spans="17:17" x14ac:dyDescent="0.3">
      <c r="Q2452" t="s">
        <v>2467</v>
      </c>
    </row>
    <row r="2453" spans="17:17" x14ac:dyDescent="0.3">
      <c r="Q2453" t="s">
        <v>2468</v>
      </c>
    </row>
    <row r="2454" spans="17:17" x14ac:dyDescent="0.3">
      <c r="Q2454" t="s">
        <v>2469</v>
      </c>
    </row>
    <row r="2455" spans="17:17" x14ac:dyDescent="0.3">
      <c r="Q2455" t="s">
        <v>2470</v>
      </c>
    </row>
    <row r="2456" spans="17:17" x14ac:dyDescent="0.3">
      <c r="Q2456" t="s">
        <v>2471</v>
      </c>
    </row>
    <row r="2457" spans="17:17" x14ac:dyDescent="0.3">
      <c r="Q2457" t="s">
        <v>2472</v>
      </c>
    </row>
    <row r="2458" spans="17:17" x14ac:dyDescent="0.3">
      <c r="Q2458" t="s">
        <v>2473</v>
      </c>
    </row>
    <row r="2459" spans="17:17" x14ac:dyDescent="0.3">
      <c r="Q2459" t="s">
        <v>2474</v>
      </c>
    </row>
    <row r="2460" spans="17:17" x14ac:dyDescent="0.3">
      <c r="Q2460" t="s">
        <v>2475</v>
      </c>
    </row>
    <row r="2461" spans="17:17" x14ac:dyDescent="0.3">
      <c r="Q2461" t="s">
        <v>2476</v>
      </c>
    </row>
    <row r="2462" spans="17:17" x14ac:dyDescent="0.3">
      <c r="Q2462" t="s">
        <v>2457</v>
      </c>
    </row>
    <row r="2463" spans="17:17" x14ac:dyDescent="0.3">
      <c r="Q2463" t="s">
        <v>2477</v>
      </c>
    </row>
    <row r="2464" spans="17:17" x14ac:dyDescent="0.3">
      <c r="Q2464" t="s">
        <v>2477</v>
      </c>
    </row>
    <row r="2465" spans="17:17" x14ac:dyDescent="0.3">
      <c r="Q2465" t="s">
        <v>2478</v>
      </c>
    </row>
    <row r="2466" spans="17:17" x14ac:dyDescent="0.3">
      <c r="Q2466" t="s">
        <v>2479</v>
      </c>
    </row>
    <row r="2467" spans="17:17" x14ac:dyDescent="0.3">
      <c r="Q2467" t="s">
        <v>2480</v>
      </c>
    </row>
    <row r="2468" spans="17:17" x14ac:dyDescent="0.3">
      <c r="Q2468" t="s">
        <v>2481</v>
      </c>
    </row>
    <row r="2469" spans="17:17" x14ac:dyDescent="0.3">
      <c r="Q2469" t="s">
        <v>2482</v>
      </c>
    </row>
    <row r="2470" spans="17:17" x14ac:dyDescent="0.3">
      <c r="Q2470" t="s">
        <v>2483</v>
      </c>
    </row>
    <row r="2471" spans="17:17" x14ac:dyDescent="0.3">
      <c r="Q2471" t="s">
        <v>2484</v>
      </c>
    </row>
    <row r="2472" spans="17:17" x14ac:dyDescent="0.3">
      <c r="Q2472" t="s">
        <v>2485</v>
      </c>
    </row>
    <row r="2473" spans="17:17" x14ac:dyDescent="0.3">
      <c r="Q2473" t="s">
        <v>2486</v>
      </c>
    </row>
    <row r="2474" spans="17:17" x14ac:dyDescent="0.3">
      <c r="Q2474" t="s">
        <v>2487</v>
      </c>
    </row>
    <row r="2475" spans="17:17" x14ac:dyDescent="0.3">
      <c r="Q2475" t="s">
        <v>2488</v>
      </c>
    </row>
    <row r="2476" spans="17:17" x14ac:dyDescent="0.3">
      <c r="Q2476" t="s">
        <v>2489</v>
      </c>
    </row>
    <row r="2477" spans="17:17" x14ac:dyDescent="0.3">
      <c r="Q2477" t="s">
        <v>2490</v>
      </c>
    </row>
    <row r="2478" spans="17:17" x14ac:dyDescent="0.3">
      <c r="Q2478" t="s">
        <v>2491</v>
      </c>
    </row>
    <row r="2479" spans="17:17" x14ac:dyDescent="0.3">
      <c r="Q2479" t="s">
        <v>2492</v>
      </c>
    </row>
    <row r="2480" spans="17:17" x14ac:dyDescent="0.3">
      <c r="Q2480" t="s">
        <v>2493</v>
      </c>
    </row>
    <row r="2481" spans="17:17" x14ac:dyDescent="0.3">
      <c r="Q2481" t="s">
        <v>2431</v>
      </c>
    </row>
    <row r="2482" spans="17:17" x14ac:dyDescent="0.3">
      <c r="Q2482" t="s">
        <v>2494</v>
      </c>
    </row>
    <row r="2483" spans="17:17" x14ac:dyDescent="0.3">
      <c r="Q2483" t="s">
        <v>2495</v>
      </c>
    </row>
    <row r="2484" spans="17:17" x14ac:dyDescent="0.3">
      <c r="Q2484" t="s">
        <v>2496</v>
      </c>
    </row>
    <row r="2485" spans="17:17" x14ac:dyDescent="0.3">
      <c r="Q2485" t="s">
        <v>2497</v>
      </c>
    </row>
    <row r="2486" spans="17:17" x14ac:dyDescent="0.3">
      <c r="Q2486" t="s">
        <v>2483</v>
      </c>
    </row>
    <row r="2487" spans="17:17" x14ac:dyDescent="0.3">
      <c r="Q2487" t="s">
        <v>2498</v>
      </c>
    </row>
    <row r="2488" spans="17:17" x14ac:dyDescent="0.3">
      <c r="Q2488" t="s">
        <v>2499</v>
      </c>
    </row>
    <row r="2489" spans="17:17" x14ac:dyDescent="0.3">
      <c r="Q2489" t="s">
        <v>2468</v>
      </c>
    </row>
    <row r="2490" spans="17:17" x14ac:dyDescent="0.3">
      <c r="Q2490" t="s">
        <v>2498</v>
      </c>
    </row>
    <row r="2491" spans="17:17" x14ac:dyDescent="0.3">
      <c r="Q2491" t="s">
        <v>2500</v>
      </c>
    </row>
    <row r="2492" spans="17:17" x14ac:dyDescent="0.3">
      <c r="Q2492" t="s">
        <v>2501</v>
      </c>
    </row>
    <row r="2493" spans="17:17" x14ac:dyDescent="0.3">
      <c r="Q2493" t="s">
        <v>2485</v>
      </c>
    </row>
    <row r="2494" spans="17:17" x14ac:dyDescent="0.3">
      <c r="Q2494" t="s">
        <v>2502</v>
      </c>
    </row>
    <row r="2495" spans="17:17" x14ac:dyDescent="0.3">
      <c r="Q2495" t="s">
        <v>2482</v>
      </c>
    </row>
    <row r="2496" spans="17:17" x14ac:dyDescent="0.3">
      <c r="Q2496" t="s">
        <v>2503</v>
      </c>
    </row>
    <row r="2497" spans="17:17" x14ac:dyDescent="0.3">
      <c r="Q2497" t="s">
        <v>2504</v>
      </c>
    </row>
    <row r="2498" spans="17:17" x14ac:dyDescent="0.3">
      <c r="Q2498" t="s">
        <v>2505</v>
      </c>
    </row>
    <row r="2499" spans="17:17" x14ac:dyDescent="0.3">
      <c r="Q2499" t="s">
        <v>2465</v>
      </c>
    </row>
    <row r="2500" spans="17:17" x14ac:dyDescent="0.3">
      <c r="Q2500" t="s">
        <v>2506</v>
      </c>
    </row>
    <row r="2501" spans="17:17" x14ac:dyDescent="0.3">
      <c r="Q2501" t="s">
        <v>2507</v>
      </c>
    </row>
    <row r="2502" spans="17:17" x14ac:dyDescent="0.3">
      <c r="Q2502" t="s">
        <v>2508</v>
      </c>
    </row>
    <row r="2503" spans="17:17" x14ac:dyDescent="0.3">
      <c r="Q2503" t="s">
        <v>2509</v>
      </c>
    </row>
    <row r="2504" spans="17:17" x14ac:dyDescent="0.3">
      <c r="Q2504" t="s">
        <v>2510</v>
      </c>
    </row>
    <row r="2505" spans="17:17" x14ac:dyDescent="0.3">
      <c r="Q2505" t="s">
        <v>2511</v>
      </c>
    </row>
    <row r="2506" spans="17:17" x14ac:dyDescent="0.3">
      <c r="Q2506" t="s">
        <v>2512</v>
      </c>
    </row>
    <row r="2507" spans="17:17" x14ac:dyDescent="0.3">
      <c r="Q2507" t="s">
        <v>2513</v>
      </c>
    </row>
    <row r="2508" spans="17:17" x14ac:dyDescent="0.3">
      <c r="Q2508" t="s">
        <v>2514</v>
      </c>
    </row>
    <row r="2509" spans="17:17" x14ac:dyDescent="0.3">
      <c r="Q2509" t="s">
        <v>2515</v>
      </c>
    </row>
    <row r="2510" spans="17:17" x14ac:dyDescent="0.3">
      <c r="Q2510" t="s">
        <v>2516</v>
      </c>
    </row>
    <row r="2511" spans="17:17" x14ac:dyDescent="0.3">
      <c r="Q2511" t="s">
        <v>2517</v>
      </c>
    </row>
    <row r="2512" spans="17:17" x14ac:dyDescent="0.3">
      <c r="Q2512" t="s">
        <v>2518</v>
      </c>
    </row>
    <row r="2513" spans="17:17" x14ac:dyDescent="0.3">
      <c r="Q2513" t="s">
        <v>2519</v>
      </c>
    </row>
    <row r="2514" spans="17:17" x14ac:dyDescent="0.3">
      <c r="Q2514" t="s">
        <v>2520</v>
      </c>
    </row>
    <row r="2515" spans="17:17" x14ac:dyDescent="0.3">
      <c r="Q2515" t="s">
        <v>2521</v>
      </c>
    </row>
    <row r="2516" spans="17:17" x14ac:dyDescent="0.3">
      <c r="Q2516" t="s">
        <v>2522</v>
      </c>
    </row>
    <row r="2517" spans="17:17" x14ac:dyDescent="0.3">
      <c r="Q2517" t="s">
        <v>2523</v>
      </c>
    </row>
    <row r="2518" spans="17:17" x14ac:dyDescent="0.3">
      <c r="Q2518" t="s">
        <v>2524</v>
      </c>
    </row>
    <row r="2519" spans="17:17" x14ac:dyDescent="0.3">
      <c r="Q2519" t="s">
        <v>2525</v>
      </c>
    </row>
    <row r="2520" spans="17:17" x14ac:dyDescent="0.3">
      <c r="Q2520" t="s">
        <v>2526</v>
      </c>
    </row>
    <row r="2521" spans="17:17" x14ac:dyDescent="0.3">
      <c r="Q2521" t="s">
        <v>2491</v>
      </c>
    </row>
    <row r="2522" spans="17:17" x14ac:dyDescent="0.3">
      <c r="Q2522" t="s">
        <v>2492</v>
      </c>
    </row>
    <row r="2523" spans="17:17" x14ac:dyDescent="0.3">
      <c r="Q2523" t="s">
        <v>2493</v>
      </c>
    </row>
    <row r="2524" spans="17:17" x14ac:dyDescent="0.3">
      <c r="Q2524" t="s">
        <v>2498</v>
      </c>
    </row>
    <row r="2525" spans="17:17" x14ac:dyDescent="0.3">
      <c r="Q2525" t="s">
        <v>2527</v>
      </c>
    </row>
    <row r="2526" spans="17:17" x14ac:dyDescent="0.3">
      <c r="Q2526" t="s">
        <v>2528</v>
      </c>
    </row>
    <row r="2527" spans="17:17" x14ac:dyDescent="0.3">
      <c r="Q2527" t="s">
        <v>2529</v>
      </c>
    </row>
    <row r="2528" spans="17:17" x14ac:dyDescent="0.3">
      <c r="Q2528" t="s">
        <v>2457</v>
      </c>
    </row>
    <row r="2529" spans="17:17" x14ac:dyDescent="0.3">
      <c r="Q2529" t="s">
        <v>2530</v>
      </c>
    </row>
    <row r="2530" spans="17:17" x14ac:dyDescent="0.3">
      <c r="Q2530" t="s">
        <v>2474</v>
      </c>
    </row>
    <row r="2531" spans="17:17" x14ac:dyDescent="0.3">
      <c r="Q2531" t="s">
        <v>2531</v>
      </c>
    </row>
    <row r="2532" spans="17:17" x14ac:dyDescent="0.3">
      <c r="Q2532" t="s">
        <v>2532</v>
      </c>
    </row>
    <row r="2533" spans="17:17" x14ac:dyDescent="0.3">
      <c r="Q2533" t="s">
        <v>2533</v>
      </c>
    </row>
    <row r="2534" spans="17:17" x14ac:dyDescent="0.3">
      <c r="Q2534" t="s">
        <v>2534</v>
      </c>
    </row>
    <row r="2535" spans="17:17" x14ac:dyDescent="0.3">
      <c r="Q2535" t="s">
        <v>2475</v>
      </c>
    </row>
    <row r="2536" spans="17:17" x14ac:dyDescent="0.3">
      <c r="Q2536" t="s">
        <v>2535</v>
      </c>
    </row>
    <row r="2537" spans="17:17" x14ac:dyDescent="0.3">
      <c r="Q2537" t="s">
        <v>2536</v>
      </c>
    </row>
    <row r="2538" spans="17:17" x14ac:dyDescent="0.3">
      <c r="Q2538" t="s">
        <v>2537</v>
      </c>
    </row>
    <row r="2539" spans="17:17" x14ac:dyDescent="0.3">
      <c r="Q2539" t="s">
        <v>2538</v>
      </c>
    </row>
    <row r="2540" spans="17:17" x14ac:dyDescent="0.3">
      <c r="Q2540" t="s">
        <v>2539</v>
      </c>
    </row>
    <row r="2541" spans="17:17" x14ac:dyDescent="0.3">
      <c r="Q2541" t="s">
        <v>2540</v>
      </c>
    </row>
    <row r="2542" spans="17:17" x14ac:dyDescent="0.3">
      <c r="Q2542" t="s">
        <v>2541</v>
      </c>
    </row>
    <row r="2543" spans="17:17" x14ac:dyDescent="0.3">
      <c r="Q2543" t="s">
        <v>2542</v>
      </c>
    </row>
    <row r="2544" spans="17:17" x14ac:dyDescent="0.3">
      <c r="Q2544" t="s">
        <v>2543</v>
      </c>
    </row>
    <row r="2545" spans="17:17" x14ac:dyDescent="0.3">
      <c r="Q2545" t="s">
        <v>2544</v>
      </c>
    </row>
    <row r="2546" spans="17:17" x14ac:dyDescent="0.3">
      <c r="Q2546" t="s">
        <v>2545</v>
      </c>
    </row>
    <row r="2547" spans="17:17" x14ac:dyDescent="0.3">
      <c r="Q2547" t="s">
        <v>2546</v>
      </c>
    </row>
    <row r="2548" spans="17:17" x14ac:dyDescent="0.3">
      <c r="Q2548" t="s">
        <v>2547</v>
      </c>
    </row>
    <row r="2549" spans="17:17" x14ac:dyDescent="0.3">
      <c r="Q2549" t="s">
        <v>2548</v>
      </c>
    </row>
    <row r="2550" spans="17:17" x14ac:dyDescent="0.3">
      <c r="Q2550" t="s">
        <v>2549</v>
      </c>
    </row>
    <row r="2551" spans="17:17" x14ac:dyDescent="0.3">
      <c r="Q2551" t="s">
        <v>2550</v>
      </c>
    </row>
    <row r="2552" spans="17:17" x14ac:dyDescent="0.3">
      <c r="Q2552" t="s">
        <v>2550</v>
      </c>
    </row>
    <row r="2553" spans="17:17" x14ac:dyDescent="0.3">
      <c r="Q2553" t="s">
        <v>2551</v>
      </c>
    </row>
    <row r="2554" spans="17:17" x14ac:dyDescent="0.3">
      <c r="Q2554" t="s">
        <v>2552</v>
      </c>
    </row>
    <row r="2555" spans="17:17" x14ac:dyDescent="0.3">
      <c r="Q2555" t="s">
        <v>2553</v>
      </c>
    </row>
    <row r="2556" spans="17:17" x14ac:dyDescent="0.3">
      <c r="Q2556" t="s">
        <v>2554</v>
      </c>
    </row>
    <row r="2557" spans="17:17" x14ac:dyDescent="0.3">
      <c r="Q2557" t="s">
        <v>2555</v>
      </c>
    </row>
    <row r="2558" spans="17:17" x14ac:dyDescent="0.3">
      <c r="Q2558" t="s">
        <v>2556</v>
      </c>
    </row>
    <row r="2559" spans="17:17" x14ac:dyDescent="0.3">
      <c r="Q2559" t="s">
        <v>2557</v>
      </c>
    </row>
    <row r="2560" spans="17:17" x14ac:dyDescent="0.3">
      <c r="Q2560" t="s">
        <v>2558</v>
      </c>
    </row>
    <row r="2561" spans="17:17" x14ac:dyDescent="0.3">
      <c r="Q2561" t="s">
        <v>2559</v>
      </c>
    </row>
    <row r="2562" spans="17:17" x14ac:dyDescent="0.3">
      <c r="Q2562" t="s">
        <v>2560</v>
      </c>
    </row>
    <row r="2563" spans="17:17" x14ac:dyDescent="0.3">
      <c r="Q2563" t="s">
        <v>2015</v>
      </c>
    </row>
    <row r="2564" spans="17:17" x14ac:dyDescent="0.3">
      <c r="Q2564" t="s">
        <v>2561</v>
      </c>
    </row>
    <row r="2565" spans="17:17" x14ac:dyDescent="0.3">
      <c r="Q2565" t="s">
        <v>2562</v>
      </c>
    </row>
    <row r="2566" spans="17:17" x14ac:dyDescent="0.3">
      <c r="Q2566" t="s">
        <v>2541</v>
      </c>
    </row>
    <row r="2567" spans="17:17" x14ac:dyDescent="0.3">
      <c r="Q2567" t="s">
        <v>2563</v>
      </c>
    </row>
    <row r="2568" spans="17:17" x14ac:dyDescent="0.3">
      <c r="Q2568" t="s">
        <v>2564</v>
      </c>
    </row>
    <row r="2569" spans="17:17" x14ac:dyDescent="0.3">
      <c r="Q2569" t="s">
        <v>2565</v>
      </c>
    </row>
    <row r="2570" spans="17:17" x14ac:dyDescent="0.3">
      <c r="Q2570" t="s">
        <v>2566</v>
      </c>
    </row>
    <row r="2571" spans="17:17" x14ac:dyDescent="0.3">
      <c r="Q2571" t="s">
        <v>2029</v>
      </c>
    </row>
    <row r="2572" spans="17:17" x14ac:dyDescent="0.3">
      <c r="Q2572" t="s">
        <v>2567</v>
      </c>
    </row>
    <row r="2573" spans="17:17" x14ac:dyDescent="0.3">
      <c r="Q2573" t="s">
        <v>2568</v>
      </c>
    </row>
    <row r="2574" spans="17:17" x14ac:dyDescent="0.3">
      <c r="Q2574" t="s">
        <v>2569</v>
      </c>
    </row>
    <row r="2575" spans="17:17" x14ac:dyDescent="0.3">
      <c r="Q2575" t="s">
        <v>2570</v>
      </c>
    </row>
    <row r="2576" spans="17:17" x14ac:dyDescent="0.3">
      <c r="Q2576" t="s">
        <v>2571</v>
      </c>
    </row>
    <row r="2577" spans="17:17" x14ac:dyDescent="0.3">
      <c r="Q2577" t="s">
        <v>2572</v>
      </c>
    </row>
    <row r="2578" spans="17:17" x14ac:dyDescent="0.3">
      <c r="Q2578" t="s">
        <v>2573</v>
      </c>
    </row>
    <row r="2579" spans="17:17" x14ac:dyDescent="0.3">
      <c r="Q2579" t="s">
        <v>2574</v>
      </c>
    </row>
    <row r="2580" spans="17:17" x14ac:dyDescent="0.3">
      <c r="Q2580" t="s">
        <v>2575</v>
      </c>
    </row>
    <row r="2581" spans="17:17" x14ac:dyDescent="0.3">
      <c r="Q2581" t="s">
        <v>2576</v>
      </c>
    </row>
    <row r="2582" spans="17:17" x14ac:dyDescent="0.3">
      <c r="Q2582" t="s">
        <v>2577</v>
      </c>
    </row>
    <row r="2583" spans="17:17" x14ac:dyDescent="0.3">
      <c r="Q2583" t="s">
        <v>2578</v>
      </c>
    </row>
    <row r="2584" spans="17:17" x14ac:dyDescent="0.3">
      <c r="Q2584" t="s">
        <v>2579</v>
      </c>
    </row>
    <row r="2585" spans="17:17" x14ac:dyDescent="0.3">
      <c r="Q2585" t="s">
        <v>2580</v>
      </c>
    </row>
    <row r="2586" spans="17:17" x14ac:dyDescent="0.3">
      <c r="Q2586" t="s">
        <v>2581</v>
      </c>
    </row>
    <row r="2587" spans="17:17" x14ac:dyDescent="0.3">
      <c r="Q2587" t="s">
        <v>2582</v>
      </c>
    </row>
    <row r="2588" spans="17:17" x14ac:dyDescent="0.3">
      <c r="Q2588" t="s">
        <v>2583</v>
      </c>
    </row>
    <row r="2589" spans="17:17" x14ac:dyDescent="0.3">
      <c r="Q2589" t="s">
        <v>2584</v>
      </c>
    </row>
    <row r="2590" spans="17:17" x14ac:dyDescent="0.3">
      <c r="Q2590" t="s">
        <v>2585</v>
      </c>
    </row>
    <row r="2591" spans="17:17" x14ac:dyDescent="0.3">
      <c r="Q2591" t="s">
        <v>2586</v>
      </c>
    </row>
    <row r="2592" spans="17:17" x14ac:dyDescent="0.3">
      <c r="Q2592" t="s">
        <v>2587</v>
      </c>
    </row>
    <row r="2593" spans="17:17" x14ac:dyDescent="0.3">
      <c r="Q2593" t="s">
        <v>2588</v>
      </c>
    </row>
    <row r="2594" spans="17:17" x14ac:dyDescent="0.3">
      <c r="Q2594" t="s">
        <v>2589</v>
      </c>
    </row>
    <row r="2595" spans="17:17" x14ac:dyDescent="0.3">
      <c r="Q2595" t="s">
        <v>2590</v>
      </c>
    </row>
    <row r="2596" spans="17:17" x14ac:dyDescent="0.3">
      <c r="Q2596" t="s">
        <v>2591</v>
      </c>
    </row>
    <row r="2597" spans="17:17" x14ac:dyDescent="0.3">
      <c r="Q2597" t="s">
        <v>2592</v>
      </c>
    </row>
    <row r="2598" spans="17:17" x14ac:dyDescent="0.3">
      <c r="Q2598" t="s">
        <v>2593</v>
      </c>
    </row>
    <row r="2599" spans="17:17" x14ac:dyDescent="0.3">
      <c r="Q2599" t="s">
        <v>2594</v>
      </c>
    </row>
    <row r="2600" spans="17:17" x14ac:dyDescent="0.3">
      <c r="Q2600" t="s">
        <v>2595</v>
      </c>
    </row>
    <row r="2601" spans="17:17" x14ac:dyDescent="0.3">
      <c r="Q2601" t="s">
        <v>2596</v>
      </c>
    </row>
    <row r="2602" spans="17:17" x14ac:dyDescent="0.3">
      <c r="Q2602" t="s">
        <v>2597</v>
      </c>
    </row>
    <row r="2603" spans="17:17" x14ac:dyDescent="0.3">
      <c r="Q2603" t="s">
        <v>2598</v>
      </c>
    </row>
    <row r="2604" spans="17:17" x14ac:dyDescent="0.3">
      <c r="Q2604" t="s">
        <v>2599</v>
      </c>
    </row>
    <row r="2605" spans="17:17" x14ac:dyDescent="0.3">
      <c r="Q2605" t="s">
        <v>2600</v>
      </c>
    </row>
    <row r="2606" spans="17:17" x14ac:dyDescent="0.3">
      <c r="Q2606" t="s">
        <v>2601</v>
      </c>
    </row>
    <row r="2607" spans="17:17" x14ac:dyDescent="0.3">
      <c r="Q2607" t="s">
        <v>2602</v>
      </c>
    </row>
    <row r="2608" spans="17:17" x14ac:dyDescent="0.3">
      <c r="Q2608" t="s">
        <v>2603</v>
      </c>
    </row>
    <row r="2609" spans="17:17" x14ac:dyDescent="0.3">
      <c r="Q2609" t="s">
        <v>2604</v>
      </c>
    </row>
    <row r="2610" spans="17:17" x14ac:dyDescent="0.3">
      <c r="Q2610" t="s">
        <v>2605</v>
      </c>
    </row>
    <row r="2611" spans="17:17" x14ac:dyDescent="0.3">
      <c r="Q2611" t="s">
        <v>2606</v>
      </c>
    </row>
    <row r="2612" spans="17:17" x14ac:dyDescent="0.3">
      <c r="Q2612" t="s">
        <v>2607</v>
      </c>
    </row>
    <row r="2613" spans="17:17" x14ac:dyDescent="0.3">
      <c r="Q2613" t="s">
        <v>2608</v>
      </c>
    </row>
    <row r="2614" spans="17:17" x14ac:dyDescent="0.3">
      <c r="Q2614" t="s">
        <v>2609</v>
      </c>
    </row>
    <row r="2615" spans="17:17" x14ac:dyDescent="0.3">
      <c r="Q2615" t="s">
        <v>2610</v>
      </c>
    </row>
    <row r="2616" spans="17:17" x14ac:dyDescent="0.3">
      <c r="Q2616" t="s">
        <v>2611</v>
      </c>
    </row>
    <row r="2617" spans="17:17" x14ac:dyDescent="0.3">
      <c r="Q2617" t="s">
        <v>2612</v>
      </c>
    </row>
    <row r="2618" spans="17:17" x14ac:dyDescent="0.3">
      <c r="Q2618" t="s">
        <v>2613</v>
      </c>
    </row>
    <row r="2619" spans="17:17" x14ac:dyDescent="0.3">
      <c r="Q2619" t="s">
        <v>2614</v>
      </c>
    </row>
    <row r="2620" spans="17:17" x14ac:dyDescent="0.3">
      <c r="Q2620" t="s">
        <v>2615</v>
      </c>
    </row>
    <row r="2621" spans="17:17" x14ac:dyDescent="0.3">
      <c r="Q2621" t="s">
        <v>2616</v>
      </c>
    </row>
    <row r="2622" spans="17:17" x14ac:dyDescent="0.3">
      <c r="Q2622" t="s">
        <v>2617</v>
      </c>
    </row>
    <row r="2623" spans="17:17" x14ac:dyDescent="0.3">
      <c r="Q2623" t="s">
        <v>2618</v>
      </c>
    </row>
    <row r="2624" spans="17:17" x14ac:dyDescent="0.3">
      <c r="Q2624" t="s">
        <v>2579</v>
      </c>
    </row>
    <row r="2625" spans="17:17" x14ac:dyDescent="0.3">
      <c r="Q2625" t="s">
        <v>2619</v>
      </c>
    </row>
    <row r="2626" spans="17:17" x14ac:dyDescent="0.3">
      <c r="Q2626" t="s">
        <v>2620</v>
      </c>
    </row>
    <row r="2627" spans="17:17" x14ac:dyDescent="0.3">
      <c r="Q2627" t="s">
        <v>2621</v>
      </c>
    </row>
    <row r="2628" spans="17:17" x14ac:dyDescent="0.3">
      <c r="Q2628" t="s">
        <v>2622</v>
      </c>
    </row>
    <row r="2629" spans="17:17" x14ac:dyDescent="0.3">
      <c r="Q2629" t="s">
        <v>2623</v>
      </c>
    </row>
    <row r="2630" spans="17:17" x14ac:dyDescent="0.3">
      <c r="Q2630" t="s">
        <v>2624</v>
      </c>
    </row>
    <row r="2631" spans="17:17" x14ac:dyDescent="0.3">
      <c r="Q2631" t="s">
        <v>2625</v>
      </c>
    </row>
    <row r="2632" spans="17:17" x14ac:dyDescent="0.3">
      <c r="Q2632" t="s">
        <v>2626</v>
      </c>
    </row>
    <row r="2633" spans="17:17" x14ac:dyDescent="0.3">
      <c r="Q2633" t="s">
        <v>2627</v>
      </c>
    </row>
    <row r="2634" spans="17:17" x14ac:dyDescent="0.3">
      <c r="Q2634" t="s">
        <v>2623</v>
      </c>
    </row>
    <row r="2635" spans="17:17" x14ac:dyDescent="0.3">
      <c r="Q2635" t="s">
        <v>2628</v>
      </c>
    </row>
    <row r="2636" spans="17:17" x14ac:dyDescent="0.3">
      <c r="Q2636" t="s">
        <v>2590</v>
      </c>
    </row>
    <row r="2637" spans="17:17" x14ac:dyDescent="0.3">
      <c r="Q2637" t="s">
        <v>2595</v>
      </c>
    </row>
    <row r="2638" spans="17:17" x14ac:dyDescent="0.3">
      <c r="Q2638" t="s">
        <v>2629</v>
      </c>
    </row>
    <row r="2639" spans="17:17" x14ac:dyDescent="0.3">
      <c r="Q2639" t="s">
        <v>2595</v>
      </c>
    </row>
    <row r="2640" spans="17:17" x14ac:dyDescent="0.3">
      <c r="Q2640" t="s">
        <v>2589</v>
      </c>
    </row>
    <row r="2641" spans="17:17" x14ac:dyDescent="0.3">
      <c r="Q2641" t="s">
        <v>2590</v>
      </c>
    </row>
    <row r="2642" spans="17:17" x14ac:dyDescent="0.3">
      <c r="Q2642" t="s">
        <v>2630</v>
      </c>
    </row>
    <row r="2643" spans="17:17" x14ac:dyDescent="0.3">
      <c r="Q2643" t="s">
        <v>2631</v>
      </c>
    </row>
    <row r="2644" spans="17:17" x14ac:dyDescent="0.3">
      <c r="Q2644" t="s">
        <v>2632</v>
      </c>
    </row>
    <row r="2645" spans="17:17" x14ac:dyDescent="0.3">
      <c r="Q2645" t="s">
        <v>2633</v>
      </c>
    </row>
    <row r="2646" spans="17:17" x14ac:dyDescent="0.3">
      <c r="Q2646" t="s">
        <v>2634</v>
      </c>
    </row>
    <row r="2647" spans="17:17" x14ac:dyDescent="0.3">
      <c r="Q2647" t="s">
        <v>2635</v>
      </c>
    </row>
    <row r="2648" spans="17:17" x14ac:dyDescent="0.3">
      <c r="Q2648" t="s">
        <v>2636</v>
      </c>
    </row>
    <row r="2649" spans="17:17" x14ac:dyDescent="0.3">
      <c r="Q2649" t="s">
        <v>2637</v>
      </c>
    </row>
    <row r="2650" spans="17:17" x14ac:dyDescent="0.3">
      <c r="Q2650" t="s">
        <v>2635</v>
      </c>
    </row>
    <row r="2651" spans="17:17" x14ac:dyDescent="0.3">
      <c r="Q2651" t="s">
        <v>2638</v>
      </c>
    </row>
    <row r="2652" spans="17:17" x14ac:dyDescent="0.3">
      <c r="Q2652" t="s">
        <v>2639</v>
      </c>
    </row>
    <row r="2653" spans="17:17" x14ac:dyDescent="0.3">
      <c r="Q2653" t="s">
        <v>2640</v>
      </c>
    </row>
    <row r="2654" spans="17:17" x14ac:dyDescent="0.3">
      <c r="Q2654" t="s">
        <v>2640</v>
      </c>
    </row>
    <row r="2655" spans="17:17" x14ac:dyDescent="0.3">
      <c r="Q2655" t="s">
        <v>2641</v>
      </c>
    </row>
    <row r="2656" spans="17:17" x14ac:dyDescent="0.3">
      <c r="Q2656" t="s">
        <v>2642</v>
      </c>
    </row>
    <row r="2657" spans="17:17" x14ac:dyDescent="0.3">
      <c r="Q2657" t="s">
        <v>2643</v>
      </c>
    </row>
    <row r="2658" spans="17:17" x14ac:dyDescent="0.3">
      <c r="Q2658" t="s">
        <v>2644</v>
      </c>
    </row>
    <row r="2659" spans="17:17" x14ac:dyDescent="0.3">
      <c r="Q2659" t="s">
        <v>2645</v>
      </c>
    </row>
    <row r="2660" spans="17:17" x14ac:dyDescent="0.3">
      <c r="Q2660" t="s">
        <v>2646</v>
      </c>
    </row>
    <row r="2661" spans="17:17" x14ac:dyDescent="0.3">
      <c r="Q2661" t="s">
        <v>2647</v>
      </c>
    </row>
    <row r="2662" spans="17:17" x14ac:dyDescent="0.3">
      <c r="Q2662" t="s">
        <v>2601</v>
      </c>
    </row>
    <row r="2663" spans="17:17" x14ac:dyDescent="0.3">
      <c r="Q2663" t="s">
        <v>2602</v>
      </c>
    </row>
    <row r="2664" spans="17:17" x14ac:dyDescent="0.3">
      <c r="Q2664" t="s">
        <v>2648</v>
      </c>
    </row>
    <row r="2665" spans="17:17" x14ac:dyDescent="0.3">
      <c r="Q2665" t="s">
        <v>2649</v>
      </c>
    </row>
    <row r="2666" spans="17:17" x14ac:dyDescent="0.3">
      <c r="Q2666" t="s">
        <v>2587</v>
      </c>
    </row>
    <row r="2667" spans="17:17" x14ac:dyDescent="0.3">
      <c r="Q2667" t="s">
        <v>2650</v>
      </c>
    </row>
    <row r="2668" spans="17:17" x14ac:dyDescent="0.3">
      <c r="Q2668" t="s">
        <v>2651</v>
      </c>
    </row>
    <row r="2669" spans="17:17" x14ac:dyDescent="0.3">
      <c r="Q2669" t="s">
        <v>2643</v>
      </c>
    </row>
    <row r="2670" spans="17:17" x14ac:dyDescent="0.3">
      <c r="Q2670" t="s">
        <v>2652</v>
      </c>
    </row>
    <row r="2671" spans="17:17" x14ac:dyDescent="0.3">
      <c r="Q2671" t="s">
        <v>2640</v>
      </c>
    </row>
    <row r="2672" spans="17:17" x14ac:dyDescent="0.3">
      <c r="Q2672" t="s">
        <v>2652</v>
      </c>
    </row>
    <row r="2673" spans="17:17" x14ac:dyDescent="0.3">
      <c r="Q2673" t="s">
        <v>2653</v>
      </c>
    </row>
    <row r="2674" spans="17:17" x14ac:dyDescent="0.3">
      <c r="Q2674" t="s">
        <v>2654</v>
      </c>
    </row>
    <row r="2675" spans="17:17" x14ac:dyDescent="0.3">
      <c r="Q2675" t="s">
        <v>2655</v>
      </c>
    </row>
    <row r="2676" spans="17:17" x14ac:dyDescent="0.3">
      <c r="Q2676" t="s">
        <v>2656</v>
      </c>
    </row>
    <row r="2677" spans="17:17" x14ac:dyDescent="0.3">
      <c r="Q2677" t="s">
        <v>2657</v>
      </c>
    </row>
    <row r="2678" spans="17:17" x14ac:dyDescent="0.3">
      <c r="Q2678" t="s">
        <v>2658</v>
      </c>
    </row>
    <row r="2679" spans="17:17" x14ac:dyDescent="0.3">
      <c r="Q2679" t="s">
        <v>2659</v>
      </c>
    </row>
    <row r="2680" spans="17:17" x14ac:dyDescent="0.3">
      <c r="Q2680" t="s">
        <v>2660</v>
      </c>
    </row>
    <row r="2681" spans="17:17" x14ac:dyDescent="0.3">
      <c r="Q2681" t="s">
        <v>2661</v>
      </c>
    </row>
    <row r="2682" spans="17:17" x14ac:dyDescent="0.3">
      <c r="Q2682" t="s">
        <v>2662</v>
      </c>
    </row>
    <row r="2683" spans="17:17" x14ac:dyDescent="0.3">
      <c r="Q2683" t="s">
        <v>2663</v>
      </c>
    </row>
    <row r="2684" spans="17:17" x14ac:dyDescent="0.3">
      <c r="Q2684" t="s">
        <v>2664</v>
      </c>
    </row>
    <row r="2685" spans="17:17" x14ac:dyDescent="0.3">
      <c r="Q2685" t="s">
        <v>2665</v>
      </c>
    </row>
    <row r="2686" spans="17:17" x14ac:dyDescent="0.3">
      <c r="Q2686" t="s">
        <v>2666</v>
      </c>
    </row>
    <row r="2687" spans="17:17" x14ac:dyDescent="0.3">
      <c r="Q2687" t="s">
        <v>2667</v>
      </c>
    </row>
    <row r="2688" spans="17:17" x14ac:dyDescent="0.3">
      <c r="Q2688" t="s">
        <v>2668</v>
      </c>
    </row>
    <row r="2689" spans="17:17" x14ac:dyDescent="0.3">
      <c r="Q2689" t="s">
        <v>2669</v>
      </c>
    </row>
    <row r="2690" spans="17:17" x14ac:dyDescent="0.3">
      <c r="Q2690" t="s">
        <v>2670</v>
      </c>
    </row>
    <row r="2691" spans="17:17" x14ac:dyDescent="0.3">
      <c r="Q2691" t="s">
        <v>2671</v>
      </c>
    </row>
    <row r="2692" spans="17:17" x14ac:dyDescent="0.3">
      <c r="Q2692" t="s">
        <v>2672</v>
      </c>
    </row>
    <row r="2693" spans="17:17" x14ac:dyDescent="0.3">
      <c r="Q2693" t="s">
        <v>2673</v>
      </c>
    </row>
    <row r="2694" spans="17:17" x14ac:dyDescent="0.3">
      <c r="Q2694" t="s">
        <v>2674</v>
      </c>
    </row>
    <row r="2695" spans="17:17" x14ac:dyDescent="0.3">
      <c r="Q2695" t="s">
        <v>2675</v>
      </c>
    </row>
    <row r="2696" spans="17:17" x14ac:dyDescent="0.3">
      <c r="Q2696" t="s">
        <v>2676</v>
      </c>
    </row>
    <row r="2697" spans="17:17" x14ac:dyDescent="0.3">
      <c r="Q2697" t="s">
        <v>2677</v>
      </c>
    </row>
    <row r="2698" spans="17:17" x14ac:dyDescent="0.3">
      <c r="Q2698" t="s">
        <v>2678</v>
      </c>
    </row>
    <row r="2699" spans="17:17" x14ac:dyDescent="0.3">
      <c r="Q2699" t="s">
        <v>2659</v>
      </c>
    </row>
    <row r="2700" spans="17:17" x14ac:dyDescent="0.3">
      <c r="Q2700" t="s">
        <v>2679</v>
      </c>
    </row>
    <row r="2701" spans="17:17" x14ac:dyDescent="0.3">
      <c r="Q2701" t="s">
        <v>2680</v>
      </c>
    </row>
    <row r="2702" spans="17:17" x14ac:dyDescent="0.3">
      <c r="Q2702" t="s">
        <v>2681</v>
      </c>
    </row>
    <row r="2703" spans="17:17" x14ac:dyDescent="0.3">
      <c r="Q2703" t="s">
        <v>2682</v>
      </c>
    </row>
    <row r="2704" spans="17:17" x14ac:dyDescent="0.3">
      <c r="Q2704" t="s">
        <v>2683</v>
      </c>
    </row>
    <row r="2705" spans="17:17" x14ac:dyDescent="0.3">
      <c r="Q2705" t="s">
        <v>2684</v>
      </c>
    </row>
    <row r="2706" spans="17:17" x14ac:dyDescent="0.3">
      <c r="Q2706" t="s">
        <v>2685</v>
      </c>
    </row>
    <row r="2707" spans="17:17" x14ac:dyDescent="0.3">
      <c r="Q2707" t="s">
        <v>2686</v>
      </c>
    </row>
    <row r="2708" spans="17:17" x14ac:dyDescent="0.3">
      <c r="Q2708" t="s">
        <v>2687</v>
      </c>
    </row>
    <row r="2709" spans="17:17" x14ac:dyDescent="0.3">
      <c r="Q2709" t="s">
        <v>2688</v>
      </c>
    </row>
    <row r="2710" spans="17:17" x14ac:dyDescent="0.3">
      <c r="Q2710" t="s">
        <v>2689</v>
      </c>
    </row>
    <row r="2711" spans="17:17" x14ac:dyDescent="0.3">
      <c r="Q2711" t="s">
        <v>2690</v>
      </c>
    </row>
    <row r="2712" spans="17:17" x14ac:dyDescent="0.3">
      <c r="Q2712" t="s">
        <v>2691</v>
      </c>
    </row>
    <row r="2713" spans="17:17" x14ac:dyDescent="0.3">
      <c r="Q2713" t="s">
        <v>2692</v>
      </c>
    </row>
    <row r="2714" spans="17:17" x14ac:dyDescent="0.3">
      <c r="Q2714" t="s">
        <v>2693</v>
      </c>
    </row>
    <row r="2715" spans="17:17" x14ac:dyDescent="0.3">
      <c r="Q2715" t="s">
        <v>2694</v>
      </c>
    </row>
    <row r="2716" spans="17:17" x14ac:dyDescent="0.3">
      <c r="Q2716" t="s">
        <v>2695</v>
      </c>
    </row>
    <row r="2717" spans="17:17" x14ac:dyDescent="0.3">
      <c r="Q2717" t="s">
        <v>2696</v>
      </c>
    </row>
    <row r="2718" spans="17:17" x14ac:dyDescent="0.3">
      <c r="Q2718" t="s">
        <v>2697</v>
      </c>
    </row>
    <row r="2719" spans="17:17" x14ac:dyDescent="0.3">
      <c r="Q2719" t="s">
        <v>2698</v>
      </c>
    </row>
    <row r="2720" spans="17:17" x14ac:dyDescent="0.3">
      <c r="Q2720" t="s">
        <v>2699</v>
      </c>
    </row>
    <row r="2721" spans="17:17" x14ac:dyDescent="0.3">
      <c r="Q2721" t="s">
        <v>2700</v>
      </c>
    </row>
    <row r="2722" spans="17:17" x14ac:dyDescent="0.3">
      <c r="Q2722" t="s">
        <v>2701</v>
      </c>
    </row>
    <row r="2723" spans="17:17" x14ac:dyDescent="0.3">
      <c r="Q2723" t="s">
        <v>2702</v>
      </c>
    </row>
    <row r="2724" spans="17:17" x14ac:dyDescent="0.3">
      <c r="Q2724" t="s">
        <v>2703</v>
      </c>
    </row>
    <row r="2725" spans="17:17" x14ac:dyDescent="0.3">
      <c r="Q2725" t="s">
        <v>2704</v>
      </c>
    </row>
    <row r="2726" spans="17:17" x14ac:dyDescent="0.3">
      <c r="Q2726" t="s">
        <v>2705</v>
      </c>
    </row>
    <row r="2727" spans="17:17" x14ac:dyDescent="0.3">
      <c r="Q2727" t="s">
        <v>2706</v>
      </c>
    </row>
    <row r="2728" spans="17:17" x14ac:dyDescent="0.3">
      <c r="Q2728" t="s">
        <v>2707</v>
      </c>
    </row>
    <row r="2729" spans="17:17" x14ac:dyDescent="0.3">
      <c r="Q2729" t="s">
        <v>2708</v>
      </c>
    </row>
    <row r="2730" spans="17:17" x14ac:dyDescent="0.3">
      <c r="Q2730" t="s">
        <v>2709</v>
      </c>
    </row>
    <row r="2731" spans="17:17" x14ac:dyDescent="0.3">
      <c r="Q2731" t="s">
        <v>2710</v>
      </c>
    </row>
    <row r="2732" spans="17:17" x14ac:dyDescent="0.3">
      <c r="Q2732" t="s">
        <v>2711</v>
      </c>
    </row>
    <row r="2733" spans="17:17" x14ac:dyDescent="0.3">
      <c r="Q2733" t="s">
        <v>2712</v>
      </c>
    </row>
    <row r="2734" spans="17:17" x14ac:dyDescent="0.3">
      <c r="Q2734" t="s">
        <v>2713</v>
      </c>
    </row>
    <row r="2735" spans="17:17" x14ac:dyDescent="0.3">
      <c r="Q2735" t="s">
        <v>2711</v>
      </c>
    </row>
    <row r="2736" spans="17:17" x14ac:dyDescent="0.3">
      <c r="Q2736" t="s">
        <v>2714</v>
      </c>
    </row>
    <row r="2737" spans="17:17" x14ac:dyDescent="0.3">
      <c r="Q2737" t="s">
        <v>2715</v>
      </c>
    </row>
    <row r="2738" spans="17:17" x14ac:dyDescent="0.3">
      <c r="Q2738" t="s">
        <v>2716</v>
      </c>
    </row>
    <row r="2739" spans="17:17" x14ac:dyDescent="0.3">
      <c r="Q2739" t="s">
        <v>2715</v>
      </c>
    </row>
    <row r="2740" spans="17:17" x14ac:dyDescent="0.3">
      <c r="Q2740" t="s">
        <v>2717</v>
      </c>
    </row>
    <row r="2741" spans="17:17" x14ac:dyDescent="0.3">
      <c r="Q2741" t="s">
        <v>2715</v>
      </c>
    </row>
    <row r="2742" spans="17:17" x14ac:dyDescent="0.3">
      <c r="Q2742" t="s">
        <v>2707</v>
      </c>
    </row>
    <row r="2743" spans="17:17" x14ac:dyDescent="0.3">
      <c r="Q2743" t="s">
        <v>2718</v>
      </c>
    </row>
    <row r="2744" spans="17:17" x14ac:dyDescent="0.3">
      <c r="Q2744" t="s">
        <v>2714</v>
      </c>
    </row>
    <row r="2745" spans="17:17" x14ac:dyDescent="0.3">
      <c r="Q2745" t="s">
        <v>2719</v>
      </c>
    </row>
    <row r="2746" spans="17:17" x14ac:dyDescent="0.3">
      <c r="Q2746" t="s">
        <v>2717</v>
      </c>
    </row>
    <row r="2747" spans="17:17" x14ac:dyDescent="0.3">
      <c r="Q2747" t="s">
        <v>2715</v>
      </c>
    </row>
    <row r="2748" spans="17:17" x14ac:dyDescent="0.3">
      <c r="Q2748" t="s">
        <v>2711</v>
      </c>
    </row>
    <row r="2749" spans="17:17" x14ac:dyDescent="0.3">
      <c r="Q2749" t="s">
        <v>2720</v>
      </c>
    </row>
    <row r="2750" spans="17:17" x14ac:dyDescent="0.3">
      <c r="Q2750" t="s">
        <v>2721</v>
      </c>
    </row>
    <row r="2751" spans="17:17" x14ac:dyDescent="0.3">
      <c r="Q2751" t="s">
        <v>2720</v>
      </c>
    </row>
    <row r="2752" spans="17:17" x14ac:dyDescent="0.3">
      <c r="Q2752" t="s">
        <v>2718</v>
      </c>
    </row>
    <row r="2753" spans="17:17" x14ac:dyDescent="0.3">
      <c r="Q2753" t="s">
        <v>2722</v>
      </c>
    </row>
    <row r="2754" spans="17:17" x14ac:dyDescent="0.3">
      <c r="Q2754" t="s">
        <v>2723</v>
      </c>
    </row>
    <row r="2755" spans="17:17" x14ac:dyDescent="0.3">
      <c r="Q2755" t="s">
        <v>2724</v>
      </c>
    </row>
    <row r="2756" spans="17:17" x14ac:dyDescent="0.3">
      <c r="Q2756" t="s">
        <v>2717</v>
      </c>
    </row>
    <row r="2757" spans="17:17" x14ac:dyDescent="0.3">
      <c r="Q2757" t="s">
        <v>2715</v>
      </c>
    </row>
    <row r="2758" spans="17:17" x14ac:dyDescent="0.3">
      <c r="Q2758" t="s">
        <v>2718</v>
      </c>
    </row>
    <row r="2759" spans="17:17" x14ac:dyDescent="0.3">
      <c r="Q2759" t="s">
        <v>2718</v>
      </c>
    </row>
    <row r="2760" spans="17:17" x14ac:dyDescent="0.3">
      <c r="Q2760" t="s">
        <v>2720</v>
      </c>
    </row>
    <row r="2761" spans="17:17" x14ac:dyDescent="0.3">
      <c r="Q2761" t="s">
        <v>2725</v>
      </c>
    </row>
    <row r="2762" spans="17:17" x14ac:dyDescent="0.3">
      <c r="Q2762" t="s">
        <v>2726</v>
      </c>
    </row>
    <row r="2763" spans="17:17" x14ac:dyDescent="0.3">
      <c r="Q2763" t="s">
        <v>2727</v>
      </c>
    </row>
    <row r="2764" spans="17:17" x14ac:dyDescent="0.3">
      <c r="Q2764" t="s">
        <v>2627</v>
      </c>
    </row>
    <row r="2765" spans="17:17" x14ac:dyDescent="0.3">
      <c r="Q2765" t="s">
        <v>2623</v>
      </c>
    </row>
    <row r="2766" spans="17:17" x14ac:dyDescent="0.3">
      <c r="Q2766" t="s">
        <v>2728</v>
      </c>
    </row>
    <row r="2767" spans="17:17" x14ac:dyDescent="0.3">
      <c r="Q2767" t="s">
        <v>2729</v>
      </c>
    </row>
    <row r="2768" spans="17:17" x14ac:dyDescent="0.3">
      <c r="Q2768" t="s">
        <v>2679</v>
      </c>
    </row>
    <row r="2769" spans="17:17" x14ac:dyDescent="0.3">
      <c r="Q2769" t="s">
        <v>2725</v>
      </c>
    </row>
    <row r="2770" spans="17:17" x14ac:dyDescent="0.3">
      <c r="Q2770" t="s">
        <v>2730</v>
      </c>
    </row>
    <row r="2771" spans="17:17" x14ac:dyDescent="0.3">
      <c r="Q2771" t="s">
        <v>2731</v>
      </c>
    </row>
    <row r="2772" spans="17:17" x14ac:dyDescent="0.3">
      <c r="Q2772" t="s">
        <v>2732</v>
      </c>
    </row>
    <row r="2773" spans="17:17" x14ac:dyDescent="0.3">
      <c r="Q2773" t="s">
        <v>2733</v>
      </c>
    </row>
    <row r="2774" spans="17:17" x14ac:dyDescent="0.3">
      <c r="Q2774" t="s">
        <v>2734</v>
      </c>
    </row>
    <row r="2775" spans="17:17" x14ac:dyDescent="0.3">
      <c r="Q2775" t="s">
        <v>2735</v>
      </c>
    </row>
    <row r="2776" spans="17:17" x14ac:dyDescent="0.3">
      <c r="Q2776" t="s">
        <v>2736</v>
      </c>
    </row>
    <row r="2777" spans="17:17" x14ac:dyDescent="0.3">
      <c r="Q2777" t="s">
        <v>2737</v>
      </c>
    </row>
    <row r="2778" spans="17:17" x14ac:dyDescent="0.3">
      <c r="Q2778" t="s">
        <v>2738</v>
      </c>
    </row>
    <row r="2779" spans="17:17" x14ac:dyDescent="0.3">
      <c r="Q2779" t="s">
        <v>2726</v>
      </c>
    </row>
    <row r="2780" spans="17:17" x14ac:dyDescent="0.3">
      <c r="Q2780" t="s">
        <v>2739</v>
      </c>
    </row>
    <row r="2781" spans="17:17" x14ac:dyDescent="0.3">
      <c r="Q2781" t="s">
        <v>2740</v>
      </c>
    </row>
    <row r="2782" spans="17:17" x14ac:dyDescent="0.3">
      <c r="Q2782" t="s">
        <v>2741</v>
      </c>
    </row>
    <row r="2783" spans="17:17" x14ac:dyDescent="0.3">
      <c r="Q2783" t="s">
        <v>2742</v>
      </c>
    </row>
    <row r="2784" spans="17:17" x14ac:dyDescent="0.3">
      <c r="Q2784" t="s">
        <v>2743</v>
      </c>
    </row>
    <row r="2785" spans="17:17" x14ac:dyDescent="0.3">
      <c r="Q2785" t="s">
        <v>2744</v>
      </c>
    </row>
    <row r="2786" spans="17:17" x14ac:dyDescent="0.3">
      <c r="Q2786" t="s">
        <v>2714</v>
      </c>
    </row>
    <row r="2787" spans="17:17" x14ac:dyDescent="0.3">
      <c r="Q2787" t="s">
        <v>2714</v>
      </c>
    </row>
    <row r="2788" spans="17:17" x14ac:dyDescent="0.3">
      <c r="Q2788" t="s">
        <v>2719</v>
      </c>
    </row>
    <row r="2789" spans="17:17" x14ac:dyDescent="0.3">
      <c r="Q2789" t="s">
        <v>2716</v>
      </c>
    </row>
    <row r="2790" spans="17:17" x14ac:dyDescent="0.3">
      <c r="Q2790" t="s">
        <v>2707</v>
      </c>
    </row>
    <row r="2791" spans="17:17" x14ac:dyDescent="0.3">
      <c r="Q2791" t="s">
        <v>2715</v>
      </c>
    </row>
    <row r="2792" spans="17:17" x14ac:dyDescent="0.3">
      <c r="Q2792" t="s">
        <v>2745</v>
      </c>
    </row>
    <row r="2793" spans="17:17" x14ac:dyDescent="0.3">
      <c r="Q2793" t="s">
        <v>2707</v>
      </c>
    </row>
    <row r="2794" spans="17:17" x14ac:dyDescent="0.3">
      <c r="Q2794" t="s">
        <v>2746</v>
      </c>
    </row>
    <row r="2795" spans="17:17" x14ac:dyDescent="0.3">
      <c r="Q2795" t="s">
        <v>2720</v>
      </c>
    </row>
    <row r="2796" spans="17:17" x14ac:dyDescent="0.3">
      <c r="Q2796" t="s">
        <v>2711</v>
      </c>
    </row>
    <row r="2797" spans="17:17" x14ac:dyDescent="0.3">
      <c r="Q2797" t="s">
        <v>2747</v>
      </c>
    </row>
    <row r="2798" spans="17:17" x14ac:dyDescent="0.3">
      <c r="Q2798" t="s">
        <v>2748</v>
      </c>
    </row>
    <row r="2799" spans="17:17" x14ac:dyDescent="0.3">
      <c r="Q2799" t="s">
        <v>2749</v>
      </c>
    </row>
    <row r="2800" spans="17:17" x14ac:dyDescent="0.3">
      <c r="Q2800" t="s">
        <v>2750</v>
      </c>
    </row>
    <row r="2801" spans="17:17" x14ac:dyDescent="0.3">
      <c r="Q2801" t="s">
        <v>2751</v>
      </c>
    </row>
    <row r="2802" spans="17:17" x14ac:dyDescent="0.3">
      <c r="Q2802" t="s">
        <v>2752</v>
      </c>
    </row>
    <row r="2803" spans="17:17" x14ac:dyDescent="0.3">
      <c r="Q2803" t="s">
        <v>2753</v>
      </c>
    </row>
    <row r="2804" spans="17:17" x14ac:dyDescent="0.3">
      <c r="Q2804" t="s">
        <v>2754</v>
      </c>
    </row>
    <row r="2805" spans="17:17" x14ac:dyDescent="0.3">
      <c r="Q2805" t="s">
        <v>2755</v>
      </c>
    </row>
    <row r="2806" spans="17:17" x14ac:dyDescent="0.3">
      <c r="Q2806" t="s">
        <v>2756</v>
      </c>
    </row>
    <row r="2807" spans="17:17" x14ac:dyDescent="0.3">
      <c r="Q2807" t="s">
        <v>2757</v>
      </c>
    </row>
    <row r="2808" spans="17:17" x14ac:dyDescent="0.3">
      <c r="Q2808" t="s">
        <v>2758</v>
      </c>
    </row>
    <row r="2809" spans="17:17" x14ac:dyDescent="0.3">
      <c r="Q2809" t="s">
        <v>2713</v>
      </c>
    </row>
    <row r="2810" spans="17:17" x14ac:dyDescent="0.3">
      <c r="Q2810" t="s">
        <v>2759</v>
      </c>
    </row>
    <row r="2811" spans="17:17" x14ac:dyDescent="0.3">
      <c r="Q2811" t="s">
        <v>2760</v>
      </c>
    </row>
    <row r="2812" spans="17:17" x14ac:dyDescent="0.3">
      <c r="Q2812" t="s">
        <v>2761</v>
      </c>
    </row>
    <row r="2813" spans="17:17" x14ac:dyDescent="0.3">
      <c r="Q2813" t="s">
        <v>2762</v>
      </c>
    </row>
    <row r="2814" spans="17:17" x14ac:dyDescent="0.3">
      <c r="Q2814" t="s">
        <v>2759</v>
      </c>
    </row>
    <row r="2815" spans="17:17" x14ac:dyDescent="0.3">
      <c r="Q2815" t="s">
        <v>2713</v>
      </c>
    </row>
    <row r="2816" spans="17:17" x14ac:dyDescent="0.3">
      <c r="Q2816" t="s">
        <v>2763</v>
      </c>
    </row>
    <row r="2817" spans="17:17" x14ac:dyDescent="0.3">
      <c r="Q2817" t="s">
        <v>2764</v>
      </c>
    </row>
    <row r="2818" spans="17:17" x14ac:dyDescent="0.3">
      <c r="Q2818" t="s">
        <v>2765</v>
      </c>
    </row>
    <row r="2819" spans="17:17" x14ac:dyDescent="0.3">
      <c r="Q2819" t="s">
        <v>2766</v>
      </c>
    </row>
    <row r="2820" spans="17:17" x14ac:dyDescent="0.3">
      <c r="Q2820" t="s">
        <v>2767</v>
      </c>
    </row>
    <row r="2821" spans="17:17" x14ac:dyDescent="0.3">
      <c r="Q2821" t="s">
        <v>2768</v>
      </c>
    </row>
    <row r="2822" spans="17:17" x14ac:dyDescent="0.3">
      <c r="Q2822" t="s">
        <v>2759</v>
      </c>
    </row>
    <row r="2823" spans="17:17" x14ac:dyDescent="0.3">
      <c r="Q2823" t="s">
        <v>2769</v>
      </c>
    </row>
    <row r="2824" spans="17:17" x14ac:dyDescent="0.3">
      <c r="Q2824" t="s">
        <v>2770</v>
      </c>
    </row>
    <row r="2825" spans="17:17" x14ac:dyDescent="0.3">
      <c r="Q2825" t="s">
        <v>2765</v>
      </c>
    </row>
    <row r="2826" spans="17:17" x14ac:dyDescent="0.3">
      <c r="Q2826" t="s">
        <v>2771</v>
      </c>
    </row>
    <row r="2827" spans="17:17" x14ac:dyDescent="0.3">
      <c r="Q2827" t="s">
        <v>2772</v>
      </c>
    </row>
    <row r="2828" spans="17:17" x14ac:dyDescent="0.3">
      <c r="Q2828" t="s">
        <v>2773</v>
      </c>
    </row>
    <row r="2829" spans="17:17" x14ac:dyDescent="0.3">
      <c r="Q2829" t="s">
        <v>2774</v>
      </c>
    </row>
    <row r="2830" spans="17:17" x14ac:dyDescent="0.3">
      <c r="Q2830" t="s">
        <v>2775</v>
      </c>
    </row>
    <row r="2831" spans="17:17" x14ac:dyDescent="0.3">
      <c r="Q2831" t="s">
        <v>2776</v>
      </c>
    </row>
    <row r="2832" spans="17:17" x14ac:dyDescent="0.3">
      <c r="Q2832" t="s">
        <v>2777</v>
      </c>
    </row>
    <row r="2833" spans="17:17" x14ac:dyDescent="0.3">
      <c r="Q2833" t="s">
        <v>2778</v>
      </c>
    </row>
    <row r="2834" spans="17:17" x14ac:dyDescent="0.3">
      <c r="Q2834" t="s">
        <v>2779</v>
      </c>
    </row>
    <row r="2835" spans="17:17" x14ac:dyDescent="0.3">
      <c r="Q2835" t="s">
        <v>2769</v>
      </c>
    </row>
    <row r="2836" spans="17:17" x14ac:dyDescent="0.3">
      <c r="Q2836" t="s">
        <v>2780</v>
      </c>
    </row>
    <row r="2837" spans="17:17" x14ac:dyDescent="0.3">
      <c r="Q2837" t="s">
        <v>2781</v>
      </c>
    </row>
    <row r="2838" spans="17:17" x14ac:dyDescent="0.3">
      <c r="Q2838" t="s">
        <v>2779</v>
      </c>
    </row>
    <row r="2839" spans="17:17" x14ac:dyDescent="0.3">
      <c r="Q2839" t="s">
        <v>2780</v>
      </c>
    </row>
    <row r="2840" spans="17:17" x14ac:dyDescent="0.3">
      <c r="Q2840" t="s">
        <v>2780</v>
      </c>
    </row>
    <row r="2841" spans="17:17" x14ac:dyDescent="0.3">
      <c r="Q2841" t="s">
        <v>2779</v>
      </c>
    </row>
    <row r="2842" spans="17:17" x14ac:dyDescent="0.3">
      <c r="Q2842" t="s">
        <v>2782</v>
      </c>
    </row>
    <row r="2843" spans="17:17" x14ac:dyDescent="0.3">
      <c r="Q2843" t="s">
        <v>2783</v>
      </c>
    </row>
    <row r="2844" spans="17:17" x14ac:dyDescent="0.3">
      <c r="Q2844" t="s">
        <v>2016</v>
      </c>
    </row>
    <row r="2845" spans="17:17" x14ac:dyDescent="0.3">
      <c r="Q2845" t="s">
        <v>2016</v>
      </c>
    </row>
    <row r="2846" spans="17:17" x14ac:dyDescent="0.3">
      <c r="Q2846" t="s">
        <v>2784</v>
      </c>
    </row>
    <row r="2847" spans="17:17" x14ac:dyDescent="0.3">
      <c r="Q2847" t="s">
        <v>2785</v>
      </c>
    </row>
    <row r="2848" spans="17:17" x14ac:dyDescent="0.3">
      <c r="Q2848" t="s">
        <v>2786</v>
      </c>
    </row>
    <row r="2849" spans="17:17" x14ac:dyDescent="0.3">
      <c r="Q2849" t="s">
        <v>2787</v>
      </c>
    </row>
    <row r="2850" spans="17:17" x14ac:dyDescent="0.3">
      <c r="Q2850" t="s">
        <v>2788</v>
      </c>
    </row>
    <row r="2851" spans="17:17" x14ac:dyDescent="0.3">
      <c r="Q2851" t="s">
        <v>2789</v>
      </c>
    </row>
    <row r="2852" spans="17:17" x14ac:dyDescent="0.3">
      <c r="Q2852" t="s">
        <v>2790</v>
      </c>
    </row>
    <row r="2853" spans="17:17" x14ac:dyDescent="0.3">
      <c r="Q2853" t="s">
        <v>2791</v>
      </c>
    </row>
    <row r="2854" spans="17:17" x14ac:dyDescent="0.3">
      <c r="Q2854" t="s">
        <v>2792</v>
      </c>
    </row>
    <row r="2855" spans="17:17" x14ac:dyDescent="0.3">
      <c r="Q2855" t="s">
        <v>2793</v>
      </c>
    </row>
    <row r="2856" spans="17:17" x14ac:dyDescent="0.3">
      <c r="Q2856" t="s">
        <v>2794</v>
      </c>
    </row>
    <row r="2857" spans="17:17" x14ac:dyDescent="0.3">
      <c r="Q2857" t="s">
        <v>2795</v>
      </c>
    </row>
    <row r="2858" spans="17:17" x14ac:dyDescent="0.3">
      <c r="Q2858" t="s">
        <v>2796</v>
      </c>
    </row>
    <row r="2859" spans="17:17" x14ac:dyDescent="0.3">
      <c r="Q2859" t="s">
        <v>2797</v>
      </c>
    </row>
    <row r="2860" spans="17:17" x14ac:dyDescent="0.3">
      <c r="Q2860" t="s">
        <v>2798</v>
      </c>
    </row>
    <row r="2861" spans="17:17" x14ac:dyDescent="0.3">
      <c r="Q2861" t="s">
        <v>2799</v>
      </c>
    </row>
    <row r="2862" spans="17:17" x14ac:dyDescent="0.3">
      <c r="Q2862" t="s">
        <v>2800</v>
      </c>
    </row>
    <row r="2863" spans="17:17" x14ac:dyDescent="0.3">
      <c r="Q2863" t="s">
        <v>2801</v>
      </c>
    </row>
    <row r="2864" spans="17:17" x14ac:dyDescent="0.3">
      <c r="Q2864" t="s">
        <v>2802</v>
      </c>
    </row>
    <row r="2865" spans="17:17" x14ac:dyDescent="0.3">
      <c r="Q2865" t="s">
        <v>2803</v>
      </c>
    </row>
    <row r="2866" spans="17:17" x14ac:dyDescent="0.3">
      <c r="Q2866" t="s">
        <v>2804</v>
      </c>
    </row>
    <row r="2867" spans="17:17" x14ac:dyDescent="0.3">
      <c r="Q2867" t="s">
        <v>2805</v>
      </c>
    </row>
    <row r="2868" spans="17:17" x14ac:dyDescent="0.3">
      <c r="Q2868" t="s">
        <v>2806</v>
      </c>
    </row>
    <row r="2869" spans="17:17" x14ac:dyDescent="0.3">
      <c r="Q2869" t="s">
        <v>2807</v>
      </c>
    </row>
    <row r="2870" spans="17:17" x14ac:dyDescent="0.3">
      <c r="Q2870" t="s">
        <v>2808</v>
      </c>
    </row>
    <row r="2871" spans="17:17" x14ac:dyDescent="0.3">
      <c r="Q2871" t="s">
        <v>2809</v>
      </c>
    </row>
    <row r="2872" spans="17:17" x14ac:dyDescent="0.3">
      <c r="Q2872" t="s">
        <v>2810</v>
      </c>
    </row>
    <row r="2873" spans="17:17" x14ac:dyDescent="0.3">
      <c r="Q2873" t="s">
        <v>2811</v>
      </c>
    </row>
    <row r="2874" spans="17:17" x14ac:dyDescent="0.3">
      <c r="Q2874" t="s">
        <v>2812</v>
      </c>
    </row>
    <row r="2875" spans="17:17" x14ac:dyDescent="0.3">
      <c r="Q2875" t="s">
        <v>2806</v>
      </c>
    </row>
    <row r="2876" spans="17:17" x14ac:dyDescent="0.3">
      <c r="Q2876" t="s">
        <v>2813</v>
      </c>
    </row>
    <row r="2877" spans="17:17" x14ac:dyDescent="0.3">
      <c r="Q2877" t="s">
        <v>2814</v>
      </c>
    </row>
    <row r="2878" spans="17:17" x14ac:dyDescent="0.3">
      <c r="Q2878" t="s">
        <v>2815</v>
      </c>
    </row>
    <row r="2879" spans="17:17" x14ac:dyDescent="0.3">
      <c r="Q2879" t="s">
        <v>2816</v>
      </c>
    </row>
    <row r="2880" spans="17:17" x14ac:dyDescent="0.3">
      <c r="Q2880" t="s">
        <v>2817</v>
      </c>
    </row>
    <row r="2881" spans="17:17" x14ac:dyDescent="0.3">
      <c r="Q2881" t="s">
        <v>2818</v>
      </c>
    </row>
    <row r="2882" spans="17:17" x14ac:dyDescent="0.3">
      <c r="Q2882" t="s">
        <v>2819</v>
      </c>
    </row>
    <row r="2883" spans="17:17" x14ac:dyDescent="0.3">
      <c r="Q2883" t="s">
        <v>2820</v>
      </c>
    </row>
    <row r="2884" spans="17:17" x14ac:dyDescent="0.3">
      <c r="Q2884" t="s">
        <v>2818</v>
      </c>
    </row>
    <row r="2885" spans="17:17" x14ac:dyDescent="0.3">
      <c r="Q2885" t="s">
        <v>2821</v>
      </c>
    </row>
    <row r="2886" spans="17:17" x14ac:dyDescent="0.3">
      <c r="Q2886" t="s">
        <v>2822</v>
      </c>
    </row>
    <row r="2887" spans="17:17" x14ac:dyDescent="0.3">
      <c r="Q2887" t="s">
        <v>2823</v>
      </c>
    </row>
    <row r="2888" spans="17:17" x14ac:dyDescent="0.3">
      <c r="Q2888" t="s">
        <v>2801</v>
      </c>
    </row>
    <row r="2889" spans="17:17" x14ac:dyDescent="0.3">
      <c r="Q2889" t="s">
        <v>2824</v>
      </c>
    </row>
    <row r="2890" spans="17:17" x14ac:dyDescent="0.3">
      <c r="Q2890" t="s">
        <v>2825</v>
      </c>
    </row>
    <row r="2891" spans="17:17" x14ac:dyDescent="0.3">
      <c r="Q2891" t="s">
        <v>2800</v>
      </c>
    </row>
    <row r="2892" spans="17:17" x14ac:dyDescent="0.3">
      <c r="Q2892" t="s">
        <v>2826</v>
      </c>
    </row>
    <row r="2893" spans="17:17" x14ac:dyDescent="0.3">
      <c r="Q2893" t="s">
        <v>2827</v>
      </c>
    </row>
    <row r="2894" spans="17:17" x14ac:dyDescent="0.3">
      <c r="Q2894" t="s">
        <v>2828</v>
      </c>
    </row>
    <row r="2895" spans="17:17" x14ac:dyDescent="0.3">
      <c r="Q2895" t="s">
        <v>2829</v>
      </c>
    </row>
    <row r="2896" spans="17:17" x14ac:dyDescent="0.3">
      <c r="Q2896" t="s">
        <v>2830</v>
      </c>
    </row>
    <row r="2897" spans="17:17" x14ac:dyDescent="0.3">
      <c r="Q2897" t="s">
        <v>2831</v>
      </c>
    </row>
    <row r="2898" spans="17:17" x14ac:dyDescent="0.3">
      <c r="Q2898" t="s">
        <v>2815</v>
      </c>
    </row>
    <row r="2899" spans="17:17" x14ac:dyDescent="0.3">
      <c r="Q2899" t="s">
        <v>2832</v>
      </c>
    </row>
    <row r="2900" spans="17:17" x14ac:dyDescent="0.3">
      <c r="Q2900" t="s">
        <v>2833</v>
      </c>
    </row>
    <row r="2901" spans="17:17" x14ac:dyDescent="0.3">
      <c r="Q2901" t="s">
        <v>2834</v>
      </c>
    </row>
    <row r="2902" spans="17:17" x14ac:dyDescent="0.3">
      <c r="Q2902" t="s">
        <v>2835</v>
      </c>
    </row>
    <row r="2903" spans="17:17" x14ac:dyDescent="0.3">
      <c r="Q2903" t="s">
        <v>2836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S69"/>
  <sheetViews>
    <sheetView workbookViewId="0">
      <selection activeCell="R1" sqref="R1"/>
    </sheetView>
  </sheetViews>
  <sheetFormatPr defaultRowHeight="14.4" x14ac:dyDescent="0.3"/>
  <cols>
    <col min="1" max="1" width="2.6640625" customWidth="1"/>
    <col min="2" max="3" width="15.33203125" customWidth="1"/>
    <col min="7" max="7" width="20.33203125" customWidth="1"/>
    <col min="11" max="11" width="31.88671875" customWidth="1"/>
    <col min="19" max="19" width="10.44140625" bestFit="1" customWidth="1"/>
  </cols>
  <sheetData>
    <row r="1" spans="1:19" x14ac:dyDescent="0.3">
      <c r="A1" t="s">
        <v>3</v>
      </c>
      <c r="B1" t="s">
        <v>5387</v>
      </c>
      <c r="C1" t="s">
        <v>5391</v>
      </c>
      <c r="D1" t="s">
        <v>5392</v>
      </c>
      <c r="E1" t="s">
        <v>77</v>
      </c>
      <c r="F1" t="s">
        <v>5380</v>
      </c>
      <c r="G1" t="s">
        <v>5393</v>
      </c>
      <c r="H1" t="s">
        <v>5394</v>
      </c>
      <c r="I1" t="s">
        <v>7</v>
      </c>
      <c r="J1" t="s">
        <v>5395</v>
      </c>
      <c r="K1" t="s">
        <v>5396</v>
      </c>
      <c r="L1" t="s">
        <v>5390</v>
      </c>
      <c r="M1" t="s">
        <v>5397</v>
      </c>
      <c r="N1" t="s">
        <v>5398</v>
      </c>
      <c r="P1" t="s">
        <v>6879</v>
      </c>
      <c r="Q1" t="s">
        <v>6880</v>
      </c>
      <c r="R1" t="s">
        <v>6881</v>
      </c>
      <c r="S1" t="s">
        <v>6878</v>
      </c>
    </row>
    <row r="2" spans="1:19" x14ac:dyDescent="0.3">
      <c r="A2">
        <v>1</v>
      </c>
      <c r="B2" t="s">
        <v>5399</v>
      </c>
      <c r="C2" t="s">
        <v>5400</v>
      </c>
      <c r="D2" t="s">
        <v>5401</v>
      </c>
      <c r="E2" t="s">
        <v>5402</v>
      </c>
      <c r="F2" t="s">
        <v>5403</v>
      </c>
      <c r="G2" t="s">
        <v>5404</v>
      </c>
      <c r="H2" t="s">
        <v>1</v>
      </c>
      <c r="I2" t="s">
        <v>5405</v>
      </c>
      <c r="J2" t="s">
        <v>5406</v>
      </c>
      <c r="K2" t="s">
        <v>5407</v>
      </c>
      <c r="L2" t="str">
        <f ca="1">UPPER(LEFT(H2,3)&amp;TEXT(RANDBETWEEN(1,120),"000"))</f>
        <v>EDW087</v>
      </c>
      <c r="M2" t="s">
        <v>5408</v>
      </c>
      <c r="N2" t="s">
        <v>5409</v>
      </c>
      <c r="P2">
        <v>1</v>
      </c>
      <c r="Q2" t="s">
        <v>5536</v>
      </c>
      <c r="R2" t="str">
        <f>CONCATENATE(P2,Q2)</f>
        <v>1Excavator</v>
      </c>
      <c r="S2" s="1">
        <v>42461</v>
      </c>
    </row>
    <row r="3" spans="1:19" x14ac:dyDescent="0.3">
      <c r="A3">
        <v>2</v>
      </c>
      <c r="B3" t="s">
        <v>5410</v>
      </c>
      <c r="C3" t="s">
        <v>5411</v>
      </c>
      <c r="D3" t="s">
        <v>5412</v>
      </c>
      <c r="E3" t="s">
        <v>5413</v>
      </c>
      <c r="F3" t="s">
        <v>5414</v>
      </c>
      <c r="G3" t="s">
        <v>5415</v>
      </c>
      <c r="H3" t="s">
        <v>5416</v>
      </c>
      <c r="I3" t="s">
        <v>5417</v>
      </c>
      <c r="J3" t="s">
        <v>5418</v>
      </c>
      <c r="K3" t="s">
        <v>5419</v>
      </c>
      <c r="L3" t="str">
        <f t="shared" ref="L3:L11" ca="1" si="0">UPPER(LEFT(H3,3)&amp;TEXT(RANDBETWEEN(1,120),"000"))</f>
        <v>MCA085</v>
      </c>
      <c r="M3" t="s">
        <v>5420</v>
      </c>
      <c r="N3" t="s">
        <v>5409</v>
      </c>
      <c r="P3">
        <v>2</v>
      </c>
      <c r="Q3" t="s">
        <v>5536</v>
      </c>
      <c r="R3" t="str">
        <f t="shared" ref="R3:R22" si="1">CONCATENATE(P3,Q3)</f>
        <v>2Excavator</v>
      </c>
      <c r="S3" s="1">
        <v>42462</v>
      </c>
    </row>
    <row r="4" spans="1:19" x14ac:dyDescent="0.3">
      <c r="A4">
        <v>3</v>
      </c>
      <c r="B4" t="s">
        <v>5421</v>
      </c>
      <c r="C4" t="s">
        <v>5422</v>
      </c>
      <c r="D4" t="s">
        <v>5423</v>
      </c>
      <c r="E4" t="s">
        <v>5424</v>
      </c>
      <c r="F4" t="s">
        <v>5425</v>
      </c>
      <c r="G4" t="s">
        <v>5426</v>
      </c>
      <c r="H4" t="s">
        <v>5427</v>
      </c>
      <c r="I4" t="s">
        <v>5428</v>
      </c>
      <c r="J4" t="s">
        <v>5429</v>
      </c>
      <c r="K4" t="s">
        <v>5430</v>
      </c>
      <c r="L4" t="str">
        <f t="shared" ca="1" si="0"/>
        <v>CLO026</v>
      </c>
      <c r="M4" t="s">
        <v>5431</v>
      </c>
      <c r="N4" t="s">
        <v>5409</v>
      </c>
      <c r="P4">
        <v>9</v>
      </c>
      <c r="Q4" t="s">
        <v>5536</v>
      </c>
      <c r="R4" t="str">
        <f t="shared" si="1"/>
        <v>9Excavator</v>
      </c>
      <c r="S4" s="1">
        <v>42463</v>
      </c>
    </row>
    <row r="5" spans="1:19" x14ac:dyDescent="0.3">
      <c r="A5">
        <v>4</v>
      </c>
      <c r="B5" t="s">
        <v>5432</v>
      </c>
      <c r="C5" t="s">
        <v>5433</v>
      </c>
      <c r="D5" t="s">
        <v>5434</v>
      </c>
      <c r="E5" t="s">
        <v>5435</v>
      </c>
      <c r="F5" t="s">
        <v>5436</v>
      </c>
      <c r="G5" t="s">
        <v>5437</v>
      </c>
      <c r="H5" t="s">
        <v>5438</v>
      </c>
      <c r="I5" t="s">
        <v>5439</v>
      </c>
      <c r="J5" t="s">
        <v>5440</v>
      </c>
      <c r="K5" t="s">
        <v>5441</v>
      </c>
      <c r="L5" t="str">
        <f t="shared" ca="1" si="0"/>
        <v>ARB080</v>
      </c>
      <c r="M5" t="s">
        <v>5442</v>
      </c>
      <c r="N5" t="s">
        <v>5409</v>
      </c>
      <c r="P5">
        <v>1</v>
      </c>
      <c r="Q5" t="s">
        <v>5637</v>
      </c>
      <c r="R5" t="str">
        <f t="shared" si="1"/>
        <v>1Grader</v>
      </c>
      <c r="S5" s="1">
        <v>42464</v>
      </c>
    </row>
    <row r="6" spans="1:19" x14ac:dyDescent="0.3">
      <c r="A6">
        <v>5</v>
      </c>
      <c r="B6" t="s">
        <v>5443</v>
      </c>
      <c r="C6" t="s">
        <v>5444</v>
      </c>
      <c r="D6" t="s">
        <v>5445</v>
      </c>
      <c r="E6" t="s">
        <v>5446</v>
      </c>
      <c r="F6" t="s">
        <v>5447</v>
      </c>
      <c r="G6" t="s">
        <v>5448</v>
      </c>
      <c r="H6" t="s">
        <v>5449</v>
      </c>
      <c r="I6" t="s">
        <v>5450</v>
      </c>
      <c r="J6" t="s">
        <v>5451</v>
      </c>
      <c r="K6" t="s">
        <v>5452</v>
      </c>
      <c r="L6" t="str">
        <f t="shared" ca="1" si="0"/>
        <v>ARG023</v>
      </c>
      <c r="M6" s="2" t="s">
        <v>5453</v>
      </c>
      <c r="N6" t="s">
        <v>5409</v>
      </c>
      <c r="P6">
        <v>2</v>
      </c>
      <c r="Q6" t="s">
        <v>5637</v>
      </c>
      <c r="R6" t="str">
        <f t="shared" si="1"/>
        <v>2Grader</v>
      </c>
      <c r="S6" s="1">
        <v>42465</v>
      </c>
    </row>
    <row r="7" spans="1:19" x14ac:dyDescent="0.3">
      <c r="A7">
        <v>6</v>
      </c>
      <c r="B7" t="s">
        <v>5454</v>
      </c>
      <c r="C7" t="s">
        <v>5455</v>
      </c>
      <c r="D7" t="s">
        <v>5456</v>
      </c>
      <c r="E7" t="s">
        <v>5457</v>
      </c>
      <c r="F7" t="s">
        <v>5458</v>
      </c>
      <c r="G7" t="s">
        <v>5459</v>
      </c>
      <c r="H7" t="s">
        <v>5460</v>
      </c>
      <c r="I7" t="s">
        <v>5461</v>
      </c>
      <c r="J7" t="s">
        <v>5462</v>
      </c>
      <c r="K7" t="s">
        <v>5463</v>
      </c>
      <c r="L7" t="str">
        <f t="shared" ca="1" si="0"/>
        <v>ASH081</v>
      </c>
      <c r="M7" t="s">
        <v>5464</v>
      </c>
      <c r="N7" t="s">
        <v>5409</v>
      </c>
      <c r="P7">
        <v>9</v>
      </c>
      <c r="Q7" t="s">
        <v>5637</v>
      </c>
      <c r="R7" t="str">
        <f t="shared" si="1"/>
        <v>9Grader</v>
      </c>
      <c r="S7" s="1">
        <v>42466</v>
      </c>
    </row>
    <row r="8" spans="1:19" x14ac:dyDescent="0.3">
      <c r="A8">
        <v>7</v>
      </c>
      <c r="B8" t="s">
        <v>5465</v>
      </c>
      <c r="C8" t="s">
        <v>5466</v>
      </c>
      <c r="D8" t="s">
        <v>5467</v>
      </c>
      <c r="E8" t="s">
        <v>5468</v>
      </c>
      <c r="F8" t="s">
        <v>5469</v>
      </c>
      <c r="G8" t="s">
        <v>5470</v>
      </c>
      <c r="H8" t="s">
        <v>5471</v>
      </c>
      <c r="I8" t="s">
        <v>5472</v>
      </c>
      <c r="J8" t="s">
        <v>5473</v>
      </c>
      <c r="K8" t="s">
        <v>5474</v>
      </c>
      <c r="L8" t="str">
        <f t="shared" ca="1" si="0"/>
        <v>FBA060</v>
      </c>
      <c r="M8" t="s">
        <v>5475</v>
      </c>
      <c r="N8" t="s">
        <v>5409</v>
      </c>
      <c r="P8">
        <v>1</v>
      </c>
      <c r="Q8" t="s">
        <v>5640</v>
      </c>
      <c r="R8" t="str">
        <f t="shared" si="1"/>
        <v>1Bulldozer</v>
      </c>
      <c r="S8" s="1">
        <v>42467</v>
      </c>
    </row>
    <row r="9" spans="1:19" x14ac:dyDescent="0.3">
      <c r="A9">
        <v>8</v>
      </c>
      <c r="B9" t="s">
        <v>5476</v>
      </c>
      <c r="C9" t="s">
        <v>5477</v>
      </c>
      <c r="D9" t="s">
        <v>5478</v>
      </c>
      <c r="E9" t="s">
        <v>5479</v>
      </c>
      <c r="F9" t="s">
        <v>5480</v>
      </c>
      <c r="G9" t="s">
        <v>5481</v>
      </c>
      <c r="H9" t="s">
        <v>5482</v>
      </c>
      <c r="I9" t="s">
        <v>5483</v>
      </c>
      <c r="J9" t="s">
        <v>5484</v>
      </c>
      <c r="K9" t="s">
        <v>5485</v>
      </c>
      <c r="L9" t="str">
        <f t="shared" ca="1" si="0"/>
        <v>BIC119</v>
      </c>
      <c r="M9" t="s">
        <v>5486</v>
      </c>
      <c r="N9" t="s">
        <v>5409</v>
      </c>
      <c r="P9">
        <v>2</v>
      </c>
      <c r="Q9" t="s">
        <v>5640</v>
      </c>
      <c r="R9" t="str">
        <f t="shared" si="1"/>
        <v>2Bulldozer</v>
      </c>
      <c r="S9" s="1">
        <v>42468</v>
      </c>
    </row>
    <row r="10" spans="1:19" x14ac:dyDescent="0.3">
      <c r="A10">
        <v>9</v>
      </c>
      <c r="B10" t="s">
        <v>5487</v>
      </c>
      <c r="C10" t="s">
        <v>5488</v>
      </c>
      <c r="D10" t="s">
        <v>5489</v>
      </c>
      <c r="E10" t="s">
        <v>5490</v>
      </c>
      <c r="F10" t="s">
        <v>5491</v>
      </c>
      <c r="G10" t="s">
        <v>5492</v>
      </c>
      <c r="H10" t="s">
        <v>5493</v>
      </c>
      <c r="I10" t="s">
        <v>5494</v>
      </c>
      <c r="J10" t="s">
        <v>5495</v>
      </c>
      <c r="K10" t="s">
        <v>5496</v>
      </c>
      <c r="L10" t="str">
        <f t="shared" ca="1" si="0"/>
        <v>BRA050</v>
      </c>
      <c r="M10" t="s">
        <v>5497</v>
      </c>
      <c r="N10" t="s">
        <v>5409</v>
      </c>
      <c r="P10">
        <v>9</v>
      </c>
      <c r="Q10" t="s">
        <v>5640</v>
      </c>
      <c r="R10" t="str">
        <f t="shared" si="1"/>
        <v>9Bulldozer</v>
      </c>
      <c r="S10" s="1">
        <v>42469</v>
      </c>
    </row>
    <row r="11" spans="1:19" x14ac:dyDescent="0.3">
      <c r="A11">
        <v>10</v>
      </c>
      <c r="B11" t="s">
        <v>5498</v>
      </c>
      <c r="C11" t="s">
        <v>5499</v>
      </c>
      <c r="D11" t="s">
        <v>5500</v>
      </c>
      <c r="E11" t="s">
        <v>5501</v>
      </c>
      <c r="F11" t="s">
        <v>5502</v>
      </c>
      <c r="G11" t="s">
        <v>5503</v>
      </c>
      <c r="H11" t="s">
        <v>5504</v>
      </c>
      <c r="I11" t="s">
        <v>5505</v>
      </c>
      <c r="J11" t="s">
        <v>5506</v>
      </c>
      <c r="K11" t="s">
        <v>5507</v>
      </c>
      <c r="L11" t="str">
        <f t="shared" ca="1" si="0"/>
        <v>HEA101</v>
      </c>
      <c r="M11" t="s">
        <v>5508</v>
      </c>
      <c r="N11" t="s">
        <v>5409</v>
      </c>
      <c r="P11">
        <v>1</v>
      </c>
      <c r="Q11" t="s">
        <v>5641</v>
      </c>
      <c r="R11" t="str">
        <f t="shared" si="1"/>
        <v>1Cement Truck</v>
      </c>
      <c r="S11" s="1">
        <v>42470</v>
      </c>
    </row>
    <row r="12" spans="1:19" x14ac:dyDescent="0.3">
      <c r="A12">
        <v>11</v>
      </c>
      <c r="I12" t="s">
        <v>5509</v>
      </c>
      <c r="J12" t="s">
        <v>5510</v>
      </c>
      <c r="K12" t="s">
        <v>5511</v>
      </c>
      <c r="L12" t="s">
        <v>5512</v>
      </c>
      <c r="N12" t="s">
        <v>5409</v>
      </c>
      <c r="P12">
        <v>2</v>
      </c>
      <c r="Q12" t="s">
        <v>5641</v>
      </c>
      <c r="R12" t="str">
        <f t="shared" si="1"/>
        <v>2Cement Truck</v>
      </c>
      <c r="S12" s="1">
        <v>42471</v>
      </c>
    </row>
    <row r="13" spans="1:19" x14ac:dyDescent="0.3">
      <c r="A13">
        <v>12</v>
      </c>
      <c r="I13" t="s">
        <v>5513</v>
      </c>
      <c r="J13" t="s">
        <v>5514</v>
      </c>
      <c r="K13" t="s">
        <v>5515</v>
      </c>
      <c r="L13" t="s">
        <v>5516</v>
      </c>
      <c r="N13" t="s">
        <v>5409</v>
      </c>
      <c r="P13">
        <v>9</v>
      </c>
      <c r="Q13" t="s">
        <v>5641</v>
      </c>
      <c r="R13" t="str">
        <f t="shared" si="1"/>
        <v>9Cement Truck</v>
      </c>
      <c r="S13" s="1">
        <v>42472</v>
      </c>
    </row>
    <row r="14" spans="1:19" x14ac:dyDescent="0.3">
      <c r="A14">
        <v>13</v>
      </c>
      <c r="I14" t="s">
        <v>5517</v>
      </c>
      <c r="J14" t="s">
        <v>5518</v>
      </c>
      <c r="K14" t="s">
        <v>5519</v>
      </c>
      <c r="L14" t="s">
        <v>5520</v>
      </c>
      <c r="N14" t="s">
        <v>5409</v>
      </c>
      <c r="P14">
        <v>1</v>
      </c>
      <c r="Q14" t="s">
        <v>5642</v>
      </c>
      <c r="R14" t="str">
        <f t="shared" si="1"/>
        <v>1Flat Deck</v>
      </c>
      <c r="S14" s="1">
        <v>42473</v>
      </c>
    </row>
    <row r="15" spans="1:19" x14ac:dyDescent="0.3">
      <c r="A15">
        <v>14</v>
      </c>
      <c r="J15" t="s">
        <v>5521</v>
      </c>
      <c r="K15" t="s">
        <v>5522</v>
      </c>
      <c r="P15">
        <v>2</v>
      </c>
      <c r="Q15" t="s">
        <v>5642</v>
      </c>
      <c r="R15" t="str">
        <f t="shared" si="1"/>
        <v>2Flat Deck</v>
      </c>
      <c r="S15" s="1">
        <v>42474</v>
      </c>
    </row>
    <row r="16" spans="1:19" x14ac:dyDescent="0.3">
      <c r="A16">
        <v>15</v>
      </c>
      <c r="J16" t="s">
        <v>5523</v>
      </c>
      <c r="K16" t="s">
        <v>5524</v>
      </c>
      <c r="P16">
        <v>9</v>
      </c>
      <c r="Q16" t="s">
        <v>5642</v>
      </c>
      <c r="R16" t="str">
        <f t="shared" si="1"/>
        <v>9Flat Deck</v>
      </c>
      <c r="S16" s="1">
        <v>42475</v>
      </c>
    </row>
    <row r="17" spans="1:19" x14ac:dyDescent="0.3">
      <c r="A17">
        <v>16</v>
      </c>
      <c r="J17" t="s">
        <v>5525</v>
      </c>
      <c r="K17" t="s">
        <v>5526</v>
      </c>
      <c r="P17">
        <v>1</v>
      </c>
      <c r="Q17" t="s">
        <v>5643</v>
      </c>
      <c r="R17" t="str">
        <f t="shared" si="1"/>
        <v>1Logging Truck</v>
      </c>
      <c r="S17" s="1">
        <v>42476</v>
      </c>
    </row>
    <row r="18" spans="1:19" x14ac:dyDescent="0.3">
      <c r="A18">
        <v>17</v>
      </c>
      <c r="J18" t="s">
        <v>5527</v>
      </c>
      <c r="K18" t="s">
        <v>5528</v>
      </c>
      <c r="P18">
        <v>2</v>
      </c>
      <c r="Q18" t="s">
        <v>5643</v>
      </c>
      <c r="R18" t="str">
        <f t="shared" si="1"/>
        <v>2Logging Truck</v>
      </c>
      <c r="S18" s="1">
        <v>42477</v>
      </c>
    </row>
    <row r="19" spans="1:19" x14ac:dyDescent="0.3">
      <c r="A19">
        <v>18</v>
      </c>
      <c r="J19" t="s">
        <v>5529</v>
      </c>
      <c r="K19" t="s">
        <v>5530</v>
      </c>
      <c r="P19">
        <v>9</v>
      </c>
      <c r="Q19" t="s">
        <v>5643</v>
      </c>
      <c r="R19" t="str">
        <f t="shared" si="1"/>
        <v>9Logging Truck</v>
      </c>
      <c r="S19" s="1">
        <v>42478</v>
      </c>
    </row>
    <row r="20" spans="1:19" x14ac:dyDescent="0.3">
      <c r="A20">
        <v>19</v>
      </c>
      <c r="J20" t="s">
        <v>5531</v>
      </c>
      <c r="K20" t="s">
        <v>5532</v>
      </c>
      <c r="P20">
        <v>1</v>
      </c>
      <c r="Q20" t="s">
        <v>5651</v>
      </c>
      <c r="R20" t="str">
        <f t="shared" si="1"/>
        <v>1Dump Truck</v>
      </c>
      <c r="S20" s="1">
        <v>42479</v>
      </c>
    </row>
    <row r="21" spans="1:19" x14ac:dyDescent="0.3">
      <c r="A21">
        <v>20</v>
      </c>
      <c r="J21" t="s">
        <v>5533</v>
      </c>
      <c r="K21" t="s">
        <v>5534</v>
      </c>
      <c r="P21">
        <v>2</v>
      </c>
      <c r="Q21" t="s">
        <v>5651</v>
      </c>
      <c r="R21" t="str">
        <f t="shared" si="1"/>
        <v>2Dump Truck</v>
      </c>
      <c r="S21" s="1">
        <v>42480</v>
      </c>
    </row>
    <row r="22" spans="1:19" x14ac:dyDescent="0.3">
      <c r="A22">
        <v>21</v>
      </c>
      <c r="J22" t="s">
        <v>5535</v>
      </c>
      <c r="K22" t="s">
        <v>5536</v>
      </c>
      <c r="P22">
        <v>9</v>
      </c>
      <c r="Q22" t="s">
        <v>5651</v>
      </c>
      <c r="R22" t="str">
        <f t="shared" si="1"/>
        <v>9Dump Truck</v>
      </c>
      <c r="S22" s="1">
        <v>42481</v>
      </c>
    </row>
    <row r="23" spans="1:19" x14ac:dyDescent="0.3">
      <c r="A23">
        <v>22</v>
      </c>
      <c r="J23" t="s">
        <v>5537</v>
      </c>
      <c r="K23" t="s">
        <v>5538</v>
      </c>
      <c r="S23" s="1"/>
    </row>
    <row r="24" spans="1:19" x14ac:dyDescent="0.3">
      <c r="A24">
        <v>23</v>
      </c>
      <c r="J24" t="s">
        <v>5539</v>
      </c>
      <c r="K24" t="s">
        <v>5540</v>
      </c>
      <c r="S24" s="1"/>
    </row>
    <row r="25" spans="1:19" x14ac:dyDescent="0.3">
      <c r="A25">
        <v>24</v>
      </c>
      <c r="J25" t="s">
        <v>5541</v>
      </c>
      <c r="K25" t="s">
        <v>5542</v>
      </c>
      <c r="S25" s="1"/>
    </row>
    <row r="26" spans="1:19" x14ac:dyDescent="0.3">
      <c r="A26">
        <v>25</v>
      </c>
      <c r="J26" t="s">
        <v>5543</v>
      </c>
      <c r="K26" t="s">
        <v>5544</v>
      </c>
      <c r="S26" s="1"/>
    </row>
    <row r="27" spans="1:19" x14ac:dyDescent="0.3">
      <c r="A27">
        <v>26</v>
      </c>
      <c r="J27" t="s">
        <v>5545</v>
      </c>
      <c r="K27" t="s">
        <v>5545</v>
      </c>
      <c r="S27" s="1"/>
    </row>
    <row r="28" spans="1:19" x14ac:dyDescent="0.3">
      <c r="A28">
        <v>27</v>
      </c>
      <c r="J28" t="s">
        <v>5546</v>
      </c>
      <c r="K28" t="s">
        <v>5547</v>
      </c>
      <c r="S28" s="1"/>
    </row>
    <row r="29" spans="1:19" x14ac:dyDescent="0.3">
      <c r="A29">
        <v>28</v>
      </c>
      <c r="J29" t="s">
        <v>5548</v>
      </c>
      <c r="K29" t="s">
        <v>5549</v>
      </c>
    </row>
    <row r="30" spans="1:19" x14ac:dyDescent="0.3">
      <c r="A30">
        <v>29</v>
      </c>
      <c r="J30" t="s">
        <v>5550</v>
      </c>
      <c r="K30" t="s">
        <v>5551</v>
      </c>
    </row>
    <row r="31" spans="1:19" x14ac:dyDescent="0.3">
      <c r="A31">
        <v>30</v>
      </c>
      <c r="J31" t="s">
        <v>5552</v>
      </c>
      <c r="K31" t="s">
        <v>5553</v>
      </c>
    </row>
    <row r="32" spans="1:19" x14ac:dyDescent="0.3">
      <c r="A32">
        <v>31</v>
      </c>
      <c r="J32" t="s">
        <v>5554</v>
      </c>
      <c r="K32" t="s">
        <v>5555</v>
      </c>
    </row>
    <row r="33" spans="1:11" x14ac:dyDescent="0.3">
      <c r="A33">
        <v>32</v>
      </c>
      <c r="J33" t="s">
        <v>5556</v>
      </c>
      <c r="K33" t="s">
        <v>5557</v>
      </c>
    </row>
    <row r="34" spans="1:11" x14ac:dyDescent="0.3">
      <c r="A34">
        <v>33</v>
      </c>
      <c r="J34" t="s">
        <v>5558</v>
      </c>
      <c r="K34" t="s">
        <v>5559</v>
      </c>
    </row>
    <row r="35" spans="1:11" x14ac:dyDescent="0.3">
      <c r="A35">
        <v>34</v>
      </c>
      <c r="J35" t="s">
        <v>5560</v>
      </c>
      <c r="K35" t="s">
        <v>5561</v>
      </c>
    </row>
    <row r="36" spans="1:11" x14ac:dyDescent="0.3">
      <c r="A36">
        <v>35</v>
      </c>
      <c r="J36" t="s">
        <v>5562</v>
      </c>
      <c r="K36" t="s">
        <v>5563</v>
      </c>
    </row>
    <row r="37" spans="1:11" x14ac:dyDescent="0.3">
      <c r="A37">
        <v>36</v>
      </c>
      <c r="J37" t="s">
        <v>5564</v>
      </c>
      <c r="K37" t="s">
        <v>5565</v>
      </c>
    </row>
    <row r="38" spans="1:11" x14ac:dyDescent="0.3">
      <c r="A38">
        <v>37</v>
      </c>
      <c r="J38" t="s">
        <v>5566</v>
      </c>
      <c r="K38" t="s">
        <v>5567</v>
      </c>
    </row>
    <row r="39" spans="1:11" x14ac:dyDescent="0.3">
      <c r="A39">
        <v>38</v>
      </c>
      <c r="J39" t="s">
        <v>5568</v>
      </c>
      <c r="K39" t="s">
        <v>5569</v>
      </c>
    </row>
    <row r="40" spans="1:11" x14ac:dyDescent="0.3">
      <c r="A40">
        <v>39</v>
      </c>
      <c r="J40" t="s">
        <v>5570</v>
      </c>
      <c r="K40" t="s">
        <v>5571</v>
      </c>
    </row>
    <row r="41" spans="1:11" x14ac:dyDescent="0.3">
      <c r="A41">
        <v>40</v>
      </c>
      <c r="J41" t="s">
        <v>5572</v>
      </c>
      <c r="K41" t="s">
        <v>5573</v>
      </c>
    </row>
    <row r="42" spans="1:11" x14ac:dyDescent="0.3">
      <c r="A42">
        <v>41</v>
      </c>
      <c r="J42" t="s">
        <v>5574</v>
      </c>
      <c r="K42" t="s">
        <v>5575</v>
      </c>
    </row>
    <row r="43" spans="1:11" x14ac:dyDescent="0.3">
      <c r="A43">
        <v>42</v>
      </c>
      <c r="J43" t="s">
        <v>5576</v>
      </c>
      <c r="K43" t="s">
        <v>5577</v>
      </c>
    </row>
    <row r="44" spans="1:11" x14ac:dyDescent="0.3">
      <c r="A44">
        <v>43</v>
      </c>
      <c r="J44" t="s">
        <v>5578</v>
      </c>
      <c r="K44" t="s">
        <v>5579</v>
      </c>
    </row>
    <row r="45" spans="1:11" x14ac:dyDescent="0.3">
      <c r="A45">
        <v>44</v>
      </c>
      <c r="J45" t="s">
        <v>5580</v>
      </c>
      <c r="K45" t="s">
        <v>5581</v>
      </c>
    </row>
    <row r="46" spans="1:11" x14ac:dyDescent="0.3">
      <c r="A46">
        <v>45</v>
      </c>
      <c r="J46" t="s">
        <v>5582</v>
      </c>
      <c r="K46" t="s">
        <v>5583</v>
      </c>
    </row>
    <row r="47" spans="1:11" x14ac:dyDescent="0.3">
      <c r="A47">
        <v>46</v>
      </c>
      <c r="J47" t="s">
        <v>5584</v>
      </c>
      <c r="K47" t="s">
        <v>5585</v>
      </c>
    </row>
    <row r="48" spans="1:11" x14ac:dyDescent="0.3">
      <c r="A48">
        <v>47</v>
      </c>
      <c r="J48" t="s">
        <v>5586</v>
      </c>
      <c r="K48" t="s">
        <v>5587</v>
      </c>
    </row>
    <row r="49" spans="1:11" x14ac:dyDescent="0.3">
      <c r="A49">
        <v>48</v>
      </c>
      <c r="J49" t="s">
        <v>5588</v>
      </c>
      <c r="K49" t="s">
        <v>5589</v>
      </c>
    </row>
    <row r="50" spans="1:11" x14ac:dyDescent="0.3">
      <c r="A50">
        <v>49</v>
      </c>
      <c r="J50" t="s">
        <v>5590</v>
      </c>
      <c r="K50" t="s">
        <v>5591</v>
      </c>
    </row>
    <row r="51" spans="1:11" x14ac:dyDescent="0.3">
      <c r="A51">
        <v>50</v>
      </c>
      <c r="J51" t="s">
        <v>5592</v>
      </c>
      <c r="K51" t="s">
        <v>5593</v>
      </c>
    </row>
    <row r="52" spans="1:11" x14ac:dyDescent="0.3">
      <c r="A52">
        <v>51</v>
      </c>
      <c r="J52" t="s">
        <v>5594</v>
      </c>
      <c r="K52" t="s">
        <v>5595</v>
      </c>
    </row>
    <row r="53" spans="1:11" x14ac:dyDescent="0.3">
      <c r="A53">
        <v>52</v>
      </c>
      <c r="J53" t="s">
        <v>5596</v>
      </c>
      <c r="K53" t="s">
        <v>5597</v>
      </c>
    </row>
    <row r="54" spans="1:11" x14ac:dyDescent="0.3">
      <c r="A54">
        <v>53</v>
      </c>
      <c r="J54" t="s">
        <v>5598</v>
      </c>
      <c r="K54" t="s">
        <v>5599</v>
      </c>
    </row>
    <row r="55" spans="1:11" x14ac:dyDescent="0.3">
      <c r="A55">
        <v>54</v>
      </c>
      <c r="J55" t="s">
        <v>5600</v>
      </c>
      <c r="K55" t="s">
        <v>5601</v>
      </c>
    </row>
    <row r="56" spans="1:11" x14ac:dyDescent="0.3">
      <c r="A56">
        <v>55</v>
      </c>
      <c r="J56" t="s">
        <v>5602</v>
      </c>
      <c r="K56" t="s">
        <v>5603</v>
      </c>
    </row>
    <row r="57" spans="1:11" x14ac:dyDescent="0.3">
      <c r="A57">
        <v>56</v>
      </c>
      <c r="J57" t="s">
        <v>5604</v>
      </c>
      <c r="K57" t="s">
        <v>5605</v>
      </c>
    </row>
    <row r="58" spans="1:11" x14ac:dyDescent="0.3">
      <c r="A58">
        <v>57</v>
      </c>
      <c r="J58" t="s">
        <v>5606</v>
      </c>
      <c r="K58" t="s">
        <v>5607</v>
      </c>
    </row>
    <row r="59" spans="1:11" x14ac:dyDescent="0.3">
      <c r="A59">
        <v>58</v>
      </c>
      <c r="J59" t="s">
        <v>5608</v>
      </c>
      <c r="K59" t="s">
        <v>5609</v>
      </c>
    </row>
    <row r="60" spans="1:11" x14ac:dyDescent="0.3">
      <c r="A60">
        <v>59</v>
      </c>
      <c r="J60" t="s">
        <v>5610</v>
      </c>
      <c r="K60" t="s">
        <v>5611</v>
      </c>
    </row>
    <row r="61" spans="1:11" x14ac:dyDescent="0.3">
      <c r="A61">
        <v>60</v>
      </c>
      <c r="J61" t="s">
        <v>5612</v>
      </c>
      <c r="K61" t="s">
        <v>5613</v>
      </c>
    </row>
    <row r="62" spans="1:11" x14ac:dyDescent="0.3">
      <c r="A62">
        <v>61</v>
      </c>
      <c r="J62" t="s">
        <v>5614</v>
      </c>
      <c r="K62" t="s">
        <v>5615</v>
      </c>
    </row>
    <row r="63" spans="1:11" x14ac:dyDescent="0.3">
      <c r="A63">
        <v>62</v>
      </c>
      <c r="J63" t="s">
        <v>5616</v>
      </c>
      <c r="K63" t="s">
        <v>5617</v>
      </c>
    </row>
    <row r="64" spans="1:11" x14ac:dyDescent="0.3">
      <c r="A64">
        <v>63</v>
      </c>
      <c r="J64" t="s">
        <v>5618</v>
      </c>
      <c r="K64" t="s">
        <v>5619</v>
      </c>
    </row>
    <row r="65" spans="1:11" x14ac:dyDescent="0.3">
      <c r="A65">
        <v>64</v>
      </c>
      <c r="J65" t="s">
        <v>5620</v>
      </c>
      <c r="K65" t="s">
        <v>5621</v>
      </c>
    </row>
    <row r="66" spans="1:11" x14ac:dyDescent="0.3">
      <c r="A66">
        <v>65</v>
      </c>
      <c r="J66" t="s">
        <v>5622</v>
      </c>
      <c r="K66" t="s">
        <v>5623</v>
      </c>
    </row>
    <row r="67" spans="1:11" x14ac:dyDescent="0.3">
      <c r="A67">
        <v>66</v>
      </c>
      <c r="J67" t="s">
        <v>5624</v>
      </c>
      <c r="K67" t="s">
        <v>5625</v>
      </c>
    </row>
    <row r="68" spans="1:11" x14ac:dyDescent="0.3">
      <c r="A68">
        <v>67</v>
      </c>
      <c r="J68" t="s">
        <v>5626</v>
      </c>
      <c r="K68" t="s">
        <v>5627</v>
      </c>
    </row>
    <row r="69" spans="1:11" x14ac:dyDescent="0.3">
      <c r="A69">
        <v>68</v>
      </c>
      <c r="J69" t="s">
        <v>5628</v>
      </c>
      <c r="K69" t="s">
        <v>5629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35"/>
  <sheetViews>
    <sheetView workbookViewId="0">
      <pane ySplit="1" topLeftCell="A2" activePane="bottomLeft" state="frozen"/>
      <selection pane="bottomLeft" activeCell="A16" sqref="A16"/>
    </sheetView>
  </sheetViews>
  <sheetFormatPr defaultRowHeight="14.4" x14ac:dyDescent="0.3"/>
  <cols>
    <col min="1" max="1" width="23.44140625" bestFit="1" customWidth="1"/>
  </cols>
  <sheetData>
    <row r="1" spans="1:2" x14ac:dyDescent="0.3">
      <c r="A1" t="s">
        <v>5667</v>
      </c>
      <c r="B1" t="s">
        <v>5688</v>
      </c>
    </row>
    <row r="2" spans="1:2" x14ac:dyDescent="0.3">
      <c r="A2" t="s">
        <v>5386</v>
      </c>
      <c r="B2" t="s">
        <v>5689</v>
      </c>
    </row>
    <row r="3" spans="1:2" x14ac:dyDescent="0.3">
      <c r="A3" t="s">
        <v>5668</v>
      </c>
      <c r="B3" t="s">
        <v>5689</v>
      </c>
    </row>
    <row r="4" spans="1:2" x14ac:dyDescent="0.3">
      <c r="A4" t="s">
        <v>5669</v>
      </c>
      <c r="B4" t="s">
        <v>5689</v>
      </c>
    </row>
    <row r="5" spans="1:2" x14ac:dyDescent="0.3">
      <c r="A5" t="s">
        <v>5670</v>
      </c>
      <c r="B5" t="s">
        <v>5689</v>
      </c>
    </row>
    <row r="6" spans="1:2" x14ac:dyDescent="0.3">
      <c r="A6" t="s">
        <v>5671</v>
      </c>
      <c r="B6" t="s">
        <v>5689</v>
      </c>
    </row>
    <row r="7" spans="1:2" hidden="1" x14ac:dyDescent="0.3">
      <c r="A7" t="s">
        <v>5672</v>
      </c>
      <c r="B7" t="s">
        <v>326</v>
      </c>
    </row>
    <row r="8" spans="1:2" hidden="1" x14ac:dyDescent="0.3">
      <c r="A8" t="s">
        <v>5673</v>
      </c>
      <c r="B8" t="s">
        <v>326</v>
      </c>
    </row>
    <row r="9" spans="1:2" x14ac:dyDescent="0.3">
      <c r="A9" t="s">
        <v>5674</v>
      </c>
      <c r="B9" t="s">
        <v>5689</v>
      </c>
    </row>
    <row r="10" spans="1:2" x14ac:dyDescent="0.3">
      <c r="A10" t="s">
        <v>5630</v>
      </c>
      <c r="B10" t="s">
        <v>5689</v>
      </c>
    </row>
    <row r="11" spans="1:2" x14ac:dyDescent="0.3">
      <c r="A11" t="s">
        <v>5675</v>
      </c>
      <c r="B11" t="s">
        <v>5689</v>
      </c>
    </row>
    <row r="12" spans="1:2" x14ac:dyDescent="0.3">
      <c r="A12" t="s">
        <v>5636</v>
      </c>
      <c r="B12" t="s">
        <v>5689</v>
      </c>
    </row>
    <row r="13" spans="1:2" x14ac:dyDescent="0.3">
      <c r="A13" t="s">
        <v>5676</v>
      </c>
      <c r="B13" t="s">
        <v>5689</v>
      </c>
    </row>
    <row r="14" spans="1:2" hidden="1" x14ac:dyDescent="0.3">
      <c r="A14" t="s">
        <v>5677</v>
      </c>
      <c r="B14" t="s">
        <v>326</v>
      </c>
    </row>
    <row r="15" spans="1:2" x14ac:dyDescent="0.3">
      <c r="A15" t="s">
        <v>5678</v>
      </c>
      <c r="B15" t="s">
        <v>5689</v>
      </c>
    </row>
    <row r="16" spans="1:2" x14ac:dyDescent="0.3">
      <c r="A16" t="s">
        <v>7</v>
      </c>
      <c r="B16" t="s">
        <v>5689</v>
      </c>
    </row>
    <row r="17" spans="1:2" x14ac:dyDescent="0.3">
      <c r="A17" t="s">
        <v>54</v>
      </c>
      <c r="B17" t="s">
        <v>5689</v>
      </c>
    </row>
    <row r="18" spans="1:2" hidden="1" x14ac:dyDescent="0.3">
      <c r="A18" t="s">
        <v>5679</v>
      </c>
      <c r="B18" t="s">
        <v>326</v>
      </c>
    </row>
    <row r="19" spans="1:2" hidden="1" x14ac:dyDescent="0.3">
      <c r="A19" t="s">
        <v>5631</v>
      </c>
      <c r="B19" t="s">
        <v>326</v>
      </c>
    </row>
    <row r="20" spans="1:2" hidden="1" x14ac:dyDescent="0.3">
      <c r="A20" t="s">
        <v>5680</v>
      </c>
      <c r="B20" t="s">
        <v>326</v>
      </c>
    </row>
    <row r="21" spans="1:2" hidden="1" x14ac:dyDescent="0.3">
      <c r="A21" t="s">
        <v>5681</v>
      </c>
      <c r="B21" t="s">
        <v>326</v>
      </c>
    </row>
    <row r="22" spans="1:2" hidden="1" x14ac:dyDescent="0.3">
      <c r="A22" t="s">
        <v>5682</v>
      </c>
      <c r="B22" t="s">
        <v>326</v>
      </c>
    </row>
    <row r="23" spans="1:2" hidden="1" x14ac:dyDescent="0.3">
      <c r="A23" t="s">
        <v>5683</v>
      </c>
      <c r="B23" t="s">
        <v>326</v>
      </c>
    </row>
    <row r="24" spans="1:2" hidden="1" x14ac:dyDescent="0.3">
      <c r="A24" t="s">
        <v>69</v>
      </c>
      <c r="B24" t="s">
        <v>322</v>
      </c>
    </row>
    <row r="25" spans="1:2" hidden="1" x14ac:dyDescent="0.3">
      <c r="A25" t="s">
        <v>72</v>
      </c>
      <c r="B25" t="s">
        <v>322</v>
      </c>
    </row>
    <row r="26" spans="1:2" hidden="1" x14ac:dyDescent="0.3">
      <c r="A26" t="s">
        <v>74</v>
      </c>
      <c r="B26" t="s">
        <v>322</v>
      </c>
    </row>
    <row r="27" spans="1:2" hidden="1" x14ac:dyDescent="0.3">
      <c r="A27" t="s">
        <v>5376</v>
      </c>
      <c r="B27" t="s">
        <v>322</v>
      </c>
    </row>
    <row r="28" spans="1:2" hidden="1" x14ac:dyDescent="0.3">
      <c r="A28" t="s">
        <v>0</v>
      </c>
      <c r="B28" t="s">
        <v>322</v>
      </c>
    </row>
    <row r="29" spans="1:2" hidden="1" x14ac:dyDescent="0.3">
      <c r="A29" t="s">
        <v>5322</v>
      </c>
      <c r="B29" t="s">
        <v>322</v>
      </c>
    </row>
    <row r="30" spans="1:2" hidden="1" x14ac:dyDescent="0.3">
      <c r="A30" t="s">
        <v>5684</v>
      </c>
      <c r="B30" t="s">
        <v>322</v>
      </c>
    </row>
    <row r="31" spans="1:2" hidden="1" x14ac:dyDescent="0.3">
      <c r="A31" t="s">
        <v>55</v>
      </c>
      <c r="B31" t="s">
        <v>322</v>
      </c>
    </row>
    <row r="32" spans="1:2" hidden="1" x14ac:dyDescent="0.3">
      <c r="A32" t="s">
        <v>5685</v>
      </c>
      <c r="B32" t="s">
        <v>322</v>
      </c>
    </row>
    <row r="33" spans="1:2" hidden="1" x14ac:dyDescent="0.3">
      <c r="A33" t="s">
        <v>5686</v>
      </c>
      <c r="B33" t="s">
        <v>322</v>
      </c>
    </row>
    <row r="34" spans="1:2" hidden="1" x14ac:dyDescent="0.3">
      <c r="A34" t="s">
        <v>5687</v>
      </c>
      <c r="B34" t="s">
        <v>322</v>
      </c>
    </row>
    <row r="35" spans="1:2" hidden="1" x14ac:dyDescent="0.3">
      <c r="A35" t="s">
        <v>5323</v>
      </c>
      <c r="B35" t="s">
        <v>322</v>
      </c>
    </row>
  </sheetData>
  <autoFilter ref="A1:B35">
    <filterColumn colId="1">
      <filters>
        <filter val="Y"/>
      </filters>
    </filterColumn>
  </autoFilter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31"/>
  <sheetViews>
    <sheetView workbookViewId="0">
      <selection activeCell="C10" sqref="C10"/>
    </sheetView>
  </sheetViews>
  <sheetFormatPr defaultRowHeight="14.4" x14ac:dyDescent="0.3"/>
  <cols>
    <col min="1" max="1" width="10.5546875" bestFit="1" customWidth="1"/>
    <col min="2" max="3" width="10.5546875" customWidth="1"/>
    <col min="4" max="4" width="17.88671875" customWidth="1"/>
    <col min="5" max="5" width="13.33203125" customWidth="1"/>
    <col min="6" max="6" width="18" customWidth="1"/>
    <col min="7" max="7" width="11" customWidth="1"/>
  </cols>
  <sheetData>
    <row r="1" spans="1:10" x14ac:dyDescent="0.3">
      <c r="A1" t="s">
        <v>68</v>
      </c>
      <c r="B1" t="s">
        <v>7889</v>
      </c>
      <c r="C1" t="s">
        <v>5326</v>
      </c>
      <c r="D1" t="s">
        <v>75</v>
      </c>
      <c r="E1" t="s">
        <v>5666</v>
      </c>
      <c r="F1" t="s">
        <v>73</v>
      </c>
      <c r="G1" t="s">
        <v>70</v>
      </c>
      <c r="H1" t="s">
        <v>71</v>
      </c>
      <c r="I1" t="s">
        <v>5325</v>
      </c>
      <c r="J1" t="s">
        <v>7874</v>
      </c>
    </row>
    <row r="2" spans="1:10" x14ac:dyDescent="0.3">
      <c r="A2" t="s">
        <v>74</v>
      </c>
      <c r="B2" t="str">
        <f>J2</f>
        <v>200001</v>
      </c>
      <c r="C2" t="s">
        <v>2951</v>
      </c>
      <c r="D2" t="s">
        <v>6514</v>
      </c>
      <c r="E2">
        <v>1</v>
      </c>
      <c r="F2" t="s">
        <v>2923</v>
      </c>
      <c r="G2" s="2" t="s">
        <v>6512</v>
      </c>
      <c r="H2" t="s">
        <v>76</v>
      </c>
      <c r="I2" s="3">
        <v>200000</v>
      </c>
      <c r="J2" t="str">
        <f>MID(D2,13,6)</f>
        <v>200001</v>
      </c>
    </row>
    <row r="3" spans="1:10" x14ac:dyDescent="0.3">
      <c r="A3" t="s">
        <v>74</v>
      </c>
      <c r="B3" t="str">
        <f t="shared" ref="B3:B31" si="0">J3</f>
        <v>200001</v>
      </c>
      <c r="C3" t="s">
        <v>2951</v>
      </c>
      <c r="D3" t="s">
        <v>6514</v>
      </c>
      <c r="E3">
        <v>2</v>
      </c>
      <c r="F3" t="s">
        <v>2924</v>
      </c>
      <c r="G3" s="2" t="s">
        <v>6512</v>
      </c>
      <c r="H3" t="s">
        <v>76</v>
      </c>
      <c r="I3" s="3">
        <v>200001</v>
      </c>
      <c r="J3" t="str">
        <f t="shared" ref="J3:J31" si="1">MID(D3,13,6)</f>
        <v>200001</v>
      </c>
    </row>
    <row r="4" spans="1:10" x14ac:dyDescent="0.3">
      <c r="A4" t="s">
        <v>74</v>
      </c>
      <c r="B4" t="str">
        <f t="shared" si="0"/>
        <v>200001</v>
      </c>
      <c r="C4" t="s">
        <v>2951</v>
      </c>
      <c r="D4" t="s">
        <v>6514</v>
      </c>
      <c r="E4">
        <v>3</v>
      </c>
      <c r="F4" t="s">
        <v>2925</v>
      </c>
      <c r="G4" s="2" t="s">
        <v>6512</v>
      </c>
      <c r="H4" t="s">
        <v>76</v>
      </c>
      <c r="I4" s="3">
        <v>200002</v>
      </c>
      <c r="J4" t="str">
        <f t="shared" si="1"/>
        <v>200001</v>
      </c>
    </row>
    <row r="5" spans="1:10" x14ac:dyDescent="0.3">
      <c r="A5" t="s">
        <v>74</v>
      </c>
      <c r="B5" t="str">
        <f t="shared" si="0"/>
        <v>200000</v>
      </c>
      <c r="C5" t="s">
        <v>2928</v>
      </c>
      <c r="D5" t="s">
        <v>6533</v>
      </c>
      <c r="E5">
        <v>4</v>
      </c>
      <c r="F5" t="s">
        <v>2926</v>
      </c>
      <c r="G5" s="2" t="s">
        <v>6512</v>
      </c>
      <c r="H5" t="s">
        <v>76</v>
      </c>
      <c r="I5" s="3">
        <v>200003</v>
      </c>
      <c r="J5" t="str">
        <f t="shared" si="1"/>
        <v>200000</v>
      </c>
    </row>
    <row r="6" spans="1:10" x14ac:dyDescent="0.3">
      <c r="A6" t="s">
        <v>74</v>
      </c>
      <c r="B6" t="str">
        <f t="shared" si="0"/>
        <v>200000</v>
      </c>
      <c r="C6" t="s">
        <v>2928</v>
      </c>
      <c r="D6" t="s">
        <v>6533</v>
      </c>
      <c r="E6">
        <v>5</v>
      </c>
      <c r="F6" t="s">
        <v>2927</v>
      </c>
      <c r="G6" s="2" t="s">
        <v>6512</v>
      </c>
      <c r="H6" t="s">
        <v>76</v>
      </c>
      <c r="I6" s="3">
        <v>200004</v>
      </c>
      <c r="J6" t="str">
        <f t="shared" si="1"/>
        <v>200000</v>
      </c>
    </row>
    <row r="7" spans="1:10" x14ac:dyDescent="0.3">
      <c r="A7" t="s">
        <v>74</v>
      </c>
      <c r="B7" t="str">
        <f t="shared" si="0"/>
        <v>200000</v>
      </c>
      <c r="C7" t="s">
        <v>2928</v>
      </c>
      <c r="D7" t="s">
        <v>6533</v>
      </c>
      <c r="E7">
        <v>6</v>
      </c>
      <c r="F7" t="s">
        <v>2928</v>
      </c>
      <c r="G7" s="2" t="s">
        <v>6512</v>
      </c>
      <c r="H7" t="s">
        <v>76</v>
      </c>
      <c r="I7" s="3">
        <v>200005</v>
      </c>
      <c r="J7" t="str">
        <f t="shared" si="1"/>
        <v>200000</v>
      </c>
    </row>
    <row r="8" spans="1:10" x14ac:dyDescent="0.3">
      <c r="A8" t="s">
        <v>74</v>
      </c>
      <c r="B8" t="str">
        <f t="shared" si="0"/>
        <v>200000</v>
      </c>
      <c r="C8" t="s">
        <v>2928</v>
      </c>
      <c r="D8" t="s">
        <v>6533</v>
      </c>
      <c r="E8">
        <v>7</v>
      </c>
      <c r="F8" t="s">
        <v>10</v>
      </c>
      <c r="G8" s="2" t="s">
        <v>6512</v>
      </c>
      <c r="H8" t="s">
        <v>76</v>
      </c>
      <c r="I8" s="3">
        <v>200006</v>
      </c>
      <c r="J8" t="str">
        <f t="shared" si="1"/>
        <v>200000</v>
      </c>
    </row>
    <row r="9" spans="1:10" x14ac:dyDescent="0.3">
      <c r="A9" t="s">
        <v>74</v>
      </c>
      <c r="B9" t="str">
        <f t="shared" si="0"/>
        <v>200004</v>
      </c>
      <c r="C9" t="s">
        <v>2953</v>
      </c>
      <c r="D9" t="s">
        <v>6537</v>
      </c>
      <c r="E9">
        <v>8</v>
      </c>
      <c r="F9" t="s">
        <v>2929</v>
      </c>
      <c r="G9" s="2" t="s">
        <v>6512</v>
      </c>
      <c r="H9" t="s">
        <v>76</v>
      </c>
      <c r="I9" s="3">
        <v>200007</v>
      </c>
      <c r="J9" t="str">
        <f t="shared" si="1"/>
        <v>200004</v>
      </c>
    </row>
    <row r="10" spans="1:10" x14ac:dyDescent="0.3">
      <c r="A10" t="s">
        <v>74</v>
      </c>
      <c r="B10" t="str">
        <f t="shared" si="0"/>
        <v>200003</v>
      </c>
      <c r="C10" t="s">
        <v>22</v>
      </c>
      <c r="D10" t="s">
        <v>6541</v>
      </c>
      <c r="E10">
        <v>9</v>
      </c>
      <c r="F10" t="s">
        <v>2930</v>
      </c>
      <c r="G10" s="2" t="s">
        <v>6512</v>
      </c>
      <c r="H10" t="s">
        <v>76</v>
      </c>
      <c r="I10" s="3">
        <v>200008</v>
      </c>
      <c r="J10" t="str">
        <f t="shared" si="1"/>
        <v>200003</v>
      </c>
    </row>
    <row r="11" spans="1:10" x14ac:dyDescent="0.3">
      <c r="A11" t="s">
        <v>74</v>
      </c>
      <c r="B11" t="str">
        <f t="shared" si="0"/>
        <v>200003</v>
      </c>
      <c r="C11" t="s">
        <v>22</v>
      </c>
      <c r="D11" t="s">
        <v>6541</v>
      </c>
      <c r="E11">
        <v>10</v>
      </c>
      <c r="F11" t="s">
        <v>2931</v>
      </c>
      <c r="G11" s="2" t="s">
        <v>6512</v>
      </c>
      <c r="H11" t="s">
        <v>76</v>
      </c>
      <c r="I11" s="3">
        <v>200009</v>
      </c>
      <c r="J11" t="str">
        <f t="shared" si="1"/>
        <v>200003</v>
      </c>
    </row>
    <row r="12" spans="1:10" x14ac:dyDescent="0.3">
      <c r="A12" t="s">
        <v>74</v>
      </c>
      <c r="B12" t="str">
        <f t="shared" si="0"/>
        <v>200002</v>
      </c>
      <c r="C12" t="s">
        <v>2952</v>
      </c>
      <c r="D12" t="s">
        <v>6526</v>
      </c>
      <c r="E12">
        <v>11</v>
      </c>
      <c r="F12" t="s">
        <v>13</v>
      </c>
      <c r="G12" s="2" t="s">
        <v>6512</v>
      </c>
      <c r="H12" t="s">
        <v>76</v>
      </c>
      <c r="I12" s="3">
        <v>200010</v>
      </c>
      <c r="J12" t="str">
        <f t="shared" si="1"/>
        <v>200002</v>
      </c>
    </row>
    <row r="13" spans="1:10" x14ac:dyDescent="0.3">
      <c r="A13" t="s">
        <v>74</v>
      </c>
      <c r="B13" t="str">
        <f t="shared" si="0"/>
        <v>200002</v>
      </c>
      <c r="C13" t="s">
        <v>2952</v>
      </c>
      <c r="D13" t="s">
        <v>6526</v>
      </c>
      <c r="E13">
        <v>12</v>
      </c>
      <c r="F13" t="s">
        <v>2932</v>
      </c>
      <c r="G13" s="2" t="s">
        <v>6512</v>
      </c>
      <c r="H13" t="s">
        <v>76</v>
      </c>
      <c r="I13" s="3">
        <v>200011</v>
      </c>
      <c r="J13" t="str">
        <f t="shared" si="1"/>
        <v>200002</v>
      </c>
    </row>
    <row r="14" spans="1:10" x14ac:dyDescent="0.3">
      <c r="A14" t="s">
        <v>74</v>
      </c>
      <c r="B14" t="str">
        <f t="shared" si="0"/>
        <v>200004</v>
      </c>
      <c r="C14" t="s">
        <v>2953</v>
      </c>
      <c r="D14" t="s">
        <v>6537</v>
      </c>
      <c r="E14">
        <v>13</v>
      </c>
      <c r="F14" t="s">
        <v>2933</v>
      </c>
      <c r="G14" s="2" t="s">
        <v>6512</v>
      </c>
      <c r="H14" t="s">
        <v>76</v>
      </c>
      <c r="I14" s="3">
        <v>200012</v>
      </c>
      <c r="J14" t="str">
        <f t="shared" si="1"/>
        <v>200004</v>
      </c>
    </row>
    <row r="15" spans="1:10" x14ac:dyDescent="0.3">
      <c r="A15" t="s">
        <v>74</v>
      </c>
      <c r="B15" t="str">
        <f t="shared" si="0"/>
        <v>200005</v>
      </c>
      <c r="C15" t="s">
        <v>2954</v>
      </c>
      <c r="D15" t="s">
        <v>6521</v>
      </c>
      <c r="E15">
        <v>14</v>
      </c>
      <c r="F15" t="s">
        <v>2934</v>
      </c>
      <c r="G15" s="2" t="s">
        <v>6512</v>
      </c>
      <c r="H15" t="s">
        <v>76</v>
      </c>
      <c r="I15" s="3">
        <v>200013</v>
      </c>
      <c r="J15" t="str">
        <f t="shared" si="1"/>
        <v>200005</v>
      </c>
    </row>
    <row r="16" spans="1:10" x14ac:dyDescent="0.3">
      <c r="A16" t="s">
        <v>74</v>
      </c>
      <c r="B16" t="str">
        <f t="shared" si="0"/>
        <v>200005</v>
      </c>
      <c r="C16" t="s">
        <v>2954</v>
      </c>
      <c r="D16" t="s">
        <v>6521</v>
      </c>
      <c r="E16">
        <v>15</v>
      </c>
      <c r="F16" t="s">
        <v>2935</v>
      </c>
      <c r="G16" s="2" t="s">
        <v>6512</v>
      </c>
      <c r="H16" t="s">
        <v>76</v>
      </c>
      <c r="I16" s="3">
        <v>200014</v>
      </c>
      <c r="J16" t="str">
        <f t="shared" si="1"/>
        <v>200005</v>
      </c>
    </row>
    <row r="17" spans="1:10" x14ac:dyDescent="0.3">
      <c r="A17" t="s">
        <v>74</v>
      </c>
      <c r="B17" t="str">
        <f t="shared" si="0"/>
        <v>200006</v>
      </c>
      <c r="C17" t="s">
        <v>2955</v>
      </c>
      <c r="D17" t="s">
        <v>6518</v>
      </c>
      <c r="E17">
        <v>16</v>
      </c>
      <c r="F17" t="s">
        <v>2936</v>
      </c>
      <c r="G17" s="2" t="s">
        <v>6512</v>
      </c>
      <c r="H17" t="s">
        <v>76</v>
      </c>
      <c r="I17" s="3">
        <v>200015</v>
      </c>
      <c r="J17" t="str">
        <f t="shared" si="1"/>
        <v>200006</v>
      </c>
    </row>
    <row r="18" spans="1:10" x14ac:dyDescent="0.3">
      <c r="A18" t="s">
        <v>74</v>
      </c>
      <c r="B18" t="str">
        <f t="shared" si="0"/>
        <v>200006</v>
      </c>
      <c r="C18" t="s">
        <v>2955</v>
      </c>
      <c r="D18" t="s">
        <v>6518</v>
      </c>
      <c r="E18">
        <v>17</v>
      </c>
      <c r="F18" t="s">
        <v>2937</v>
      </c>
      <c r="G18" s="2" t="s">
        <v>6512</v>
      </c>
      <c r="H18" t="s">
        <v>76</v>
      </c>
      <c r="I18" s="3">
        <v>200016</v>
      </c>
      <c r="J18" t="str">
        <f t="shared" si="1"/>
        <v>200006</v>
      </c>
    </row>
    <row r="19" spans="1:10" x14ac:dyDescent="0.3">
      <c r="A19" t="s">
        <v>74</v>
      </c>
      <c r="B19" t="str">
        <f t="shared" si="0"/>
        <v>200006</v>
      </c>
      <c r="C19" t="s">
        <v>2955</v>
      </c>
      <c r="D19" t="s">
        <v>6518</v>
      </c>
      <c r="E19">
        <v>18</v>
      </c>
      <c r="F19" t="s">
        <v>2938</v>
      </c>
      <c r="G19" s="2" t="s">
        <v>6512</v>
      </c>
      <c r="H19" t="s">
        <v>76</v>
      </c>
      <c r="I19" s="3">
        <v>200017</v>
      </c>
      <c r="J19" t="str">
        <f t="shared" si="1"/>
        <v>200006</v>
      </c>
    </row>
    <row r="20" spans="1:10" x14ac:dyDescent="0.3">
      <c r="A20" t="s">
        <v>74</v>
      </c>
      <c r="B20" t="str">
        <f t="shared" si="0"/>
        <v>200008</v>
      </c>
      <c r="C20" t="s">
        <v>2939</v>
      </c>
      <c r="D20" t="s">
        <v>6519</v>
      </c>
      <c r="E20">
        <v>19</v>
      </c>
      <c r="F20" t="s">
        <v>2939</v>
      </c>
      <c r="G20" s="2" t="s">
        <v>6512</v>
      </c>
      <c r="H20" t="s">
        <v>76</v>
      </c>
      <c r="I20" s="3">
        <v>200018</v>
      </c>
      <c r="J20" t="str">
        <f t="shared" si="1"/>
        <v>200008</v>
      </c>
    </row>
    <row r="21" spans="1:10" x14ac:dyDescent="0.3">
      <c r="A21" t="s">
        <v>74</v>
      </c>
      <c r="B21" t="str">
        <f t="shared" si="0"/>
        <v>200008</v>
      </c>
      <c r="C21" t="s">
        <v>2939</v>
      </c>
      <c r="D21" t="s">
        <v>6519</v>
      </c>
      <c r="E21">
        <v>20</v>
      </c>
      <c r="F21" t="s">
        <v>2940</v>
      </c>
      <c r="G21" s="2" t="s">
        <v>6512</v>
      </c>
      <c r="H21" t="s">
        <v>76</v>
      </c>
      <c r="I21" s="3">
        <v>200019</v>
      </c>
      <c r="J21" t="str">
        <f t="shared" si="1"/>
        <v>200008</v>
      </c>
    </row>
    <row r="22" spans="1:10" x14ac:dyDescent="0.3">
      <c r="A22" t="s">
        <v>74</v>
      </c>
      <c r="B22" t="str">
        <f t="shared" si="0"/>
        <v>200007</v>
      </c>
      <c r="C22" t="s">
        <v>2956</v>
      </c>
      <c r="D22" t="s">
        <v>6534</v>
      </c>
      <c r="E22">
        <v>21</v>
      </c>
      <c r="F22" t="s">
        <v>2941</v>
      </c>
      <c r="G22" s="2" t="s">
        <v>6512</v>
      </c>
      <c r="H22" t="s">
        <v>76</v>
      </c>
      <c r="I22" s="3">
        <v>200020</v>
      </c>
      <c r="J22" t="str">
        <f t="shared" si="1"/>
        <v>200007</v>
      </c>
    </row>
    <row r="23" spans="1:10" x14ac:dyDescent="0.3">
      <c r="A23" t="s">
        <v>74</v>
      </c>
      <c r="B23" t="str">
        <f t="shared" si="0"/>
        <v>200007</v>
      </c>
      <c r="C23" t="s">
        <v>2956</v>
      </c>
      <c r="D23" t="s">
        <v>6534</v>
      </c>
      <c r="E23">
        <v>22</v>
      </c>
      <c r="F23" t="s">
        <v>2942</v>
      </c>
      <c r="G23" s="2" t="s">
        <v>6512</v>
      </c>
      <c r="H23" t="s">
        <v>76</v>
      </c>
      <c r="I23" s="3">
        <v>200021</v>
      </c>
      <c r="J23" t="str">
        <f t="shared" si="1"/>
        <v>200007</v>
      </c>
    </row>
    <row r="24" spans="1:10" x14ac:dyDescent="0.3">
      <c r="A24" t="s">
        <v>74</v>
      </c>
      <c r="B24" t="str">
        <f t="shared" si="0"/>
        <v>200008</v>
      </c>
      <c r="C24" t="s">
        <v>2939</v>
      </c>
      <c r="D24" t="s">
        <v>6519</v>
      </c>
      <c r="E24">
        <v>23</v>
      </c>
      <c r="F24" t="s">
        <v>2943</v>
      </c>
      <c r="G24" s="2" t="s">
        <v>6512</v>
      </c>
      <c r="H24" t="s">
        <v>76</v>
      </c>
      <c r="I24" s="3">
        <v>200022</v>
      </c>
      <c r="J24" t="str">
        <f t="shared" si="1"/>
        <v>200008</v>
      </c>
    </row>
    <row r="25" spans="1:10" x14ac:dyDescent="0.3">
      <c r="A25" t="s">
        <v>74</v>
      </c>
      <c r="B25" t="str">
        <f t="shared" si="0"/>
        <v>200009</v>
      </c>
      <c r="C25" t="s">
        <v>2957</v>
      </c>
      <c r="D25" t="s">
        <v>6515</v>
      </c>
      <c r="E25">
        <v>24</v>
      </c>
      <c r="F25" t="s">
        <v>2944</v>
      </c>
      <c r="G25" s="2" t="s">
        <v>6512</v>
      </c>
      <c r="H25" t="s">
        <v>76</v>
      </c>
      <c r="I25" s="3">
        <v>200023</v>
      </c>
      <c r="J25" t="str">
        <f t="shared" si="1"/>
        <v>200009</v>
      </c>
    </row>
    <row r="26" spans="1:10" x14ac:dyDescent="0.3">
      <c r="A26" t="s">
        <v>74</v>
      </c>
      <c r="B26" t="str">
        <f t="shared" si="0"/>
        <v>200009</v>
      </c>
      <c r="C26" t="s">
        <v>2957</v>
      </c>
      <c r="D26" t="s">
        <v>6515</v>
      </c>
      <c r="E26">
        <v>25</v>
      </c>
      <c r="F26" t="s">
        <v>2945</v>
      </c>
      <c r="G26" s="2" t="s">
        <v>6512</v>
      </c>
      <c r="H26" t="s">
        <v>76</v>
      </c>
      <c r="I26" s="3">
        <v>200024</v>
      </c>
      <c r="J26" t="str">
        <f t="shared" si="1"/>
        <v>200009</v>
      </c>
    </row>
    <row r="27" spans="1:10" x14ac:dyDescent="0.3">
      <c r="A27" t="s">
        <v>74</v>
      </c>
      <c r="B27" t="str">
        <f t="shared" si="0"/>
        <v>200010</v>
      </c>
      <c r="C27" t="s">
        <v>2946</v>
      </c>
      <c r="D27" t="s">
        <v>6516</v>
      </c>
      <c r="E27">
        <v>26</v>
      </c>
      <c r="F27" t="s">
        <v>2946</v>
      </c>
      <c r="G27" s="2" t="s">
        <v>6512</v>
      </c>
      <c r="H27" t="s">
        <v>76</v>
      </c>
      <c r="I27" s="3">
        <v>200025</v>
      </c>
      <c r="J27" t="str">
        <f t="shared" si="1"/>
        <v>200010</v>
      </c>
    </row>
    <row r="28" spans="1:10" x14ac:dyDescent="0.3">
      <c r="A28" t="s">
        <v>74</v>
      </c>
      <c r="B28" t="str">
        <f t="shared" si="0"/>
        <v>200010</v>
      </c>
      <c r="C28" t="s">
        <v>2946</v>
      </c>
      <c r="D28" t="s">
        <v>6516</v>
      </c>
      <c r="E28">
        <v>27</v>
      </c>
      <c r="F28" t="s">
        <v>2947</v>
      </c>
      <c r="G28" s="2" t="s">
        <v>6512</v>
      </c>
      <c r="H28" t="s">
        <v>76</v>
      </c>
      <c r="I28" s="3">
        <v>200026</v>
      </c>
      <c r="J28" t="str">
        <f t="shared" si="1"/>
        <v>200010</v>
      </c>
    </row>
    <row r="29" spans="1:10" x14ac:dyDescent="0.3">
      <c r="A29" t="s">
        <v>74</v>
      </c>
      <c r="B29" t="str">
        <f t="shared" si="0"/>
        <v>200009</v>
      </c>
      <c r="C29" t="s">
        <v>2957</v>
      </c>
      <c r="D29" t="s">
        <v>6515</v>
      </c>
      <c r="E29">
        <v>28</v>
      </c>
      <c r="F29" t="s">
        <v>2948</v>
      </c>
      <c r="G29" s="2" t="s">
        <v>6512</v>
      </c>
      <c r="H29" t="s">
        <v>76</v>
      </c>
      <c r="I29" s="3">
        <v>200027</v>
      </c>
      <c r="J29" t="str">
        <f t="shared" si="1"/>
        <v>200009</v>
      </c>
    </row>
    <row r="30" spans="1:10" x14ac:dyDescent="0.3">
      <c r="A30" t="s">
        <v>74</v>
      </c>
      <c r="B30" t="str">
        <f t="shared" si="0"/>
        <v>200011</v>
      </c>
      <c r="C30" t="s">
        <v>2949</v>
      </c>
      <c r="D30" t="s">
        <v>6530</v>
      </c>
      <c r="E30">
        <v>99</v>
      </c>
      <c r="F30" t="s">
        <v>2949</v>
      </c>
      <c r="G30" s="2" t="s">
        <v>6512</v>
      </c>
      <c r="H30" t="s">
        <v>76</v>
      </c>
      <c r="I30" s="3">
        <v>200028</v>
      </c>
      <c r="J30" t="str">
        <f t="shared" si="1"/>
        <v>200011</v>
      </c>
    </row>
    <row r="31" spans="1:10" x14ac:dyDescent="0.3">
      <c r="A31" t="s">
        <v>74</v>
      </c>
      <c r="B31" t="str">
        <f t="shared" si="0"/>
        <v>200012</v>
      </c>
      <c r="C31" t="s">
        <v>2950</v>
      </c>
      <c r="D31" t="s">
        <v>6528</v>
      </c>
      <c r="E31">
        <v>999</v>
      </c>
      <c r="F31" t="s">
        <v>2950</v>
      </c>
      <c r="G31" s="2" t="s">
        <v>6512</v>
      </c>
      <c r="H31" t="s">
        <v>76</v>
      </c>
      <c r="I31" s="3">
        <v>200029</v>
      </c>
      <c r="J31" t="str">
        <f t="shared" si="1"/>
        <v>200012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8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2" width="10.5546875" customWidth="1"/>
    <col min="3" max="3" width="17.44140625" bestFit="1" customWidth="1"/>
    <col min="4" max="4" width="17.88671875" customWidth="1"/>
    <col min="5" max="5" width="18" customWidth="1"/>
    <col min="6" max="6" width="15.33203125" bestFit="1" customWidth="1"/>
    <col min="7" max="7" width="11" customWidth="1"/>
  </cols>
  <sheetData>
    <row r="1" spans="1:11" x14ac:dyDescent="0.3">
      <c r="A1" t="s">
        <v>68</v>
      </c>
      <c r="B1" t="s">
        <v>7890</v>
      </c>
      <c r="C1" t="s">
        <v>5377</v>
      </c>
      <c r="D1" t="s">
        <v>5378</v>
      </c>
      <c r="E1" t="s">
        <v>73</v>
      </c>
      <c r="F1" t="s">
        <v>7891</v>
      </c>
      <c r="G1" t="s">
        <v>70</v>
      </c>
      <c r="H1" t="s">
        <v>71</v>
      </c>
      <c r="I1" t="s">
        <v>5325</v>
      </c>
      <c r="J1" t="s">
        <v>6935</v>
      </c>
      <c r="K1" t="s">
        <v>7879</v>
      </c>
    </row>
    <row r="2" spans="1:11" x14ac:dyDescent="0.3">
      <c r="A2" t="s">
        <v>5376</v>
      </c>
      <c r="B2">
        <f>_xlfn.NUMBERVALUE(MID(D2,13,6))</f>
        <v>200000</v>
      </c>
      <c r="C2" t="s">
        <v>2923</v>
      </c>
      <c r="D2" t="s">
        <v>6533</v>
      </c>
      <c r="E2" t="s">
        <v>5345</v>
      </c>
      <c r="F2">
        <v>1</v>
      </c>
      <c r="G2" s="2" t="s">
        <v>6512</v>
      </c>
      <c r="H2" t="s">
        <v>76</v>
      </c>
      <c r="I2" s="3">
        <v>200064</v>
      </c>
      <c r="J2" t="str">
        <f t="shared" ref="J2:J33" si="0">E2</f>
        <v>Cobble Hill</v>
      </c>
      <c r="K2" t="str">
        <f t="shared" ref="K2:K33" si="1">C2</f>
        <v>South Island</v>
      </c>
    </row>
    <row r="3" spans="1:11" x14ac:dyDescent="0.3">
      <c r="A3" t="s">
        <v>5376</v>
      </c>
      <c r="B3">
        <f t="shared" ref="B3:B66" si="2">_xlfn.NUMBERVALUE(MID(D3,13,6))</f>
        <v>200000</v>
      </c>
      <c r="C3" t="s">
        <v>2923</v>
      </c>
      <c r="D3" t="s">
        <v>6533</v>
      </c>
      <c r="E3" t="s">
        <v>5354</v>
      </c>
      <c r="F3">
        <v>2</v>
      </c>
      <c r="G3" s="2" t="s">
        <v>6512</v>
      </c>
      <c r="H3" t="s">
        <v>76</v>
      </c>
      <c r="I3" s="3">
        <v>200065</v>
      </c>
      <c r="J3" t="str">
        <f t="shared" si="0"/>
        <v>Lake Cowichan</v>
      </c>
      <c r="K3" t="str">
        <f t="shared" si="1"/>
        <v>South Island</v>
      </c>
    </row>
    <row r="4" spans="1:11" x14ac:dyDescent="0.3">
      <c r="A4" t="s">
        <v>5376</v>
      </c>
      <c r="B4">
        <f t="shared" si="2"/>
        <v>200000</v>
      </c>
      <c r="C4" t="s">
        <v>2923</v>
      </c>
      <c r="D4" t="s">
        <v>6533</v>
      </c>
      <c r="E4" t="s">
        <v>3297</v>
      </c>
      <c r="F4">
        <v>3</v>
      </c>
      <c r="G4" s="2" t="s">
        <v>6512</v>
      </c>
      <c r="H4" t="s">
        <v>76</v>
      </c>
      <c r="I4" s="3">
        <v>200066</v>
      </c>
      <c r="J4" t="str">
        <f t="shared" si="0"/>
        <v>Duncan</v>
      </c>
      <c r="K4" t="str">
        <f t="shared" si="1"/>
        <v>South Island</v>
      </c>
    </row>
    <row r="5" spans="1:11" x14ac:dyDescent="0.3">
      <c r="A5" t="s">
        <v>5376</v>
      </c>
      <c r="B5">
        <f t="shared" si="2"/>
        <v>200000</v>
      </c>
      <c r="C5" t="s">
        <v>2923</v>
      </c>
      <c r="D5" t="s">
        <v>6533</v>
      </c>
      <c r="E5" t="s">
        <v>5388</v>
      </c>
      <c r="F5">
        <v>4</v>
      </c>
      <c r="G5" s="2" t="s">
        <v>6512</v>
      </c>
      <c r="H5" t="s">
        <v>76</v>
      </c>
      <c r="I5" s="3">
        <v>200067</v>
      </c>
      <c r="J5" t="str">
        <f t="shared" si="0"/>
        <v>Saanich Peninsula</v>
      </c>
      <c r="K5" t="str">
        <f t="shared" si="1"/>
        <v>South Island</v>
      </c>
    </row>
    <row r="6" spans="1:11" x14ac:dyDescent="0.3">
      <c r="A6" t="s">
        <v>5376</v>
      </c>
      <c r="B6">
        <f t="shared" si="2"/>
        <v>200000</v>
      </c>
      <c r="C6" t="s">
        <v>2923</v>
      </c>
      <c r="D6" t="s">
        <v>6533</v>
      </c>
      <c r="E6" t="s">
        <v>6486</v>
      </c>
      <c r="F6">
        <v>5</v>
      </c>
      <c r="G6" s="2" t="s">
        <v>6512</v>
      </c>
      <c r="H6" t="s">
        <v>76</v>
      </c>
      <c r="I6" s="3">
        <v>200068</v>
      </c>
      <c r="J6" t="str">
        <f t="shared" si="0"/>
        <v>Western Communities</v>
      </c>
      <c r="K6" t="str">
        <f t="shared" si="1"/>
        <v>South Island</v>
      </c>
    </row>
    <row r="7" spans="1:11" x14ac:dyDescent="0.3">
      <c r="A7" t="s">
        <v>5376</v>
      </c>
      <c r="B7">
        <f t="shared" si="2"/>
        <v>200001</v>
      </c>
      <c r="C7" t="s">
        <v>2924</v>
      </c>
      <c r="D7" t="s">
        <v>6514</v>
      </c>
      <c r="E7" t="s">
        <v>6458</v>
      </c>
      <c r="F7">
        <v>6</v>
      </c>
      <c r="G7" s="2" t="s">
        <v>6512</v>
      </c>
      <c r="H7" t="s">
        <v>76</v>
      </c>
      <c r="I7" s="3">
        <v>200005</v>
      </c>
      <c r="J7" t="str">
        <f t="shared" si="0"/>
        <v>Nanaimo/Ladysmith/Lantzville</v>
      </c>
      <c r="K7" t="str">
        <f t="shared" si="1"/>
        <v>Central  Island</v>
      </c>
    </row>
    <row r="8" spans="1:11" x14ac:dyDescent="0.3">
      <c r="A8" t="s">
        <v>5376</v>
      </c>
      <c r="B8">
        <f t="shared" si="2"/>
        <v>200001</v>
      </c>
      <c r="C8" t="s">
        <v>2924</v>
      </c>
      <c r="D8" t="s">
        <v>6514</v>
      </c>
      <c r="E8" t="s">
        <v>6459</v>
      </c>
      <c r="F8">
        <v>7</v>
      </c>
      <c r="G8" s="2" t="s">
        <v>6512</v>
      </c>
      <c r="H8" t="s">
        <v>76</v>
      </c>
      <c r="I8" s="3">
        <v>200006</v>
      </c>
      <c r="J8" t="str">
        <f t="shared" si="0"/>
        <v>Parksville/Qualicum</v>
      </c>
      <c r="K8" t="str">
        <f t="shared" si="1"/>
        <v>Central  Island</v>
      </c>
    </row>
    <row r="9" spans="1:11" x14ac:dyDescent="0.3">
      <c r="A9" t="s">
        <v>5376</v>
      </c>
      <c r="B9">
        <f t="shared" si="2"/>
        <v>200001</v>
      </c>
      <c r="C9" t="s">
        <v>2924</v>
      </c>
      <c r="D9" t="s">
        <v>6514</v>
      </c>
      <c r="E9" t="s">
        <v>3722</v>
      </c>
      <c r="F9">
        <v>8</v>
      </c>
      <c r="G9" s="2" t="s">
        <v>6512</v>
      </c>
      <c r="H9" t="s">
        <v>76</v>
      </c>
      <c r="I9" s="3">
        <v>200007</v>
      </c>
      <c r="J9" t="str">
        <f t="shared" si="0"/>
        <v>Port Alberni</v>
      </c>
      <c r="K9" t="str">
        <f t="shared" si="1"/>
        <v>Central  Island</v>
      </c>
    </row>
    <row r="10" spans="1:11" x14ac:dyDescent="0.3">
      <c r="A10" t="s">
        <v>5376</v>
      </c>
      <c r="B10">
        <f t="shared" si="2"/>
        <v>200001</v>
      </c>
      <c r="C10" t="s">
        <v>2924</v>
      </c>
      <c r="D10" t="s">
        <v>6514</v>
      </c>
      <c r="E10" t="s">
        <v>6460</v>
      </c>
      <c r="F10">
        <v>9</v>
      </c>
      <c r="G10" s="2" t="s">
        <v>6512</v>
      </c>
      <c r="H10" t="s">
        <v>76</v>
      </c>
      <c r="I10" s="3">
        <v>200008</v>
      </c>
      <c r="J10" t="str">
        <f t="shared" si="0"/>
        <v>Ucluelet/Tofino</v>
      </c>
      <c r="K10" t="str">
        <f t="shared" si="1"/>
        <v>Central  Island</v>
      </c>
    </row>
    <row r="11" spans="1:11" x14ac:dyDescent="0.3">
      <c r="A11" t="s">
        <v>5376</v>
      </c>
      <c r="B11">
        <f t="shared" si="2"/>
        <v>200001</v>
      </c>
      <c r="C11" t="s">
        <v>2924</v>
      </c>
      <c r="D11" t="s">
        <v>6514</v>
      </c>
      <c r="E11" t="s">
        <v>5351</v>
      </c>
      <c r="F11">
        <v>10</v>
      </c>
      <c r="G11" s="2" t="s">
        <v>6512</v>
      </c>
      <c r="H11" t="s">
        <v>76</v>
      </c>
      <c r="I11" s="3">
        <v>200009</v>
      </c>
      <c r="J11" t="str">
        <f t="shared" si="0"/>
        <v>Gabriola Island</v>
      </c>
      <c r="K11" t="str">
        <f t="shared" si="1"/>
        <v>Central  Island</v>
      </c>
    </row>
    <row r="12" spans="1:11" x14ac:dyDescent="0.3">
      <c r="A12" t="s">
        <v>5376</v>
      </c>
      <c r="B12">
        <f t="shared" si="2"/>
        <v>200002</v>
      </c>
      <c r="C12" t="s">
        <v>2925</v>
      </c>
      <c r="D12" t="s">
        <v>6526</v>
      </c>
      <c r="E12" t="s">
        <v>4783</v>
      </c>
      <c r="F12">
        <v>11</v>
      </c>
      <c r="G12" s="2" t="s">
        <v>6512</v>
      </c>
      <c r="H12" t="s">
        <v>76</v>
      </c>
      <c r="I12" s="3">
        <v>200038</v>
      </c>
      <c r="J12" t="str">
        <f t="shared" si="0"/>
        <v>Courtenay</v>
      </c>
      <c r="K12" t="str">
        <f t="shared" si="1"/>
        <v>North  Island</v>
      </c>
    </row>
    <row r="13" spans="1:11" x14ac:dyDescent="0.3">
      <c r="A13" t="s">
        <v>5376</v>
      </c>
      <c r="B13">
        <f t="shared" si="2"/>
        <v>200002</v>
      </c>
      <c r="C13" t="s">
        <v>2925</v>
      </c>
      <c r="D13" t="s">
        <v>6526</v>
      </c>
      <c r="E13" t="s">
        <v>5343</v>
      </c>
      <c r="F13">
        <v>12</v>
      </c>
      <c r="G13" s="2" t="s">
        <v>6512</v>
      </c>
      <c r="H13" t="s">
        <v>76</v>
      </c>
      <c r="I13" s="3">
        <v>200039</v>
      </c>
      <c r="J13" t="str">
        <f t="shared" si="0"/>
        <v>Campbell River</v>
      </c>
      <c r="K13" t="str">
        <f t="shared" si="1"/>
        <v>North  Island</v>
      </c>
    </row>
    <row r="14" spans="1:11" x14ac:dyDescent="0.3">
      <c r="A14" t="s">
        <v>5376</v>
      </c>
      <c r="B14">
        <f t="shared" si="2"/>
        <v>200002</v>
      </c>
      <c r="C14" t="s">
        <v>2925</v>
      </c>
      <c r="D14" t="s">
        <v>6526</v>
      </c>
      <c r="E14" t="s">
        <v>3769</v>
      </c>
      <c r="F14">
        <v>13</v>
      </c>
      <c r="G14" s="2" t="s">
        <v>6512</v>
      </c>
      <c r="H14" t="s">
        <v>76</v>
      </c>
      <c r="I14" s="3">
        <v>200040</v>
      </c>
      <c r="J14" t="str">
        <f t="shared" si="0"/>
        <v>Port Hardy</v>
      </c>
      <c r="K14" t="str">
        <f t="shared" si="1"/>
        <v>North  Island</v>
      </c>
    </row>
    <row r="15" spans="1:11" x14ac:dyDescent="0.3">
      <c r="A15" t="s">
        <v>5376</v>
      </c>
      <c r="B15">
        <f t="shared" si="2"/>
        <v>200002</v>
      </c>
      <c r="C15" t="s">
        <v>2925</v>
      </c>
      <c r="D15" t="s">
        <v>6526</v>
      </c>
      <c r="E15" t="s">
        <v>5352</v>
      </c>
      <c r="F15">
        <v>14</v>
      </c>
      <c r="G15" s="2" t="s">
        <v>6512</v>
      </c>
      <c r="H15" t="s">
        <v>76</v>
      </c>
      <c r="I15" s="3">
        <v>200041</v>
      </c>
      <c r="J15" t="str">
        <f t="shared" si="0"/>
        <v>Gold River</v>
      </c>
      <c r="K15" t="str">
        <f t="shared" si="1"/>
        <v>North  Island</v>
      </c>
    </row>
    <row r="16" spans="1:11" x14ac:dyDescent="0.3">
      <c r="A16" t="s">
        <v>5376</v>
      </c>
      <c r="B16">
        <f t="shared" si="2"/>
        <v>200004</v>
      </c>
      <c r="C16" t="s">
        <v>2927</v>
      </c>
      <c r="D16" t="s">
        <v>6537</v>
      </c>
      <c r="E16" t="s">
        <v>5356</v>
      </c>
      <c r="F16">
        <v>15</v>
      </c>
      <c r="G16" s="2" t="s">
        <v>6512</v>
      </c>
      <c r="H16" t="s">
        <v>76</v>
      </c>
      <c r="I16" s="3">
        <v>200081</v>
      </c>
      <c r="J16" t="str">
        <f t="shared" si="0"/>
        <v>Powell River</v>
      </c>
      <c r="K16" t="str">
        <f t="shared" si="1"/>
        <v>Sunshine Coast</v>
      </c>
    </row>
    <row r="17" spans="1:11" x14ac:dyDescent="0.3">
      <c r="A17" t="s">
        <v>5376</v>
      </c>
      <c r="B17">
        <f t="shared" si="2"/>
        <v>200005</v>
      </c>
      <c r="C17" t="s">
        <v>2928</v>
      </c>
      <c r="D17" t="s">
        <v>6521</v>
      </c>
      <c r="E17" t="s">
        <v>6473</v>
      </c>
      <c r="F17">
        <v>16</v>
      </c>
      <c r="G17" s="2" t="s">
        <v>6512</v>
      </c>
      <c r="H17" t="s">
        <v>76</v>
      </c>
      <c r="I17" s="3">
        <v>200029</v>
      </c>
      <c r="J17" t="str">
        <f t="shared" si="0"/>
        <v>Lower Mainland-Surrey/Langley</v>
      </c>
      <c r="K17" t="str">
        <f t="shared" si="1"/>
        <v>Lower Mainland</v>
      </c>
    </row>
    <row r="18" spans="1:11" x14ac:dyDescent="0.3">
      <c r="A18" t="s">
        <v>5376</v>
      </c>
      <c r="B18">
        <f t="shared" si="2"/>
        <v>200005</v>
      </c>
      <c r="C18" t="s">
        <v>2928</v>
      </c>
      <c r="D18" t="s">
        <v>6521</v>
      </c>
      <c r="E18" t="s">
        <v>6474</v>
      </c>
      <c r="F18">
        <v>17</v>
      </c>
      <c r="G18" s="2" t="s">
        <v>6512</v>
      </c>
      <c r="H18" t="s">
        <v>76</v>
      </c>
      <c r="I18" s="3">
        <v>200030</v>
      </c>
      <c r="J18" t="str">
        <f t="shared" si="0"/>
        <v>Lower Mainland-Coquitlam/Burnaby/Van</v>
      </c>
      <c r="K18" t="str">
        <f t="shared" si="1"/>
        <v>Lower Mainland</v>
      </c>
    </row>
    <row r="19" spans="1:11" x14ac:dyDescent="0.3">
      <c r="A19" t="s">
        <v>5376</v>
      </c>
      <c r="B19">
        <f t="shared" si="2"/>
        <v>200005</v>
      </c>
      <c r="C19" t="s">
        <v>2928</v>
      </c>
      <c r="D19" t="s">
        <v>6521</v>
      </c>
      <c r="E19" t="s">
        <v>6475</v>
      </c>
      <c r="F19">
        <v>18</v>
      </c>
      <c r="G19" s="2" t="s">
        <v>6512</v>
      </c>
      <c r="H19" t="s">
        <v>76</v>
      </c>
      <c r="I19" s="3">
        <v>200031</v>
      </c>
      <c r="J19" t="str">
        <f t="shared" si="0"/>
        <v>Lower Mainland-Delta/Richmond</v>
      </c>
      <c r="K19" t="str">
        <f t="shared" si="1"/>
        <v>Lower Mainland</v>
      </c>
    </row>
    <row r="20" spans="1:11" x14ac:dyDescent="0.3">
      <c r="A20" t="s">
        <v>5376</v>
      </c>
      <c r="B20">
        <f t="shared" si="2"/>
        <v>200006</v>
      </c>
      <c r="C20" t="s">
        <v>10</v>
      </c>
      <c r="D20" t="s">
        <v>6518</v>
      </c>
      <c r="E20" t="s">
        <v>6467</v>
      </c>
      <c r="F20">
        <v>19</v>
      </c>
      <c r="G20" s="2" t="s">
        <v>6512</v>
      </c>
      <c r="H20" t="s">
        <v>76</v>
      </c>
      <c r="I20" s="3">
        <v>200020</v>
      </c>
      <c r="J20" t="str">
        <f t="shared" si="0"/>
        <v>Chilliwack/Rosedale</v>
      </c>
      <c r="K20" t="str">
        <f t="shared" si="1"/>
        <v>Fraser Valley</v>
      </c>
    </row>
    <row r="21" spans="1:11" x14ac:dyDescent="0.3">
      <c r="A21" t="s">
        <v>5376</v>
      </c>
      <c r="B21">
        <f t="shared" si="2"/>
        <v>200006</v>
      </c>
      <c r="C21" t="s">
        <v>10</v>
      </c>
      <c r="D21" t="s">
        <v>6518</v>
      </c>
      <c r="E21" t="s">
        <v>6468</v>
      </c>
      <c r="F21">
        <v>20</v>
      </c>
      <c r="G21" s="2" t="s">
        <v>6512</v>
      </c>
      <c r="H21" t="s">
        <v>76</v>
      </c>
      <c r="I21" s="3">
        <v>200021</v>
      </c>
      <c r="J21" t="str">
        <f t="shared" si="0"/>
        <v>Hope/Allison Pass</v>
      </c>
      <c r="K21" t="str">
        <f t="shared" si="1"/>
        <v>Fraser Valley</v>
      </c>
    </row>
    <row r="22" spans="1:11" x14ac:dyDescent="0.3">
      <c r="A22" t="s">
        <v>5376</v>
      </c>
      <c r="B22">
        <f t="shared" si="2"/>
        <v>200006</v>
      </c>
      <c r="C22" t="s">
        <v>10</v>
      </c>
      <c r="D22" t="s">
        <v>6518</v>
      </c>
      <c r="E22" t="s">
        <v>3104</v>
      </c>
      <c r="F22">
        <v>21</v>
      </c>
      <c r="G22" s="2" t="s">
        <v>6512</v>
      </c>
      <c r="H22" t="s">
        <v>76</v>
      </c>
      <c r="I22" s="3">
        <v>200022</v>
      </c>
      <c r="J22" t="str">
        <f t="shared" si="0"/>
        <v>Abbotsford</v>
      </c>
      <c r="K22" t="str">
        <f t="shared" si="1"/>
        <v>Fraser Valley</v>
      </c>
    </row>
    <row r="23" spans="1:11" x14ac:dyDescent="0.3">
      <c r="A23" t="s">
        <v>5376</v>
      </c>
      <c r="B23">
        <f t="shared" si="2"/>
        <v>200007</v>
      </c>
      <c r="C23" t="s">
        <v>2929</v>
      </c>
      <c r="D23" t="s">
        <v>6534</v>
      </c>
      <c r="E23" t="s">
        <v>6487</v>
      </c>
      <c r="F23">
        <v>22</v>
      </c>
      <c r="G23" s="2" t="s">
        <v>6512</v>
      </c>
      <c r="H23" t="s">
        <v>76</v>
      </c>
      <c r="I23" s="3">
        <v>200069</v>
      </c>
      <c r="J23" t="str">
        <f t="shared" si="0"/>
        <v>Penticton Rd. Management Area</v>
      </c>
      <c r="K23" t="str">
        <f t="shared" si="1"/>
        <v>South Okanagan</v>
      </c>
    </row>
    <row r="24" spans="1:11" x14ac:dyDescent="0.3">
      <c r="A24" t="s">
        <v>5376</v>
      </c>
      <c r="B24">
        <f t="shared" si="2"/>
        <v>200007</v>
      </c>
      <c r="C24" t="s">
        <v>2929</v>
      </c>
      <c r="D24" t="s">
        <v>6534</v>
      </c>
      <c r="E24" t="s">
        <v>6488</v>
      </c>
      <c r="F24">
        <v>23</v>
      </c>
      <c r="G24" s="2" t="s">
        <v>6512</v>
      </c>
      <c r="H24" t="s">
        <v>76</v>
      </c>
      <c r="I24" s="3">
        <v>200070</v>
      </c>
      <c r="J24" t="str">
        <f t="shared" si="0"/>
        <v>Kelowna Road Management Area</v>
      </c>
      <c r="K24" t="str">
        <f t="shared" si="1"/>
        <v>South Okanagan</v>
      </c>
    </row>
    <row r="25" spans="1:11" x14ac:dyDescent="0.3">
      <c r="A25" t="s">
        <v>5376</v>
      </c>
      <c r="B25">
        <f t="shared" si="2"/>
        <v>200007</v>
      </c>
      <c r="C25" t="s">
        <v>2929</v>
      </c>
      <c r="D25" t="s">
        <v>6534</v>
      </c>
      <c r="E25" t="s">
        <v>6489</v>
      </c>
      <c r="F25">
        <v>24</v>
      </c>
      <c r="G25" s="2" t="s">
        <v>6512</v>
      </c>
      <c r="H25" t="s">
        <v>76</v>
      </c>
      <c r="I25" s="3">
        <v>200071</v>
      </c>
      <c r="J25" t="str">
        <f t="shared" si="0"/>
        <v>Princeton Road Management Area</v>
      </c>
      <c r="K25" t="str">
        <f t="shared" si="1"/>
        <v>South Okanagan</v>
      </c>
    </row>
    <row r="26" spans="1:11" x14ac:dyDescent="0.3">
      <c r="A26" t="s">
        <v>5376</v>
      </c>
      <c r="B26">
        <f t="shared" si="2"/>
        <v>200007</v>
      </c>
      <c r="C26" t="s">
        <v>2929</v>
      </c>
      <c r="D26" t="s">
        <v>6534</v>
      </c>
      <c r="E26" t="s">
        <v>6490</v>
      </c>
      <c r="F26">
        <v>25</v>
      </c>
      <c r="G26" s="2" t="s">
        <v>6512</v>
      </c>
      <c r="H26" t="s">
        <v>76</v>
      </c>
      <c r="I26" s="3">
        <v>200072</v>
      </c>
      <c r="J26" t="str">
        <f t="shared" si="0"/>
        <v>Oliver/Osoyoos Rd. Mgmt. Area</v>
      </c>
      <c r="K26" t="str">
        <f t="shared" si="1"/>
        <v>South Okanagan</v>
      </c>
    </row>
    <row r="27" spans="1:11" x14ac:dyDescent="0.3">
      <c r="A27" t="s">
        <v>5376</v>
      </c>
      <c r="B27">
        <f t="shared" si="2"/>
        <v>200007</v>
      </c>
      <c r="C27" t="s">
        <v>2929</v>
      </c>
      <c r="D27" t="s">
        <v>6534</v>
      </c>
      <c r="E27" t="s">
        <v>6491</v>
      </c>
      <c r="F27">
        <v>26</v>
      </c>
      <c r="G27" s="2" t="s">
        <v>6512</v>
      </c>
      <c r="H27" t="s">
        <v>76</v>
      </c>
      <c r="I27" s="3">
        <v>200073</v>
      </c>
      <c r="J27" t="str">
        <f t="shared" si="0"/>
        <v>Peachland/Westbank Rd.Mgt.Area</v>
      </c>
      <c r="K27" t="str">
        <f t="shared" si="1"/>
        <v>South Okanagan</v>
      </c>
    </row>
    <row r="28" spans="1:11" x14ac:dyDescent="0.3">
      <c r="A28" t="s">
        <v>5376</v>
      </c>
      <c r="B28">
        <f t="shared" si="2"/>
        <v>200008</v>
      </c>
      <c r="C28" t="s">
        <v>2930</v>
      </c>
      <c r="D28" t="s">
        <v>6519</v>
      </c>
      <c r="E28" t="s">
        <v>6469</v>
      </c>
      <c r="F28">
        <v>27</v>
      </c>
      <c r="G28" s="2" t="s">
        <v>6512</v>
      </c>
      <c r="H28" t="s">
        <v>76</v>
      </c>
      <c r="I28" s="3">
        <v>200023</v>
      </c>
      <c r="J28" t="str">
        <f t="shared" si="0"/>
        <v>Castlegar And Area</v>
      </c>
      <c r="K28" t="str">
        <f t="shared" si="1"/>
        <v>Kootenay Boundary</v>
      </c>
    </row>
    <row r="29" spans="1:11" x14ac:dyDescent="0.3">
      <c r="A29" t="s">
        <v>5376</v>
      </c>
      <c r="B29">
        <f t="shared" si="2"/>
        <v>200008</v>
      </c>
      <c r="C29" t="s">
        <v>2930</v>
      </c>
      <c r="D29" t="s">
        <v>6519</v>
      </c>
      <c r="E29" t="s">
        <v>6470</v>
      </c>
      <c r="F29">
        <v>28</v>
      </c>
      <c r="G29" s="2" t="s">
        <v>6512</v>
      </c>
      <c r="H29" t="s">
        <v>76</v>
      </c>
      <c r="I29" s="3">
        <v>200024</v>
      </c>
      <c r="J29" t="str">
        <f t="shared" si="0"/>
        <v>Grand Forks And Area</v>
      </c>
      <c r="K29" t="str">
        <f t="shared" si="1"/>
        <v>Kootenay Boundary</v>
      </c>
    </row>
    <row r="30" spans="1:11" x14ac:dyDescent="0.3">
      <c r="A30" t="s">
        <v>5376</v>
      </c>
      <c r="B30">
        <f t="shared" si="2"/>
        <v>200008</v>
      </c>
      <c r="C30" t="s">
        <v>2930</v>
      </c>
      <c r="D30" t="s">
        <v>6519</v>
      </c>
      <c r="E30" t="s">
        <v>6471</v>
      </c>
      <c r="F30">
        <v>29</v>
      </c>
      <c r="G30" s="2" t="s">
        <v>6512</v>
      </c>
      <c r="H30" t="s">
        <v>76</v>
      </c>
      <c r="I30" s="3">
        <v>200025</v>
      </c>
      <c r="J30" t="str">
        <f t="shared" si="0"/>
        <v>Rock Creek And Area</v>
      </c>
      <c r="K30" t="str">
        <f t="shared" si="1"/>
        <v>Kootenay Boundary</v>
      </c>
    </row>
    <row r="31" spans="1:11" x14ac:dyDescent="0.3">
      <c r="A31" t="s">
        <v>5376</v>
      </c>
      <c r="B31">
        <f t="shared" si="2"/>
        <v>200008</v>
      </c>
      <c r="C31" t="s">
        <v>2930</v>
      </c>
      <c r="D31" t="s">
        <v>6519</v>
      </c>
      <c r="E31" t="s">
        <v>6472</v>
      </c>
      <c r="F31">
        <v>30</v>
      </c>
      <c r="G31" s="2" t="s">
        <v>6512</v>
      </c>
      <c r="H31" t="s">
        <v>76</v>
      </c>
      <c r="I31" s="3">
        <v>200026</v>
      </c>
      <c r="J31" t="str">
        <f t="shared" si="0"/>
        <v>Rossland And Area</v>
      </c>
      <c r="K31" t="str">
        <f t="shared" si="1"/>
        <v>Kootenay Boundary</v>
      </c>
    </row>
    <row r="32" spans="1:11" x14ac:dyDescent="0.3">
      <c r="A32" t="s">
        <v>5376</v>
      </c>
      <c r="B32">
        <f t="shared" si="2"/>
        <v>200009</v>
      </c>
      <c r="C32" t="s">
        <v>2931</v>
      </c>
      <c r="D32" t="s">
        <v>6515</v>
      </c>
      <c r="E32" t="s">
        <v>6461</v>
      </c>
      <c r="F32">
        <v>31</v>
      </c>
      <c r="G32" s="2" t="s">
        <v>6512</v>
      </c>
      <c r="H32" t="s">
        <v>76</v>
      </c>
      <c r="I32" s="3">
        <v>200010</v>
      </c>
      <c r="J32" t="str">
        <f t="shared" si="0"/>
        <v>Central Koot., New Denver</v>
      </c>
      <c r="K32" t="str">
        <f t="shared" si="1"/>
        <v>Central Kootenay</v>
      </c>
    </row>
    <row r="33" spans="1:11" x14ac:dyDescent="0.3">
      <c r="A33" t="s">
        <v>5376</v>
      </c>
      <c r="B33">
        <f t="shared" si="2"/>
        <v>200009</v>
      </c>
      <c r="C33" t="s">
        <v>2931</v>
      </c>
      <c r="D33" t="s">
        <v>6515</v>
      </c>
      <c r="E33" t="s">
        <v>6462</v>
      </c>
      <c r="F33">
        <v>32</v>
      </c>
      <c r="G33" s="2" t="s">
        <v>6512</v>
      </c>
      <c r="H33" t="s">
        <v>76</v>
      </c>
      <c r="I33" s="3">
        <v>200011</v>
      </c>
      <c r="J33" t="str">
        <f t="shared" si="0"/>
        <v>Central Koot., Nakusp</v>
      </c>
      <c r="K33" t="str">
        <f t="shared" si="1"/>
        <v>Central Kootenay</v>
      </c>
    </row>
    <row r="34" spans="1:11" x14ac:dyDescent="0.3">
      <c r="A34" t="s">
        <v>5376</v>
      </c>
      <c r="B34">
        <f t="shared" si="2"/>
        <v>200009</v>
      </c>
      <c r="C34" t="s">
        <v>2931</v>
      </c>
      <c r="D34" t="s">
        <v>6515</v>
      </c>
      <c r="E34" t="s">
        <v>5346</v>
      </c>
      <c r="F34">
        <v>33</v>
      </c>
      <c r="G34" s="2" t="s">
        <v>6512</v>
      </c>
      <c r="H34" t="s">
        <v>76</v>
      </c>
      <c r="I34" s="3">
        <v>200012</v>
      </c>
      <c r="J34" t="str">
        <f t="shared" ref="J34:J65" si="3">E34</f>
        <v>Creston</v>
      </c>
      <c r="K34" t="str">
        <f t="shared" ref="K34:K65" si="4">C34</f>
        <v>Central Kootenay</v>
      </c>
    </row>
    <row r="35" spans="1:11" x14ac:dyDescent="0.3">
      <c r="A35" t="s">
        <v>5376</v>
      </c>
      <c r="B35">
        <f t="shared" si="2"/>
        <v>200009</v>
      </c>
      <c r="C35" t="s">
        <v>2931</v>
      </c>
      <c r="D35" t="s">
        <v>6515</v>
      </c>
      <c r="E35" t="s">
        <v>6463</v>
      </c>
      <c r="F35">
        <v>34</v>
      </c>
      <c r="G35" s="2" t="s">
        <v>6512</v>
      </c>
      <c r="H35" t="s">
        <v>76</v>
      </c>
      <c r="I35" s="3">
        <v>200013</v>
      </c>
      <c r="J35" t="str">
        <f t="shared" si="3"/>
        <v>Central Kootenay Nelson</v>
      </c>
      <c r="K35" t="str">
        <f t="shared" si="4"/>
        <v>Central Kootenay</v>
      </c>
    </row>
    <row r="36" spans="1:11" x14ac:dyDescent="0.3">
      <c r="A36" t="s">
        <v>5376</v>
      </c>
      <c r="B36">
        <f t="shared" si="2"/>
        <v>200009</v>
      </c>
      <c r="C36" t="s">
        <v>2931</v>
      </c>
      <c r="D36" t="s">
        <v>6515</v>
      </c>
      <c r="E36" t="s">
        <v>6464</v>
      </c>
      <c r="F36">
        <v>35</v>
      </c>
      <c r="G36" s="2" t="s">
        <v>6512</v>
      </c>
      <c r="H36" t="s">
        <v>76</v>
      </c>
      <c r="I36" s="3">
        <v>200014</v>
      </c>
      <c r="J36" t="str">
        <f t="shared" si="3"/>
        <v>Out Of District</v>
      </c>
      <c r="K36" t="str">
        <f t="shared" si="4"/>
        <v>Central Kootenay</v>
      </c>
    </row>
    <row r="37" spans="1:11" x14ac:dyDescent="0.3">
      <c r="A37" t="s">
        <v>5376</v>
      </c>
      <c r="B37">
        <f t="shared" si="2"/>
        <v>200009</v>
      </c>
      <c r="C37" t="s">
        <v>2931</v>
      </c>
      <c r="D37" t="s">
        <v>6515</v>
      </c>
      <c r="E37" t="s">
        <v>6465</v>
      </c>
      <c r="F37">
        <v>36</v>
      </c>
      <c r="G37" s="2" t="s">
        <v>6512</v>
      </c>
      <c r="H37" t="s">
        <v>76</v>
      </c>
      <c r="I37" s="3">
        <v>200015</v>
      </c>
      <c r="J37" t="str">
        <f t="shared" si="3"/>
        <v>Central Kootenay Salmo</v>
      </c>
      <c r="K37" t="str">
        <f t="shared" si="4"/>
        <v>Central Kootenay</v>
      </c>
    </row>
    <row r="38" spans="1:11" x14ac:dyDescent="0.3">
      <c r="A38" t="s">
        <v>5376</v>
      </c>
      <c r="B38">
        <f t="shared" si="2"/>
        <v>200010</v>
      </c>
      <c r="C38" t="s">
        <v>13</v>
      </c>
      <c r="D38" t="s">
        <v>6516</v>
      </c>
      <c r="E38" t="s">
        <v>3578</v>
      </c>
      <c r="F38">
        <v>37</v>
      </c>
      <c r="G38" s="2" t="s">
        <v>6512</v>
      </c>
      <c r="H38" t="s">
        <v>76</v>
      </c>
      <c r="I38" s="3">
        <v>200016</v>
      </c>
      <c r="J38" t="str">
        <f t="shared" si="3"/>
        <v>Cranbrook</v>
      </c>
      <c r="K38" t="str">
        <f t="shared" si="4"/>
        <v>East Kootenay</v>
      </c>
    </row>
    <row r="39" spans="1:11" x14ac:dyDescent="0.3">
      <c r="A39" t="s">
        <v>5376</v>
      </c>
      <c r="B39">
        <f t="shared" si="2"/>
        <v>200010</v>
      </c>
      <c r="C39" t="s">
        <v>13</v>
      </c>
      <c r="D39" t="s">
        <v>6516</v>
      </c>
      <c r="E39" t="s">
        <v>6466</v>
      </c>
      <c r="F39">
        <v>38</v>
      </c>
      <c r="G39" s="2" t="s">
        <v>6512</v>
      </c>
      <c r="H39" t="s">
        <v>76</v>
      </c>
      <c r="I39" s="3">
        <v>200017</v>
      </c>
      <c r="J39" t="str">
        <f t="shared" si="3"/>
        <v>Fernie/Sparwood</v>
      </c>
      <c r="K39" t="str">
        <f t="shared" si="4"/>
        <v>East Kootenay</v>
      </c>
    </row>
    <row r="40" spans="1:11" x14ac:dyDescent="0.3">
      <c r="A40" t="s">
        <v>5376</v>
      </c>
      <c r="B40">
        <f t="shared" si="2"/>
        <v>200010</v>
      </c>
      <c r="C40" t="s">
        <v>13</v>
      </c>
      <c r="D40" t="s">
        <v>6516</v>
      </c>
      <c r="E40" t="s">
        <v>4486</v>
      </c>
      <c r="F40">
        <v>39</v>
      </c>
      <c r="G40" s="2" t="s">
        <v>6512</v>
      </c>
      <c r="H40" t="s">
        <v>76</v>
      </c>
      <c r="I40" s="3">
        <v>200018</v>
      </c>
      <c r="J40" t="str">
        <f t="shared" si="3"/>
        <v>Invermere</v>
      </c>
      <c r="K40" t="str">
        <f t="shared" si="4"/>
        <v>East Kootenay</v>
      </c>
    </row>
    <row r="41" spans="1:11" x14ac:dyDescent="0.3">
      <c r="A41" t="s">
        <v>5376</v>
      </c>
      <c r="B41">
        <f t="shared" si="2"/>
        <v>200011</v>
      </c>
      <c r="C41" t="s">
        <v>2932</v>
      </c>
      <c r="D41" t="s">
        <v>6530</v>
      </c>
      <c r="E41" t="s">
        <v>5359</v>
      </c>
      <c r="F41">
        <v>40</v>
      </c>
      <c r="G41" s="2" t="s">
        <v>6512</v>
      </c>
      <c r="H41" t="s">
        <v>76</v>
      </c>
      <c r="I41" s="3">
        <v>200056</v>
      </c>
      <c r="J41" t="str">
        <f t="shared" si="3"/>
        <v>Revelstoke</v>
      </c>
      <c r="K41" t="str">
        <f t="shared" si="4"/>
        <v>Selkirk</v>
      </c>
    </row>
    <row r="42" spans="1:11" x14ac:dyDescent="0.3">
      <c r="A42" t="s">
        <v>5376</v>
      </c>
      <c r="B42">
        <f t="shared" si="2"/>
        <v>200011</v>
      </c>
      <c r="C42" t="s">
        <v>2932</v>
      </c>
      <c r="D42" t="s">
        <v>6530</v>
      </c>
      <c r="E42" t="s">
        <v>5231</v>
      </c>
      <c r="F42">
        <v>41</v>
      </c>
      <c r="G42" s="2" t="s">
        <v>6512</v>
      </c>
      <c r="H42" t="s">
        <v>76</v>
      </c>
      <c r="I42" s="3">
        <v>200057</v>
      </c>
      <c r="J42" t="str">
        <f t="shared" si="3"/>
        <v>Golden</v>
      </c>
      <c r="K42" t="str">
        <f t="shared" si="4"/>
        <v>Selkirk</v>
      </c>
    </row>
    <row r="43" spans="1:11" x14ac:dyDescent="0.3">
      <c r="A43" t="s">
        <v>5376</v>
      </c>
      <c r="B43">
        <f t="shared" si="2"/>
        <v>200012</v>
      </c>
      <c r="C43" t="s">
        <v>2933</v>
      </c>
      <c r="D43" t="s">
        <v>6528</v>
      </c>
      <c r="E43" t="s">
        <v>6478</v>
      </c>
      <c r="F43">
        <v>42</v>
      </c>
      <c r="G43" s="2" t="s">
        <v>6512</v>
      </c>
      <c r="H43" t="s">
        <v>76</v>
      </c>
      <c r="I43" s="3">
        <v>200046</v>
      </c>
      <c r="J43" t="str">
        <f t="shared" si="3"/>
        <v>Chase/Celista</v>
      </c>
      <c r="K43" t="str">
        <f t="shared" si="4"/>
        <v>Okanagan - Shuswap</v>
      </c>
    </row>
    <row r="44" spans="1:11" x14ac:dyDescent="0.3">
      <c r="A44" t="s">
        <v>5376</v>
      </c>
      <c r="B44">
        <f t="shared" si="2"/>
        <v>200012</v>
      </c>
      <c r="C44" t="s">
        <v>2933</v>
      </c>
      <c r="D44" t="s">
        <v>6528</v>
      </c>
      <c r="E44" t="s">
        <v>5348</v>
      </c>
      <c r="F44">
        <v>43</v>
      </c>
      <c r="G44" s="2" t="s">
        <v>6512</v>
      </c>
      <c r="H44" t="s">
        <v>76</v>
      </c>
      <c r="I44" s="3">
        <v>200047</v>
      </c>
      <c r="J44" t="str">
        <f t="shared" si="3"/>
        <v>Enderby</v>
      </c>
      <c r="K44" t="str">
        <f t="shared" si="4"/>
        <v>Okanagan - Shuswap</v>
      </c>
    </row>
    <row r="45" spans="1:11" x14ac:dyDescent="0.3">
      <c r="A45" t="s">
        <v>5376</v>
      </c>
      <c r="B45">
        <f t="shared" si="2"/>
        <v>200012</v>
      </c>
      <c r="C45" t="s">
        <v>2933</v>
      </c>
      <c r="D45" t="s">
        <v>6528</v>
      </c>
      <c r="E45" t="s">
        <v>5349</v>
      </c>
      <c r="F45">
        <v>44</v>
      </c>
      <c r="G45" s="2" t="s">
        <v>6512</v>
      </c>
      <c r="H45" t="s">
        <v>76</v>
      </c>
      <c r="I45" s="3">
        <v>200048</v>
      </c>
      <c r="J45" t="str">
        <f t="shared" si="3"/>
        <v>Falkland</v>
      </c>
      <c r="K45" t="str">
        <f t="shared" si="4"/>
        <v>Okanagan - Shuswap</v>
      </c>
    </row>
    <row r="46" spans="1:11" x14ac:dyDescent="0.3">
      <c r="A46" t="s">
        <v>5376</v>
      </c>
      <c r="B46">
        <f t="shared" si="2"/>
        <v>200012</v>
      </c>
      <c r="C46" t="s">
        <v>2933</v>
      </c>
      <c r="D46" t="s">
        <v>6528</v>
      </c>
      <c r="E46" t="s">
        <v>6479</v>
      </c>
      <c r="F46">
        <v>45</v>
      </c>
      <c r="G46" s="2" t="s">
        <v>6512</v>
      </c>
      <c r="H46" t="s">
        <v>76</v>
      </c>
      <c r="I46" s="3">
        <v>200049</v>
      </c>
      <c r="J46" t="str">
        <f t="shared" si="3"/>
        <v>Lumby/Cherryville</v>
      </c>
      <c r="K46" t="str">
        <f t="shared" si="4"/>
        <v>Okanagan - Shuswap</v>
      </c>
    </row>
    <row r="47" spans="1:11" x14ac:dyDescent="0.3">
      <c r="A47" t="s">
        <v>5376</v>
      </c>
      <c r="B47">
        <f t="shared" si="2"/>
        <v>200012</v>
      </c>
      <c r="C47" t="s">
        <v>2933</v>
      </c>
      <c r="D47" t="s">
        <v>6528</v>
      </c>
      <c r="E47" t="s">
        <v>24</v>
      </c>
      <c r="F47">
        <v>46</v>
      </c>
      <c r="G47" s="2" t="s">
        <v>6512</v>
      </c>
      <c r="H47" t="s">
        <v>76</v>
      </c>
      <c r="I47" s="3">
        <v>200050</v>
      </c>
      <c r="J47" t="str">
        <f t="shared" si="3"/>
        <v>Salmon Arm</v>
      </c>
      <c r="K47" t="str">
        <f t="shared" si="4"/>
        <v>Okanagan - Shuswap</v>
      </c>
    </row>
    <row r="48" spans="1:11" x14ac:dyDescent="0.3">
      <c r="A48" t="s">
        <v>5376</v>
      </c>
      <c r="B48">
        <f t="shared" si="2"/>
        <v>200012</v>
      </c>
      <c r="C48" t="s">
        <v>2933</v>
      </c>
      <c r="D48" t="s">
        <v>6528</v>
      </c>
      <c r="E48" t="s">
        <v>4332</v>
      </c>
      <c r="F48">
        <v>47</v>
      </c>
      <c r="G48" s="2" t="s">
        <v>6512</v>
      </c>
      <c r="H48" t="s">
        <v>76</v>
      </c>
      <c r="I48" s="3">
        <v>200051</v>
      </c>
      <c r="J48" t="str">
        <f t="shared" si="3"/>
        <v>Sicamous</v>
      </c>
      <c r="K48" t="str">
        <f t="shared" si="4"/>
        <v>Okanagan - Shuswap</v>
      </c>
    </row>
    <row r="49" spans="1:11" x14ac:dyDescent="0.3">
      <c r="A49" t="s">
        <v>5376</v>
      </c>
      <c r="B49">
        <f t="shared" si="2"/>
        <v>200012</v>
      </c>
      <c r="C49" t="s">
        <v>2933</v>
      </c>
      <c r="D49" t="s">
        <v>6528</v>
      </c>
      <c r="E49" t="s">
        <v>48</v>
      </c>
      <c r="F49">
        <v>48</v>
      </c>
      <c r="G49" s="2" t="s">
        <v>6512</v>
      </c>
      <c r="H49" t="s">
        <v>76</v>
      </c>
      <c r="I49" s="3">
        <v>200052</v>
      </c>
      <c r="J49" t="str">
        <f t="shared" si="3"/>
        <v>Vernon</v>
      </c>
      <c r="K49" t="str">
        <f t="shared" si="4"/>
        <v>Okanagan - Shuswap</v>
      </c>
    </row>
    <row r="50" spans="1:11" x14ac:dyDescent="0.3">
      <c r="A50" t="s">
        <v>5376</v>
      </c>
      <c r="B50">
        <f t="shared" si="2"/>
        <v>200013</v>
      </c>
      <c r="C50" t="s">
        <v>2934</v>
      </c>
      <c r="D50" t="s">
        <v>6523</v>
      </c>
      <c r="E50" t="s">
        <v>5355</v>
      </c>
      <c r="F50">
        <v>49</v>
      </c>
      <c r="G50" s="2" t="s">
        <v>6512</v>
      </c>
      <c r="H50" t="s">
        <v>76</v>
      </c>
      <c r="I50" s="3">
        <v>200034</v>
      </c>
      <c r="J50" t="str">
        <f t="shared" si="3"/>
        <v>Merritt</v>
      </c>
      <c r="K50" t="str">
        <f t="shared" si="4"/>
        <v>Nicola</v>
      </c>
    </row>
    <row r="51" spans="1:11" x14ac:dyDescent="0.3">
      <c r="A51" t="s">
        <v>5376</v>
      </c>
      <c r="B51">
        <f t="shared" si="2"/>
        <v>200014</v>
      </c>
      <c r="C51" t="s">
        <v>2935</v>
      </c>
      <c r="D51" t="s">
        <v>6538</v>
      </c>
      <c r="E51" t="s">
        <v>5341</v>
      </c>
      <c r="F51">
        <v>50</v>
      </c>
      <c r="G51" s="2" t="s">
        <v>6512</v>
      </c>
      <c r="H51" t="s">
        <v>76</v>
      </c>
      <c r="I51" s="3">
        <v>200082</v>
      </c>
      <c r="J51" t="str">
        <f t="shared" si="3"/>
        <v>Barriere</v>
      </c>
      <c r="K51" t="str">
        <f t="shared" si="4"/>
        <v>Thompson</v>
      </c>
    </row>
    <row r="52" spans="1:11" x14ac:dyDescent="0.3">
      <c r="A52" t="s">
        <v>5376</v>
      </c>
      <c r="B52">
        <f t="shared" si="2"/>
        <v>200014</v>
      </c>
      <c r="C52" t="s">
        <v>2935</v>
      </c>
      <c r="D52" t="s">
        <v>6538</v>
      </c>
      <c r="E52" t="s">
        <v>3689</v>
      </c>
      <c r="F52">
        <v>51</v>
      </c>
      <c r="G52" s="2" t="s">
        <v>6512</v>
      </c>
      <c r="H52" t="s">
        <v>76</v>
      </c>
      <c r="I52" s="3">
        <v>200083</v>
      </c>
      <c r="J52" t="str">
        <f t="shared" si="3"/>
        <v>Clearwater</v>
      </c>
      <c r="K52" t="str">
        <f t="shared" si="4"/>
        <v>Thompson</v>
      </c>
    </row>
    <row r="53" spans="1:11" x14ac:dyDescent="0.3">
      <c r="A53" t="s">
        <v>5376</v>
      </c>
      <c r="B53">
        <f t="shared" si="2"/>
        <v>200014</v>
      </c>
      <c r="C53" t="s">
        <v>2935</v>
      </c>
      <c r="D53" t="s">
        <v>6538</v>
      </c>
      <c r="E53" t="s">
        <v>6493</v>
      </c>
      <c r="F53">
        <v>52</v>
      </c>
      <c r="G53" s="2" t="s">
        <v>6512</v>
      </c>
      <c r="H53" t="s">
        <v>76</v>
      </c>
      <c r="I53" s="3">
        <v>200084</v>
      </c>
      <c r="J53" t="str">
        <f t="shared" si="3"/>
        <v>Kamloops &amp; Savona</v>
      </c>
      <c r="K53" t="str">
        <f t="shared" si="4"/>
        <v>Thompson</v>
      </c>
    </row>
    <row r="54" spans="1:11" x14ac:dyDescent="0.3">
      <c r="A54" t="s">
        <v>5376</v>
      </c>
      <c r="B54">
        <f t="shared" si="2"/>
        <v>200015</v>
      </c>
      <c r="C54" t="s">
        <v>2936</v>
      </c>
      <c r="D54" t="s">
        <v>6532</v>
      </c>
      <c r="E54" t="s">
        <v>6483</v>
      </c>
      <c r="F54">
        <v>53</v>
      </c>
      <c r="G54" s="2" t="s">
        <v>6512</v>
      </c>
      <c r="H54" t="s">
        <v>76</v>
      </c>
      <c r="I54" s="3">
        <v>200060</v>
      </c>
      <c r="J54" t="str">
        <f t="shared" si="3"/>
        <v>100 Mile-Clinton</v>
      </c>
      <c r="K54" t="str">
        <f t="shared" si="4"/>
        <v>South Cariboo</v>
      </c>
    </row>
    <row r="55" spans="1:11" x14ac:dyDescent="0.3">
      <c r="A55" t="s">
        <v>5376</v>
      </c>
      <c r="B55">
        <f t="shared" si="2"/>
        <v>200015</v>
      </c>
      <c r="C55" t="s">
        <v>2936</v>
      </c>
      <c r="D55" t="s">
        <v>6532</v>
      </c>
      <c r="E55" t="s">
        <v>6484</v>
      </c>
      <c r="F55">
        <v>54</v>
      </c>
      <c r="G55" s="2" t="s">
        <v>6512</v>
      </c>
      <c r="H55" t="s">
        <v>76</v>
      </c>
      <c r="I55" s="3">
        <v>200061</v>
      </c>
      <c r="J55" t="str">
        <f t="shared" si="3"/>
        <v>Lillooet-Goldbridge</v>
      </c>
      <c r="K55" t="str">
        <f t="shared" si="4"/>
        <v>South Cariboo</v>
      </c>
    </row>
    <row r="56" spans="1:11" x14ac:dyDescent="0.3">
      <c r="A56" t="s">
        <v>5376</v>
      </c>
      <c r="B56">
        <f t="shared" si="2"/>
        <v>200015</v>
      </c>
      <c r="C56" t="s">
        <v>2936</v>
      </c>
      <c r="D56" t="s">
        <v>6532</v>
      </c>
      <c r="E56" t="s">
        <v>6485</v>
      </c>
      <c r="F56">
        <v>55</v>
      </c>
      <c r="G56" s="2" t="s">
        <v>6512</v>
      </c>
      <c r="H56" t="s">
        <v>76</v>
      </c>
      <c r="I56" s="3">
        <v>200062</v>
      </c>
      <c r="J56" t="str">
        <f t="shared" si="3"/>
        <v>20 Mile-Spences Bridge</v>
      </c>
      <c r="K56" t="str">
        <f t="shared" si="4"/>
        <v>South Cariboo</v>
      </c>
    </row>
    <row r="57" spans="1:11" x14ac:dyDescent="0.3">
      <c r="A57" t="s">
        <v>5376</v>
      </c>
      <c r="B57">
        <f t="shared" si="2"/>
        <v>200015</v>
      </c>
      <c r="C57" t="s">
        <v>2936</v>
      </c>
      <c r="D57" t="s">
        <v>6532</v>
      </c>
      <c r="E57" t="s">
        <v>5342</v>
      </c>
      <c r="F57">
        <v>56</v>
      </c>
      <c r="G57" s="2" t="s">
        <v>6512</v>
      </c>
      <c r="H57" t="s">
        <v>76</v>
      </c>
      <c r="I57" s="3">
        <v>200063</v>
      </c>
      <c r="J57" t="str">
        <f t="shared" si="3"/>
        <v>Bridge Lake</v>
      </c>
      <c r="K57" t="str">
        <f t="shared" si="4"/>
        <v>South Cariboo</v>
      </c>
    </row>
    <row r="58" spans="1:11" x14ac:dyDescent="0.3">
      <c r="A58" t="s">
        <v>5376</v>
      </c>
      <c r="B58">
        <f t="shared" si="2"/>
        <v>200016</v>
      </c>
      <c r="C58" t="s">
        <v>2937</v>
      </c>
      <c r="D58" t="s">
        <v>6513</v>
      </c>
      <c r="E58" t="s">
        <v>2955</v>
      </c>
      <c r="F58">
        <v>57</v>
      </c>
      <c r="G58" s="2" t="s">
        <v>6512</v>
      </c>
      <c r="H58" t="s">
        <v>76</v>
      </c>
      <c r="I58" s="3">
        <v>200003</v>
      </c>
      <c r="J58" t="str">
        <f t="shared" si="3"/>
        <v>Cariboo</v>
      </c>
      <c r="K58" t="str">
        <f t="shared" si="4"/>
        <v>Central Cariboo</v>
      </c>
    </row>
    <row r="59" spans="1:11" x14ac:dyDescent="0.3">
      <c r="A59" t="s">
        <v>5376</v>
      </c>
      <c r="B59">
        <f t="shared" si="2"/>
        <v>200016</v>
      </c>
      <c r="C59" t="s">
        <v>2937</v>
      </c>
      <c r="D59" t="s">
        <v>6513</v>
      </c>
      <c r="E59" t="s">
        <v>6457</v>
      </c>
      <c r="F59">
        <v>58</v>
      </c>
      <c r="G59" s="2" t="s">
        <v>6512</v>
      </c>
      <c r="H59" t="s">
        <v>76</v>
      </c>
      <c r="I59" s="3">
        <v>200004</v>
      </c>
      <c r="J59" t="str">
        <f t="shared" si="3"/>
        <v>Chilcotin</v>
      </c>
      <c r="K59" t="str">
        <f t="shared" si="4"/>
        <v>Central Cariboo</v>
      </c>
    </row>
    <row r="60" spans="1:11" x14ac:dyDescent="0.3">
      <c r="A60" t="s">
        <v>5376</v>
      </c>
      <c r="B60">
        <f t="shared" si="2"/>
        <v>200017</v>
      </c>
      <c r="C60" t="s">
        <v>2938</v>
      </c>
      <c r="D60" t="s">
        <v>6524</v>
      </c>
      <c r="E60" t="s">
        <v>6476</v>
      </c>
      <c r="F60">
        <v>59</v>
      </c>
      <c r="G60" s="2" t="s">
        <v>6512</v>
      </c>
      <c r="H60" t="s">
        <v>76</v>
      </c>
      <c r="I60" s="3">
        <v>200035</v>
      </c>
      <c r="J60" t="str">
        <f t="shared" si="3"/>
        <v>North Cariboo District</v>
      </c>
      <c r="K60" t="str">
        <f t="shared" si="4"/>
        <v>North Cariboo</v>
      </c>
    </row>
    <row r="61" spans="1:11" x14ac:dyDescent="0.3">
      <c r="A61" t="s">
        <v>5376</v>
      </c>
      <c r="B61">
        <f t="shared" si="2"/>
        <v>200018</v>
      </c>
      <c r="C61" t="s">
        <v>2939</v>
      </c>
      <c r="D61" t="s">
        <v>6517</v>
      </c>
      <c r="E61" t="s">
        <v>15</v>
      </c>
      <c r="F61">
        <v>60</v>
      </c>
      <c r="G61" s="2" t="s">
        <v>6512</v>
      </c>
      <c r="H61" t="s">
        <v>76</v>
      </c>
      <c r="I61" s="3">
        <v>200019</v>
      </c>
      <c r="J61" t="str">
        <f t="shared" si="3"/>
        <v>Prince George</v>
      </c>
      <c r="K61" t="str">
        <f t="shared" si="4"/>
        <v>Fort George</v>
      </c>
    </row>
    <row r="62" spans="1:11" x14ac:dyDescent="0.3">
      <c r="A62" t="s">
        <v>5376</v>
      </c>
      <c r="B62">
        <f t="shared" si="2"/>
        <v>200019</v>
      </c>
      <c r="C62" t="s">
        <v>2940</v>
      </c>
      <c r="D62" t="s">
        <v>6529</v>
      </c>
      <c r="E62" t="s">
        <v>6480</v>
      </c>
      <c r="F62">
        <v>61</v>
      </c>
      <c r="G62" s="2" t="s">
        <v>6512</v>
      </c>
      <c r="H62" t="s">
        <v>76</v>
      </c>
      <c r="I62" s="3">
        <v>200053</v>
      </c>
      <c r="J62" t="str">
        <f t="shared" si="3"/>
        <v>Crescent Spur To Horsey Creek</v>
      </c>
      <c r="K62" t="str">
        <f t="shared" si="4"/>
        <v>Robson</v>
      </c>
    </row>
    <row r="63" spans="1:11" x14ac:dyDescent="0.3">
      <c r="A63" t="s">
        <v>5376</v>
      </c>
      <c r="B63">
        <f t="shared" si="2"/>
        <v>200019</v>
      </c>
      <c r="C63" t="s">
        <v>2940</v>
      </c>
      <c r="D63" t="s">
        <v>6529</v>
      </c>
      <c r="E63" t="s">
        <v>6481</v>
      </c>
      <c r="F63">
        <v>62</v>
      </c>
      <c r="G63" s="2" t="s">
        <v>6512</v>
      </c>
      <c r="H63" t="s">
        <v>76</v>
      </c>
      <c r="I63" s="3">
        <v>200054</v>
      </c>
      <c r="J63" t="str">
        <f t="shared" si="3"/>
        <v>Horsey Ck-Border S To Albreda</v>
      </c>
      <c r="K63" t="str">
        <f t="shared" si="4"/>
        <v>Robson</v>
      </c>
    </row>
    <row r="64" spans="1:11" x14ac:dyDescent="0.3">
      <c r="A64" t="s">
        <v>5376</v>
      </c>
      <c r="B64">
        <f t="shared" si="2"/>
        <v>200019</v>
      </c>
      <c r="C64" t="s">
        <v>2940</v>
      </c>
      <c r="D64" t="s">
        <v>6529</v>
      </c>
      <c r="E64" t="s">
        <v>6482</v>
      </c>
      <c r="F64">
        <v>63</v>
      </c>
      <c r="G64" s="2" t="s">
        <v>6512</v>
      </c>
      <c r="H64" t="s">
        <v>76</v>
      </c>
      <c r="I64" s="3">
        <v>200055</v>
      </c>
      <c r="J64" t="str">
        <f t="shared" si="3"/>
        <v>Albreda To Mcmurphy</v>
      </c>
      <c r="K64" t="str">
        <f t="shared" si="4"/>
        <v>Robson</v>
      </c>
    </row>
    <row r="65" spans="1:11" x14ac:dyDescent="0.3">
      <c r="A65" t="s">
        <v>5376</v>
      </c>
      <c r="B65">
        <f t="shared" si="2"/>
        <v>200020</v>
      </c>
      <c r="C65" t="s">
        <v>2941</v>
      </c>
      <c r="D65" t="s">
        <v>6535</v>
      </c>
      <c r="E65" t="s">
        <v>5131</v>
      </c>
      <c r="F65">
        <v>64</v>
      </c>
      <c r="G65" s="2" t="s">
        <v>6512</v>
      </c>
      <c r="H65" t="s">
        <v>76</v>
      </c>
      <c r="I65" s="3">
        <v>200074</v>
      </c>
      <c r="J65" t="str">
        <f t="shared" si="3"/>
        <v>Chetwynd</v>
      </c>
      <c r="K65" t="str">
        <f t="shared" si="4"/>
        <v>South Peace</v>
      </c>
    </row>
    <row r="66" spans="1:11" x14ac:dyDescent="0.3">
      <c r="A66" t="s">
        <v>5376</v>
      </c>
      <c r="B66">
        <f t="shared" si="2"/>
        <v>200020</v>
      </c>
      <c r="C66" t="s">
        <v>2941</v>
      </c>
      <c r="D66" t="s">
        <v>6535</v>
      </c>
      <c r="E66" t="s">
        <v>17</v>
      </c>
      <c r="F66">
        <v>65</v>
      </c>
      <c r="G66" s="2" t="s">
        <v>6512</v>
      </c>
      <c r="H66" t="s">
        <v>76</v>
      </c>
      <c r="I66" s="3">
        <v>200075</v>
      </c>
      <c r="J66" t="str">
        <f t="shared" ref="J66:J88" si="5">E66</f>
        <v>Dawson Creek</v>
      </c>
      <c r="K66" t="str">
        <f t="shared" ref="K66:K88" si="6">C66</f>
        <v>South Peace</v>
      </c>
    </row>
    <row r="67" spans="1:11" x14ac:dyDescent="0.3">
      <c r="A67" t="s">
        <v>5376</v>
      </c>
      <c r="B67">
        <f t="shared" ref="B67:B88" si="7">_xlfn.NUMBERVALUE(MID(D67,13,6))</f>
        <v>200020</v>
      </c>
      <c r="C67" t="s">
        <v>2941</v>
      </c>
      <c r="D67" t="s">
        <v>6535</v>
      </c>
      <c r="E67" t="s">
        <v>5361</v>
      </c>
      <c r="F67">
        <v>66</v>
      </c>
      <c r="G67" s="2" t="s">
        <v>6512</v>
      </c>
      <c r="H67" t="s">
        <v>76</v>
      </c>
      <c r="I67" s="3">
        <v>200076</v>
      </c>
      <c r="J67" t="str">
        <f t="shared" si="5"/>
        <v>Tumbler Ridge</v>
      </c>
      <c r="K67" t="str">
        <f t="shared" si="6"/>
        <v>South Peace</v>
      </c>
    </row>
    <row r="68" spans="1:11" x14ac:dyDescent="0.3">
      <c r="A68" t="s">
        <v>5376</v>
      </c>
      <c r="B68">
        <f t="shared" si="7"/>
        <v>200021</v>
      </c>
      <c r="C68" t="s">
        <v>2942</v>
      </c>
      <c r="D68" t="s">
        <v>6527</v>
      </c>
      <c r="E68" t="s">
        <v>5344</v>
      </c>
      <c r="F68">
        <v>67</v>
      </c>
      <c r="G68" s="2" t="s">
        <v>6512</v>
      </c>
      <c r="H68" t="s">
        <v>76</v>
      </c>
      <c r="I68" s="3">
        <v>200042</v>
      </c>
      <c r="J68" t="str">
        <f t="shared" si="5"/>
        <v>Clayhurst</v>
      </c>
      <c r="K68" t="str">
        <f t="shared" si="6"/>
        <v>North Peace</v>
      </c>
    </row>
    <row r="69" spans="1:11" x14ac:dyDescent="0.3">
      <c r="A69" t="s">
        <v>5376</v>
      </c>
      <c r="B69">
        <f t="shared" si="7"/>
        <v>200021</v>
      </c>
      <c r="C69" t="s">
        <v>2942</v>
      </c>
      <c r="D69" t="s">
        <v>6527</v>
      </c>
      <c r="E69" t="s">
        <v>5350</v>
      </c>
      <c r="F69">
        <v>68</v>
      </c>
      <c r="G69" s="2" t="s">
        <v>6512</v>
      </c>
      <c r="H69" t="s">
        <v>76</v>
      </c>
      <c r="I69" s="3">
        <v>200043</v>
      </c>
      <c r="J69" t="str">
        <f t="shared" si="5"/>
        <v>Fort St. John</v>
      </c>
      <c r="K69" t="str">
        <f t="shared" si="6"/>
        <v>North Peace</v>
      </c>
    </row>
    <row r="70" spans="1:11" x14ac:dyDescent="0.3">
      <c r="A70" t="s">
        <v>5376</v>
      </c>
      <c r="B70">
        <f t="shared" si="7"/>
        <v>200021</v>
      </c>
      <c r="C70" t="s">
        <v>2942</v>
      </c>
      <c r="D70" t="s">
        <v>6527</v>
      </c>
      <c r="E70" t="s">
        <v>3923</v>
      </c>
      <c r="F70">
        <v>69</v>
      </c>
      <c r="G70" s="2" t="s">
        <v>6512</v>
      </c>
      <c r="H70" t="s">
        <v>76</v>
      </c>
      <c r="I70" s="3">
        <v>200044</v>
      </c>
      <c r="J70" t="str">
        <f t="shared" si="5"/>
        <v>Fort Nelson</v>
      </c>
      <c r="K70" t="str">
        <f t="shared" si="6"/>
        <v>North Peace</v>
      </c>
    </row>
    <row r="71" spans="1:11" x14ac:dyDescent="0.3">
      <c r="A71" t="s">
        <v>5376</v>
      </c>
      <c r="B71">
        <f t="shared" si="7"/>
        <v>200021</v>
      </c>
      <c r="C71" t="s">
        <v>2942</v>
      </c>
      <c r="D71" t="s">
        <v>6527</v>
      </c>
      <c r="E71" t="s">
        <v>5357</v>
      </c>
      <c r="F71">
        <v>70</v>
      </c>
      <c r="G71" s="2" t="s">
        <v>6512</v>
      </c>
      <c r="H71" t="s">
        <v>76</v>
      </c>
      <c r="I71" s="3">
        <v>200045</v>
      </c>
      <c r="J71" t="str">
        <f t="shared" si="5"/>
        <v>Prespatou</v>
      </c>
      <c r="K71" t="str">
        <f t="shared" si="6"/>
        <v>North Peace</v>
      </c>
    </row>
    <row r="72" spans="1:11" x14ac:dyDescent="0.3">
      <c r="A72" t="s">
        <v>5376</v>
      </c>
      <c r="B72">
        <f t="shared" si="7"/>
        <v>200022</v>
      </c>
      <c r="C72" t="s">
        <v>2943</v>
      </c>
      <c r="D72" t="s">
        <v>6522</v>
      </c>
      <c r="E72" t="s">
        <v>49</v>
      </c>
      <c r="F72">
        <v>71</v>
      </c>
      <c r="G72" s="2" t="s">
        <v>6512</v>
      </c>
      <c r="H72" t="s">
        <v>76</v>
      </c>
      <c r="I72" s="3">
        <v>200032</v>
      </c>
      <c r="J72" t="str">
        <f t="shared" si="5"/>
        <v>Vanderhoof</v>
      </c>
      <c r="K72" t="str">
        <f t="shared" si="6"/>
        <v>Nechako</v>
      </c>
    </row>
    <row r="73" spans="1:11" x14ac:dyDescent="0.3">
      <c r="A73" t="s">
        <v>5376</v>
      </c>
      <c r="B73">
        <f t="shared" si="7"/>
        <v>200022</v>
      </c>
      <c r="C73" t="s">
        <v>2943</v>
      </c>
      <c r="D73" t="s">
        <v>6522</v>
      </c>
      <c r="E73" t="s">
        <v>5757</v>
      </c>
      <c r="F73">
        <v>72</v>
      </c>
      <c r="G73" s="2" t="s">
        <v>6512</v>
      </c>
      <c r="H73" t="s">
        <v>76</v>
      </c>
      <c r="I73" s="3">
        <v>200033</v>
      </c>
      <c r="J73" t="str">
        <f t="shared" si="5"/>
        <v>Fort St James</v>
      </c>
      <c r="K73" t="str">
        <f t="shared" si="6"/>
        <v>Nechako</v>
      </c>
    </row>
    <row r="74" spans="1:11" x14ac:dyDescent="0.3">
      <c r="A74" t="s">
        <v>5376</v>
      </c>
      <c r="B74">
        <f t="shared" si="7"/>
        <v>200023</v>
      </c>
      <c r="C74" t="s">
        <v>2944</v>
      </c>
      <c r="D74" t="s">
        <v>6520</v>
      </c>
      <c r="E74" t="s">
        <v>4886</v>
      </c>
      <c r="F74">
        <v>73</v>
      </c>
      <c r="G74" s="2" t="s">
        <v>6512</v>
      </c>
      <c r="H74" t="s">
        <v>76</v>
      </c>
      <c r="I74" s="3">
        <v>200027</v>
      </c>
      <c r="J74" t="str">
        <f t="shared" si="5"/>
        <v>Burns Lake</v>
      </c>
      <c r="K74" t="str">
        <f t="shared" si="6"/>
        <v>Lakes</v>
      </c>
    </row>
    <row r="75" spans="1:11" x14ac:dyDescent="0.3">
      <c r="A75" t="s">
        <v>5376</v>
      </c>
      <c r="B75">
        <f t="shared" si="7"/>
        <v>200023</v>
      </c>
      <c r="C75" t="s">
        <v>2944</v>
      </c>
      <c r="D75" t="s">
        <v>6520</v>
      </c>
      <c r="E75" t="s">
        <v>4422</v>
      </c>
      <c r="F75">
        <v>74</v>
      </c>
      <c r="G75" s="2" t="s">
        <v>6512</v>
      </c>
      <c r="H75" t="s">
        <v>76</v>
      </c>
      <c r="I75" s="3">
        <v>200028</v>
      </c>
      <c r="J75" t="str">
        <f t="shared" si="5"/>
        <v>Houston</v>
      </c>
      <c r="K75" t="str">
        <f t="shared" si="6"/>
        <v>Lakes</v>
      </c>
    </row>
    <row r="76" spans="1:11" x14ac:dyDescent="0.3">
      <c r="A76" t="s">
        <v>5376</v>
      </c>
      <c r="B76">
        <f t="shared" si="7"/>
        <v>200024</v>
      </c>
      <c r="C76" t="s">
        <v>2945</v>
      </c>
      <c r="D76" t="s">
        <v>6511</v>
      </c>
      <c r="E76" t="s">
        <v>6454</v>
      </c>
      <c r="F76">
        <v>75</v>
      </c>
      <c r="G76" s="2" t="s">
        <v>6512</v>
      </c>
      <c r="H76" t="s">
        <v>76</v>
      </c>
      <c r="I76" s="3">
        <v>200000</v>
      </c>
      <c r="J76" t="str">
        <f t="shared" si="5"/>
        <v>Smithers/Telkwa</v>
      </c>
      <c r="K76" t="str">
        <f t="shared" si="6"/>
        <v>Bulkley - Nass</v>
      </c>
    </row>
    <row r="77" spans="1:11" x14ac:dyDescent="0.3">
      <c r="A77" t="s">
        <v>5376</v>
      </c>
      <c r="B77">
        <f t="shared" si="7"/>
        <v>200024</v>
      </c>
      <c r="C77" t="s">
        <v>2945</v>
      </c>
      <c r="D77" t="s">
        <v>6511</v>
      </c>
      <c r="E77" t="s">
        <v>6455</v>
      </c>
      <c r="F77">
        <v>76</v>
      </c>
      <c r="G77" s="2" t="s">
        <v>6512</v>
      </c>
      <c r="H77" t="s">
        <v>76</v>
      </c>
      <c r="I77" s="3">
        <v>200001</v>
      </c>
      <c r="J77" t="str">
        <f t="shared" si="5"/>
        <v>Hazelton/Kitwanga</v>
      </c>
      <c r="K77" t="str">
        <f t="shared" si="6"/>
        <v>Bulkley - Nass</v>
      </c>
    </row>
    <row r="78" spans="1:11" x14ac:dyDescent="0.3">
      <c r="A78" t="s">
        <v>5376</v>
      </c>
      <c r="B78">
        <f t="shared" si="7"/>
        <v>200024</v>
      </c>
      <c r="C78" t="s">
        <v>2945</v>
      </c>
      <c r="D78" t="s">
        <v>6511</v>
      </c>
      <c r="E78" t="s">
        <v>6456</v>
      </c>
      <c r="F78">
        <v>77</v>
      </c>
      <c r="G78" s="2" t="s">
        <v>6512</v>
      </c>
      <c r="H78" t="s">
        <v>76</v>
      </c>
      <c r="I78" s="3">
        <v>200002</v>
      </c>
      <c r="J78" t="str">
        <f t="shared" si="5"/>
        <v>Stewart/Meziadin</v>
      </c>
      <c r="K78" t="str">
        <f t="shared" si="6"/>
        <v>Bulkley - Nass</v>
      </c>
    </row>
    <row r="79" spans="1:11" x14ac:dyDescent="0.3">
      <c r="A79" t="s">
        <v>5376</v>
      </c>
      <c r="B79">
        <f t="shared" si="7"/>
        <v>200025</v>
      </c>
      <c r="C79" t="s">
        <v>2946</v>
      </c>
      <c r="D79" t="s">
        <v>6531</v>
      </c>
      <c r="E79" t="s">
        <v>5353</v>
      </c>
      <c r="F79">
        <v>78</v>
      </c>
      <c r="G79" s="2" t="s">
        <v>6512</v>
      </c>
      <c r="H79" t="s">
        <v>76</v>
      </c>
      <c r="I79" s="3">
        <v>200058</v>
      </c>
      <c r="J79" t="str">
        <f t="shared" si="5"/>
        <v>Kitimat</v>
      </c>
      <c r="K79" t="str">
        <f t="shared" si="6"/>
        <v>Skeena</v>
      </c>
    </row>
    <row r="80" spans="1:11" x14ac:dyDescent="0.3">
      <c r="A80" t="s">
        <v>5376</v>
      </c>
      <c r="B80">
        <f t="shared" si="7"/>
        <v>200025</v>
      </c>
      <c r="C80" t="s">
        <v>2946</v>
      </c>
      <c r="D80" t="s">
        <v>6531</v>
      </c>
      <c r="E80" t="s">
        <v>4251</v>
      </c>
      <c r="F80">
        <v>79</v>
      </c>
      <c r="G80" s="2" t="s">
        <v>6512</v>
      </c>
      <c r="H80" t="s">
        <v>76</v>
      </c>
      <c r="I80" s="3">
        <v>200059</v>
      </c>
      <c r="J80" t="str">
        <f t="shared" si="5"/>
        <v>Terrace</v>
      </c>
      <c r="K80" t="str">
        <f t="shared" si="6"/>
        <v>Skeena</v>
      </c>
    </row>
    <row r="81" spans="1:11" x14ac:dyDescent="0.3">
      <c r="A81" t="s">
        <v>5376</v>
      </c>
      <c r="B81">
        <f t="shared" si="7"/>
        <v>200026</v>
      </c>
      <c r="C81" t="s">
        <v>2947</v>
      </c>
      <c r="D81" t="s">
        <v>6525</v>
      </c>
      <c r="E81" t="s">
        <v>5358</v>
      </c>
      <c r="F81">
        <v>80</v>
      </c>
      <c r="G81" s="2" t="s">
        <v>6512</v>
      </c>
      <c r="H81" t="s">
        <v>76</v>
      </c>
      <c r="I81" s="3">
        <v>200036</v>
      </c>
      <c r="J81" t="str">
        <f t="shared" si="5"/>
        <v>Prince Rupert</v>
      </c>
      <c r="K81" t="str">
        <f t="shared" si="6"/>
        <v>North Coast</v>
      </c>
    </row>
    <row r="82" spans="1:11" x14ac:dyDescent="0.3">
      <c r="A82" t="s">
        <v>5376</v>
      </c>
      <c r="B82">
        <f t="shared" si="7"/>
        <v>200026</v>
      </c>
      <c r="C82" t="s">
        <v>2947</v>
      </c>
      <c r="D82" t="s">
        <v>6525</v>
      </c>
      <c r="E82" t="s">
        <v>6477</v>
      </c>
      <c r="F82">
        <v>81</v>
      </c>
      <c r="G82" s="2" t="s">
        <v>6512</v>
      </c>
      <c r="H82" t="s">
        <v>76</v>
      </c>
      <c r="I82" s="3">
        <v>200037</v>
      </c>
      <c r="J82" t="str">
        <f t="shared" si="5"/>
        <v>Queen Charlotte Islands</v>
      </c>
      <c r="K82" t="str">
        <f t="shared" si="6"/>
        <v>North Coast</v>
      </c>
    </row>
    <row r="83" spans="1:11" x14ac:dyDescent="0.3">
      <c r="A83" t="s">
        <v>5376</v>
      </c>
      <c r="B83">
        <f t="shared" si="7"/>
        <v>200027</v>
      </c>
      <c r="C83" t="s">
        <v>2948</v>
      </c>
      <c r="D83" t="s">
        <v>6536</v>
      </c>
      <c r="E83" t="s">
        <v>3705</v>
      </c>
      <c r="F83">
        <v>82</v>
      </c>
      <c r="G83" s="2" t="s">
        <v>6512</v>
      </c>
      <c r="H83" t="s">
        <v>76</v>
      </c>
      <c r="I83" s="3">
        <v>200077</v>
      </c>
      <c r="J83" t="str">
        <f t="shared" si="5"/>
        <v>Atlin</v>
      </c>
      <c r="K83" t="str">
        <f t="shared" si="6"/>
        <v>Stikine</v>
      </c>
    </row>
    <row r="84" spans="1:11" x14ac:dyDescent="0.3">
      <c r="A84" t="s">
        <v>5376</v>
      </c>
      <c r="B84">
        <f t="shared" si="7"/>
        <v>200027</v>
      </c>
      <c r="C84" t="s">
        <v>2948</v>
      </c>
      <c r="D84" t="s">
        <v>6536</v>
      </c>
      <c r="E84" t="s">
        <v>6492</v>
      </c>
      <c r="F84">
        <v>83</v>
      </c>
      <c r="G84" s="2" t="s">
        <v>6512</v>
      </c>
      <c r="H84" t="s">
        <v>76</v>
      </c>
      <c r="I84" s="3">
        <v>200078</v>
      </c>
      <c r="J84" t="str">
        <f t="shared" si="5"/>
        <v>Iskut &amp; Bob Quinn</v>
      </c>
      <c r="K84" t="str">
        <f t="shared" si="6"/>
        <v>Stikine</v>
      </c>
    </row>
    <row r="85" spans="1:11" x14ac:dyDescent="0.3">
      <c r="A85" t="s">
        <v>5376</v>
      </c>
      <c r="B85">
        <f t="shared" si="7"/>
        <v>200027</v>
      </c>
      <c r="C85" t="s">
        <v>2948</v>
      </c>
      <c r="D85" t="s">
        <v>6536</v>
      </c>
      <c r="E85" t="s">
        <v>5347</v>
      </c>
      <c r="F85">
        <v>84</v>
      </c>
      <c r="G85" s="2" t="s">
        <v>6512</v>
      </c>
      <c r="H85" t="s">
        <v>76</v>
      </c>
      <c r="I85" s="3">
        <v>200079</v>
      </c>
      <c r="J85" t="str">
        <f t="shared" si="5"/>
        <v>Dease Lake</v>
      </c>
      <c r="K85" t="str">
        <f t="shared" si="6"/>
        <v>Stikine</v>
      </c>
    </row>
    <row r="86" spans="1:11" x14ac:dyDescent="0.3">
      <c r="A86" t="s">
        <v>5376</v>
      </c>
      <c r="B86">
        <f t="shared" si="7"/>
        <v>200027</v>
      </c>
      <c r="C86" t="s">
        <v>2948</v>
      </c>
      <c r="D86" t="s">
        <v>6536</v>
      </c>
      <c r="E86" t="s">
        <v>5360</v>
      </c>
      <c r="F86">
        <v>85</v>
      </c>
      <c r="G86" s="2" t="s">
        <v>6512</v>
      </c>
      <c r="H86" t="s">
        <v>76</v>
      </c>
      <c r="I86" s="3">
        <v>200080</v>
      </c>
      <c r="J86" t="str">
        <f t="shared" si="5"/>
        <v>Telegraph Creek</v>
      </c>
      <c r="K86" t="str">
        <f t="shared" si="6"/>
        <v>Stikine</v>
      </c>
    </row>
    <row r="87" spans="1:11" x14ac:dyDescent="0.3">
      <c r="A87" t="s">
        <v>5376</v>
      </c>
      <c r="B87">
        <f t="shared" si="7"/>
        <v>200028</v>
      </c>
      <c r="C87" t="s">
        <v>2949</v>
      </c>
      <c r="D87" t="s">
        <v>6539</v>
      </c>
      <c r="E87" t="s">
        <v>2949</v>
      </c>
      <c r="F87">
        <v>86</v>
      </c>
      <c r="G87" s="2" t="s">
        <v>6512</v>
      </c>
      <c r="H87" t="s">
        <v>76</v>
      </c>
      <c r="I87" s="3">
        <v>200085</v>
      </c>
      <c r="J87" t="str">
        <f t="shared" si="5"/>
        <v>NON-BC</v>
      </c>
      <c r="K87" t="str">
        <f t="shared" si="6"/>
        <v>NON-BC</v>
      </c>
    </row>
    <row r="88" spans="1:11" x14ac:dyDescent="0.3">
      <c r="A88" t="s">
        <v>5376</v>
      </c>
      <c r="B88">
        <f t="shared" si="7"/>
        <v>200029</v>
      </c>
      <c r="C88" t="s">
        <v>2950</v>
      </c>
      <c r="D88" t="s">
        <v>6540</v>
      </c>
      <c r="E88" t="s">
        <v>2950</v>
      </c>
      <c r="F88">
        <v>87</v>
      </c>
      <c r="G88" s="2" t="s">
        <v>6512</v>
      </c>
      <c r="H88" t="s">
        <v>76</v>
      </c>
      <c r="I88" s="3">
        <v>200086</v>
      </c>
      <c r="J88" t="str">
        <f t="shared" si="5"/>
        <v>Unknown</v>
      </c>
      <c r="K88" t="str">
        <f t="shared" si="6"/>
        <v>Unknown</v>
      </c>
    </row>
  </sheetData>
  <sortState ref="A2:K88">
    <sortCondition ref="B2:B8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5</vt:i4>
      </vt:variant>
    </vt:vector>
  </HeadingPairs>
  <TitlesOfParts>
    <vt:vector size="21" baseType="lpstr">
      <vt:lpstr>Owners.csv</vt:lpstr>
      <vt:lpstr>Equipment.csv</vt:lpstr>
      <vt:lpstr>Attachments</vt:lpstr>
      <vt:lpstr>Project.csv</vt:lpstr>
      <vt:lpstr>Contacts.csv</vt:lpstr>
      <vt:lpstr>RentalRequest.csv</vt:lpstr>
      <vt:lpstr>LookupLists.csv</vt:lpstr>
      <vt:lpstr>EquipmentTypes.csv</vt:lpstr>
      <vt:lpstr>DistrictEquipmentTypes.csv</vt:lpstr>
      <vt:lpstr>HETS Data</vt:lpstr>
      <vt:lpstr>Names</vt:lpstr>
      <vt:lpstr>Lookups</vt:lpstr>
      <vt:lpstr>Lookups (2)</vt:lpstr>
      <vt:lpstr>Tables</vt:lpstr>
      <vt:lpstr>ServiceAreas.csv</vt:lpstr>
      <vt:lpstr>LocalAreas.csv</vt:lpstr>
      <vt:lpstr>Full_Name</vt:lpstr>
      <vt:lpstr>PROJ_EXT_Name</vt:lpstr>
      <vt:lpstr>Service_Area</vt:lpstr>
      <vt:lpstr>Service_Area_Name</vt:lpstr>
      <vt:lpstr>Street_Address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G W</cp:lastModifiedBy>
  <dcterms:created xsi:type="dcterms:W3CDTF">2016-07-10T21:16:05Z</dcterms:created>
  <dcterms:modified xsi:type="dcterms:W3CDTF">2017-03-30T16:30:02Z</dcterms:modified>
</cp:coreProperties>
</file>